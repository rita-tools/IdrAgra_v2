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Soffi\Documents\GitHub\IdrAgra_v2\Utilities\"/>
    </mc:Choice>
  </mc:AlternateContent>
  <xr:revisionPtr revIDLastSave="0" documentId="13_ncr:1_{2F7E7D38-7C98-477D-B4D7-A269D6089F55}" xr6:coauthVersionLast="47" xr6:coauthVersionMax="47" xr10:uidLastSave="{00000000-0000-0000-0000-000000000000}"/>
  <bookViews>
    <workbookView xWindow="19090" yWindow="-13610" windowWidth="38620" windowHeight="21100" tabRatio="731" xr2:uid="{00000000-000D-0000-FFFF-FFFF00000000}"/>
  </bookViews>
  <sheets>
    <sheet name="Sintesi" sheetId="1" r:id="rId1"/>
    <sheet name="Paste cell here" sheetId="2" r:id="rId2"/>
    <sheet name="Paste cellparameters here" sheetId="3" r:id="rId3"/>
    <sheet name="Paste cellinfo here" sheetId="4" r:id="rId4"/>
    <sheet name="Rootzone balance" sheetId="5" r:id="rId5"/>
    <sheet name="(OLD) Verifica produttività" sheetId="6" r:id="rId6"/>
    <sheet name="(OLD) Bilancio primo strato" sheetId="7" r:id="rId7"/>
    <sheet name="(OLD) Bilancio secondo strato" sheetId="9" r:id="rId8"/>
  </sheets>
  <definedNames>
    <definedName name="Dati_colture">Sintesi!$D$9:$F$25</definedName>
    <definedName name="HI">'Paste cellparameters here'!$B$3:$E$3</definedName>
    <definedName name="ii0">'Paste cellparameters here'!$B$14:$E$14</definedName>
    <definedName name="iid">'Paste cellparameters here'!$B$16:$E$16</definedName>
    <definedName name="iie">'Paste cellparameters here'!$B$15:$E$15</definedName>
    <definedName name="irandom">'Paste cellparameters here'!$B$18</definedName>
    <definedName name="Kcbini">'Paste cellparameters here'!$B$12:$E$12</definedName>
    <definedName name="Kcbmax">'Paste cellparameters here'!$B$13:$E$13</definedName>
    <definedName name="Kcbmin">'Paste cellparameters here'!$B$11:$E$11</definedName>
    <definedName name="KyP">'Paste cellparameters here'!$B$5:$E$8</definedName>
    <definedName name="KyT">'Paste cellparameters here'!$B$4:$E$4</definedName>
    <definedName name="Tcrit">'Paste cellparameters here'!$B$9:$E$9</definedName>
    <definedName name="Tlim">'Paste cellparameters here'!$B$10:$E$10</definedName>
    <definedName name="WPadj">'Paste cellparameters here'!$B$2:$E$2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D2" i="5"/>
  <c r="E2" i="5"/>
  <c r="G2" i="5"/>
  <c r="H2" i="5"/>
  <c r="I2" i="5"/>
  <c r="K2" i="5"/>
  <c r="C3" i="5"/>
  <c r="D3" i="5"/>
  <c r="E3" i="5"/>
  <c r="G3" i="5"/>
  <c r="H3" i="5"/>
  <c r="I3" i="5"/>
  <c r="J3" i="5"/>
  <c r="K3" i="5"/>
  <c r="C4" i="5"/>
  <c r="D4" i="5"/>
  <c r="E4" i="5"/>
  <c r="G4" i="5"/>
  <c r="H4" i="5"/>
  <c r="I4" i="5"/>
  <c r="J4" i="5"/>
  <c r="K4" i="5"/>
  <c r="C5" i="5"/>
  <c r="D5" i="5"/>
  <c r="E5" i="5"/>
  <c r="G5" i="5"/>
  <c r="H5" i="5"/>
  <c r="I5" i="5"/>
  <c r="J5" i="5"/>
  <c r="K5" i="5"/>
  <c r="C6" i="5"/>
  <c r="D6" i="5"/>
  <c r="E6" i="5"/>
  <c r="G6" i="5"/>
  <c r="H6" i="5"/>
  <c r="I6" i="5"/>
  <c r="J6" i="5"/>
  <c r="K6" i="5"/>
  <c r="C7" i="5"/>
  <c r="D7" i="5"/>
  <c r="E7" i="5"/>
  <c r="G7" i="5"/>
  <c r="H7" i="5"/>
  <c r="I7" i="5"/>
  <c r="J7" i="5"/>
  <c r="K7" i="5"/>
  <c r="C8" i="5"/>
  <c r="D8" i="5"/>
  <c r="E8" i="5"/>
  <c r="G8" i="5"/>
  <c r="H8" i="5"/>
  <c r="I8" i="5"/>
  <c r="J8" i="5"/>
  <c r="K8" i="5"/>
  <c r="C9" i="5"/>
  <c r="D9" i="5"/>
  <c r="E9" i="5"/>
  <c r="G9" i="5"/>
  <c r="H9" i="5"/>
  <c r="I9" i="5"/>
  <c r="J9" i="5"/>
  <c r="K9" i="5"/>
  <c r="C10" i="5"/>
  <c r="D10" i="5"/>
  <c r="E10" i="5"/>
  <c r="G10" i="5"/>
  <c r="H10" i="5"/>
  <c r="I10" i="5"/>
  <c r="J10" i="5"/>
  <c r="K10" i="5"/>
  <c r="C11" i="5"/>
  <c r="D11" i="5"/>
  <c r="E11" i="5"/>
  <c r="G11" i="5"/>
  <c r="H11" i="5"/>
  <c r="I11" i="5"/>
  <c r="J11" i="5"/>
  <c r="K11" i="5"/>
  <c r="C12" i="5"/>
  <c r="D12" i="5"/>
  <c r="E12" i="5"/>
  <c r="G12" i="5"/>
  <c r="H12" i="5"/>
  <c r="I12" i="5"/>
  <c r="J12" i="5"/>
  <c r="K12" i="5"/>
  <c r="C13" i="5"/>
  <c r="D13" i="5"/>
  <c r="E13" i="5"/>
  <c r="G13" i="5"/>
  <c r="H13" i="5"/>
  <c r="I13" i="5"/>
  <c r="J13" i="5"/>
  <c r="K13" i="5"/>
  <c r="C14" i="5"/>
  <c r="D14" i="5"/>
  <c r="E14" i="5"/>
  <c r="G14" i="5"/>
  <c r="H14" i="5"/>
  <c r="I14" i="5"/>
  <c r="J14" i="5"/>
  <c r="K14" i="5"/>
  <c r="C15" i="5"/>
  <c r="D15" i="5"/>
  <c r="E15" i="5"/>
  <c r="G15" i="5"/>
  <c r="H15" i="5"/>
  <c r="I15" i="5"/>
  <c r="J15" i="5"/>
  <c r="K15" i="5"/>
  <c r="C16" i="5"/>
  <c r="D16" i="5"/>
  <c r="E16" i="5"/>
  <c r="G16" i="5"/>
  <c r="H16" i="5"/>
  <c r="I16" i="5"/>
  <c r="J16" i="5"/>
  <c r="K16" i="5"/>
  <c r="C17" i="5"/>
  <c r="D17" i="5"/>
  <c r="E17" i="5"/>
  <c r="G17" i="5"/>
  <c r="H17" i="5"/>
  <c r="I17" i="5"/>
  <c r="J17" i="5"/>
  <c r="K17" i="5"/>
  <c r="C18" i="5"/>
  <c r="D18" i="5"/>
  <c r="E18" i="5"/>
  <c r="G18" i="5"/>
  <c r="H18" i="5"/>
  <c r="I18" i="5"/>
  <c r="J18" i="5"/>
  <c r="K18" i="5"/>
  <c r="C19" i="5"/>
  <c r="D19" i="5"/>
  <c r="E19" i="5"/>
  <c r="G19" i="5"/>
  <c r="H19" i="5"/>
  <c r="I19" i="5"/>
  <c r="J19" i="5"/>
  <c r="K19" i="5"/>
  <c r="C20" i="5"/>
  <c r="D20" i="5"/>
  <c r="E20" i="5"/>
  <c r="G20" i="5"/>
  <c r="H20" i="5"/>
  <c r="I20" i="5"/>
  <c r="J20" i="5"/>
  <c r="K20" i="5"/>
  <c r="C21" i="5"/>
  <c r="D21" i="5"/>
  <c r="E21" i="5"/>
  <c r="G21" i="5"/>
  <c r="H21" i="5"/>
  <c r="I21" i="5"/>
  <c r="J21" i="5"/>
  <c r="K21" i="5"/>
  <c r="C22" i="5"/>
  <c r="D22" i="5"/>
  <c r="E22" i="5"/>
  <c r="G22" i="5"/>
  <c r="H22" i="5"/>
  <c r="I22" i="5"/>
  <c r="J22" i="5"/>
  <c r="K22" i="5"/>
  <c r="C23" i="5"/>
  <c r="D23" i="5"/>
  <c r="E23" i="5"/>
  <c r="G23" i="5"/>
  <c r="H23" i="5"/>
  <c r="I23" i="5"/>
  <c r="J23" i="5"/>
  <c r="K23" i="5"/>
  <c r="C24" i="5"/>
  <c r="D24" i="5"/>
  <c r="E24" i="5"/>
  <c r="G24" i="5"/>
  <c r="H24" i="5"/>
  <c r="I24" i="5"/>
  <c r="J24" i="5"/>
  <c r="K24" i="5"/>
  <c r="C25" i="5"/>
  <c r="D25" i="5"/>
  <c r="E25" i="5"/>
  <c r="G25" i="5"/>
  <c r="H25" i="5"/>
  <c r="I25" i="5"/>
  <c r="J25" i="5"/>
  <c r="K25" i="5"/>
  <c r="C26" i="5"/>
  <c r="D26" i="5"/>
  <c r="E26" i="5"/>
  <c r="G26" i="5"/>
  <c r="H26" i="5"/>
  <c r="I26" i="5"/>
  <c r="J26" i="5"/>
  <c r="K26" i="5"/>
  <c r="C27" i="5"/>
  <c r="D27" i="5"/>
  <c r="E27" i="5"/>
  <c r="G27" i="5"/>
  <c r="H27" i="5"/>
  <c r="I27" i="5"/>
  <c r="J27" i="5"/>
  <c r="K27" i="5"/>
  <c r="C28" i="5"/>
  <c r="D28" i="5"/>
  <c r="E28" i="5"/>
  <c r="G28" i="5"/>
  <c r="H28" i="5"/>
  <c r="I28" i="5"/>
  <c r="J28" i="5"/>
  <c r="K28" i="5"/>
  <c r="C29" i="5"/>
  <c r="D29" i="5"/>
  <c r="E29" i="5"/>
  <c r="G29" i="5"/>
  <c r="H29" i="5"/>
  <c r="I29" i="5"/>
  <c r="J29" i="5"/>
  <c r="K29" i="5"/>
  <c r="C30" i="5"/>
  <c r="D30" i="5"/>
  <c r="E30" i="5"/>
  <c r="G30" i="5"/>
  <c r="H30" i="5"/>
  <c r="I30" i="5"/>
  <c r="J30" i="5"/>
  <c r="K30" i="5"/>
  <c r="C31" i="5"/>
  <c r="D31" i="5"/>
  <c r="E31" i="5"/>
  <c r="G31" i="5"/>
  <c r="H31" i="5"/>
  <c r="I31" i="5"/>
  <c r="J31" i="5"/>
  <c r="K31" i="5"/>
  <c r="C32" i="5"/>
  <c r="D32" i="5"/>
  <c r="E32" i="5"/>
  <c r="G32" i="5"/>
  <c r="H32" i="5"/>
  <c r="I32" i="5"/>
  <c r="J32" i="5"/>
  <c r="K32" i="5"/>
  <c r="C33" i="5"/>
  <c r="D33" i="5"/>
  <c r="E33" i="5"/>
  <c r="G33" i="5"/>
  <c r="H33" i="5"/>
  <c r="I33" i="5"/>
  <c r="J33" i="5"/>
  <c r="K33" i="5"/>
  <c r="C34" i="5"/>
  <c r="D34" i="5"/>
  <c r="E34" i="5"/>
  <c r="G34" i="5"/>
  <c r="H34" i="5"/>
  <c r="I34" i="5"/>
  <c r="J34" i="5"/>
  <c r="K34" i="5"/>
  <c r="C35" i="5"/>
  <c r="D35" i="5"/>
  <c r="E35" i="5"/>
  <c r="G35" i="5"/>
  <c r="H35" i="5"/>
  <c r="I35" i="5"/>
  <c r="J35" i="5"/>
  <c r="K35" i="5"/>
  <c r="C36" i="5"/>
  <c r="D36" i="5"/>
  <c r="E36" i="5"/>
  <c r="G36" i="5"/>
  <c r="H36" i="5"/>
  <c r="I36" i="5"/>
  <c r="J36" i="5"/>
  <c r="K36" i="5"/>
  <c r="C37" i="5"/>
  <c r="D37" i="5"/>
  <c r="E37" i="5"/>
  <c r="G37" i="5"/>
  <c r="H37" i="5"/>
  <c r="I37" i="5"/>
  <c r="J37" i="5"/>
  <c r="K37" i="5"/>
  <c r="C38" i="5"/>
  <c r="D38" i="5"/>
  <c r="E38" i="5"/>
  <c r="G38" i="5"/>
  <c r="H38" i="5"/>
  <c r="I38" i="5"/>
  <c r="J38" i="5"/>
  <c r="K38" i="5"/>
  <c r="C39" i="5"/>
  <c r="D39" i="5"/>
  <c r="E39" i="5"/>
  <c r="G39" i="5"/>
  <c r="H39" i="5"/>
  <c r="I39" i="5"/>
  <c r="J39" i="5"/>
  <c r="K39" i="5"/>
  <c r="C40" i="5"/>
  <c r="D40" i="5"/>
  <c r="E40" i="5"/>
  <c r="G40" i="5"/>
  <c r="H40" i="5"/>
  <c r="I40" i="5"/>
  <c r="J40" i="5"/>
  <c r="K40" i="5"/>
  <c r="C41" i="5"/>
  <c r="D41" i="5"/>
  <c r="E41" i="5"/>
  <c r="G41" i="5"/>
  <c r="H41" i="5"/>
  <c r="I41" i="5"/>
  <c r="J41" i="5"/>
  <c r="K41" i="5"/>
  <c r="C42" i="5"/>
  <c r="D42" i="5"/>
  <c r="E42" i="5"/>
  <c r="G42" i="5"/>
  <c r="H42" i="5"/>
  <c r="I42" i="5"/>
  <c r="J42" i="5"/>
  <c r="K42" i="5"/>
  <c r="C43" i="5"/>
  <c r="D43" i="5"/>
  <c r="E43" i="5"/>
  <c r="G43" i="5"/>
  <c r="H43" i="5"/>
  <c r="I43" i="5"/>
  <c r="J43" i="5"/>
  <c r="K43" i="5"/>
  <c r="C44" i="5"/>
  <c r="D44" i="5"/>
  <c r="E44" i="5"/>
  <c r="G44" i="5"/>
  <c r="H44" i="5"/>
  <c r="I44" i="5"/>
  <c r="J44" i="5"/>
  <c r="K44" i="5"/>
  <c r="C45" i="5"/>
  <c r="D45" i="5"/>
  <c r="E45" i="5"/>
  <c r="G45" i="5"/>
  <c r="H45" i="5"/>
  <c r="I45" i="5"/>
  <c r="J45" i="5"/>
  <c r="K45" i="5"/>
  <c r="C46" i="5"/>
  <c r="D46" i="5"/>
  <c r="E46" i="5"/>
  <c r="G46" i="5"/>
  <c r="H46" i="5"/>
  <c r="I46" i="5"/>
  <c r="J46" i="5"/>
  <c r="K46" i="5"/>
  <c r="C47" i="5"/>
  <c r="D47" i="5"/>
  <c r="E47" i="5"/>
  <c r="G47" i="5"/>
  <c r="H47" i="5"/>
  <c r="I47" i="5"/>
  <c r="J47" i="5"/>
  <c r="K47" i="5"/>
  <c r="C48" i="5"/>
  <c r="D48" i="5"/>
  <c r="E48" i="5"/>
  <c r="G48" i="5"/>
  <c r="H48" i="5"/>
  <c r="I48" i="5"/>
  <c r="J48" i="5"/>
  <c r="K48" i="5"/>
  <c r="C49" i="5"/>
  <c r="D49" i="5"/>
  <c r="E49" i="5"/>
  <c r="G49" i="5"/>
  <c r="H49" i="5"/>
  <c r="I49" i="5"/>
  <c r="J49" i="5"/>
  <c r="K49" i="5"/>
  <c r="C50" i="5"/>
  <c r="D50" i="5"/>
  <c r="E50" i="5"/>
  <c r="G50" i="5"/>
  <c r="H50" i="5"/>
  <c r="I50" i="5"/>
  <c r="J50" i="5"/>
  <c r="K50" i="5"/>
  <c r="C51" i="5"/>
  <c r="D51" i="5"/>
  <c r="E51" i="5"/>
  <c r="G51" i="5"/>
  <c r="H51" i="5"/>
  <c r="I51" i="5"/>
  <c r="J51" i="5"/>
  <c r="K51" i="5"/>
  <c r="C52" i="5"/>
  <c r="D52" i="5"/>
  <c r="E52" i="5"/>
  <c r="G52" i="5"/>
  <c r="H52" i="5"/>
  <c r="I52" i="5"/>
  <c r="J52" i="5"/>
  <c r="K52" i="5"/>
  <c r="C53" i="5"/>
  <c r="D53" i="5"/>
  <c r="E53" i="5"/>
  <c r="G53" i="5"/>
  <c r="H53" i="5"/>
  <c r="I53" i="5"/>
  <c r="J53" i="5"/>
  <c r="K53" i="5"/>
  <c r="C54" i="5"/>
  <c r="D54" i="5"/>
  <c r="E54" i="5"/>
  <c r="G54" i="5"/>
  <c r="H54" i="5"/>
  <c r="I54" i="5"/>
  <c r="J54" i="5"/>
  <c r="K54" i="5"/>
  <c r="C55" i="5"/>
  <c r="D55" i="5"/>
  <c r="E55" i="5"/>
  <c r="G55" i="5"/>
  <c r="H55" i="5"/>
  <c r="I55" i="5"/>
  <c r="J55" i="5"/>
  <c r="K55" i="5"/>
  <c r="C56" i="5"/>
  <c r="D56" i="5"/>
  <c r="E56" i="5"/>
  <c r="G56" i="5"/>
  <c r="H56" i="5"/>
  <c r="I56" i="5"/>
  <c r="J56" i="5"/>
  <c r="K56" i="5"/>
  <c r="C57" i="5"/>
  <c r="D57" i="5"/>
  <c r="E57" i="5"/>
  <c r="G57" i="5"/>
  <c r="H57" i="5"/>
  <c r="I57" i="5"/>
  <c r="J57" i="5"/>
  <c r="K57" i="5"/>
  <c r="C58" i="5"/>
  <c r="D58" i="5"/>
  <c r="E58" i="5"/>
  <c r="G58" i="5"/>
  <c r="H58" i="5"/>
  <c r="I58" i="5"/>
  <c r="J58" i="5"/>
  <c r="K58" i="5"/>
  <c r="C59" i="5"/>
  <c r="D59" i="5"/>
  <c r="E59" i="5"/>
  <c r="G59" i="5"/>
  <c r="H59" i="5"/>
  <c r="I59" i="5"/>
  <c r="J59" i="5"/>
  <c r="K59" i="5"/>
  <c r="C60" i="5"/>
  <c r="D60" i="5"/>
  <c r="E60" i="5"/>
  <c r="G60" i="5"/>
  <c r="H60" i="5"/>
  <c r="I60" i="5"/>
  <c r="J60" i="5"/>
  <c r="K60" i="5"/>
  <c r="C61" i="5"/>
  <c r="D61" i="5"/>
  <c r="E61" i="5"/>
  <c r="G61" i="5"/>
  <c r="H61" i="5"/>
  <c r="I61" i="5"/>
  <c r="J61" i="5"/>
  <c r="K61" i="5"/>
  <c r="C62" i="5"/>
  <c r="D62" i="5"/>
  <c r="E62" i="5"/>
  <c r="G62" i="5"/>
  <c r="H62" i="5"/>
  <c r="I62" i="5"/>
  <c r="J62" i="5"/>
  <c r="K62" i="5"/>
  <c r="C63" i="5"/>
  <c r="D63" i="5"/>
  <c r="E63" i="5"/>
  <c r="G63" i="5"/>
  <c r="H63" i="5"/>
  <c r="I63" i="5"/>
  <c r="J63" i="5"/>
  <c r="K63" i="5"/>
  <c r="C64" i="5"/>
  <c r="D64" i="5"/>
  <c r="E64" i="5"/>
  <c r="G64" i="5"/>
  <c r="H64" i="5"/>
  <c r="I64" i="5"/>
  <c r="J64" i="5"/>
  <c r="K64" i="5"/>
  <c r="C65" i="5"/>
  <c r="D65" i="5"/>
  <c r="E65" i="5"/>
  <c r="G65" i="5"/>
  <c r="H65" i="5"/>
  <c r="I65" i="5"/>
  <c r="J65" i="5"/>
  <c r="K65" i="5"/>
  <c r="C66" i="5"/>
  <c r="D66" i="5"/>
  <c r="E66" i="5"/>
  <c r="G66" i="5"/>
  <c r="H66" i="5"/>
  <c r="I66" i="5"/>
  <c r="J66" i="5"/>
  <c r="K66" i="5"/>
  <c r="C67" i="5"/>
  <c r="D67" i="5"/>
  <c r="E67" i="5"/>
  <c r="G67" i="5"/>
  <c r="H67" i="5"/>
  <c r="I67" i="5"/>
  <c r="J67" i="5"/>
  <c r="K67" i="5"/>
  <c r="C68" i="5"/>
  <c r="D68" i="5"/>
  <c r="E68" i="5"/>
  <c r="G68" i="5"/>
  <c r="H68" i="5"/>
  <c r="I68" i="5"/>
  <c r="J68" i="5"/>
  <c r="K68" i="5"/>
  <c r="C69" i="5"/>
  <c r="D69" i="5"/>
  <c r="E69" i="5"/>
  <c r="G69" i="5"/>
  <c r="H69" i="5"/>
  <c r="I69" i="5"/>
  <c r="J69" i="5"/>
  <c r="K69" i="5"/>
  <c r="C70" i="5"/>
  <c r="D70" i="5"/>
  <c r="E70" i="5"/>
  <c r="G70" i="5"/>
  <c r="H70" i="5"/>
  <c r="I70" i="5"/>
  <c r="J70" i="5"/>
  <c r="K70" i="5"/>
  <c r="C71" i="5"/>
  <c r="D71" i="5"/>
  <c r="E71" i="5"/>
  <c r="G71" i="5"/>
  <c r="H71" i="5"/>
  <c r="I71" i="5"/>
  <c r="J71" i="5"/>
  <c r="K71" i="5"/>
  <c r="C72" i="5"/>
  <c r="D72" i="5"/>
  <c r="E72" i="5"/>
  <c r="G72" i="5"/>
  <c r="H72" i="5"/>
  <c r="I72" i="5"/>
  <c r="J72" i="5"/>
  <c r="K72" i="5"/>
  <c r="C73" i="5"/>
  <c r="D73" i="5"/>
  <c r="E73" i="5"/>
  <c r="G73" i="5"/>
  <c r="H73" i="5"/>
  <c r="I73" i="5"/>
  <c r="J73" i="5"/>
  <c r="K73" i="5"/>
  <c r="C74" i="5"/>
  <c r="D74" i="5"/>
  <c r="E74" i="5"/>
  <c r="G74" i="5"/>
  <c r="H74" i="5"/>
  <c r="I74" i="5"/>
  <c r="J74" i="5"/>
  <c r="K74" i="5"/>
  <c r="C75" i="5"/>
  <c r="D75" i="5"/>
  <c r="E75" i="5"/>
  <c r="G75" i="5"/>
  <c r="H75" i="5"/>
  <c r="I75" i="5"/>
  <c r="J75" i="5"/>
  <c r="K75" i="5"/>
  <c r="C76" i="5"/>
  <c r="D76" i="5"/>
  <c r="E76" i="5"/>
  <c r="G76" i="5"/>
  <c r="H76" i="5"/>
  <c r="I76" i="5"/>
  <c r="J76" i="5"/>
  <c r="K76" i="5"/>
  <c r="C77" i="5"/>
  <c r="D77" i="5"/>
  <c r="E77" i="5"/>
  <c r="G77" i="5"/>
  <c r="H77" i="5"/>
  <c r="I77" i="5"/>
  <c r="J77" i="5"/>
  <c r="K77" i="5"/>
  <c r="C78" i="5"/>
  <c r="D78" i="5"/>
  <c r="E78" i="5"/>
  <c r="G78" i="5"/>
  <c r="H78" i="5"/>
  <c r="I78" i="5"/>
  <c r="J78" i="5"/>
  <c r="K78" i="5"/>
  <c r="C79" i="5"/>
  <c r="D79" i="5"/>
  <c r="E79" i="5"/>
  <c r="G79" i="5"/>
  <c r="H79" i="5"/>
  <c r="I79" i="5"/>
  <c r="J79" i="5"/>
  <c r="K79" i="5"/>
  <c r="C80" i="5"/>
  <c r="D80" i="5"/>
  <c r="E80" i="5"/>
  <c r="G80" i="5"/>
  <c r="H80" i="5"/>
  <c r="I80" i="5"/>
  <c r="J80" i="5"/>
  <c r="K80" i="5"/>
  <c r="C81" i="5"/>
  <c r="D81" i="5"/>
  <c r="E81" i="5"/>
  <c r="G81" i="5"/>
  <c r="H81" i="5"/>
  <c r="I81" i="5"/>
  <c r="J81" i="5"/>
  <c r="K81" i="5"/>
  <c r="C82" i="5"/>
  <c r="D82" i="5"/>
  <c r="E82" i="5"/>
  <c r="G82" i="5"/>
  <c r="H82" i="5"/>
  <c r="I82" i="5"/>
  <c r="J82" i="5"/>
  <c r="K82" i="5"/>
  <c r="C83" i="5"/>
  <c r="D83" i="5"/>
  <c r="E83" i="5"/>
  <c r="G83" i="5"/>
  <c r="H83" i="5"/>
  <c r="I83" i="5"/>
  <c r="J83" i="5"/>
  <c r="K83" i="5"/>
  <c r="C84" i="5"/>
  <c r="D84" i="5"/>
  <c r="E84" i="5"/>
  <c r="G84" i="5"/>
  <c r="H84" i="5"/>
  <c r="I84" i="5"/>
  <c r="J84" i="5"/>
  <c r="K84" i="5"/>
  <c r="C85" i="5"/>
  <c r="D85" i="5"/>
  <c r="E85" i="5"/>
  <c r="G85" i="5"/>
  <c r="H85" i="5"/>
  <c r="I85" i="5"/>
  <c r="J85" i="5"/>
  <c r="K85" i="5"/>
  <c r="C86" i="5"/>
  <c r="D86" i="5"/>
  <c r="E86" i="5"/>
  <c r="G86" i="5"/>
  <c r="H86" i="5"/>
  <c r="I86" i="5"/>
  <c r="J86" i="5"/>
  <c r="K86" i="5"/>
  <c r="C87" i="5"/>
  <c r="D87" i="5"/>
  <c r="E87" i="5"/>
  <c r="G87" i="5"/>
  <c r="H87" i="5"/>
  <c r="I87" i="5"/>
  <c r="J87" i="5"/>
  <c r="K87" i="5"/>
  <c r="C88" i="5"/>
  <c r="D88" i="5"/>
  <c r="E88" i="5"/>
  <c r="G88" i="5"/>
  <c r="H88" i="5"/>
  <c r="I88" i="5"/>
  <c r="J88" i="5"/>
  <c r="K88" i="5"/>
  <c r="C89" i="5"/>
  <c r="D89" i="5"/>
  <c r="E89" i="5"/>
  <c r="G89" i="5"/>
  <c r="H89" i="5"/>
  <c r="I89" i="5"/>
  <c r="J89" i="5"/>
  <c r="K89" i="5"/>
  <c r="C90" i="5"/>
  <c r="D90" i="5"/>
  <c r="E90" i="5"/>
  <c r="G90" i="5"/>
  <c r="H90" i="5"/>
  <c r="I90" i="5"/>
  <c r="J90" i="5"/>
  <c r="K90" i="5"/>
  <c r="C91" i="5"/>
  <c r="D91" i="5"/>
  <c r="E91" i="5"/>
  <c r="G91" i="5"/>
  <c r="H91" i="5"/>
  <c r="I91" i="5"/>
  <c r="J91" i="5"/>
  <c r="K91" i="5"/>
  <c r="C92" i="5"/>
  <c r="D92" i="5"/>
  <c r="E92" i="5"/>
  <c r="G92" i="5"/>
  <c r="H92" i="5"/>
  <c r="I92" i="5"/>
  <c r="J92" i="5"/>
  <c r="K92" i="5"/>
  <c r="C93" i="5"/>
  <c r="D93" i="5"/>
  <c r="E93" i="5"/>
  <c r="G93" i="5"/>
  <c r="H93" i="5"/>
  <c r="I93" i="5"/>
  <c r="J93" i="5"/>
  <c r="K93" i="5"/>
  <c r="C94" i="5"/>
  <c r="D94" i="5"/>
  <c r="E94" i="5"/>
  <c r="G94" i="5"/>
  <c r="H94" i="5"/>
  <c r="I94" i="5"/>
  <c r="J94" i="5"/>
  <c r="K94" i="5"/>
  <c r="C95" i="5"/>
  <c r="D95" i="5"/>
  <c r="E95" i="5"/>
  <c r="G95" i="5"/>
  <c r="H95" i="5"/>
  <c r="I95" i="5"/>
  <c r="J95" i="5"/>
  <c r="K95" i="5"/>
  <c r="C96" i="5"/>
  <c r="D96" i="5"/>
  <c r="E96" i="5"/>
  <c r="G96" i="5"/>
  <c r="H96" i="5"/>
  <c r="I96" i="5"/>
  <c r="J96" i="5"/>
  <c r="K96" i="5"/>
  <c r="C97" i="5"/>
  <c r="D97" i="5"/>
  <c r="E97" i="5"/>
  <c r="G97" i="5"/>
  <c r="H97" i="5"/>
  <c r="I97" i="5"/>
  <c r="J97" i="5"/>
  <c r="K97" i="5"/>
  <c r="C98" i="5"/>
  <c r="D98" i="5"/>
  <c r="E98" i="5"/>
  <c r="G98" i="5"/>
  <c r="H98" i="5"/>
  <c r="I98" i="5"/>
  <c r="J98" i="5"/>
  <c r="K98" i="5"/>
  <c r="C99" i="5"/>
  <c r="D99" i="5"/>
  <c r="E99" i="5"/>
  <c r="G99" i="5"/>
  <c r="H99" i="5"/>
  <c r="I99" i="5"/>
  <c r="J99" i="5"/>
  <c r="K99" i="5"/>
  <c r="C100" i="5"/>
  <c r="D100" i="5"/>
  <c r="E100" i="5"/>
  <c r="G100" i="5"/>
  <c r="H100" i="5"/>
  <c r="I100" i="5"/>
  <c r="J100" i="5"/>
  <c r="K100" i="5"/>
  <c r="C101" i="5"/>
  <c r="D101" i="5"/>
  <c r="E101" i="5"/>
  <c r="G101" i="5"/>
  <c r="H101" i="5"/>
  <c r="I101" i="5"/>
  <c r="J101" i="5"/>
  <c r="K101" i="5"/>
  <c r="C102" i="5"/>
  <c r="D102" i="5"/>
  <c r="E102" i="5"/>
  <c r="G102" i="5"/>
  <c r="H102" i="5"/>
  <c r="I102" i="5"/>
  <c r="J102" i="5"/>
  <c r="K102" i="5"/>
  <c r="C103" i="5"/>
  <c r="D103" i="5"/>
  <c r="E103" i="5"/>
  <c r="G103" i="5"/>
  <c r="H103" i="5"/>
  <c r="I103" i="5"/>
  <c r="J103" i="5"/>
  <c r="K103" i="5"/>
  <c r="C104" i="5"/>
  <c r="D104" i="5"/>
  <c r="E104" i="5"/>
  <c r="G104" i="5"/>
  <c r="H104" i="5"/>
  <c r="I104" i="5"/>
  <c r="J104" i="5"/>
  <c r="K104" i="5"/>
  <c r="C105" i="5"/>
  <c r="D105" i="5"/>
  <c r="E105" i="5"/>
  <c r="G105" i="5"/>
  <c r="H105" i="5"/>
  <c r="I105" i="5"/>
  <c r="J105" i="5"/>
  <c r="K105" i="5"/>
  <c r="C106" i="5"/>
  <c r="D106" i="5"/>
  <c r="E106" i="5"/>
  <c r="G106" i="5"/>
  <c r="H106" i="5"/>
  <c r="I106" i="5"/>
  <c r="J106" i="5"/>
  <c r="K106" i="5"/>
  <c r="C107" i="5"/>
  <c r="D107" i="5"/>
  <c r="E107" i="5"/>
  <c r="G107" i="5"/>
  <c r="H107" i="5"/>
  <c r="I107" i="5"/>
  <c r="J107" i="5"/>
  <c r="K107" i="5"/>
  <c r="C108" i="5"/>
  <c r="D108" i="5"/>
  <c r="E108" i="5"/>
  <c r="G108" i="5"/>
  <c r="H108" i="5"/>
  <c r="I108" i="5"/>
  <c r="J108" i="5"/>
  <c r="K108" i="5"/>
  <c r="C109" i="5"/>
  <c r="D109" i="5"/>
  <c r="E109" i="5"/>
  <c r="G109" i="5"/>
  <c r="H109" i="5"/>
  <c r="I109" i="5"/>
  <c r="J109" i="5"/>
  <c r="K109" i="5"/>
  <c r="C110" i="5"/>
  <c r="D110" i="5"/>
  <c r="E110" i="5"/>
  <c r="G110" i="5"/>
  <c r="H110" i="5"/>
  <c r="I110" i="5"/>
  <c r="J110" i="5"/>
  <c r="K110" i="5"/>
  <c r="C111" i="5"/>
  <c r="D111" i="5"/>
  <c r="E111" i="5"/>
  <c r="G111" i="5"/>
  <c r="H111" i="5"/>
  <c r="I111" i="5"/>
  <c r="J111" i="5"/>
  <c r="K111" i="5"/>
  <c r="C112" i="5"/>
  <c r="D112" i="5"/>
  <c r="E112" i="5"/>
  <c r="G112" i="5"/>
  <c r="H112" i="5"/>
  <c r="I112" i="5"/>
  <c r="J112" i="5"/>
  <c r="K112" i="5"/>
  <c r="C113" i="5"/>
  <c r="D113" i="5"/>
  <c r="E113" i="5"/>
  <c r="G113" i="5"/>
  <c r="H113" i="5"/>
  <c r="I113" i="5"/>
  <c r="J113" i="5"/>
  <c r="K113" i="5"/>
  <c r="C114" i="5"/>
  <c r="D114" i="5"/>
  <c r="E114" i="5"/>
  <c r="G114" i="5"/>
  <c r="H114" i="5"/>
  <c r="I114" i="5"/>
  <c r="J114" i="5"/>
  <c r="K114" i="5"/>
  <c r="C115" i="5"/>
  <c r="D115" i="5"/>
  <c r="E115" i="5"/>
  <c r="G115" i="5"/>
  <c r="H115" i="5"/>
  <c r="I115" i="5"/>
  <c r="J115" i="5"/>
  <c r="K115" i="5"/>
  <c r="C116" i="5"/>
  <c r="D116" i="5"/>
  <c r="E116" i="5"/>
  <c r="G116" i="5"/>
  <c r="H116" i="5"/>
  <c r="I116" i="5"/>
  <c r="J116" i="5"/>
  <c r="K116" i="5"/>
  <c r="C117" i="5"/>
  <c r="D117" i="5"/>
  <c r="E117" i="5"/>
  <c r="G117" i="5"/>
  <c r="H117" i="5"/>
  <c r="I117" i="5"/>
  <c r="J117" i="5"/>
  <c r="K117" i="5"/>
  <c r="C118" i="5"/>
  <c r="D118" i="5"/>
  <c r="E118" i="5"/>
  <c r="G118" i="5"/>
  <c r="H118" i="5"/>
  <c r="I118" i="5"/>
  <c r="J118" i="5"/>
  <c r="K118" i="5"/>
  <c r="C119" i="5"/>
  <c r="D119" i="5"/>
  <c r="E119" i="5"/>
  <c r="G119" i="5"/>
  <c r="H119" i="5"/>
  <c r="I119" i="5"/>
  <c r="J119" i="5"/>
  <c r="K119" i="5"/>
  <c r="C120" i="5"/>
  <c r="D120" i="5"/>
  <c r="E120" i="5"/>
  <c r="G120" i="5"/>
  <c r="H120" i="5"/>
  <c r="I120" i="5"/>
  <c r="J120" i="5"/>
  <c r="K120" i="5"/>
  <c r="C121" i="5"/>
  <c r="D121" i="5"/>
  <c r="E121" i="5"/>
  <c r="G121" i="5"/>
  <c r="H121" i="5"/>
  <c r="I121" i="5"/>
  <c r="J121" i="5"/>
  <c r="K121" i="5"/>
  <c r="C122" i="5"/>
  <c r="D122" i="5"/>
  <c r="E122" i="5"/>
  <c r="G122" i="5"/>
  <c r="H122" i="5"/>
  <c r="I122" i="5"/>
  <c r="J122" i="5"/>
  <c r="K122" i="5"/>
  <c r="C123" i="5"/>
  <c r="D123" i="5"/>
  <c r="E123" i="5"/>
  <c r="G123" i="5"/>
  <c r="H123" i="5"/>
  <c r="I123" i="5"/>
  <c r="J123" i="5"/>
  <c r="K123" i="5"/>
  <c r="C124" i="5"/>
  <c r="D124" i="5"/>
  <c r="E124" i="5"/>
  <c r="G124" i="5"/>
  <c r="H124" i="5"/>
  <c r="I124" i="5"/>
  <c r="J124" i="5"/>
  <c r="K124" i="5"/>
  <c r="C125" i="5"/>
  <c r="D125" i="5"/>
  <c r="E125" i="5"/>
  <c r="G125" i="5"/>
  <c r="H125" i="5"/>
  <c r="I125" i="5"/>
  <c r="J125" i="5"/>
  <c r="K125" i="5"/>
  <c r="C126" i="5"/>
  <c r="D126" i="5"/>
  <c r="E126" i="5"/>
  <c r="G126" i="5"/>
  <c r="H126" i="5"/>
  <c r="I126" i="5"/>
  <c r="J126" i="5"/>
  <c r="K126" i="5"/>
  <c r="C127" i="5"/>
  <c r="D127" i="5"/>
  <c r="E127" i="5"/>
  <c r="G127" i="5"/>
  <c r="H127" i="5"/>
  <c r="I127" i="5"/>
  <c r="J127" i="5"/>
  <c r="K127" i="5"/>
  <c r="C128" i="5"/>
  <c r="D128" i="5"/>
  <c r="E128" i="5"/>
  <c r="G128" i="5"/>
  <c r="H128" i="5"/>
  <c r="I128" i="5"/>
  <c r="J128" i="5"/>
  <c r="K128" i="5"/>
  <c r="C129" i="5"/>
  <c r="D129" i="5"/>
  <c r="E129" i="5"/>
  <c r="G129" i="5"/>
  <c r="H129" i="5"/>
  <c r="I129" i="5"/>
  <c r="J129" i="5"/>
  <c r="K129" i="5"/>
  <c r="C130" i="5"/>
  <c r="D130" i="5"/>
  <c r="E130" i="5"/>
  <c r="G130" i="5"/>
  <c r="H130" i="5"/>
  <c r="I130" i="5"/>
  <c r="J130" i="5"/>
  <c r="K130" i="5"/>
  <c r="C131" i="5"/>
  <c r="D131" i="5"/>
  <c r="E131" i="5"/>
  <c r="G131" i="5"/>
  <c r="H131" i="5"/>
  <c r="I131" i="5"/>
  <c r="J131" i="5"/>
  <c r="K131" i="5"/>
  <c r="C132" i="5"/>
  <c r="D132" i="5"/>
  <c r="E132" i="5"/>
  <c r="G132" i="5"/>
  <c r="H132" i="5"/>
  <c r="I132" i="5"/>
  <c r="J132" i="5"/>
  <c r="K132" i="5"/>
  <c r="C133" i="5"/>
  <c r="D133" i="5"/>
  <c r="E133" i="5"/>
  <c r="G133" i="5"/>
  <c r="H133" i="5"/>
  <c r="I133" i="5"/>
  <c r="J133" i="5"/>
  <c r="K133" i="5"/>
  <c r="C134" i="5"/>
  <c r="D134" i="5"/>
  <c r="E134" i="5"/>
  <c r="G134" i="5"/>
  <c r="H134" i="5"/>
  <c r="I134" i="5"/>
  <c r="J134" i="5"/>
  <c r="K134" i="5"/>
  <c r="C135" i="5"/>
  <c r="D135" i="5"/>
  <c r="E135" i="5"/>
  <c r="G135" i="5"/>
  <c r="H135" i="5"/>
  <c r="I135" i="5"/>
  <c r="J135" i="5"/>
  <c r="K135" i="5"/>
  <c r="C136" i="5"/>
  <c r="D136" i="5"/>
  <c r="E136" i="5"/>
  <c r="G136" i="5"/>
  <c r="H136" i="5"/>
  <c r="I136" i="5"/>
  <c r="J136" i="5"/>
  <c r="K136" i="5"/>
  <c r="C137" i="5"/>
  <c r="D137" i="5"/>
  <c r="E137" i="5"/>
  <c r="G137" i="5"/>
  <c r="H137" i="5"/>
  <c r="I137" i="5"/>
  <c r="J137" i="5"/>
  <c r="K137" i="5"/>
  <c r="C138" i="5"/>
  <c r="D138" i="5"/>
  <c r="E138" i="5"/>
  <c r="G138" i="5"/>
  <c r="H138" i="5"/>
  <c r="I138" i="5"/>
  <c r="J138" i="5"/>
  <c r="K138" i="5"/>
  <c r="C139" i="5"/>
  <c r="D139" i="5"/>
  <c r="E139" i="5"/>
  <c r="G139" i="5"/>
  <c r="H139" i="5"/>
  <c r="I139" i="5"/>
  <c r="J139" i="5"/>
  <c r="K139" i="5"/>
  <c r="C140" i="5"/>
  <c r="D140" i="5"/>
  <c r="E140" i="5"/>
  <c r="G140" i="5"/>
  <c r="H140" i="5"/>
  <c r="I140" i="5"/>
  <c r="J140" i="5"/>
  <c r="K140" i="5"/>
  <c r="C141" i="5"/>
  <c r="D141" i="5"/>
  <c r="E141" i="5"/>
  <c r="G141" i="5"/>
  <c r="H141" i="5"/>
  <c r="I141" i="5"/>
  <c r="J141" i="5"/>
  <c r="K141" i="5"/>
  <c r="C142" i="5"/>
  <c r="D142" i="5"/>
  <c r="E142" i="5"/>
  <c r="G142" i="5"/>
  <c r="H142" i="5"/>
  <c r="I142" i="5"/>
  <c r="J142" i="5"/>
  <c r="K142" i="5"/>
  <c r="C143" i="5"/>
  <c r="D143" i="5"/>
  <c r="E143" i="5"/>
  <c r="G143" i="5"/>
  <c r="H143" i="5"/>
  <c r="I143" i="5"/>
  <c r="J143" i="5"/>
  <c r="K143" i="5"/>
  <c r="C144" i="5"/>
  <c r="D144" i="5"/>
  <c r="E144" i="5"/>
  <c r="G144" i="5"/>
  <c r="H144" i="5"/>
  <c r="I144" i="5"/>
  <c r="J144" i="5"/>
  <c r="K144" i="5"/>
  <c r="C145" i="5"/>
  <c r="D145" i="5"/>
  <c r="E145" i="5"/>
  <c r="G145" i="5"/>
  <c r="H145" i="5"/>
  <c r="I145" i="5"/>
  <c r="J145" i="5"/>
  <c r="K145" i="5"/>
  <c r="C146" i="5"/>
  <c r="D146" i="5"/>
  <c r="E146" i="5"/>
  <c r="G146" i="5"/>
  <c r="H146" i="5"/>
  <c r="I146" i="5"/>
  <c r="J146" i="5"/>
  <c r="K146" i="5"/>
  <c r="C147" i="5"/>
  <c r="D147" i="5"/>
  <c r="E147" i="5"/>
  <c r="G147" i="5"/>
  <c r="H147" i="5"/>
  <c r="I147" i="5"/>
  <c r="J147" i="5"/>
  <c r="K147" i="5"/>
  <c r="C148" i="5"/>
  <c r="D148" i="5"/>
  <c r="E148" i="5"/>
  <c r="G148" i="5"/>
  <c r="H148" i="5"/>
  <c r="I148" i="5"/>
  <c r="J148" i="5"/>
  <c r="K148" i="5"/>
  <c r="C149" i="5"/>
  <c r="D149" i="5"/>
  <c r="E149" i="5"/>
  <c r="G149" i="5"/>
  <c r="H149" i="5"/>
  <c r="I149" i="5"/>
  <c r="J149" i="5"/>
  <c r="K149" i="5"/>
  <c r="C150" i="5"/>
  <c r="D150" i="5"/>
  <c r="E150" i="5"/>
  <c r="G150" i="5"/>
  <c r="H150" i="5"/>
  <c r="I150" i="5"/>
  <c r="J150" i="5"/>
  <c r="K150" i="5"/>
  <c r="C151" i="5"/>
  <c r="D151" i="5"/>
  <c r="E151" i="5"/>
  <c r="G151" i="5"/>
  <c r="H151" i="5"/>
  <c r="I151" i="5"/>
  <c r="J151" i="5"/>
  <c r="K151" i="5"/>
  <c r="C152" i="5"/>
  <c r="D152" i="5"/>
  <c r="E152" i="5"/>
  <c r="G152" i="5"/>
  <c r="H152" i="5"/>
  <c r="I152" i="5"/>
  <c r="J152" i="5"/>
  <c r="K152" i="5"/>
  <c r="C153" i="5"/>
  <c r="D153" i="5"/>
  <c r="E153" i="5"/>
  <c r="G153" i="5"/>
  <c r="H153" i="5"/>
  <c r="I153" i="5"/>
  <c r="J153" i="5"/>
  <c r="K153" i="5"/>
  <c r="C154" i="5"/>
  <c r="D154" i="5"/>
  <c r="E154" i="5"/>
  <c r="G154" i="5"/>
  <c r="H154" i="5"/>
  <c r="I154" i="5"/>
  <c r="J154" i="5"/>
  <c r="K154" i="5"/>
  <c r="C155" i="5"/>
  <c r="D155" i="5"/>
  <c r="E155" i="5"/>
  <c r="G155" i="5"/>
  <c r="H155" i="5"/>
  <c r="I155" i="5"/>
  <c r="J155" i="5"/>
  <c r="K155" i="5"/>
  <c r="C156" i="5"/>
  <c r="D156" i="5"/>
  <c r="E156" i="5"/>
  <c r="G156" i="5"/>
  <c r="H156" i="5"/>
  <c r="I156" i="5"/>
  <c r="J156" i="5"/>
  <c r="K156" i="5"/>
  <c r="C157" i="5"/>
  <c r="D157" i="5"/>
  <c r="E157" i="5"/>
  <c r="G157" i="5"/>
  <c r="H157" i="5"/>
  <c r="I157" i="5"/>
  <c r="J157" i="5"/>
  <c r="K157" i="5"/>
  <c r="C158" i="5"/>
  <c r="D158" i="5"/>
  <c r="E158" i="5"/>
  <c r="G158" i="5"/>
  <c r="H158" i="5"/>
  <c r="I158" i="5"/>
  <c r="J158" i="5"/>
  <c r="K158" i="5"/>
  <c r="C159" i="5"/>
  <c r="D159" i="5"/>
  <c r="E159" i="5"/>
  <c r="G159" i="5"/>
  <c r="H159" i="5"/>
  <c r="I159" i="5"/>
  <c r="J159" i="5"/>
  <c r="K159" i="5"/>
  <c r="C160" i="5"/>
  <c r="D160" i="5"/>
  <c r="E160" i="5"/>
  <c r="G160" i="5"/>
  <c r="H160" i="5"/>
  <c r="I160" i="5"/>
  <c r="J160" i="5"/>
  <c r="K160" i="5"/>
  <c r="C161" i="5"/>
  <c r="D161" i="5"/>
  <c r="E161" i="5"/>
  <c r="G161" i="5"/>
  <c r="H161" i="5"/>
  <c r="I161" i="5"/>
  <c r="J161" i="5"/>
  <c r="K161" i="5"/>
  <c r="C162" i="5"/>
  <c r="D162" i="5"/>
  <c r="E162" i="5"/>
  <c r="G162" i="5"/>
  <c r="H162" i="5"/>
  <c r="I162" i="5"/>
  <c r="J162" i="5"/>
  <c r="K162" i="5"/>
  <c r="C163" i="5"/>
  <c r="D163" i="5"/>
  <c r="E163" i="5"/>
  <c r="G163" i="5"/>
  <c r="H163" i="5"/>
  <c r="I163" i="5"/>
  <c r="J163" i="5"/>
  <c r="K163" i="5"/>
  <c r="C164" i="5"/>
  <c r="D164" i="5"/>
  <c r="E164" i="5"/>
  <c r="G164" i="5"/>
  <c r="H164" i="5"/>
  <c r="I164" i="5"/>
  <c r="J164" i="5"/>
  <c r="K164" i="5"/>
  <c r="C165" i="5"/>
  <c r="D165" i="5"/>
  <c r="E165" i="5"/>
  <c r="G165" i="5"/>
  <c r="H165" i="5"/>
  <c r="I165" i="5"/>
  <c r="J165" i="5"/>
  <c r="K165" i="5"/>
  <c r="C166" i="5"/>
  <c r="D166" i="5"/>
  <c r="E166" i="5"/>
  <c r="G166" i="5"/>
  <c r="H166" i="5"/>
  <c r="I166" i="5"/>
  <c r="J166" i="5"/>
  <c r="K166" i="5"/>
  <c r="C167" i="5"/>
  <c r="D167" i="5"/>
  <c r="E167" i="5"/>
  <c r="G167" i="5"/>
  <c r="H167" i="5"/>
  <c r="I167" i="5"/>
  <c r="J167" i="5"/>
  <c r="K167" i="5"/>
  <c r="C168" i="5"/>
  <c r="D168" i="5"/>
  <c r="E168" i="5"/>
  <c r="G168" i="5"/>
  <c r="H168" i="5"/>
  <c r="I168" i="5"/>
  <c r="J168" i="5"/>
  <c r="K168" i="5"/>
  <c r="C169" i="5"/>
  <c r="D169" i="5"/>
  <c r="E169" i="5"/>
  <c r="G169" i="5"/>
  <c r="H169" i="5"/>
  <c r="I169" i="5"/>
  <c r="J169" i="5"/>
  <c r="K169" i="5"/>
  <c r="C170" i="5"/>
  <c r="D170" i="5"/>
  <c r="E170" i="5"/>
  <c r="G170" i="5"/>
  <c r="H170" i="5"/>
  <c r="I170" i="5"/>
  <c r="J170" i="5"/>
  <c r="K170" i="5"/>
  <c r="C171" i="5"/>
  <c r="D171" i="5"/>
  <c r="E171" i="5"/>
  <c r="G171" i="5"/>
  <c r="H171" i="5"/>
  <c r="I171" i="5"/>
  <c r="J171" i="5"/>
  <c r="K171" i="5"/>
  <c r="C172" i="5"/>
  <c r="D172" i="5"/>
  <c r="E172" i="5"/>
  <c r="G172" i="5"/>
  <c r="H172" i="5"/>
  <c r="I172" i="5"/>
  <c r="J172" i="5"/>
  <c r="K172" i="5"/>
  <c r="C173" i="5"/>
  <c r="D173" i="5"/>
  <c r="E173" i="5"/>
  <c r="G173" i="5"/>
  <c r="H173" i="5"/>
  <c r="I173" i="5"/>
  <c r="J173" i="5"/>
  <c r="K173" i="5"/>
  <c r="C174" i="5"/>
  <c r="D174" i="5"/>
  <c r="E174" i="5"/>
  <c r="G174" i="5"/>
  <c r="H174" i="5"/>
  <c r="I174" i="5"/>
  <c r="J174" i="5"/>
  <c r="K174" i="5"/>
  <c r="C175" i="5"/>
  <c r="D175" i="5"/>
  <c r="E175" i="5"/>
  <c r="G175" i="5"/>
  <c r="H175" i="5"/>
  <c r="I175" i="5"/>
  <c r="J175" i="5"/>
  <c r="K175" i="5"/>
  <c r="C176" i="5"/>
  <c r="D176" i="5"/>
  <c r="E176" i="5"/>
  <c r="G176" i="5"/>
  <c r="H176" i="5"/>
  <c r="I176" i="5"/>
  <c r="J176" i="5"/>
  <c r="K176" i="5"/>
  <c r="C177" i="5"/>
  <c r="D177" i="5"/>
  <c r="E177" i="5"/>
  <c r="G177" i="5"/>
  <c r="H177" i="5"/>
  <c r="I177" i="5"/>
  <c r="J177" i="5"/>
  <c r="K177" i="5"/>
  <c r="C178" i="5"/>
  <c r="D178" i="5"/>
  <c r="E178" i="5"/>
  <c r="G178" i="5"/>
  <c r="H178" i="5"/>
  <c r="I178" i="5"/>
  <c r="J178" i="5"/>
  <c r="K178" i="5"/>
  <c r="C179" i="5"/>
  <c r="D179" i="5"/>
  <c r="E179" i="5"/>
  <c r="G179" i="5"/>
  <c r="H179" i="5"/>
  <c r="I179" i="5"/>
  <c r="J179" i="5"/>
  <c r="K179" i="5"/>
  <c r="C180" i="5"/>
  <c r="D180" i="5"/>
  <c r="E180" i="5"/>
  <c r="G180" i="5"/>
  <c r="H180" i="5"/>
  <c r="I180" i="5"/>
  <c r="J180" i="5"/>
  <c r="K180" i="5"/>
  <c r="C181" i="5"/>
  <c r="D181" i="5"/>
  <c r="E181" i="5"/>
  <c r="G181" i="5"/>
  <c r="H181" i="5"/>
  <c r="I181" i="5"/>
  <c r="J181" i="5"/>
  <c r="K181" i="5"/>
  <c r="C182" i="5"/>
  <c r="D182" i="5"/>
  <c r="E182" i="5"/>
  <c r="G182" i="5"/>
  <c r="H182" i="5"/>
  <c r="I182" i="5"/>
  <c r="J182" i="5"/>
  <c r="K182" i="5"/>
  <c r="C183" i="5"/>
  <c r="D183" i="5"/>
  <c r="E183" i="5"/>
  <c r="G183" i="5"/>
  <c r="H183" i="5"/>
  <c r="I183" i="5"/>
  <c r="J183" i="5"/>
  <c r="K183" i="5"/>
  <c r="C184" i="5"/>
  <c r="D184" i="5"/>
  <c r="E184" i="5"/>
  <c r="G184" i="5"/>
  <c r="H184" i="5"/>
  <c r="I184" i="5"/>
  <c r="J184" i="5"/>
  <c r="K184" i="5"/>
  <c r="C185" i="5"/>
  <c r="D185" i="5"/>
  <c r="E185" i="5"/>
  <c r="G185" i="5"/>
  <c r="H185" i="5"/>
  <c r="I185" i="5"/>
  <c r="J185" i="5"/>
  <c r="K185" i="5"/>
  <c r="C186" i="5"/>
  <c r="D186" i="5"/>
  <c r="E186" i="5"/>
  <c r="G186" i="5"/>
  <c r="H186" i="5"/>
  <c r="I186" i="5"/>
  <c r="J186" i="5"/>
  <c r="K186" i="5"/>
  <c r="C187" i="5"/>
  <c r="D187" i="5"/>
  <c r="E187" i="5"/>
  <c r="G187" i="5"/>
  <c r="H187" i="5"/>
  <c r="I187" i="5"/>
  <c r="J187" i="5"/>
  <c r="K187" i="5"/>
  <c r="C188" i="5"/>
  <c r="D188" i="5"/>
  <c r="E188" i="5"/>
  <c r="G188" i="5"/>
  <c r="H188" i="5"/>
  <c r="I188" i="5"/>
  <c r="J188" i="5"/>
  <c r="K188" i="5"/>
  <c r="C189" i="5"/>
  <c r="D189" i="5"/>
  <c r="E189" i="5"/>
  <c r="G189" i="5"/>
  <c r="H189" i="5"/>
  <c r="I189" i="5"/>
  <c r="J189" i="5"/>
  <c r="K189" i="5"/>
  <c r="C190" i="5"/>
  <c r="D190" i="5"/>
  <c r="E190" i="5"/>
  <c r="G190" i="5"/>
  <c r="H190" i="5"/>
  <c r="I190" i="5"/>
  <c r="J190" i="5"/>
  <c r="K190" i="5"/>
  <c r="C191" i="5"/>
  <c r="D191" i="5"/>
  <c r="E191" i="5"/>
  <c r="G191" i="5"/>
  <c r="H191" i="5"/>
  <c r="I191" i="5"/>
  <c r="J191" i="5"/>
  <c r="K191" i="5"/>
  <c r="C192" i="5"/>
  <c r="D192" i="5"/>
  <c r="E192" i="5"/>
  <c r="G192" i="5"/>
  <c r="H192" i="5"/>
  <c r="I192" i="5"/>
  <c r="J192" i="5"/>
  <c r="K192" i="5"/>
  <c r="C193" i="5"/>
  <c r="D193" i="5"/>
  <c r="E193" i="5"/>
  <c r="G193" i="5"/>
  <c r="H193" i="5"/>
  <c r="I193" i="5"/>
  <c r="J193" i="5"/>
  <c r="K193" i="5"/>
  <c r="C194" i="5"/>
  <c r="D194" i="5"/>
  <c r="E194" i="5"/>
  <c r="G194" i="5"/>
  <c r="H194" i="5"/>
  <c r="I194" i="5"/>
  <c r="J194" i="5"/>
  <c r="K194" i="5"/>
  <c r="C195" i="5"/>
  <c r="D195" i="5"/>
  <c r="E195" i="5"/>
  <c r="G195" i="5"/>
  <c r="H195" i="5"/>
  <c r="I195" i="5"/>
  <c r="J195" i="5"/>
  <c r="K195" i="5"/>
  <c r="C196" i="5"/>
  <c r="D196" i="5"/>
  <c r="E196" i="5"/>
  <c r="G196" i="5"/>
  <c r="H196" i="5"/>
  <c r="I196" i="5"/>
  <c r="J196" i="5"/>
  <c r="K196" i="5"/>
  <c r="C197" i="5"/>
  <c r="D197" i="5"/>
  <c r="E197" i="5"/>
  <c r="G197" i="5"/>
  <c r="H197" i="5"/>
  <c r="I197" i="5"/>
  <c r="J197" i="5"/>
  <c r="K197" i="5"/>
  <c r="C198" i="5"/>
  <c r="D198" i="5"/>
  <c r="E198" i="5"/>
  <c r="G198" i="5"/>
  <c r="H198" i="5"/>
  <c r="I198" i="5"/>
  <c r="J198" i="5"/>
  <c r="K198" i="5"/>
  <c r="C199" i="5"/>
  <c r="D199" i="5"/>
  <c r="E199" i="5"/>
  <c r="G199" i="5"/>
  <c r="H199" i="5"/>
  <c r="I199" i="5"/>
  <c r="J199" i="5"/>
  <c r="K199" i="5"/>
  <c r="C200" i="5"/>
  <c r="D200" i="5"/>
  <c r="E200" i="5"/>
  <c r="G200" i="5"/>
  <c r="H200" i="5"/>
  <c r="I200" i="5"/>
  <c r="J200" i="5"/>
  <c r="K200" i="5"/>
  <c r="C201" i="5"/>
  <c r="D201" i="5"/>
  <c r="E201" i="5"/>
  <c r="G201" i="5"/>
  <c r="H201" i="5"/>
  <c r="I201" i="5"/>
  <c r="J201" i="5"/>
  <c r="K201" i="5"/>
  <c r="C202" i="5"/>
  <c r="D202" i="5"/>
  <c r="E202" i="5"/>
  <c r="G202" i="5"/>
  <c r="H202" i="5"/>
  <c r="I202" i="5"/>
  <c r="J202" i="5"/>
  <c r="K202" i="5"/>
  <c r="C203" i="5"/>
  <c r="D203" i="5"/>
  <c r="E203" i="5"/>
  <c r="G203" i="5"/>
  <c r="H203" i="5"/>
  <c r="I203" i="5"/>
  <c r="J203" i="5"/>
  <c r="K203" i="5"/>
  <c r="C204" i="5"/>
  <c r="D204" i="5"/>
  <c r="E204" i="5"/>
  <c r="G204" i="5"/>
  <c r="H204" i="5"/>
  <c r="I204" i="5"/>
  <c r="J204" i="5"/>
  <c r="K204" i="5"/>
  <c r="C205" i="5"/>
  <c r="D205" i="5"/>
  <c r="E205" i="5"/>
  <c r="G205" i="5"/>
  <c r="H205" i="5"/>
  <c r="I205" i="5"/>
  <c r="J205" i="5"/>
  <c r="K205" i="5"/>
  <c r="C206" i="5"/>
  <c r="D206" i="5"/>
  <c r="E206" i="5"/>
  <c r="G206" i="5"/>
  <c r="H206" i="5"/>
  <c r="I206" i="5"/>
  <c r="J206" i="5"/>
  <c r="K206" i="5"/>
  <c r="C207" i="5"/>
  <c r="D207" i="5"/>
  <c r="E207" i="5"/>
  <c r="G207" i="5"/>
  <c r="H207" i="5"/>
  <c r="I207" i="5"/>
  <c r="J207" i="5"/>
  <c r="K207" i="5"/>
  <c r="C208" i="5"/>
  <c r="D208" i="5"/>
  <c r="E208" i="5"/>
  <c r="G208" i="5"/>
  <c r="H208" i="5"/>
  <c r="I208" i="5"/>
  <c r="J208" i="5"/>
  <c r="K208" i="5"/>
  <c r="C209" i="5"/>
  <c r="D209" i="5"/>
  <c r="E209" i="5"/>
  <c r="G209" i="5"/>
  <c r="H209" i="5"/>
  <c r="I209" i="5"/>
  <c r="J209" i="5"/>
  <c r="K209" i="5"/>
  <c r="C210" i="5"/>
  <c r="D210" i="5"/>
  <c r="E210" i="5"/>
  <c r="G210" i="5"/>
  <c r="H210" i="5"/>
  <c r="I210" i="5"/>
  <c r="J210" i="5"/>
  <c r="K210" i="5"/>
  <c r="C211" i="5"/>
  <c r="D211" i="5"/>
  <c r="E211" i="5"/>
  <c r="G211" i="5"/>
  <c r="H211" i="5"/>
  <c r="I211" i="5"/>
  <c r="J211" i="5"/>
  <c r="K211" i="5"/>
  <c r="C212" i="5"/>
  <c r="D212" i="5"/>
  <c r="E212" i="5"/>
  <c r="G212" i="5"/>
  <c r="H212" i="5"/>
  <c r="I212" i="5"/>
  <c r="J212" i="5"/>
  <c r="K212" i="5"/>
  <c r="C213" i="5"/>
  <c r="D213" i="5"/>
  <c r="E213" i="5"/>
  <c r="G213" i="5"/>
  <c r="H213" i="5"/>
  <c r="I213" i="5"/>
  <c r="J213" i="5"/>
  <c r="K213" i="5"/>
  <c r="C214" i="5"/>
  <c r="D214" i="5"/>
  <c r="E214" i="5"/>
  <c r="G214" i="5"/>
  <c r="H214" i="5"/>
  <c r="I214" i="5"/>
  <c r="J214" i="5"/>
  <c r="K214" i="5"/>
  <c r="C215" i="5"/>
  <c r="D215" i="5"/>
  <c r="E215" i="5"/>
  <c r="G215" i="5"/>
  <c r="H215" i="5"/>
  <c r="I215" i="5"/>
  <c r="J215" i="5"/>
  <c r="K215" i="5"/>
  <c r="C216" i="5"/>
  <c r="D216" i="5"/>
  <c r="E216" i="5"/>
  <c r="G216" i="5"/>
  <c r="H216" i="5"/>
  <c r="I216" i="5"/>
  <c r="J216" i="5"/>
  <c r="K216" i="5"/>
  <c r="C217" i="5"/>
  <c r="D217" i="5"/>
  <c r="E217" i="5"/>
  <c r="G217" i="5"/>
  <c r="H217" i="5"/>
  <c r="I217" i="5"/>
  <c r="J217" i="5"/>
  <c r="K217" i="5"/>
  <c r="C218" i="5"/>
  <c r="D218" i="5"/>
  <c r="E218" i="5"/>
  <c r="G218" i="5"/>
  <c r="H218" i="5"/>
  <c r="I218" i="5"/>
  <c r="J218" i="5"/>
  <c r="K218" i="5"/>
  <c r="C219" i="5"/>
  <c r="D219" i="5"/>
  <c r="E219" i="5"/>
  <c r="G219" i="5"/>
  <c r="H219" i="5"/>
  <c r="I219" i="5"/>
  <c r="J219" i="5"/>
  <c r="K219" i="5"/>
  <c r="C220" i="5"/>
  <c r="D220" i="5"/>
  <c r="E220" i="5"/>
  <c r="G220" i="5"/>
  <c r="H220" i="5"/>
  <c r="I220" i="5"/>
  <c r="J220" i="5"/>
  <c r="K220" i="5"/>
  <c r="C221" i="5"/>
  <c r="D221" i="5"/>
  <c r="E221" i="5"/>
  <c r="G221" i="5"/>
  <c r="H221" i="5"/>
  <c r="I221" i="5"/>
  <c r="J221" i="5"/>
  <c r="K221" i="5"/>
  <c r="C222" i="5"/>
  <c r="D222" i="5"/>
  <c r="E222" i="5"/>
  <c r="G222" i="5"/>
  <c r="H222" i="5"/>
  <c r="I222" i="5"/>
  <c r="J222" i="5"/>
  <c r="K222" i="5"/>
  <c r="C223" i="5"/>
  <c r="D223" i="5"/>
  <c r="E223" i="5"/>
  <c r="G223" i="5"/>
  <c r="H223" i="5"/>
  <c r="I223" i="5"/>
  <c r="J223" i="5"/>
  <c r="K223" i="5"/>
  <c r="C224" i="5"/>
  <c r="D224" i="5"/>
  <c r="E224" i="5"/>
  <c r="G224" i="5"/>
  <c r="H224" i="5"/>
  <c r="I224" i="5"/>
  <c r="J224" i="5"/>
  <c r="K224" i="5"/>
  <c r="C225" i="5"/>
  <c r="D225" i="5"/>
  <c r="E225" i="5"/>
  <c r="G225" i="5"/>
  <c r="H225" i="5"/>
  <c r="I225" i="5"/>
  <c r="J225" i="5"/>
  <c r="K225" i="5"/>
  <c r="C226" i="5"/>
  <c r="D226" i="5"/>
  <c r="E226" i="5"/>
  <c r="G226" i="5"/>
  <c r="H226" i="5"/>
  <c r="I226" i="5"/>
  <c r="J226" i="5"/>
  <c r="K226" i="5"/>
  <c r="C227" i="5"/>
  <c r="D227" i="5"/>
  <c r="E227" i="5"/>
  <c r="G227" i="5"/>
  <c r="H227" i="5"/>
  <c r="I227" i="5"/>
  <c r="J227" i="5"/>
  <c r="K227" i="5"/>
  <c r="C228" i="5"/>
  <c r="D228" i="5"/>
  <c r="E228" i="5"/>
  <c r="G228" i="5"/>
  <c r="H228" i="5"/>
  <c r="I228" i="5"/>
  <c r="J228" i="5"/>
  <c r="K228" i="5"/>
  <c r="C229" i="5"/>
  <c r="D229" i="5"/>
  <c r="E229" i="5"/>
  <c r="G229" i="5"/>
  <c r="H229" i="5"/>
  <c r="I229" i="5"/>
  <c r="J229" i="5"/>
  <c r="K229" i="5"/>
  <c r="C230" i="5"/>
  <c r="D230" i="5"/>
  <c r="E230" i="5"/>
  <c r="G230" i="5"/>
  <c r="H230" i="5"/>
  <c r="I230" i="5"/>
  <c r="J230" i="5"/>
  <c r="K230" i="5"/>
  <c r="C231" i="5"/>
  <c r="D231" i="5"/>
  <c r="E231" i="5"/>
  <c r="G231" i="5"/>
  <c r="H231" i="5"/>
  <c r="I231" i="5"/>
  <c r="J231" i="5"/>
  <c r="K231" i="5"/>
  <c r="C232" i="5"/>
  <c r="D232" i="5"/>
  <c r="E232" i="5"/>
  <c r="G232" i="5"/>
  <c r="H232" i="5"/>
  <c r="I232" i="5"/>
  <c r="J232" i="5"/>
  <c r="K232" i="5"/>
  <c r="C233" i="5"/>
  <c r="D233" i="5"/>
  <c r="E233" i="5"/>
  <c r="G233" i="5"/>
  <c r="H233" i="5"/>
  <c r="I233" i="5"/>
  <c r="J233" i="5"/>
  <c r="K233" i="5"/>
  <c r="C234" i="5"/>
  <c r="D234" i="5"/>
  <c r="E234" i="5"/>
  <c r="G234" i="5"/>
  <c r="H234" i="5"/>
  <c r="I234" i="5"/>
  <c r="J234" i="5"/>
  <c r="K234" i="5"/>
  <c r="C235" i="5"/>
  <c r="D235" i="5"/>
  <c r="E235" i="5"/>
  <c r="G235" i="5"/>
  <c r="H235" i="5"/>
  <c r="I235" i="5"/>
  <c r="J235" i="5"/>
  <c r="K235" i="5"/>
  <c r="C236" i="5"/>
  <c r="D236" i="5"/>
  <c r="E236" i="5"/>
  <c r="G236" i="5"/>
  <c r="H236" i="5"/>
  <c r="I236" i="5"/>
  <c r="J236" i="5"/>
  <c r="K236" i="5"/>
  <c r="C237" i="5"/>
  <c r="D237" i="5"/>
  <c r="E237" i="5"/>
  <c r="G237" i="5"/>
  <c r="H237" i="5"/>
  <c r="I237" i="5"/>
  <c r="J237" i="5"/>
  <c r="K237" i="5"/>
  <c r="C238" i="5"/>
  <c r="D238" i="5"/>
  <c r="E238" i="5"/>
  <c r="G238" i="5"/>
  <c r="H238" i="5"/>
  <c r="I238" i="5"/>
  <c r="J238" i="5"/>
  <c r="K238" i="5"/>
  <c r="C239" i="5"/>
  <c r="D239" i="5"/>
  <c r="E239" i="5"/>
  <c r="G239" i="5"/>
  <c r="H239" i="5"/>
  <c r="I239" i="5"/>
  <c r="J239" i="5"/>
  <c r="K239" i="5"/>
  <c r="C240" i="5"/>
  <c r="D240" i="5"/>
  <c r="E240" i="5"/>
  <c r="G240" i="5"/>
  <c r="H240" i="5"/>
  <c r="I240" i="5"/>
  <c r="J240" i="5"/>
  <c r="K240" i="5"/>
  <c r="C241" i="5"/>
  <c r="D241" i="5"/>
  <c r="E241" i="5"/>
  <c r="G241" i="5"/>
  <c r="H241" i="5"/>
  <c r="I241" i="5"/>
  <c r="J241" i="5"/>
  <c r="K241" i="5"/>
  <c r="C242" i="5"/>
  <c r="D242" i="5"/>
  <c r="E242" i="5"/>
  <c r="G242" i="5"/>
  <c r="H242" i="5"/>
  <c r="I242" i="5"/>
  <c r="J242" i="5"/>
  <c r="K242" i="5"/>
  <c r="C243" i="5"/>
  <c r="D243" i="5"/>
  <c r="E243" i="5"/>
  <c r="G243" i="5"/>
  <c r="H243" i="5"/>
  <c r="I243" i="5"/>
  <c r="J243" i="5"/>
  <c r="K243" i="5"/>
  <c r="C244" i="5"/>
  <c r="D244" i="5"/>
  <c r="E244" i="5"/>
  <c r="G244" i="5"/>
  <c r="H244" i="5"/>
  <c r="I244" i="5"/>
  <c r="J244" i="5"/>
  <c r="K244" i="5"/>
  <c r="C245" i="5"/>
  <c r="D245" i="5"/>
  <c r="E245" i="5"/>
  <c r="G245" i="5"/>
  <c r="H245" i="5"/>
  <c r="I245" i="5"/>
  <c r="J245" i="5"/>
  <c r="K245" i="5"/>
  <c r="C246" i="5"/>
  <c r="D246" i="5"/>
  <c r="E246" i="5"/>
  <c r="G246" i="5"/>
  <c r="H246" i="5"/>
  <c r="I246" i="5"/>
  <c r="J246" i="5"/>
  <c r="K246" i="5"/>
  <c r="C247" i="5"/>
  <c r="D247" i="5"/>
  <c r="E247" i="5"/>
  <c r="G247" i="5"/>
  <c r="H247" i="5"/>
  <c r="I247" i="5"/>
  <c r="J247" i="5"/>
  <c r="K247" i="5"/>
  <c r="C248" i="5"/>
  <c r="D248" i="5"/>
  <c r="E248" i="5"/>
  <c r="G248" i="5"/>
  <c r="H248" i="5"/>
  <c r="I248" i="5"/>
  <c r="J248" i="5"/>
  <c r="K248" i="5"/>
  <c r="C249" i="5"/>
  <c r="D249" i="5"/>
  <c r="E249" i="5"/>
  <c r="G249" i="5"/>
  <c r="H249" i="5"/>
  <c r="I249" i="5"/>
  <c r="J249" i="5"/>
  <c r="K249" i="5"/>
  <c r="C250" i="5"/>
  <c r="D250" i="5"/>
  <c r="E250" i="5"/>
  <c r="G250" i="5"/>
  <c r="H250" i="5"/>
  <c r="I250" i="5"/>
  <c r="J250" i="5"/>
  <c r="K250" i="5"/>
  <c r="C251" i="5"/>
  <c r="D251" i="5"/>
  <c r="E251" i="5"/>
  <c r="G251" i="5"/>
  <c r="H251" i="5"/>
  <c r="I251" i="5"/>
  <c r="J251" i="5"/>
  <c r="K251" i="5"/>
  <c r="C252" i="5"/>
  <c r="D252" i="5"/>
  <c r="E252" i="5"/>
  <c r="G252" i="5"/>
  <c r="H252" i="5"/>
  <c r="I252" i="5"/>
  <c r="J252" i="5"/>
  <c r="K252" i="5"/>
  <c r="C253" i="5"/>
  <c r="D253" i="5"/>
  <c r="E253" i="5"/>
  <c r="G253" i="5"/>
  <c r="H253" i="5"/>
  <c r="I253" i="5"/>
  <c r="J253" i="5"/>
  <c r="K253" i="5"/>
  <c r="C254" i="5"/>
  <c r="D254" i="5"/>
  <c r="E254" i="5"/>
  <c r="G254" i="5"/>
  <c r="H254" i="5"/>
  <c r="I254" i="5"/>
  <c r="J254" i="5"/>
  <c r="K254" i="5"/>
  <c r="C255" i="5"/>
  <c r="D255" i="5"/>
  <c r="E255" i="5"/>
  <c r="G255" i="5"/>
  <c r="H255" i="5"/>
  <c r="I255" i="5"/>
  <c r="J255" i="5"/>
  <c r="K255" i="5"/>
  <c r="C256" i="5"/>
  <c r="D256" i="5"/>
  <c r="E256" i="5"/>
  <c r="G256" i="5"/>
  <c r="H256" i="5"/>
  <c r="I256" i="5"/>
  <c r="J256" i="5"/>
  <c r="K256" i="5"/>
  <c r="C257" i="5"/>
  <c r="D257" i="5"/>
  <c r="E257" i="5"/>
  <c r="G257" i="5"/>
  <c r="H257" i="5"/>
  <c r="I257" i="5"/>
  <c r="J257" i="5"/>
  <c r="K257" i="5"/>
  <c r="C258" i="5"/>
  <c r="D258" i="5"/>
  <c r="E258" i="5"/>
  <c r="G258" i="5"/>
  <c r="H258" i="5"/>
  <c r="I258" i="5"/>
  <c r="J258" i="5"/>
  <c r="K258" i="5"/>
  <c r="C259" i="5"/>
  <c r="D259" i="5"/>
  <c r="E259" i="5"/>
  <c r="G259" i="5"/>
  <c r="H259" i="5"/>
  <c r="I259" i="5"/>
  <c r="J259" i="5"/>
  <c r="K259" i="5"/>
  <c r="C260" i="5"/>
  <c r="D260" i="5"/>
  <c r="E260" i="5"/>
  <c r="G260" i="5"/>
  <c r="H260" i="5"/>
  <c r="I260" i="5"/>
  <c r="J260" i="5"/>
  <c r="K260" i="5"/>
  <c r="C261" i="5"/>
  <c r="D261" i="5"/>
  <c r="E261" i="5"/>
  <c r="G261" i="5"/>
  <c r="H261" i="5"/>
  <c r="I261" i="5"/>
  <c r="J261" i="5"/>
  <c r="K261" i="5"/>
  <c r="C262" i="5"/>
  <c r="D262" i="5"/>
  <c r="E262" i="5"/>
  <c r="G262" i="5"/>
  <c r="H262" i="5"/>
  <c r="I262" i="5"/>
  <c r="J262" i="5"/>
  <c r="K262" i="5"/>
  <c r="C263" i="5"/>
  <c r="D263" i="5"/>
  <c r="E263" i="5"/>
  <c r="G263" i="5"/>
  <c r="H263" i="5"/>
  <c r="I263" i="5"/>
  <c r="J263" i="5"/>
  <c r="K263" i="5"/>
  <c r="C264" i="5"/>
  <c r="D264" i="5"/>
  <c r="E264" i="5"/>
  <c r="G264" i="5"/>
  <c r="H264" i="5"/>
  <c r="I264" i="5"/>
  <c r="J264" i="5"/>
  <c r="K264" i="5"/>
  <c r="C265" i="5"/>
  <c r="D265" i="5"/>
  <c r="E265" i="5"/>
  <c r="G265" i="5"/>
  <c r="H265" i="5"/>
  <c r="I265" i="5"/>
  <c r="J265" i="5"/>
  <c r="K265" i="5"/>
  <c r="C266" i="5"/>
  <c r="D266" i="5"/>
  <c r="E266" i="5"/>
  <c r="G266" i="5"/>
  <c r="H266" i="5"/>
  <c r="I266" i="5"/>
  <c r="J266" i="5"/>
  <c r="K266" i="5"/>
  <c r="C267" i="5"/>
  <c r="D267" i="5"/>
  <c r="E267" i="5"/>
  <c r="G267" i="5"/>
  <c r="H267" i="5"/>
  <c r="I267" i="5"/>
  <c r="J267" i="5"/>
  <c r="K267" i="5"/>
  <c r="C268" i="5"/>
  <c r="D268" i="5"/>
  <c r="E268" i="5"/>
  <c r="G268" i="5"/>
  <c r="H268" i="5"/>
  <c r="I268" i="5"/>
  <c r="J268" i="5"/>
  <c r="K268" i="5"/>
  <c r="C269" i="5"/>
  <c r="D269" i="5"/>
  <c r="E269" i="5"/>
  <c r="G269" i="5"/>
  <c r="H269" i="5"/>
  <c r="I269" i="5"/>
  <c r="J269" i="5"/>
  <c r="K269" i="5"/>
  <c r="C270" i="5"/>
  <c r="D270" i="5"/>
  <c r="E270" i="5"/>
  <c r="G270" i="5"/>
  <c r="H270" i="5"/>
  <c r="I270" i="5"/>
  <c r="J270" i="5"/>
  <c r="K270" i="5"/>
  <c r="C271" i="5"/>
  <c r="D271" i="5"/>
  <c r="E271" i="5"/>
  <c r="G271" i="5"/>
  <c r="H271" i="5"/>
  <c r="I271" i="5"/>
  <c r="J271" i="5"/>
  <c r="K271" i="5"/>
  <c r="C272" i="5"/>
  <c r="D272" i="5"/>
  <c r="E272" i="5"/>
  <c r="G272" i="5"/>
  <c r="H272" i="5"/>
  <c r="I272" i="5"/>
  <c r="J272" i="5"/>
  <c r="K272" i="5"/>
  <c r="C273" i="5"/>
  <c r="D273" i="5"/>
  <c r="E273" i="5"/>
  <c r="G273" i="5"/>
  <c r="H273" i="5"/>
  <c r="I273" i="5"/>
  <c r="J273" i="5"/>
  <c r="K273" i="5"/>
  <c r="C274" i="5"/>
  <c r="D274" i="5"/>
  <c r="E274" i="5"/>
  <c r="G274" i="5"/>
  <c r="H274" i="5"/>
  <c r="I274" i="5"/>
  <c r="J274" i="5"/>
  <c r="K274" i="5"/>
  <c r="C275" i="5"/>
  <c r="D275" i="5"/>
  <c r="E275" i="5"/>
  <c r="G275" i="5"/>
  <c r="H275" i="5"/>
  <c r="I275" i="5"/>
  <c r="J275" i="5"/>
  <c r="K275" i="5"/>
  <c r="C276" i="5"/>
  <c r="D276" i="5"/>
  <c r="E276" i="5"/>
  <c r="G276" i="5"/>
  <c r="H276" i="5"/>
  <c r="I276" i="5"/>
  <c r="J276" i="5"/>
  <c r="K276" i="5"/>
  <c r="C277" i="5"/>
  <c r="D277" i="5"/>
  <c r="E277" i="5"/>
  <c r="G277" i="5"/>
  <c r="H277" i="5"/>
  <c r="I277" i="5"/>
  <c r="J277" i="5"/>
  <c r="K277" i="5"/>
  <c r="C278" i="5"/>
  <c r="D278" i="5"/>
  <c r="E278" i="5"/>
  <c r="G278" i="5"/>
  <c r="H278" i="5"/>
  <c r="I278" i="5"/>
  <c r="J278" i="5"/>
  <c r="K278" i="5"/>
  <c r="C279" i="5"/>
  <c r="D279" i="5"/>
  <c r="E279" i="5"/>
  <c r="G279" i="5"/>
  <c r="H279" i="5"/>
  <c r="I279" i="5"/>
  <c r="J279" i="5"/>
  <c r="K279" i="5"/>
  <c r="C280" i="5"/>
  <c r="D280" i="5"/>
  <c r="E280" i="5"/>
  <c r="G280" i="5"/>
  <c r="H280" i="5"/>
  <c r="I280" i="5"/>
  <c r="J280" i="5"/>
  <c r="K280" i="5"/>
  <c r="C281" i="5"/>
  <c r="D281" i="5"/>
  <c r="E281" i="5"/>
  <c r="G281" i="5"/>
  <c r="H281" i="5"/>
  <c r="I281" i="5"/>
  <c r="J281" i="5"/>
  <c r="K281" i="5"/>
  <c r="C282" i="5"/>
  <c r="D282" i="5"/>
  <c r="E282" i="5"/>
  <c r="G282" i="5"/>
  <c r="H282" i="5"/>
  <c r="I282" i="5"/>
  <c r="J282" i="5"/>
  <c r="K282" i="5"/>
  <c r="C283" i="5"/>
  <c r="D283" i="5"/>
  <c r="E283" i="5"/>
  <c r="G283" i="5"/>
  <c r="H283" i="5"/>
  <c r="I283" i="5"/>
  <c r="J283" i="5"/>
  <c r="K283" i="5"/>
  <c r="C284" i="5"/>
  <c r="D284" i="5"/>
  <c r="E284" i="5"/>
  <c r="G284" i="5"/>
  <c r="H284" i="5"/>
  <c r="I284" i="5"/>
  <c r="J284" i="5"/>
  <c r="K284" i="5"/>
  <c r="C285" i="5"/>
  <c r="D285" i="5"/>
  <c r="E285" i="5"/>
  <c r="G285" i="5"/>
  <c r="H285" i="5"/>
  <c r="I285" i="5"/>
  <c r="J285" i="5"/>
  <c r="K285" i="5"/>
  <c r="C286" i="5"/>
  <c r="D286" i="5"/>
  <c r="E286" i="5"/>
  <c r="G286" i="5"/>
  <c r="H286" i="5"/>
  <c r="I286" i="5"/>
  <c r="J286" i="5"/>
  <c r="K286" i="5"/>
  <c r="C287" i="5"/>
  <c r="D287" i="5"/>
  <c r="E287" i="5"/>
  <c r="G287" i="5"/>
  <c r="H287" i="5"/>
  <c r="I287" i="5"/>
  <c r="J287" i="5"/>
  <c r="K287" i="5"/>
  <c r="C288" i="5"/>
  <c r="D288" i="5"/>
  <c r="E288" i="5"/>
  <c r="G288" i="5"/>
  <c r="H288" i="5"/>
  <c r="I288" i="5"/>
  <c r="J288" i="5"/>
  <c r="K288" i="5"/>
  <c r="C289" i="5"/>
  <c r="D289" i="5"/>
  <c r="E289" i="5"/>
  <c r="G289" i="5"/>
  <c r="H289" i="5"/>
  <c r="I289" i="5"/>
  <c r="J289" i="5"/>
  <c r="K289" i="5"/>
  <c r="C290" i="5"/>
  <c r="D290" i="5"/>
  <c r="E290" i="5"/>
  <c r="G290" i="5"/>
  <c r="H290" i="5"/>
  <c r="I290" i="5"/>
  <c r="J290" i="5"/>
  <c r="K290" i="5"/>
  <c r="C291" i="5"/>
  <c r="D291" i="5"/>
  <c r="E291" i="5"/>
  <c r="G291" i="5"/>
  <c r="H291" i="5"/>
  <c r="I291" i="5"/>
  <c r="J291" i="5"/>
  <c r="K291" i="5"/>
  <c r="C292" i="5"/>
  <c r="D292" i="5"/>
  <c r="E292" i="5"/>
  <c r="G292" i="5"/>
  <c r="H292" i="5"/>
  <c r="I292" i="5"/>
  <c r="J292" i="5"/>
  <c r="K292" i="5"/>
  <c r="C293" i="5"/>
  <c r="D293" i="5"/>
  <c r="E293" i="5"/>
  <c r="G293" i="5"/>
  <c r="H293" i="5"/>
  <c r="I293" i="5"/>
  <c r="J293" i="5"/>
  <c r="K293" i="5"/>
  <c r="C294" i="5"/>
  <c r="D294" i="5"/>
  <c r="E294" i="5"/>
  <c r="G294" i="5"/>
  <c r="H294" i="5"/>
  <c r="I294" i="5"/>
  <c r="J294" i="5"/>
  <c r="K294" i="5"/>
  <c r="C295" i="5"/>
  <c r="D295" i="5"/>
  <c r="E295" i="5"/>
  <c r="G295" i="5"/>
  <c r="H295" i="5"/>
  <c r="I295" i="5"/>
  <c r="J295" i="5"/>
  <c r="K295" i="5"/>
  <c r="C296" i="5"/>
  <c r="D296" i="5"/>
  <c r="E296" i="5"/>
  <c r="G296" i="5"/>
  <c r="H296" i="5"/>
  <c r="I296" i="5"/>
  <c r="J296" i="5"/>
  <c r="K296" i="5"/>
  <c r="C297" i="5"/>
  <c r="D297" i="5"/>
  <c r="E297" i="5"/>
  <c r="G297" i="5"/>
  <c r="H297" i="5"/>
  <c r="I297" i="5"/>
  <c r="J297" i="5"/>
  <c r="K297" i="5"/>
  <c r="C298" i="5"/>
  <c r="D298" i="5"/>
  <c r="E298" i="5"/>
  <c r="G298" i="5"/>
  <c r="H298" i="5"/>
  <c r="I298" i="5"/>
  <c r="J298" i="5"/>
  <c r="K298" i="5"/>
  <c r="C299" i="5"/>
  <c r="D299" i="5"/>
  <c r="E299" i="5"/>
  <c r="G299" i="5"/>
  <c r="H299" i="5"/>
  <c r="I299" i="5"/>
  <c r="J299" i="5"/>
  <c r="K299" i="5"/>
  <c r="C300" i="5"/>
  <c r="D300" i="5"/>
  <c r="E300" i="5"/>
  <c r="G300" i="5"/>
  <c r="H300" i="5"/>
  <c r="I300" i="5"/>
  <c r="J300" i="5"/>
  <c r="K300" i="5"/>
  <c r="C301" i="5"/>
  <c r="D301" i="5"/>
  <c r="E301" i="5"/>
  <c r="G301" i="5"/>
  <c r="H301" i="5"/>
  <c r="I301" i="5"/>
  <c r="J301" i="5"/>
  <c r="K301" i="5"/>
  <c r="C302" i="5"/>
  <c r="D302" i="5"/>
  <c r="E302" i="5"/>
  <c r="G302" i="5"/>
  <c r="H302" i="5"/>
  <c r="I302" i="5"/>
  <c r="J302" i="5"/>
  <c r="K302" i="5"/>
  <c r="C303" i="5"/>
  <c r="D303" i="5"/>
  <c r="E303" i="5"/>
  <c r="G303" i="5"/>
  <c r="H303" i="5"/>
  <c r="I303" i="5"/>
  <c r="J303" i="5"/>
  <c r="K303" i="5"/>
  <c r="C304" i="5"/>
  <c r="D304" i="5"/>
  <c r="E304" i="5"/>
  <c r="G304" i="5"/>
  <c r="H304" i="5"/>
  <c r="I304" i="5"/>
  <c r="J304" i="5"/>
  <c r="K304" i="5"/>
  <c r="C305" i="5"/>
  <c r="D305" i="5"/>
  <c r="E305" i="5"/>
  <c r="G305" i="5"/>
  <c r="H305" i="5"/>
  <c r="I305" i="5"/>
  <c r="J305" i="5"/>
  <c r="K305" i="5"/>
  <c r="C306" i="5"/>
  <c r="D306" i="5"/>
  <c r="E306" i="5"/>
  <c r="G306" i="5"/>
  <c r="H306" i="5"/>
  <c r="I306" i="5"/>
  <c r="J306" i="5"/>
  <c r="K306" i="5"/>
  <c r="C307" i="5"/>
  <c r="D307" i="5"/>
  <c r="E307" i="5"/>
  <c r="G307" i="5"/>
  <c r="H307" i="5"/>
  <c r="I307" i="5"/>
  <c r="J307" i="5"/>
  <c r="K307" i="5"/>
  <c r="C308" i="5"/>
  <c r="D308" i="5"/>
  <c r="E308" i="5"/>
  <c r="G308" i="5"/>
  <c r="H308" i="5"/>
  <c r="I308" i="5"/>
  <c r="J308" i="5"/>
  <c r="K308" i="5"/>
  <c r="C309" i="5"/>
  <c r="D309" i="5"/>
  <c r="E309" i="5"/>
  <c r="G309" i="5"/>
  <c r="H309" i="5"/>
  <c r="I309" i="5"/>
  <c r="J309" i="5"/>
  <c r="K309" i="5"/>
  <c r="C310" i="5"/>
  <c r="D310" i="5"/>
  <c r="E310" i="5"/>
  <c r="G310" i="5"/>
  <c r="H310" i="5"/>
  <c r="I310" i="5"/>
  <c r="J310" i="5"/>
  <c r="K310" i="5"/>
  <c r="C311" i="5"/>
  <c r="D311" i="5"/>
  <c r="E311" i="5"/>
  <c r="G311" i="5"/>
  <c r="H311" i="5"/>
  <c r="I311" i="5"/>
  <c r="J311" i="5"/>
  <c r="K311" i="5"/>
  <c r="C312" i="5"/>
  <c r="D312" i="5"/>
  <c r="E312" i="5"/>
  <c r="G312" i="5"/>
  <c r="H312" i="5"/>
  <c r="I312" i="5"/>
  <c r="J312" i="5"/>
  <c r="K312" i="5"/>
  <c r="C313" i="5"/>
  <c r="D313" i="5"/>
  <c r="E313" i="5"/>
  <c r="G313" i="5"/>
  <c r="H313" i="5"/>
  <c r="I313" i="5"/>
  <c r="J313" i="5"/>
  <c r="K313" i="5"/>
  <c r="C314" i="5"/>
  <c r="D314" i="5"/>
  <c r="E314" i="5"/>
  <c r="G314" i="5"/>
  <c r="H314" i="5"/>
  <c r="I314" i="5"/>
  <c r="J314" i="5"/>
  <c r="K314" i="5"/>
  <c r="C315" i="5"/>
  <c r="D315" i="5"/>
  <c r="E315" i="5"/>
  <c r="G315" i="5"/>
  <c r="H315" i="5"/>
  <c r="I315" i="5"/>
  <c r="J315" i="5"/>
  <c r="K315" i="5"/>
  <c r="C316" i="5"/>
  <c r="D316" i="5"/>
  <c r="E316" i="5"/>
  <c r="G316" i="5"/>
  <c r="H316" i="5"/>
  <c r="I316" i="5"/>
  <c r="J316" i="5"/>
  <c r="K316" i="5"/>
  <c r="C317" i="5"/>
  <c r="D317" i="5"/>
  <c r="E317" i="5"/>
  <c r="G317" i="5"/>
  <c r="H317" i="5"/>
  <c r="I317" i="5"/>
  <c r="J317" i="5"/>
  <c r="K317" i="5"/>
  <c r="C318" i="5"/>
  <c r="D318" i="5"/>
  <c r="E318" i="5"/>
  <c r="G318" i="5"/>
  <c r="H318" i="5"/>
  <c r="I318" i="5"/>
  <c r="J318" i="5"/>
  <c r="K318" i="5"/>
  <c r="C319" i="5"/>
  <c r="D319" i="5"/>
  <c r="E319" i="5"/>
  <c r="G319" i="5"/>
  <c r="H319" i="5"/>
  <c r="I319" i="5"/>
  <c r="J319" i="5"/>
  <c r="K319" i="5"/>
  <c r="C320" i="5"/>
  <c r="D320" i="5"/>
  <c r="E320" i="5"/>
  <c r="G320" i="5"/>
  <c r="H320" i="5"/>
  <c r="I320" i="5"/>
  <c r="J320" i="5"/>
  <c r="K320" i="5"/>
  <c r="C321" i="5"/>
  <c r="D321" i="5"/>
  <c r="E321" i="5"/>
  <c r="G321" i="5"/>
  <c r="H321" i="5"/>
  <c r="I321" i="5"/>
  <c r="J321" i="5"/>
  <c r="K321" i="5"/>
  <c r="C322" i="5"/>
  <c r="D322" i="5"/>
  <c r="E322" i="5"/>
  <c r="G322" i="5"/>
  <c r="H322" i="5"/>
  <c r="I322" i="5"/>
  <c r="J322" i="5"/>
  <c r="K322" i="5"/>
  <c r="C323" i="5"/>
  <c r="D323" i="5"/>
  <c r="E323" i="5"/>
  <c r="G323" i="5"/>
  <c r="H323" i="5"/>
  <c r="I323" i="5"/>
  <c r="J323" i="5"/>
  <c r="K323" i="5"/>
  <c r="C324" i="5"/>
  <c r="D324" i="5"/>
  <c r="E324" i="5"/>
  <c r="G324" i="5"/>
  <c r="H324" i="5"/>
  <c r="I324" i="5"/>
  <c r="J324" i="5"/>
  <c r="K324" i="5"/>
  <c r="C325" i="5"/>
  <c r="D325" i="5"/>
  <c r="E325" i="5"/>
  <c r="G325" i="5"/>
  <c r="H325" i="5"/>
  <c r="I325" i="5"/>
  <c r="J325" i="5"/>
  <c r="K325" i="5"/>
  <c r="C326" i="5"/>
  <c r="D326" i="5"/>
  <c r="E326" i="5"/>
  <c r="G326" i="5"/>
  <c r="H326" i="5"/>
  <c r="I326" i="5"/>
  <c r="J326" i="5"/>
  <c r="K326" i="5"/>
  <c r="C327" i="5"/>
  <c r="D327" i="5"/>
  <c r="E327" i="5"/>
  <c r="G327" i="5"/>
  <c r="H327" i="5"/>
  <c r="I327" i="5"/>
  <c r="J327" i="5"/>
  <c r="K327" i="5"/>
  <c r="C328" i="5"/>
  <c r="D328" i="5"/>
  <c r="E328" i="5"/>
  <c r="G328" i="5"/>
  <c r="H328" i="5"/>
  <c r="I328" i="5"/>
  <c r="J328" i="5"/>
  <c r="K328" i="5"/>
  <c r="C329" i="5"/>
  <c r="D329" i="5"/>
  <c r="E329" i="5"/>
  <c r="G329" i="5"/>
  <c r="H329" i="5"/>
  <c r="I329" i="5"/>
  <c r="J329" i="5"/>
  <c r="K329" i="5"/>
  <c r="C330" i="5"/>
  <c r="D330" i="5"/>
  <c r="E330" i="5"/>
  <c r="G330" i="5"/>
  <c r="H330" i="5"/>
  <c r="I330" i="5"/>
  <c r="J330" i="5"/>
  <c r="K330" i="5"/>
  <c r="C331" i="5"/>
  <c r="D331" i="5"/>
  <c r="E331" i="5"/>
  <c r="G331" i="5"/>
  <c r="H331" i="5"/>
  <c r="I331" i="5"/>
  <c r="J331" i="5"/>
  <c r="K331" i="5"/>
  <c r="C332" i="5"/>
  <c r="D332" i="5"/>
  <c r="E332" i="5"/>
  <c r="G332" i="5"/>
  <c r="H332" i="5"/>
  <c r="I332" i="5"/>
  <c r="J332" i="5"/>
  <c r="K332" i="5"/>
  <c r="C333" i="5"/>
  <c r="D333" i="5"/>
  <c r="E333" i="5"/>
  <c r="G333" i="5"/>
  <c r="H333" i="5"/>
  <c r="I333" i="5"/>
  <c r="J333" i="5"/>
  <c r="K333" i="5"/>
  <c r="C334" i="5"/>
  <c r="D334" i="5"/>
  <c r="E334" i="5"/>
  <c r="G334" i="5"/>
  <c r="H334" i="5"/>
  <c r="I334" i="5"/>
  <c r="J334" i="5"/>
  <c r="K334" i="5"/>
  <c r="C335" i="5"/>
  <c r="D335" i="5"/>
  <c r="E335" i="5"/>
  <c r="G335" i="5"/>
  <c r="H335" i="5"/>
  <c r="I335" i="5"/>
  <c r="J335" i="5"/>
  <c r="K335" i="5"/>
  <c r="C336" i="5"/>
  <c r="D336" i="5"/>
  <c r="E336" i="5"/>
  <c r="G336" i="5"/>
  <c r="H336" i="5"/>
  <c r="I336" i="5"/>
  <c r="J336" i="5"/>
  <c r="K336" i="5"/>
  <c r="C337" i="5"/>
  <c r="D337" i="5"/>
  <c r="E337" i="5"/>
  <c r="G337" i="5"/>
  <c r="H337" i="5"/>
  <c r="I337" i="5"/>
  <c r="J337" i="5"/>
  <c r="K337" i="5"/>
  <c r="C338" i="5"/>
  <c r="D338" i="5"/>
  <c r="E338" i="5"/>
  <c r="G338" i="5"/>
  <c r="H338" i="5"/>
  <c r="I338" i="5"/>
  <c r="J338" i="5"/>
  <c r="K338" i="5"/>
  <c r="C339" i="5"/>
  <c r="D339" i="5"/>
  <c r="E339" i="5"/>
  <c r="G339" i="5"/>
  <c r="H339" i="5"/>
  <c r="I339" i="5"/>
  <c r="J339" i="5"/>
  <c r="K339" i="5"/>
  <c r="C340" i="5"/>
  <c r="D340" i="5"/>
  <c r="E340" i="5"/>
  <c r="G340" i="5"/>
  <c r="H340" i="5"/>
  <c r="I340" i="5"/>
  <c r="J340" i="5"/>
  <c r="K340" i="5"/>
  <c r="C341" i="5"/>
  <c r="D341" i="5"/>
  <c r="E341" i="5"/>
  <c r="G341" i="5"/>
  <c r="H341" i="5"/>
  <c r="I341" i="5"/>
  <c r="J341" i="5"/>
  <c r="K341" i="5"/>
  <c r="C342" i="5"/>
  <c r="D342" i="5"/>
  <c r="E342" i="5"/>
  <c r="G342" i="5"/>
  <c r="H342" i="5"/>
  <c r="I342" i="5"/>
  <c r="J342" i="5"/>
  <c r="K342" i="5"/>
  <c r="C343" i="5"/>
  <c r="D343" i="5"/>
  <c r="E343" i="5"/>
  <c r="G343" i="5"/>
  <c r="H343" i="5"/>
  <c r="I343" i="5"/>
  <c r="J343" i="5"/>
  <c r="K343" i="5"/>
  <c r="C344" i="5"/>
  <c r="D344" i="5"/>
  <c r="E344" i="5"/>
  <c r="G344" i="5"/>
  <c r="H344" i="5"/>
  <c r="I344" i="5"/>
  <c r="J344" i="5"/>
  <c r="K344" i="5"/>
  <c r="C345" i="5"/>
  <c r="D345" i="5"/>
  <c r="E345" i="5"/>
  <c r="G345" i="5"/>
  <c r="H345" i="5"/>
  <c r="I345" i="5"/>
  <c r="J345" i="5"/>
  <c r="K345" i="5"/>
  <c r="C346" i="5"/>
  <c r="D346" i="5"/>
  <c r="E346" i="5"/>
  <c r="G346" i="5"/>
  <c r="H346" i="5"/>
  <c r="I346" i="5"/>
  <c r="J346" i="5"/>
  <c r="K346" i="5"/>
  <c r="C347" i="5"/>
  <c r="D347" i="5"/>
  <c r="E347" i="5"/>
  <c r="G347" i="5"/>
  <c r="H347" i="5"/>
  <c r="I347" i="5"/>
  <c r="J347" i="5"/>
  <c r="K347" i="5"/>
  <c r="C348" i="5"/>
  <c r="D348" i="5"/>
  <c r="E348" i="5"/>
  <c r="G348" i="5"/>
  <c r="H348" i="5"/>
  <c r="I348" i="5"/>
  <c r="J348" i="5"/>
  <c r="K348" i="5"/>
  <c r="C349" i="5"/>
  <c r="D349" i="5"/>
  <c r="E349" i="5"/>
  <c r="G349" i="5"/>
  <c r="H349" i="5"/>
  <c r="I349" i="5"/>
  <c r="J349" i="5"/>
  <c r="K349" i="5"/>
  <c r="C350" i="5"/>
  <c r="D350" i="5"/>
  <c r="E350" i="5"/>
  <c r="G350" i="5"/>
  <c r="H350" i="5"/>
  <c r="I350" i="5"/>
  <c r="J350" i="5"/>
  <c r="K350" i="5"/>
  <c r="C351" i="5"/>
  <c r="D351" i="5"/>
  <c r="E351" i="5"/>
  <c r="G351" i="5"/>
  <c r="H351" i="5"/>
  <c r="I351" i="5"/>
  <c r="J351" i="5"/>
  <c r="K351" i="5"/>
  <c r="C352" i="5"/>
  <c r="D352" i="5"/>
  <c r="E352" i="5"/>
  <c r="G352" i="5"/>
  <c r="H352" i="5"/>
  <c r="I352" i="5"/>
  <c r="J352" i="5"/>
  <c r="K352" i="5"/>
  <c r="C353" i="5"/>
  <c r="D353" i="5"/>
  <c r="E353" i="5"/>
  <c r="G353" i="5"/>
  <c r="H353" i="5"/>
  <c r="I353" i="5"/>
  <c r="J353" i="5"/>
  <c r="K353" i="5"/>
  <c r="C354" i="5"/>
  <c r="D354" i="5"/>
  <c r="E354" i="5"/>
  <c r="G354" i="5"/>
  <c r="H354" i="5"/>
  <c r="I354" i="5"/>
  <c r="J354" i="5"/>
  <c r="K354" i="5"/>
  <c r="C355" i="5"/>
  <c r="D355" i="5"/>
  <c r="E355" i="5"/>
  <c r="G355" i="5"/>
  <c r="H355" i="5"/>
  <c r="I355" i="5"/>
  <c r="J355" i="5"/>
  <c r="K355" i="5"/>
  <c r="C356" i="5"/>
  <c r="D356" i="5"/>
  <c r="E356" i="5"/>
  <c r="G356" i="5"/>
  <c r="H356" i="5"/>
  <c r="I356" i="5"/>
  <c r="J356" i="5"/>
  <c r="K356" i="5"/>
  <c r="C357" i="5"/>
  <c r="D357" i="5"/>
  <c r="E357" i="5"/>
  <c r="G357" i="5"/>
  <c r="H357" i="5"/>
  <c r="I357" i="5"/>
  <c r="J357" i="5"/>
  <c r="K357" i="5"/>
  <c r="C358" i="5"/>
  <c r="D358" i="5"/>
  <c r="E358" i="5"/>
  <c r="G358" i="5"/>
  <c r="H358" i="5"/>
  <c r="I358" i="5"/>
  <c r="J358" i="5"/>
  <c r="K358" i="5"/>
  <c r="C359" i="5"/>
  <c r="D359" i="5"/>
  <c r="E359" i="5"/>
  <c r="G359" i="5"/>
  <c r="H359" i="5"/>
  <c r="I359" i="5"/>
  <c r="J359" i="5"/>
  <c r="K359" i="5"/>
  <c r="C360" i="5"/>
  <c r="D360" i="5"/>
  <c r="E360" i="5"/>
  <c r="G360" i="5"/>
  <c r="H360" i="5"/>
  <c r="I360" i="5"/>
  <c r="J360" i="5"/>
  <c r="K360" i="5"/>
  <c r="C361" i="5"/>
  <c r="D361" i="5"/>
  <c r="E361" i="5"/>
  <c r="G361" i="5"/>
  <c r="H361" i="5"/>
  <c r="I361" i="5"/>
  <c r="J361" i="5"/>
  <c r="K361" i="5"/>
  <c r="C362" i="5"/>
  <c r="D362" i="5"/>
  <c r="E362" i="5"/>
  <c r="G362" i="5"/>
  <c r="H362" i="5"/>
  <c r="I362" i="5"/>
  <c r="J362" i="5"/>
  <c r="K362" i="5"/>
  <c r="C363" i="5"/>
  <c r="D363" i="5"/>
  <c r="E363" i="5"/>
  <c r="G363" i="5"/>
  <c r="H363" i="5"/>
  <c r="I363" i="5"/>
  <c r="J363" i="5"/>
  <c r="K363" i="5"/>
  <c r="C364" i="5"/>
  <c r="D364" i="5"/>
  <c r="E364" i="5"/>
  <c r="G364" i="5"/>
  <c r="H364" i="5"/>
  <c r="I364" i="5"/>
  <c r="J364" i="5"/>
  <c r="K364" i="5"/>
  <c r="C365" i="5"/>
  <c r="D365" i="5"/>
  <c r="E365" i="5"/>
  <c r="G365" i="5"/>
  <c r="H365" i="5"/>
  <c r="I365" i="5"/>
  <c r="J365" i="5"/>
  <c r="K365" i="5"/>
  <c r="C366" i="5"/>
  <c r="D366" i="5"/>
  <c r="E366" i="5"/>
  <c r="G366" i="5"/>
  <c r="H366" i="5"/>
  <c r="I366" i="5"/>
  <c r="J366" i="5"/>
  <c r="K366" i="5"/>
  <c r="O366" i="9"/>
  <c r="N366" i="9"/>
  <c r="I366" i="9"/>
  <c r="H366" i="9"/>
  <c r="G366" i="9"/>
  <c r="F366" i="9"/>
  <c r="E366" i="9"/>
  <c r="D366" i="9"/>
  <c r="C366" i="9"/>
  <c r="O365" i="9"/>
  <c r="N365" i="9"/>
  <c r="I365" i="9"/>
  <c r="H365" i="9"/>
  <c r="G365" i="9"/>
  <c r="F365" i="9"/>
  <c r="E365" i="9"/>
  <c r="D365" i="9"/>
  <c r="C365" i="9"/>
  <c r="O364" i="9"/>
  <c r="N364" i="9"/>
  <c r="I364" i="9"/>
  <c r="H364" i="9"/>
  <c r="G364" i="9"/>
  <c r="F364" i="9"/>
  <c r="E364" i="9"/>
  <c r="D364" i="9"/>
  <c r="C364" i="9"/>
  <c r="O363" i="9"/>
  <c r="N363" i="9"/>
  <c r="I363" i="9"/>
  <c r="H363" i="9"/>
  <c r="G363" i="9"/>
  <c r="F363" i="9"/>
  <c r="E363" i="9"/>
  <c r="D363" i="9"/>
  <c r="C363" i="9"/>
  <c r="O362" i="9"/>
  <c r="N362" i="9"/>
  <c r="I362" i="9"/>
  <c r="H362" i="9"/>
  <c r="G362" i="9"/>
  <c r="F362" i="9"/>
  <c r="E362" i="9"/>
  <c r="D362" i="9"/>
  <c r="C362" i="9"/>
  <c r="O361" i="9"/>
  <c r="N361" i="9"/>
  <c r="I361" i="9"/>
  <c r="H361" i="9"/>
  <c r="G361" i="9"/>
  <c r="F361" i="9"/>
  <c r="E361" i="9"/>
  <c r="D361" i="9"/>
  <c r="C361" i="9"/>
  <c r="O360" i="9"/>
  <c r="N360" i="9"/>
  <c r="I360" i="9"/>
  <c r="H360" i="9"/>
  <c r="G360" i="9"/>
  <c r="F360" i="9"/>
  <c r="E360" i="9"/>
  <c r="D360" i="9"/>
  <c r="C360" i="9"/>
  <c r="O359" i="9"/>
  <c r="N359" i="9"/>
  <c r="I359" i="9"/>
  <c r="H359" i="9"/>
  <c r="G359" i="9"/>
  <c r="F359" i="9"/>
  <c r="E359" i="9"/>
  <c r="D359" i="9"/>
  <c r="C359" i="9"/>
  <c r="O358" i="9"/>
  <c r="N358" i="9"/>
  <c r="I358" i="9"/>
  <c r="H358" i="9"/>
  <c r="G358" i="9"/>
  <c r="F358" i="9"/>
  <c r="E358" i="9"/>
  <c r="D358" i="9"/>
  <c r="C358" i="9"/>
  <c r="O357" i="9"/>
  <c r="N357" i="9"/>
  <c r="I357" i="9"/>
  <c r="H357" i="9"/>
  <c r="G357" i="9"/>
  <c r="F357" i="9"/>
  <c r="E357" i="9"/>
  <c r="D357" i="9"/>
  <c r="C357" i="9"/>
  <c r="O356" i="9"/>
  <c r="N356" i="9"/>
  <c r="I356" i="9"/>
  <c r="H356" i="9"/>
  <c r="G356" i="9"/>
  <c r="F356" i="9"/>
  <c r="E356" i="9"/>
  <c r="D356" i="9"/>
  <c r="C356" i="9"/>
  <c r="O355" i="9"/>
  <c r="N355" i="9"/>
  <c r="I355" i="9"/>
  <c r="H355" i="9"/>
  <c r="G355" i="9"/>
  <c r="F355" i="9"/>
  <c r="E355" i="9"/>
  <c r="D355" i="9"/>
  <c r="C355" i="9"/>
  <c r="O354" i="9"/>
  <c r="N354" i="9"/>
  <c r="I354" i="9"/>
  <c r="H354" i="9"/>
  <c r="G354" i="9"/>
  <c r="F354" i="9"/>
  <c r="E354" i="9"/>
  <c r="D354" i="9"/>
  <c r="C354" i="9"/>
  <c r="O353" i="9"/>
  <c r="N353" i="9"/>
  <c r="I353" i="9"/>
  <c r="H353" i="9"/>
  <c r="G353" i="9"/>
  <c r="F353" i="9"/>
  <c r="E353" i="9"/>
  <c r="D353" i="9"/>
  <c r="C353" i="9"/>
  <c r="O352" i="9"/>
  <c r="N352" i="9"/>
  <c r="I352" i="9"/>
  <c r="H352" i="9"/>
  <c r="G352" i="9"/>
  <c r="F352" i="9"/>
  <c r="E352" i="9"/>
  <c r="D352" i="9"/>
  <c r="C352" i="9"/>
  <c r="O351" i="9"/>
  <c r="N351" i="9"/>
  <c r="I351" i="9"/>
  <c r="H351" i="9"/>
  <c r="G351" i="9"/>
  <c r="F351" i="9"/>
  <c r="E351" i="9"/>
  <c r="D351" i="9"/>
  <c r="C351" i="9"/>
  <c r="O350" i="9"/>
  <c r="N350" i="9"/>
  <c r="I350" i="9"/>
  <c r="H350" i="9"/>
  <c r="G350" i="9"/>
  <c r="F350" i="9"/>
  <c r="E350" i="9"/>
  <c r="D350" i="9"/>
  <c r="C350" i="9"/>
  <c r="O349" i="9"/>
  <c r="N349" i="9"/>
  <c r="I349" i="9"/>
  <c r="H349" i="9"/>
  <c r="G349" i="9"/>
  <c r="F349" i="9"/>
  <c r="E349" i="9"/>
  <c r="D349" i="9"/>
  <c r="C349" i="9"/>
  <c r="O348" i="9"/>
  <c r="N348" i="9"/>
  <c r="I348" i="9"/>
  <c r="H348" i="9"/>
  <c r="G348" i="9"/>
  <c r="F348" i="9"/>
  <c r="E348" i="9"/>
  <c r="D348" i="9"/>
  <c r="C348" i="9"/>
  <c r="O347" i="9"/>
  <c r="N347" i="9"/>
  <c r="I347" i="9"/>
  <c r="H347" i="9"/>
  <c r="G347" i="9"/>
  <c r="F347" i="9"/>
  <c r="E347" i="9"/>
  <c r="D347" i="9"/>
  <c r="C347" i="9"/>
  <c r="O346" i="9"/>
  <c r="N346" i="9"/>
  <c r="I346" i="9"/>
  <c r="H346" i="9"/>
  <c r="G346" i="9"/>
  <c r="F346" i="9"/>
  <c r="E346" i="9"/>
  <c r="D346" i="9"/>
  <c r="C346" i="9"/>
  <c r="O345" i="9"/>
  <c r="N345" i="9"/>
  <c r="I345" i="9"/>
  <c r="H345" i="9"/>
  <c r="G345" i="9"/>
  <c r="F345" i="9"/>
  <c r="E345" i="9"/>
  <c r="D345" i="9"/>
  <c r="C345" i="9"/>
  <c r="O344" i="9"/>
  <c r="N344" i="9"/>
  <c r="I344" i="9"/>
  <c r="H344" i="9"/>
  <c r="G344" i="9"/>
  <c r="F344" i="9"/>
  <c r="E344" i="9"/>
  <c r="D344" i="9"/>
  <c r="C344" i="9"/>
  <c r="O343" i="9"/>
  <c r="N343" i="9"/>
  <c r="I343" i="9"/>
  <c r="H343" i="9"/>
  <c r="G343" i="9"/>
  <c r="F343" i="9"/>
  <c r="E343" i="9"/>
  <c r="D343" i="9"/>
  <c r="C343" i="9"/>
  <c r="O342" i="9"/>
  <c r="N342" i="9"/>
  <c r="I342" i="9"/>
  <c r="H342" i="9"/>
  <c r="G342" i="9"/>
  <c r="F342" i="9"/>
  <c r="E342" i="9"/>
  <c r="D342" i="9"/>
  <c r="C342" i="9"/>
  <c r="O341" i="9"/>
  <c r="N341" i="9"/>
  <c r="I341" i="9"/>
  <c r="H341" i="9"/>
  <c r="G341" i="9"/>
  <c r="F341" i="9"/>
  <c r="E341" i="9"/>
  <c r="D341" i="9"/>
  <c r="C341" i="9"/>
  <c r="O340" i="9"/>
  <c r="N340" i="9"/>
  <c r="I340" i="9"/>
  <c r="H340" i="9"/>
  <c r="G340" i="9"/>
  <c r="F340" i="9"/>
  <c r="E340" i="9"/>
  <c r="D340" i="9"/>
  <c r="C340" i="9"/>
  <c r="O339" i="9"/>
  <c r="N339" i="9"/>
  <c r="I339" i="9"/>
  <c r="H339" i="9"/>
  <c r="G339" i="9"/>
  <c r="F339" i="9"/>
  <c r="E339" i="9"/>
  <c r="D339" i="9"/>
  <c r="C339" i="9"/>
  <c r="O338" i="9"/>
  <c r="N338" i="9"/>
  <c r="I338" i="9"/>
  <c r="H338" i="9"/>
  <c r="G338" i="9"/>
  <c r="F338" i="9"/>
  <c r="E338" i="9"/>
  <c r="D338" i="9"/>
  <c r="C338" i="9"/>
  <c r="O337" i="9"/>
  <c r="N337" i="9"/>
  <c r="I337" i="9"/>
  <c r="H337" i="9"/>
  <c r="G337" i="9"/>
  <c r="F337" i="9"/>
  <c r="E337" i="9"/>
  <c r="D337" i="9"/>
  <c r="C337" i="9"/>
  <c r="O336" i="9"/>
  <c r="N336" i="9"/>
  <c r="I336" i="9"/>
  <c r="H336" i="9"/>
  <c r="G336" i="9"/>
  <c r="F336" i="9"/>
  <c r="E336" i="9"/>
  <c r="D336" i="9"/>
  <c r="C336" i="9"/>
  <c r="O335" i="9"/>
  <c r="N335" i="9"/>
  <c r="I335" i="9"/>
  <c r="H335" i="9"/>
  <c r="G335" i="9"/>
  <c r="F335" i="9"/>
  <c r="E335" i="9"/>
  <c r="D335" i="9"/>
  <c r="C335" i="9"/>
  <c r="O334" i="9"/>
  <c r="N334" i="9"/>
  <c r="I334" i="9"/>
  <c r="H334" i="9"/>
  <c r="G334" i="9"/>
  <c r="F334" i="9"/>
  <c r="E334" i="9"/>
  <c r="D334" i="9"/>
  <c r="C334" i="9"/>
  <c r="O333" i="9"/>
  <c r="N333" i="9"/>
  <c r="I333" i="9"/>
  <c r="H333" i="9"/>
  <c r="G333" i="9"/>
  <c r="F333" i="9"/>
  <c r="E333" i="9"/>
  <c r="D333" i="9"/>
  <c r="C333" i="9"/>
  <c r="O332" i="9"/>
  <c r="N332" i="9"/>
  <c r="I332" i="9"/>
  <c r="H332" i="9"/>
  <c r="G332" i="9"/>
  <c r="F332" i="9"/>
  <c r="E332" i="9"/>
  <c r="D332" i="9"/>
  <c r="C332" i="9"/>
  <c r="O331" i="9"/>
  <c r="N331" i="9"/>
  <c r="I331" i="9"/>
  <c r="H331" i="9"/>
  <c r="G331" i="9"/>
  <c r="F331" i="9"/>
  <c r="E331" i="9"/>
  <c r="D331" i="9"/>
  <c r="C331" i="9"/>
  <c r="O330" i="9"/>
  <c r="N330" i="9"/>
  <c r="I330" i="9"/>
  <c r="H330" i="9"/>
  <c r="G330" i="9"/>
  <c r="F330" i="9"/>
  <c r="E330" i="9"/>
  <c r="D330" i="9"/>
  <c r="C330" i="9"/>
  <c r="O329" i="9"/>
  <c r="N329" i="9"/>
  <c r="I329" i="9"/>
  <c r="H329" i="9"/>
  <c r="G329" i="9"/>
  <c r="F329" i="9"/>
  <c r="E329" i="9"/>
  <c r="D329" i="9"/>
  <c r="C329" i="9"/>
  <c r="O328" i="9"/>
  <c r="N328" i="9"/>
  <c r="I328" i="9"/>
  <c r="H328" i="9"/>
  <c r="G328" i="9"/>
  <c r="F328" i="9"/>
  <c r="E328" i="9"/>
  <c r="D328" i="9"/>
  <c r="C328" i="9"/>
  <c r="O327" i="9"/>
  <c r="N327" i="9"/>
  <c r="I327" i="9"/>
  <c r="H327" i="9"/>
  <c r="G327" i="9"/>
  <c r="F327" i="9"/>
  <c r="E327" i="9"/>
  <c r="D327" i="9"/>
  <c r="C327" i="9"/>
  <c r="O326" i="9"/>
  <c r="N326" i="9"/>
  <c r="I326" i="9"/>
  <c r="H326" i="9"/>
  <c r="G326" i="9"/>
  <c r="F326" i="9"/>
  <c r="E326" i="9"/>
  <c r="D326" i="9"/>
  <c r="C326" i="9"/>
  <c r="O325" i="9"/>
  <c r="N325" i="9"/>
  <c r="I325" i="9"/>
  <c r="H325" i="9"/>
  <c r="G325" i="9"/>
  <c r="F325" i="9"/>
  <c r="E325" i="9"/>
  <c r="D325" i="9"/>
  <c r="C325" i="9"/>
  <c r="O324" i="9"/>
  <c r="N324" i="9"/>
  <c r="I324" i="9"/>
  <c r="H324" i="9"/>
  <c r="G324" i="9"/>
  <c r="F324" i="9"/>
  <c r="E324" i="9"/>
  <c r="D324" i="9"/>
  <c r="C324" i="9"/>
  <c r="O323" i="9"/>
  <c r="N323" i="9"/>
  <c r="I323" i="9"/>
  <c r="H323" i="9"/>
  <c r="G323" i="9"/>
  <c r="F323" i="9"/>
  <c r="E323" i="9"/>
  <c r="D323" i="9"/>
  <c r="C323" i="9"/>
  <c r="O322" i="9"/>
  <c r="N322" i="9"/>
  <c r="I322" i="9"/>
  <c r="H322" i="9"/>
  <c r="G322" i="9"/>
  <c r="F322" i="9"/>
  <c r="E322" i="9"/>
  <c r="D322" i="9"/>
  <c r="C322" i="9"/>
  <c r="O321" i="9"/>
  <c r="N321" i="9"/>
  <c r="I321" i="9"/>
  <c r="H321" i="9"/>
  <c r="G321" i="9"/>
  <c r="F321" i="9"/>
  <c r="E321" i="9"/>
  <c r="D321" i="9"/>
  <c r="C321" i="9"/>
  <c r="O320" i="9"/>
  <c r="N320" i="9"/>
  <c r="I320" i="9"/>
  <c r="H320" i="9"/>
  <c r="G320" i="9"/>
  <c r="F320" i="9"/>
  <c r="E320" i="9"/>
  <c r="D320" i="9"/>
  <c r="C320" i="9"/>
  <c r="O319" i="9"/>
  <c r="N319" i="9"/>
  <c r="I319" i="9"/>
  <c r="H319" i="9"/>
  <c r="G319" i="9"/>
  <c r="F319" i="9"/>
  <c r="E319" i="9"/>
  <c r="D319" i="9"/>
  <c r="C319" i="9"/>
  <c r="O318" i="9"/>
  <c r="N318" i="9"/>
  <c r="I318" i="9"/>
  <c r="H318" i="9"/>
  <c r="G318" i="9"/>
  <c r="F318" i="9"/>
  <c r="E318" i="9"/>
  <c r="D318" i="9"/>
  <c r="C318" i="9"/>
  <c r="O317" i="9"/>
  <c r="N317" i="9"/>
  <c r="I317" i="9"/>
  <c r="H317" i="9"/>
  <c r="G317" i="9"/>
  <c r="F317" i="9"/>
  <c r="E317" i="9"/>
  <c r="D317" i="9"/>
  <c r="C317" i="9"/>
  <c r="O316" i="9"/>
  <c r="N316" i="9"/>
  <c r="I316" i="9"/>
  <c r="H316" i="9"/>
  <c r="G316" i="9"/>
  <c r="F316" i="9"/>
  <c r="E316" i="9"/>
  <c r="D316" i="9"/>
  <c r="C316" i="9"/>
  <c r="O315" i="9"/>
  <c r="N315" i="9"/>
  <c r="I315" i="9"/>
  <c r="H315" i="9"/>
  <c r="G315" i="9"/>
  <c r="F315" i="9"/>
  <c r="E315" i="9"/>
  <c r="D315" i="9"/>
  <c r="C315" i="9"/>
  <c r="O314" i="9"/>
  <c r="N314" i="9"/>
  <c r="I314" i="9"/>
  <c r="H314" i="9"/>
  <c r="G314" i="9"/>
  <c r="F314" i="9"/>
  <c r="E314" i="9"/>
  <c r="D314" i="9"/>
  <c r="C314" i="9"/>
  <c r="O313" i="9"/>
  <c r="N313" i="9"/>
  <c r="I313" i="9"/>
  <c r="H313" i="9"/>
  <c r="G313" i="9"/>
  <c r="F313" i="9"/>
  <c r="E313" i="9"/>
  <c r="D313" i="9"/>
  <c r="C313" i="9"/>
  <c r="O312" i="9"/>
  <c r="N312" i="9"/>
  <c r="I312" i="9"/>
  <c r="H312" i="9"/>
  <c r="G312" i="9"/>
  <c r="F312" i="9"/>
  <c r="E312" i="9"/>
  <c r="D312" i="9"/>
  <c r="C312" i="9"/>
  <c r="O311" i="9"/>
  <c r="N311" i="9"/>
  <c r="I311" i="9"/>
  <c r="H311" i="9"/>
  <c r="G311" i="9"/>
  <c r="F311" i="9"/>
  <c r="E311" i="9"/>
  <c r="D311" i="9"/>
  <c r="C311" i="9"/>
  <c r="O310" i="9"/>
  <c r="N310" i="9"/>
  <c r="I310" i="9"/>
  <c r="H310" i="9"/>
  <c r="G310" i="9"/>
  <c r="F310" i="9"/>
  <c r="E310" i="9"/>
  <c r="D310" i="9"/>
  <c r="C310" i="9"/>
  <c r="O309" i="9"/>
  <c r="N309" i="9"/>
  <c r="I309" i="9"/>
  <c r="H309" i="9"/>
  <c r="G309" i="9"/>
  <c r="F309" i="9"/>
  <c r="E309" i="9"/>
  <c r="D309" i="9"/>
  <c r="C309" i="9"/>
  <c r="O308" i="9"/>
  <c r="N308" i="9"/>
  <c r="I308" i="9"/>
  <c r="H308" i="9"/>
  <c r="G308" i="9"/>
  <c r="F308" i="9"/>
  <c r="E308" i="9"/>
  <c r="D308" i="9"/>
  <c r="C308" i="9"/>
  <c r="O307" i="9"/>
  <c r="N307" i="9"/>
  <c r="I307" i="9"/>
  <c r="H307" i="9"/>
  <c r="G307" i="9"/>
  <c r="F307" i="9"/>
  <c r="E307" i="9"/>
  <c r="D307" i="9"/>
  <c r="C307" i="9"/>
  <c r="O306" i="9"/>
  <c r="N306" i="9"/>
  <c r="I306" i="9"/>
  <c r="H306" i="9"/>
  <c r="G306" i="9"/>
  <c r="F306" i="9"/>
  <c r="E306" i="9"/>
  <c r="D306" i="9"/>
  <c r="C306" i="9"/>
  <c r="O305" i="9"/>
  <c r="N305" i="9"/>
  <c r="I305" i="9"/>
  <c r="H305" i="9"/>
  <c r="G305" i="9"/>
  <c r="F305" i="9"/>
  <c r="E305" i="9"/>
  <c r="D305" i="9"/>
  <c r="C305" i="9"/>
  <c r="O304" i="9"/>
  <c r="N304" i="9"/>
  <c r="I304" i="9"/>
  <c r="H304" i="9"/>
  <c r="G304" i="9"/>
  <c r="F304" i="9"/>
  <c r="E304" i="9"/>
  <c r="D304" i="9"/>
  <c r="C304" i="9"/>
  <c r="O303" i="9"/>
  <c r="N303" i="9"/>
  <c r="I303" i="9"/>
  <c r="H303" i="9"/>
  <c r="G303" i="9"/>
  <c r="F303" i="9"/>
  <c r="E303" i="9"/>
  <c r="D303" i="9"/>
  <c r="C303" i="9"/>
  <c r="O302" i="9"/>
  <c r="N302" i="9"/>
  <c r="I302" i="9"/>
  <c r="H302" i="9"/>
  <c r="G302" i="9"/>
  <c r="F302" i="9"/>
  <c r="E302" i="9"/>
  <c r="D302" i="9"/>
  <c r="C302" i="9"/>
  <c r="O301" i="9"/>
  <c r="N301" i="9"/>
  <c r="I301" i="9"/>
  <c r="H301" i="9"/>
  <c r="G301" i="9"/>
  <c r="F301" i="9"/>
  <c r="E301" i="9"/>
  <c r="D301" i="9"/>
  <c r="C301" i="9"/>
  <c r="O300" i="9"/>
  <c r="N300" i="9"/>
  <c r="I300" i="9"/>
  <c r="H300" i="9"/>
  <c r="G300" i="9"/>
  <c r="F300" i="9"/>
  <c r="E300" i="9"/>
  <c r="D300" i="9"/>
  <c r="C300" i="9"/>
  <c r="O299" i="9"/>
  <c r="N299" i="9"/>
  <c r="I299" i="9"/>
  <c r="H299" i="9"/>
  <c r="G299" i="9"/>
  <c r="F299" i="9"/>
  <c r="E299" i="9"/>
  <c r="D299" i="9"/>
  <c r="C299" i="9"/>
  <c r="O298" i="9"/>
  <c r="N298" i="9"/>
  <c r="I298" i="9"/>
  <c r="H298" i="9"/>
  <c r="G298" i="9"/>
  <c r="F298" i="9"/>
  <c r="E298" i="9"/>
  <c r="D298" i="9"/>
  <c r="C298" i="9"/>
  <c r="O297" i="9"/>
  <c r="N297" i="9"/>
  <c r="I297" i="9"/>
  <c r="H297" i="9"/>
  <c r="G297" i="9"/>
  <c r="F297" i="9"/>
  <c r="E297" i="9"/>
  <c r="D297" i="9"/>
  <c r="C297" i="9"/>
  <c r="O296" i="9"/>
  <c r="N296" i="9"/>
  <c r="I296" i="9"/>
  <c r="H296" i="9"/>
  <c r="G296" i="9"/>
  <c r="F296" i="9"/>
  <c r="E296" i="9"/>
  <c r="D296" i="9"/>
  <c r="C296" i="9"/>
  <c r="O295" i="9"/>
  <c r="N295" i="9"/>
  <c r="I295" i="9"/>
  <c r="H295" i="9"/>
  <c r="G295" i="9"/>
  <c r="F295" i="9"/>
  <c r="E295" i="9"/>
  <c r="D295" i="9"/>
  <c r="C295" i="9"/>
  <c r="O294" i="9"/>
  <c r="N294" i="9"/>
  <c r="I294" i="9"/>
  <c r="H294" i="9"/>
  <c r="G294" i="9"/>
  <c r="F294" i="9"/>
  <c r="E294" i="9"/>
  <c r="D294" i="9"/>
  <c r="C294" i="9"/>
  <c r="O293" i="9"/>
  <c r="N293" i="9"/>
  <c r="I293" i="9"/>
  <c r="H293" i="9"/>
  <c r="G293" i="9"/>
  <c r="F293" i="9"/>
  <c r="E293" i="9"/>
  <c r="D293" i="9"/>
  <c r="C293" i="9"/>
  <c r="O292" i="9"/>
  <c r="N292" i="9"/>
  <c r="I292" i="9"/>
  <c r="H292" i="9"/>
  <c r="G292" i="9"/>
  <c r="F292" i="9"/>
  <c r="E292" i="9"/>
  <c r="D292" i="9"/>
  <c r="C292" i="9"/>
  <c r="O291" i="9"/>
  <c r="N291" i="9"/>
  <c r="I291" i="9"/>
  <c r="H291" i="9"/>
  <c r="G291" i="9"/>
  <c r="F291" i="9"/>
  <c r="E291" i="9"/>
  <c r="D291" i="9"/>
  <c r="C291" i="9"/>
  <c r="O290" i="9"/>
  <c r="N290" i="9"/>
  <c r="I290" i="9"/>
  <c r="H290" i="9"/>
  <c r="G290" i="9"/>
  <c r="F290" i="9"/>
  <c r="E290" i="9"/>
  <c r="D290" i="9"/>
  <c r="C290" i="9"/>
  <c r="O289" i="9"/>
  <c r="N289" i="9"/>
  <c r="I289" i="9"/>
  <c r="H289" i="9"/>
  <c r="G289" i="9"/>
  <c r="F289" i="9"/>
  <c r="E289" i="9"/>
  <c r="D289" i="9"/>
  <c r="C289" i="9"/>
  <c r="O288" i="9"/>
  <c r="N288" i="9"/>
  <c r="I288" i="9"/>
  <c r="H288" i="9"/>
  <c r="G288" i="9"/>
  <c r="F288" i="9"/>
  <c r="E288" i="9"/>
  <c r="D288" i="9"/>
  <c r="C288" i="9"/>
  <c r="O287" i="9"/>
  <c r="N287" i="9"/>
  <c r="I287" i="9"/>
  <c r="H287" i="9"/>
  <c r="G287" i="9"/>
  <c r="F287" i="9"/>
  <c r="E287" i="9"/>
  <c r="D287" i="9"/>
  <c r="C287" i="9"/>
  <c r="O286" i="9"/>
  <c r="N286" i="9"/>
  <c r="I286" i="9"/>
  <c r="H286" i="9"/>
  <c r="G286" i="9"/>
  <c r="F286" i="9"/>
  <c r="E286" i="9"/>
  <c r="D286" i="9"/>
  <c r="C286" i="9"/>
  <c r="O285" i="9"/>
  <c r="N285" i="9"/>
  <c r="I285" i="9"/>
  <c r="H285" i="9"/>
  <c r="G285" i="9"/>
  <c r="F285" i="9"/>
  <c r="E285" i="9"/>
  <c r="D285" i="9"/>
  <c r="C285" i="9"/>
  <c r="O284" i="9"/>
  <c r="N284" i="9"/>
  <c r="I284" i="9"/>
  <c r="H284" i="9"/>
  <c r="G284" i="9"/>
  <c r="F284" i="9"/>
  <c r="E284" i="9"/>
  <c r="D284" i="9"/>
  <c r="C284" i="9"/>
  <c r="O283" i="9"/>
  <c r="N283" i="9"/>
  <c r="I283" i="9"/>
  <c r="H283" i="9"/>
  <c r="G283" i="9"/>
  <c r="F283" i="9"/>
  <c r="E283" i="9"/>
  <c r="D283" i="9"/>
  <c r="C283" i="9"/>
  <c r="O282" i="9"/>
  <c r="N282" i="9"/>
  <c r="I282" i="9"/>
  <c r="H282" i="9"/>
  <c r="G282" i="9"/>
  <c r="F282" i="9"/>
  <c r="E282" i="9"/>
  <c r="D282" i="9"/>
  <c r="C282" i="9"/>
  <c r="O281" i="9"/>
  <c r="N281" i="9"/>
  <c r="I281" i="9"/>
  <c r="H281" i="9"/>
  <c r="G281" i="9"/>
  <c r="F281" i="9"/>
  <c r="E281" i="9"/>
  <c r="D281" i="9"/>
  <c r="C281" i="9"/>
  <c r="O280" i="9"/>
  <c r="N280" i="9"/>
  <c r="I280" i="9"/>
  <c r="H280" i="9"/>
  <c r="G280" i="9"/>
  <c r="F280" i="9"/>
  <c r="E280" i="9"/>
  <c r="D280" i="9"/>
  <c r="C280" i="9"/>
  <c r="O279" i="9"/>
  <c r="N279" i="9"/>
  <c r="I279" i="9"/>
  <c r="H279" i="9"/>
  <c r="G279" i="9"/>
  <c r="F279" i="9"/>
  <c r="E279" i="9"/>
  <c r="D279" i="9"/>
  <c r="C279" i="9"/>
  <c r="O278" i="9"/>
  <c r="N278" i="9"/>
  <c r="I278" i="9"/>
  <c r="H278" i="9"/>
  <c r="G278" i="9"/>
  <c r="F278" i="9"/>
  <c r="E278" i="9"/>
  <c r="D278" i="9"/>
  <c r="C278" i="9"/>
  <c r="O277" i="9"/>
  <c r="N277" i="9"/>
  <c r="I277" i="9"/>
  <c r="H277" i="9"/>
  <c r="G277" i="9"/>
  <c r="F277" i="9"/>
  <c r="E277" i="9"/>
  <c r="D277" i="9"/>
  <c r="C277" i="9"/>
  <c r="O276" i="9"/>
  <c r="N276" i="9"/>
  <c r="I276" i="9"/>
  <c r="H276" i="9"/>
  <c r="G276" i="9"/>
  <c r="F276" i="9"/>
  <c r="E276" i="9"/>
  <c r="D276" i="9"/>
  <c r="C276" i="9"/>
  <c r="O275" i="9"/>
  <c r="N275" i="9"/>
  <c r="I275" i="9"/>
  <c r="H275" i="9"/>
  <c r="G275" i="9"/>
  <c r="F275" i="9"/>
  <c r="E275" i="9"/>
  <c r="D275" i="9"/>
  <c r="C275" i="9"/>
  <c r="O274" i="9"/>
  <c r="N274" i="9"/>
  <c r="I274" i="9"/>
  <c r="H274" i="9"/>
  <c r="G274" i="9"/>
  <c r="F274" i="9"/>
  <c r="E274" i="9"/>
  <c r="D274" i="9"/>
  <c r="C274" i="9"/>
  <c r="O273" i="9"/>
  <c r="N273" i="9"/>
  <c r="I273" i="9"/>
  <c r="H273" i="9"/>
  <c r="G273" i="9"/>
  <c r="F273" i="9"/>
  <c r="E273" i="9"/>
  <c r="D273" i="9"/>
  <c r="C273" i="9"/>
  <c r="O272" i="9"/>
  <c r="N272" i="9"/>
  <c r="I272" i="9"/>
  <c r="H272" i="9"/>
  <c r="G272" i="9"/>
  <c r="F272" i="9"/>
  <c r="E272" i="9"/>
  <c r="D272" i="9"/>
  <c r="C272" i="9"/>
  <c r="O271" i="9"/>
  <c r="N271" i="9"/>
  <c r="I271" i="9"/>
  <c r="H271" i="9"/>
  <c r="G271" i="9"/>
  <c r="F271" i="9"/>
  <c r="E271" i="9"/>
  <c r="D271" i="9"/>
  <c r="C271" i="9"/>
  <c r="O270" i="9"/>
  <c r="N270" i="9"/>
  <c r="I270" i="9"/>
  <c r="H270" i="9"/>
  <c r="G270" i="9"/>
  <c r="F270" i="9"/>
  <c r="E270" i="9"/>
  <c r="D270" i="9"/>
  <c r="C270" i="9"/>
  <c r="O269" i="9"/>
  <c r="N269" i="9"/>
  <c r="I269" i="9"/>
  <c r="H269" i="9"/>
  <c r="G269" i="9"/>
  <c r="F269" i="9"/>
  <c r="E269" i="9"/>
  <c r="D269" i="9"/>
  <c r="C269" i="9"/>
  <c r="O268" i="9"/>
  <c r="N268" i="9"/>
  <c r="I268" i="9"/>
  <c r="H268" i="9"/>
  <c r="G268" i="9"/>
  <c r="F268" i="9"/>
  <c r="E268" i="9"/>
  <c r="D268" i="9"/>
  <c r="C268" i="9"/>
  <c r="O267" i="9"/>
  <c r="N267" i="9"/>
  <c r="I267" i="9"/>
  <c r="H267" i="9"/>
  <c r="G267" i="9"/>
  <c r="F267" i="9"/>
  <c r="E267" i="9"/>
  <c r="D267" i="9"/>
  <c r="C267" i="9"/>
  <c r="O266" i="9"/>
  <c r="N266" i="9"/>
  <c r="I266" i="9"/>
  <c r="H266" i="9"/>
  <c r="G266" i="9"/>
  <c r="F266" i="9"/>
  <c r="E266" i="9"/>
  <c r="D266" i="9"/>
  <c r="C266" i="9"/>
  <c r="O265" i="9"/>
  <c r="N265" i="9"/>
  <c r="I265" i="9"/>
  <c r="H265" i="9"/>
  <c r="G265" i="9"/>
  <c r="F265" i="9"/>
  <c r="E265" i="9"/>
  <c r="D265" i="9"/>
  <c r="C265" i="9"/>
  <c r="O264" i="9"/>
  <c r="N264" i="9"/>
  <c r="I264" i="9"/>
  <c r="H264" i="9"/>
  <c r="G264" i="9"/>
  <c r="F264" i="9"/>
  <c r="E264" i="9"/>
  <c r="D264" i="9"/>
  <c r="C264" i="9"/>
  <c r="O263" i="9"/>
  <c r="N263" i="9"/>
  <c r="I263" i="9"/>
  <c r="H263" i="9"/>
  <c r="G263" i="9"/>
  <c r="F263" i="9"/>
  <c r="E263" i="9"/>
  <c r="D263" i="9"/>
  <c r="C263" i="9"/>
  <c r="O262" i="9"/>
  <c r="N262" i="9"/>
  <c r="I262" i="9"/>
  <c r="H262" i="9"/>
  <c r="G262" i="9"/>
  <c r="F262" i="9"/>
  <c r="E262" i="9"/>
  <c r="D262" i="9"/>
  <c r="C262" i="9"/>
  <c r="O261" i="9"/>
  <c r="N261" i="9"/>
  <c r="I261" i="9"/>
  <c r="H261" i="9"/>
  <c r="G261" i="9"/>
  <c r="F261" i="9"/>
  <c r="E261" i="9"/>
  <c r="D261" i="9"/>
  <c r="C261" i="9"/>
  <c r="O260" i="9"/>
  <c r="N260" i="9"/>
  <c r="I260" i="9"/>
  <c r="H260" i="9"/>
  <c r="G260" i="9"/>
  <c r="F260" i="9"/>
  <c r="E260" i="9"/>
  <c r="D260" i="9"/>
  <c r="C260" i="9"/>
  <c r="O259" i="9"/>
  <c r="N259" i="9"/>
  <c r="I259" i="9"/>
  <c r="H259" i="9"/>
  <c r="G259" i="9"/>
  <c r="F259" i="9"/>
  <c r="E259" i="9"/>
  <c r="D259" i="9"/>
  <c r="C259" i="9"/>
  <c r="O258" i="9"/>
  <c r="N258" i="9"/>
  <c r="I258" i="9"/>
  <c r="H258" i="9"/>
  <c r="G258" i="9"/>
  <c r="F258" i="9"/>
  <c r="E258" i="9"/>
  <c r="D258" i="9"/>
  <c r="C258" i="9"/>
  <c r="O257" i="9"/>
  <c r="N257" i="9"/>
  <c r="I257" i="9"/>
  <c r="H257" i="9"/>
  <c r="G257" i="9"/>
  <c r="F257" i="9"/>
  <c r="E257" i="9"/>
  <c r="D257" i="9"/>
  <c r="C257" i="9"/>
  <c r="O256" i="9"/>
  <c r="N256" i="9"/>
  <c r="I256" i="9"/>
  <c r="H256" i="9"/>
  <c r="G256" i="9"/>
  <c r="F256" i="9"/>
  <c r="E256" i="9"/>
  <c r="D256" i="9"/>
  <c r="C256" i="9"/>
  <c r="O255" i="9"/>
  <c r="N255" i="9"/>
  <c r="I255" i="9"/>
  <c r="H255" i="9"/>
  <c r="G255" i="9"/>
  <c r="F255" i="9"/>
  <c r="E255" i="9"/>
  <c r="D255" i="9"/>
  <c r="C255" i="9"/>
  <c r="O254" i="9"/>
  <c r="N254" i="9"/>
  <c r="I254" i="9"/>
  <c r="H254" i="9"/>
  <c r="G254" i="9"/>
  <c r="F254" i="9"/>
  <c r="E254" i="9"/>
  <c r="D254" i="9"/>
  <c r="C254" i="9"/>
  <c r="O253" i="9"/>
  <c r="N253" i="9"/>
  <c r="I253" i="9"/>
  <c r="H253" i="9"/>
  <c r="G253" i="9"/>
  <c r="F253" i="9"/>
  <c r="E253" i="9"/>
  <c r="D253" i="9"/>
  <c r="C253" i="9"/>
  <c r="O252" i="9"/>
  <c r="N252" i="9"/>
  <c r="I252" i="9"/>
  <c r="H252" i="9"/>
  <c r="G252" i="9"/>
  <c r="F252" i="9"/>
  <c r="E252" i="9"/>
  <c r="D252" i="9"/>
  <c r="C252" i="9"/>
  <c r="O251" i="9"/>
  <c r="N251" i="9"/>
  <c r="I251" i="9"/>
  <c r="H251" i="9"/>
  <c r="G251" i="9"/>
  <c r="F251" i="9"/>
  <c r="E251" i="9"/>
  <c r="D251" i="9"/>
  <c r="C251" i="9"/>
  <c r="O250" i="9"/>
  <c r="N250" i="9"/>
  <c r="I250" i="9"/>
  <c r="H250" i="9"/>
  <c r="G250" i="9"/>
  <c r="F250" i="9"/>
  <c r="E250" i="9"/>
  <c r="D250" i="9"/>
  <c r="C250" i="9"/>
  <c r="O249" i="9"/>
  <c r="N249" i="9"/>
  <c r="I249" i="9"/>
  <c r="H249" i="9"/>
  <c r="G249" i="9"/>
  <c r="F249" i="9"/>
  <c r="E249" i="9"/>
  <c r="D249" i="9"/>
  <c r="C249" i="9"/>
  <c r="O248" i="9"/>
  <c r="N248" i="9"/>
  <c r="I248" i="9"/>
  <c r="H248" i="9"/>
  <c r="G248" i="9"/>
  <c r="F248" i="9"/>
  <c r="E248" i="9"/>
  <c r="D248" i="9"/>
  <c r="C248" i="9"/>
  <c r="O247" i="9"/>
  <c r="N247" i="9"/>
  <c r="I247" i="9"/>
  <c r="H247" i="9"/>
  <c r="G247" i="9"/>
  <c r="F247" i="9"/>
  <c r="E247" i="9"/>
  <c r="D247" i="9"/>
  <c r="C247" i="9"/>
  <c r="O246" i="9"/>
  <c r="N246" i="9"/>
  <c r="I246" i="9"/>
  <c r="H246" i="9"/>
  <c r="G246" i="9"/>
  <c r="F246" i="9"/>
  <c r="E246" i="9"/>
  <c r="D246" i="9"/>
  <c r="C246" i="9"/>
  <c r="O245" i="9"/>
  <c r="N245" i="9"/>
  <c r="I245" i="9"/>
  <c r="H245" i="9"/>
  <c r="G245" i="9"/>
  <c r="F245" i="9"/>
  <c r="E245" i="9"/>
  <c r="D245" i="9"/>
  <c r="C245" i="9"/>
  <c r="O244" i="9"/>
  <c r="N244" i="9"/>
  <c r="I244" i="9"/>
  <c r="H244" i="9"/>
  <c r="G244" i="9"/>
  <c r="F244" i="9"/>
  <c r="E244" i="9"/>
  <c r="D244" i="9"/>
  <c r="C244" i="9"/>
  <c r="O243" i="9"/>
  <c r="N243" i="9"/>
  <c r="I243" i="9"/>
  <c r="H243" i="9"/>
  <c r="G243" i="9"/>
  <c r="F243" i="9"/>
  <c r="E243" i="9"/>
  <c r="D243" i="9"/>
  <c r="C243" i="9"/>
  <c r="O242" i="9"/>
  <c r="N242" i="9"/>
  <c r="I242" i="9"/>
  <c r="H242" i="9"/>
  <c r="G242" i="9"/>
  <c r="F242" i="9"/>
  <c r="E242" i="9"/>
  <c r="D242" i="9"/>
  <c r="C242" i="9"/>
  <c r="O241" i="9"/>
  <c r="N241" i="9"/>
  <c r="I241" i="9"/>
  <c r="H241" i="9"/>
  <c r="G241" i="9"/>
  <c r="F241" i="9"/>
  <c r="E241" i="9"/>
  <c r="D241" i="9"/>
  <c r="C241" i="9"/>
  <c r="O240" i="9"/>
  <c r="N240" i="9"/>
  <c r="I240" i="9"/>
  <c r="H240" i="9"/>
  <c r="G240" i="9"/>
  <c r="F240" i="9"/>
  <c r="E240" i="9"/>
  <c r="D240" i="9"/>
  <c r="C240" i="9"/>
  <c r="O239" i="9"/>
  <c r="N239" i="9"/>
  <c r="I239" i="9"/>
  <c r="H239" i="9"/>
  <c r="G239" i="9"/>
  <c r="F239" i="9"/>
  <c r="E239" i="9"/>
  <c r="D239" i="9"/>
  <c r="C239" i="9"/>
  <c r="O238" i="9"/>
  <c r="N238" i="9"/>
  <c r="I238" i="9"/>
  <c r="H238" i="9"/>
  <c r="G238" i="9"/>
  <c r="F238" i="9"/>
  <c r="E238" i="9"/>
  <c r="D238" i="9"/>
  <c r="C238" i="9"/>
  <c r="O237" i="9"/>
  <c r="N237" i="9"/>
  <c r="I237" i="9"/>
  <c r="H237" i="9"/>
  <c r="G237" i="9"/>
  <c r="F237" i="9"/>
  <c r="E237" i="9"/>
  <c r="D237" i="9"/>
  <c r="C237" i="9"/>
  <c r="O236" i="9"/>
  <c r="N236" i="9"/>
  <c r="I236" i="9"/>
  <c r="H236" i="9"/>
  <c r="G236" i="9"/>
  <c r="F236" i="9"/>
  <c r="E236" i="9"/>
  <c r="D236" i="9"/>
  <c r="C236" i="9"/>
  <c r="O235" i="9"/>
  <c r="N235" i="9"/>
  <c r="I235" i="9"/>
  <c r="H235" i="9"/>
  <c r="G235" i="9"/>
  <c r="F235" i="9"/>
  <c r="E235" i="9"/>
  <c r="D235" i="9"/>
  <c r="C235" i="9"/>
  <c r="O234" i="9"/>
  <c r="N234" i="9"/>
  <c r="I234" i="9"/>
  <c r="H234" i="9"/>
  <c r="G234" i="9"/>
  <c r="F234" i="9"/>
  <c r="E234" i="9"/>
  <c r="D234" i="9"/>
  <c r="C234" i="9"/>
  <c r="O233" i="9"/>
  <c r="N233" i="9"/>
  <c r="I233" i="9"/>
  <c r="H233" i="9"/>
  <c r="G233" i="9"/>
  <c r="F233" i="9"/>
  <c r="E233" i="9"/>
  <c r="D233" i="9"/>
  <c r="C233" i="9"/>
  <c r="O232" i="9"/>
  <c r="N232" i="9"/>
  <c r="I232" i="9"/>
  <c r="H232" i="9"/>
  <c r="G232" i="9"/>
  <c r="F232" i="9"/>
  <c r="E232" i="9"/>
  <c r="D232" i="9"/>
  <c r="C232" i="9"/>
  <c r="O231" i="9"/>
  <c r="N231" i="9"/>
  <c r="I231" i="9"/>
  <c r="H231" i="9"/>
  <c r="G231" i="9"/>
  <c r="F231" i="9"/>
  <c r="E231" i="9"/>
  <c r="D231" i="9"/>
  <c r="C231" i="9"/>
  <c r="O230" i="9"/>
  <c r="N230" i="9"/>
  <c r="I230" i="9"/>
  <c r="H230" i="9"/>
  <c r="G230" i="9"/>
  <c r="F230" i="9"/>
  <c r="E230" i="9"/>
  <c r="D230" i="9"/>
  <c r="C230" i="9"/>
  <c r="O229" i="9"/>
  <c r="N229" i="9"/>
  <c r="I229" i="9"/>
  <c r="H229" i="9"/>
  <c r="G229" i="9"/>
  <c r="F229" i="9"/>
  <c r="E229" i="9"/>
  <c r="D229" i="9"/>
  <c r="C229" i="9"/>
  <c r="O228" i="9"/>
  <c r="N228" i="9"/>
  <c r="I228" i="9"/>
  <c r="H228" i="9"/>
  <c r="G228" i="9"/>
  <c r="F228" i="9"/>
  <c r="E228" i="9"/>
  <c r="D228" i="9"/>
  <c r="C228" i="9"/>
  <c r="O227" i="9"/>
  <c r="N227" i="9"/>
  <c r="I227" i="9"/>
  <c r="H227" i="9"/>
  <c r="G227" i="9"/>
  <c r="F227" i="9"/>
  <c r="E227" i="9"/>
  <c r="D227" i="9"/>
  <c r="C227" i="9"/>
  <c r="O226" i="9"/>
  <c r="N226" i="9"/>
  <c r="I226" i="9"/>
  <c r="H226" i="9"/>
  <c r="G226" i="9"/>
  <c r="F226" i="9"/>
  <c r="E226" i="9"/>
  <c r="D226" i="9"/>
  <c r="C226" i="9"/>
  <c r="O225" i="9"/>
  <c r="N225" i="9"/>
  <c r="I225" i="9"/>
  <c r="H225" i="9"/>
  <c r="G225" i="9"/>
  <c r="F225" i="9"/>
  <c r="E225" i="9"/>
  <c r="D225" i="9"/>
  <c r="C225" i="9"/>
  <c r="O224" i="9"/>
  <c r="N224" i="9"/>
  <c r="I224" i="9"/>
  <c r="H224" i="9"/>
  <c r="G224" i="9"/>
  <c r="F224" i="9"/>
  <c r="E224" i="9"/>
  <c r="D224" i="9"/>
  <c r="C224" i="9"/>
  <c r="O223" i="9"/>
  <c r="N223" i="9"/>
  <c r="I223" i="9"/>
  <c r="H223" i="9"/>
  <c r="G223" i="9"/>
  <c r="F223" i="9"/>
  <c r="E223" i="9"/>
  <c r="D223" i="9"/>
  <c r="C223" i="9"/>
  <c r="O222" i="9"/>
  <c r="N222" i="9"/>
  <c r="I222" i="9"/>
  <c r="H222" i="9"/>
  <c r="G222" i="9"/>
  <c r="F222" i="9"/>
  <c r="E222" i="9"/>
  <c r="D222" i="9"/>
  <c r="C222" i="9"/>
  <c r="O221" i="9"/>
  <c r="N221" i="9"/>
  <c r="I221" i="9"/>
  <c r="H221" i="9"/>
  <c r="G221" i="9"/>
  <c r="F221" i="9"/>
  <c r="E221" i="9"/>
  <c r="D221" i="9"/>
  <c r="C221" i="9"/>
  <c r="O220" i="9"/>
  <c r="N220" i="9"/>
  <c r="I220" i="9"/>
  <c r="H220" i="9"/>
  <c r="G220" i="9"/>
  <c r="F220" i="9"/>
  <c r="E220" i="9"/>
  <c r="D220" i="9"/>
  <c r="C220" i="9"/>
  <c r="O219" i="9"/>
  <c r="N219" i="9"/>
  <c r="I219" i="9"/>
  <c r="H219" i="9"/>
  <c r="G219" i="9"/>
  <c r="F219" i="9"/>
  <c r="E219" i="9"/>
  <c r="D219" i="9"/>
  <c r="C219" i="9"/>
  <c r="O218" i="9"/>
  <c r="N218" i="9"/>
  <c r="I218" i="9"/>
  <c r="H218" i="9"/>
  <c r="G218" i="9"/>
  <c r="F218" i="9"/>
  <c r="E218" i="9"/>
  <c r="D218" i="9"/>
  <c r="C218" i="9"/>
  <c r="O217" i="9"/>
  <c r="N217" i="9"/>
  <c r="I217" i="9"/>
  <c r="H217" i="9"/>
  <c r="G217" i="9"/>
  <c r="F217" i="9"/>
  <c r="E217" i="9"/>
  <c r="D217" i="9"/>
  <c r="C217" i="9"/>
  <c r="O216" i="9"/>
  <c r="N216" i="9"/>
  <c r="I216" i="9"/>
  <c r="H216" i="9"/>
  <c r="G216" i="9"/>
  <c r="F216" i="9"/>
  <c r="E216" i="9"/>
  <c r="D216" i="9"/>
  <c r="C216" i="9"/>
  <c r="O215" i="9"/>
  <c r="N215" i="9"/>
  <c r="I215" i="9"/>
  <c r="H215" i="9"/>
  <c r="G215" i="9"/>
  <c r="F215" i="9"/>
  <c r="E215" i="9"/>
  <c r="D215" i="9"/>
  <c r="C215" i="9"/>
  <c r="O214" i="9"/>
  <c r="N214" i="9"/>
  <c r="I214" i="9"/>
  <c r="H214" i="9"/>
  <c r="G214" i="9"/>
  <c r="F214" i="9"/>
  <c r="E214" i="9"/>
  <c r="D214" i="9"/>
  <c r="C214" i="9"/>
  <c r="O213" i="9"/>
  <c r="N213" i="9"/>
  <c r="I213" i="9"/>
  <c r="H213" i="9"/>
  <c r="G213" i="9"/>
  <c r="F213" i="9"/>
  <c r="E213" i="9"/>
  <c r="D213" i="9"/>
  <c r="C213" i="9"/>
  <c r="O212" i="9"/>
  <c r="N212" i="9"/>
  <c r="I212" i="9"/>
  <c r="H212" i="9"/>
  <c r="G212" i="9"/>
  <c r="F212" i="9"/>
  <c r="E212" i="9"/>
  <c r="D212" i="9"/>
  <c r="C212" i="9"/>
  <c r="O211" i="9"/>
  <c r="N211" i="9"/>
  <c r="I211" i="9"/>
  <c r="H211" i="9"/>
  <c r="G211" i="9"/>
  <c r="F211" i="9"/>
  <c r="E211" i="9"/>
  <c r="D211" i="9"/>
  <c r="C211" i="9"/>
  <c r="O210" i="9"/>
  <c r="N210" i="9"/>
  <c r="I210" i="9"/>
  <c r="H210" i="9"/>
  <c r="G210" i="9"/>
  <c r="F210" i="9"/>
  <c r="E210" i="9"/>
  <c r="D210" i="9"/>
  <c r="C210" i="9"/>
  <c r="O209" i="9"/>
  <c r="N209" i="9"/>
  <c r="I209" i="9"/>
  <c r="H209" i="9"/>
  <c r="G209" i="9"/>
  <c r="F209" i="9"/>
  <c r="E209" i="9"/>
  <c r="D209" i="9"/>
  <c r="C209" i="9"/>
  <c r="O208" i="9"/>
  <c r="N208" i="9"/>
  <c r="I208" i="9"/>
  <c r="H208" i="9"/>
  <c r="G208" i="9"/>
  <c r="F208" i="9"/>
  <c r="E208" i="9"/>
  <c r="D208" i="9"/>
  <c r="C208" i="9"/>
  <c r="O207" i="9"/>
  <c r="N207" i="9"/>
  <c r="I207" i="9"/>
  <c r="H207" i="9"/>
  <c r="G207" i="9"/>
  <c r="F207" i="9"/>
  <c r="E207" i="9"/>
  <c r="D207" i="9"/>
  <c r="C207" i="9"/>
  <c r="O206" i="9"/>
  <c r="N206" i="9"/>
  <c r="I206" i="9"/>
  <c r="H206" i="9"/>
  <c r="G206" i="9"/>
  <c r="F206" i="9"/>
  <c r="E206" i="9"/>
  <c r="D206" i="9"/>
  <c r="C206" i="9"/>
  <c r="O205" i="9"/>
  <c r="N205" i="9"/>
  <c r="I205" i="9"/>
  <c r="H205" i="9"/>
  <c r="G205" i="9"/>
  <c r="F205" i="9"/>
  <c r="E205" i="9"/>
  <c r="D205" i="9"/>
  <c r="C205" i="9"/>
  <c r="O204" i="9"/>
  <c r="N204" i="9"/>
  <c r="I204" i="9"/>
  <c r="H204" i="9"/>
  <c r="G204" i="9"/>
  <c r="F204" i="9"/>
  <c r="E204" i="9"/>
  <c r="D204" i="9"/>
  <c r="C204" i="9"/>
  <c r="O203" i="9"/>
  <c r="N203" i="9"/>
  <c r="I203" i="9"/>
  <c r="H203" i="9"/>
  <c r="G203" i="9"/>
  <c r="F203" i="9"/>
  <c r="E203" i="9"/>
  <c r="D203" i="9"/>
  <c r="C203" i="9"/>
  <c r="O202" i="9"/>
  <c r="N202" i="9"/>
  <c r="I202" i="9"/>
  <c r="H202" i="9"/>
  <c r="G202" i="9"/>
  <c r="F202" i="9"/>
  <c r="E202" i="9"/>
  <c r="D202" i="9"/>
  <c r="C202" i="9"/>
  <c r="O201" i="9"/>
  <c r="N201" i="9"/>
  <c r="I201" i="9"/>
  <c r="H201" i="9"/>
  <c r="G201" i="9"/>
  <c r="F201" i="9"/>
  <c r="E201" i="9"/>
  <c r="D201" i="9"/>
  <c r="C201" i="9"/>
  <c r="O200" i="9"/>
  <c r="N200" i="9"/>
  <c r="I200" i="9"/>
  <c r="H200" i="9"/>
  <c r="G200" i="9"/>
  <c r="F200" i="9"/>
  <c r="E200" i="9"/>
  <c r="D200" i="9"/>
  <c r="C200" i="9"/>
  <c r="O199" i="9"/>
  <c r="N199" i="9"/>
  <c r="I199" i="9"/>
  <c r="H199" i="9"/>
  <c r="G199" i="9"/>
  <c r="F199" i="9"/>
  <c r="E199" i="9"/>
  <c r="D199" i="9"/>
  <c r="C199" i="9"/>
  <c r="O198" i="9"/>
  <c r="N198" i="9"/>
  <c r="I198" i="9"/>
  <c r="H198" i="9"/>
  <c r="G198" i="9"/>
  <c r="F198" i="9"/>
  <c r="E198" i="9"/>
  <c r="D198" i="9"/>
  <c r="C198" i="9"/>
  <c r="O197" i="9"/>
  <c r="N197" i="9"/>
  <c r="I197" i="9"/>
  <c r="H197" i="9"/>
  <c r="G197" i="9"/>
  <c r="F197" i="9"/>
  <c r="E197" i="9"/>
  <c r="D197" i="9"/>
  <c r="C197" i="9"/>
  <c r="O196" i="9"/>
  <c r="N196" i="9"/>
  <c r="I196" i="9"/>
  <c r="H196" i="9"/>
  <c r="G196" i="9"/>
  <c r="F196" i="9"/>
  <c r="E196" i="9"/>
  <c r="D196" i="9"/>
  <c r="C196" i="9"/>
  <c r="O195" i="9"/>
  <c r="N195" i="9"/>
  <c r="I195" i="9"/>
  <c r="H195" i="9"/>
  <c r="G195" i="9"/>
  <c r="F195" i="9"/>
  <c r="E195" i="9"/>
  <c r="D195" i="9"/>
  <c r="C195" i="9"/>
  <c r="O194" i="9"/>
  <c r="N194" i="9"/>
  <c r="I194" i="9"/>
  <c r="H194" i="9"/>
  <c r="G194" i="9"/>
  <c r="F194" i="9"/>
  <c r="E194" i="9"/>
  <c r="D194" i="9"/>
  <c r="C194" i="9"/>
  <c r="O193" i="9"/>
  <c r="N193" i="9"/>
  <c r="I193" i="9"/>
  <c r="H193" i="9"/>
  <c r="G193" i="9"/>
  <c r="F193" i="9"/>
  <c r="E193" i="9"/>
  <c r="D193" i="9"/>
  <c r="C193" i="9"/>
  <c r="O192" i="9"/>
  <c r="N192" i="9"/>
  <c r="I192" i="9"/>
  <c r="H192" i="9"/>
  <c r="G192" i="9"/>
  <c r="F192" i="9"/>
  <c r="E192" i="9"/>
  <c r="D192" i="9"/>
  <c r="C192" i="9"/>
  <c r="O191" i="9"/>
  <c r="N191" i="9"/>
  <c r="I191" i="9"/>
  <c r="H191" i="9"/>
  <c r="G191" i="9"/>
  <c r="F191" i="9"/>
  <c r="E191" i="9"/>
  <c r="D191" i="9"/>
  <c r="C191" i="9"/>
  <c r="O190" i="9"/>
  <c r="N190" i="9"/>
  <c r="I190" i="9"/>
  <c r="H190" i="9"/>
  <c r="G190" i="9"/>
  <c r="F190" i="9"/>
  <c r="E190" i="9"/>
  <c r="D190" i="9"/>
  <c r="C190" i="9"/>
  <c r="O189" i="9"/>
  <c r="N189" i="9"/>
  <c r="I189" i="9"/>
  <c r="H189" i="9"/>
  <c r="G189" i="9"/>
  <c r="F189" i="9"/>
  <c r="E189" i="9"/>
  <c r="D189" i="9"/>
  <c r="C189" i="9"/>
  <c r="O188" i="9"/>
  <c r="N188" i="9"/>
  <c r="I188" i="9"/>
  <c r="H188" i="9"/>
  <c r="G188" i="9"/>
  <c r="F188" i="9"/>
  <c r="E188" i="9"/>
  <c r="D188" i="9"/>
  <c r="C188" i="9"/>
  <c r="O187" i="9"/>
  <c r="N187" i="9"/>
  <c r="I187" i="9"/>
  <c r="H187" i="9"/>
  <c r="G187" i="9"/>
  <c r="F187" i="9"/>
  <c r="E187" i="9"/>
  <c r="D187" i="9"/>
  <c r="C187" i="9"/>
  <c r="O186" i="9"/>
  <c r="N186" i="9"/>
  <c r="I186" i="9"/>
  <c r="H186" i="9"/>
  <c r="G186" i="9"/>
  <c r="F186" i="9"/>
  <c r="E186" i="9"/>
  <c r="D186" i="9"/>
  <c r="C186" i="9"/>
  <c r="O185" i="9"/>
  <c r="N185" i="9"/>
  <c r="I185" i="9"/>
  <c r="H185" i="9"/>
  <c r="G185" i="9"/>
  <c r="F185" i="9"/>
  <c r="E185" i="9"/>
  <c r="D185" i="9"/>
  <c r="C185" i="9"/>
  <c r="O184" i="9"/>
  <c r="N184" i="9"/>
  <c r="I184" i="9"/>
  <c r="H184" i="9"/>
  <c r="G184" i="9"/>
  <c r="F184" i="9"/>
  <c r="E184" i="9"/>
  <c r="D184" i="9"/>
  <c r="C184" i="9"/>
  <c r="O183" i="9"/>
  <c r="N183" i="9"/>
  <c r="I183" i="9"/>
  <c r="H183" i="9"/>
  <c r="G183" i="9"/>
  <c r="F183" i="9"/>
  <c r="E183" i="9"/>
  <c r="D183" i="9"/>
  <c r="C183" i="9"/>
  <c r="O182" i="9"/>
  <c r="N182" i="9"/>
  <c r="I182" i="9"/>
  <c r="H182" i="9"/>
  <c r="G182" i="9"/>
  <c r="F182" i="9"/>
  <c r="E182" i="9"/>
  <c r="D182" i="9"/>
  <c r="C182" i="9"/>
  <c r="O181" i="9"/>
  <c r="N181" i="9"/>
  <c r="I181" i="9"/>
  <c r="H181" i="9"/>
  <c r="G181" i="9"/>
  <c r="F181" i="9"/>
  <c r="E181" i="9"/>
  <c r="D181" i="9"/>
  <c r="C181" i="9"/>
  <c r="O180" i="9"/>
  <c r="N180" i="9"/>
  <c r="I180" i="9"/>
  <c r="H180" i="9"/>
  <c r="G180" i="9"/>
  <c r="F180" i="9"/>
  <c r="E180" i="9"/>
  <c r="D180" i="9"/>
  <c r="C180" i="9"/>
  <c r="O179" i="9"/>
  <c r="N179" i="9"/>
  <c r="I179" i="9"/>
  <c r="H179" i="9"/>
  <c r="G179" i="9"/>
  <c r="F179" i="9"/>
  <c r="E179" i="9"/>
  <c r="D179" i="9"/>
  <c r="C179" i="9"/>
  <c r="O178" i="9"/>
  <c r="N178" i="9"/>
  <c r="I178" i="9"/>
  <c r="H178" i="9"/>
  <c r="G178" i="9"/>
  <c r="F178" i="9"/>
  <c r="E178" i="9"/>
  <c r="D178" i="9"/>
  <c r="C178" i="9"/>
  <c r="O177" i="9"/>
  <c r="N177" i="9"/>
  <c r="I177" i="9"/>
  <c r="H177" i="9"/>
  <c r="G177" i="9"/>
  <c r="F177" i="9"/>
  <c r="E177" i="9"/>
  <c r="D177" i="9"/>
  <c r="C177" i="9"/>
  <c r="O176" i="9"/>
  <c r="N176" i="9"/>
  <c r="I176" i="9"/>
  <c r="H176" i="9"/>
  <c r="G176" i="9"/>
  <c r="F176" i="9"/>
  <c r="E176" i="9"/>
  <c r="D176" i="9"/>
  <c r="C176" i="9"/>
  <c r="O175" i="9"/>
  <c r="N175" i="9"/>
  <c r="I175" i="9"/>
  <c r="H175" i="9"/>
  <c r="G175" i="9"/>
  <c r="F175" i="9"/>
  <c r="E175" i="9"/>
  <c r="D175" i="9"/>
  <c r="C175" i="9"/>
  <c r="O174" i="9"/>
  <c r="N174" i="9"/>
  <c r="I174" i="9"/>
  <c r="H174" i="9"/>
  <c r="G174" i="9"/>
  <c r="F174" i="9"/>
  <c r="E174" i="9"/>
  <c r="D174" i="9"/>
  <c r="C174" i="9"/>
  <c r="O173" i="9"/>
  <c r="N173" i="9"/>
  <c r="I173" i="9"/>
  <c r="H173" i="9"/>
  <c r="G173" i="9"/>
  <c r="F173" i="9"/>
  <c r="E173" i="9"/>
  <c r="D173" i="9"/>
  <c r="C173" i="9"/>
  <c r="O172" i="9"/>
  <c r="N172" i="9"/>
  <c r="I172" i="9"/>
  <c r="H172" i="9"/>
  <c r="G172" i="9"/>
  <c r="F172" i="9"/>
  <c r="E172" i="9"/>
  <c r="D172" i="9"/>
  <c r="C172" i="9"/>
  <c r="O171" i="9"/>
  <c r="N171" i="9"/>
  <c r="I171" i="9"/>
  <c r="H171" i="9"/>
  <c r="G171" i="9"/>
  <c r="F171" i="9"/>
  <c r="E171" i="9"/>
  <c r="D171" i="9"/>
  <c r="C171" i="9"/>
  <c r="O170" i="9"/>
  <c r="N170" i="9"/>
  <c r="I170" i="9"/>
  <c r="H170" i="9"/>
  <c r="G170" i="9"/>
  <c r="F170" i="9"/>
  <c r="E170" i="9"/>
  <c r="D170" i="9"/>
  <c r="C170" i="9"/>
  <c r="O169" i="9"/>
  <c r="N169" i="9"/>
  <c r="I169" i="9"/>
  <c r="H169" i="9"/>
  <c r="G169" i="9"/>
  <c r="F169" i="9"/>
  <c r="E169" i="9"/>
  <c r="D169" i="9"/>
  <c r="C169" i="9"/>
  <c r="O168" i="9"/>
  <c r="N168" i="9"/>
  <c r="I168" i="9"/>
  <c r="H168" i="9"/>
  <c r="G168" i="9"/>
  <c r="F168" i="9"/>
  <c r="E168" i="9"/>
  <c r="D168" i="9"/>
  <c r="C168" i="9"/>
  <c r="O167" i="9"/>
  <c r="N167" i="9"/>
  <c r="I167" i="9"/>
  <c r="H167" i="9"/>
  <c r="G167" i="9"/>
  <c r="F167" i="9"/>
  <c r="E167" i="9"/>
  <c r="D167" i="9"/>
  <c r="C167" i="9"/>
  <c r="O166" i="9"/>
  <c r="N166" i="9"/>
  <c r="I166" i="9"/>
  <c r="H166" i="9"/>
  <c r="G166" i="9"/>
  <c r="F166" i="9"/>
  <c r="E166" i="9"/>
  <c r="D166" i="9"/>
  <c r="C166" i="9"/>
  <c r="O165" i="9"/>
  <c r="N165" i="9"/>
  <c r="I165" i="9"/>
  <c r="H165" i="9"/>
  <c r="G165" i="9"/>
  <c r="F165" i="9"/>
  <c r="E165" i="9"/>
  <c r="D165" i="9"/>
  <c r="C165" i="9"/>
  <c r="O164" i="9"/>
  <c r="N164" i="9"/>
  <c r="I164" i="9"/>
  <c r="H164" i="9"/>
  <c r="G164" i="9"/>
  <c r="F164" i="9"/>
  <c r="E164" i="9"/>
  <c r="D164" i="9"/>
  <c r="C164" i="9"/>
  <c r="O163" i="9"/>
  <c r="N163" i="9"/>
  <c r="I163" i="9"/>
  <c r="H163" i="9"/>
  <c r="G163" i="9"/>
  <c r="F163" i="9"/>
  <c r="E163" i="9"/>
  <c r="D163" i="9"/>
  <c r="C163" i="9"/>
  <c r="O162" i="9"/>
  <c r="N162" i="9"/>
  <c r="I162" i="9"/>
  <c r="H162" i="9"/>
  <c r="G162" i="9"/>
  <c r="F162" i="9"/>
  <c r="E162" i="9"/>
  <c r="D162" i="9"/>
  <c r="C162" i="9"/>
  <c r="O161" i="9"/>
  <c r="N161" i="9"/>
  <c r="I161" i="9"/>
  <c r="H161" i="9"/>
  <c r="G161" i="9"/>
  <c r="F161" i="9"/>
  <c r="E161" i="9"/>
  <c r="D161" i="9"/>
  <c r="C161" i="9"/>
  <c r="O160" i="9"/>
  <c r="N160" i="9"/>
  <c r="I160" i="9"/>
  <c r="H160" i="9"/>
  <c r="G160" i="9"/>
  <c r="F160" i="9"/>
  <c r="E160" i="9"/>
  <c r="D160" i="9"/>
  <c r="C160" i="9"/>
  <c r="O159" i="9"/>
  <c r="N159" i="9"/>
  <c r="I159" i="9"/>
  <c r="H159" i="9"/>
  <c r="G159" i="9"/>
  <c r="F159" i="9"/>
  <c r="E159" i="9"/>
  <c r="D159" i="9"/>
  <c r="C159" i="9"/>
  <c r="O158" i="9"/>
  <c r="N158" i="9"/>
  <c r="I158" i="9"/>
  <c r="H158" i="9"/>
  <c r="G158" i="9"/>
  <c r="F158" i="9"/>
  <c r="E158" i="9"/>
  <c r="D158" i="9"/>
  <c r="C158" i="9"/>
  <c r="O157" i="9"/>
  <c r="N157" i="9"/>
  <c r="I157" i="9"/>
  <c r="H157" i="9"/>
  <c r="G157" i="9"/>
  <c r="F157" i="9"/>
  <c r="E157" i="9"/>
  <c r="D157" i="9"/>
  <c r="C157" i="9"/>
  <c r="O156" i="9"/>
  <c r="N156" i="9"/>
  <c r="I156" i="9"/>
  <c r="H156" i="9"/>
  <c r="G156" i="9"/>
  <c r="F156" i="9"/>
  <c r="E156" i="9"/>
  <c r="D156" i="9"/>
  <c r="C156" i="9"/>
  <c r="O155" i="9"/>
  <c r="N155" i="9"/>
  <c r="I155" i="9"/>
  <c r="H155" i="9"/>
  <c r="G155" i="9"/>
  <c r="F155" i="9"/>
  <c r="E155" i="9"/>
  <c r="D155" i="9"/>
  <c r="C155" i="9"/>
  <c r="O154" i="9"/>
  <c r="N154" i="9"/>
  <c r="I154" i="9"/>
  <c r="H154" i="9"/>
  <c r="G154" i="9"/>
  <c r="F154" i="9"/>
  <c r="E154" i="9"/>
  <c r="D154" i="9"/>
  <c r="C154" i="9"/>
  <c r="O153" i="9"/>
  <c r="N153" i="9"/>
  <c r="I153" i="9"/>
  <c r="H153" i="9"/>
  <c r="G153" i="9"/>
  <c r="F153" i="9"/>
  <c r="E153" i="9"/>
  <c r="D153" i="9"/>
  <c r="C153" i="9"/>
  <c r="O152" i="9"/>
  <c r="N152" i="9"/>
  <c r="I152" i="9"/>
  <c r="H152" i="9"/>
  <c r="G152" i="9"/>
  <c r="F152" i="9"/>
  <c r="E152" i="9"/>
  <c r="D152" i="9"/>
  <c r="C152" i="9"/>
  <c r="O151" i="9"/>
  <c r="N151" i="9"/>
  <c r="I151" i="9"/>
  <c r="H151" i="9"/>
  <c r="G151" i="9"/>
  <c r="F151" i="9"/>
  <c r="E151" i="9"/>
  <c r="D151" i="9"/>
  <c r="C151" i="9"/>
  <c r="O150" i="9"/>
  <c r="N150" i="9"/>
  <c r="I150" i="9"/>
  <c r="H150" i="9"/>
  <c r="G150" i="9"/>
  <c r="F150" i="9"/>
  <c r="E150" i="9"/>
  <c r="D150" i="9"/>
  <c r="C150" i="9"/>
  <c r="O149" i="9"/>
  <c r="N149" i="9"/>
  <c r="I149" i="9"/>
  <c r="H149" i="9"/>
  <c r="G149" i="9"/>
  <c r="F149" i="9"/>
  <c r="E149" i="9"/>
  <c r="D149" i="9"/>
  <c r="C149" i="9"/>
  <c r="O148" i="9"/>
  <c r="N148" i="9"/>
  <c r="I148" i="9"/>
  <c r="H148" i="9"/>
  <c r="G148" i="9"/>
  <c r="F148" i="9"/>
  <c r="E148" i="9"/>
  <c r="D148" i="9"/>
  <c r="C148" i="9"/>
  <c r="O147" i="9"/>
  <c r="N147" i="9"/>
  <c r="I147" i="9"/>
  <c r="H147" i="9"/>
  <c r="G147" i="9"/>
  <c r="F147" i="9"/>
  <c r="E147" i="9"/>
  <c r="D147" i="9"/>
  <c r="C147" i="9"/>
  <c r="O146" i="9"/>
  <c r="N146" i="9"/>
  <c r="I146" i="9"/>
  <c r="H146" i="9"/>
  <c r="G146" i="9"/>
  <c r="F146" i="9"/>
  <c r="E146" i="9"/>
  <c r="D146" i="9"/>
  <c r="C146" i="9"/>
  <c r="O145" i="9"/>
  <c r="N145" i="9"/>
  <c r="I145" i="9"/>
  <c r="H145" i="9"/>
  <c r="G145" i="9"/>
  <c r="F145" i="9"/>
  <c r="E145" i="9"/>
  <c r="D145" i="9"/>
  <c r="C145" i="9"/>
  <c r="O144" i="9"/>
  <c r="N144" i="9"/>
  <c r="I144" i="9"/>
  <c r="H144" i="9"/>
  <c r="G144" i="9"/>
  <c r="F144" i="9"/>
  <c r="E144" i="9"/>
  <c r="D144" i="9"/>
  <c r="C144" i="9"/>
  <c r="O143" i="9"/>
  <c r="N143" i="9"/>
  <c r="I143" i="9"/>
  <c r="H143" i="9"/>
  <c r="G143" i="9"/>
  <c r="F143" i="9"/>
  <c r="E143" i="9"/>
  <c r="D143" i="9"/>
  <c r="C143" i="9"/>
  <c r="O142" i="9"/>
  <c r="N142" i="9"/>
  <c r="I142" i="9"/>
  <c r="H142" i="9"/>
  <c r="G142" i="9"/>
  <c r="F142" i="9"/>
  <c r="E142" i="9"/>
  <c r="D142" i="9"/>
  <c r="C142" i="9"/>
  <c r="O141" i="9"/>
  <c r="N141" i="9"/>
  <c r="I141" i="9"/>
  <c r="H141" i="9"/>
  <c r="G141" i="9"/>
  <c r="F141" i="9"/>
  <c r="E141" i="9"/>
  <c r="D141" i="9"/>
  <c r="C141" i="9"/>
  <c r="O140" i="9"/>
  <c r="N140" i="9"/>
  <c r="I140" i="9"/>
  <c r="H140" i="9"/>
  <c r="G140" i="9"/>
  <c r="F140" i="9"/>
  <c r="E140" i="9"/>
  <c r="D140" i="9"/>
  <c r="C140" i="9"/>
  <c r="O139" i="9"/>
  <c r="N139" i="9"/>
  <c r="I139" i="9"/>
  <c r="H139" i="9"/>
  <c r="G139" i="9"/>
  <c r="F139" i="9"/>
  <c r="E139" i="9"/>
  <c r="D139" i="9"/>
  <c r="C139" i="9"/>
  <c r="O138" i="9"/>
  <c r="N138" i="9"/>
  <c r="I138" i="9"/>
  <c r="H138" i="9"/>
  <c r="G138" i="9"/>
  <c r="F138" i="9"/>
  <c r="E138" i="9"/>
  <c r="D138" i="9"/>
  <c r="C138" i="9"/>
  <c r="O137" i="9"/>
  <c r="N137" i="9"/>
  <c r="I137" i="9"/>
  <c r="H137" i="9"/>
  <c r="G137" i="9"/>
  <c r="F137" i="9"/>
  <c r="E137" i="9"/>
  <c r="D137" i="9"/>
  <c r="C137" i="9"/>
  <c r="O136" i="9"/>
  <c r="N136" i="9"/>
  <c r="I136" i="9"/>
  <c r="H136" i="9"/>
  <c r="G136" i="9"/>
  <c r="F136" i="9"/>
  <c r="E136" i="9"/>
  <c r="D136" i="9"/>
  <c r="C136" i="9"/>
  <c r="O135" i="9"/>
  <c r="N135" i="9"/>
  <c r="I135" i="9"/>
  <c r="H135" i="9"/>
  <c r="G135" i="9"/>
  <c r="F135" i="9"/>
  <c r="E135" i="9"/>
  <c r="D135" i="9"/>
  <c r="C135" i="9"/>
  <c r="O134" i="9"/>
  <c r="N134" i="9"/>
  <c r="I134" i="9"/>
  <c r="H134" i="9"/>
  <c r="G134" i="9"/>
  <c r="F134" i="9"/>
  <c r="E134" i="9"/>
  <c r="D134" i="9"/>
  <c r="C134" i="9"/>
  <c r="O133" i="9"/>
  <c r="N133" i="9"/>
  <c r="I133" i="9"/>
  <c r="H133" i="9"/>
  <c r="G133" i="9"/>
  <c r="F133" i="9"/>
  <c r="E133" i="9"/>
  <c r="D133" i="9"/>
  <c r="C133" i="9"/>
  <c r="O132" i="9"/>
  <c r="N132" i="9"/>
  <c r="I132" i="9"/>
  <c r="H132" i="9"/>
  <c r="G132" i="9"/>
  <c r="F132" i="9"/>
  <c r="E132" i="9"/>
  <c r="D132" i="9"/>
  <c r="C132" i="9"/>
  <c r="O131" i="9"/>
  <c r="N131" i="9"/>
  <c r="I131" i="9"/>
  <c r="H131" i="9"/>
  <c r="G131" i="9"/>
  <c r="F131" i="9"/>
  <c r="E131" i="9"/>
  <c r="D131" i="9"/>
  <c r="C131" i="9"/>
  <c r="O130" i="9"/>
  <c r="N130" i="9"/>
  <c r="I130" i="9"/>
  <c r="H130" i="9"/>
  <c r="G130" i="9"/>
  <c r="F130" i="9"/>
  <c r="E130" i="9"/>
  <c r="D130" i="9"/>
  <c r="C130" i="9"/>
  <c r="O129" i="9"/>
  <c r="N129" i="9"/>
  <c r="I129" i="9"/>
  <c r="H129" i="9"/>
  <c r="G129" i="9"/>
  <c r="F129" i="9"/>
  <c r="E129" i="9"/>
  <c r="D129" i="9"/>
  <c r="C129" i="9"/>
  <c r="O128" i="9"/>
  <c r="N128" i="9"/>
  <c r="I128" i="9"/>
  <c r="H128" i="9"/>
  <c r="G128" i="9"/>
  <c r="F128" i="9"/>
  <c r="E128" i="9"/>
  <c r="D128" i="9"/>
  <c r="C128" i="9"/>
  <c r="O127" i="9"/>
  <c r="N127" i="9"/>
  <c r="I127" i="9"/>
  <c r="H127" i="9"/>
  <c r="G127" i="9"/>
  <c r="F127" i="9"/>
  <c r="E127" i="9"/>
  <c r="D127" i="9"/>
  <c r="C127" i="9"/>
  <c r="O126" i="9"/>
  <c r="N126" i="9"/>
  <c r="I126" i="9"/>
  <c r="H126" i="9"/>
  <c r="G126" i="9"/>
  <c r="F126" i="9"/>
  <c r="E126" i="9"/>
  <c r="D126" i="9"/>
  <c r="C126" i="9"/>
  <c r="O125" i="9"/>
  <c r="N125" i="9"/>
  <c r="I125" i="9"/>
  <c r="H125" i="9"/>
  <c r="G125" i="9"/>
  <c r="F125" i="9"/>
  <c r="E125" i="9"/>
  <c r="D125" i="9"/>
  <c r="C125" i="9"/>
  <c r="O124" i="9"/>
  <c r="N124" i="9"/>
  <c r="I124" i="9"/>
  <c r="H124" i="9"/>
  <c r="G124" i="9"/>
  <c r="F124" i="9"/>
  <c r="E124" i="9"/>
  <c r="D124" i="9"/>
  <c r="C124" i="9"/>
  <c r="O123" i="9"/>
  <c r="N123" i="9"/>
  <c r="I123" i="9"/>
  <c r="H123" i="9"/>
  <c r="G123" i="9"/>
  <c r="F123" i="9"/>
  <c r="E123" i="9"/>
  <c r="D123" i="9"/>
  <c r="C123" i="9"/>
  <c r="O122" i="9"/>
  <c r="N122" i="9"/>
  <c r="I122" i="9"/>
  <c r="H122" i="9"/>
  <c r="G122" i="9"/>
  <c r="F122" i="9"/>
  <c r="E122" i="9"/>
  <c r="D122" i="9"/>
  <c r="C122" i="9"/>
  <c r="O121" i="9"/>
  <c r="N121" i="9"/>
  <c r="I121" i="9"/>
  <c r="H121" i="9"/>
  <c r="G121" i="9"/>
  <c r="F121" i="9"/>
  <c r="E121" i="9"/>
  <c r="D121" i="9"/>
  <c r="C121" i="9"/>
  <c r="O120" i="9"/>
  <c r="N120" i="9"/>
  <c r="I120" i="9"/>
  <c r="H120" i="9"/>
  <c r="G120" i="9"/>
  <c r="F120" i="9"/>
  <c r="E120" i="9"/>
  <c r="D120" i="9"/>
  <c r="C120" i="9"/>
  <c r="O119" i="9"/>
  <c r="N119" i="9"/>
  <c r="I119" i="9"/>
  <c r="H119" i="9"/>
  <c r="G119" i="9"/>
  <c r="F119" i="9"/>
  <c r="E119" i="9"/>
  <c r="D119" i="9"/>
  <c r="C119" i="9"/>
  <c r="O118" i="9"/>
  <c r="N118" i="9"/>
  <c r="I118" i="9"/>
  <c r="H118" i="9"/>
  <c r="G118" i="9"/>
  <c r="F118" i="9"/>
  <c r="E118" i="9"/>
  <c r="D118" i="9"/>
  <c r="C118" i="9"/>
  <c r="O117" i="9"/>
  <c r="N117" i="9"/>
  <c r="I117" i="9"/>
  <c r="H117" i="9"/>
  <c r="G117" i="9"/>
  <c r="F117" i="9"/>
  <c r="E117" i="9"/>
  <c r="D117" i="9"/>
  <c r="C117" i="9"/>
  <c r="O116" i="9"/>
  <c r="N116" i="9"/>
  <c r="I116" i="9"/>
  <c r="H116" i="9"/>
  <c r="G116" i="9"/>
  <c r="F116" i="9"/>
  <c r="E116" i="9"/>
  <c r="D116" i="9"/>
  <c r="C116" i="9"/>
  <c r="O115" i="9"/>
  <c r="N115" i="9"/>
  <c r="I115" i="9"/>
  <c r="H115" i="9"/>
  <c r="G115" i="9"/>
  <c r="F115" i="9"/>
  <c r="E115" i="9"/>
  <c r="D115" i="9"/>
  <c r="C115" i="9"/>
  <c r="O114" i="9"/>
  <c r="N114" i="9"/>
  <c r="I114" i="9"/>
  <c r="H114" i="9"/>
  <c r="G114" i="9"/>
  <c r="F114" i="9"/>
  <c r="E114" i="9"/>
  <c r="D114" i="9"/>
  <c r="C114" i="9"/>
  <c r="O113" i="9"/>
  <c r="N113" i="9"/>
  <c r="I113" i="9"/>
  <c r="H113" i="9"/>
  <c r="G113" i="9"/>
  <c r="F113" i="9"/>
  <c r="E113" i="9"/>
  <c r="D113" i="9"/>
  <c r="C113" i="9"/>
  <c r="O112" i="9"/>
  <c r="N112" i="9"/>
  <c r="I112" i="9"/>
  <c r="H112" i="9"/>
  <c r="G112" i="9"/>
  <c r="F112" i="9"/>
  <c r="E112" i="9"/>
  <c r="D112" i="9"/>
  <c r="C112" i="9"/>
  <c r="O111" i="9"/>
  <c r="N111" i="9"/>
  <c r="I111" i="9"/>
  <c r="H111" i="9"/>
  <c r="G111" i="9"/>
  <c r="F111" i="9"/>
  <c r="E111" i="9"/>
  <c r="D111" i="9"/>
  <c r="C111" i="9"/>
  <c r="O110" i="9"/>
  <c r="N110" i="9"/>
  <c r="I110" i="9"/>
  <c r="H110" i="9"/>
  <c r="G110" i="9"/>
  <c r="F110" i="9"/>
  <c r="E110" i="9"/>
  <c r="D110" i="9"/>
  <c r="C110" i="9"/>
  <c r="O109" i="9"/>
  <c r="N109" i="9"/>
  <c r="I109" i="9"/>
  <c r="H109" i="9"/>
  <c r="G109" i="9"/>
  <c r="F109" i="9"/>
  <c r="E109" i="9"/>
  <c r="D109" i="9"/>
  <c r="C109" i="9"/>
  <c r="O108" i="9"/>
  <c r="N108" i="9"/>
  <c r="I108" i="9"/>
  <c r="H108" i="9"/>
  <c r="G108" i="9"/>
  <c r="F108" i="9"/>
  <c r="E108" i="9"/>
  <c r="D108" i="9"/>
  <c r="C108" i="9"/>
  <c r="O107" i="9"/>
  <c r="N107" i="9"/>
  <c r="I107" i="9"/>
  <c r="H107" i="9"/>
  <c r="G107" i="9"/>
  <c r="F107" i="9"/>
  <c r="E107" i="9"/>
  <c r="D107" i="9"/>
  <c r="C107" i="9"/>
  <c r="O106" i="9"/>
  <c r="N106" i="9"/>
  <c r="I106" i="9"/>
  <c r="H106" i="9"/>
  <c r="G106" i="9"/>
  <c r="F106" i="9"/>
  <c r="E106" i="9"/>
  <c r="D106" i="9"/>
  <c r="C106" i="9"/>
  <c r="O105" i="9"/>
  <c r="N105" i="9"/>
  <c r="I105" i="9"/>
  <c r="H105" i="9"/>
  <c r="G105" i="9"/>
  <c r="F105" i="9"/>
  <c r="E105" i="9"/>
  <c r="D105" i="9"/>
  <c r="C105" i="9"/>
  <c r="O104" i="9"/>
  <c r="N104" i="9"/>
  <c r="I104" i="9"/>
  <c r="H104" i="9"/>
  <c r="G104" i="9"/>
  <c r="F104" i="9"/>
  <c r="E104" i="9"/>
  <c r="D104" i="9"/>
  <c r="C104" i="9"/>
  <c r="O103" i="9"/>
  <c r="N103" i="9"/>
  <c r="I103" i="9"/>
  <c r="H103" i="9"/>
  <c r="G103" i="9"/>
  <c r="F103" i="9"/>
  <c r="E103" i="9"/>
  <c r="D103" i="9"/>
  <c r="C103" i="9"/>
  <c r="O102" i="9"/>
  <c r="N102" i="9"/>
  <c r="I102" i="9"/>
  <c r="H102" i="9"/>
  <c r="G102" i="9"/>
  <c r="F102" i="9"/>
  <c r="E102" i="9"/>
  <c r="D102" i="9"/>
  <c r="C102" i="9"/>
  <c r="O101" i="9"/>
  <c r="N101" i="9"/>
  <c r="I101" i="9"/>
  <c r="H101" i="9"/>
  <c r="G101" i="9"/>
  <c r="F101" i="9"/>
  <c r="E101" i="9"/>
  <c r="D101" i="9"/>
  <c r="C101" i="9"/>
  <c r="O100" i="9"/>
  <c r="N100" i="9"/>
  <c r="I100" i="9"/>
  <c r="H100" i="9"/>
  <c r="G100" i="9"/>
  <c r="F100" i="9"/>
  <c r="E100" i="9"/>
  <c r="D100" i="9"/>
  <c r="C100" i="9"/>
  <c r="O99" i="9"/>
  <c r="N99" i="9"/>
  <c r="I99" i="9"/>
  <c r="H99" i="9"/>
  <c r="G99" i="9"/>
  <c r="F99" i="9"/>
  <c r="E99" i="9"/>
  <c r="D99" i="9"/>
  <c r="C99" i="9"/>
  <c r="O98" i="9"/>
  <c r="N98" i="9"/>
  <c r="I98" i="9"/>
  <c r="H98" i="9"/>
  <c r="G98" i="9"/>
  <c r="F98" i="9"/>
  <c r="E98" i="9"/>
  <c r="D98" i="9"/>
  <c r="C98" i="9"/>
  <c r="O97" i="9"/>
  <c r="N97" i="9"/>
  <c r="I97" i="9"/>
  <c r="H97" i="9"/>
  <c r="G97" i="9"/>
  <c r="F97" i="9"/>
  <c r="E97" i="9"/>
  <c r="D97" i="9"/>
  <c r="C97" i="9"/>
  <c r="O96" i="9"/>
  <c r="N96" i="9"/>
  <c r="I96" i="9"/>
  <c r="H96" i="9"/>
  <c r="G96" i="9"/>
  <c r="F96" i="9"/>
  <c r="E96" i="9"/>
  <c r="D96" i="9"/>
  <c r="C96" i="9"/>
  <c r="O95" i="9"/>
  <c r="N95" i="9"/>
  <c r="I95" i="9"/>
  <c r="H95" i="9"/>
  <c r="G95" i="9"/>
  <c r="F95" i="9"/>
  <c r="E95" i="9"/>
  <c r="D95" i="9"/>
  <c r="C95" i="9"/>
  <c r="O94" i="9"/>
  <c r="N94" i="9"/>
  <c r="I94" i="9"/>
  <c r="H94" i="9"/>
  <c r="G94" i="9"/>
  <c r="F94" i="9"/>
  <c r="E94" i="9"/>
  <c r="D94" i="9"/>
  <c r="C94" i="9"/>
  <c r="O93" i="9"/>
  <c r="N93" i="9"/>
  <c r="I93" i="9"/>
  <c r="H93" i="9"/>
  <c r="G93" i="9"/>
  <c r="F93" i="9"/>
  <c r="E93" i="9"/>
  <c r="D93" i="9"/>
  <c r="C93" i="9"/>
  <c r="O92" i="9"/>
  <c r="N92" i="9"/>
  <c r="I92" i="9"/>
  <c r="H92" i="9"/>
  <c r="G92" i="9"/>
  <c r="F92" i="9"/>
  <c r="E92" i="9"/>
  <c r="D92" i="9"/>
  <c r="C92" i="9"/>
  <c r="O91" i="9"/>
  <c r="N91" i="9"/>
  <c r="I91" i="9"/>
  <c r="H91" i="9"/>
  <c r="G91" i="9"/>
  <c r="F91" i="9"/>
  <c r="E91" i="9"/>
  <c r="D91" i="9"/>
  <c r="C91" i="9"/>
  <c r="O90" i="9"/>
  <c r="N90" i="9"/>
  <c r="I90" i="9"/>
  <c r="H90" i="9"/>
  <c r="G90" i="9"/>
  <c r="F90" i="9"/>
  <c r="E90" i="9"/>
  <c r="D90" i="9"/>
  <c r="C90" i="9"/>
  <c r="O89" i="9"/>
  <c r="N89" i="9"/>
  <c r="I89" i="9"/>
  <c r="H89" i="9"/>
  <c r="G89" i="9"/>
  <c r="F89" i="9"/>
  <c r="E89" i="9"/>
  <c r="D89" i="9"/>
  <c r="C89" i="9"/>
  <c r="O88" i="9"/>
  <c r="N88" i="9"/>
  <c r="I88" i="9"/>
  <c r="H88" i="9"/>
  <c r="G88" i="9"/>
  <c r="F88" i="9"/>
  <c r="E88" i="9"/>
  <c r="D88" i="9"/>
  <c r="C88" i="9"/>
  <c r="O87" i="9"/>
  <c r="N87" i="9"/>
  <c r="I87" i="9"/>
  <c r="H87" i="9"/>
  <c r="G87" i="9"/>
  <c r="F87" i="9"/>
  <c r="E87" i="9"/>
  <c r="D87" i="9"/>
  <c r="C87" i="9"/>
  <c r="O86" i="9"/>
  <c r="N86" i="9"/>
  <c r="I86" i="9"/>
  <c r="H86" i="9"/>
  <c r="G86" i="9"/>
  <c r="F86" i="9"/>
  <c r="E86" i="9"/>
  <c r="D86" i="9"/>
  <c r="C86" i="9"/>
  <c r="O85" i="9"/>
  <c r="N85" i="9"/>
  <c r="I85" i="9"/>
  <c r="H85" i="9"/>
  <c r="G85" i="9"/>
  <c r="F85" i="9"/>
  <c r="E85" i="9"/>
  <c r="D85" i="9"/>
  <c r="C85" i="9"/>
  <c r="O84" i="9"/>
  <c r="N84" i="9"/>
  <c r="I84" i="9"/>
  <c r="H84" i="9"/>
  <c r="G84" i="9"/>
  <c r="F84" i="9"/>
  <c r="E84" i="9"/>
  <c r="D84" i="9"/>
  <c r="C84" i="9"/>
  <c r="O83" i="9"/>
  <c r="N83" i="9"/>
  <c r="I83" i="9"/>
  <c r="H83" i="9"/>
  <c r="G83" i="9"/>
  <c r="F83" i="9"/>
  <c r="E83" i="9"/>
  <c r="D83" i="9"/>
  <c r="C83" i="9"/>
  <c r="O82" i="9"/>
  <c r="N82" i="9"/>
  <c r="I82" i="9"/>
  <c r="H82" i="9"/>
  <c r="G82" i="9"/>
  <c r="F82" i="9"/>
  <c r="E82" i="9"/>
  <c r="D82" i="9"/>
  <c r="C82" i="9"/>
  <c r="O81" i="9"/>
  <c r="N81" i="9"/>
  <c r="I81" i="9"/>
  <c r="H81" i="9"/>
  <c r="G81" i="9"/>
  <c r="F81" i="9"/>
  <c r="E81" i="9"/>
  <c r="D81" i="9"/>
  <c r="C81" i="9"/>
  <c r="O80" i="9"/>
  <c r="N80" i="9"/>
  <c r="I80" i="9"/>
  <c r="H80" i="9"/>
  <c r="G80" i="9"/>
  <c r="F80" i="9"/>
  <c r="E80" i="9"/>
  <c r="D80" i="9"/>
  <c r="C80" i="9"/>
  <c r="O79" i="9"/>
  <c r="N79" i="9"/>
  <c r="I79" i="9"/>
  <c r="H79" i="9"/>
  <c r="G79" i="9"/>
  <c r="F79" i="9"/>
  <c r="E79" i="9"/>
  <c r="D79" i="9"/>
  <c r="C79" i="9"/>
  <c r="O78" i="9"/>
  <c r="N78" i="9"/>
  <c r="I78" i="9"/>
  <c r="H78" i="9"/>
  <c r="G78" i="9"/>
  <c r="F78" i="9"/>
  <c r="E78" i="9"/>
  <c r="D78" i="9"/>
  <c r="C78" i="9"/>
  <c r="O77" i="9"/>
  <c r="N77" i="9"/>
  <c r="I77" i="9"/>
  <c r="H77" i="9"/>
  <c r="G77" i="9"/>
  <c r="F77" i="9"/>
  <c r="E77" i="9"/>
  <c r="D77" i="9"/>
  <c r="C77" i="9"/>
  <c r="O76" i="9"/>
  <c r="N76" i="9"/>
  <c r="I76" i="9"/>
  <c r="H76" i="9"/>
  <c r="G76" i="9"/>
  <c r="F76" i="9"/>
  <c r="E76" i="9"/>
  <c r="D76" i="9"/>
  <c r="C76" i="9"/>
  <c r="O75" i="9"/>
  <c r="N75" i="9"/>
  <c r="I75" i="9"/>
  <c r="H75" i="9"/>
  <c r="G75" i="9"/>
  <c r="F75" i="9"/>
  <c r="E75" i="9"/>
  <c r="D75" i="9"/>
  <c r="C75" i="9"/>
  <c r="O74" i="9"/>
  <c r="N74" i="9"/>
  <c r="I74" i="9"/>
  <c r="H74" i="9"/>
  <c r="G74" i="9"/>
  <c r="F74" i="9"/>
  <c r="E74" i="9"/>
  <c r="D74" i="9"/>
  <c r="C74" i="9"/>
  <c r="O73" i="9"/>
  <c r="N73" i="9"/>
  <c r="I73" i="9"/>
  <c r="H73" i="9"/>
  <c r="G73" i="9"/>
  <c r="F73" i="9"/>
  <c r="E73" i="9"/>
  <c r="D73" i="9"/>
  <c r="C73" i="9"/>
  <c r="O72" i="9"/>
  <c r="N72" i="9"/>
  <c r="I72" i="9"/>
  <c r="H72" i="9"/>
  <c r="G72" i="9"/>
  <c r="F72" i="9"/>
  <c r="E72" i="9"/>
  <c r="D72" i="9"/>
  <c r="C72" i="9"/>
  <c r="O71" i="9"/>
  <c r="N71" i="9"/>
  <c r="I71" i="9"/>
  <c r="H71" i="9"/>
  <c r="G71" i="9"/>
  <c r="F71" i="9"/>
  <c r="E71" i="9"/>
  <c r="D71" i="9"/>
  <c r="C71" i="9"/>
  <c r="O70" i="9"/>
  <c r="N70" i="9"/>
  <c r="I70" i="9"/>
  <c r="H70" i="9"/>
  <c r="G70" i="9"/>
  <c r="F70" i="9"/>
  <c r="E70" i="9"/>
  <c r="D70" i="9"/>
  <c r="C70" i="9"/>
  <c r="O69" i="9"/>
  <c r="N69" i="9"/>
  <c r="I69" i="9"/>
  <c r="H69" i="9"/>
  <c r="G69" i="9"/>
  <c r="F69" i="9"/>
  <c r="E69" i="9"/>
  <c r="D69" i="9"/>
  <c r="C69" i="9"/>
  <c r="O68" i="9"/>
  <c r="N68" i="9"/>
  <c r="I68" i="9"/>
  <c r="H68" i="9"/>
  <c r="G68" i="9"/>
  <c r="F68" i="9"/>
  <c r="E68" i="9"/>
  <c r="D68" i="9"/>
  <c r="C68" i="9"/>
  <c r="O67" i="9"/>
  <c r="N67" i="9"/>
  <c r="I67" i="9"/>
  <c r="H67" i="9"/>
  <c r="G67" i="9"/>
  <c r="F67" i="9"/>
  <c r="E67" i="9"/>
  <c r="D67" i="9"/>
  <c r="C67" i="9"/>
  <c r="O66" i="9"/>
  <c r="N66" i="9"/>
  <c r="I66" i="9"/>
  <c r="H66" i="9"/>
  <c r="G66" i="9"/>
  <c r="F66" i="9"/>
  <c r="E66" i="9"/>
  <c r="D66" i="9"/>
  <c r="C66" i="9"/>
  <c r="O65" i="9"/>
  <c r="N65" i="9"/>
  <c r="I65" i="9"/>
  <c r="H65" i="9"/>
  <c r="G65" i="9"/>
  <c r="F65" i="9"/>
  <c r="E65" i="9"/>
  <c r="D65" i="9"/>
  <c r="C65" i="9"/>
  <c r="O64" i="9"/>
  <c r="N64" i="9"/>
  <c r="I64" i="9"/>
  <c r="H64" i="9"/>
  <c r="G64" i="9"/>
  <c r="F64" i="9"/>
  <c r="E64" i="9"/>
  <c r="D64" i="9"/>
  <c r="C64" i="9"/>
  <c r="O63" i="9"/>
  <c r="N63" i="9"/>
  <c r="I63" i="9"/>
  <c r="H63" i="9"/>
  <c r="G63" i="9"/>
  <c r="F63" i="9"/>
  <c r="E63" i="9"/>
  <c r="D63" i="9"/>
  <c r="C63" i="9"/>
  <c r="O62" i="9"/>
  <c r="N62" i="9"/>
  <c r="I62" i="9"/>
  <c r="H62" i="9"/>
  <c r="G62" i="9"/>
  <c r="F62" i="9"/>
  <c r="E62" i="9"/>
  <c r="D62" i="9"/>
  <c r="C62" i="9"/>
  <c r="O61" i="9"/>
  <c r="N61" i="9"/>
  <c r="I61" i="9"/>
  <c r="H61" i="9"/>
  <c r="G61" i="9"/>
  <c r="F61" i="9"/>
  <c r="E61" i="9"/>
  <c r="D61" i="9"/>
  <c r="C61" i="9"/>
  <c r="O60" i="9"/>
  <c r="N60" i="9"/>
  <c r="I60" i="9"/>
  <c r="H60" i="9"/>
  <c r="G60" i="9"/>
  <c r="F60" i="9"/>
  <c r="E60" i="9"/>
  <c r="D60" i="9"/>
  <c r="C60" i="9"/>
  <c r="O59" i="9"/>
  <c r="N59" i="9"/>
  <c r="I59" i="9"/>
  <c r="H59" i="9"/>
  <c r="G59" i="9"/>
  <c r="F59" i="9"/>
  <c r="E59" i="9"/>
  <c r="D59" i="9"/>
  <c r="C59" i="9"/>
  <c r="O58" i="9"/>
  <c r="N58" i="9"/>
  <c r="I58" i="9"/>
  <c r="H58" i="9"/>
  <c r="G58" i="9"/>
  <c r="F58" i="9"/>
  <c r="E58" i="9"/>
  <c r="D58" i="9"/>
  <c r="C58" i="9"/>
  <c r="O57" i="9"/>
  <c r="N57" i="9"/>
  <c r="I57" i="9"/>
  <c r="H57" i="9"/>
  <c r="G57" i="9"/>
  <c r="F57" i="9"/>
  <c r="E57" i="9"/>
  <c r="D57" i="9"/>
  <c r="C57" i="9"/>
  <c r="O56" i="9"/>
  <c r="N56" i="9"/>
  <c r="I56" i="9"/>
  <c r="H56" i="9"/>
  <c r="G56" i="9"/>
  <c r="F56" i="9"/>
  <c r="E56" i="9"/>
  <c r="D56" i="9"/>
  <c r="C56" i="9"/>
  <c r="O55" i="9"/>
  <c r="N55" i="9"/>
  <c r="I55" i="9"/>
  <c r="H55" i="9"/>
  <c r="G55" i="9"/>
  <c r="F55" i="9"/>
  <c r="E55" i="9"/>
  <c r="D55" i="9"/>
  <c r="C55" i="9"/>
  <c r="O54" i="9"/>
  <c r="N54" i="9"/>
  <c r="I54" i="9"/>
  <c r="H54" i="9"/>
  <c r="G54" i="9"/>
  <c r="F54" i="9"/>
  <c r="E54" i="9"/>
  <c r="D54" i="9"/>
  <c r="C54" i="9"/>
  <c r="O53" i="9"/>
  <c r="N53" i="9"/>
  <c r="I53" i="9"/>
  <c r="H53" i="9"/>
  <c r="G53" i="9"/>
  <c r="F53" i="9"/>
  <c r="E53" i="9"/>
  <c r="D53" i="9"/>
  <c r="C53" i="9"/>
  <c r="O52" i="9"/>
  <c r="N52" i="9"/>
  <c r="I52" i="9"/>
  <c r="H52" i="9"/>
  <c r="G52" i="9"/>
  <c r="F52" i="9"/>
  <c r="E52" i="9"/>
  <c r="D52" i="9"/>
  <c r="C52" i="9"/>
  <c r="O51" i="9"/>
  <c r="N51" i="9"/>
  <c r="I51" i="9"/>
  <c r="H51" i="9"/>
  <c r="G51" i="9"/>
  <c r="F51" i="9"/>
  <c r="E51" i="9"/>
  <c r="D51" i="9"/>
  <c r="C51" i="9"/>
  <c r="O50" i="9"/>
  <c r="N50" i="9"/>
  <c r="I50" i="9"/>
  <c r="H50" i="9"/>
  <c r="G50" i="9"/>
  <c r="F50" i="9"/>
  <c r="E50" i="9"/>
  <c r="D50" i="9"/>
  <c r="C50" i="9"/>
  <c r="O49" i="9"/>
  <c r="N49" i="9"/>
  <c r="I49" i="9"/>
  <c r="H49" i="9"/>
  <c r="G49" i="9"/>
  <c r="F49" i="9"/>
  <c r="E49" i="9"/>
  <c r="D49" i="9"/>
  <c r="C49" i="9"/>
  <c r="O48" i="9"/>
  <c r="N48" i="9"/>
  <c r="I48" i="9"/>
  <c r="H48" i="9"/>
  <c r="G48" i="9"/>
  <c r="F48" i="9"/>
  <c r="E48" i="9"/>
  <c r="D48" i="9"/>
  <c r="C48" i="9"/>
  <c r="O47" i="9"/>
  <c r="N47" i="9"/>
  <c r="I47" i="9"/>
  <c r="H47" i="9"/>
  <c r="G47" i="9"/>
  <c r="F47" i="9"/>
  <c r="E47" i="9"/>
  <c r="D47" i="9"/>
  <c r="C47" i="9"/>
  <c r="O46" i="9"/>
  <c r="N46" i="9"/>
  <c r="I46" i="9"/>
  <c r="H46" i="9"/>
  <c r="G46" i="9"/>
  <c r="F46" i="9"/>
  <c r="E46" i="9"/>
  <c r="D46" i="9"/>
  <c r="C46" i="9"/>
  <c r="O45" i="9"/>
  <c r="N45" i="9"/>
  <c r="I45" i="9"/>
  <c r="H45" i="9"/>
  <c r="G45" i="9"/>
  <c r="F45" i="9"/>
  <c r="E45" i="9"/>
  <c r="D45" i="9"/>
  <c r="C45" i="9"/>
  <c r="O44" i="9"/>
  <c r="N44" i="9"/>
  <c r="I44" i="9"/>
  <c r="H44" i="9"/>
  <c r="G44" i="9"/>
  <c r="F44" i="9"/>
  <c r="E44" i="9"/>
  <c r="D44" i="9"/>
  <c r="C44" i="9"/>
  <c r="O43" i="9"/>
  <c r="N43" i="9"/>
  <c r="I43" i="9"/>
  <c r="H43" i="9"/>
  <c r="G43" i="9"/>
  <c r="F43" i="9"/>
  <c r="E43" i="9"/>
  <c r="D43" i="9"/>
  <c r="C43" i="9"/>
  <c r="O42" i="9"/>
  <c r="N42" i="9"/>
  <c r="I42" i="9"/>
  <c r="H42" i="9"/>
  <c r="G42" i="9"/>
  <c r="F42" i="9"/>
  <c r="E42" i="9"/>
  <c r="D42" i="9"/>
  <c r="C42" i="9"/>
  <c r="O41" i="9"/>
  <c r="N41" i="9"/>
  <c r="I41" i="9"/>
  <c r="H41" i="9"/>
  <c r="G41" i="9"/>
  <c r="F41" i="9"/>
  <c r="E41" i="9"/>
  <c r="D41" i="9"/>
  <c r="C41" i="9"/>
  <c r="O40" i="9"/>
  <c r="N40" i="9"/>
  <c r="I40" i="9"/>
  <c r="H40" i="9"/>
  <c r="G40" i="9"/>
  <c r="F40" i="9"/>
  <c r="E40" i="9"/>
  <c r="D40" i="9"/>
  <c r="C40" i="9"/>
  <c r="O39" i="9"/>
  <c r="N39" i="9"/>
  <c r="I39" i="9"/>
  <c r="H39" i="9"/>
  <c r="G39" i="9"/>
  <c r="F39" i="9"/>
  <c r="E39" i="9"/>
  <c r="D39" i="9"/>
  <c r="C39" i="9"/>
  <c r="O38" i="9"/>
  <c r="N38" i="9"/>
  <c r="I38" i="9"/>
  <c r="H38" i="9"/>
  <c r="G38" i="9"/>
  <c r="F38" i="9"/>
  <c r="E38" i="9"/>
  <c r="D38" i="9"/>
  <c r="C38" i="9"/>
  <c r="O37" i="9"/>
  <c r="N37" i="9"/>
  <c r="I37" i="9"/>
  <c r="H37" i="9"/>
  <c r="G37" i="9"/>
  <c r="F37" i="9"/>
  <c r="E37" i="9"/>
  <c r="D37" i="9"/>
  <c r="C37" i="9"/>
  <c r="O36" i="9"/>
  <c r="N36" i="9"/>
  <c r="I36" i="9"/>
  <c r="H36" i="9"/>
  <c r="G36" i="9"/>
  <c r="F36" i="9"/>
  <c r="E36" i="9"/>
  <c r="D36" i="9"/>
  <c r="C36" i="9"/>
  <c r="O35" i="9"/>
  <c r="N35" i="9"/>
  <c r="I35" i="9"/>
  <c r="H35" i="9"/>
  <c r="G35" i="9"/>
  <c r="F35" i="9"/>
  <c r="E35" i="9"/>
  <c r="D35" i="9"/>
  <c r="C35" i="9"/>
  <c r="O34" i="9"/>
  <c r="N34" i="9"/>
  <c r="I34" i="9"/>
  <c r="H34" i="9"/>
  <c r="G34" i="9"/>
  <c r="F34" i="9"/>
  <c r="E34" i="9"/>
  <c r="D34" i="9"/>
  <c r="C34" i="9"/>
  <c r="O33" i="9"/>
  <c r="N33" i="9"/>
  <c r="I33" i="9"/>
  <c r="H33" i="9"/>
  <c r="G33" i="9"/>
  <c r="F33" i="9"/>
  <c r="E33" i="9"/>
  <c r="D33" i="9"/>
  <c r="C33" i="9"/>
  <c r="O32" i="9"/>
  <c r="N32" i="9"/>
  <c r="I32" i="9"/>
  <c r="H32" i="9"/>
  <c r="G32" i="9"/>
  <c r="F32" i="9"/>
  <c r="E32" i="9"/>
  <c r="D32" i="9"/>
  <c r="C32" i="9"/>
  <c r="O31" i="9"/>
  <c r="N31" i="9"/>
  <c r="I31" i="9"/>
  <c r="H31" i="9"/>
  <c r="G31" i="9"/>
  <c r="F31" i="9"/>
  <c r="E31" i="9"/>
  <c r="D31" i="9"/>
  <c r="C31" i="9"/>
  <c r="O30" i="9"/>
  <c r="N30" i="9"/>
  <c r="I30" i="9"/>
  <c r="H30" i="9"/>
  <c r="G30" i="9"/>
  <c r="F30" i="9"/>
  <c r="E30" i="9"/>
  <c r="D30" i="9"/>
  <c r="C30" i="9"/>
  <c r="O29" i="9"/>
  <c r="N29" i="9"/>
  <c r="I29" i="9"/>
  <c r="H29" i="9"/>
  <c r="G29" i="9"/>
  <c r="F29" i="9"/>
  <c r="E29" i="9"/>
  <c r="D29" i="9"/>
  <c r="C29" i="9"/>
  <c r="O28" i="9"/>
  <c r="N28" i="9"/>
  <c r="I28" i="9"/>
  <c r="H28" i="9"/>
  <c r="G28" i="9"/>
  <c r="F28" i="9"/>
  <c r="E28" i="9"/>
  <c r="D28" i="9"/>
  <c r="C28" i="9"/>
  <c r="O27" i="9"/>
  <c r="N27" i="9"/>
  <c r="I27" i="9"/>
  <c r="H27" i="9"/>
  <c r="G27" i="9"/>
  <c r="F27" i="9"/>
  <c r="E27" i="9"/>
  <c r="D27" i="9"/>
  <c r="C27" i="9"/>
  <c r="O26" i="9"/>
  <c r="N26" i="9"/>
  <c r="I26" i="9"/>
  <c r="H26" i="9"/>
  <c r="G26" i="9"/>
  <c r="F26" i="9"/>
  <c r="E26" i="9"/>
  <c r="D26" i="9"/>
  <c r="C26" i="9"/>
  <c r="O25" i="9"/>
  <c r="N25" i="9"/>
  <c r="I25" i="9"/>
  <c r="H25" i="9"/>
  <c r="G25" i="9"/>
  <c r="F25" i="9"/>
  <c r="E25" i="9"/>
  <c r="D25" i="9"/>
  <c r="C25" i="9"/>
  <c r="O24" i="9"/>
  <c r="N24" i="9"/>
  <c r="I24" i="9"/>
  <c r="H24" i="9"/>
  <c r="G24" i="9"/>
  <c r="F24" i="9"/>
  <c r="E24" i="9"/>
  <c r="D24" i="9"/>
  <c r="C24" i="9"/>
  <c r="O23" i="9"/>
  <c r="N23" i="9"/>
  <c r="I23" i="9"/>
  <c r="H23" i="9"/>
  <c r="G23" i="9"/>
  <c r="F23" i="9"/>
  <c r="E23" i="9"/>
  <c r="D23" i="9"/>
  <c r="C23" i="9"/>
  <c r="O22" i="9"/>
  <c r="N22" i="9"/>
  <c r="I22" i="9"/>
  <c r="H22" i="9"/>
  <c r="G22" i="9"/>
  <c r="F22" i="9"/>
  <c r="E22" i="9"/>
  <c r="D22" i="9"/>
  <c r="C22" i="9"/>
  <c r="O21" i="9"/>
  <c r="N21" i="9"/>
  <c r="I21" i="9"/>
  <c r="H21" i="9"/>
  <c r="G21" i="9"/>
  <c r="F21" i="9"/>
  <c r="E21" i="9"/>
  <c r="D21" i="9"/>
  <c r="C21" i="9"/>
  <c r="O20" i="9"/>
  <c r="N20" i="9"/>
  <c r="I20" i="9"/>
  <c r="H20" i="9"/>
  <c r="G20" i="9"/>
  <c r="F20" i="9"/>
  <c r="E20" i="9"/>
  <c r="D20" i="9"/>
  <c r="C20" i="9"/>
  <c r="O19" i="9"/>
  <c r="N19" i="9"/>
  <c r="I19" i="9"/>
  <c r="H19" i="9"/>
  <c r="G19" i="9"/>
  <c r="F19" i="9"/>
  <c r="E19" i="9"/>
  <c r="D19" i="9"/>
  <c r="C19" i="9"/>
  <c r="O18" i="9"/>
  <c r="N18" i="9"/>
  <c r="I18" i="9"/>
  <c r="H18" i="9"/>
  <c r="G18" i="9"/>
  <c r="F18" i="9"/>
  <c r="E18" i="9"/>
  <c r="D18" i="9"/>
  <c r="C18" i="9"/>
  <c r="O17" i="9"/>
  <c r="N17" i="9"/>
  <c r="I17" i="9"/>
  <c r="H17" i="9"/>
  <c r="G17" i="9"/>
  <c r="F17" i="9"/>
  <c r="E17" i="9"/>
  <c r="D17" i="9"/>
  <c r="C17" i="9"/>
  <c r="O16" i="9"/>
  <c r="N16" i="9"/>
  <c r="I16" i="9"/>
  <c r="H16" i="9"/>
  <c r="G16" i="9"/>
  <c r="F16" i="9"/>
  <c r="E16" i="9"/>
  <c r="D16" i="9"/>
  <c r="C16" i="9"/>
  <c r="O15" i="9"/>
  <c r="N15" i="9"/>
  <c r="I15" i="9"/>
  <c r="H15" i="9"/>
  <c r="G15" i="9"/>
  <c r="F15" i="9"/>
  <c r="E15" i="9"/>
  <c r="D15" i="9"/>
  <c r="C15" i="9"/>
  <c r="O14" i="9"/>
  <c r="N14" i="9"/>
  <c r="I14" i="9"/>
  <c r="H14" i="9"/>
  <c r="G14" i="9"/>
  <c r="F14" i="9"/>
  <c r="E14" i="9"/>
  <c r="D14" i="9"/>
  <c r="C14" i="9"/>
  <c r="O13" i="9"/>
  <c r="N13" i="9"/>
  <c r="I13" i="9"/>
  <c r="H13" i="9"/>
  <c r="G13" i="9"/>
  <c r="F13" i="9"/>
  <c r="E13" i="9"/>
  <c r="D13" i="9"/>
  <c r="C13" i="9"/>
  <c r="O12" i="9"/>
  <c r="N12" i="9"/>
  <c r="I12" i="9"/>
  <c r="H12" i="9"/>
  <c r="G12" i="9"/>
  <c r="F12" i="9"/>
  <c r="E12" i="9"/>
  <c r="D12" i="9"/>
  <c r="C12" i="9"/>
  <c r="O11" i="9"/>
  <c r="N11" i="9"/>
  <c r="I11" i="9"/>
  <c r="H11" i="9"/>
  <c r="G11" i="9"/>
  <c r="F11" i="9"/>
  <c r="E11" i="9"/>
  <c r="D11" i="9"/>
  <c r="C11" i="9"/>
  <c r="O10" i="9"/>
  <c r="N10" i="9"/>
  <c r="I10" i="9"/>
  <c r="H10" i="9"/>
  <c r="G10" i="9"/>
  <c r="F10" i="9"/>
  <c r="E10" i="9"/>
  <c r="D10" i="9"/>
  <c r="C10" i="9"/>
  <c r="O9" i="9"/>
  <c r="N9" i="9"/>
  <c r="I9" i="9"/>
  <c r="H9" i="9"/>
  <c r="G9" i="9"/>
  <c r="F9" i="9"/>
  <c r="E9" i="9"/>
  <c r="D9" i="9"/>
  <c r="C9" i="9"/>
  <c r="O8" i="9"/>
  <c r="N8" i="9"/>
  <c r="I8" i="9"/>
  <c r="H8" i="9"/>
  <c r="G8" i="9"/>
  <c r="F8" i="9"/>
  <c r="E8" i="9"/>
  <c r="D8" i="9"/>
  <c r="C8" i="9"/>
  <c r="O7" i="9"/>
  <c r="N7" i="9"/>
  <c r="I7" i="9"/>
  <c r="H7" i="9"/>
  <c r="G7" i="9"/>
  <c r="F7" i="9"/>
  <c r="E7" i="9"/>
  <c r="D7" i="9"/>
  <c r="C7" i="9"/>
  <c r="O6" i="9"/>
  <c r="N6" i="9"/>
  <c r="I6" i="9"/>
  <c r="H6" i="9"/>
  <c r="G6" i="9"/>
  <c r="F6" i="9"/>
  <c r="E6" i="9"/>
  <c r="D6" i="9"/>
  <c r="C6" i="9"/>
  <c r="O5" i="9"/>
  <c r="N5" i="9"/>
  <c r="I5" i="9"/>
  <c r="H5" i="9"/>
  <c r="G5" i="9"/>
  <c r="F5" i="9"/>
  <c r="E5" i="9"/>
  <c r="D5" i="9"/>
  <c r="C5" i="9"/>
  <c r="O4" i="9"/>
  <c r="N4" i="9"/>
  <c r="I4" i="9"/>
  <c r="H4" i="9"/>
  <c r="G4" i="9"/>
  <c r="F4" i="9"/>
  <c r="E4" i="9"/>
  <c r="D4" i="9"/>
  <c r="C4" i="9"/>
  <c r="O3" i="9"/>
  <c r="N3" i="9"/>
  <c r="I3" i="9"/>
  <c r="H3" i="9"/>
  <c r="G3" i="9"/>
  <c r="F3" i="9"/>
  <c r="E3" i="9"/>
  <c r="D3" i="9"/>
  <c r="C3" i="9"/>
  <c r="O2" i="9"/>
  <c r="N2" i="9"/>
  <c r="I2" i="9"/>
  <c r="H2" i="9"/>
  <c r="G2" i="9"/>
  <c r="F2" i="9"/>
  <c r="E2" i="9"/>
  <c r="D2" i="9"/>
  <c r="C2" i="9"/>
  <c r="Z366" i="7"/>
  <c r="Q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K366" i="9" s="1"/>
  <c r="C366" i="7"/>
  <c r="Z365" i="7"/>
  <c r="Q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K365" i="9" s="1"/>
  <c r="C365" i="7"/>
  <c r="Z364" i="7"/>
  <c r="Q364" i="7"/>
  <c r="O364" i="7"/>
  <c r="P365" i="7" s="1"/>
  <c r="N364" i="7"/>
  <c r="M364" i="7"/>
  <c r="L364" i="7"/>
  <c r="K364" i="7"/>
  <c r="J364" i="7"/>
  <c r="I364" i="7"/>
  <c r="H364" i="7"/>
  <c r="G364" i="7"/>
  <c r="F364" i="7"/>
  <c r="E364" i="7"/>
  <c r="D364" i="7"/>
  <c r="K364" i="9" s="1"/>
  <c r="C364" i="7"/>
  <c r="Z363" i="7"/>
  <c r="Q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K363" i="9" s="1"/>
  <c r="C363" i="7"/>
  <c r="Z362" i="7"/>
  <c r="Q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K362" i="9" s="1"/>
  <c r="C362" i="7"/>
  <c r="Z361" i="7"/>
  <c r="Q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K361" i="9" s="1"/>
  <c r="C361" i="7"/>
  <c r="Z360" i="7"/>
  <c r="Q360" i="7"/>
  <c r="O360" i="7"/>
  <c r="P361" i="7" s="1"/>
  <c r="N360" i="7"/>
  <c r="M360" i="7"/>
  <c r="L360" i="7"/>
  <c r="K360" i="7"/>
  <c r="J360" i="7"/>
  <c r="I360" i="7"/>
  <c r="H360" i="7"/>
  <c r="G360" i="7"/>
  <c r="F360" i="7"/>
  <c r="E360" i="7"/>
  <c r="D360" i="7"/>
  <c r="K360" i="9" s="1"/>
  <c r="C360" i="7"/>
  <c r="Z359" i="7"/>
  <c r="Q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K359" i="9" s="1"/>
  <c r="C359" i="7"/>
  <c r="Z358" i="7"/>
  <c r="Q358" i="7"/>
  <c r="O358" i="7"/>
  <c r="P359" i="7" s="1"/>
  <c r="N358" i="7"/>
  <c r="M358" i="7"/>
  <c r="L358" i="7"/>
  <c r="K358" i="7"/>
  <c r="J358" i="7"/>
  <c r="I358" i="7"/>
  <c r="H358" i="7"/>
  <c r="G358" i="7"/>
  <c r="F358" i="7"/>
  <c r="E358" i="7"/>
  <c r="D358" i="7"/>
  <c r="K358" i="9" s="1"/>
  <c r="C358" i="7"/>
  <c r="Z357" i="7"/>
  <c r="Q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K357" i="9" s="1"/>
  <c r="C357" i="7"/>
  <c r="Z356" i="7"/>
  <c r="Q356" i="7"/>
  <c r="O356" i="7"/>
  <c r="P357" i="7" s="1"/>
  <c r="N356" i="7"/>
  <c r="M356" i="7"/>
  <c r="L356" i="7"/>
  <c r="K356" i="7"/>
  <c r="J356" i="7"/>
  <c r="I356" i="7"/>
  <c r="H356" i="7"/>
  <c r="G356" i="7"/>
  <c r="F356" i="7"/>
  <c r="E356" i="7"/>
  <c r="D356" i="7"/>
  <c r="K356" i="9" s="1"/>
  <c r="C356" i="7"/>
  <c r="Z355" i="7"/>
  <c r="Q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K355" i="9" s="1"/>
  <c r="C355" i="7"/>
  <c r="Z354" i="7"/>
  <c r="Q354" i="7"/>
  <c r="O354" i="7"/>
  <c r="P355" i="7" s="1"/>
  <c r="N354" i="7"/>
  <c r="M354" i="7"/>
  <c r="L354" i="7"/>
  <c r="K354" i="7"/>
  <c r="J354" i="7"/>
  <c r="I354" i="7"/>
  <c r="H354" i="7"/>
  <c r="G354" i="7"/>
  <c r="F354" i="7"/>
  <c r="E354" i="7"/>
  <c r="D354" i="7"/>
  <c r="K354" i="9" s="1"/>
  <c r="C354" i="7"/>
  <c r="Z353" i="7"/>
  <c r="Q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K353" i="9" s="1"/>
  <c r="C353" i="7"/>
  <c r="Z352" i="7"/>
  <c r="Q352" i="7"/>
  <c r="O352" i="7"/>
  <c r="P353" i="7" s="1"/>
  <c r="N352" i="7"/>
  <c r="M352" i="7"/>
  <c r="L352" i="7"/>
  <c r="K352" i="7"/>
  <c r="J352" i="7"/>
  <c r="I352" i="7"/>
  <c r="H352" i="7"/>
  <c r="G352" i="7"/>
  <c r="F352" i="7"/>
  <c r="E352" i="7"/>
  <c r="D352" i="7"/>
  <c r="K352" i="9" s="1"/>
  <c r="C352" i="7"/>
  <c r="Z351" i="7"/>
  <c r="Q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K351" i="9" s="1"/>
  <c r="C351" i="7"/>
  <c r="Z350" i="7"/>
  <c r="Q350" i="7"/>
  <c r="O350" i="7"/>
  <c r="P351" i="7" s="1"/>
  <c r="N350" i="7"/>
  <c r="M350" i="7"/>
  <c r="L350" i="7"/>
  <c r="K350" i="7"/>
  <c r="J350" i="7"/>
  <c r="I350" i="7"/>
  <c r="H350" i="7"/>
  <c r="G350" i="7"/>
  <c r="F350" i="7"/>
  <c r="E350" i="7"/>
  <c r="D350" i="7"/>
  <c r="K350" i="9" s="1"/>
  <c r="C350" i="7"/>
  <c r="Z349" i="7"/>
  <c r="Q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K349" i="9" s="1"/>
  <c r="C349" i="7"/>
  <c r="Z348" i="7"/>
  <c r="Q348" i="7"/>
  <c r="O348" i="7"/>
  <c r="P349" i="7" s="1"/>
  <c r="N348" i="7"/>
  <c r="M348" i="7"/>
  <c r="L348" i="7"/>
  <c r="K348" i="7"/>
  <c r="J348" i="7"/>
  <c r="I348" i="7"/>
  <c r="H348" i="7"/>
  <c r="G348" i="7"/>
  <c r="F348" i="7"/>
  <c r="E348" i="7"/>
  <c r="D348" i="7"/>
  <c r="K348" i="9" s="1"/>
  <c r="C348" i="7"/>
  <c r="Z347" i="7"/>
  <c r="Q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K347" i="9" s="1"/>
  <c r="C347" i="7"/>
  <c r="Z346" i="7"/>
  <c r="Q346" i="7"/>
  <c r="O346" i="7"/>
  <c r="P347" i="7" s="1"/>
  <c r="N346" i="7"/>
  <c r="M346" i="7"/>
  <c r="L346" i="7"/>
  <c r="K346" i="7"/>
  <c r="J346" i="7"/>
  <c r="I346" i="7"/>
  <c r="H346" i="7"/>
  <c r="G346" i="7"/>
  <c r="F346" i="7"/>
  <c r="E346" i="7"/>
  <c r="D346" i="7"/>
  <c r="K346" i="9" s="1"/>
  <c r="C346" i="7"/>
  <c r="Z345" i="7"/>
  <c r="Q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K345" i="9" s="1"/>
  <c r="C345" i="7"/>
  <c r="Z344" i="7"/>
  <c r="Q344" i="7"/>
  <c r="O344" i="7"/>
  <c r="P345" i="7" s="1"/>
  <c r="N344" i="7"/>
  <c r="M344" i="7"/>
  <c r="L344" i="7"/>
  <c r="K344" i="7"/>
  <c r="J344" i="7"/>
  <c r="I344" i="7"/>
  <c r="H344" i="7"/>
  <c r="G344" i="7"/>
  <c r="F344" i="7"/>
  <c r="E344" i="7"/>
  <c r="D344" i="7"/>
  <c r="K344" i="9" s="1"/>
  <c r="C344" i="7"/>
  <c r="Z343" i="7"/>
  <c r="Q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K343" i="9" s="1"/>
  <c r="C343" i="7"/>
  <c r="Z342" i="7"/>
  <c r="Q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K342" i="9" s="1"/>
  <c r="C342" i="7"/>
  <c r="Z341" i="7"/>
  <c r="Q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K341" i="9" s="1"/>
  <c r="C341" i="7"/>
  <c r="Z340" i="7"/>
  <c r="Q340" i="7"/>
  <c r="O340" i="7"/>
  <c r="P341" i="7" s="1"/>
  <c r="N340" i="7"/>
  <c r="M340" i="7"/>
  <c r="L340" i="7"/>
  <c r="K340" i="7"/>
  <c r="J340" i="7"/>
  <c r="I340" i="7"/>
  <c r="H340" i="7"/>
  <c r="G340" i="7"/>
  <c r="F340" i="7"/>
  <c r="E340" i="7"/>
  <c r="D340" i="7"/>
  <c r="K340" i="9" s="1"/>
  <c r="C340" i="7"/>
  <c r="Z339" i="7"/>
  <c r="Q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K339" i="9" s="1"/>
  <c r="C339" i="7"/>
  <c r="Z338" i="7"/>
  <c r="Q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K338" i="9" s="1"/>
  <c r="C338" i="7"/>
  <c r="Z337" i="7"/>
  <c r="Q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K337" i="9" s="1"/>
  <c r="C337" i="7"/>
  <c r="Z336" i="7"/>
  <c r="Q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K336" i="9" s="1"/>
  <c r="C336" i="7"/>
  <c r="Z335" i="7"/>
  <c r="Q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K335" i="9" s="1"/>
  <c r="C335" i="7"/>
  <c r="Z334" i="7"/>
  <c r="Q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K334" i="9" s="1"/>
  <c r="C334" i="7"/>
  <c r="Z333" i="7"/>
  <c r="Q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K333" i="9" s="1"/>
  <c r="C333" i="7"/>
  <c r="Z332" i="7"/>
  <c r="Q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K332" i="9" s="1"/>
  <c r="C332" i="7"/>
  <c r="Z331" i="7"/>
  <c r="Q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K331" i="9" s="1"/>
  <c r="C331" i="7"/>
  <c r="Z330" i="7"/>
  <c r="Q330" i="7"/>
  <c r="O330" i="7"/>
  <c r="P331" i="7" s="1"/>
  <c r="N330" i="7"/>
  <c r="M330" i="7"/>
  <c r="L330" i="7"/>
  <c r="K330" i="7"/>
  <c r="J330" i="7"/>
  <c r="I330" i="7"/>
  <c r="H330" i="7"/>
  <c r="G330" i="7"/>
  <c r="F330" i="7"/>
  <c r="E330" i="7"/>
  <c r="D330" i="7"/>
  <c r="K330" i="9" s="1"/>
  <c r="C330" i="7"/>
  <c r="Z329" i="7"/>
  <c r="Q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K329" i="9" s="1"/>
  <c r="C329" i="7"/>
  <c r="Z328" i="7"/>
  <c r="Q328" i="7"/>
  <c r="O328" i="7"/>
  <c r="P329" i="7" s="1"/>
  <c r="N328" i="7"/>
  <c r="M328" i="7"/>
  <c r="L328" i="7"/>
  <c r="K328" i="7"/>
  <c r="J328" i="7"/>
  <c r="I328" i="7"/>
  <c r="H328" i="7"/>
  <c r="G328" i="7"/>
  <c r="F328" i="7"/>
  <c r="E328" i="7"/>
  <c r="D328" i="7"/>
  <c r="K328" i="9" s="1"/>
  <c r="C328" i="7"/>
  <c r="Z327" i="7"/>
  <c r="Q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K327" i="9" s="1"/>
  <c r="C327" i="7"/>
  <c r="Z326" i="7"/>
  <c r="Q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K326" i="9" s="1"/>
  <c r="C326" i="7"/>
  <c r="Z325" i="7"/>
  <c r="Q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K325" i="9" s="1"/>
  <c r="C325" i="7"/>
  <c r="Z324" i="7"/>
  <c r="Q324" i="7"/>
  <c r="O324" i="7"/>
  <c r="P325" i="7" s="1"/>
  <c r="N324" i="7"/>
  <c r="M324" i="7"/>
  <c r="L324" i="7"/>
  <c r="K324" i="7"/>
  <c r="J324" i="7"/>
  <c r="I324" i="7"/>
  <c r="H324" i="7"/>
  <c r="G324" i="7"/>
  <c r="F324" i="7"/>
  <c r="E324" i="7"/>
  <c r="D324" i="7"/>
  <c r="K324" i="9" s="1"/>
  <c r="C324" i="7"/>
  <c r="Z323" i="7"/>
  <c r="Q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K323" i="9" s="1"/>
  <c r="C323" i="7"/>
  <c r="Z322" i="7"/>
  <c r="Q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K322" i="9" s="1"/>
  <c r="C322" i="7"/>
  <c r="Z321" i="7"/>
  <c r="Q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K321" i="9" s="1"/>
  <c r="C321" i="7"/>
  <c r="Z320" i="7"/>
  <c r="Q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K320" i="9" s="1"/>
  <c r="C320" i="7"/>
  <c r="Z319" i="7"/>
  <c r="Q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K319" i="9" s="1"/>
  <c r="C319" i="7"/>
  <c r="Z318" i="7"/>
  <c r="Q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K318" i="9" s="1"/>
  <c r="C318" i="7"/>
  <c r="Z317" i="7"/>
  <c r="Q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K317" i="9" s="1"/>
  <c r="C317" i="7"/>
  <c r="Z316" i="7"/>
  <c r="Q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K316" i="9" s="1"/>
  <c r="C316" i="7"/>
  <c r="Z315" i="7"/>
  <c r="Q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K315" i="9" s="1"/>
  <c r="C315" i="7"/>
  <c r="Z314" i="7"/>
  <c r="Q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K314" i="9" s="1"/>
  <c r="C314" i="7"/>
  <c r="Z313" i="7"/>
  <c r="Q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K313" i="9" s="1"/>
  <c r="C313" i="7"/>
  <c r="Z312" i="7"/>
  <c r="Q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K312" i="9" s="1"/>
  <c r="C312" i="7"/>
  <c r="Z311" i="7"/>
  <c r="Q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K311" i="9" s="1"/>
  <c r="C311" i="7"/>
  <c r="Z310" i="7"/>
  <c r="Q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K310" i="9" s="1"/>
  <c r="C310" i="7"/>
  <c r="Z309" i="7"/>
  <c r="Q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K309" i="9" s="1"/>
  <c r="C309" i="7"/>
  <c r="Z308" i="7"/>
  <c r="Q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K308" i="9" s="1"/>
  <c r="C308" i="7"/>
  <c r="Z307" i="7"/>
  <c r="Q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K307" i="9" s="1"/>
  <c r="C307" i="7"/>
  <c r="Z306" i="7"/>
  <c r="Q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K306" i="9" s="1"/>
  <c r="C306" i="7"/>
  <c r="Z305" i="7"/>
  <c r="Q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K305" i="9" s="1"/>
  <c r="C305" i="7"/>
  <c r="Z304" i="7"/>
  <c r="Q304" i="7"/>
  <c r="O304" i="7"/>
  <c r="P305" i="7" s="1"/>
  <c r="N304" i="7"/>
  <c r="M304" i="7"/>
  <c r="L304" i="7"/>
  <c r="K304" i="7"/>
  <c r="J304" i="7"/>
  <c r="I304" i="7"/>
  <c r="H304" i="7"/>
  <c r="G304" i="7"/>
  <c r="F304" i="7"/>
  <c r="E304" i="7"/>
  <c r="D304" i="7"/>
  <c r="K304" i="9" s="1"/>
  <c r="C304" i="7"/>
  <c r="Z303" i="7"/>
  <c r="Q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K303" i="9" s="1"/>
  <c r="C303" i="7"/>
  <c r="Z302" i="7"/>
  <c r="Q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K302" i="9" s="1"/>
  <c r="C302" i="7"/>
  <c r="Z301" i="7"/>
  <c r="Q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K301" i="9" s="1"/>
  <c r="C301" i="7"/>
  <c r="Z300" i="7"/>
  <c r="Q300" i="7"/>
  <c r="O300" i="7"/>
  <c r="P301" i="7" s="1"/>
  <c r="N300" i="7"/>
  <c r="M300" i="7"/>
  <c r="L300" i="7"/>
  <c r="K300" i="7"/>
  <c r="J300" i="7"/>
  <c r="I300" i="7"/>
  <c r="H300" i="7"/>
  <c r="G300" i="7"/>
  <c r="F300" i="7"/>
  <c r="E300" i="7"/>
  <c r="D300" i="7"/>
  <c r="K300" i="9" s="1"/>
  <c r="C300" i="7"/>
  <c r="Z299" i="7"/>
  <c r="Q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K299" i="9" s="1"/>
  <c r="C299" i="7"/>
  <c r="Z298" i="7"/>
  <c r="Q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K298" i="9" s="1"/>
  <c r="C298" i="7"/>
  <c r="Z297" i="7"/>
  <c r="Q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K297" i="9" s="1"/>
  <c r="C297" i="7"/>
  <c r="Z296" i="7"/>
  <c r="Q296" i="7"/>
  <c r="O296" i="7"/>
  <c r="P297" i="7" s="1"/>
  <c r="N296" i="7"/>
  <c r="M296" i="7"/>
  <c r="L296" i="7"/>
  <c r="K296" i="7"/>
  <c r="J296" i="7"/>
  <c r="I296" i="7"/>
  <c r="H296" i="7"/>
  <c r="G296" i="7"/>
  <c r="F296" i="7"/>
  <c r="E296" i="7"/>
  <c r="D296" i="7"/>
  <c r="K296" i="9" s="1"/>
  <c r="C296" i="7"/>
  <c r="Z295" i="7"/>
  <c r="Q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K295" i="9" s="1"/>
  <c r="C295" i="7"/>
  <c r="Z294" i="7"/>
  <c r="Q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K294" i="9" s="1"/>
  <c r="C294" i="7"/>
  <c r="Z293" i="7"/>
  <c r="Q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K293" i="9" s="1"/>
  <c r="C293" i="7"/>
  <c r="Z292" i="7"/>
  <c r="Q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K292" i="9" s="1"/>
  <c r="C292" i="7"/>
  <c r="Z291" i="7"/>
  <c r="Q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K291" i="9" s="1"/>
  <c r="C291" i="7"/>
  <c r="Z290" i="7"/>
  <c r="Q290" i="7"/>
  <c r="O290" i="7"/>
  <c r="P291" i="7" s="1"/>
  <c r="N290" i="7"/>
  <c r="M290" i="7"/>
  <c r="L290" i="7"/>
  <c r="K290" i="7"/>
  <c r="J290" i="7"/>
  <c r="I290" i="7"/>
  <c r="H290" i="7"/>
  <c r="G290" i="7"/>
  <c r="F290" i="7"/>
  <c r="E290" i="7"/>
  <c r="D290" i="7"/>
  <c r="K290" i="9" s="1"/>
  <c r="C290" i="7"/>
  <c r="Z289" i="7"/>
  <c r="Q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K289" i="9" s="1"/>
  <c r="C289" i="7"/>
  <c r="Z288" i="7"/>
  <c r="Q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K288" i="9" s="1"/>
  <c r="C288" i="7"/>
  <c r="Z287" i="7"/>
  <c r="Q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K287" i="9" s="1"/>
  <c r="C287" i="7"/>
  <c r="Z286" i="7"/>
  <c r="Q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K286" i="9" s="1"/>
  <c r="C286" i="7"/>
  <c r="Z285" i="7"/>
  <c r="Q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K285" i="9" s="1"/>
  <c r="C285" i="7"/>
  <c r="Z284" i="7"/>
  <c r="Q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K284" i="9" s="1"/>
  <c r="C284" i="7"/>
  <c r="Z283" i="7"/>
  <c r="Q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K283" i="9" s="1"/>
  <c r="C283" i="7"/>
  <c r="Z282" i="7"/>
  <c r="Q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K282" i="9" s="1"/>
  <c r="C282" i="7"/>
  <c r="Z281" i="7"/>
  <c r="Q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K281" i="9" s="1"/>
  <c r="C281" i="7"/>
  <c r="Z280" i="7"/>
  <c r="Q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K280" i="9" s="1"/>
  <c r="C280" i="7"/>
  <c r="Z279" i="7"/>
  <c r="Q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K279" i="9" s="1"/>
  <c r="C279" i="7"/>
  <c r="Z278" i="7"/>
  <c r="Q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K278" i="9" s="1"/>
  <c r="C278" i="7"/>
  <c r="Z277" i="7"/>
  <c r="Q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K277" i="9" s="1"/>
  <c r="C277" i="7"/>
  <c r="Z276" i="7"/>
  <c r="Q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K276" i="9" s="1"/>
  <c r="C276" i="7"/>
  <c r="Z275" i="7"/>
  <c r="Q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K275" i="9" s="1"/>
  <c r="C275" i="7"/>
  <c r="Z274" i="7"/>
  <c r="Q274" i="7"/>
  <c r="O274" i="7"/>
  <c r="P275" i="7" s="1"/>
  <c r="N274" i="7"/>
  <c r="M274" i="7"/>
  <c r="L274" i="7"/>
  <c r="K274" i="7"/>
  <c r="J274" i="7"/>
  <c r="I274" i="7"/>
  <c r="H274" i="7"/>
  <c r="G274" i="7"/>
  <c r="F274" i="7"/>
  <c r="E274" i="7"/>
  <c r="D274" i="7"/>
  <c r="K274" i="9" s="1"/>
  <c r="C274" i="7"/>
  <c r="Z273" i="7"/>
  <c r="Q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K273" i="9" s="1"/>
  <c r="C273" i="7"/>
  <c r="Z272" i="7"/>
  <c r="Q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K272" i="9" s="1"/>
  <c r="C272" i="7"/>
  <c r="Z271" i="7"/>
  <c r="Q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K271" i="9" s="1"/>
  <c r="C271" i="7"/>
  <c r="Z270" i="7"/>
  <c r="Q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K270" i="9" s="1"/>
  <c r="C270" i="7"/>
  <c r="Z269" i="7"/>
  <c r="Q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K269" i="9" s="1"/>
  <c r="C269" i="7"/>
  <c r="Z268" i="7"/>
  <c r="Q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K268" i="9" s="1"/>
  <c r="C268" i="7"/>
  <c r="Z267" i="7"/>
  <c r="Q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K267" i="9" s="1"/>
  <c r="C267" i="7"/>
  <c r="Z266" i="7"/>
  <c r="Q266" i="7"/>
  <c r="O266" i="7"/>
  <c r="P267" i="7" s="1"/>
  <c r="N266" i="7"/>
  <c r="M266" i="7"/>
  <c r="L266" i="7"/>
  <c r="K266" i="7"/>
  <c r="J266" i="7"/>
  <c r="I266" i="7"/>
  <c r="H266" i="7"/>
  <c r="G266" i="7"/>
  <c r="F266" i="7"/>
  <c r="E266" i="7"/>
  <c r="D266" i="7"/>
  <c r="K266" i="9" s="1"/>
  <c r="C266" i="7"/>
  <c r="Z265" i="7"/>
  <c r="Q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K265" i="9" s="1"/>
  <c r="C265" i="7"/>
  <c r="Z264" i="7"/>
  <c r="Q264" i="7"/>
  <c r="O264" i="7"/>
  <c r="P265" i="7" s="1"/>
  <c r="N264" i="7"/>
  <c r="M264" i="7"/>
  <c r="L264" i="7"/>
  <c r="K264" i="7"/>
  <c r="J264" i="7"/>
  <c r="I264" i="7"/>
  <c r="H264" i="7"/>
  <c r="G264" i="7"/>
  <c r="F264" i="7"/>
  <c r="E264" i="7"/>
  <c r="D264" i="7"/>
  <c r="K264" i="9" s="1"/>
  <c r="C264" i="7"/>
  <c r="Z263" i="7"/>
  <c r="Q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K263" i="9" s="1"/>
  <c r="C263" i="7"/>
  <c r="Z262" i="7"/>
  <c r="Q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K262" i="9" s="1"/>
  <c r="C262" i="7"/>
  <c r="Z261" i="7"/>
  <c r="Q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K261" i="9" s="1"/>
  <c r="C261" i="7"/>
  <c r="Z260" i="7"/>
  <c r="Q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K260" i="9" s="1"/>
  <c r="C260" i="7"/>
  <c r="Z259" i="7"/>
  <c r="Q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K259" i="9" s="1"/>
  <c r="C259" i="7"/>
  <c r="Z258" i="7"/>
  <c r="Q258" i="7"/>
  <c r="O258" i="7"/>
  <c r="P259" i="7" s="1"/>
  <c r="N258" i="7"/>
  <c r="M258" i="7"/>
  <c r="L258" i="7"/>
  <c r="K258" i="7"/>
  <c r="J258" i="7"/>
  <c r="I258" i="7"/>
  <c r="H258" i="7"/>
  <c r="G258" i="7"/>
  <c r="F258" i="7"/>
  <c r="E258" i="7"/>
  <c r="D258" i="7"/>
  <c r="K258" i="9" s="1"/>
  <c r="C258" i="7"/>
  <c r="Z257" i="7"/>
  <c r="Q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K257" i="9" s="1"/>
  <c r="C257" i="7"/>
  <c r="Z256" i="7"/>
  <c r="Q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K256" i="9" s="1"/>
  <c r="C256" i="7"/>
  <c r="Z255" i="7"/>
  <c r="Q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K255" i="9" s="1"/>
  <c r="C255" i="7"/>
  <c r="Z254" i="7"/>
  <c r="Q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K254" i="9" s="1"/>
  <c r="C254" i="7"/>
  <c r="Z253" i="7"/>
  <c r="Q253" i="7"/>
  <c r="O253" i="7"/>
  <c r="P254" i="7" s="1"/>
  <c r="N253" i="7"/>
  <c r="M253" i="7"/>
  <c r="L253" i="7"/>
  <c r="K253" i="7"/>
  <c r="J253" i="7"/>
  <c r="I253" i="7"/>
  <c r="H253" i="7"/>
  <c r="G253" i="7"/>
  <c r="F253" i="7"/>
  <c r="E253" i="7"/>
  <c r="D253" i="7"/>
  <c r="K253" i="9" s="1"/>
  <c r="C253" i="7"/>
  <c r="Z252" i="7"/>
  <c r="Q252" i="7"/>
  <c r="O252" i="7"/>
  <c r="P253" i="7" s="1"/>
  <c r="N252" i="7"/>
  <c r="M252" i="7"/>
  <c r="L252" i="7"/>
  <c r="K252" i="7"/>
  <c r="J252" i="7"/>
  <c r="I252" i="7"/>
  <c r="H252" i="7"/>
  <c r="G252" i="7"/>
  <c r="F252" i="7"/>
  <c r="E252" i="7"/>
  <c r="D252" i="7"/>
  <c r="K252" i="9" s="1"/>
  <c r="C252" i="7"/>
  <c r="Z251" i="7"/>
  <c r="Q251" i="7"/>
  <c r="O251" i="7"/>
  <c r="P252" i="7" s="1"/>
  <c r="N251" i="7"/>
  <c r="M251" i="7"/>
  <c r="L251" i="7"/>
  <c r="K251" i="7"/>
  <c r="J251" i="7"/>
  <c r="I251" i="7"/>
  <c r="H251" i="7"/>
  <c r="G251" i="7"/>
  <c r="F251" i="7"/>
  <c r="E251" i="7"/>
  <c r="D251" i="7"/>
  <c r="K251" i="9" s="1"/>
  <c r="C251" i="7"/>
  <c r="Z250" i="7"/>
  <c r="Q250" i="7"/>
  <c r="O250" i="7"/>
  <c r="P251" i="7" s="1"/>
  <c r="N250" i="7"/>
  <c r="M250" i="7"/>
  <c r="L250" i="7"/>
  <c r="K250" i="7"/>
  <c r="J250" i="7"/>
  <c r="I250" i="7"/>
  <c r="H250" i="7"/>
  <c r="G250" i="7"/>
  <c r="F250" i="7"/>
  <c r="E250" i="7"/>
  <c r="D250" i="7"/>
  <c r="K250" i="9" s="1"/>
  <c r="C250" i="7"/>
  <c r="Z249" i="7"/>
  <c r="Q249" i="7"/>
  <c r="O249" i="7"/>
  <c r="P250" i="7" s="1"/>
  <c r="N249" i="7"/>
  <c r="M249" i="7"/>
  <c r="L249" i="7"/>
  <c r="K249" i="7"/>
  <c r="J249" i="7"/>
  <c r="I249" i="7"/>
  <c r="H249" i="7"/>
  <c r="G249" i="7"/>
  <c r="F249" i="7"/>
  <c r="E249" i="7"/>
  <c r="D249" i="7"/>
  <c r="K249" i="9" s="1"/>
  <c r="C249" i="7"/>
  <c r="Z248" i="7"/>
  <c r="Q248" i="7"/>
  <c r="O248" i="7"/>
  <c r="P249" i="7" s="1"/>
  <c r="N248" i="7"/>
  <c r="M248" i="7"/>
  <c r="L248" i="7"/>
  <c r="K248" i="7"/>
  <c r="J248" i="7"/>
  <c r="I248" i="7"/>
  <c r="H248" i="7"/>
  <c r="G248" i="7"/>
  <c r="F248" i="7"/>
  <c r="E248" i="7"/>
  <c r="D248" i="7"/>
  <c r="K248" i="9" s="1"/>
  <c r="C248" i="7"/>
  <c r="Z247" i="7"/>
  <c r="Q247" i="7"/>
  <c r="O247" i="7"/>
  <c r="P248" i="7" s="1"/>
  <c r="N247" i="7"/>
  <c r="M247" i="7"/>
  <c r="L247" i="7"/>
  <c r="K247" i="7"/>
  <c r="J247" i="7"/>
  <c r="I247" i="7"/>
  <c r="H247" i="7"/>
  <c r="G247" i="7"/>
  <c r="F247" i="7"/>
  <c r="E247" i="7"/>
  <c r="D247" i="7"/>
  <c r="K247" i="9" s="1"/>
  <c r="C247" i="7"/>
  <c r="Z246" i="7"/>
  <c r="Q246" i="7"/>
  <c r="O246" i="7"/>
  <c r="P247" i="7" s="1"/>
  <c r="N246" i="7"/>
  <c r="M246" i="7"/>
  <c r="L246" i="7"/>
  <c r="K246" i="7"/>
  <c r="J246" i="7"/>
  <c r="I246" i="7"/>
  <c r="H246" i="7"/>
  <c r="G246" i="7"/>
  <c r="F246" i="7"/>
  <c r="E246" i="7"/>
  <c r="D246" i="7"/>
  <c r="K246" i="9" s="1"/>
  <c r="C246" i="7"/>
  <c r="Z245" i="7"/>
  <c r="Q245" i="7"/>
  <c r="O245" i="7"/>
  <c r="P246" i="7" s="1"/>
  <c r="N245" i="7"/>
  <c r="M245" i="7"/>
  <c r="L245" i="7"/>
  <c r="K245" i="7"/>
  <c r="J245" i="7"/>
  <c r="I245" i="7"/>
  <c r="H245" i="7"/>
  <c r="G245" i="7"/>
  <c r="F245" i="7"/>
  <c r="E245" i="7"/>
  <c r="D245" i="7"/>
  <c r="K245" i="9" s="1"/>
  <c r="C245" i="7"/>
  <c r="Z244" i="7"/>
  <c r="Q244" i="7"/>
  <c r="O244" i="7"/>
  <c r="P245" i="7" s="1"/>
  <c r="N244" i="7"/>
  <c r="M244" i="7"/>
  <c r="L244" i="7"/>
  <c r="K244" i="7"/>
  <c r="J244" i="7"/>
  <c r="I244" i="7"/>
  <c r="H244" i="7"/>
  <c r="G244" i="7"/>
  <c r="F244" i="7"/>
  <c r="E244" i="7"/>
  <c r="D244" i="7"/>
  <c r="K244" i="9" s="1"/>
  <c r="C244" i="7"/>
  <c r="Z243" i="7"/>
  <c r="Q243" i="7"/>
  <c r="O243" i="7"/>
  <c r="P244" i="7" s="1"/>
  <c r="N243" i="7"/>
  <c r="M243" i="7"/>
  <c r="L243" i="7"/>
  <c r="K243" i="7"/>
  <c r="J243" i="7"/>
  <c r="I243" i="7"/>
  <c r="H243" i="7"/>
  <c r="G243" i="7"/>
  <c r="F243" i="7"/>
  <c r="E243" i="7"/>
  <c r="D243" i="7"/>
  <c r="K243" i="9" s="1"/>
  <c r="C243" i="7"/>
  <c r="Z242" i="7"/>
  <c r="Q242" i="7"/>
  <c r="O242" i="7"/>
  <c r="P243" i="7" s="1"/>
  <c r="N242" i="7"/>
  <c r="M242" i="7"/>
  <c r="L242" i="7"/>
  <c r="K242" i="7"/>
  <c r="J242" i="7"/>
  <c r="I242" i="7"/>
  <c r="H242" i="7"/>
  <c r="G242" i="7"/>
  <c r="F242" i="7"/>
  <c r="E242" i="7"/>
  <c r="D242" i="7"/>
  <c r="K242" i="9" s="1"/>
  <c r="C242" i="7"/>
  <c r="Z241" i="7"/>
  <c r="Q241" i="7"/>
  <c r="O241" i="7"/>
  <c r="P242" i="7" s="1"/>
  <c r="N241" i="7"/>
  <c r="M241" i="7"/>
  <c r="L241" i="7"/>
  <c r="K241" i="7"/>
  <c r="J241" i="7"/>
  <c r="I241" i="7"/>
  <c r="H241" i="7"/>
  <c r="G241" i="7"/>
  <c r="F241" i="7"/>
  <c r="E241" i="7"/>
  <c r="D241" i="7"/>
  <c r="K241" i="9" s="1"/>
  <c r="C241" i="7"/>
  <c r="Z240" i="7"/>
  <c r="Q240" i="7"/>
  <c r="O240" i="7"/>
  <c r="P241" i="7" s="1"/>
  <c r="N240" i="7"/>
  <c r="M240" i="7"/>
  <c r="L240" i="7"/>
  <c r="K240" i="7"/>
  <c r="J240" i="7"/>
  <c r="I240" i="7"/>
  <c r="H240" i="7"/>
  <c r="G240" i="7"/>
  <c r="F240" i="7"/>
  <c r="E240" i="7"/>
  <c r="D240" i="7"/>
  <c r="K240" i="9" s="1"/>
  <c r="C240" i="7"/>
  <c r="Z239" i="7"/>
  <c r="Q239" i="7"/>
  <c r="O239" i="7"/>
  <c r="P240" i="7" s="1"/>
  <c r="N239" i="7"/>
  <c r="M239" i="7"/>
  <c r="L239" i="7"/>
  <c r="K239" i="7"/>
  <c r="J239" i="7"/>
  <c r="I239" i="7"/>
  <c r="H239" i="7"/>
  <c r="G239" i="7"/>
  <c r="F239" i="7"/>
  <c r="E239" i="7"/>
  <c r="D239" i="7"/>
  <c r="K239" i="9" s="1"/>
  <c r="C239" i="7"/>
  <c r="Z238" i="7"/>
  <c r="Q238" i="7"/>
  <c r="O238" i="7"/>
  <c r="P239" i="7" s="1"/>
  <c r="N238" i="7"/>
  <c r="M238" i="7"/>
  <c r="L238" i="7"/>
  <c r="K238" i="7"/>
  <c r="J238" i="7"/>
  <c r="I238" i="7"/>
  <c r="H238" i="7"/>
  <c r="G238" i="7"/>
  <c r="F238" i="7"/>
  <c r="E238" i="7"/>
  <c r="D238" i="7"/>
  <c r="K238" i="9" s="1"/>
  <c r="C238" i="7"/>
  <c r="Z237" i="7"/>
  <c r="Q237" i="7"/>
  <c r="O237" i="7"/>
  <c r="P238" i="7" s="1"/>
  <c r="N237" i="7"/>
  <c r="M237" i="7"/>
  <c r="L237" i="7"/>
  <c r="K237" i="7"/>
  <c r="J237" i="7"/>
  <c r="I237" i="7"/>
  <c r="H237" i="7"/>
  <c r="G237" i="7"/>
  <c r="F237" i="7"/>
  <c r="E237" i="7"/>
  <c r="D237" i="7"/>
  <c r="K237" i="9" s="1"/>
  <c r="C237" i="7"/>
  <c r="Z236" i="7"/>
  <c r="Q236" i="7"/>
  <c r="O236" i="7"/>
  <c r="P237" i="7" s="1"/>
  <c r="N236" i="7"/>
  <c r="M236" i="7"/>
  <c r="L236" i="7"/>
  <c r="K236" i="7"/>
  <c r="J236" i="7"/>
  <c r="I236" i="7"/>
  <c r="H236" i="7"/>
  <c r="G236" i="7"/>
  <c r="F236" i="7"/>
  <c r="E236" i="7"/>
  <c r="D236" i="7"/>
  <c r="K236" i="9" s="1"/>
  <c r="C236" i="7"/>
  <c r="Z235" i="7"/>
  <c r="Q235" i="7"/>
  <c r="O235" i="7"/>
  <c r="P236" i="7" s="1"/>
  <c r="N235" i="7"/>
  <c r="M235" i="7"/>
  <c r="L235" i="7"/>
  <c r="K235" i="7"/>
  <c r="J235" i="7"/>
  <c r="I235" i="7"/>
  <c r="H235" i="7"/>
  <c r="G235" i="7"/>
  <c r="F235" i="7"/>
  <c r="E235" i="7"/>
  <c r="D235" i="7"/>
  <c r="K235" i="9" s="1"/>
  <c r="C235" i="7"/>
  <c r="Z234" i="7"/>
  <c r="Q234" i="7"/>
  <c r="O234" i="7"/>
  <c r="P235" i="7" s="1"/>
  <c r="N234" i="7"/>
  <c r="M234" i="7"/>
  <c r="L234" i="7"/>
  <c r="K234" i="7"/>
  <c r="J234" i="7"/>
  <c r="I234" i="7"/>
  <c r="H234" i="7"/>
  <c r="G234" i="7"/>
  <c r="F234" i="7"/>
  <c r="E234" i="7"/>
  <c r="D234" i="7"/>
  <c r="K234" i="9" s="1"/>
  <c r="C234" i="7"/>
  <c r="Z233" i="7"/>
  <c r="Q233" i="7"/>
  <c r="O233" i="7"/>
  <c r="P234" i="7" s="1"/>
  <c r="N233" i="7"/>
  <c r="M233" i="7"/>
  <c r="L233" i="7"/>
  <c r="K233" i="7"/>
  <c r="J233" i="7"/>
  <c r="I233" i="7"/>
  <c r="H233" i="7"/>
  <c r="G233" i="7"/>
  <c r="F233" i="7"/>
  <c r="E233" i="7"/>
  <c r="D233" i="7"/>
  <c r="K233" i="9" s="1"/>
  <c r="C233" i="7"/>
  <c r="Z232" i="7"/>
  <c r="Q232" i="7"/>
  <c r="O232" i="7"/>
  <c r="P233" i="7" s="1"/>
  <c r="N232" i="7"/>
  <c r="M232" i="7"/>
  <c r="L232" i="7"/>
  <c r="K232" i="7"/>
  <c r="J232" i="7"/>
  <c r="I232" i="7"/>
  <c r="H232" i="7"/>
  <c r="G232" i="7"/>
  <c r="F232" i="7"/>
  <c r="E232" i="7"/>
  <c r="D232" i="7"/>
  <c r="K232" i="9" s="1"/>
  <c r="C232" i="7"/>
  <c r="Z231" i="7"/>
  <c r="Q231" i="7"/>
  <c r="O231" i="7"/>
  <c r="P232" i="7" s="1"/>
  <c r="N231" i="7"/>
  <c r="M231" i="7"/>
  <c r="L231" i="7"/>
  <c r="K231" i="7"/>
  <c r="J231" i="7"/>
  <c r="I231" i="7"/>
  <c r="H231" i="7"/>
  <c r="G231" i="7"/>
  <c r="F231" i="7"/>
  <c r="E231" i="7"/>
  <c r="D231" i="7"/>
  <c r="K231" i="9" s="1"/>
  <c r="C231" i="7"/>
  <c r="Z230" i="7"/>
  <c r="Q230" i="7"/>
  <c r="O230" i="7"/>
  <c r="P231" i="7" s="1"/>
  <c r="N230" i="7"/>
  <c r="M230" i="7"/>
  <c r="L230" i="7"/>
  <c r="K230" i="7"/>
  <c r="J230" i="7"/>
  <c r="I230" i="7"/>
  <c r="H230" i="7"/>
  <c r="G230" i="7"/>
  <c r="F230" i="7"/>
  <c r="E230" i="7"/>
  <c r="D230" i="7"/>
  <c r="K230" i="9" s="1"/>
  <c r="C230" i="7"/>
  <c r="Z229" i="7"/>
  <c r="Q229" i="7"/>
  <c r="O229" i="7"/>
  <c r="P230" i="7" s="1"/>
  <c r="N229" i="7"/>
  <c r="M229" i="7"/>
  <c r="L229" i="7"/>
  <c r="K229" i="7"/>
  <c r="J229" i="7"/>
  <c r="I229" i="7"/>
  <c r="H229" i="7"/>
  <c r="G229" i="7"/>
  <c r="F229" i="7"/>
  <c r="E229" i="7"/>
  <c r="D229" i="7"/>
  <c r="K229" i="9" s="1"/>
  <c r="C229" i="7"/>
  <c r="Z228" i="7"/>
  <c r="Q228" i="7"/>
  <c r="O228" i="7"/>
  <c r="P229" i="7" s="1"/>
  <c r="N228" i="7"/>
  <c r="M228" i="7"/>
  <c r="L228" i="7"/>
  <c r="K228" i="7"/>
  <c r="J228" i="7"/>
  <c r="I228" i="7"/>
  <c r="H228" i="7"/>
  <c r="G228" i="7"/>
  <c r="F228" i="7"/>
  <c r="E228" i="7"/>
  <c r="D228" i="7"/>
  <c r="K228" i="9" s="1"/>
  <c r="C228" i="7"/>
  <c r="Z227" i="7"/>
  <c r="Q227" i="7"/>
  <c r="O227" i="7"/>
  <c r="P228" i="7" s="1"/>
  <c r="N227" i="7"/>
  <c r="M227" i="7"/>
  <c r="L227" i="7"/>
  <c r="K227" i="7"/>
  <c r="J227" i="7"/>
  <c r="I227" i="7"/>
  <c r="H227" i="7"/>
  <c r="G227" i="7"/>
  <c r="F227" i="7"/>
  <c r="E227" i="7"/>
  <c r="D227" i="7"/>
  <c r="K227" i="9" s="1"/>
  <c r="C227" i="7"/>
  <c r="Z226" i="7"/>
  <c r="Q226" i="7"/>
  <c r="O226" i="7"/>
  <c r="P227" i="7" s="1"/>
  <c r="N226" i="7"/>
  <c r="M226" i="7"/>
  <c r="L226" i="7"/>
  <c r="K226" i="7"/>
  <c r="J226" i="7"/>
  <c r="I226" i="7"/>
  <c r="H226" i="7"/>
  <c r="G226" i="7"/>
  <c r="F226" i="7"/>
  <c r="E226" i="7"/>
  <c r="D226" i="7"/>
  <c r="K226" i="9" s="1"/>
  <c r="C226" i="7"/>
  <c r="Z225" i="7"/>
  <c r="Q225" i="7"/>
  <c r="O225" i="7"/>
  <c r="P226" i="7" s="1"/>
  <c r="N225" i="7"/>
  <c r="M225" i="7"/>
  <c r="L225" i="7"/>
  <c r="K225" i="7"/>
  <c r="J225" i="7"/>
  <c r="I225" i="7"/>
  <c r="H225" i="7"/>
  <c r="G225" i="7"/>
  <c r="F225" i="7"/>
  <c r="E225" i="7"/>
  <c r="D225" i="7"/>
  <c r="K225" i="9" s="1"/>
  <c r="C225" i="7"/>
  <c r="Z224" i="7"/>
  <c r="Q224" i="7"/>
  <c r="O224" i="7"/>
  <c r="P225" i="7" s="1"/>
  <c r="N224" i="7"/>
  <c r="M224" i="7"/>
  <c r="L224" i="7"/>
  <c r="K224" i="7"/>
  <c r="J224" i="7"/>
  <c r="I224" i="7"/>
  <c r="H224" i="7"/>
  <c r="G224" i="7"/>
  <c r="F224" i="7"/>
  <c r="E224" i="7"/>
  <c r="D224" i="7"/>
  <c r="K224" i="9" s="1"/>
  <c r="C224" i="7"/>
  <c r="Z223" i="7"/>
  <c r="Q223" i="7"/>
  <c r="O223" i="7"/>
  <c r="P224" i="7" s="1"/>
  <c r="N223" i="7"/>
  <c r="M223" i="7"/>
  <c r="L223" i="7"/>
  <c r="K223" i="7"/>
  <c r="J223" i="7"/>
  <c r="I223" i="7"/>
  <c r="H223" i="7"/>
  <c r="G223" i="7"/>
  <c r="F223" i="7"/>
  <c r="E223" i="7"/>
  <c r="D223" i="7"/>
  <c r="K223" i="9" s="1"/>
  <c r="C223" i="7"/>
  <c r="Z222" i="7"/>
  <c r="Q222" i="7"/>
  <c r="O222" i="7"/>
  <c r="P223" i="7" s="1"/>
  <c r="N222" i="7"/>
  <c r="M222" i="7"/>
  <c r="L222" i="7"/>
  <c r="K222" i="7"/>
  <c r="J222" i="7"/>
  <c r="I222" i="7"/>
  <c r="H222" i="7"/>
  <c r="G222" i="7"/>
  <c r="F222" i="7"/>
  <c r="E222" i="7"/>
  <c r="D222" i="7"/>
  <c r="K222" i="9" s="1"/>
  <c r="C222" i="7"/>
  <c r="Z221" i="7"/>
  <c r="Q221" i="7"/>
  <c r="O221" i="7"/>
  <c r="P222" i="7" s="1"/>
  <c r="N221" i="7"/>
  <c r="M221" i="7"/>
  <c r="L221" i="7"/>
  <c r="K221" i="7"/>
  <c r="J221" i="7"/>
  <c r="I221" i="7"/>
  <c r="H221" i="7"/>
  <c r="G221" i="7"/>
  <c r="F221" i="7"/>
  <c r="E221" i="7"/>
  <c r="D221" i="7"/>
  <c r="K221" i="9" s="1"/>
  <c r="C221" i="7"/>
  <c r="Z220" i="7"/>
  <c r="Q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K220" i="9" s="1"/>
  <c r="C220" i="7"/>
  <c r="Z219" i="7"/>
  <c r="Q219" i="7"/>
  <c r="O219" i="7"/>
  <c r="P220" i="7" s="1"/>
  <c r="N219" i="7"/>
  <c r="M219" i="7"/>
  <c r="L219" i="7"/>
  <c r="K219" i="7"/>
  <c r="J219" i="7"/>
  <c r="I219" i="7"/>
  <c r="H219" i="7"/>
  <c r="G219" i="7"/>
  <c r="F219" i="7"/>
  <c r="E219" i="7"/>
  <c r="D219" i="7"/>
  <c r="K219" i="9" s="1"/>
  <c r="C219" i="7"/>
  <c r="Z218" i="7"/>
  <c r="Q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K218" i="9" s="1"/>
  <c r="C218" i="7"/>
  <c r="Z217" i="7"/>
  <c r="Q217" i="7"/>
  <c r="O217" i="7"/>
  <c r="P218" i="7" s="1"/>
  <c r="N217" i="7"/>
  <c r="M217" i="7"/>
  <c r="L217" i="7"/>
  <c r="K217" i="7"/>
  <c r="J217" i="7"/>
  <c r="I217" i="7"/>
  <c r="H217" i="7"/>
  <c r="G217" i="7"/>
  <c r="F217" i="7"/>
  <c r="E217" i="7"/>
  <c r="D217" i="7"/>
  <c r="K217" i="9" s="1"/>
  <c r="C217" i="7"/>
  <c r="Z216" i="7"/>
  <c r="Q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K216" i="9" s="1"/>
  <c r="C216" i="7"/>
  <c r="Z215" i="7"/>
  <c r="Q215" i="7"/>
  <c r="O215" i="7"/>
  <c r="P216" i="7" s="1"/>
  <c r="N215" i="7"/>
  <c r="M215" i="7"/>
  <c r="L215" i="7"/>
  <c r="K215" i="7"/>
  <c r="J215" i="7"/>
  <c r="I215" i="7"/>
  <c r="H215" i="7"/>
  <c r="G215" i="7"/>
  <c r="F215" i="7"/>
  <c r="E215" i="7"/>
  <c r="D215" i="7"/>
  <c r="K215" i="9" s="1"/>
  <c r="C215" i="7"/>
  <c r="Z214" i="7"/>
  <c r="Q214" i="7"/>
  <c r="O214" i="7"/>
  <c r="P215" i="7" s="1"/>
  <c r="N214" i="7"/>
  <c r="M214" i="7"/>
  <c r="L214" i="7"/>
  <c r="K214" i="7"/>
  <c r="J214" i="7"/>
  <c r="I214" i="7"/>
  <c r="H214" i="7"/>
  <c r="G214" i="7"/>
  <c r="F214" i="7"/>
  <c r="E214" i="7"/>
  <c r="D214" i="7"/>
  <c r="K214" i="9" s="1"/>
  <c r="C214" i="7"/>
  <c r="Z213" i="7"/>
  <c r="Q213" i="7"/>
  <c r="O213" i="7"/>
  <c r="P214" i="7" s="1"/>
  <c r="N213" i="7"/>
  <c r="M213" i="7"/>
  <c r="L213" i="7"/>
  <c r="K213" i="7"/>
  <c r="J213" i="7"/>
  <c r="I213" i="7"/>
  <c r="H213" i="7"/>
  <c r="G213" i="7"/>
  <c r="F213" i="7"/>
  <c r="E213" i="7"/>
  <c r="D213" i="7"/>
  <c r="K213" i="9" s="1"/>
  <c r="C213" i="7"/>
  <c r="Z212" i="7"/>
  <c r="Q212" i="7"/>
  <c r="O212" i="7"/>
  <c r="P213" i="7" s="1"/>
  <c r="N212" i="7"/>
  <c r="M212" i="7"/>
  <c r="L212" i="7"/>
  <c r="K212" i="7"/>
  <c r="J212" i="7"/>
  <c r="I212" i="7"/>
  <c r="H212" i="7"/>
  <c r="G212" i="7"/>
  <c r="F212" i="7"/>
  <c r="E212" i="7"/>
  <c r="D212" i="7"/>
  <c r="K212" i="9" s="1"/>
  <c r="C212" i="7"/>
  <c r="Z211" i="7"/>
  <c r="Q211" i="7"/>
  <c r="O211" i="7"/>
  <c r="P212" i="7" s="1"/>
  <c r="N211" i="7"/>
  <c r="M211" i="7"/>
  <c r="L211" i="7"/>
  <c r="K211" i="7"/>
  <c r="J211" i="7"/>
  <c r="I211" i="7"/>
  <c r="H211" i="7"/>
  <c r="G211" i="7"/>
  <c r="F211" i="7"/>
  <c r="E211" i="7"/>
  <c r="D211" i="7"/>
  <c r="K211" i="9" s="1"/>
  <c r="C211" i="7"/>
  <c r="Z210" i="7"/>
  <c r="Q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K210" i="9" s="1"/>
  <c r="C210" i="7"/>
  <c r="Z209" i="7"/>
  <c r="Q209" i="7"/>
  <c r="O209" i="7"/>
  <c r="P210" i="7" s="1"/>
  <c r="N209" i="7"/>
  <c r="M209" i="7"/>
  <c r="L209" i="7"/>
  <c r="K209" i="7"/>
  <c r="J209" i="7"/>
  <c r="I209" i="7"/>
  <c r="H209" i="7"/>
  <c r="G209" i="7"/>
  <c r="F209" i="7"/>
  <c r="E209" i="7"/>
  <c r="D209" i="7"/>
  <c r="K209" i="9" s="1"/>
  <c r="C209" i="7"/>
  <c r="Z208" i="7"/>
  <c r="Q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K208" i="9" s="1"/>
  <c r="C208" i="7"/>
  <c r="Z207" i="7"/>
  <c r="Q207" i="7"/>
  <c r="O207" i="7"/>
  <c r="P208" i="7" s="1"/>
  <c r="N207" i="7"/>
  <c r="M207" i="7"/>
  <c r="L207" i="7"/>
  <c r="K207" i="7"/>
  <c r="J207" i="7"/>
  <c r="I207" i="7"/>
  <c r="H207" i="7"/>
  <c r="G207" i="7"/>
  <c r="F207" i="7"/>
  <c r="E207" i="7"/>
  <c r="D207" i="7"/>
  <c r="K207" i="9" s="1"/>
  <c r="C207" i="7"/>
  <c r="Z206" i="7"/>
  <c r="Q206" i="7"/>
  <c r="O206" i="7"/>
  <c r="P207" i="7" s="1"/>
  <c r="N206" i="7"/>
  <c r="M206" i="7"/>
  <c r="L206" i="7"/>
  <c r="K206" i="7"/>
  <c r="J206" i="7"/>
  <c r="I206" i="7"/>
  <c r="H206" i="7"/>
  <c r="G206" i="7"/>
  <c r="F206" i="7"/>
  <c r="E206" i="7"/>
  <c r="D206" i="7"/>
  <c r="K206" i="9" s="1"/>
  <c r="C206" i="7"/>
  <c r="Z205" i="7"/>
  <c r="Q205" i="7"/>
  <c r="O205" i="7"/>
  <c r="P206" i="7" s="1"/>
  <c r="N205" i="7"/>
  <c r="M205" i="7"/>
  <c r="L205" i="7"/>
  <c r="K205" i="7"/>
  <c r="J205" i="7"/>
  <c r="I205" i="7"/>
  <c r="H205" i="7"/>
  <c r="G205" i="7"/>
  <c r="F205" i="7"/>
  <c r="E205" i="7"/>
  <c r="D205" i="7"/>
  <c r="K205" i="9" s="1"/>
  <c r="C205" i="7"/>
  <c r="Z204" i="7"/>
  <c r="Q204" i="7"/>
  <c r="O204" i="7"/>
  <c r="P205" i="7" s="1"/>
  <c r="N204" i="7"/>
  <c r="M204" i="7"/>
  <c r="L204" i="7"/>
  <c r="K204" i="7"/>
  <c r="J204" i="7"/>
  <c r="I204" i="7"/>
  <c r="H204" i="7"/>
  <c r="G204" i="7"/>
  <c r="F204" i="7"/>
  <c r="E204" i="7"/>
  <c r="D204" i="7"/>
  <c r="K204" i="9" s="1"/>
  <c r="C204" i="7"/>
  <c r="Z203" i="7"/>
  <c r="Q203" i="7"/>
  <c r="O203" i="7"/>
  <c r="P204" i="7" s="1"/>
  <c r="N203" i="7"/>
  <c r="M203" i="7"/>
  <c r="L203" i="7"/>
  <c r="K203" i="7"/>
  <c r="J203" i="7"/>
  <c r="I203" i="7"/>
  <c r="H203" i="7"/>
  <c r="G203" i="7"/>
  <c r="F203" i="7"/>
  <c r="E203" i="7"/>
  <c r="D203" i="7"/>
  <c r="K203" i="9" s="1"/>
  <c r="C203" i="7"/>
  <c r="Z202" i="7"/>
  <c r="Q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K202" i="9" s="1"/>
  <c r="C202" i="7"/>
  <c r="Z201" i="7"/>
  <c r="Q201" i="7"/>
  <c r="O201" i="7"/>
  <c r="P202" i="7" s="1"/>
  <c r="N201" i="7"/>
  <c r="M201" i="7"/>
  <c r="L201" i="7"/>
  <c r="K201" i="7"/>
  <c r="J201" i="7"/>
  <c r="I201" i="7"/>
  <c r="H201" i="7"/>
  <c r="G201" i="7"/>
  <c r="F201" i="7"/>
  <c r="E201" i="7"/>
  <c r="D201" i="7"/>
  <c r="K201" i="9" s="1"/>
  <c r="C201" i="7"/>
  <c r="Z200" i="7"/>
  <c r="Q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K200" i="9" s="1"/>
  <c r="C200" i="7"/>
  <c r="Z199" i="7"/>
  <c r="Q199" i="7"/>
  <c r="O199" i="7"/>
  <c r="P200" i="7" s="1"/>
  <c r="N199" i="7"/>
  <c r="M199" i="7"/>
  <c r="L199" i="7"/>
  <c r="K199" i="7"/>
  <c r="J199" i="7"/>
  <c r="I199" i="7"/>
  <c r="H199" i="7"/>
  <c r="G199" i="7"/>
  <c r="F199" i="7"/>
  <c r="E199" i="7"/>
  <c r="D199" i="7"/>
  <c r="K199" i="9" s="1"/>
  <c r="C199" i="7"/>
  <c r="Z198" i="7"/>
  <c r="Q198" i="7"/>
  <c r="O198" i="7"/>
  <c r="P199" i="7" s="1"/>
  <c r="N198" i="7"/>
  <c r="M198" i="7"/>
  <c r="L198" i="7"/>
  <c r="K198" i="7"/>
  <c r="J198" i="7"/>
  <c r="I198" i="7"/>
  <c r="H198" i="7"/>
  <c r="G198" i="7"/>
  <c r="F198" i="7"/>
  <c r="E198" i="7"/>
  <c r="D198" i="7"/>
  <c r="K198" i="9" s="1"/>
  <c r="C198" i="7"/>
  <c r="Z197" i="7"/>
  <c r="Q197" i="7"/>
  <c r="O197" i="7"/>
  <c r="P198" i="7" s="1"/>
  <c r="N197" i="7"/>
  <c r="M197" i="7"/>
  <c r="L197" i="7"/>
  <c r="K197" i="7"/>
  <c r="J197" i="7"/>
  <c r="I197" i="7"/>
  <c r="H197" i="7"/>
  <c r="G197" i="7"/>
  <c r="F197" i="7"/>
  <c r="E197" i="7"/>
  <c r="D197" i="7"/>
  <c r="K197" i="9" s="1"/>
  <c r="C197" i="7"/>
  <c r="Z196" i="7"/>
  <c r="Q196" i="7"/>
  <c r="O196" i="7"/>
  <c r="P197" i="7" s="1"/>
  <c r="N196" i="7"/>
  <c r="M196" i="7"/>
  <c r="L196" i="7"/>
  <c r="K196" i="7"/>
  <c r="J196" i="7"/>
  <c r="I196" i="7"/>
  <c r="H196" i="7"/>
  <c r="G196" i="7"/>
  <c r="F196" i="7"/>
  <c r="E196" i="7"/>
  <c r="D196" i="7"/>
  <c r="K196" i="9" s="1"/>
  <c r="C196" i="7"/>
  <c r="Z195" i="7"/>
  <c r="Q195" i="7"/>
  <c r="O195" i="7"/>
  <c r="P196" i="7" s="1"/>
  <c r="N195" i="7"/>
  <c r="M195" i="7"/>
  <c r="L195" i="7"/>
  <c r="K195" i="7"/>
  <c r="J195" i="7"/>
  <c r="I195" i="7"/>
  <c r="H195" i="7"/>
  <c r="G195" i="7"/>
  <c r="F195" i="7"/>
  <c r="E195" i="7"/>
  <c r="D195" i="7"/>
  <c r="K195" i="9" s="1"/>
  <c r="C195" i="7"/>
  <c r="Z194" i="7"/>
  <c r="Q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K194" i="9" s="1"/>
  <c r="C194" i="7"/>
  <c r="Z193" i="7"/>
  <c r="Q193" i="7"/>
  <c r="O193" i="7"/>
  <c r="P194" i="7" s="1"/>
  <c r="N193" i="7"/>
  <c r="M193" i="7"/>
  <c r="L193" i="7"/>
  <c r="K193" i="7"/>
  <c r="J193" i="7"/>
  <c r="I193" i="7"/>
  <c r="H193" i="7"/>
  <c r="G193" i="7"/>
  <c r="F193" i="7"/>
  <c r="E193" i="7"/>
  <c r="D193" i="7"/>
  <c r="K193" i="9" s="1"/>
  <c r="C193" i="7"/>
  <c r="Z192" i="7"/>
  <c r="Q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K192" i="9" s="1"/>
  <c r="C192" i="7"/>
  <c r="Z191" i="7"/>
  <c r="Q191" i="7"/>
  <c r="O191" i="7"/>
  <c r="P192" i="7" s="1"/>
  <c r="N191" i="7"/>
  <c r="M191" i="7"/>
  <c r="L191" i="7"/>
  <c r="K191" i="7"/>
  <c r="J191" i="7"/>
  <c r="I191" i="7"/>
  <c r="H191" i="7"/>
  <c r="G191" i="7"/>
  <c r="F191" i="7"/>
  <c r="E191" i="7"/>
  <c r="D191" i="7"/>
  <c r="K191" i="9" s="1"/>
  <c r="C191" i="7"/>
  <c r="Z190" i="7"/>
  <c r="Q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K190" i="9" s="1"/>
  <c r="C190" i="7"/>
  <c r="Z189" i="7"/>
  <c r="Q189" i="7"/>
  <c r="O189" i="7"/>
  <c r="P190" i="7" s="1"/>
  <c r="N189" i="7"/>
  <c r="M189" i="7"/>
  <c r="L189" i="7"/>
  <c r="K189" i="7"/>
  <c r="J189" i="7"/>
  <c r="I189" i="7"/>
  <c r="H189" i="7"/>
  <c r="G189" i="7"/>
  <c r="F189" i="7"/>
  <c r="E189" i="7"/>
  <c r="D189" i="7"/>
  <c r="K189" i="9" s="1"/>
  <c r="C189" i="7"/>
  <c r="Z188" i="7"/>
  <c r="Q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K188" i="9" s="1"/>
  <c r="C188" i="7"/>
  <c r="Z187" i="7"/>
  <c r="Q187" i="7"/>
  <c r="O187" i="7"/>
  <c r="P188" i="7" s="1"/>
  <c r="N187" i="7"/>
  <c r="M187" i="7"/>
  <c r="L187" i="7"/>
  <c r="K187" i="7"/>
  <c r="J187" i="7"/>
  <c r="I187" i="7"/>
  <c r="H187" i="7"/>
  <c r="G187" i="7"/>
  <c r="F187" i="7"/>
  <c r="E187" i="7"/>
  <c r="D187" i="7"/>
  <c r="K187" i="9" s="1"/>
  <c r="C187" i="7"/>
  <c r="Z186" i="7"/>
  <c r="Q186" i="7"/>
  <c r="O186" i="7"/>
  <c r="P187" i="7" s="1"/>
  <c r="N186" i="7"/>
  <c r="M186" i="7"/>
  <c r="L186" i="7"/>
  <c r="K186" i="7"/>
  <c r="J186" i="7"/>
  <c r="I186" i="7"/>
  <c r="H186" i="7"/>
  <c r="G186" i="7"/>
  <c r="F186" i="7"/>
  <c r="E186" i="7"/>
  <c r="D186" i="7"/>
  <c r="K186" i="9" s="1"/>
  <c r="C186" i="7"/>
  <c r="Z185" i="7"/>
  <c r="Q185" i="7"/>
  <c r="O185" i="7"/>
  <c r="P186" i="7" s="1"/>
  <c r="N185" i="7"/>
  <c r="M185" i="7"/>
  <c r="L185" i="7"/>
  <c r="K185" i="7"/>
  <c r="J185" i="7"/>
  <c r="I185" i="7"/>
  <c r="H185" i="7"/>
  <c r="G185" i="7"/>
  <c r="F185" i="7"/>
  <c r="E185" i="7"/>
  <c r="D185" i="7"/>
  <c r="K185" i="9" s="1"/>
  <c r="C185" i="7"/>
  <c r="Z184" i="7"/>
  <c r="Q184" i="7"/>
  <c r="O184" i="7"/>
  <c r="P185" i="7" s="1"/>
  <c r="N184" i="7"/>
  <c r="M184" i="7"/>
  <c r="L184" i="7"/>
  <c r="K184" i="7"/>
  <c r="J184" i="7"/>
  <c r="I184" i="7"/>
  <c r="H184" i="7"/>
  <c r="G184" i="7"/>
  <c r="F184" i="7"/>
  <c r="E184" i="7"/>
  <c r="D184" i="7"/>
  <c r="K184" i="9" s="1"/>
  <c r="C184" i="7"/>
  <c r="Z183" i="7"/>
  <c r="Q183" i="7"/>
  <c r="O183" i="7"/>
  <c r="P184" i="7" s="1"/>
  <c r="N183" i="7"/>
  <c r="M183" i="7"/>
  <c r="L183" i="7"/>
  <c r="K183" i="7"/>
  <c r="J183" i="7"/>
  <c r="I183" i="7"/>
  <c r="H183" i="7"/>
  <c r="G183" i="7"/>
  <c r="F183" i="7"/>
  <c r="E183" i="7"/>
  <c r="D183" i="7"/>
  <c r="K183" i="9" s="1"/>
  <c r="C183" i="7"/>
  <c r="Z182" i="7"/>
  <c r="Q182" i="7"/>
  <c r="O182" i="7"/>
  <c r="P183" i="7" s="1"/>
  <c r="N182" i="7"/>
  <c r="M182" i="7"/>
  <c r="L182" i="7"/>
  <c r="K182" i="7"/>
  <c r="J182" i="7"/>
  <c r="I182" i="7"/>
  <c r="H182" i="7"/>
  <c r="G182" i="7"/>
  <c r="F182" i="7"/>
  <c r="E182" i="7"/>
  <c r="D182" i="7"/>
  <c r="K182" i="9" s="1"/>
  <c r="C182" i="7"/>
  <c r="Z181" i="7"/>
  <c r="Q181" i="7"/>
  <c r="O181" i="7"/>
  <c r="P182" i="7" s="1"/>
  <c r="N181" i="7"/>
  <c r="M181" i="7"/>
  <c r="L181" i="7"/>
  <c r="K181" i="7"/>
  <c r="J181" i="7"/>
  <c r="I181" i="7"/>
  <c r="H181" i="7"/>
  <c r="G181" i="7"/>
  <c r="F181" i="7"/>
  <c r="E181" i="7"/>
  <c r="D181" i="7"/>
  <c r="K181" i="9" s="1"/>
  <c r="C181" i="7"/>
  <c r="Z180" i="7"/>
  <c r="Q180" i="7"/>
  <c r="O180" i="7"/>
  <c r="P181" i="7" s="1"/>
  <c r="N180" i="7"/>
  <c r="M180" i="7"/>
  <c r="L180" i="7"/>
  <c r="K180" i="7"/>
  <c r="J180" i="7"/>
  <c r="I180" i="7"/>
  <c r="H180" i="7"/>
  <c r="G180" i="7"/>
  <c r="F180" i="7"/>
  <c r="E180" i="7"/>
  <c r="D180" i="7"/>
  <c r="K180" i="9" s="1"/>
  <c r="C180" i="7"/>
  <c r="Z179" i="7"/>
  <c r="Q179" i="7"/>
  <c r="O179" i="7"/>
  <c r="P180" i="7" s="1"/>
  <c r="N179" i="7"/>
  <c r="M179" i="7"/>
  <c r="L179" i="7"/>
  <c r="K179" i="7"/>
  <c r="J179" i="7"/>
  <c r="I179" i="7"/>
  <c r="H179" i="7"/>
  <c r="G179" i="7"/>
  <c r="F179" i="7"/>
  <c r="E179" i="7"/>
  <c r="D179" i="7"/>
  <c r="K179" i="9" s="1"/>
  <c r="C179" i="7"/>
  <c r="Z178" i="7"/>
  <c r="Q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K178" i="9" s="1"/>
  <c r="C178" i="7"/>
  <c r="Z177" i="7"/>
  <c r="Q177" i="7"/>
  <c r="O177" i="7"/>
  <c r="P178" i="7" s="1"/>
  <c r="N177" i="7"/>
  <c r="M177" i="7"/>
  <c r="L177" i="7"/>
  <c r="K177" i="7"/>
  <c r="J177" i="7"/>
  <c r="I177" i="7"/>
  <c r="H177" i="7"/>
  <c r="G177" i="7"/>
  <c r="F177" i="7"/>
  <c r="E177" i="7"/>
  <c r="D177" i="7"/>
  <c r="K177" i="9" s="1"/>
  <c r="C177" i="7"/>
  <c r="Z176" i="7"/>
  <c r="Q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K176" i="9" s="1"/>
  <c r="C176" i="7"/>
  <c r="Z175" i="7"/>
  <c r="Q175" i="7"/>
  <c r="O175" i="7"/>
  <c r="P176" i="7" s="1"/>
  <c r="N175" i="7"/>
  <c r="M175" i="7"/>
  <c r="L175" i="7"/>
  <c r="K175" i="7"/>
  <c r="J175" i="7"/>
  <c r="I175" i="7"/>
  <c r="H175" i="7"/>
  <c r="G175" i="7"/>
  <c r="F175" i="7"/>
  <c r="E175" i="7"/>
  <c r="D175" i="7"/>
  <c r="K175" i="9" s="1"/>
  <c r="C175" i="7"/>
  <c r="Z174" i="7"/>
  <c r="Q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K174" i="9" s="1"/>
  <c r="C174" i="7"/>
  <c r="Z173" i="7"/>
  <c r="Q173" i="7"/>
  <c r="O173" i="7"/>
  <c r="P174" i="7" s="1"/>
  <c r="N173" i="7"/>
  <c r="M173" i="7"/>
  <c r="L173" i="7"/>
  <c r="K173" i="7"/>
  <c r="J173" i="7"/>
  <c r="I173" i="7"/>
  <c r="H173" i="7"/>
  <c r="G173" i="7"/>
  <c r="F173" i="7"/>
  <c r="E173" i="7"/>
  <c r="D173" i="7"/>
  <c r="K173" i="9" s="1"/>
  <c r="C173" i="7"/>
  <c r="Z172" i="7"/>
  <c r="Q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K172" i="9" s="1"/>
  <c r="C172" i="7"/>
  <c r="Z171" i="7"/>
  <c r="Q171" i="7"/>
  <c r="O171" i="7"/>
  <c r="P172" i="7" s="1"/>
  <c r="N171" i="7"/>
  <c r="M171" i="7"/>
  <c r="L171" i="7"/>
  <c r="K171" i="7"/>
  <c r="J171" i="7"/>
  <c r="I171" i="7"/>
  <c r="H171" i="7"/>
  <c r="G171" i="7"/>
  <c r="F171" i="7"/>
  <c r="E171" i="7"/>
  <c r="D171" i="7"/>
  <c r="K171" i="9" s="1"/>
  <c r="C171" i="7"/>
  <c r="Z170" i="7"/>
  <c r="Q170" i="7"/>
  <c r="O170" i="7"/>
  <c r="P171" i="7" s="1"/>
  <c r="N170" i="7"/>
  <c r="M170" i="7"/>
  <c r="L170" i="7"/>
  <c r="K170" i="7"/>
  <c r="J170" i="7"/>
  <c r="I170" i="7"/>
  <c r="H170" i="7"/>
  <c r="G170" i="7"/>
  <c r="F170" i="7"/>
  <c r="E170" i="7"/>
  <c r="D170" i="7"/>
  <c r="K170" i="9" s="1"/>
  <c r="C170" i="7"/>
  <c r="Z169" i="7"/>
  <c r="Q169" i="7"/>
  <c r="O169" i="7"/>
  <c r="P170" i="7" s="1"/>
  <c r="N169" i="7"/>
  <c r="M169" i="7"/>
  <c r="L169" i="7"/>
  <c r="K169" i="7"/>
  <c r="J169" i="7"/>
  <c r="I169" i="7"/>
  <c r="H169" i="7"/>
  <c r="G169" i="7"/>
  <c r="F169" i="7"/>
  <c r="E169" i="7"/>
  <c r="D169" i="7"/>
  <c r="K169" i="9" s="1"/>
  <c r="C169" i="7"/>
  <c r="Z168" i="7"/>
  <c r="Q168" i="7"/>
  <c r="O168" i="7"/>
  <c r="P169" i="7" s="1"/>
  <c r="N168" i="7"/>
  <c r="M168" i="7"/>
  <c r="L168" i="7"/>
  <c r="K168" i="7"/>
  <c r="J168" i="7"/>
  <c r="I168" i="7"/>
  <c r="H168" i="7"/>
  <c r="G168" i="7"/>
  <c r="F168" i="7"/>
  <c r="E168" i="7"/>
  <c r="D168" i="7"/>
  <c r="K168" i="9" s="1"/>
  <c r="C168" i="7"/>
  <c r="Z167" i="7"/>
  <c r="Q167" i="7"/>
  <c r="O167" i="7"/>
  <c r="P168" i="7" s="1"/>
  <c r="N167" i="7"/>
  <c r="M167" i="7"/>
  <c r="L167" i="7"/>
  <c r="K167" i="7"/>
  <c r="J167" i="7"/>
  <c r="I167" i="7"/>
  <c r="H167" i="7"/>
  <c r="G167" i="7"/>
  <c r="F167" i="7"/>
  <c r="E167" i="7"/>
  <c r="D167" i="7"/>
  <c r="K167" i="9" s="1"/>
  <c r="C167" i="7"/>
  <c r="Z166" i="7"/>
  <c r="Q166" i="7"/>
  <c r="O166" i="7"/>
  <c r="P167" i="7" s="1"/>
  <c r="N166" i="7"/>
  <c r="M166" i="7"/>
  <c r="L166" i="7"/>
  <c r="K166" i="7"/>
  <c r="J166" i="7"/>
  <c r="I166" i="7"/>
  <c r="H166" i="7"/>
  <c r="G166" i="7"/>
  <c r="F166" i="7"/>
  <c r="E166" i="7"/>
  <c r="D166" i="7"/>
  <c r="K166" i="9" s="1"/>
  <c r="C166" i="7"/>
  <c r="Z165" i="7"/>
  <c r="Q165" i="7"/>
  <c r="O165" i="7"/>
  <c r="P166" i="7" s="1"/>
  <c r="N165" i="7"/>
  <c r="M165" i="7"/>
  <c r="L165" i="7"/>
  <c r="K165" i="7"/>
  <c r="J165" i="7"/>
  <c r="I165" i="7"/>
  <c r="H165" i="7"/>
  <c r="G165" i="7"/>
  <c r="F165" i="7"/>
  <c r="E165" i="7"/>
  <c r="D165" i="7"/>
  <c r="K165" i="9" s="1"/>
  <c r="C165" i="7"/>
  <c r="Z164" i="7"/>
  <c r="Q164" i="7"/>
  <c r="O164" i="7"/>
  <c r="P165" i="7" s="1"/>
  <c r="N164" i="7"/>
  <c r="M164" i="7"/>
  <c r="L164" i="7"/>
  <c r="K164" i="7"/>
  <c r="J164" i="7"/>
  <c r="I164" i="7"/>
  <c r="H164" i="7"/>
  <c r="G164" i="7"/>
  <c r="F164" i="7"/>
  <c r="E164" i="7"/>
  <c r="D164" i="7"/>
  <c r="K164" i="9" s="1"/>
  <c r="C164" i="7"/>
  <c r="Z163" i="7"/>
  <c r="Q163" i="7"/>
  <c r="O163" i="7"/>
  <c r="P164" i="7" s="1"/>
  <c r="N163" i="7"/>
  <c r="M163" i="7"/>
  <c r="L163" i="7"/>
  <c r="K163" i="7"/>
  <c r="J163" i="7"/>
  <c r="I163" i="7"/>
  <c r="H163" i="7"/>
  <c r="G163" i="7"/>
  <c r="F163" i="7"/>
  <c r="E163" i="7"/>
  <c r="D163" i="7"/>
  <c r="K163" i="9" s="1"/>
  <c r="C163" i="7"/>
  <c r="Z162" i="7"/>
  <c r="Q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K162" i="9" s="1"/>
  <c r="C162" i="7"/>
  <c r="Z161" i="7"/>
  <c r="Q161" i="7"/>
  <c r="O161" i="7"/>
  <c r="P162" i="7" s="1"/>
  <c r="N161" i="7"/>
  <c r="M161" i="7"/>
  <c r="L161" i="7"/>
  <c r="K161" i="7"/>
  <c r="J161" i="7"/>
  <c r="I161" i="7"/>
  <c r="H161" i="7"/>
  <c r="G161" i="7"/>
  <c r="F161" i="7"/>
  <c r="E161" i="7"/>
  <c r="D161" i="7"/>
  <c r="K161" i="9" s="1"/>
  <c r="C161" i="7"/>
  <c r="Z160" i="7"/>
  <c r="Q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K160" i="9" s="1"/>
  <c r="C160" i="7"/>
  <c r="Z159" i="7"/>
  <c r="Q159" i="7"/>
  <c r="O159" i="7"/>
  <c r="P160" i="7" s="1"/>
  <c r="N159" i="7"/>
  <c r="M159" i="7"/>
  <c r="L159" i="7"/>
  <c r="K159" i="7"/>
  <c r="J159" i="7"/>
  <c r="I159" i="7"/>
  <c r="H159" i="7"/>
  <c r="G159" i="7"/>
  <c r="F159" i="7"/>
  <c r="E159" i="7"/>
  <c r="D159" i="7"/>
  <c r="K159" i="9" s="1"/>
  <c r="C159" i="7"/>
  <c r="Z158" i="7"/>
  <c r="Q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K158" i="9" s="1"/>
  <c r="C158" i="7"/>
  <c r="Z157" i="7"/>
  <c r="Q157" i="7"/>
  <c r="O157" i="7"/>
  <c r="P158" i="7" s="1"/>
  <c r="N157" i="7"/>
  <c r="M157" i="7"/>
  <c r="L157" i="7"/>
  <c r="K157" i="7"/>
  <c r="J157" i="7"/>
  <c r="I157" i="7"/>
  <c r="H157" i="7"/>
  <c r="G157" i="7"/>
  <c r="F157" i="7"/>
  <c r="E157" i="7"/>
  <c r="D157" i="7"/>
  <c r="K157" i="9" s="1"/>
  <c r="C157" i="7"/>
  <c r="Z156" i="7"/>
  <c r="Q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K156" i="9" s="1"/>
  <c r="C156" i="7"/>
  <c r="Z155" i="7"/>
  <c r="Q155" i="7"/>
  <c r="O155" i="7"/>
  <c r="P156" i="7" s="1"/>
  <c r="N155" i="7"/>
  <c r="M155" i="7"/>
  <c r="L155" i="7"/>
  <c r="K155" i="7"/>
  <c r="J155" i="7"/>
  <c r="I155" i="7"/>
  <c r="H155" i="7"/>
  <c r="G155" i="7"/>
  <c r="F155" i="7"/>
  <c r="E155" i="7"/>
  <c r="D155" i="7"/>
  <c r="K155" i="9" s="1"/>
  <c r="C155" i="7"/>
  <c r="Z154" i="7"/>
  <c r="Q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K154" i="9" s="1"/>
  <c r="C154" i="7"/>
  <c r="Z153" i="7"/>
  <c r="Q153" i="7"/>
  <c r="O153" i="7"/>
  <c r="P154" i="7" s="1"/>
  <c r="N153" i="7"/>
  <c r="M153" i="7"/>
  <c r="L153" i="7"/>
  <c r="K153" i="7"/>
  <c r="J153" i="7"/>
  <c r="I153" i="7"/>
  <c r="H153" i="7"/>
  <c r="G153" i="7"/>
  <c r="F153" i="7"/>
  <c r="E153" i="7"/>
  <c r="D153" i="7"/>
  <c r="K153" i="9" s="1"/>
  <c r="C153" i="7"/>
  <c r="Z152" i="7"/>
  <c r="Q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K152" i="9" s="1"/>
  <c r="C152" i="7"/>
  <c r="Z151" i="7"/>
  <c r="Q151" i="7"/>
  <c r="O151" i="7"/>
  <c r="P152" i="7" s="1"/>
  <c r="N151" i="7"/>
  <c r="M151" i="7"/>
  <c r="L151" i="7"/>
  <c r="K151" i="7"/>
  <c r="J151" i="7"/>
  <c r="I151" i="7"/>
  <c r="H151" i="7"/>
  <c r="G151" i="7"/>
  <c r="F151" i="7"/>
  <c r="E151" i="7"/>
  <c r="D151" i="7"/>
  <c r="K151" i="9" s="1"/>
  <c r="C151" i="7"/>
  <c r="Z150" i="7"/>
  <c r="Q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K150" i="9" s="1"/>
  <c r="C150" i="7"/>
  <c r="Z149" i="7"/>
  <c r="Q149" i="7"/>
  <c r="O149" i="7"/>
  <c r="P150" i="7" s="1"/>
  <c r="N149" i="7"/>
  <c r="M149" i="7"/>
  <c r="L149" i="7"/>
  <c r="K149" i="7"/>
  <c r="J149" i="7"/>
  <c r="I149" i="7"/>
  <c r="H149" i="7"/>
  <c r="G149" i="7"/>
  <c r="F149" i="7"/>
  <c r="E149" i="7"/>
  <c r="D149" i="7"/>
  <c r="K149" i="9" s="1"/>
  <c r="C149" i="7"/>
  <c r="Z148" i="7"/>
  <c r="Q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K148" i="9" s="1"/>
  <c r="C148" i="7"/>
  <c r="Z147" i="7"/>
  <c r="Q147" i="7"/>
  <c r="O147" i="7"/>
  <c r="P148" i="7" s="1"/>
  <c r="N147" i="7"/>
  <c r="M147" i="7"/>
  <c r="L147" i="7"/>
  <c r="K147" i="7"/>
  <c r="J147" i="7"/>
  <c r="I147" i="7"/>
  <c r="H147" i="7"/>
  <c r="G147" i="7"/>
  <c r="F147" i="7"/>
  <c r="E147" i="7"/>
  <c r="D147" i="7"/>
  <c r="K147" i="9" s="1"/>
  <c r="C147" i="7"/>
  <c r="Z146" i="7"/>
  <c r="Q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K146" i="9" s="1"/>
  <c r="C146" i="7"/>
  <c r="Z145" i="7"/>
  <c r="Q145" i="7"/>
  <c r="O145" i="7"/>
  <c r="P146" i="7" s="1"/>
  <c r="N145" i="7"/>
  <c r="M145" i="7"/>
  <c r="L145" i="7"/>
  <c r="K145" i="7"/>
  <c r="J145" i="7"/>
  <c r="I145" i="7"/>
  <c r="H145" i="7"/>
  <c r="G145" i="7"/>
  <c r="F145" i="7"/>
  <c r="E145" i="7"/>
  <c r="D145" i="7"/>
  <c r="K145" i="9" s="1"/>
  <c r="C145" i="7"/>
  <c r="Z144" i="7"/>
  <c r="Q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K144" i="9" s="1"/>
  <c r="C144" i="7"/>
  <c r="Z143" i="7"/>
  <c r="Q143" i="7"/>
  <c r="O143" i="7"/>
  <c r="P144" i="7" s="1"/>
  <c r="N143" i="7"/>
  <c r="M143" i="7"/>
  <c r="L143" i="7"/>
  <c r="K143" i="7"/>
  <c r="J143" i="7"/>
  <c r="I143" i="7"/>
  <c r="H143" i="7"/>
  <c r="G143" i="7"/>
  <c r="F143" i="7"/>
  <c r="E143" i="7"/>
  <c r="D143" i="7"/>
  <c r="K143" i="9" s="1"/>
  <c r="C143" i="7"/>
  <c r="Z142" i="7"/>
  <c r="Q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K142" i="9" s="1"/>
  <c r="C142" i="7"/>
  <c r="Z141" i="7"/>
  <c r="Q141" i="7"/>
  <c r="O141" i="7"/>
  <c r="P142" i="7" s="1"/>
  <c r="N141" i="7"/>
  <c r="M141" i="7"/>
  <c r="L141" i="7"/>
  <c r="K141" i="7"/>
  <c r="J141" i="7"/>
  <c r="I141" i="7"/>
  <c r="H141" i="7"/>
  <c r="G141" i="7"/>
  <c r="F141" i="7"/>
  <c r="E141" i="7"/>
  <c r="D141" i="7"/>
  <c r="K141" i="9" s="1"/>
  <c r="C141" i="7"/>
  <c r="Z140" i="7"/>
  <c r="Q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K140" i="9" s="1"/>
  <c r="C140" i="7"/>
  <c r="Z139" i="7"/>
  <c r="Q139" i="7"/>
  <c r="O139" i="7"/>
  <c r="P140" i="7" s="1"/>
  <c r="N139" i="7"/>
  <c r="M139" i="7"/>
  <c r="L139" i="7"/>
  <c r="K139" i="7"/>
  <c r="J139" i="7"/>
  <c r="I139" i="7"/>
  <c r="H139" i="7"/>
  <c r="G139" i="7"/>
  <c r="F139" i="7"/>
  <c r="E139" i="7"/>
  <c r="D139" i="7"/>
  <c r="K139" i="9" s="1"/>
  <c r="C139" i="7"/>
  <c r="Z138" i="7"/>
  <c r="Q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K138" i="9" s="1"/>
  <c r="C138" i="7"/>
  <c r="Z137" i="7"/>
  <c r="Q137" i="7"/>
  <c r="O137" i="7"/>
  <c r="P138" i="7" s="1"/>
  <c r="N137" i="7"/>
  <c r="M137" i="7"/>
  <c r="L137" i="7"/>
  <c r="K137" i="7"/>
  <c r="J137" i="7"/>
  <c r="I137" i="7"/>
  <c r="H137" i="7"/>
  <c r="G137" i="7"/>
  <c r="F137" i="7"/>
  <c r="E137" i="7"/>
  <c r="D137" i="7"/>
  <c r="K137" i="9" s="1"/>
  <c r="C137" i="7"/>
  <c r="Z136" i="7"/>
  <c r="Q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K136" i="9" s="1"/>
  <c r="C136" i="7"/>
  <c r="Z135" i="7"/>
  <c r="Q135" i="7"/>
  <c r="O135" i="7"/>
  <c r="P136" i="7" s="1"/>
  <c r="N135" i="7"/>
  <c r="M135" i="7"/>
  <c r="L135" i="7"/>
  <c r="K135" i="7"/>
  <c r="J135" i="7"/>
  <c r="I135" i="7"/>
  <c r="H135" i="7"/>
  <c r="G135" i="7"/>
  <c r="F135" i="7"/>
  <c r="E135" i="7"/>
  <c r="D135" i="7"/>
  <c r="K135" i="9" s="1"/>
  <c r="C135" i="7"/>
  <c r="Z134" i="7"/>
  <c r="Q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K134" i="9" s="1"/>
  <c r="C134" i="7"/>
  <c r="Z133" i="7"/>
  <c r="Q133" i="7"/>
  <c r="O133" i="7"/>
  <c r="P134" i="7" s="1"/>
  <c r="N133" i="7"/>
  <c r="M133" i="7"/>
  <c r="L133" i="7"/>
  <c r="K133" i="7"/>
  <c r="J133" i="7"/>
  <c r="I133" i="7"/>
  <c r="H133" i="7"/>
  <c r="G133" i="7"/>
  <c r="F133" i="7"/>
  <c r="E133" i="7"/>
  <c r="D133" i="7"/>
  <c r="K133" i="9" s="1"/>
  <c r="C133" i="7"/>
  <c r="Z132" i="7"/>
  <c r="Q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K132" i="9" s="1"/>
  <c r="C132" i="7"/>
  <c r="Z131" i="7"/>
  <c r="Q131" i="7"/>
  <c r="O131" i="7"/>
  <c r="P132" i="7" s="1"/>
  <c r="N131" i="7"/>
  <c r="M131" i="7"/>
  <c r="L131" i="7"/>
  <c r="K131" i="7"/>
  <c r="J131" i="7"/>
  <c r="I131" i="7"/>
  <c r="H131" i="7"/>
  <c r="G131" i="7"/>
  <c r="F131" i="7"/>
  <c r="E131" i="7"/>
  <c r="D131" i="7"/>
  <c r="K131" i="9" s="1"/>
  <c r="C131" i="7"/>
  <c r="Z130" i="7"/>
  <c r="Q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K130" i="9" s="1"/>
  <c r="C130" i="7"/>
  <c r="Z129" i="7"/>
  <c r="Q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K129" i="9" s="1"/>
  <c r="C129" i="7"/>
  <c r="Z128" i="7"/>
  <c r="Q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K128" i="9" s="1"/>
  <c r="C128" i="7"/>
  <c r="Z127" i="7"/>
  <c r="Q127" i="7"/>
  <c r="O127" i="7"/>
  <c r="P128" i="7" s="1"/>
  <c r="N127" i="7"/>
  <c r="M127" i="7"/>
  <c r="L127" i="7"/>
  <c r="K127" i="7"/>
  <c r="J127" i="7"/>
  <c r="I127" i="7"/>
  <c r="H127" i="7"/>
  <c r="G127" i="7"/>
  <c r="F127" i="7"/>
  <c r="E127" i="7"/>
  <c r="D127" i="7"/>
  <c r="K127" i="9" s="1"/>
  <c r="C127" i="7"/>
  <c r="Z126" i="7"/>
  <c r="Q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K126" i="9" s="1"/>
  <c r="C126" i="7"/>
  <c r="Z125" i="7"/>
  <c r="Q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K125" i="9" s="1"/>
  <c r="C125" i="7"/>
  <c r="Z124" i="7"/>
  <c r="Q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K124" i="9" s="1"/>
  <c r="C124" i="7"/>
  <c r="Z123" i="7"/>
  <c r="Q123" i="7"/>
  <c r="O123" i="7"/>
  <c r="P124" i="7" s="1"/>
  <c r="N123" i="7"/>
  <c r="M123" i="7"/>
  <c r="L123" i="7"/>
  <c r="K123" i="7"/>
  <c r="J123" i="7"/>
  <c r="I123" i="7"/>
  <c r="H123" i="7"/>
  <c r="G123" i="7"/>
  <c r="F123" i="7"/>
  <c r="E123" i="7"/>
  <c r="D123" i="7"/>
  <c r="K123" i="9" s="1"/>
  <c r="C123" i="7"/>
  <c r="Z122" i="7"/>
  <c r="Q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K122" i="9" s="1"/>
  <c r="C122" i="7"/>
  <c r="Z121" i="7"/>
  <c r="Q121" i="7"/>
  <c r="O121" i="7"/>
  <c r="P122" i="7" s="1"/>
  <c r="N121" i="7"/>
  <c r="M121" i="7"/>
  <c r="L121" i="7"/>
  <c r="K121" i="7"/>
  <c r="J121" i="7"/>
  <c r="I121" i="7"/>
  <c r="H121" i="7"/>
  <c r="G121" i="7"/>
  <c r="F121" i="7"/>
  <c r="E121" i="7"/>
  <c r="D121" i="7"/>
  <c r="K121" i="9" s="1"/>
  <c r="C121" i="7"/>
  <c r="Z120" i="7"/>
  <c r="Q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K120" i="9" s="1"/>
  <c r="C120" i="7"/>
  <c r="Z119" i="7"/>
  <c r="Q119" i="7"/>
  <c r="O119" i="7"/>
  <c r="P120" i="7" s="1"/>
  <c r="N119" i="7"/>
  <c r="M119" i="7"/>
  <c r="L119" i="7"/>
  <c r="K119" i="7"/>
  <c r="J119" i="7"/>
  <c r="I119" i="7"/>
  <c r="H119" i="7"/>
  <c r="G119" i="7"/>
  <c r="F119" i="7"/>
  <c r="E119" i="7"/>
  <c r="D119" i="7"/>
  <c r="K119" i="9" s="1"/>
  <c r="C119" i="7"/>
  <c r="Z118" i="7"/>
  <c r="Q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K118" i="9" s="1"/>
  <c r="C118" i="7"/>
  <c r="Z117" i="7"/>
  <c r="Q117" i="7"/>
  <c r="O117" i="7"/>
  <c r="P118" i="7" s="1"/>
  <c r="N117" i="7"/>
  <c r="M117" i="7"/>
  <c r="L117" i="7"/>
  <c r="K117" i="7"/>
  <c r="J117" i="7"/>
  <c r="I117" i="7"/>
  <c r="H117" i="7"/>
  <c r="G117" i="7"/>
  <c r="F117" i="7"/>
  <c r="E117" i="7"/>
  <c r="D117" i="7"/>
  <c r="K117" i="9" s="1"/>
  <c r="C117" i="7"/>
  <c r="Z116" i="7"/>
  <c r="Q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K116" i="9" s="1"/>
  <c r="C116" i="7"/>
  <c r="Z115" i="7"/>
  <c r="Q115" i="7"/>
  <c r="O115" i="7"/>
  <c r="P116" i="7" s="1"/>
  <c r="N115" i="7"/>
  <c r="M115" i="7"/>
  <c r="L115" i="7"/>
  <c r="K115" i="7"/>
  <c r="J115" i="7"/>
  <c r="I115" i="7"/>
  <c r="H115" i="7"/>
  <c r="G115" i="7"/>
  <c r="F115" i="7"/>
  <c r="E115" i="7"/>
  <c r="D115" i="7"/>
  <c r="K115" i="9" s="1"/>
  <c r="C115" i="7"/>
  <c r="Z114" i="7"/>
  <c r="Q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K114" i="9" s="1"/>
  <c r="C114" i="7"/>
  <c r="Z113" i="7"/>
  <c r="Q113" i="7"/>
  <c r="O113" i="7"/>
  <c r="P114" i="7" s="1"/>
  <c r="N113" i="7"/>
  <c r="M113" i="7"/>
  <c r="L113" i="7"/>
  <c r="K113" i="7"/>
  <c r="J113" i="7"/>
  <c r="I113" i="7"/>
  <c r="H113" i="7"/>
  <c r="G113" i="7"/>
  <c r="F113" i="7"/>
  <c r="E113" i="7"/>
  <c r="D113" i="7"/>
  <c r="K113" i="9" s="1"/>
  <c r="C113" i="7"/>
  <c r="Z112" i="7"/>
  <c r="Q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K112" i="9" s="1"/>
  <c r="C112" i="7"/>
  <c r="Z111" i="7"/>
  <c r="Q111" i="7"/>
  <c r="O111" i="7"/>
  <c r="P112" i="7" s="1"/>
  <c r="N111" i="7"/>
  <c r="M111" i="7"/>
  <c r="L111" i="7"/>
  <c r="K111" i="7"/>
  <c r="J111" i="7"/>
  <c r="I111" i="7"/>
  <c r="H111" i="7"/>
  <c r="G111" i="7"/>
  <c r="F111" i="7"/>
  <c r="E111" i="7"/>
  <c r="D111" i="7"/>
  <c r="K111" i="9" s="1"/>
  <c r="C111" i="7"/>
  <c r="Z110" i="7"/>
  <c r="Q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K110" i="9" s="1"/>
  <c r="C110" i="7"/>
  <c r="Z109" i="7"/>
  <c r="Q109" i="7"/>
  <c r="O109" i="7"/>
  <c r="P110" i="7" s="1"/>
  <c r="N109" i="7"/>
  <c r="M109" i="7"/>
  <c r="L109" i="7"/>
  <c r="K109" i="7"/>
  <c r="J109" i="7"/>
  <c r="I109" i="7"/>
  <c r="H109" i="7"/>
  <c r="G109" i="7"/>
  <c r="F109" i="7"/>
  <c r="E109" i="7"/>
  <c r="D109" i="7"/>
  <c r="K109" i="9" s="1"/>
  <c r="C109" i="7"/>
  <c r="Z108" i="7"/>
  <c r="Q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Z107" i="7"/>
  <c r="Q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K107" i="9" s="1"/>
  <c r="C107" i="7"/>
  <c r="Z106" i="7"/>
  <c r="Q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K106" i="9" s="1"/>
  <c r="C106" i="7"/>
  <c r="Z105" i="7"/>
  <c r="Q105" i="7"/>
  <c r="O105" i="7"/>
  <c r="P106" i="7" s="1"/>
  <c r="N105" i="7"/>
  <c r="M105" i="7"/>
  <c r="L105" i="7"/>
  <c r="K105" i="7"/>
  <c r="J105" i="7"/>
  <c r="I105" i="7"/>
  <c r="H105" i="7"/>
  <c r="G105" i="7"/>
  <c r="F105" i="7"/>
  <c r="E105" i="7"/>
  <c r="D105" i="7"/>
  <c r="K105" i="9" s="1"/>
  <c r="C105" i="7"/>
  <c r="Z104" i="7"/>
  <c r="Q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K104" i="9" s="1"/>
  <c r="C104" i="7"/>
  <c r="Z103" i="7"/>
  <c r="Q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K103" i="9" s="1"/>
  <c r="C103" i="7"/>
  <c r="Z102" i="7"/>
  <c r="Q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K102" i="9" s="1"/>
  <c r="C102" i="7"/>
  <c r="Z101" i="7"/>
  <c r="Q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K101" i="9" s="1"/>
  <c r="C101" i="7"/>
  <c r="Z100" i="7"/>
  <c r="Q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K100" i="9" s="1"/>
  <c r="C100" i="7"/>
  <c r="Z99" i="7"/>
  <c r="Q99" i="7"/>
  <c r="O99" i="7"/>
  <c r="P100" i="7" s="1"/>
  <c r="N99" i="7"/>
  <c r="M99" i="7"/>
  <c r="L99" i="7"/>
  <c r="K99" i="7"/>
  <c r="J99" i="7"/>
  <c r="I99" i="7"/>
  <c r="H99" i="7"/>
  <c r="G99" i="7"/>
  <c r="F99" i="7"/>
  <c r="E99" i="7"/>
  <c r="D99" i="7"/>
  <c r="K99" i="9" s="1"/>
  <c r="C99" i="7"/>
  <c r="Z98" i="7"/>
  <c r="Q98" i="7"/>
  <c r="O98" i="7"/>
  <c r="N98" i="7"/>
  <c r="M98" i="7"/>
  <c r="L98" i="7"/>
  <c r="K98" i="7"/>
  <c r="J98" i="7"/>
  <c r="I98" i="7"/>
  <c r="H98" i="7"/>
  <c r="G98" i="7"/>
  <c r="F98" i="7"/>
  <c r="E98" i="7"/>
  <c r="D98" i="7"/>
  <c r="K98" i="9" s="1"/>
  <c r="C98" i="7"/>
  <c r="Z97" i="7"/>
  <c r="Q97" i="7"/>
  <c r="O97" i="7"/>
  <c r="P98" i="7" s="1"/>
  <c r="N97" i="7"/>
  <c r="M97" i="7"/>
  <c r="L97" i="7"/>
  <c r="K97" i="7"/>
  <c r="J97" i="7"/>
  <c r="I97" i="7"/>
  <c r="H97" i="7"/>
  <c r="G97" i="7"/>
  <c r="F97" i="7"/>
  <c r="E97" i="7"/>
  <c r="D97" i="7"/>
  <c r="K97" i="9" s="1"/>
  <c r="C97" i="7"/>
  <c r="Z96" i="7"/>
  <c r="Q96" i="7"/>
  <c r="O96" i="7"/>
  <c r="N96" i="7"/>
  <c r="M96" i="7"/>
  <c r="L96" i="7"/>
  <c r="K96" i="7"/>
  <c r="J96" i="7"/>
  <c r="I96" i="7"/>
  <c r="H96" i="7"/>
  <c r="G96" i="7"/>
  <c r="F96" i="7"/>
  <c r="E96" i="7"/>
  <c r="D96" i="7"/>
  <c r="K96" i="9" s="1"/>
  <c r="C96" i="7"/>
  <c r="Z95" i="7"/>
  <c r="Q95" i="7"/>
  <c r="O95" i="7"/>
  <c r="N95" i="7"/>
  <c r="M95" i="7"/>
  <c r="L95" i="7"/>
  <c r="K95" i="7"/>
  <c r="J95" i="7"/>
  <c r="I95" i="7"/>
  <c r="H95" i="7"/>
  <c r="G95" i="7"/>
  <c r="F95" i="7"/>
  <c r="E95" i="7"/>
  <c r="D95" i="7"/>
  <c r="K95" i="9" s="1"/>
  <c r="C95" i="7"/>
  <c r="Z94" i="7"/>
  <c r="Q94" i="7"/>
  <c r="O94" i="7"/>
  <c r="N94" i="7"/>
  <c r="M94" i="7"/>
  <c r="L94" i="7"/>
  <c r="K94" i="7"/>
  <c r="J94" i="7"/>
  <c r="I94" i="7"/>
  <c r="H94" i="7"/>
  <c r="G94" i="7"/>
  <c r="F94" i="7"/>
  <c r="E94" i="7"/>
  <c r="D94" i="7"/>
  <c r="K94" i="9" s="1"/>
  <c r="C94" i="7"/>
  <c r="Z93" i="7"/>
  <c r="Q93" i="7"/>
  <c r="O93" i="7"/>
  <c r="N93" i="7"/>
  <c r="M93" i="7"/>
  <c r="L93" i="7"/>
  <c r="K93" i="7"/>
  <c r="J93" i="7"/>
  <c r="I93" i="7"/>
  <c r="H93" i="7"/>
  <c r="G93" i="7"/>
  <c r="F93" i="7"/>
  <c r="E93" i="7"/>
  <c r="D93" i="7"/>
  <c r="K93" i="9" s="1"/>
  <c r="C93" i="7"/>
  <c r="Z92" i="7"/>
  <c r="Q92" i="7"/>
  <c r="O92" i="7"/>
  <c r="N92" i="7"/>
  <c r="M92" i="7"/>
  <c r="L92" i="7"/>
  <c r="K92" i="7"/>
  <c r="J92" i="7"/>
  <c r="I92" i="7"/>
  <c r="H92" i="7"/>
  <c r="G92" i="7"/>
  <c r="F92" i="7"/>
  <c r="E92" i="7"/>
  <c r="D92" i="7"/>
  <c r="K92" i="9" s="1"/>
  <c r="C92" i="7"/>
  <c r="Z91" i="7"/>
  <c r="Q91" i="7"/>
  <c r="O91" i="7"/>
  <c r="P92" i="7" s="1"/>
  <c r="N91" i="7"/>
  <c r="M91" i="7"/>
  <c r="L91" i="7"/>
  <c r="K91" i="7"/>
  <c r="J91" i="7"/>
  <c r="I91" i="7"/>
  <c r="H91" i="7"/>
  <c r="G91" i="7"/>
  <c r="F91" i="7"/>
  <c r="E91" i="7"/>
  <c r="D91" i="7"/>
  <c r="K91" i="9" s="1"/>
  <c r="C91" i="7"/>
  <c r="Z90" i="7"/>
  <c r="Q90" i="7"/>
  <c r="O90" i="7"/>
  <c r="N90" i="7"/>
  <c r="M90" i="7"/>
  <c r="L90" i="7"/>
  <c r="K90" i="7"/>
  <c r="J90" i="7"/>
  <c r="I90" i="7"/>
  <c r="H90" i="7"/>
  <c r="G90" i="7"/>
  <c r="F90" i="7"/>
  <c r="E90" i="7"/>
  <c r="D90" i="7"/>
  <c r="K90" i="9" s="1"/>
  <c r="C90" i="7"/>
  <c r="Z89" i="7"/>
  <c r="Q89" i="7"/>
  <c r="O89" i="7"/>
  <c r="P90" i="7" s="1"/>
  <c r="N89" i="7"/>
  <c r="M89" i="7"/>
  <c r="L89" i="7"/>
  <c r="K89" i="7"/>
  <c r="J89" i="7"/>
  <c r="I89" i="7"/>
  <c r="H89" i="7"/>
  <c r="G89" i="7"/>
  <c r="F89" i="7"/>
  <c r="E89" i="7"/>
  <c r="D89" i="7"/>
  <c r="K89" i="9" s="1"/>
  <c r="C89" i="7"/>
  <c r="Z88" i="7"/>
  <c r="Q88" i="7"/>
  <c r="O88" i="7"/>
  <c r="N88" i="7"/>
  <c r="M88" i="7"/>
  <c r="L88" i="7"/>
  <c r="K88" i="7"/>
  <c r="J88" i="7"/>
  <c r="I88" i="7"/>
  <c r="H88" i="7"/>
  <c r="G88" i="7"/>
  <c r="F88" i="7"/>
  <c r="E88" i="7"/>
  <c r="D88" i="7"/>
  <c r="K88" i="9" s="1"/>
  <c r="C88" i="7"/>
  <c r="Z87" i="7"/>
  <c r="Q87" i="7"/>
  <c r="O87" i="7"/>
  <c r="N87" i="7"/>
  <c r="M87" i="7"/>
  <c r="L87" i="7"/>
  <c r="K87" i="7"/>
  <c r="J87" i="7"/>
  <c r="I87" i="7"/>
  <c r="H87" i="7"/>
  <c r="G87" i="7"/>
  <c r="F87" i="7"/>
  <c r="E87" i="7"/>
  <c r="D87" i="7"/>
  <c r="K87" i="9" s="1"/>
  <c r="C87" i="7"/>
  <c r="Z86" i="7"/>
  <c r="Q86" i="7"/>
  <c r="O86" i="7"/>
  <c r="N86" i="7"/>
  <c r="M86" i="7"/>
  <c r="L86" i="7"/>
  <c r="K86" i="7"/>
  <c r="J86" i="7"/>
  <c r="I86" i="7"/>
  <c r="H86" i="7"/>
  <c r="G86" i="7"/>
  <c r="F86" i="7"/>
  <c r="E86" i="7"/>
  <c r="D86" i="7"/>
  <c r="K86" i="9" s="1"/>
  <c r="C86" i="7"/>
  <c r="Z85" i="7"/>
  <c r="Q85" i="7"/>
  <c r="O85" i="7"/>
  <c r="N85" i="7"/>
  <c r="M85" i="7"/>
  <c r="L85" i="7"/>
  <c r="K85" i="7"/>
  <c r="J85" i="7"/>
  <c r="I85" i="7"/>
  <c r="H85" i="7"/>
  <c r="G85" i="7"/>
  <c r="F85" i="7"/>
  <c r="E85" i="7"/>
  <c r="D85" i="7"/>
  <c r="K85" i="9" s="1"/>
  <c r="C85" i="7"/>
  <c r="Z84" i="7"/>
  <c r="Q84" i="7"/>
  <c r="O84" i="7"/>
  <c r="N84" i="7"/>
  <c r="M84" i="7"/>
  <c r="L84" i="7"/>
  <c r="K84" i="7"/>
  <c r="J84" i="7"/>
  <c r="I84" i="7"/>
  <c r="H84" i="7"/>
  <c r="G84" i="7"/>
  <c r="F84" i="7"/>
  <c r="E84" i="7"/>
  <c r="D84" i="7"/>
  <c r="K84" i="9" s="1"/>
  <c r="C84" i="7"/>
  <c r="Z83" i="7"/>
  <c r="Q83" i="7"/>
  <c r="O83" i="7"/>
  <c r="P84" i="7" s="1"/>
  <c r="N83" i="7"/>
  <c r="M83" i="7"/>
  <c r="L83" i="7"/>
  <c r="K83" i="7"/>
  <c r="J83" i="7"/>
  <c r="I83" i="7"/>
  <c r="H83" i="7"/>
  <c r="G83" i="7"/>
  <c r="F83" i="7"/>
  <c r="E83" i="7"/>
  <c r="D83" i="7"/>
  <c r="K83" i="9" s="1"/>
  <c r="C83" i="7"/>
  <c r="Z82" i="7"/>
  <c r="Q82" i="7"/>
  <c r="O82" i="7"/>
  <c r="N82" i="7"/>
  <c r="M82" i="7"/>
  <c r="L82" i="7"/>
  <c r="K82" i="7"/>
  <c r="J82" i="7"/>
  <c r="I82" i="7"/>
  <c r="H82" i="7"/>
  <c r="G82" i="7"/>
  <c r="F82" i="7"/>
  <c r="E82" i="7"/>
  <c r="D82" i="7"/>
  <c r="K82" i="9" s="1"/>
  <c r="C82" i="7"/>
  <c r="Z81" i="7"/>
  <c r="Q81" i="7"/>
  <c r="O81" i="7"/>
  <c r="P82" i="7" s="1"/>
  <c r="N81" i="7"/>
  <c r="M81" i="7"/>
  <c r="L81" i="7"/>
  <c r="K81" i="7"/>
  <c r="J81" i="7"/>
  <c r="I81" i="7"/>
  <c r="H81" i="7"/>
  <c r="G81" i="7"/>
  <c r="F81" i="7"/>
  <c r="E81" i="7"/>
  <c r="D81" i="7"/>
  <c r="K81" i="9" s="1"/>
  <c r="C81" i="7"/>
  <c r="Z80" i="7"/>
  <c r="Q80" i="7"/>
  <c r="O80" i="7"/>
  <c r="N80" i="7"/>
  <c r="M80" i="7"/>
  <c r="L80" i="7"/>
  <c r="K80" i="7"/>
  <c r="J80" i="7"/>
  <c r="I80" i="7"/>
  <c r="H80" i="7"/>
  <c r="G80" i="7"/>
  <c r="F80" i="7"/>
  <c r="E80" i="7"/>
  <c r="D80" i="7"/>
  <c r="K80" i="9" s="1"/>
  <c r="C80" i="7"/>
  <c r="Z79" i="7"/>
  <c r="Q79" i="7"/>
  <c r="O79" i="7"/>
  <c r="N79" i="7"/>
  <c r="M79" i="7"/>
  <c r="L79" i="7"/>
  <c r="K79" i="7"/>
  <c r="J79" i="7"/>
  <c r="I79" i="7"/>
  <c r="H79" i="7"/>
  <c r="G79" i="7"/>
  <c r="F79" i="7"/>
  <c r="E79" i="7"/>
  <c r="D79" i="7"/>
  <c r="K79" i="9" s="1"/>
  <c r="C79" i="7"/>
  <c r="Z78" i="7"/>
  <c r="Q78" i="7"/>
  <c r="O78" i="7"/>
  <c r="N78" i="7"/>
  <c r="M78" i="7"/>
  <c r="L78" i="7"/>
  <c r="K78" i="7"/>
  <c r="J78" i="7"/>
  <c r="I78" i="7"/>
  <c r="H78" i="7"/>
  <c r="G78" i="7"/>
  <c r="F78" i="7"/>
  <c r="E78" i="7"/>
  <c r="D78" i="7"/>
  <c r="K78" i="9" s="1"/>
  <c r="C78" i="7"/>
  <c r="Z77" i="7"/>
  <c r="Q77" i="7"/>
  <c r="O77" i="7"/>
  <c r="N77" i="7"/>
  <c r="M77" i="7"/>
  <c r="L77" i="7"/>
  <c r="K77" i="7"/>
  <c r="J77" i="7"/>
  <c r="I77" i="7"/>
  <c r="H77" i="7"/>
  <c r="G77" i="7"/>
  <c r="F77" i="7"/>
  <c r="E77" i="7"/>
  <c r="D77" i="7"/>
  <c r="K77" i="9" s="1"/>
  <c r="C77" i="7"/>
  <c r="Z76" i="7"/>
  <c r="Q76" i="7"/>
  <c r="O76" i="7"/>
  <c r="N76" i="7"/>
  <c r="M76" i="7"/>
  <c r="L76" i="7"/>
  <c r="K76" i="7"/>
  <c r="J76" i="7"/>
  <c r="I76" i="7"/>
  <c r="H76" i="7"/>
  <c r="G76" i="7"/>
  <c r="F76" i="7"/>
  <c r="E76" i="7"/>
  <c r="D76" i="7"/>
  <c r="K76" i="9" s="1"/>
  <c r="C76" i="7"/>
  <c r="Z75" i="7"/>
  <c r="Q75" i="7"/>
  <c r="O75" i="7"/>
  <c r="P76" i="7" s="1"/>
  <c r="N75" i="7"/>
  <c r="M75" i="7"/>
  <c r="L75" i="7"/>
  <c r="K75" i="7"/>
  <c r="J75" i="7"/>
  <c r="I75" i="7"/>
  <c r="H75" i="7"/>
  <c r="G75" i="7"/>
  <c r="F75" i="7"/>
  <c r="E75" i="7"/>
  <c r="D75" i="7"/>
  <c r="K75" i="9" s="1"/>
  <c r="C75" i="7"/>
  <c r="Z74" i="7"/>
  <c r="Q74" i="7"/>
  <c r="O74" i="7"/>
  <c r="N74" i="7"/>
  <c r="M74" i="7"/>
  <c r="L74" i="7"/>
  <c r="K74" i="7"/>
  <c r="J74" i="7"/>
  <c r="I74" i="7"/>
  <c r="H74" i="7"/>
  <c r="G74" i="7"/>
  <c r="F74" i="7"/>
  <c r="E74" i="7"/>
  <c r="D74" i="7"/>
  <c r="K74" i="9" s="1"/>
  <c r="C74" i="7"/>
  <c r="Z73" i="7"/>
  <c r="Q73" i="7"/>
  <c r="O73" i="7"/>
  <c r="P74" i="7" s="1"/>
  <c r="N73" i="7"/>
  <c r="M73" i="7"/>
  <c r="L73" i="7"/>
  <c r="K73" i="7"/>
  <c r="J73" i="7"/>
  <c r="I73" i="7"/>
  <c r="H73" i="7"/>
  <c r="G73" i="7"/>
  <c r="F73" i="7"/>
  <c r="E73" i="7"/>
  <c r="D73" i="7"/>
  <c r="K73" i="9" s="1"/>
  <c r="C73" i="7"/>
  <c r="Z72" i="7"/>
  <c r="Q72" i="7"/>
  <c r="O72" i="7"/>
  <c r="N72" i="7"/>
  <c r="M72" i="7"/>
  <c r="L72" i="7"/>
  <c r="K72" i="7"/>
  <c r="J72" i="7"/>
  <c r="I72" i="7"/>
  <c r="H72" i="7"/>
  <c r="G72" i="7"/>
  <c r="F72" i="7"/>
  <c r="E72" i="7"/>
  <c r="D72" i="7"/>
  <c r="K72" i="9" s="1"/>
  <c r="C72" i="7"/>
  <c r="Z71" i="7"/>
  <c r="Q71" i="7"/>
  <c r="O71" i="7"/>
  <c r="N71" i="7"/>
  <c r="M71" i="7"/>
  <c r="L71" i="7"/>
  <c r="K71" i="7"/>
  <c r="J71" i="7"/>
  <c r="I71" i="7"/>
  <c r="H71" i="7"/>
  <c r="G71" i="7"/>
  <c r="F71" i="7"/>
  <c r="E71" i="7"/>
  <c r="D71" i="7"/>
  <c r="K71" i="9" s="1"/>
  <c r="C71" i="7"/>
  <c r="Z70" i="7"/>
  <c r="Q70" i="7"/>
  <c r="O70" i="7"/>
  <c r="N70" i="7"/>
  <c r="M70" i="7"/>
  <c r="L70" i="7"/>
  <c r="K70" i="7"/>
  <c r="J70" i="7"/>
  <c r="I70" i="7"/>
  <c r="H70" i="7"/>
  <c r="G70" i="7"/>
  <c r="F70" i="7"/>
  <c r="E70" i="7"/>
  <c r="D70" i="7"/>
  <c r="K70" i="9" s="1"/>
  <c r="C70" i="7"/>
  <c r="Z69" i="7"/>
  <c r="Q69" i="7"/>
  <c r="O69" i="7"/>
  <c r="N69" i="7"/>
  <c r="M69" i="7"/>
  <c r="L69" i="7"/>
  <c r="K69" i="7"/>
  <c r="J69" i="7"/>
  <c r="I69" i="7"/>
  <c r="H69" i="7"/>
  <c r="G69" i="7"/>
  <c r="F69" i="7"/>
  <c r="E69" i="7"/>
  <c r="D69" i="7"/>
  <c r="K69" i="9" s="1"/>
  <c r="C69" i="7"/>
  <c r="Z68" i="7"/>
  <c r="Q68" i="7"/>
  <c r="O68" i="7"/>
  <c r="N68" i="7"/>
  <c r="M68" i="7"/>
  <c r="L68" i="7"/>
  <c r="K68" i="7"/>
  <c r="J68" i="7"/>
  <c r="I68" i="7"/>
  <c r="H68" i="7"/>
  <c r="G68" i="7"/>
  <c r="F68" i="7"/>
  <c r="E68" i="7"/>
  <c r="D68" i="7"/>
  <c r="K68" i="9" s="1"/>
  <c r="C68" i="7"/>
  <c r="Z67" i="7"/>
  <c r="Q67" i="7"/>
  <c r="O67" i="7"/>
  <c r="P68" i="7" s="1"/>
  <c r="N67" i="7"/>
  <c r="M67" i="7"/>
  <c r="L67" i="7"/>
  <c r="K67" i="7"/>
  <c r="J67" i="7"/>
  <c r="I67" i="7"/>
  <c r="H67" i="7"/>
  <c r="G67" i="7"/>
  <c r="F67" i="7"/>
  <c r="E67" i="7"/>
  <c r="D67" i="7"/>
  <c r="K67" i="9" s="1"/>
  <c r="C67" i="7"/>
  <c r="Z66" i="7"/>
  <c r="Q66" i="7"/>
  <c r="O66" i="7"/>
  <c r="N66" i="7"/>
  <c r="M66" i="7"/>
  <c r="L66" i="7"/>
  <c r="K66" i="7"/>
  <c r="J66" i="7"/>
  <c r="I66" i="7"/>
  <c r="H66" i="7"/>
  <c r="G66" i="7"/>
  <c r="F66" i="7"/>
  <c r="E66" i="7"/>
  <c r="D66" i="7"/>
  <c r="K66" i="9" s="1"/>
  <c r="C66" i="7"/>
  <c r="Z65" i="7"/>
  <c r="Q65" i="7"/>
  <c r="O65" i="7"/>
  <c r="P66" i="7" s="1"/>
  <c r="N65" i="7"/>
  <c r="M65" i="7"/>
  <c r="L65" i="7"/>
  <c r="K65" i="7"/>
  <c r="J65" i="7"/>
  <c r="I65" i="7"/>
  <c r="H65" i="7"/>
  <c r="G65" i="7"/>
  <c r="F65" i="7"/>
  <c r="E65" i="7"/>
  <c r="D65" i="7"/>
  <c r="K65" i="9" s="1"/>
  <c r="C65" i="7"/>
  <c r="Z64" i="7"/>
  <c r="Q64" i="7"/>
  <c r="O64" i="7"/>
  <c r="N64" i="7"/>
  <c r="M64" i="7"/>
  <c r="L64" i="7"/>
  <c r="K64" i="7"/>
  <c r="J64" i="7"/>
  <c r="I64" i="7"/>
  <c r="H64" i="7"/>
  <c r="G64" i="7"/>
  <c r="F64" i="7"/>
  <c r="E64" i="7"/>
  <c r="D64" i="7"/>
  <c r="K64" i="9" s="1"/>
  <c r="C64" i="7"/>
  <c r="Z63" i="7"/>
  <c r="Q63" i="7"/>
  <c r="O63" i="7"/>
  <c r="N63" i="7"/>
  <c r="M63" i="7"/>
  <c r="L63" i="7"/>
  <c r="K63" i="7"/>
  <c r="J63" i="7"/>
  <c r="I63" i="7"/>
  <c r="H63" i="7"/>
  <c r="G63" i="7"/>
  <c r="F63" i="7"/>
  <c r="E63" i="7"/>
  <c r="D63" i="7"/>
  <c r="K63" i="9" s="1"/>
  <c r="C63" i="7"/>
  <c r="Z62" i="7"/>
  <c r="Q62" i="7"/>
  <c r="O62" i="7"/>
  <c r="N62" i="7"/>
  <c r="M62" i="7"/>
  <c r="L62" i="7"/>
  <c r="K62" i="7"/>
  <c r="J62" i="7"/>
  <c r="I62" i="7"/>
  <c r="H62" i="7"/>
  <c r="G62" i="7"/>
  <c r="F62" i="7"/>
  <c r="E62" i="7"/>
  <c r="D62" i="7"/>
  <c r="K62" i="9" s="1"/>
  <c r="C62" i="7"/>
  <c r="Z61" i="7"/>
  <c r="Q61" i="7"/>
  <c r="O61" i="7"/>
  <c r="N61" i="7"/>
  <c r="M61" i="7"/>
  <c r="L61" i="7"/>
  <c r="K61" i="7"/>
  <c r="J61" i="7"/>
  <c r="I61" i="7"/>
  <c r="H61" i="7"/>
  <c r="G61" i="7"/>
  <c r="F61" i="7"/>
  <c r="E61" i="7"/>
  <c r="D61" i="7"/>
  <c r="K61" i="9" s="1"/>
  <c r="C61" i="7"/>
  <c r="Z60" i="7"/>
  <c r="Q60" i="7"/>
  <c r="O60" i="7"/>
  <c r="N60" i="7"/>
  <c r="M60" i="7"/>
  <c r="L60" i="7"/>
  <c r="K60" i="7"/>
  <c r="J60" i="7"/>
  <c r="I60" i="7"/>
  <c r="H60" i="7"/>
  <c r="G60" i="7"/>
  <c r="F60" i="7"/>
  <c r="E60" i="7"/>
  <c r="D60" i="7"/>
  <c r="K60" i="9" s="1"/>
  <c r="C60" i="7"/>
  <c r="Z59" i="7"/>
  <c r="Q59" i="7"/>
  <c r="O59" i="7"/>
  <c r="N59" i="7"/>
  <c r="M59" i="7"/>
  <c r="L59" i="7"/>
  <c r="K59" i="7"/>
  <c r="J59" i="7"/>
  <c r="I59" i="7"/>
  <c r="H59" i="7"/>
  <c r="G59" i="7"/>
  <c r="F59" i="7"/>
  <c r="E59" i="7"/>
  <c r="D59" i="7"/>
  <c r="K59" i="9" s="1"/>
  <c r="C59" i="7"/>
  <c r="Z58" i="7"/>
  <c r="Q58" i="7"/>
  <c r="O58" i="7"/>
  <c r="N58" i="7"/>
  <c r="M58" i="7"/>
  <c r="L58" i="7"/>
  <c r="K58" i="7"/>
  <c r="J58" i="7"/>
  <c r="I58" i="7"/>
  <c r="H58" i="7"/>
  <c r="G58" i="7"/>
  <c r="F58" i="7"/>
  <c r="E58" i="7"/>
  <c r="D58" i="7"/>
  <c r="K58" i="9" s="1"/>
  <c r="C58" i="7"/>
  <c r="Z57" i="7"/>
  <c r="Q57" i="7"/>
  <c r="O57" i="7"/>
  <c r="P58" i="7" s="1"/>
  <c r="N57" i="7"/>
  <c r="M57" i="7"/>
  <c r="L57" i="7"/>
  <c r="K57" i="7"/>
  <c r="J57" i="7"/>
  <c r="I57" i="7"/>
  <c r="H57" i="7"/>
  <c r="G57" i="7"/>
  <c r="F57" i="7"/>
  <c r="E57" i="7"/>
  <c r="D57" i="7"/>
  <c r="K57" i="9" s="1"/>
  <c r="C57" i="7"/>
  <c r="Z56" i="7"/>
  <c r="Q56" i="7"/>
  <c r="O56" i="7"/>
  <c r="N56" i="7"/>
  <c r="M56" i="7"/>
  <c r="L56" i="7"/>
  <c r="K56" i="7"/>
  <c r="J56" i="7"/>
  <c r="I56" i="7"/>
  <c r="H56" i="7"/>
  <c r="G56" i="7"/>
  <c r="F56" i="7"/>
  <c r="E56" i="7"/>
  <c r="D56" i="7"/>
  <c r="K56" i="9" s="1"/>
  <c r="C56" i="7"/>
  <c r="Z55" i="7"/>
  <c r="Q55" i="7"/>
  <c r="O55" i="7"/>
  <c r="N55" i="7"/>
  <c r="M55" i="7"/>
  <c r="L55" i="7"/>
  <c r="K55" i="7"/>
  <c r="J55" i="7"/>
  <c r="I55" i="7"/>
  <c r="H55" i="7"/>
  <c r="G55" i="7"/>
  <c r="F55" i="7"/>
  <c r="E55" i="7"/>
  <c r="D55" i="7"/>
  <c r="K55" i="9" s="1"/>
  <c r="C55" i="7"/>
  <c r="Z54" i="7"/>
  <c r="Q54" i="7"/>
  <c r="O54" i="7"/>
  <c r="N54" i="7"/>
  <c r="M54" i="7"/>
  <c r="L54" i="7"/>
  <c r="K54" i="7"/>
  <c r="J54" i="7"/>
  <c r="I54" i="7"/>
  <c r="H54" i="7"/>
  <c r="G54" i="7"/>
  <c r="F54" i="7"/>
  <c r="E54" i="7"/>
  <c r="D54" i="7"/>
  <c r="K54" i="9" s="1"/>
  <c r="C54" i="7"/>
  <c r="Z53" i="7"/>
  <c r="Q53" i="7"/>
  <c r="O53" i="7"/>
  <c r="N53" i="7"/>
  <c r="M53" i="7"/>
  <c r="L53" i="7"/>
  <c r="K53" i="7"/>
  <c r="J53" i="7"/>
  <c r="I53" i="7"/>
  <c r="H53" i="7"/>
  <c r="G53" i="7"/>
  <c r="F53" i="7"/>
  <c r="E53" i="7"/>
  <c r="D53" i="7"/>
  <c r="K53" i="9" s="1"/>
  <c r="C53" i="7"/>
  <c r="Z52" i="7"/>
  <c r="Q52" i="7"/>
  <c r="O52" i="7"/>
  <c r="N52" i="7"/>
  <c r="M52" i="7"/>
  <c r="L52" i="7"/>
  <c r="K52" i="7"/>
  <c r="J52" i="7"/>
  <c r="I52" i="7"/>
  <c r="H52" i="7"/>
  <c r="G52" i="7"/>
  <c r="F52" i="7"/>
  <c r="E52" i="7"/>
  <c r="D52" i="7"/>
  <c r="K52" i="9" s="1"/>
  <c r="C52" i="7"/>
  <c r="Z51" i="7"/>
  <c r="Q51" i="7"/>
  <c r="O51" i="7"/>
  <c r="N51" i="7"/>
  <c r="M51" i="7"/>
  <c r="L51" i="7"/>
  <c r="K51" i="7"/>
  <c r="J51" i="7"/>
  <c r="I51" i="7"/>
  <c r="H51" i="7"/>
  <c r="G51" i="7"/>
  <c r="F51" i="7"/>
  <c r="E51" i="7"/>
  <c r="D51" i="7"/>
  <c r="K51" i="9" s="1"/>
  <c r="C51" i="7"/>
  <c r="Z50" i="7"/>
  <c r="Q50" i="7"/>
  <c r="O50" i="7"/>
  <c r="N50" i="7"/>
  <c r="M50" i="7"/>
  <c r="L50" i="7"/>
  <c r="K50" i="7"/>
  <c r="J50" i="7"/>
  <c r="I50" i="7"/>
  <c r="H50" i="7"/>
  <c r="G50" i="7"/>
  <c r="F50" i="7"/>
  <c r="E50" i="7"/>
  <c r="D50" i="7"/>
  <c r="K50" i="9" s="1"/>
  <c r="C50" i="7"/>
  <c r="Z49" i="7"/>
  <c r="Q49" i="7"/>
  <c r="O49" i="7"/>
  <c r="P50" i="7" s="1"/>
  <c r="N49" i="7"/>
  <c r="M49" i="7"/>
  <c r="L49" i="7"/>
  <c r="K49" i="7"/>
  <c r="J49" i="7"/>
  <c r="I49" i="7"/>
  <c r="H49" i="7"/>
  <c r="G49" i="7"/>
  <c r="F49" i="7"/>
  <c r="E49" i="7"/>
  <c r="D49" i="7"/>
  <c r="K49" i="9" s="1"/>
  <c r="C49" i="7"/>
  <c r="Z48" i="7"/>
  <c r="Q48" i="7"/>
  <c r="O48" i="7"/>
  <c r="N48" i="7"/>
  <c r="M48" i="7"/>
  <c r="L48" i="7"/>
  <c r="K48" i="7"/>
  <c r="J48" i="7"/>
  <c r="I48" i="7"/>
  <c r="H48" i="7"/>
  <c r="G48" i="7"/>
  <c r="F48" i="7"/>
  <c r="E48" i="7"/>
  <c r="D48" i="7"/>
  <c r="K48" i="9" s="1"/>
  <c r="C48" i="7"/>
  <c r="Z47" i="7"/>
  <c r="Q47" i="7"/>
  <c r="O47" i="7"/>
  <c r="P48" i="7" s="1"/>
  <c r="N47" i="7"/>
  <c r="M47" i="7"/>
  <c r="L47" i="7"/>
  <c r="K47" i="7"/>
  <c r="J47" i="7"/>
  <c r="I47" i="7"/>
  <c r="H47" i="7"/>
  <c r="G47" i="7"/>
  <c r="F47" i="7"/>
  <c r="E47" i="7"/>
  <c r="D47" i="7"/>
  <c r="K47" i="9" s="1"/>
  <c r="C47" i="7"/>
  <c r="Z46" i="7"/>
  <c r="Q46" i="7"/>
  <c r="O46" i="7"/>
  <c r="N46" i="7"/>
  <c r="M46" i="7"/>
  <c r="L46" i="7"/>
  <c r="K46" i="7"/>
  <c r="J46" i="7"/>
  <c r="I46" i="7"/>
  <c r="H46" i="7"/>
  <c r="G46" i="7"/>
  <c r="F46" i="7"/>
  <c r="E46" i="7"/>
  <c r="D46" i="7"/>
  <c r="K46" i="9" s="1"/>
  <c r="C46" i="7"/>
  <c r="Z45" i="7"/>
  <c r="Q45" i="7"/>
  <c r="O45" i="7"/>
  <c r="N45" i="7"/>
  <c r="M45" i="7"/>
  <c r="L45" i="7"/>
  <c r="K45" i="7"/>
  <c r="J45" i="7"/>
  <c r="I45" i="7"/>
  <c r="H45" i="7"/>
  <c r="G45" i="7"/>
  <c r="F45" i="7"/>
  <c r="E45" i="7"/>
  <c r="D45" i="7"/>
  <c r="K45" i="9" s="1"/>
  <c r="C45" i="7"/>
  <c r="Z44" i="7"/>
  <c r="Q44" i="7"/>
  <c r="O44" i="7"/>
  <c r="N44" i="7"/>
  <c r="M44" i="7"/>
  <c r="L44" i="7"/>
  <c r="K44" i="7"/>
  <c r="J44" i="7"/>
  <c r="I44" i="7"/>
  <c r="H44" i="7"/>
  <c r="G44" i="7"/>
  <c r="F44" i="7"/>
  <c r="E44" i="7"/>
  <c r="D44" i="7"/>
  <c r="K44" i="9" s="1"/>
  <c r="C44" i="7"/>
  <c r="Z43" i="7"/>
  <c r="Q43" i="7"/>
  <c r="O43" i="7"/>
  <c r="N43" i="7"/>
  <c r="M43" i="7"/>
  <c r="L43" i="7"/>
  <c r="K43" i="7"/>
  <c r="J43" i="7"/>
  <c r="I43" i="7"/>
  <c r="H43" i="7"/>
  <c r="G43" i="7"/>
  <c r="F43" i="7"/>
  <c r="E43" i="7"/>
  <c r="D43" i="7"/>
  <c r="K43" i="9" s="1"/>
  <c r="C43" i="7"/>
  <c r="Z42" i="7"/>
  <c r="Q42" i="7"/>
  <c r="O42" i="7"/>
  <c r="N42" i="7"/>
  <c r="M42" i="7"/>
  <c r="L42" i="7"/>
  <c r="K42" i="7"/>
  <c r="J42" i="7"/>
  <c r="I42" i="7"/>
  <c r="H42" i="7"/>
  <c r="G42" i="7"/>
  <c r="F42" i="7"/>
  <c r="E42" i="7"/>
  <c r="D42" i="7"/>
  <c r="K42" i="9" s="1"/>
  <c r="C42" i="7"/>
  <c r="Z41" i="7"/>
  <c r="Q41" i="7"/>
  <c r="O41" i="7"/>
  <c r="P42" i="7" s="1"/>
  <c r="N41" i="7"/>
  <c r="M41" i="7"/>
  <c r="L41" i="7"/>
  <c r="K41" i="7"/>
  <c r="J41" i="7"/>
  <c r="I41" i="7"/>
  <c r="H41" i="7"/>
  <c r="G41" i="7"/>
  <c r="F41" i="7"/>
  <c r="E41" i="7"/>
  <c r="D41" i="7"/>
  <c r="K41" i="9" s="1"/>
  <c r="C41" i="7"/>
  <c r="Z40" i="7"/>
  <c r="Q40" i="7"/>
  <c r="O40" i="7"/>
  <c r="N40" i="7"/>
  <c r="M40" i="7"/>
  <c r="L40" i="7"/>
  <c r="K40" i="7"/>
  <c r="J40" i="7"/>
  <c r="I40" i="7"/>
  <c r="H40" i="7"/>
  <c r="G40" i="7"/>
  <c r="F40" i="7"/>
  <c r="E40" i="7"/>
  <c r="D40" i="7"/>
  <c r="K40" i="9" s="1"/>
  <c r="C40" i="7"/>
  <c r="Z39" i="7"/>
  <c r="Q39" i="7"/>
  <c r="O39" i="7"/>
  <c r="P40" i="7" s="1"/>
  <c r="N39" i="7"/>
  <c r="M39" i="7"/>
  <c r="L39" i="7"/>
  <c r="K39" i="7"/>
  <c r="J39" i="7"/>
  <c r="I39" i="7"/>
  <c r="H39" i="7"/>
  <c r="G39" i="7"/>
  <c r="F39" i="7"/>
  <c r="E39" i="7"/>
  <c r="D39" i="7"/>
  <c r="K39" i="9" s="1"/>
  <c r="C39" i="7"/>
  <c r="Z38" i="7"/>
  <c r="Q38" i="7"/>
  <c r="O38" i="7"/>
  <c r="N38" i="7"/>
  <c r="M38" i="7"/>
  <c r="L38" i="7"/>
  <c r="K38" i="7"/>
  <c r="J38" i="7"/>
  <c r="I38" i="7"/>
  <c r="H38" i="7"/>
  <c r="G38" i="7"/>
  <c r="F38" i="7"/>
  <c r="E38" i="7"/>
  <c r="D38" i="7"/>
  <c r="K38" i="9" s="1"/>
  <c r="C38" i="7"/>
  <c r="Z37" i="7"/>
  <c r="Q37" i="7"/>
  <c r="O37" i="7"/>
  <c r="N37" i="7"/>
  <c r="M37" i="7"/>
  <c r="L37" i="7"/>
  <c r="K37" i="7"/>
  <c r="J37" i="7"/>
  <c r="I37" i="7"/>
  <c r="H37" i="7"/>
  <c r="G37" i="7"/>
  <c r="F37" i="7"/>
  <c r="E37" i="7"/>
  <c r="D37" i="7"/>
  <c r="K37" i="9" s="1"/>
  <c r="C37" i="7"/>
  <c r="Z36" i="7"/>
  <c r="Q36" i="7"/>
  <c r="O36" i="7"/>
  <c r="N36" i="7"/>
  <c r="M36" i="7"/>
  <c r="L36" i="7"/>
  <c r="K36" i="7"/>
  <c r="J36" i="7"/>
  <c r="I36" i="7"/>
  <c r="H36" i="7"/>
  <c r="G36" i="7"/>
  <c r="F36" i="7"/>
  <c r="E36" i="7"/>
  <c r="D36" i="7"/>
  <c r="K36" i="9" s="1"/>
  <c r="C36" i="7"/>
  <c r="Z35" i="7"/>
  <c r="Q35" i="7"/>
  <c r="O35" i="7"/>
  <c r="N35" i="7"/>
  <c r="M35" i="7"/>
  <c r="L35" i="7"/>
  <c r="K35" i="7"/>
  <c r="J35" i="7"/>
  <c r="I35" i="7"/>
  <c r="H35" i="7"/>
  <c r="G35" i="7"/>
  <c r="F35" i="7"/>
  <c r="E35" i="7"/>
  <c r="D35" i="7"/>
  <c r="K35" i="9" s="1"/>
  <c r="C35" i="7"/>
  <c r="Z34" i="7"/>
  <c r="Q34" i="7"/>
  <c r="O34" i="7"/>
  <c r="P35" i="7" s="1"/>
  <c r="N34" i="7"/>
  <c r="M34" i="7"/>
  <c r="L34" i="7"/>
  <c r="K34" i="7"/>
  <c r="J34" i="7"/>
  <c r="I34" i="7"/>
  <c r="H34" i="7"/>
  <c r="G34" i="7"/>
  <c r="F34" i="7"/>
  <c r="E34" i="7"/>
  <c r="D34" i="7"/>
  <c r="K34" i="9" s="1"/>
  <c r="C34" i="7"/>
  <c r="Z33" i="7"/>
  <c r="Q33" i="7"/>
  <c r="O33" i="7"/>
  <c r="N33" i="7"/>
  <c r="M33" i="7"/>
  <c r="L33" i="7"/>
  <c r="K33" i="7"/>
  <c r="J33" i="7"/>
  <c r="I33" i="7"/>
  <c r="H33" i="7"/>
  <c r="G33" i="7"/>
  <c r="F33" i="7"/>
  <c r="E33" i="7"/>
  <c r="D33" i="7"/>
  <c r="K33" i="9" s="1"/>
  <c r="C33" i="7"/>
  <c r="Z32" i="7"/>
  <c r="Q32" i="7"/>
  <c r="O32" i="7"/>
  <c r="P33" i="7" s="1"/>
  <c r="N32" i="7"/>
  <c r="M32" i="7"/>
  <c r="L32" i="7"/>
  <c r="K32" i="7"/>
  <c r="J32" i="7"/>
  <c r="I32" i="7"/>
  <c r="H32" i="7"/>
  <c r="G32" i="7"/>
  <c r="F32" i="7"/>
  <c r="E32" i="7"/>
  <c r="D32" i="7"/>
  <c r="K32" i="9" s="1"/>
  <c r="C32" i="7"/>
  <c r="Z31" i="7"/>
  <c r="Q31" i="7"/>
  <c r="O31" i="7"/>
  <c r="P32" i="7" s="1"/>
  <c r="N31" i="7"/>
  <c r="M31" i="7"/>
  <c r="L31" i="7"/>
  <c r="K31" i="7"/>
  <c r="J31" i="7"/>
  <c r="I31" i="7"/>
  <c r="H31" i="7"/>
  <c r="G31" i="7"/>
  <c r="F31" i="7"/>
  <c r="E31" i="7"/>
  <c r="D31" i="7"/>
  <c r="K31" i="9" s="1"/>
  <c r="C31" i="7"/>
  <c r="Z30" i="7"/>
  <c r="Q30" i="7"/>
  <c r="O30" i="7"/>
  <c r="P31" i="7" s="1"/>
  <c r="N30" i="7"/>
  <c r="M30" i="7"/>
  <c r="L30" i="7"/>
  <c r="K30" i="7"/>
  <c r="J30" i="7"/>
  <c r="I30" i="7"/>
  <c r="H30" i="7"/>
  <c r="G30" i="7"/>
  <c r="F30" i="7"/>
  <c r="E30" i="7"/>
  <c r="D30" i="7"/>
  <c r="K30" i="9" s="1"/>
  <c r="C30" i="7"/>
  <c r="Z29" i="7"/>
  <c r="Q29" i="7"/>
  <c r="O29" i="7"/>
  <c r="P30" i="7" s="1"/>
  <c r="N29" i="7"/>
  <c r="M29" i="7"/>
  <c r="L29" i="7"/>
  <c r="K29" i="7"/>
  <c r="J29" i="7"/>
  <c r="I29" i="7"/>
  <c r="H29" i="7"/>
  <c r="G29" i="7"/>
  <c r="F29" i="7"/>
  <c r="E29" i="7"/>
  <c r="D29" i="7"/>
  <c r="K29" i="9" s="1"/>
  <c r="C29" i="7"/>
  <c r="Z28" i="7"/>
  <c r="Q28" i="7"/>
  <c r="O28" i="7"/>
  <c r="P29" i="7" s="1"/>
  <c r="N28" i="7"/>
  <c r="M28" i="7"/>
  <c r="L28" i="7"/>
  <c r="K28" i="7"/>
  <c r="J28" i="7"/>
  <c r="I28" i="7"/>
  <c r="H28" i="7"/>
  <c r="G28" i="7"/>
  <c r="F28" i="7"/>
  <c r="E28" i="7"/>
  <c r="D28" i="7"/>
  <c r="K28" i="9" s="1"/>
  <c r="C28" i="7"/>
  <c r="Z27" i="7"/>
  <c r="Q27" i="7"/>
  <c r="O27" i="7"/>
  <c r="P28" i="7" s="1"/>
  <c r="N27" i="7"/>
  <c r="M27" i="7"/>
  <c r="L27" i="7"/>
  <c r="K27" i="7"/>
  <c r="J27" i="7"/>
  <c r="I27" i="7"/>
  <c r="H27" i="7"/>
  <c r="G27" i="7"/>
  <c r="F27" i="7"/>
  <c r="E27" i="7"/>
  <c r="D27" i="7"/>
  <c r="K27" i="9" s="1"/>
  <c r="C27" i="7"/>
  <c r="Z26" i="7"/>
  <c r="Q26" i="7"/>
  <c r="O26" i="7"/>
  <c r="P27" i="7" s="1"/>
  <c r="N26" i="7"/>
  <c r="M26" i="7"/>
  <c r="L26" i="7"/>
  <c r="K26" i="7"/>
  <c r="J26" i="7"/>
  <c r="I26" i="7"/>
  <c r="H26" i="7"/>
  <c r="G26" i="7"/>
  <c r="F26" i="7"/>
  <c r="E26" i="7"/>
  <c r="D26" i="7"/>
  <c r="K26" i="9" s="1"/>
  <c r="C26" i="7"/>
  <c r="Z25" i="7"/>
  <c r="Q25" i="7"/>
  <c r="O25" i="7"/>
  <c r="P26" i="7" s="1"/>
  <c r="N25" i="7"/>
  <c r="M25" i="7"/>
  <c r="L25" i="7"/>
  <c r="K25" i="7"/>
  <c r="J25" i="7"/>
  <c r="I25" i="7"/>
  <c r="H25" i="7"/>
  <c r="G25" i="7"/>
  <c r="F25" i="7"/>
  <c r="E25" i="7"/>
  <c r="D25" i="7"/>
  <c r="K25" i="9" s="1"/>
  <c r="C25" i="7"/>
  <c r="Z24" i="7"/>
  <c r="Q24" i="7"/>
  <c r="O24" i="7"/>
  <c r="P25" i="7" s="1"/>
  <c r="N24" i="7"/>
  <c r="M24" i="7"/>
  <c r="L24" i="7"/>
  <c r="K24" i="7"/>
  <c r="J24" i="7"/>
  <c r="I24" i="7"/>
  <c r="H24" i="7"/>
  <c r="G24" i="7"/>
  <c r="F24" i="7"/>
  <c r="E24" i="7"/>
  <c r="D24" i="7"/>
  <c r="K24" i="9" s="1"/>
  <c r="C24" i="7"/>
  <c r="Z23" i="7"/>
  <c r="Q23" i="7"/>
  <c r="O23" i="7"/>
  <c r="P24" i="7" s="1"/>
  <c r="N23" i="7"/>
  <c r="M23" i="7"/>
  <c r="L23" i="7"/>
  <c r="K23" i="7"/>
  <c r="J23" i="7"/>
  <c r="I23" i="7"/>
  <c r="H23" i="7"/>
  <c r="G23" i="7"/>
  <c r="F23" i="7"/>
  <c r="E23" i="7"/>
  <c r="D23" i="7"/>
  <c r="K23" i="9" s="1"/>
  <c r="C23" i="7"/>
  <c r="Z22" i="7"/>
  <c r="Q22" i="7"/>
  <c r="O22" i="7"/>
  <c r="P23" i="7" s="1"/>
  <c r="N22" i="7"/>
  <c r="M22" i="7"/>
  <c r="L22" i="7"/>
  <c r="K22" i="7"/>
  <c r="J22" i="7"/>
  <c r="I22" i="7"/>
  <c r="H22" i="7"/>
  <c r="G22" i="7"/>
  <c r="F22" i="7"/>
  <c r="E22" i="7"/>
  <c r="D22" i="7"/>
  <c r="K22" i="9" s="1"/>
  <c r="C22" i="7"/>
  <c r="Z21" i="7"/>
  <c r="Q21" i="7"/>
  <c r="O21" i="7"/>
  <c r="P22" i="7" s="1"/>
  <c r="N21" i="7"/>
  <c r="M21" i="7"/>
  <c r="L21" i="7"/>
  <c r="K21" i="7"/>
  <c r="J21" i="7"/>
  <c r="I21" i="7"/>
  <c r="H21" i="7"/>
  <c r="G21" i="7"/>
  <c r="F21" i="7"/>
  <c r="E21" i="7"/>
  <c r="D21" i="7"/>
  <c r="K21" i="9" s="1"/>
  <c r="C21" i="7"/>
  <c r="Z20" i="7"/>
  <c r="Q20" i="7"/>
  <c r="O20" i="7"/>
  <c r="P21" i="7" s="1"/>
  <c r="N20" i="7"/>
  <c r="M20" i="7"/>
  <c r="L20" i="7"/>
  <c r="K20" i="7"/>
  <c r="J20" i="7"/>
  <c r="I20" i="7"/>
  <c r="H20" i="7"/>
  <c r="G20" i="7"/>
  <c r="F20" i="7"/>
  <c r="E20" i="7"/>
  <c r="D20" i="7"/>
  <c r="K20" i="9" s="1"/>
  <c r="C20" i="7"/>
  <c r="Z19" i="7"/>
  <c r="Q19" i="7"/>
  <c r="O19" i="7"/>
  <c r="P20" i="7" s="1"/>
  <c r="N19" i="7"/>
  <c r="M19" i="7"/>
  <c r="L19" i="7"/>
  <c r="K19" i="7"/>
  <c r="J19" i="7"/>
  <c r="I19" i="7"/>
  <c r="H19" i="7"/>
  <c r="G19" i="7"/>
  <c r="F19" i="7"/>
  <c r="E19" i="7"/>
  <c r="D19" i="7"/>
  <c r="K19" i="9" s="1"/>
  <c r="C19" i="7"/>
  <c r="Z18" i="7"/>
  <c r="Q18" i="7"/>
  <c r="O18" i="7"/>
  <c r="P19" i="7" s="1"/>
  <c r="N18" i="7"/>
  <c r="M18" i="7"/>
  <c r="L18" i="7"/>
  <c r="K18" i="7"/>
  <c r="J18" i="7"/>
  <c r="I18" i="7"/>
  <c r="H18" i="7"/>
  <c r="G18" i="7"/>
  <c r="F18" i="7"/>
  <c r="E18" i="7"/>
  <c r="D18" i="7"/>
  <c r="K18" i="9" s="1"/>
  <c r="C18" i="7"/>
  <c r="Z17" i="7"/>
  <c r="Q17" i="7"/>
  <c r="O17" i="7"/>
  <c r="P18" i="7" s="1"/>
  <c r="N17" i="7"/>
  <c r="M17" i="7"/>
  <c r="L17" i="7"/>
  <c r="K17" i="7"/>
  <c r="J17" i="7"/>
  <c r="I17" i="7"/>
  <c r="H17" i="7"/>
  <c r="G17" i="7"/>
  <c r="F17" i="7"/>
  <c r="E17" i="7"/>
  <c r="D17" i="7"/>
  <c r="K17" i="9" s="1"/>
  <c r="C17" i="7"/>
  <c r="Z16" i="7"/>
  <c r="Q16" i="7"/>
  <c r="O16" i="7"/>
  <c r="P17" i="7" s="1"/>
  <c r="N16" i="7"/>
  <c r="M16" i="7"/>
  <c r="L16" i="7"/>
  <c r="K16" i="7"/>
  <c r="J16" i="7"/>
  <c r="I16" i="7"/>
  <c r="H16" i="7"/>
  <c r="G16" i="7"/>
  <c r="F16" i="7"/>
  <c r="E16" i="7"/>
  <c r="D16" i="7"/>
  <c r="K16" i="9" s="1"/>
  <c r="C16" i="7"/>
  <c r="Z15" i="7"/>
  <c r="Q15" i="7"/>
  <c r="O15" i="7"/>
  <c r="P16" i="7" s="1"/>
  <c r="N15" i="7"/>
  <c r="M15" i="7"/>
  <c r="L15" i="7"/>
  <c r="K15" i="7"/>
  <c r="J15" i="7"/>
  <c r="I15" i="7"/>
  <c r="H15" i="7"/>
  <c r="G15" i="7"/>
  <c r="F15" i="7"/>
  <c r="E15" i="7"/>
  <c r="D15" i="7"/>
  <c r="K15" i="9" s="1"/>
  <c r="C15" i="7"/>
  <c r="Z14" i="7"/>
  <c r="Q14" i="7"/>
  <c r="O14" i="7"/>
  <c r="P15" i="7" s="1"/>
  <c r="N14" i="7"/>
  <c r="M14" i="7"/>
  <c r="L14" i="7"/>
  <c r="K14" i="7"/>
  <c r="J14" i="7"/>
  <c r="I14" i="7"/>
  <c r="H14" i="7"/>
  <c r="G14" i="7"/>
  <c r="F14" i="7"/>
  <c r="E14" i="7"/>
  <c r="D14" i="7"/>
  <c r="K14" i="9" s="1"/>
  <c r="C14" i="7"/>
  <c r="Z13" i="7"/>
  <c r="Q13" i="7"/>
  <c r="O13" i="7"/>
  <c r="P14" i="7" s="1"/>
  <c r="N13" i="7"/>
  <c r="M13" i="7"/>
  <c r="L13" i="7"/>
  <c r="K13" i="7"/>
  <c r="J13" i="7"/>
  <c r="I13" i="7"/>
  <c r="H13" i="7"/>
  <c r="G13" i="7"/>
  <c r="F13" i="7"/>
  <c r="E13" i="7"/>
  <c r="D13" i="7"/>
  <c r="K13" i="9" s="1"/>
  <c r="C13" i="7"/>
  <c r="Z12" i="7"/>
  <c r="Q12" i="7"/>
  <c r="O12" i="7"/>
  <c r="P13" i="7" s="1"/>
  <c r="N12" i="7"/>
  <c r="M12" i="7"/>
  <c r="L12" i="7"/>
  <c r="K12" i="7"/>
  <c r="J12" i="7"/>
  <c r="I12" i="7"/>
  <c r="H12" i="7"/>
  <c r="G12" i="7"/>
  <c r="F12" i="7"/>
  <c r="E12" i="7"/>
  <c r="D12" i="7"/>
  <c r="K12" i="9" s="1"/>
  <c r="C12" i="7"/>
  <c r="Z11" i="7"/>
  <c r="Q11" i="7"/>
  <c r="O11" i="7"/>
  <c r="P12" i="7" s="1"/>
  <c r="N11" i="7"/>
  <c r="M11" i="7"/>
  <c r="L11" i="7"/>
  <c r="K11" i="7"/>
  <c r="J11" i="7"/>
  <c r="I11" i="7"/>
  <c r="H11" i="7"/>
  <c r="G11" i="7"/>
  <c r="F11" i="7"/>
  <c r="E11" i="7"/>
  <c r="D11" i="7"/>
  <c r="K11" i="9" s="1"/>
  <c r="C11" i="7"/>
  <c r="Z10" i="7"/>
  <c r="Q10" i="7"/>
  <c r="O10" i="7"/>
  <c r="P11" i="7" s="1"/>
  <c r="N10" i="7"/>
  <c r="M10" i="7"/>
  <c r="L10" i="7"/>
  <c r="K10" i="7"/>
  <c r="J10" i="7"/>
  <c r="I10" i="7"/>
  <c r="H10" i="7"/>
  <c r="G10" i="7"/>
  <c r="F10" i="7"/>
  <c r="E10" i="7"/>
  <c r="D10" i="7"/>
  <c r="K10" i="9" s="1"/>
  <c r="C10" i="7"/>
  <c r="Z9" i="7"/>
  <c r="Q9" i="7"/>
  <c r="O9" i="7"/>
  <c r="P10" i="7" s="1"/>
  <c r="N9" i="7"/>
  <c r="M9" i="7"/>
  <c r="L9" i="7"/>
  <c r="K9" i="7"/>
  <c r="J9" i="7"/>
  <c r="I9" i="7"/>
  <c r="H9" i="7"/>
  <c r="G9" i="7"/>
  <c r="F9" i="7"/>
  <c r="E9" i="7"/>
  <c r="D9" i="7"/>
  <c r="K9" i="9" s="1"/>
  <c r="C9" i="7"/>
  <c r="Z8" i="7"/>
  <c r="Q8" i="7"/>
  <c r="O8" i="7"/>
  <c r="P9" i="7" s="1"/>
  <c r="N8" i="7"/>
  <c r="M8" i="7"/>
  <c r="L8" i="7"/>
  <c r="K8" i="7"/>
  <c r="J8" i="7"/>
  <c r="I8" i="7"/>
  <c r="H8" i="7"/>
  <c r="G8" i="7"/>
  <c r="F8" i="7"/>
  <c r="E8" i="7"/>
  <c r="D8" i="7"/>
  <c r="K8" i="9" s="1"/>
  <c r="C8" i="7"/>
  <c r="Z7" i="7"/>
  <c r="Q7" i="7"/>
  <c r="O7" i="7"/>
  <c r="P8" i="7" s="1"/>
  <c r="N7" i="7"/>
  <c r="M7" i="7"/>
  <c r="L7" i="7"/>
  <c r="K7" i="7"/>
  <c r="J7" i="7"/>
  <c r="I7" i="7"/>
  <c r="H7" i="7"/>
  <c r="G7" i="7"/>
  <c r="F7" i="7"/>
  <c r="E7" i="7"/>
  <c r="D7" i="7"/>
  <c r="K7" i="9" s="1"/>
  <c r="C7" i="7"/>
  <c r="Z6" i="7"/>
  <c r="Q6" i="7"/>
  <c r="O6" i="7"/>
  <c r="P7" i="7" s="1"/>
  <c r="N6" i="7"/>
  <c r="M6" i="7"/>
  <c r="L6" i="7"/>
  <c r="K6" i="7"/>
  <c r="J6" i="7"/>
  <c r="I6" i="7"/>
  <c r="H6" i="7"/>
  <c r="G6" i="7"/>
  <c r="F6" i="7"/>
  <c r="E6" i="7"/>
  <c r="D6" i="7"/>
  <c r="K6" i="9" s="1"/>
  <c r="C6" i="7"/>
  <c r="Z5" i="7"/>
  <c r="Q5" i="7"/>
  <c r="O5" i="7"/>
  <c r="P6" i="7" s="1"/>
  <c r="N5" i="7"/>
  <c r="M5" i="7"/>
  <c r="L5" i="7"/>
  <c r="K5" i="7"/>
  <c r="J5" i="7"/>
  <c r="I5" i="7"/>
  <c r="H5" i="7"/>
  <c r="G5" i="7"/>
  <c r="F5" i="7"/>
  <c r="E5" i="7"/>
  <c r="D5" i="7"/>
  <c r="K5" i="9" s="1"/>
  <c r="C5" i="7"/>
  <c r="Z4" i="7"/>
  <c r="Q4" i="7"/>
  <c r="O4" i="7"/>
  <c r="P5" i="7" s="1"/>
  <c r="N4" i="7"/>
  <c r="M4" i="7"/>
  <c r="L4" i="7"/>
  <c r="K4" i="7"/>
  <c r="J4" i="7"/>
  <c r="I4" i="7"/>
  <c r="H4" i="7"/>
  <c r="G4" i="7"/>
  <c r="F4" i="7"/>
  <c r="E4" i="7"/>
  <c r="D4" i="7"/>
  <c r="K4" i="9" s="1"/>
  <c r="C4" i="7"/>
  <c r="Z3" i="7"/>
  <c r="Q3" i="7"/>
  <c r="O3" i="7"/>
  <c r="P4" i="7" s="1"/>
  <c r="N3" i="7"/>
  <c r="M3" i="7"/>
  <c r="L3" i="7"/>
  <c r="K3" i="7"/>
  <c r="J3" i="7"/>
  <c r="I3" i="7"/>
  <c r="H3" i="7"/>
  <c r="G3" i="7"/>
  <c r="F3" i="7"/>
  <c r="E3" i="7"/>
  <c r="D3" i="7"/>
  <c r="K3" i="9" s="1"/>
  <c r="C3" i="7"/>
  <c r="Z2" i="7"/>
  <c r="Q2" i="7"/>
  <c r="O2" i="7"/>
  <c r="P3" i="7" s="1"/>
  <c r="N2" i="7"/>
  <c r="M2" i="7"/>
  <c r="L2" i="7"/>
  <c r="K2" i="7"/>
  <c r="J2" i="7"/>
  <c r="I2" i="7"/>
  <c r="H2" i="7"/>
  <c r="G2" i="7"/>
  <c r="F2" i="7"/>
  <c r="E2" i="7"/>
  <c r="D2" i="7"/>
  <c r="K2" i="9" s="1"/>
  <c r="C2" i="7"/>
  <c r="J366" i="6"/>
  <c r="I366" i="6"/>
  <c r="H366" i="6"/>
  <c r="G366" i="6"/>
  <c r="F366" i="6"/>
  <c r="E366" i="6"/>
  <c r="A366" i="6"/>
  <c r="J365" i="6"/>
  <c r="I365" i="6"/>
  <c r="H365" i="6"/>
  <c r="G365" i="6"/>
  <c r="F365" i="6"/>
  <c r="E365" i="6"/>
  <c r="A365" i="6"/>
  <c r="J364" i="6"/>
  <c r="I364" i="6"/>
  <c r="H364" i="6"/>
  <c r="G364" i="6"/>
  <c r="F364" i="6"/>
  <c r="E364" i="6"/>
  <c r="A364" i="6"/>
  <c r="J363" i="6"/>
  <c r="I363" i="6"/>
  <c r="H363" i="6"/>
  <c r="G363" i="6"/>
  <c r="F363" i="6"/>
  <c r="E363" i="6"/>
  <c r="A363" i="6"/>
  <c r="J362" i="6"/>
  <c r="I362" i="6"/>
  <c r="H362" i="6"/>
  <c r="G362" i="6"/>
  <c r="F362" i="6"/>
  <c r="E362" i="6"/>
  <c r="A362" i="6"/>
  <c r="J361" i="6"/>
  <c r="I361" i="6"/>
  <c r="H361" i="6"/>
  <c r="G361" i="6"/>
  <c r="F361" i="6"/>
  <c r="E361" i="6"/>
  <c r="A361" i="6"/>
  <c r="J360" i="6"/>
  <c r="I360" i="6"/>
  <c r="H360" i="6"/>
  <c r="G360" i="6"/>
  <c r="F360" i="6"/>
  <c r="E360" i="6"/>
  <c r="A360" i="6"/>
  <c r="J359" i="6"/>
  <c r="I359" i="6"/>
  <c r="H359" i="6"/>
  <c r="G359" i="6"/>
  <c r="F359" i="6"/>
  <c r="E359" i="6"/>
  <c r="A359" i="6"/>
  <c r="J358" i="6"/>
  <c r="I358" i="6"/>
  <c r="H358" i="6"/>
  <c r="G358" i="6"/>
  <c r="F358" i="6"/>
  <c r="E358" i="6"/>
  <c r="A358" i="6"/>
  <c r="J357" i="6"/>
  <c r="I357" i="6"/>
  <c r="H357" i="6"/>
  <c r="G357" i="6"/>
  <c r="F357" i="6"/>
  <c r="E357" i="6"/>
  <c r="A357" i="6"/>
  <c r="J356" i="6"/>
  <c r="I356" i="6"/>
  <c r="H356" i="6"/>
  <c r="G356" i="6"/>
  <c r="F356" i="6"/>
  <c r="E356" i="6"/>
  <c r="A356" i="6"/>
  <c r="J355" i="6"/>
  <c r="I355" i="6"/>
  <c r="H355" i="6"/>
  <c r="G355" i="6"/>
  <c r="F355" i="6"/>
  <c r="E355" i="6"/>
  <c r="A355" i="6"/>
  <c r="J354" i="6"/>
  <c r="I354" i="6"/>
  <c r="H354" i="6"/>
  <c r="G354" i="6"/>
  <c r="F354" i="6"/>
  <c r="E354" i="6"/>
  <c r="A354" i="6"/>
  <c r="J353" i="6"/>
  <c r="I353" i="6"/>
  <c r="H353" i="6"/>
  <c r="G353" i="6"/>
  <c r="F353" i="6"/>
  <c r="E353" i="6"/>
  <c r="A353" i="6"/>
  <c r="J352" i="6"/>
  <c r="I352" i="6"/>
  <c r="H352" i="6"/>
  <c r="G352" i="6"/>
  <c r="F352" i="6"/>
  <c r="E352" i="6"/>
  <c r="A352" i="6"/>
  <c r="J351" i="6"/>
  <c r="I351" i="6"/>
  <c r="H351" i="6"/>
  <c r="G351" i="6"/>
  <c r="F351" i="6"/>
  <c r="E351" i="6"/>
  <c r="A351" i="6"/>
  <c r="J350" i="6"/>
  <c r="I350" i="6"/>
  <c r="H350" i="6"/>
  <c r="G350" i="6"/>
  <c r="F350" i="6"/>
  <c r="E350" i="6"/>
  <c r="A350" i="6"/>
  <c r="J349" i="6"/>
  <c r="I349" i="6"/>
  <c r="H349" i="6"/>
  <c r="G349" i="6"/>
  <c r="F349" i="6"/>
  <c r="E349" i="6"/>
  <c r="A349" i="6"/>
  <c r="J348" i="6"/>
  <c r="I348" i="6"/>
  <c r="H348" i="6"/>
  <c r="G348" i="6"/>
  <c r="F348" i="6"/>
  <c r="E348" i="6"/>
  <c r="A348" i="6"/>
  <c r="J347" i="6"/>
  <c r="I347" i="6"/>
  <c r="H347" i="6"/>
  <c r="G347" i="6"/>
  <c r="F347" i="6"/>
  <c r="E347" i="6"/>
  <c r="A347" i="6"/>
  <c r="J346" i="6"/>
  <c r="I346" i="6"/>
  <c r="H346" i="6"/>
  <c r="G346" i="6"/>
  <c r="F346" i="6"/>
  <c r="E346" i="6"/>
  <c r="A346" i="6"/>
  <c r="J345" i="6"/>
  <c r="I345" i="6"/>
  <c r="H345" i="6"/>
  <c r="G345" i="6"/>
  <c r="F345" i="6"/>
  <c r="E345" i="6"/>
  <c r="A345" i="6"/>
  <c r="J344" i="6"/>
  <c r="I344" i="6"/>
  <c r="H344" i="6"/>
  <c r="G344" i="6"/>
  <c r="F344" i="6"/>
  <c r="E344" i="6"/>
  <c r="A344" i="6"/>
  <c r="J343" i="6"/>
  <c r="I343" i="6"/>
  <c r="H343" i="6"/>
  <c r="G343" i="6"/>
  <c r="F343" i="6"/>
  <c r="E343" i="6"/>
  <c r="A343" i="6"/>
  <c r="J342" i="6"/>
  <c r="I342" i="6"/>
  <c r="H342" i="6"/>
  <c r="G342" i="6"/>
  <c r="F342" i="6"/>
  <c r="E342" i="6"/>
  <c r="A342" i="6"/>
  <c r="J341" i="6"/>
  <c r="I341" i="6"/>
  <c r="H341" i="6"/>
  <c r="G341" i="6"/>
  <c r="F341" i="6"/>
  <c r="E341" i="6"/>
  <c r="A341" i="6"/>
  <c r="J340" i="6"/>
  <c r="I340" i="6"/>
  <c r="H340" i="6"/>
  <c r="G340" i="6"/>
  <c r="F340" i="6"/>
  <c r="E340" i="6"/>
  <c r="A340" i="6"/>
  <c r="J339" i="6"/>
  <c r="I339" i="6"/>
  <c r="H339" i="6"/>
  <c r="G339" i="6"/>
  <c r="F339" i="6"/>
  <c r="E339" i="6"/>
  <c r="A339" i="6"/>
  <c r="J338" i="6"/>
  <c r="I338" i="6"/>
  <c r="H338" i="6"/>
  <c r="G338" i="6"/>
  <c r="F338" i="6"/>
  <c r="E338" i="6"/>
  <c r="A338" i="6"/>
  <c r="J337" i="6"/>
  <c r="I337" i="6"/>
  <c r="H337" i="6"/>
  <c r="G337" i="6"/>
  <c r="F337" i="6"/>
  <c r="E337" i="6"/>
  <c r="A337" i="6"/>
  <c r="J336" i="6"/>
  <c r="I336" i="6"/>
  <c r="H336" i="6"/>
  <c r="G336" i="6"/>
  <c r="F336" i="6"/>
  <c r="E336" i="6"/>
  <c r="A336" i="6"/>
  <c r="J335" i="6"/>
  <c r="I335" i="6"/>
  <c r="H335" i="6"/>
  <c r="G335" i="6"/>
  <c r="F335" i="6"/>
  <c r="E335" i="6"/>
  <c r="A335" i="6"/>
  <c r="J334" i="6"/>
  <c r="I334" i="6"/>
  <c r="H334" i="6"/>
  <c r="G334" i="6"/>
  <c r="F334" i="6"/>
  <c r="E334" i="6"/>
  <c r="A334" i="6"/>
  <c r="J333" i="6"/>
  <c r="I333" i="6"/>
  <c r="H333" i="6"/>
  <c r="G333" i="6"/>
  <c r="F333" i="6"/>
  <c r="E333" i="6"/>
  <c r="A333" i="6"/>
  <c r="J332" i="6"/>
  <c r="I332" i="6"/>
  <c r="H332" i="6"/>
  <c r="G332" i="6"/>
  <c r="F332" i="6"/>
  <c r="E332" i="6"/>
  <c r="A332" i="6"/>
  <c r="J331" i="6"/>
  <c r="I331" i="6"/>
  <c r="H331" i="6"/>
  <c r="G331" i="6"/>
  <c r="F331" i="6"/>
  <c r="E331" i="6"/>
  <c r="A331" i="6"/>
  <c r="J330" i="6"/>
  <c r="I330" i="6"/>
  <c r="H330" i="6"/>
  <c r="G330" i="6"/>
  <c r="F330" i="6"/>
  <c r="E330" i="6"/>
  <c r="A330" i="6"/>
  <c r="J329" i="6"/>
  <c r="I329" i="6"/>
  <c r="H329" i="6"/>
  <c r="G329" i="6"/>
  <c r="F329" i="6"/>
  <c r="E329" i="6"/>
  <c r="A329" i="6"/>
  <c r="J328" i="6"/>
  <c r="I328" i="6"/>
  <c r="H328" i="6"/>
  <c r="G328" i="6"/>
  <c r="F328" i="6"/>
  <c r="E328" i="6"/>
  <c r="A328" i="6"/>
  <c r="J327" i="6"/>
  <c r="I327" i="6"/>
  <c r="H327" i="6"/>
  <c r="G327" i="6"/>
  <c r="F327" i="6"/>
  <c r="E327" i="6"/>
  <c r="A327" i="6"/>
  <c r="J326" i="6"/>
  <c r="I326" i="6"/>
  <c r="H326" i="6"/>
  <c r="G326" i="6"/>
  <c r="F326" i="6"/>
  <c r="E326" i="6"/>
  <c r="A326" i="6"/>
  <c r="J325" i="6"/>
  <c r="I325" i="6"/>
  <c r="H325" i="6"/>
  <c r="G325" i="6"/>
  <c r="F325" i="6"/>
  <c r="E325" i="6"/>
  <c r="A325" i="6"/>
  <c r="J324" i="6"/>
  <c r="I324" i="6"/>
  <c r="H324" i="6"/>
  <c r="G324" i="6"/>
  <c r="F324" i="6"/>
  <c r="E324" i="6"/>
  <c r="A324" i="6"/>
  <c r="J323" i="6"/>
  <c r="I323" i="6"/>
  <c r="H323" i="6"/>
  <c r="G323" i="6"/>
  <c r="F323" i="6"/>
  <c r="E323" i="6"/>
  <c r="A323" i="6"/>
  <c r="J322" i="6"/>
  <c r="I322" i="6"/>
  <c r="H322" i="6"/>
  <c r="G322" i="6"/>
  <c r="F322" i="6"/>
  <c r="E322" i="6"/>
  <c r="A322" i="6"/>
  <c r="J321" i="6"/>
  <c r="I321" i="6"/>
  <c r="H321" i="6"/>
  <c r="G321" i="6"/>
  <c r="F321" i="6"/>
  <c r="E321" i="6"/>
  <c r="A321" i="6"/>
  <c r="J320" i="6"/>
  <c r="I320" i="6"/>
  <c r="H320" i="6"/>
  <c r="G320" i="6"/>
  <c r="F320" i="6"/>
  <c r="E320" i="6"/>
  <c r="A320" i="6"/>
  <c r="J319" i="6"/>
  <c r="I319" i="6"/>
  <c r="H319" i="6"/>
  <c r="G319" i="6"/>
  <c r="F319" i="6"/>
  <c r="E319" i="6"/>
  <c r="A319" i="6"/>
  <c r="J318" i="6"/>
  <c r="I318" i="6"/>
  <c r="H318" i="6"/>
  <c r="G318" i="6"/>
  <c r="F318" i="6"/>
  <c r="E318" i="6"/>
  <c r="A318" i="6"/>
  <c r="J317" i="6"/>
  <c r="I317" i="6"/>
  <c r="H317" i="6"/>
  <c r="G317" i="6"/>
  <c r="F317" i="6"/>
  <c r="E317" i="6"/>
  <c r="A317" i="6"/>
  <c r="J316" i="6"/>
  <c r="I316" i="6"/>
  <c r="H316" i="6"/>
  <c r="G316" i="6"/>
  <c r="F316" i="6"/>
  <c r="E316" i="6"/>
  <c r="A316" i="6"/>
  <c r="J315" i="6"/>
  <c r="I315" i="6"/>
  <c r="H315" i="6"/>
  <c r="G315" i="6"/>
  <c r="F315" i="6"/>
  <c r="E315" i="6"/>
  <c r="A315" i="6"/>
  <c r="J314" i="6"/>
  <c r="I314" i="6"/>
  <c r="H314" i="6"/>
  <c r="G314" i="6"/>
  <c r="F314" i="6"/>
  <c r="E314" i="6"/>
  <c r="A314" i="6"/>
  <c r="J313" i="6"/>
  <c r="I313" i="6"/>
  <c r="H313" i="6"/>
  <c r="G313" i="6"/>
  <c r="F313" i="6"/>
  <c r="E313" i="6"/>
  <c r="A313" i="6"/>
  <c r="J312" i="6"/>
  <c r="I312" i="6"/>
  <c r="H312" i="6"/>
  <c r="G312" i="6"/>
  <c r="F312" i="6"/>
  <c r="E312" i="6"/>
  <c r="A312" i="6"/>
  <c r="J311" i="6"/>
  <c r="I311" i="6"/>
  <c r="H311" i="6"/>
  <c r="G311" i="6"/>
  <c r="F311" i="6"/>
  <c r="E311" i="6"/>
  <c r="A311" i="6"/>
  <c r="J310" i="6"/>
  <c r="I310" i="6"/>
  <c r="H310" i="6"/>
  <c r="G310" i="6"/>
  <c r="F310" i="6"/>
  <c r="E310" i="6"/>
  <c r="A310" i="6"/>
  <c r="J309" i="6"/>
  <c r="I309" i="6"/>
  <c r="H309" i="6"/>
  <c r="G309" i="6"/>
  <c r="F309" i="6"/>
  <c r="E309" i="6"/>
  <c r="A309" i="6"/>
  <c r="J308" i="6"/>
  <c r="I308" i="6"/>
  <c r="H308" i="6"/>
  <c r="G308" i="6"/>
  <c r="F308" i="6"/>
  <c r="E308" i="6"/>
  <c r="A308" i="6"/>
  <c r="J307" i="6"/>
  <c r="I307" i="6"/>
  <c r="H307" i="6"/>
  <c r="G307" i="6"/>
  <c r="F307" i="6"/>
  <c r="E307" i="6"/>
  <c r="A307" i="6"/>
  <c r="J306" i="6"/>
  <c r="I306" i="6"/>
  <c r="H306" i="6"/>
  <c r="G306" i="6"/>
  <c r="F306" i="6"/>
  <c r="E306" i="6"/>
  <c r="A306" i="6"/>
  <c r="J305" i="6"/>
  <c r="I305" i="6"/>
  <c r="H305" i="6"/>
  <c r="G305" i="6"/>
  <c r="F305" i="6"/>
  <c r="E305" i="6"/>
  <c r="A305" i="6"/>
  <c r="J304" i="6"/>
  <c r="I304" i="6"/>
  <c r="H304" i="6"/>
  <c r="G304" i="6"/>
  <c r="F304" i="6"/>
  <c r="E304" i="6"/>
  <c r="A304" i="6"/>
  <c r="J303" i="6"/>
  <c r="I303" i="6"/>
  <c r="H303" i="6"/>
  <c r="G303" i="6"/>
  <c r="F303" i="6"/>
  <c r="E303" i="6"/>
  <c r="A303" i="6"/>
  <c r="J302" i="6"/>
  <c r="I302" i="6"/>
  <c r="H302" i="6"/>
  <c r="G302" i="6"/>
  <c r="F302" i="6"/>
  <c r="E302" i="6"/>
  <c r="A302" i="6"/>
  <c r="J301" i="6"/>
  <c r="I301" i="6"/>
  <c r="H301" i="6"/>
  <c r="G301" i="6"/>
  <c r="F301" i="6"/>
  <c r="E301" i="6"/>
  <c r="A301" i="6"/>
  <c r="J300" i="6"/>
  <c r="I300" i="6"/>
  <c r="H300" i="6"/>
  <c r="G300" i="6"/>
  <c r="F300" i="6"/>
  <c r="E300" i="6"/>
  <c r="A300" i="6"/>
  <c r="J299" i="6"/>
  <c r="I299" i="6"/>
  <c r="H299" i="6"/>
  <c r="G299" i="6"/>
  <c r="F299" i="6"/>
  <c r="E299" i="6"/>
  <c r="A299" i="6"/>
  <c r="J298" i="6"/>
  <c r="I298" i="6"/>
  <c r="H298" i="6"/>
  <c r="G298" i="6"/>
  <c r="F298" i="6"/>
  <c r="E298" i="6"/>
  <c r="A298" i="6"/>
  <c r="J297" i="6"/>
  <c r="I297" i="6"/>
  <c r="H297" i="6"/>
  <c r="G297" i="6"/>
  <c r="F297" i="6"/>
  <c r="E297" i="6"/>
  <c r="A297" i="6"/>
  <c r="J296" i="6"/>
  <c r="I296" i="6"/>
  <c r="H296" i="6"/>
  <c r="G296" i="6"/>
  <c r="F296" i="6"/>
  <c r="E296" i="6"/>
  <c r="A296" i="6"/>
  <c r="J295" i="6"/>
  <c r="I295" i="6"/>
  <c r="H295" i="6"/>
  <c r="G295" i="6"/>
  <c r="F295" i="6"/>
  <c r="E295" i="6"/>
  <c r="A295" i="6"/>
  <c r="J294" i="6"/>
  <c r="I294" i="6"/>
  <c r="H294" i="6"/>
  <c r="G294" i="6"/>
  <c r="F294" i="6"/>
  <c r="E294" i="6"/>
  <c r="A294" i="6"/>
  <c r="J293" i="6"/>
  <c r="I293" i="6"/>
  <c r="H293" i="6"/>
  <c r="G293" i="6"/>
  <c r="F293" i="6"/>
  <c r="E293" i="6"/>
  <c r="A293" i="6"/>
  <c r="J292" i="6"/>
  <c r="I292" i="6"/>
  <c r="H292" i="6"/>
  <c r="G292" i="6"/>
  <c r="F292" i="6"/>
  <c r="E292" i="6"/>
  <c r="A292" i="6"/>
  <c r="J291" i="6"/>
  <c r="I291" i="6"/>
  <c r="H291" i="6"/>
  <c r="G291" i="6"/>
  <c r="F291" i="6"/>
  <c r="E291" i="6"/>
  <c r="A291" i="6"/>
  <c r="J290" i="6"/>
  <c r="I290" i="6"/>
  <c r="H290" i="6"/>
  <c r="G290" i="6"/>
  <c r="F290" i="6"/>
  <c r="E290" i="6"/>
  <c r="A290" i="6"/>
  <c r="J289" i="6"/>
  <c r="I289" i="6"/>
  <c r="H289" i="6"/>
  <c r="G289" i="6"/>
  <c r="F289" i="6"/>
  <c r="E289" i="6"/>
  <c r="A289" i="6"/>
  <c r="J288" i="6"/>
  <c r="I288" i="6"/>
  <c r="H288" i="6"/>
  <c r="G288" i="6"/>
  <c r="F288" i="6"/>
  <c r="E288" i="6"/>
  <c r="A288" i="6"/>
  <c r="J287" i="6"/>
  <c r="I287" i="6"/>
  <c r="H287" i="6"/>
  <c r="G287" i="6"/>
  <c r="F287" i="6"/>
  <c r="E287" i="6"/>
  <c r="A287" i="6"/>
  <c r="J286" i="6"/>
  <c r="I286" i="6"/>
  <c r="H286" i="6"/>
  <c r="G286" i="6"/>
  <c r="F286" i="6"/>
  <c r="E286" i="6"/>
  <c r="A286" i="6"/>
  <c r="J285" i="6"/>
  <c r="I285" i="6"/>
  <c r="H285" i="6"/>
  <c r="G285" i="6"/>
  <c r="F285" i="6"/>
  <c r="E285" i="6"/>
  <c r="A285" i="6"/>
  <c r="J284" i="6"/>
  <c r="I284" i="6"/>
  <c r="H284" i="6"/>
  <c r="G284" i="6"/>
  <c r="F284" i="6"/>
  <c r="E284" i="6"/>
  <c r="A284" i="6"/>
  <c r="J283" i="6"/>
  <c r="I283" i="6"/>
  <c r="H283" i="6"/>
  <c r="G283" i="6"/>
  <c r="F283" i="6"/>
  <c r="E283" i="6"/>
  <c r="A283" i="6"/>
  <c r="J282" i="6"/>
  <c r="I282" i="6"/>
  <c r="H282" i="6"/>
  <c r="G282" i="6"/>
  <c r="F282" i="6"/>
  <c r="E282" i="6"/>
  <c r="A282" i="6"/>
  <c r="J281" i="6"/>
  <c r="I281" i="6"/>
  <c r="H281" i="6"/>
  <c r="G281" i="6"/>
  <c r="F281" i="6"/>
  <c r="E281" i="6"/>
  <c r="A281" i="6"/>
  <c r="J280" i="6"/>
  <c r="I280" i="6"/>
  <c r="H280" i="6"/>
  <c r="G280" i="6"/>
  <c r="F280" i="6"/>
  <c r="E280" i="6"/>
  <c r="A280" i="6"/>
  <c r="J279" i="6"/>
  <c r="I279" i="6"/>
  <c r="H279" i="6"/>
  <c r="G279" i="6"/>
  <c r="F279" i="6"/>
  <c r="E279" i="6"/>
  <c r="A279" i="6"/>
  <c r="J278" i="6"/>
  <c r="I278" i="6"/>
  <c r="H278" i="6"/>
  <c r="G278" i="6"/>
  <c r="F278" i="6"/>
  <c r="E278" i="6"/>
  <c r="A278" i="6"/>
  <c r="J277" i="6"/>
  <c r="I277" i="6"/>
  <c r="H277" i="6"/>
  <c r="G277" i="6"/>
  <c r="F277" i="6"/>
  <c r="E277" i="6"/>
  <c r="A277" i="6"/>
  <c r="J276" i="6"/>
  <c r="I276" i="6"/>
  <c r="H276" i="6"/>
  <c r="G276" i="6"/>
  <c r="F276" i="6"/>
  <c r="E276" i="6"/>
  <c r="A276" i="6"/>
  <c r="J275" i="6"/>
  <c r="I275" i="6"/>
  <c r="H275" i="6"/>
  <c r="G275" i="6"/>
  <c r="F275" i="6"/>
  <c r="E275" i="6"/>
  <c r="A275" i="6"/>
  <c r="J274" i="6"/>
  <c r="I274" i="6"/>
  <c r="H274" i="6"/>
  <c r="G274" i="6"/>
  <c r="F274" i="6"/>
  <c r="E274" i="6"/>
  <c r="A274" i="6"/>
  <c r="J273" i="6"/>
  <c r="I273" i="6"/>
  <c r="H273" i="6"/>
  <c r="G273" i="6"/>
  <c r="F273" i="6"/>
  <c r="E273" i="6"/>
  <c r="A273" i="6"/>
  <c r="J272" i="6"/>
  <c r="I272" i="6"/>
  <c r="H272" i="6"/>
  <c r="G272" i="6"/>
  <c r="F272" i="6"/>
  <c r="E272" i="6"/>
  <c r="A272" i="6"/>
  <c r="J271" i="6"/>
  <c r="I271" i="6"/>
  <c r="H271" i="6"/>
  <c r="G271" i="6"/>
  <c r="F271" i="6"/>
  <c r="E271" i="6"/>
  <c r="A271" i="6"/>
  <c r="J270" i="6"/>
  <c r="I270" i="6"/>
  <c r="H270" i="6"/>
  <c r="G270" i="6"/>
  <c r="F270" i="6"/>
  <c r="E270" i="6"/>
  <c r="A270" i="6"/>
  <c r="J269" i="6"/>
  <c r="I269" i="6"/>
  <c r="H269" i="6"/>
  <c r="G269" i="6"/>
  <c r="F269" i="6"/>
  <c r="E269" i="6"/>
  <c r="A269" i="6"/>
  <c r="J268" i="6"/>
  <c r="I268" i="6"/>
  <c r="H268" i="6"/>
  <c r="G268" i="6"/>
  <c r="F268" i="6"/>
  <c r="E268" i="6"/>
  <c r="A268" i="6"/>
  <c r="J267" i="6"/>
  <c r="I267" i="6"/>
  <c r="H267" i="6"/>
  <c r="G267" i="6"/>
  <c r="F267" i="6"/>
  <c r="E267" i="6"/>
  <c r="A267" i="6"/>
  <c r="J266" i="6"/>
  <c r="I266" i="6"/>
  <c r="H266" i="6"/>
  <c r="G266" i="6"/>
  <c r="F266" i="6"/>
  <c r="E266" i="6"/>
  <c r="A266" i="6"/>
  <c r="J265" i="6"/>
  <c r="I265" i="6"/>
  <c r="H265" i="6"/>
  <c r="G265" i="6"/>
  <c r="F265" i="6"/>
  <c r="E265" i="6"/>
  <c r="A265" i="6"/>
  <c r="J264" i="6"/>
  <c r="I264" i="6"/>
  <c r="H264" i="6"/>
  <c r="G264" i="6"/>
  <c r="F264" i="6"/>
  <c r="E264" i="6"/>
  <c r="A264" i="6"/>
  <c r="J263" i="6"/>
  <c r="I263" i="6"/>
  <c r="H263" i="6"/>
  <c r="G263" i="6"/>
  <c r="F263" i="6"/>
  <c r="E263" i="6"/>
  <c r="A263" i="6"/>
  <c r="J262" i="6"/>
  <c r="I262" i="6"/>
  <c r="H262" i="6"/>
  <c r="G262" i="6"/>
  <c r="F262" i="6"/>
  <c r="E262" i="6"/>
  <c r="A262" i="6"/>
  <c r="J261" i="6"/>
  <c r="I261" i="6"/>
  <c r="H261" i="6"/>
  <c r="G261" i="6"/>
  <c r="F261" i="6"/>
  <c r="E261" i="6"/>
  <c r="A261" i="6"/>
  <c r="J260" i="6"/>
  <c r="I260" i="6"/>
  <c r="H260" i="6"/>
  <c r="G260" i="6"/>
  <c r="F260" i="6"/>
  <c r="E260" i="6"/>
  <c r="A260" i="6"/>
  <c r="J259" i="6"/>
  <c r="I259" i="6"/>
  <c r="H259" i="6"/>
  <c r="G259" i="6"/>
  <c r="F259" i="6"/>
  <c r="E259" i="6"/>
  <c r="A259" i="6"/>
  <c r="J258" i="6"/>
  <c r="I258" i="6"/>
  <c r="H258" i="6"/>
  <c r="G258" i="6"/>
  <c r="F258" i="6"/>
  <c r="E258" i="6"/>
  <c r="A258" i="6"/>
  <c r="J257" i="6"/>
  <c r="I257" i="6"/>
  <c r="H257" i="6"/>
  <c r="G257" i="6"/>
  <c r="F257" i="6"/>
  <c r="E257" i="6"/>
  <c r="A257" i="6"/>
  <c r="J256" i="6"/>
  <c r="I256" i="6"/>
  <c r="H256" i="6"/>
  <c r="G256" i="6"/>
  <c r="F256" i="6"/>
  <c r="E256" i="6"/>
  <c r="A256" i="6"/>
  <c r="J255" i="6"/>
  <c r="I255" i="6"/>
  <c r="H255" i="6"/>
  <c r="G255" i="6"/>
  <c r="F255" i="6"/>
  <c r="E255" i="6"/>
  <c r="A255" i="6"/>
  <c r="J254" i="6"/>
  <c r="I254" i="6"/>
  <c r="H254" i="6"/>
  <c r="G254" i="6"/>
  <c r="F254" i="6"/>
  <c r="E254" i="6"/>
  <c r="A254" i="6"/>
  <c r="J253" i="6"/>
  <c r="I253" i="6"/>
  <c r="H253" i="6"/>
  <c r="G253" i="6"/>
  <c r="F253" i="6"/>
  <c r="E253" i="6"/>
  <c r="A253" i="6"/>
  <c r="J252" i="6"/>
  <c r="I252" i="6"/>
  <c r="H252" i="6"/>
  <c r="G252" i="6"/>
  <c r="F252" i="6"/>
  <c r="E252" i="6"/>
  <c r="A252" i="6"/>
  <c r="J251" i="6"/>
  <c r="I251" i="6"/>
  <c r="H251" i="6"/>
  <c r="G251" i="6"/>
  <c r="F251" i="6"/>
  <c r="E251" i="6"/>
  <c r="A251" i="6"/>
  <c r="J250" i="6"/>
  <c r="I250" i="6"/>
  <c r="H250" i="6"/>
  <c r="G250" i="6"/>
  <c r="F250" i="6"/>
  <c r="E250" i="6"/>
  <c r="A250" i="6"/>
  <c r="J249" i="6"/>
  <c r="I249" i="6"/>
  <c r="H249" i="6"/>
  <c r="G249" i="6"/>
  <c r="F249" i="6"/>
  <c r="E249" i="6"/>
  <c r="A249" i="6"/>
  <c r="J248" i="6"/>
  <c r="I248" i="6"/>
  <c r="H248" i="6"/>
  <c r="G248" i="6"/>
  <c r="F248" i="6"/>
  <c r="E248" i="6"/>
  <c r="A248" i="6"/>
  <c r="J247" i="6"/>
  <c r="I247" i="6"/>
  <c r="H247" i="6"/>
  <c r="G247" i="6"/>
  <c r="F247" i="6"/>
  <c r="E247" i="6"/>
  <c r="A247" i="6"/>
  <c r="J246" i="6"/>
  <c r="I246" i="6"/>
  <c r="H246" i="6"/>
  <c r="G246" i="6"/>
  <c r="F246" i="6"/>
  <c r="E246" i="6"/>
  <c r="A246" i="6"/>
  <c r="J245" i="6"/>
  <c r="I245" i="6"/>
  <c r="H245" i="6"/>
  <c r="G245" i="6"/>
  <c r="F245" i="6"/>
  <c r="E245" i="6"/>
  <c r="A245" i="6"/>
  <c r="J244" i="6"/>
  <c r="I244" i="6"/>
  <c r="H244" i="6"/>
  <c r="G244" i="6"/>
  <c r="F244" i="6"/>
  <c r="E244" i="6"/>
  <c r="A244" i="6"/>
  <c r="J243" i="6"/>
  <c r="I243" i="6"/>
  <c r="H243" i="6"/>
  <c r="G243" i="6"/>
  <c r="F243" i="6"/>
  <c r="E243" i="6"/>
  <c r="A243" i="6"/>
  <c r="J242" i="6"/>
  <c r="I242" i="6"/>
  <c r="H242" i="6"/>
  <c r="G242" i="6"/>
  <c r="F242" i="6"/>
  <c r="E242" i="6"/>
  <c r="A242" i="6"/>
  <c r="J241" i="6"/>
  <c r="I241" i="6"/>
  <c r="H241" i="6"/>
  <c r="G241" i="6"/>
  <c r="F241" i="6"/>
  <c r="E241" i="6"/>
  <c r="A241" i="6"/>
  <c r="J240" i="6"/>
  <c r="I240" i="6"/>
  <c r="H240" i="6"/>
  <c r="G240" i="6"/>
  <c r="F240" i="6"/>
  <c r="E240" i="6"/>
  <c r="A240" i="6"/>
  <c r="J239" i="6"/>
  <c r="I239" i="6"/>
  <c r="H239" i="6"/>
  <c r="G239" i="6"/>
  <c r="F239" i="6"/>
  <c r="E239" i="6"/>
  <c r="A239" i="6"/>
  <c r="J238" i="6"/>
  <c r="I238" i="6"/>
  <c r="H238" i="6"/>
  <c r="G238" i="6"/>
  <c r="F238" i="6"/>
  <c r="E238" i="6"/>
  <c r="A238" i="6"/>
  <c r="J237" i="6"/>
  <c r="I237" i="6"/>
  <c r="H237" i="6"/>
  <c r="G237" i="6"/>
  <c r="F237" i="6"/>
  <c r="E237" i="6"/>
  <c r="A237" i="6"/>
  <c r="J236" i="6"/>
  <c r="I236" i="6"/>
  <c r="H236" i="6"/>
  <c r="G236" i="6"/>
  <c r="F236" i="6"/>
  <c r="E236" i="6"/>
  <c r="A236" i="6"/>
  <c r="J235" i="6"/>
  <c r="I235" i="6"/>
  <c r="H235" i="6"/>
  <c r="G235" i="6"/>
  <c r="F235" i="6"/>
  <c r="E235" i="6"/>
  <c r="A235" i="6"/>
  <c r="J234" i="6"/>
  <c r="I234" i="6"/>
  <c r="H234" i="6"/>
  <c r="G234" i="6"/>
  <c r="F234" i="6"/>
  <c r="E234" i="6"/>
  <c r="A234" i="6"/>
  <c r="J233" i="6"/>
  <c r="I233" i="6"/>
  <c r="H233" i="6"/>
  <c r="G233" i="6"/>
  <c r="F233" i="6"/>
  <c r="E233" i="6"/>
  <c r="A233" i="6"/>
  <c r="J232" i="6"/>
  <c r="I232" i="6"/>
  <c r="H232" i="6"/>
  <c r="G232" i="6"/>
  <c r="F232" i="6"/>
  <c r="E232" i="6"/>
  <c r="A232" i="6"/>
  <c r="J231" i="6"/>
  <c r="I231" i="6"/>
  <c r="H231" i="6"/>
  <c r="G231" i="6"/>
  <c r="F231" i="6"/>
  <c r="E231" i="6"/>
  <c r="A231" i="6"/>
  <c r="J230" i="6"/>
  <c r="I230" i="6"/>
  <c r="H230" i="6"/>
  <c r="G230" i="6"/>
  <c r="F230" i="6"/>
  <c r="E230" i="6"/>
  <c r="A230" i="6"/>
  <c r="J229" i="6"/>
  <c r="I229" i="6"/>
  <c r="H229" i="6"/>
  <c r="G229" i="6"/>
  <c r="F229" i="6"/>
  <c r="E229" i="6"/>
  <c r="A229" i="6"/>
  <c r="J228" i="6"/>
  <c r="I228" i="6"/>
  <c r="H228" i="6"/>
  <c r="G228" i="6"/>
  <c r="F228" i="6"/>
  <c r="E228" i="6"/>
  <c r="A228" i="6"/>
  <c r="J227" i="6"/>
  <c r="I227" i="6"/>
  <c r="H227" i="6"/>
  <c r="G227" i="6"/>
  <c r="F227" i="6"/>
  <c r="E227" i="6"/>
  <c r="A227" i="6"/>
  <c r="J226" i="6"/>
  <c r="I226" i="6"/>
  <c r="H226" i="6"/>
  <c r="G226" i="6"/>
  <c r="F226" i="6"/>
  <c r="E226" i="6"/>
  <c r="A226" i="6"/>
  <c r="J225" i="6"/>
  <c r="I225" i="6"/>
  <c r="H225" i="6"/>
  <c r="G225" i="6"/>
  <c r="F225" i="6"/>
  <c r="E225" i="6"/>
  <c r="A225" i="6"/>
  <c r="J224" i="6"/>
  <c r="I224" i="6"/>
  <c r="H224" i="6"/>
  <c r="G224" i="6"/>
  <c r="F224" i="6"/>
  <c r="E224" i="6"/>
  <c r="A224" i="6"/>
  <c r="J223" i="6"/>
  <c r="I223" i="6"/>
  <c r="H223" i="6"/>
  <c r="G223" i="6"/>
  <c r="F223" i="6"/>
  <c r="E223" i="6"/>
  <c r="A223" i="6"/>
  <c r="J222" i="6"/>
  <c r="I222" i="6"/>
  <c r="H222" i="6"/>
  <c r="G222" i="6"/>
  <c r="F222" i="6"/>
  <c r="E222" i="6"/>
  <c r="A222" i="6"/>
  <c r="J221" i="6"/>
  <c r="I221" i="6"/>
  <c r="H221" i="6"/>
  <c r="G221" i="6"/>
  <c r="F221" i="6"/>
  <c r="E221" i="6"/>
  <c r="A221" i="6"/>
  <c r="J220" i="6"/>
  <c r="I220" i="6"/>
  <c r="H220" i="6"/>
  <c r="G220" i="6"/>
  <c r="F220" i="6"/>
  <c r="E220" i="6"/>
  <c r="A220" i="6"/>
  <c r="J219" i="6"/>
  <c r="I219" i="6"/>
  <c r="H219" i="6"/>
  <c r="G219" i="6"/>
  <c r="F219" i="6"/>
  <c r="E219" i="6"/>
  <c r="A219" i="6"/>
  <c r="J218" i="6"/>
  <c r="I218" i="6"/>
  <c r="H218" i="6"/>
  <c r="G218" i="6"/>
  <c r="F218" i="6"/>
  <c r="E218" i="6"/>
  <c r="A218" i="6"/>
  <c r="J217" i="6"/>
  <c r="I217" i="6"/>
  <c r="H217" i="6"/>
  <c r="G217" i="6"/>
  <c r="F217" i="6"/>
  <c r="E217" i="6"/>
  <c r="A217" i="6"/>
  <c r="J216" i="6"/>
  <c r="I216" i="6"/>
  <c r="H216" i="6"/>
  <c r="G216" i="6"/>
  <c r="F216" i="6"/>
  <c r="E216" i="6"/>
  <c r="A216" i="6"/>
  <c r="J215" i="6"/>
  <c r="I215" i="6"/>
  <c r="H215" i="6"/>
  <c r="G215" i="6"/>
  <c r="F215" i="6"/>
  <c r="E215" i="6"/>
  <c r="A215" i="6"/>
  <c r="J214" i="6"/>
  <c r="I214" i="6"/>
  <c r="H214" i="6"/>
  <c r="G214" i="6"/>
  <c r="F214" i="6"/>
  <c r="E214" i="6"/>
  <c r="A214" i="6"/>
  <c r="J213" i="6"/>
  <c r="I213" i="6"/>
  <c r="H213" i="6"/>
  <c r="G213" i="6"/>
  <c r="F213" i="6"/>
  <c r="E213" i="6"/>
  <c r="A213" i="6"/>
  <c r="J212" i="6"/>
  <c r="I212" i="6"/>
  <c r="H212" i="6"/>
  <c r="G212" i="6"/>
  <c r="F212" i="6"/>
  <c r="E212" i="6"/>
  <c r="A212" i="6"/>
  <c r="J211" i="6"/>
  <c r="I211" i="6"/>
  <c r="H211" i="6"/>
  <c r="G211" i="6"/>
  <c r="F211" i="6"/>
  <c r="E211" i="6"/>
  <c r="A211" i="6"/>
  <c r="J210" i="6"/>
  <c r="I210" i="6"/>
  <c r="H210" i="6"/>
  <c r="G210" i="6"/>
  <c r="F210" i="6"/>
  <c r="E210" i="6"/>
  <c r="A210" i="6"/>
  <c r="J209" i="6"/>
  <c r="I209" i="6"/>
  <c r="H209" i="6"/>
  <c r="G209" i="6"/>
  <c r="F209" i="6"/>
  <c r="E209" i="6"/>
  <c r="A209" i="6"/>
  <c r="J208" i="6"/>
  <c r="I208" i="6"/>
  <c r="H208" i="6"/>
  <c r="G208" i="6"/>
  <c r="F208" i="6"/>
  <c r="E208" i="6"/>
  <c r="A208" i="6"/>
  <c r="J207" i="6"/>
  <c r="I207" i="6"/>
  <c r="H207" i="6"/>
  <c r="G207" i="6"/>
  <c r="F207" i="6"/>
  <c r="E207" i="6"/>
  <c r="A207" i="6"/>
  <c r="J206" i="6"/>
  <c r="I206" i="6"/>
  <c r="H206" i="6"/>
  <c r="G206" i="6"/>
  <c r="F206" i="6"/>
  <c r="E206" i="6"/>
  <c r="A206" i="6"/>
  <c r="J205" i="6"/>
  <c r="I205" i="6"/>
  <c r="H205" i="6"/>
  <c r="G205" i="6"/>
  <c r="F205" i="6"/>
  <c r="E205" i="6"/>
  <c r="A205" i="6"/>
  <c r="J204" i="6"/>
  <c r="I204" i="6"/>
  <c r="H204" i="6"/>
  <c r="G204" i="6"/>
  <c r="F204" i="6"/>
  <c r="E204" i="6"/>
  <c r="A204" i="6"/>
  <c r="J203" i="6"/>
  <c r="I203" i="6"/>
  <c r="H203" i="6"/>
  <c r="G203" i="6"/>
  <c r="F203" i="6"/>
  <c r="E203" i="6"/>
  <c r="A203" i="6"/>
  <c r="J202" i="6"/>
  <c r="I202" i="6"/>
  <c r="H202" i="6"/>
  <c r="G202" i="6"/>
  <c r="F202" i="6"/>
  <c r="E202" i="6"/>
  <c r="A202" i="6"/>
  <c r="J201" i="6"/>
  <c r="I201" i="6"/>
  <c r="H201" i="6"/>
  <c r="G201" i="6"/>
  <c r="F201" i="6"/>
  <c r="E201" i="6"/>
  <c r="A201" i="6"/>
  <c r="J200" i="6"/>
  <c r="I200" i="6"/>
  <c r="H200" i="6"/>
  <c r="G200" i="6"/>
  <c r="F200" i="6"/>
  <c r="E200" i="6"/>
  <c r="A200" i="6"/>
  <c r="J199" i="6"/>
  <c r="I199" i="6"/>
  <c r="H199" i="6"/>
  <c r="G199" i="6"/>
  <c r="F199" i="6"/>
  <c r="E199" i="6"/>
  <c r="A199" i="6"/>
  <c r="J198" i="6"/>
  <c r="I198" i="6"/>
  <c r="H198" i="6"/>
  <c r="G198" i="6"/>
  <c r="F198" i="6"/>
  <c r="E198" i="6"/>
  <c r="A198" i="6"/>
  <c r="J197" i="6"/>
  <c r="I197" i="6"/>
  <c r="H197" i="6"/>
  <c r="G197" i="6"/>
  <c r="F197" i="6"/>
  <c r="E197" i="6"/>
  <c r="A197" i="6"/>
  <c r="J196" i="6"/>
  <c r="I196" i="6"/>
  <c r="H196" i="6"/>
  <c r="G196" i="6"/>
  <c r="F196" i="6"/>
  <c r="E196" i="6"/>
  <c r="A196" i="6"/>
  <c r="J195" i="6"/>
  <c r="I195" i="6"/>
  <c r="H195" i="6"/>
  <c r="G195" i="6"/>
  <c r="F195" i="6"/>
  <c r="E195" i="6"/>
  <c r="A195" i="6"/>
  <c r="J194" i="6"/>
  <c r="I194" i="6"/>
  <c r="H194" i="6"/>
  <c r="G194" i="6"/>
  <c r="F194" i="6"/>
  <c r="E194" i="6"/>
  <c r="A194" i="6"/>
  <c r="J193" i="6"/>
  <c r="I193" i="6"/>
  <c r="H193" i="6"/>
  <c r="G193" i="6"/>
  <c r="F193" i="6"/>
  <c r="E193" i="6"/>
  <c r="A193" i="6"/>
  <c r="J192" i="6"/>
  <c r="I192" i="6"/>
  <c r="H192" i="6"/>
  <c r="G192" i="6"/>
  <c r="F192" i="6"/>
  <c r="E192" i="6"/>
  <c r="A192" i="6"/>
  <c r="J191" i="6"/>
  <c r="I191" i="6"/>
  <c r="H191" i="6"/>
  <c r="G191" i="6"/>
  <c r="F191" i="6"/>
  <c r="E191" i="6"/>
  <c r="A191" i="6"/>
  <c r="J190" i="6"/>
  <c r="I190" i="6"/>
  <c r="H190" i="6"/>
  <c r="G190" i="6"/>
  <c r="F190" i="6"/>
  <c r="E190" i="6"/>
  <c r="A190" i="6"/>
  <c r="J189" i="6"/>
  <c r="I189" i="6"/>
  <c r="H189" i="6"/>
  <c r="G189" i="6"/>
  <c r="F189" i="6"/>
  <c r="E189" i="6"/>
  <c r="A189" i="6"/>
  <c r="J188" i="6"/>
  <c r="I188" i="6"/>
  <c r="H188" i="6"/>
  <c r="G188" i="6"/>
  <c r="F188" i="6"/>
  <c r="E188" i="6"/>
  <c r="A188" i="6"/>
  <c r="J187" i="6"/>
  <c r="I187" i="6"/>
  <c r="H187" i="6"/>
  <c r="G187" i="6"/>
  <c r="F187" i="6"/>
  <c r="E187" i="6"/>
  <c r="A187" i="6"/>
  <c r="J186" i="6"/>
  <c r="I186" i="6"/>
  <c r="H186" i="6"/>
  <c r="G186" i="6"/>
  <c r="F186" i="6"/>
  <c r="E186" i="6"/>
  <c r="A186" i="6"/>
  <c r="J185" i="6"/>
  <c r="I185" i="6"/>
  <c r="H185" i="6"/>
  <c r="G185" i="6"/>
  <c r="F185" i="6"/>
  <c r="E185" i="6"/>
  <c r="A185" i="6"/>
  <c r="J184" i="6"/>
  <c r="I184" i="6"/>
  <c r="H184" i="6"/>
  <c r="G184" i="6"/>
  <c r="F184" i="6"/>
  <c r="E184" i="6"/>
  <c r="A184" i="6"/>
  <c r="J183" i="6"/>
  <c r="I183" i="6"/>
  <c r="H183" i="6"/>
  <c r="G183" i="6"/>
  <c r="F183" i="6"/>
  <c r="E183" i="6"/>
  <c r="A183" i="6"/>
  <c r="J182" i="6"/>
  <c r="I182" i="6"/>
  <c r="H182" i="6"/>
  <c r="G182" i="6"/>
  <c r="F182" i="6"/>
  <c r="E182" i="6"/>
  <c r="A182" i="6"/>
  <c r="J181" i="6"/>
  <c r="I181" i="6"/>
  <c r="H181" i="6"/>
  <c r="G181" i="6"/>
  <c r="F181" i="6"/>
  <c r="E181" i="6"/>
  <c r="A181" i="6"/>
  <c r="J180" i="6"/>
  <c r="I180" i="6"/>
  <c r="H180" i="6"/>
  <c r="G180" i="6"/>
  <c r="F180" i="6"/>
  <c r="E180" i="6"/>
  <c r="A180" i="6"/>
  <c r="J179" i="6"/>
  <c r="I179" i="6"/>
  <c r="H179" i="6"/>
  <c r="G179" i="6"/>
  <c r="F179" i="6"/>
  <c r="E179" i="6"/>
  <c r="A179" i="6"/>
  <c r="J178" i="6"/>
  <c r="I178" i="6"/>
  <c r="H178" i="6"/>
  <c r="G178" i="6"/>
  <c r="F178" i="6"/>
  <c r="E178" i="6"/>
  <c r="A178" i="6"/>
  <c r="J177" i="6"/>
  <c r="I177" i="6"/>
  <c r="H177" i="6"/>
  <c r="G177" i="6"/>
  <c r="F177" i="6"/>
  <c r="E177" i="6"/>
  <c r="A177" i="6"/>
  <c r="J176" i="6"/>
  <c r="I176" i="6"/>
  <c r="H176" i="6"/>
  <c r="G176" i="6"/>
  <c r="F176" i="6"/>
  <c r="E176" i="6"/>
  <c r="A176" i="6"/>
  <c r="J175" i="6"/>
  <c r="I175" i="6"/>
  <c r="H175" i="6"/>
  <c r="G175" i="6"/>
  <c r="F175" i="6"/>
  <c r="E175" i="6"/>
  <c r="A175" i="6"/>
  <c r="J174" i="6"/>
  <c r="I174" i="6"/>
  <c r="H174" i="6"/>
  <c r="G174" i="6"/>
  <c r="F174" i="6"/>
  <c r="E174" i="6"/>
  <c r="A174" i="6"/>
  <c r="J173" i="6"/>
  <c r="I173" i="6"/>
  <c r="H173" i="6"/>
  <c r="G173" i="6"/>
  <c r="F173" i="6"/>
  <c r="E173" i="6"/>
  <c r="A173" i="6"/>
  <c r="J172" i="6"/>
  <c r="I172" i="6"/>
  <c r="H172" i="6"/>
  <c r="G172" i="6"/>
  <c r="F172" i="6"/>
  <c r="E172" i="6"/>
  <c r="A172" i="6"/>
  <c r="J171" i="6"/>
  <c r="I171" i="6"/>
  <c r="H171" i="6"/>
  <c r="G171" i="6"/>
  <c r="F171" i="6"/>
  <c r="E171" i="6"/>
  <c r="A171" i="6"/>
  <c r="J170" i="6"/>
  <c r="I170" i="6"/>
  <c r="H170" i="6"/>
  <c r="G170" i="6"/>
  <c r="F170" i="6"/>
  <c r="E170" i="6"/>
  <c r="A170" i="6"/>
  <c r="J169" i="6"/>
  <c r="I169" i="6"/>
  <c r="H169" i="6"/>
  <c r="G169" i="6"/>
  <c r="F169" i="6"/>
  <c r="E169" i="6"/>
  <c r="A169" i="6"/>
  <c r="J168" i="6"/>
  <c r="I168" i="6"/>
  <c r="H168" i="6"/>
  <c r="G168" i="6"/>
  <c r="F168" i="6"/>
  <c r="E168" i="6"/>
  <c r="A168" i="6"/>
  <c r="J167" i="6"/>
  <c r="I167" i="6"/>
  <c r="H167" i="6"/>
  <c r="G167" i="6"/>
  <c r="F167" i="6"/>
  <c r="E167" i="6"/>
  <c r="A167" i="6"/>
  <c r="J166" i="6"/>
  <c r="I166" i="6"/>
  <c r="H166" i="6"/>
  <c r="G166" i="6"/>
  <c r="F166" i="6"/>
  <c r="E166" i="6"/>
  <c r="A166" i="6"/>
  <c r="J165" i="6"/>
  <c r="I165" i="6"/>
  <c r="H165" i="6"/>
  <c r="G165" i="6"/>
  <c r="F165" i="6"/>
  <c r="E165" i="6"/>
  <c r="A165" i="6"/>
  <c r="J164" i="6"/>
  <c r="I164" i="6"/>
  <c r="H164" i="6"/>
  <c r="G164" i="6"/>
  <c r="F164" i="6"/>
  <c r="E164" i="6"/>
  <c r="A164" i="6"/>
  <c r="J163" i="6"/>
  <c r="I163" i="6"/>
  <c r="H163" i="6"/>
  <c r="G163" i="6"/>
  <c r="F163" i="6"/>
  <c r="E163" i="6"/>
  <c r="A163" i="6"/>
  <c r="J162" i="6"/>
  <c r="I162" i="6"/>
  <c r="H162" i="6"/>
  <c r="G162" i="6"/>
  <c r="F162" i="6"/>
  <c r="E162" i="6"/>
  <c r="A162" i="6"/>
  <c r="J161" i="6"/>
  <c r="I161" i="6"/>
  <c r="H161" i="6"/>
  <c r="G161" i="6"/>
  <c r="F161" i="6"/>
  <c r="E161" i="6"/>
  <c r="A161" i="6"/>
  <c r="J160" i="6"/>
  <c r="I160" i="6"/>
  <c r="H160" i="6"/>
  <c r="G160" i="6"/>
  <c r="F160" i="6"/>
  <c r="E160" i="6"/>
  <c r="A160" i="6"/>
  <c r="J159" i="6"/>
  <c r="I159" i="6"/>
  <c r="H159" i="6"/>
  <c r="G159" i="6"/>
  <c r="F159" i="6"/>
  <c r="E159" i="6"/>
  <c r="A159" i="6"/>
  <c r="J158" i="6"/>
  <c r="I158" i="6"/>
  <c r="H158" i="6"/>
  <c r="G158" i="6"/>
  <c r="F158" i="6"/>
  <c r="E158" i="6"/>
  <c r="A158" i="6"/>
  <c r="J157" i="6"/>
  <c r="I157" i="6"/>
  <c r="H157" i="6"/>
  <c r="G157" i="6"/>
  <c r="F157" i="6"/>
  <c r="E157" i="6"/>
  <c r="A157" i="6"/>
  <c r="J156" i="6"/>
  <c r="I156" i="6"/>
  <c r="H156" i="6"/>
  <c r="G156" i="6"/>
  <c r="F156" i="6"/>
  <c r="E156" i="6"/>
  <c r="A156" i="6"/>
  <c r="J155" i="6"/>
  <c r="I155" i="6"/>
  <c r="H155" i="6"/>
  <c r="G155" i="6"/>
  <c r="F155" i="6"/>
  <c r="E155" i="6"/>
  <c r="A155" i="6"/>
  <c r="J154" i="6"/>
  <c r="I154" i="6"/>
  <c r="H154" i="6"/>
  <c r="G154" i="6"/>
  <c r="F154" i="6"/>
  <c r="E154" i="6"/>
  <c r="A154" i="6"/>
  <c r="J153" i="6"/>
  <c r="I153" i="6"/>
  <c r="H153" i="6"/>
  <c r="G153" i="6"/>
  <c r="F153" i="6"/>
  <c r="E153" i="6"/>
  <c r="A153" i="6"/>
  <c r="J152" i="6"/>
  <c r="I152" i="6"/>
  <c r="H152" i="6"/>
  <c r="G152" i="6"/>
  <c r="F152" i="6"/>
  <c r="E152" i="6"/>
  <c r="A152" i="6"/>
  <c r="J151" i="6"/>
  <c r="I151" i="6"/>
  <c r="H151" i="6"/>
  <c r="G151" i="6"/>
  <c r="F151" i="6"/>
  <c r="E151" i="6"/>
  <c r="A151" i="6"/>
  <c r="J150" i="6"/>
  <c r="I150" i="6"/>
  <c r="H150" i="6"/>
  <c r="G150" i="6"/>
  <c r="F150" i="6"/>
  <c r="E150" i="6"/>
  <c r="A150" i="6"/>
  <c r="J149" i="6"/>
  <c r="I149" i="6"/>
  <c r="H149" i="6"/>
  <c r="G149" i="6"/>
  <c r="F149" i="6"/>
  <c r="E149" i="6"/>
  <c r="A149" i="6"/>
  <c r="J148" i="6"/>
  <c r="I148" i="6"/>
  <c r="H148" i="6"/>
  <c r="G148" i="6"/>
  <c r="F148" i="6"/>
  <c r="E148" i="6"/>
  <c r="A148" i="6"/>
  <c r="J147" i="6"/>
  <c r="I147" i="6"/>
  <c r="H147" i="6"/>
  <c r="G147" i="6"/>
  <c r="F147" i="6"/>
  <c r="E147" i="6"/>
  <c r="A147" i="6"/>
  <c r="J146" i="6"/>
  <c r="I146" i="6"/>
  <c r="H146" i="6"/>
  <c r="G146" i="6"/>
  <c r="F146" i="6"/>
  <c r="E146" i="6"/>
  <c r="A146" i="6"/>
  <c r="J145" i="6"/>
  <c r="I145" i="6"/>
  <c r="H145" i="6"/>
  <c r="G145" i="6"/>
  <c r="F145" i="6"/>
  <c r="E145" i="6"/>
  <c r="A145" i="6"/>
  <c r="J144" i="6"/>
  <c r="I144" i="6"/>
  <c r="H144" i="6"/>
  <c r="G144" i="6"/>
  <c r="F144" i="6"/>
  <c r="E144" i="6"/>
  <c r="A144" i="6"/>
  <c r="J143" i="6"/>
  <c r="I143" i="6"/>
  <c r="H143" i="6"/>
  <c r="G143" i="6"/>
  <c r="F143" i="6"/>
  <c r="E143" i="6"/>
  <c r="A143" i="6"/>
  <c r="J142" i="6"/>
  <c r="I142" i="6"/>
  <c r="H142" i="6"/>
  <c r="G142" i="6"/>
  <c r="F142" i="6"/>
  <c r="E142" i="6"/>
  <c r="A142" i="6"/>
  <c r="J141" i="6"/>
  <c r="I141" i="6"/>
  <c r="H141" i="6"/>
  <c r="G141" i="6"/>
  <c r="F141" i="6"/>
  <c r="E141" i="6"/>
  <c r="A141" i="6"/>
  <c r="J140" i="6"/>
  <c r="I140" i="6"/>
  <c r="H140" i="6"/>
  <c r="G140" i="6"/>
  <c r="F140" i="6"/>
  <c r="E140" i="6"/>
  <c r="A140" i="6"/>
  <c r="J139" i="6"/>
  <c r="I139" i="6"/>
  <c r="H139" i="6"/>
  <c r="G139" i="6"/>
  <c r="F139" i="6"/>
  <c r="E139" i="6"/>
  <c r="A139" i="6"/>
  <c r="J138" i="6"/>
  <c r="I138" i="6"/>
  <c r="H138" i="6"/>
  <c r="G138" i="6"/>
  <c r="F138" i="6"/>
  <c r="E138" i="6"/>
  <c r="A138" i="6"/>
  <c r="J137" i="6"/>
  <c r="I137" i="6"/>
  <c r="H137" i="6"/>
  <c r="G137" i="6"/>
  <c r="F137" i="6"/>
  <c r="E137" i="6"/>
  <c r="A137" i="6"/>
  <c r="J136" i="6"/>
  <c r="I136" i="6"/>
  <c r="H136" i="6"/>
  <c r="G136" i="6"/>
  <c r="F136" i="6"/>
  <c r="E136" i="6"/>
  <c r="A136" i="6"/>
  <c r="J135" i="6"/>
  <c r="I135" i="6"/>
  <c r="H135" i="6"/>
  <c r="G135" i="6"/>
  <c r="F135" i="6"/>
  <c r="E135" i="6"/>
  <c r="A135" i="6"/>
  <c r="J134" i="6"/>
  <c r="I134" i="6"/>
  <c r="H134" i="6"/>
  <c r="G134" i="6"/>
  <c r="F134" i="6"/>
  <c r="E134" i="6"/>
  <c r="A134" i="6"/>
  <c r="J133" i="6"/>
  <c r="I133" i="6"/>
  <c r="H133" i="6"/>
  <c r="G133" i="6"/>
  <c r="F133" i="6"/>
  <c r="E133" i="6"/>
  <c r="A133" i="6"/>
  <c r="J132" i="6"/>
  <c r="I132" i="6"/>
  <c r="H132" i="6"/>
  <c r="G132" i="6"/>
  <c r="F132" i="6"/>
  <c r="E132" i="6"/>
  <c r="A132" i="6"/>
  <c r="J131" i="6"/>
  <c r="I131" i="6"/>
  <c r="H131" i="6"/>
  <c r="G131" i="6"/>
  <c r="F131" i="6"/>
  <c r="E131" i="6"/>
  <c r="A131" i="6"/>
  <c r="J130" i="6"/>
  <c r="I130" i="6"/>
  <c r="H130" i="6"/>
  <c r="G130" i="6"/>
  <c r="F130" i="6"/>
  <c r="E130" i="6"/>
  <c r="A130" i="6"/>
  <c r="J129" i="6"/>
  <c r="I129" i="6"/>
  <c r="H129" i="6"/>
  <c r="G129" i="6"/>
  <c r="F129" i="6"/>
  <c r="E129" i="6"/>
  <c r="A129" i="6"/>
  <c r="J128" i="6"/>
  <c r="I128" i="6"/>
  <c r="H128" i="6"/>
  <c r="G128" i="6"/>
  <c r="F128" i="6"/>
  <c r="E128" i="6"/>
  <c r="A128" i="6"/>
  <c r="J127" i="6"/>
  <c r="I127" i="6"/>
  <c r="H127" i="6"/>
  <c r="G127" i="6"/>
  <c r="F127" i="6"/>
  <c r="E127" i="6"/>
  <c r="A127" i="6"/>
  <c r="J126" i="6"/>
  <c r="I126" i="6"/>
  <c r="H126" i="6"/>
  <c r="G126" i="6"/>
  <c r="F126" i="6"/>
  <c r="E126" i="6"/>
  <c r="A126" i="6"/>
  <c r="J125" i="6"/>
  <c r="I125" i="6"/>
  <c r="H125" i="6"/>
  <c r="G125" i="6"/>
  <c r="F125" i="6"/>
  <c r="E125" i="6"/>
  <c r="A125" i="6"/>
  <c r="J124" i="6"/>
  <c r="I124" i="6"/>
  <c r="H124" i="6"/>
  <c r="G124" i="6"/>
  <c r="F124" i="6"/>
  <c r="E124" i="6"/>
  <c r="A124" i="6"/>
  <c r="J123" i="6"/>
  <c r="I123" i="6"/>
  <c r="H123" i="6"/>
  <c r="G123" i="6"/>
  <c r="F123" i="6"/>
  <c r="E123" i="6"/>
  <c r="A123" i="6"/>
  <c r="J122" i="6"/>
  <c r="I122" i="6"/>
  <c r="H122" i="6"/>
  <c r="G122" i="6"/>
  <c r="F122" i="6"/>
  <c r="E122" i="6"/>
  <c r="A122" i="6"/>
  <c r="J121" i="6"/>
  <c r="I121" i="6"/>
  <c r="H121" i="6"/>
  <c r="G121" i="6"/>
  <c r="F121" i="6"/>
  <c r="E121" i="6"/>
  <c r="A121" i="6"/>
  <c r="J120" i="6"/>
  <c r="I120" i="6"/>
  <c r="H120" i="6"/>
  <c r="G120" i="6"/>
  <c r="F120" i="6"/>
  <c r="E120" i="6"/>
  <c r="A120" i="6"/>
  <c r="J119" i="6"/>
  <c r="I119" i="6"/>
  <c r="H119" i="6"/>
  <c r="G119" i="6"/>
  <c r="F119" i="6"/>
  <c r="E119" i="6"/>
  <c r="A119" i="6"/>
  <c r="J118" i="6"/>
  <c r="I118" i="6"/>
  <c r="H118" i="6"/>
  <c r="G118" i="6"/>
  <c r="F118" i="6"/>
  <c r="E118" i="6"/>
  <c r="A118" i="6"/>
  <c r="J117" i="6"/>
  <c r="I117" i="6"/>
  <c r="H117" i="6"/>
  <c r="G117" i="6"/>
  <c r="F117" i="6"/>
  <c r="E117" i="6"/>
  <c r="A117" i="6"/>
  <c r="J116" i="6"/>
  <c r="I116" i="6"/>
  <c r="H116" i="6"/>
  <c r="G116" i="6"/>
  <c r="F116" i="6"/>
  <c r="E116" i="6"/>
  <c r="A116" i="6"/>
  <c r="J115" i="6"/>
  <c r="I115" i="6"/>
  <c r="H115" i="6"/>
  <c r="G115" i="6"/>
  <c r="F115" i="6"/>
  <c r="E115" i="6"/>
  <c r="A115" i="6"/>
  <c r="J114" i="6"/>
  <c r="I114" i="6"/>
  <c r="H114" i="6"/>
  <c r="G114" i="6"/>
  <c r="F114" i="6"/>
  <c r="E114" i="6"/>
  <c r="A114" i="6"/>
  <c r="J113" i="6"/>
  <c r="I113" i="6"/>
  <c r="H113" i="6"/>
  <c r="G113" i="6"/>
  <c r="F113" i="6"/>
  <c r="E113" i="6"/>
  <c r="A113" i="6"/>
  <c r="J112" i="6"/>
  <c r="I112" i="6"/>
  <c r="H112" i="6"/>
  <c r="G112" i="6"/>
  <c r="F112" i="6"/>
  <c r="E112" i="6"/>
  <c r="A112" i="6"/>
  <c r="J111" i="6"/>
  <c r="I111" i="6"/>
  <c r="H111" i="6"/>
  <c r="G111" i="6"/>
  <c r="F111" i="6"/>
  <c r="E111" i="6"/>
  <c r="A111" i="6"/>
  <c r="J110" i="6"/>
  <c r="I110" i="6"/>
  <c r="H110" i="6"/>
  <c r="G110" i="6"/>
  <c r="F110" i="6"/>
  <c r="E110" i="6"/>
  <c r="A110" i="6"/>
  <c r="J109" i="6"/>
  <c r="I109" i="6"/>
  <c r="H109" i="6"/>
  <c r="G109" i="6"/>
  <c r="F109" i="6"/>
  <c r="E109" i="6"/>
  <c r="A109" i="6"/>
  <c r="J108" i="6"/>
  <c r="I108" i="6"/>
  <c r="H108" i="6"/>
  <c r="G108" i="6"/>
  <c r="F108" i="6"/>
  <c r="E108" i="6"/>
  <c r="A108" i="6"/>
  <c r="J107" i="6"/>
  <c r="I107" i="6"/>
  <c r="H107" i="6"/>
  <c r="G107" i="6"/>
  <c r="F107" i="6"/>
  <c r="E107" i="6"/>
  <c r="A107" i="6"/>
  <c r="J106" i="6"/>
  <c r="I106" i="6"/>
  <c r="H106" i="6"/>
  <c r="G106" i="6"/>
  <c r="F106" i="6"/>
  <c r="E106" i="6"/>
  <c r="A106" i="6"/>
  <c r="J105" i="6"/>
  <c r="I105" i="6"/>
  <c r="H105" i="6"/>
  <c r="G105" i="6"/>
  <c r="F105" i="6"/>
  <c r="E105" i="6"/>
  <c r="A105" i="6"/>
  <c r="J104" i="6"/>
  <c r="I104" i="6"/>
  <c r="H104" i="6"/>
  <c r="G104" i="6"/>
  <c r="F104" i="6"/>
  <c r="E104" i="6"/>
  <c r="A104" i="6"/>
  <c r="J103" i="6"/>
  <c r="I103" i="6"/>
  <c r="H103" i="6"/>
  <c r="G103" i="6"/>
  <c r="F103" i="6"/>
  <c r="E103" i="6"/>
  <c r="A103" i="6"/>
  <c r="J102" i="6"/>
  <c r="I102" i="6"/>
  <c r="H102" i="6"/>
  <c r="G102" i="6"/>
  <c r="F102" i="6"/>
  <c r="E102" i="6"/>
  <c r="A102" i="6"/>
  <c r="J101" i="6"/>
  <c r="I101" i="6"/>
  <c r="H101" i="6"/>
  <c r="G101" i="6"/>
  <c r="F101" i="6"/>
  <c r="E101" i="6"/>
  <c r="A101" i="6"/>
  <c r="J100" i="6"/>
  <c r="I100" i="6"/>
  <c r="H100" i="6"/>
  <c r="G100" i="6"/>
  <c r="F100" i="6"/>
  <c r="E100" i="6"/>
  <c r="A100" i="6"/>
  <c r="J99" i="6"/>
  <c r="I99" i="6"/>
  <c r="H99" i="6"/>
  <c r="G99" i="6"/>
  <c r="F99" i="6"/>
  <c r="E99" i="6"/>
  <c r="A99" i="6"/>
  <c r="J98" i="6"/>
  <c r="I98" i="6"/>
  <c r="H98" i="6"/>
  <c r="G98" i="6"/>
  <c r="F98" i="6"/>
  <c r="E98" i="6"/>
  <c r="A98" i="6"/>
  <c r="J97" i="6"/>
  <c r="I97" i="6"/>
  <c r="H97" i="6"/>
  <c r="G97" i="6"/>
  <c r="F97" i="6"/>
  <c r="E97" i="6"/>
  <c r="A97" i="6"/>
  <c r="J96" i="6"/>
  <c r="I96" i="6"/>
  <c r="H96" i="6"/>
  <c r="G96" i="6"/>
  <c r="F96" i="6"/>
  <c r="E96" i="6"/>
  <c r="A96" i="6"/>
  <c r="J95" i="6"/>
  <c r="I95" i="6"/>
  <c r="H95" i="6"/>
  <c r="G95" i="6"/>
  <c r="F95" i="6"/>
  <c r="E95" i="6"/>
  <c r="A95" i="6"/>
  <c r="J94" i="6"/>
  <c r="I94" i="6"/>
  <c r="H94" i="6"/>
  <c r="G94" i="6"/>
  <c r="F94" i="6"/>
  <c r="E94" i="6"/>
  <c r="A94" i="6"/>
  <c r="J93" i="6"/>
  <c r="I93" i="6"/>
  <c r="H93" i="6"/>
  <c r="G93" i="6"/>
  <c r="F93" i="6"/>
  <c r="E93" i="6"/>
  <c r="A93" i="6"/>
  <c r="J92" i="6"/>
  <c r="I92" i="6"/>
  <c r="H92" i="6"/>
  <c r="G92" i="6"/>
  <c r="F92" i="6"/>
  <c r="E92" i="6"/>
  <c r="A92" i="6"/>
  <c r="J91" i="6"/>
  <c r="I91" i="6"/>
  <c r="H91" i="6"/>
  <c r="G91" i="6"/>
  <c r="F91" i="6"/>
  <c r="E91" i="6"/>
  <c r="A91" i="6"/>
  <c r="J90" i="6"/>
  <c r="I90" i="6"/>
  <c r="H90" i="6"/>
  <c r="G90" i="6"/>
  <c r="F90" i="6"/>
  <c r="E90" i="6"/>
  <c r="A90" i="6"/>
  <c r="J89" i="6"/>
  <c r="I89" i="6"/>
  <c r="H89" i="6"/>
  <c r="G89" i="6"/>
  <c r="F89" i="6"/>
  <c r="E89" i="6"/>
  <c r="A89" i="6"/>
  <c r="J88" i="6"/>
  <c r="I88" i="6"/>
  <c r="H88" i="6"/>
  <c r="G88" i="6"/>
  <c r="F88" i="6"/>
  <c r="E88" i="6"/>
  <c r="A88" i="6"/>
  <c r="J87" i="6"/>
  <c r="I87" i="6"/>
  <c r="H87" i="6"/>
  <c r="G87" i="6"/>
  <c r="F87" i="6"/>
  <c r="E87" i="6"/>
  <c r="A87" i="6"/>
  <c r="J86" i="6"/>
  <c r="I86" i="6"/>
  <c r="H86" i="6"/>
  <c r="G86" i="6"/>
  <c r="F86" i="6"/>
  <c r="E86" i="6"/>
  <c r="A86" i="6"/>
  <c r="J85" i="6"/>
  <c r="I85" i="6"/>
  <c r="H85" i="6"/>
  <c r="G85" i="6"/>
  <c r="F85" i="6"/>
  <c r="E85" i="6"/>
  <c r="A85" i="6"/>
  <c r="J84" i="6"/>
  <c r="I84" i="6"/>
  <c r="H84" i="6"/>
  <c r="G84" i="6"/>
  <c r="F84" i="6"/>
  <c r="E84" i="6"/>
  <c r="A84" i="6"/>
  <c r="J83" i="6"/>
  <c r="I83" i="6"/>
  <c r="H83" i="6"/>
  <c r="G83" i="6"/>
  <c r="F83" i="6"/>
  <c r="E83" i="6"/>
  <c r="A83" i="6"/>
  <c r="J82" i="6"/>
  <c r="I82" i="6"/>
  <c r="H82" i="6"/>
  <c r="G82" i="6"/>
  <c r="F82" i="6"/>
  <c r="E82" i="6"/>
  <c r="A82" i="6"/>
  <c r="J81" i="6"/>
  <c r="I81" i="6"/>
  <c r="H81" i="6"/>
  <c r="G81" i="6"/>
  <c r="F81" i="6"/>
  <c r="E81" i="6"/>
  <c r="A81" i="6"/>
  <c r="J80" i="6"/>
  <c r="I80" i="6"/>
  <c r="H80" i="6"/>
  <c r="G80" i="6"/>
  <c r="F80" i="6"/>
  <c r="E80" i="6"/>
  <c r="A80" i="6"/>
  <c r="J79" i="6"/>
  <c r="I79" i="6"/>
  <c r="H79" i="6"/>
  <c r="G79" i="6"/>
  <c r="F79" i="6"/>
  <c r="E79" i="6"/>
  <c r="A79" i="6"/>
  <c r="J78" i="6"/>
  <c r="I78" i="6"/>
  <c r="H78" i="6"/>
  <c r="G78" i="6"/>
  <c r="F78" i="6"/>
  <c r="E78" i="6"/>
  <c r="A78" i="6"/>
  <c r="J77" i="6"/>
  <c r="I77" i="6"/>
  <c r="H77" i="6"/>
  <c r="G77" i="6"/>
  <c r="F77" i="6"/>
  <c r="E77" i="6"/>
  <c r="A77" i="6"/>
  <c r="J76" i="6"/>
  <c r="I76" i="6"/>
  <c r="H76" i="6"/>
  <c r="G76" i="6"/>
  <c r="F76" i="6"/>
  <c r="E76" i="6"/>
  <c r="A76" i="6"/>
  <c r="J75" i="6"/>
  <c r="I75" i="6"/>
  <c r="H75" i="6"/>
  <c r="G75" i="6"/>
  <c r="F75" i="6"/>
  <c r="E75" i="6"/>
  <c r="A75" i="6"/>
  <c r="J74" i="6"/>
  <c r="I74" i="6"/>
  <c r="H74" i="6"/>
  <c r="G74" i="6"/>
  <c r="F74" i="6"/>
  <c r="E74" i="6"/>
  <c r="A74" i="6"/>
  <c r="J73" i="6"/>
  <c r="I73" i="6"/>
  <c r="H73" i="6"/>
  <c r="G73" i="6"/>
  <c r="F73" i="6"/>
  <c r="E73" i="6"/>
  <c r="A73" i="6"/>
  <c r="J72" i="6"/>
  <c r="I72" i="6"/>
  <c r="H72" i="6"/>
  <c r="G72" i="6"/>
  <c r="F72" i="6"/>
  <c r="E72" i="6"/>
  <c r="A72" i="6"/>
  <c r="J71" i="6"/>
  <c r="I71" i="6"/>
  <c r="H71" i="6"/>
  <c r="G71" i="6"/>
  <c r="F71" i="6"/>
  <c r="E71" i="6"/>
  <c r="A71" i="6"/>
  <c r="J70" i="6"/>
  <c r="I70" i="6"/>
  <c r="H70" i="6"/>
  <c r="G70" i="6"/>
  <c r="F70" i="6"/>
  <c r="E70" i="6"/>
  <c r="A70" i="6"/>
  <c r="J69" i="6"/>
  <c r="I69" i="6"/>
  <c r="H69" i="6"/>
  <c r="G69" i="6"/>
  <c r="F69" i="6"/>
  <c r="E69" i="6"/>
  <c r="A69" i="6"/>
  <c r="J68" i="6"/>
  <c r="I68" i="6"/>
  <c r="H68" i="6"/>
  <c r="G68" i="6"/>
  <c r="F68" i="6"/>
  <c r="E68" i="6"/>
  <c r="A68" i="6"/>
  <c r="J67" i="6"/>
  <c r="I67" i="6"/>
  <c r="H67" i="6"/>
  <c r="G67" i="6"/>
  <c r="F67" i="6"/>
  <c r="E67" i="6"/>
  <c r="A67" i="6"/>
  <c r="J66" i="6"/>
  <c r="I66" i="6"/>
  <c r="H66" i="6"/>
  <c r="G66" i="6"/>
  <c r="F66" i="6"/>
  <c r="E66" i="6"/>
  <c r="A66" i="6"/>
  <c r="J65" i="6"/>
  <c r="I65" i="6"/>
  <c r="H65" i="6"/>
  <c r="G65" i="6"/>
  <c r="F65" i="6"/>
  <c r="E65" i="6"/>
  <c r="A65" i="6"/>
  <c r="J64" i="6"/>
  <c r="I64" i="6"/>
  <c r="H64" i="6"/>
  <c r="G64" i="6"/>
  <c r="F64" i="6"/>
  <c r="E64" i="6"/>
  <c r="A64" i="6"/>
  <c r="J63" i="6"/>
  <c r="I63" i="6"/>
  <c r="H63" i="6"/>
  <c r="G63" i="6"/>
  <c r="F63" i="6"/>
  <c r="E63" i="6"/>
  <c r="A63" i="6"/>
  <c r="J62" i="6"/>
  <c r="I62" i="6"/>
  <c r="H62" i="6"/>
  <c r="G62" i="6"/>
  <c r="F62" i="6"/>
  <c r="E62" i="6"/>
  <c r="A62" i="6"/>
  <c r="J61" i="6"/>
  <c r="I61" i="6"/>
  <c r="H61" i="6"/>
  <c r="G61" i="6"/>
  <c r="F61" i="6"/>
  <c r="E61" i="6"/>
  <c r="A61" i="6"/>
  <c r="J60" i="6"/>
  <c r="I60" i="6"/>
  <c r="H60" i="6"/>
  <c r="G60" i="6"/>
  <c r="F60" i="6"/>
  <c r="E60" i="6"/>
  <c r="A60" i="6"/>
  <c r="J59" i="6"/>
  <c r="I59" i="6"/>
  <c r="H59" i="6"/>
  <c r="G59" i="6"/>
  <c r="F59" i="6"/>
  <c r="E59" i="6"/>
  <c r="A59" i="6"/>
  <c r="J58" i="6"/>
  <c r="I58" i="6"/>
  <c r="H58" i="6"/>
  <c r="G58" i="6"/>
  <c r="F58" i="6"/>
  <c r="E58" i="6"/>
  <c r="A58" i="6"/>
  <c r="J57" i="6"/>
  <c r="I57" i="6"/>
  <c r="H57" i="6"/>
  <c r="G57" i="6"/>
  <c r="F57" i="6"/>
  <c r="E57" i="6"/>
  <c r="A57" i="6"/>
  <c r="J56" i="6"/>
  <c r="I56" i="6"/>
  <c r="H56" i="6"/>
  <c r="G56" i="6"/>
  <c r="F56" i="6"/>
  <c r="E56" i="6"/>
  <c r="A56" i="6"/>
  <c r="J55" i="6"/>
  <c r="I55" i="6"/>
  <c r="H55" i="6"/>
  <c r="G55" i="6"/>
  <c r="F55" i="6"/>
  <c r="E55" i="6"/>
  <c r="A55" i="6"/>
  <c r="J54" i="6"/>
  <c r="I54" i="6"/>
  <c r="H54" i="6"/>
  <c r="G54" i="6"/>
  <c r="F54" i="6"/>
  <c r="E54" i="6"/>
  <c r="A54" i="6"/>
  <c r="J53" i="6"/>
  <c r="I53" i="6"/>
  <c r="H53" i="6"/>
  <c r="G53" i="6"/>
  <c r="F53" i="6"/>
  <c r="E53" i="6"/>
  <c r="A53" i="6"/>
  <c r="J52" i="6"/>
  <c r="I52" i="6"/>
  <c r="H52" i="6"/>
  <c r="G52" i="6"/>
  <c r="F52" i="6"/>
  <c r="E52" i="6"/>
  <c r="A52" i="6"/>
  <c r="J51" i="6"/>
  <c r="I51" i="6"/>
  <c r="H51" i="6"/>
  <c r="G51" i="6"/>
  <c r="F51" i="6"/>
  <c r="E51" i="6"/>
  <c r="A51" i="6"/>
  <c r="J50" i="6"/>
  <c r="I50" i="6"/>
  <c r="H50" i="6"/>
  <c r="G50" i="6"/>
  <c r="F50" i="6"/>
  <c r="E50" i="6"/>
  <c r="A50" i="6"/>
  <c r="J49" i="6"/>
  <c r="I49" i="6"/>
  <c r="H49" i="6"/>
  <c r="G49" i="6"/>
  <c r="F49" i="6"/>
  <c r="E49" i="6"/>
  <c r="A49" i="6"/>
  <c r="J48" i="6"/>
  <c r="I48" i="6"/>
  <c r="H48" i="6"/>
  <c r="G48" i="6"/>
  <c r="F48" i="6"/>
  <c r="E48" i="6"/>
  <c r="A48" i="6"/>
  <c r="J47" i="6"/>
  <c r="I47" i="6"/>
  <c r="H47" i="6"/>
  <c r="G47" i="6"/>
  <c r="F47" i="6"/>
  <c r="E47" i="6"/>
  <c r="A47" i="6"/>
  <c r="J46" i="6"/>
  <c r="I46" i="6"/>
  <c r="H46" i="6"/>
  <c r="G46" i="6"/>
  <c r="F46" i="6"/>
  <c r="E46" i="6"/>
  <c r="A46" i="6"/>
  <c r="J45" i="6"/>
  <c r="I45" i="6"/>
  <c r="H45" i="6"/>
  <c r="G45" i="6"/>
  <c r="F45" i="6"/>
  <c r="E45" i="6"/>
  <c r="A45" i="6"/>
  <c r="J44" i="6"/>
  <c r="I44" i="6"/>
  <c r="H44" i="6"/>
  <c r="G44" i="6"/>
  <c r="F44" i="6"/>
  <c r="E44" i="6"/>
  <c r="A44" i="6"/>
  <c r="J43" i="6"/>
  <c r="I43" i="6"/>
  <c r="H43" i="6"/>
  <c r="G43" i="6"/>
  <c r="F43" i="6"/>
  <c r="E43" i="6"/>
  <c r="A43" i="6"/>
  <c r="J42" i="6"/>
  <c r="I42" i="6"/>
  <c r="H42" i="6"/>
  <c r="G42" i="6"/>
  <c r="F42" i="6"/>
  <c r="E42" i="6"/>
  <c r="A42" i="6"/>
  <c r="J41" i="6"/>
  <c r="I41" i="6"/>
  <c r="H41" i="6"/>
  <c r="G41" i="6"/>
  <c r="F41" i="6"/>
  <c r="E41" i="6"/>
  <c r="A41" i="6"/>
  <c r="J40" i="6"/>
  <c r="I40" i="6"/>
  <c r="H40" i="6"/>
  <c r="G40" i="6"/>
  <c r="F40" i="6"/>
  <c r="E40" i="6"/>
  <c r="A40" i="6"/>
  <c r="J39" i="6"/>
  <c r="I39" i="6"/>
  <c r="H39" i="6"/>
  <c r="G39" i="6"/>
  <c r="F39" i="6"/>
  <c r="E39" i="6"/>
  <c r="A39" i="6"/>
  <c r="J38" i="6"/>
  <c r="I38" i="6"/>
  <c r="H38" i="6"/>
  <c r="G38" i="6"/>
  <c r="F38" i="6"/>
  <c r="E38" i="6"/>
  <c r="A38" i="6"/>
  <c r="J37" i="6"/>
  <c r="I37" i="6"/>
  <c r="H37" i="6"/>
  <c r="G37" i="6"/>
  <c r="F37" i="6"/>
  <c r="E37" i="6"/>
  <c r="A37" i="6"/>
  <c r="J36" i="6"/>
  <c r="I36" i="6"/>
  <c r="H36" i="6"/>
  <c r="G36" i="6"/>
  <c r="F36" i="6"/>
  <c r="E36" i="6"/>
  <c r="A36" i="6"/>
  <c r="J35" i="6"/>
  <c r="I35" i="6"/>
  <c r="H35" i="6"/>
  <c r="G35" i="6"/>
  <c r="F35" i="6"/>
  <c r="E35" i="6"/>
  <c r="A35" i="6"/>
  <c r="J34" i="6"/>
  <c r="I34" i="6"/>
  <c r="H34" i="6"/>
  <c r="G34" i="6"/>
  <c r="F34" i="6"/>
  <c r="E34" i="6"/>
  <c r="A34" i="6"/>
  <c r="J33" i="6"/>
  <c r="I33" i="6"/>
  <c r="H33" i="6"/>
  <c r="G33" i="6"/>
  <c r="F33" i="6"/>
  <c r="E33" i="6"/>
  <c r="A33" i="6"/>
  <c r="J32" i="6"/>
  <c r="I32" i="6"/>
  <c r="H32" i="6"/>
  <c r="G32" i="6"/>
  <c r="F32" i="6"/>
  <c r="E32" i="6"/>
  <c r="A32" i="6"/>
  <c r="J31" i="6"/>
  <c r="I31" i="6"/>
  <c r="H31" i="6"/>
  <c r="G31" i="6"/>
  <c r="F31" i="6"/>
  <c r="E31" i="6"/>
  <c r="A31" i="6"/>
  <c r="J30" i="6"/>
  <c r="I30" i="6"/>
  <c r="H30" i="6"/>
  <c r="G30" i="6"/>
  <c r="F30" i="6"/>
  <c r="E30" i="6"/>
  <c r="A30" i="6"/>
  <c r="J29" i="6"/>
  <c r="I29" i="6"/>
  <c r="H29" i="6"/>
  <c r="G29" i="6"/>
  <c r="F29" i="6"/>
  <c r="E29" i="6"/>
  <c r="A29" i="6"/>
  <c r="J28" i="6"/>
  <c r="I28" i="6"/>
  <c r="H28" i="6"/>
  <c r="G28" i="6"/>
  <c r="F28" i="6"/>
  <c r="E28" i="6"/>
  <c r="A28" i="6"/>
  <c r="J27" i="6"/>
  <c r="I27" i="6"/>
  <c r="H27" i="6"/>
  <c r="G27" i="6"/>
  <c r="F27" i="6"/>
  <c r="E27" i="6"/>
  <c r="A27" i="6"/>
  <c r="J26" i="6"/>
  <c r="I26" i="6"/>
  <c r="H26" i="6"/>
  <c r="G26" i="6"/>
  <c r="F26" i="6"/>
  <c r="E26" i="6"/>
  <c r="A26" i="6"/>
  <c r="J25" i="6"/>
  <c r="I25" i="6"/>
  <c r="H25" i="6"/>
  <c r="G25" i="6"/>
  <c r="F25" i="6"/>
  <c r="E25" i="6"/>
  <c r="A25" i="6"/>
  <c r="J24" i="6"/>
  <c r="I24" i="6"/>
  <c r="H24" i="6"/>
  <c r="G24" i="6"/>
  <c r="F24" i="6"/>
  <c r="E24" i="6"/>
  <c r="A24" i="6"/>
  <c r="J23" i="6"/>
  <c r="I23" i="6"/>
  <c r="H23" i="6"/>
  <c r="G23" i="6"/>
  <c r="F23" i="6"/>
  <c r="E23" i="6"/>
  <c r="A23" i="6"/>
  <c r="J22" i="6"/>
  <c r="I22" i="6"/>
  <c r="H22" i="6"/>
  <c r="G22" i="6"/>
  <c r="F22" i="6"/>
  <c r="E22" i="6"/>
  <c r="A22" i="6"/>
  <c r="J21" i="6"/>
  <c r="I21" i="6"/>
  <c r="H21" i="6"/>
  <c r="G21" i="6"/>
  <c r="F21" i="6"/>
  <c r="E21" i="6"/>
  <c r="A21" i="6"/>
  <c r="J20" i="6"/>
  <c r="I20" i="6"/>
  <c r="H20" i="6"/>
  <c r="G20" i="6"/>
  <c r="F20" i="6"/>
  <c r="E20" i="6"/>
  <c r="A20" i="6"/>
  <c r="J19" i="6"/>
  <c r="I19" i="6"/>
  <c r="H19" i="6"/>
  <c r="G19" i="6"/>
  <c r="F19" i="6"/>
  <c r="E19" i="6"/>
  <c r="A19" i="6"/>
  <c r="J18" i="6"/>
  <c r="I18" i="6"/>
  <c r="H18" i="6"/>
  <c r="G18" i="6"/>
  <c r="F18" i="6"/>
  <c r="E18" i="6"/>
  <c r="A18" i="6"/>
  <c r="J17" i="6"/>
  <c r="I17" i="6"/>
  <c r="H17" i="6"/>
  <c r="G17" i="6"/>
  <c r="F17" i="6"/>
  <c r="E17" i="6"/>
  <c r="A17" i="6"/>
  <c r="J16" i="6"/>
  <c r="I16" i="6"/>
  <c r="H16" i="6"/>
  <c r="G16" i="6"/>
  <c r="F16" i="6"/>
  <c r="E16" i="6"/>
  <c r="A16" i="6"/>
  <c r="J15" i="6"/>
  <c r="I15" i="6"/>
  <c r="H15" i="6"/>
  <c r="G15" i="6"/>
  <c r="F15" i="6"/>
  <c r="E15" i="6"/>
  <c r="A15" i="6"/>
  <c r="J14" i="6"/>
  <c r="I14" i="6"/>
  <c r="H14" i="6"/>
  <c r="G14" i="6"/>
  <c r="F14" i="6"/>
  <c r="E14" i="6"/>
  <c r="A14" i="6"/>
  <c r="J13" i="6"/>
  <c r="I13" i="6"/>
  <c r="H13" i="6"/>
  <c r="G13" i="6"/>
  <c r="F13" i="6"/>
  <c r="E13" i="6"/>
  <c r="A13" i="6"/>
  <c r="J12" i="6"/>
  <c r="I12" i="6"/>
  <c r="H12" i="6"/>
  <c r="G12" i="6"/>
  <c r="F12" i="6"/>
  <c r="E12" i="6"/>
  <c r="A12" i="6"/>
  <c r="J11" i="6"/>
  <c r="I11" i="6"/>
  <c r="H11" i="6"/>
  <c r="G11" i="6"/>
  <c r="F11" i="6"/>
  <c r="E11" i="6"/>
  <c r="A11" i="6"/>
  <c r="J10" i="6"/>
  <c r="I10" i="6"/>
  <c r="H10" i="6"/>
  <c r="G10" i="6"/>
  <c r="F10" i="6"/>
  <c r="E10" i="6"/>
  <c r="A10" i="6"/>
  <c r="J9" i="6"/>
  <c r="I9" i="6"/>
  <c r="H9" i="6"/>
  <c r="G9" i="6"/>
  <c r="F9" i="6"/>
  <c r="E9" i="6"/>
  <c r="A9" i="6"/>
  <c r="J8" i="6"/>
  <c r="I8" i="6"/>
  <c r="H8" i="6"/>
  <c r="G8" i="6"/>
  <c r="F8" i="6"/>
  <c r="E8" i="6"/>
  <c r="A8" i="6"/>
  <c r="J7" i="6"/>
  <c r="I7" i="6"/>
  <c r="H7" i="6"/>
  <c r="G7" i="6"/>
  <c r="F7" i="6"/>
  <c r="E7" i="6"/>
  <c r="A7" i="6"/>
  <c r="J6" i="6"/>
  <c r="I6" i="6"/>
  <c r="H6" i="6"/>
  <c r="G6" i="6"/>
  <c r="F6" i="6"/>
  <c r="E6" i="6"/>
  <c r="A6" i="6"/>
  <c r="J5" i="6"/>
  <c r="I5" i="6"/>
  <c r="H5" i="6"/>
  <c r="G5" i="6"/>
  <c r="F5" i="6"/>
  <c r="E5" i="6"/>
  <c r="A5" i="6"/>
  <c r="J4" i="6"/>
  <c r="I4" i="6"/>
  <c r="H4" i="6"/>
  <c r="G4" i="6"/>
  <c r="F4" i="6"/>
  <c r="E4" i="6"/>
  <c r="A4" i="6"/>
  <c r="J3" i="6"/>
  <c r="I3" i="6"/>
  <c r="H3" i="6"/>
  <c r="G3" i="6"/>
  <c r="F3" i="6"/>
  <c r="E3" i="6"/>
  <c r="A3" i="6"/>
  <c r="J2" i="6"/>
  <c r="I2" i="6"/>
  <c r="H2" i="6"/>
  <c r="G2" i="6"/>
  <c r="F2" i="6"/>
  <c r="E2" i="6"/>
  <c r="A2" i="6"/>
  <c r="N65" i="1"/>
  <c r="N64" i="1"/>
  <c r="N63" i="1"/>
  <c r="C53" i="1"/>
  <c r="C52" i="1"/>
  <c r="C51" i="1"/>
  <c r="C50" i="1"/>
  <c r="C49" i="1"/>
  <c r="C47" i="1"/>
  <c r="C46" i="1"/>
  <c r="C45" i="1"/>
  <c r="C44" i="1"/>
  <c r="C43" i="1"/>
  <c r="C42" i="1"/>
  <c r="C41" i="1"/>
  <c r="C40" i="1"/>
  <c r="C39" i="1"/>
  <c r="C35" i="1"/>
  <c r="C34" i="1"/>
  <c r="C33" i="1"/>
  <c r="C32" i="1"/>
  <c r="C31" i="1"/>
  <c r="C30" i="1"/>
  <c r="C29" i="1"/>
  <c r="C28" i="1"/>
  <c r="C25" i="1" a="1"/>
  <c r="F25" i="1" s="1"/>
  <c r="C24" i="1" a="1"/>
  <c r="D24" i="1" s="1"/>
  <c r="C20" i="1" a="1"/>
  <c r="E20" i="1" s="1"/>
  <c r="C19" i="1" a="1"/>
  <c r="F19" i="1" s="1"/>
  <c r="C18" i="1" a="1"/>
  <c r="F18" i="1" s="1"/>
  <c r="C17" i="1" a="1"/>
  <c r="D17" i="1" s="1"/>
  <c r="C16" i="1" a="1"/>
  <c r="E16" i="1" s="1"/>
  <c r="C15" i="1" a="1"/>
  <c r="C15" i="1" s="1"/>
  <c r="C14" i="1" a="1"/>
  <c r="F14" i="1" s="1"/>
  <c r="C10" i="1" a="1"/>
  <c r="E10" i="1" s="1"/>
  <c r="C9" i="1" a="1"/>
  <c r="E9" i="1" s="1"/>
  <c r="C6" i="1"/>
  <c r="C5" i="1"/>
  <c r="F294" i="5" s="1"/>
  <c r="C4" i="1"/>
  <c r="B298" i="5" s="1"/>
  <c r="C3" i="1"/>
  <c r="S79" i="9" l="1"/>
  <c r="S329" i="9"/>
  <c r="K200" i="6"/>
  <c r="K328" i="6"/>
  <c r="S35" i="9"/>
  <c r="L350" i="5"/>
  <c r="L348" i="5"/>
  <c r="L346" i="5"/>
  <c r="L342" i="5"/>
  <c r="L340" i="5"/>
  <c r="L338" i="5"/>
  <c r="L336" i="5"/>
  <c r="L320" i="5"/>
  <c r="L318" i="5"/>
  <c r="L316" i="5"/>
  <c r="L314" i="5"/>
  <c r="L312" i="5"/>
  <c r="L310" i="5"/>
  <c r="L308" i="5"/>
  <c r="L306" i="5"/>
  <c r="L304" i="5"/>
  <c r="L302" i="5"/>
  <c r="L284" i="5"/>
  <c r="L282" i="5"/>
  <c r="L278" i="5"/>
  <c r="L276" i="5"/>
  <c r="L274" i="5"/>
  <c r="L272" i="5"/>
  <c r="L270" i="5"/>
  <c r="L268" i="5"/>
  <c r="L238" i="5"/>
  <c r="L236" i="5"/>
  <c r="L234" i="5"/>
  <c r="L232" i="5"/>
  <c r="L230" i="5"/>
  <c r="L228" i="5"/>
  <c r="L226" i="5"/>
  <c r="L224" i="5"/>
  <c r="L222" i="5"/>
  <c r="L220" i="5"/>
  <c r="L204" i="5"/>
  <c r="L198" i="5"/>
  <c r="L192" i="5"/>
  <c r="L190" i="5"/>
  <c r="L188" i="5"/>
  <c r="L335" i="5"/>
  <c r="L241" i="5"/>
  <c r="S356" i="9"/>
  <c r="S109" i="9"/>
  <c r="S157" i="9"/>
  <c r="S349" i="9"/>
  <c r="L269" i="5"/>
  <c r="S217" i="9"/>
  <c r="L334" i="5"/>
  <c r="L330" i="5"/>
  <c r="L328" i="5"/>
  <c r="L322" i="5"/>
  <c r="L300" i="5"/>
  <c r="L298" i="5"/>
  <c r="L296" i="5"/>
  <c r="L294" i="5"/>
  <c r="L292" i="5"/>
  <c r="L290" i="5"/>
  <c r="L280" i="5"/>
  <c r="P300" i="5"/>
  <c r="S211" i="9"/>
  <c r="S183" i="9"/>
  <c r="S199" i="9"/>
  <c r="S295" i="9"/>
  <c r="S192" i="9"/>
  <c r="S224" i="9"/>
  <c r="L166" i="5"/>
  <c r="L164" i="5"/>
  <c r="L162" i="5"/>
  <c r="L160" i="5"/>
  <c r="L158" i="5"/>
  <c r="L156" i="5"/>
  <c r="S151" i="9"/>
  <c r="S311" i="9"/>
  <c r="S327" i="9"/>
  <c r="S20" i="9"/>
  <c r="L84" i="5"/>
  <c r="S333" i="9"/>
  <c r="S76" i="9"/>
  <c r="S124" i="9"/>
  <c r="S140" i="9"/>
  <c r="S204" i="9"/>
  <c r="S220" i="9"/>
  <c r="K190" i="6"/>
  <c r="L165" i="5"/>
  <c r="L67" i="5"/>
  <c r="S71" i="9"/>
  <c r="S167" i="9"/>
  <c r="S144" i="9"/>
  <c r="S176" i="9"/>
  <c r="L100" i="5"/>
  <c r="L94" i="5"/>
  <c r="S153" i="9"/>
  <c r="K11" i="6"/>
  <c r="K27" i="6"/>
  <c r="K59" i="6"/>
  <c r="K43" i="6"/>
  <c r="S141" i="9"/>
  <c r="K75" i="6"/>
  <c r="S6" i="9"/>
  <c r="K270" i="6"/>
  <c r="L233" i="5"/>
  <c r="L201" i="5"/>
  <c r="L185" i="5"/>
  <c r="L181" i="5"/>
  <c r="L127" i="5"/>
  <c r="L109" i="5"/>
  <c r="L105" i="5"/>
  <c r="L97" i="5"/>
  <c r="L93" i="5"/>
  <c r="L81" i="5"/>
  <c r="L79" i="5"/>
  <c r="L69" i="5"/>
  <c r="L53" i="5"/>
  <c r="L45" i="5"/>
  <c r="L29" i="5"/>
  <c r="L21" i="5"/>
  <c r="L15" i="5"/>
  <c r="L9" i="5"/>
  <c r="L3" i="5"/>
  <c r="L235" i="5"/>
  <c r="L203" i="5"/>
  <c r="L187" i="5"/>
  <c r="L183" i="5"/>
  <c r="L129" i="5"/>
  <c r="L107" i="5"/>
  <c r="L95" i="5"/>
  <c r="S23" i="9"/>
  <c r="K196" i="6"/>
  <c r="K212" i="6"/>
  <c r="K228" i="6"/>
  <c r="K260" i="6"/>
  <c r="L266" i="5"/>
  <c r="L260" i="5"/>
  <c r="L258" i="5"/>
  <c r="L256" i="5"/>
  <c r="S18" i="9"/>
  <c r="L128" i="5"/>
  <c r="L108" i="5"/>
  <c r="L70" i="5"/>
  <c r="L62" i="5"/>
  <c r="L34" i="5"/>
  <c r="L323" i="5"/>
  <c r="L301" i="5"/>
  <c r="L295" i="5"/>
  <c r="L285" i="5"/>
  <c r="L261" i="5"/>
  <c r="L245" i="5"/>
  <c r="K148" i="6"/>
  <c r="L37" i="5"/>
  <c r="S96" i="9"/>
  <c r="S256" i="9"/>
  <c r="L244" i="5"/>
  <c r="L242" i="5"/>
  <c r="L176" i="5"/>
  <c r="L142" i="5"/>
  <c r="L140" i="5"/>
  <c r="L136" i="5"/>
  <c r="L134" i="5"/>
  <c r="L130" i="5"/>
  <c r="L102" i="5"/>
  <c r="L68" i="5"/>
  <c r="L52" i="5"/>
  <c r="L50" i="5"/>
  <c r="L48" i="5"/>
  <c r="L30" i="5"/>
  <c r="L28" i="5"/>
  <c r="L22" i="5"/>
  <c r="L20" i="5"/>
  <c r="L14" i="5"/>
  <c r="L6" i="5"/>
  <c r="L209" i="5"/>
  <c r="L205" i="5"/>
  <c r="L193" i="5"/>
  <c r="L157" i="5"/>
  <c r="L231" i="5"/>
  <c r="L167" i="5"/>
  <c r="S62" i="9"/>
  <c r="S94" i="9"/>
  <c r="S238" i="9"/>
  <c r="S334" i="9"/>
  <c r="S350" i="9"/>
  <c r="S366" i="9"/>
  <c r="K198" i="6"/>
  <c r="L361" i="5"/>
  <c r="L106" i="5"/>
  <c r="L104" i="5"/>
  <c r="L5" i="5"/>
  <c r="L347" i="5"/>
  <c r="L345" i="5"/>
  <c r="L341" i="5"/>
  <c r="L339" i="5"/>
  <c r="L331" i="5"/>
  <c r="L329" i="5"/>
  <c r="L327" i="5"/>
  <c r="L325" i="5"/>
  <c r="L283" i="5"/>
  <c r="L267" i="5"/>
  <c r="L259" i="5"/>
  <c r="L257" i="5"/>
  <c r="L98" i="5"/>
  <c r="L96" i="5"/>
  <c r="L92" i="5"/>
  <c r="K65" i="6"/>
  <c r="K113" i="6"/>
  <c r="L82" i="5"/>
  <c r="L80" i="5"/>
  <c r="L78" i="5"/>
  <c r="L229" i="5"/>
  <c r="L223" i="5"/>
  <c r="L215" i="5"/>
  <c r="L199" i="5"/>
  <c r="L46" i="5"/>
  <c r="L141" i="5"/>
  <c r="L139" i="5"/>
  <c r="L137" i="5"/>
  <c r="L133" i="5"/>
  <c r="L125" i="5"/>
  <c r="L111" i="5"/>
  <c r="L44" i="5"/>
  <c r="L42" i="5"/>
  <c r="L18" i="5"/>
  <c r="L101" i="5"/>
  <c r="L12" i="5"/>
  <c r="L4" i="5"/>
  <c r="K210" i="6"/>
  <c r="L324" i="5"/>
  <c r="L286" i="5"/>
  <c r="L262" i="5"/>
  <c r="L87" i="5"/>
  <c r="K49" i="6"/>
  <c r="K145" i="6"/>
  <c r="L85" i="5"/>
  <c r="L77" i="5"/>
  <c r="K129" i="6"/>
  <c r="K256" i="6"/>
  <c r="K320" i="6"/>
  <c r="S294" i="9"/>
  <c r="L61" i="5"/>
  <c r="S31" i="9"/>
  <c r="S47" i="9"/>
  <c r="L194" i="5"/>
  <c r="L51" i="5"/>
  <c r="K33" i="6"/>
  <c r="K197" i="6"/>
  <c r="L186" i="5"/>
  <c r="L182" i="5"/>
  <c r="L180" i="5"/>
  <c r="L178" i="5"/>
  <c r="L132" i="5"/>
  <c r="L43" i="5"/>
  <c r="L41" i="5"/>
  <c r="L25" i="5"/>
  <c r="L23" i="5"/>
  <c r="L19" i="5"/>
  <c r="Q359" i="5"/>
  <c r="K186" i="6"/>
  <c r="K211" i="6"/>
  <c r="K259" i="6"/>
  <c r="K291" i="6"/>
  <c r="S81" i="9"/>
  <c r="S163" i="9"/>
  <c r="L365" i="5"/>
  <c r="L363" i="5"/>
  <c r="L357" i="5"/>
  <c r="L355" i="5"/>
  <c r="L349" i="5"/>
  <c r="L333" i="5"/>
  <c r="L254" i="5"/>
  <c r="L252" i="5"/>
  <c r="L250" i="5"/>
  <c r="L248" i="5"/>
  <c r="L246" i="5"/>
  <c r="L175" i="5"/>
  <c r="L124" i="5"/>
  <c r="L122" i="5"/>
  <c r="L116" i="5"/>
  <c r="L114" i="5"/>
  <c r="L110" i="5"/>
  <c r="L75" i="5"/>
  <c r="L73" i="5"/>
  <c r="L36" i="5"/>
  <c r="L319" i="5"/>
  <c r="L315" i="5"/>
  <c r="L313" i="5"/>
  <c r="L311" i="5"/>
  <c r="L303" i="5"/>
  <c r="L299" i="5"/>
  <c r="L293" i="5"/>
  <c r="L291" i="5"/>
  <c r="L289" i="5"/>
  <c r="L287" i="5"/>
  <c r="L279" i="5"/>
  <c r="L216" i="5"/>
  <c r="L153" i="5"/>
  <c r="L151" i="5"/>
  <c r="L149" i="5"/>
  <c r="L147" i="5"/>
  <c r="L145" i="5"/>
  <c r="L143" i="5"/>
  <c r="L65" i="5"/>
  <c r="L63" i="5"/>
  <c r="K223" i="6"/>
  <c r="S279" i="9"/>
  <c r="L277" i="5"/>
  <c r="L275" i="5"/>
  <c r="L271" i="5"/>
  <c r="L214" i="5"/>
  <c r="L212" i="5"/>
  <c r="L210" i="5"/>
  <c r="L208" i="5"/>
  <c r="L135" i="5"/>
  <c r="L86" i="5"/>
  <c r="L59" i="5"/>
  <c r="L57" i="5"/>
  <c r="S64" i="9"/>
  <c r="L265" i="5"/>
  <c r="L49" i="5"/>
  <c r="L47" i="5"/>
  <c r="K219" i="6"/>
  <c r="K251" i="6"/>
  <c r="L366" i="5"/>
  <c r="L364" i="5"/>
  <c r="L360" i="5"/>
  <c r="L358" i="5"/>
  <c r="L356" i="5"/>
  <c r="L354" i="5"/>
  <c r="L352" i="5"/>
  <c r="L332" i="5"/>
  <c r="L255" i="5"/>
  <c r="L253" i="5"/>
  <c r="L249" i="5"/>
  <c r="L174" i="5"/>
  <c r="L172" i="5"/>
  <c r="L170" i="5"/>
  <c r="L123" i="5"/>
  <c r="L121" i="5"/>
  <c r="L76" i="5"/>
  <c r="L72" i="5"/>
  <c r="L35" i="5"/>
  <c r="L33" i="5"/>
  <c r="L31" i="5"/>
  <c r="S50" i="9"/>
  <c r="S84" i="9"/>
  <c r="L326" i="5"/>
  <c r="L243" i="5"/>
  <c r="S77" i="9"/>
  <c r="S173" i="9"/>
  <c r="L288" i="5"/>
  <c r="L227" i="5"/>
  <c r="L221" i="5"/>
  <c r="L99" i="5"/>
  <c r="L66" i="5"/>
  <c r="L64" i="5"/>
  <c r="L213" i="5"/>
  <c r="L207" i="5"/>
  <c r="L197" i="5"/>
  <c r="L195" i="5"/>
  <c r="L60" i="5"/>
  <c r="L58" i="5"/>
  <c r="L54" i="5"/>
  <c r="S72" i="9"/>
  <c r="S216" i="9"/>
  <c r="S232" i="9"/>
  <c r="S312" i="9"/>
  <c r="S328" i="9"/>
  <c r="S344" i="9"/>
  <c r="L91" i="5"/>
  <c r="L89" i="5"/>
  <c r="L13" i="5"/>
  <c r="S305" i="9"/>
  <c r="S321" i="9"/>
  <c r="L264" i="5"/>
  <c r="L189" i="5"/>
  <c r="L179" i="5"/>
  <c r="L177" i="5"/>
  <c r="L83" i="5"/>
  <c r="L38" i="5"/>
  <c r="K321" i="6"/>
  <c r="J76" i="9"/>
  <c r="L309" i="5"/>
  <c r="L307" i="5"/>
  <c r="L305" i="5"/>
  <c r="L263" i="5"/>
  <c r="L206" i="5"/>
  <c r="L154" i="5"/>
  <c r="L152" i="5"/>
  <c r="L150" i="5"/>
  <c r="L148" i="5"/>
  <c r="L146" i="5"/>
  <c r="L144" i="5"/>
  <c r="L16" i="5"/>
  <c r="S44" i="9"/>
  <c r="L351" i="5"/>
  <c r="L225" i="5"/>
  <c r="L202" i="5"/>
  <c r="L173" i="5"/>
  <c r="L55" i="5"/>
  <c r="K255" i="6"/>
  <c r="S37" i="9"/>
  <c r="S101" i="9"/>
  <c r="S16" i="9"/>
  <c r="S222" i="9"/>
  <c r="L196" i="5"/>
  <c r="L171" i="5"/>
  <c r="L169" i="5"/>
  <c r="L40" i="5"/>
  <c r="L27" i="5"/>
  <c r="K333" i="6"/>
  <c r="K365" i="6"/>
  <c r="S57" i="9"/>
  <c r="S89" i="9"/>
  <c r="S105" i="9"/>
  <c r="S137" i="9"/>
  <c r="L297" i="5"/>
  <c r="L240" i="5"/>
  <c r="L219" i="5"/>
  <c r="L217" i="5"/>
  <c r="L163" i="5"/>
  <c r="L10" i="5"/>
  <c r="K203" i="6"/>
  <c r="L211" i="5"/>
  <c r="L161" i="5"/>
  <c r="L117" i="5"/>
  <c r="L115" i="5"/>
  <c r="L8" i="5"/>
  <c r="L362" i="5"/>
  <c r="L251" i="5"/>
  <c r="L247" i="5"/>
  <c r="S210" i="9"/>
  <c r="L159" i="5"/>
  <c r="L155" i="5"/>
  <c r="L113" i="5"/>
  <c r="L32" i="5"/>
  <c r="L17" i="5"/>
  <c r="S310" i="9"/>
  <c r="K318" i="6"/>
  <c r="L281" i="5"/>
  <c r="L126" i="5"/>
  <c r="L39" i="5"/>
  <c r="S86" i="9"/>
  <c r="S296" i="9"/>
  <c r="L71" i="5"/>
  <c r="K172" i="6"/>
  <c r="S49" i="9"/>
  <c r="S193" i="9"/>
  <c r="L344" i="5"/>
  <c r="L317" i="5"/>
  <c r="L237" i="5"/>
  <c r="L218" i="5"/>
  <c r="L24" i="5"/>
  <c r="L11" i="5"/>
  <c r="L7" i="5"/>
  <c r="S10" i="9"/>
  <c r="S26" i="9"/>
  <c r="S42" i="9"/>
  <c r="S186" i="9"/>
  <c r="S266" i="9"/>
  <c r="L191" i="5"/>
  <c r="L120" i="5"/>
  <c r="L118" i="5"/>
  <c r="K193" i="6"/>
  <c r="S99" i="9"/>
  <c r="S131" i="9"/>
  <c r="S179" i="9"/>
  <c r="S243" i="9"/>
  <c r="S259" i="9"/>
  <c r="L131" i="5"/>
  <c r="K17" i="6"/>
  <c r="K161" i="6"/>
  <c r="F358" i="5"/>
  <c r="M358" i="5" s="1"/>
  <c r="F342" i="5"/>
  <c r="M342" i="5" s="1"/>
  <c r="P316" i="5"/>
  <c r="K168" i="6"/>
  <c r="K184" i="6"/>
  <c r="S181" i="9"/>
  <c r="S197" i="9"/>
  <c r="S213" i="9"/>
  <c r="S229" i="9"/>
  <c r="P354" i="5"/>
  <c r="B344" i="5"/>
  <c r="S28" i="9"/>
  <c r="F366" i="5"/>
  <c r="N366" i="5" s="1"/>
  <c r="L359" i="5"/>
  <c r="P332" i="5"/>
  <c r="F365" i="5"/>
  <c r="M365" i="5" s="1"/>
  <c r="L343" i="5"/>
  <c r="K13" i="6"/>
  <c r="K29" i="6"/>
  <c r="K45" i="6"/>
  <c r="K61" i="6"/>
  <c r="K109" i="6"/>
  <c r="K125" i="6"/>
  <c r="F364" i="5"/>
  <c r="M364" i="5" s="1"/>
  <c r="B358" i="5"/>
  <c r="F356" i="5"/>
  <c r="M356" i="5" s="1"/>
  <c r="F348" i="5"/>
  <c r="M348" i="5" s="1"/>
  <c r="P346" i="5"/>
  <c r="L321" i="5"/>
  <c r="K180" i="6"/>
  <c r="J32" i="9"/>
  <c r="S121" i="9"/>
  <c r="F363" i="5"/>
  <c r="N363" i="5" s="1"/>
  <c r="Q283" i="5"/>
  <c r="S2" i="9"/>
  <c r="S66" i="9"/>
  <c r="S82" i="9"/>
  <c r="B366" i="5"/>
  <c r="F362" i="5"/>
  <c r="M362" i="5" s="1"/>
  <c r="L337" i="5"/>
  <c r="K194" i="6"/>
  <c r="J242" i="9"/>
  <c r="Q366" i="5"/>
  <c r="B365" i="5"/>
  <c r="F361" i="5"/>
  <c r="M361" i="5" s="1"/>
  <c r="F354" i="5"/>
  <c r="M354" i="5" s="1"/>
  <c r="Q299" i="5"/>
  <c r="F278" i="5"/>
  <c r="M278" i="5" s="1"/>
  <c r="P366" i="5"/>
  <c r="Q365" i="5"/>
  <c r="B364" i="5"/>
  <c r="F360" i="5"/>
  <c r="M360" i="5" s="1"/>
  <c r="Q347" i="5"/>
  <c r="B282" i="5"/>
  <c r="S11" i="9"/>
  <c r="S123" i="9"/>
  <c r="P365" i="5"/>
  <c r="Q364" i="5"/>
  <c r="B363" i="5"/>
  <c r="M294" i="5"/>
  <c r="S52" i="9"/>
  <c r="S70" i="9"/>
  <c r="P364" i="5"/>
  <c r="Q363" i="5"/>
  <c r="B362" i="5"/>
  <c r="Q315" i="5"/>
  <c r="B2" i="5"/>
  <c r="B4" i="5"/>
  <c r="B20" i="5"/>
  <c r="B36" i="5"/>
  <c r="B52" i="5"/>
  <c r="B68" i="5"/>
  <c r="B84" i="5"/>
  <c r="B100" i="5"/>
  <c r="B116" i="5"/>
  <c r="B132" i="5"/>
  <c r="B148" i="5"/>
  <c r="B5" i="5"/>
  <c r="B21" i="5"/>
  <c r="B37" i="5"/>
  <c r="B53" i="5"/>
  <c r="B69" i="5"/>
  <c r="B85" i="5"/>
  <c r="B101" i="5"/>
  <c r="B117" i="5"/>
  <c r="B133" i="5"/>
  <c r="B149" i="5"/>
  <c r="B6" i="5"/>
  <c r="B22" i="5"/>
  <c r="B38" i="5"/>
  <c r="B54" i="5"/>
  <c r="B70" i="5"/>
  <c r="B86" i="5"/>
  <c r="B102" i="5"/>
  <c r="B118" i="5"/>
  <c r="B134" i="5"/>
  <c r="B7" i="5"/>
  <c r="B23" i="5"/>
  <c r="B39" i="5"/>
  <c r="B55" i="5"/>
  <c r="B71" i="5"/>
  <c r="B87" i="5"/>
  <c r="B103" i="5"/>
  <c r="B119" i="5"/>
  <c r="B8" i="5"/>
  <c r="B24" i="5"/>
  <c r="B40" i="5"/>
  <c r="B56" i="5"/>
  <c r="B72" i="5"/>
  <c r="B88" i="5"/>
  <c r="B104" i="5"/>
  <c r="B9" i="5"/>
  <c r="B25" i="5"/>
  <c r="B41" i="5"/>
  <c r="B57" i="5"/>
  <c r="B73" i="5"/>
  <c r="B89" i="5"/>
  <c r="B10" i="5"/>
  <c r="B26" i="5"/>
  <c r="B42" i="5"/>
  <c r="B58" i="5"/>
  <c r="B74" i="5"/>
  <c r="B90" i="5"/>
  <c r="B106" i="5"/>
  <c r="B11" i="5"/>
  <c r="B27" i="5"/>
  <c r="B43" i="5"/>
  <c r="B59" i="5"/>
  <c r="B75" i="5"/>
  <c r="B91" i="5"/>
  <c r="B107" i="5"/>
  <c r="B12" i="5"/>
  <c r="B28" i="5"/>
  <c r="B44" i="5"/>
  <c r="B60" i="5"/>
  <c r="B76" i="5"/>
  <c r="B92" i="5"/>
  <c r="B13" i="5"/>
  <c r="B29" i="5"/>
  <c r="B45" i="5"/>
  <c r="B61" i="5"/>
  <c r="B77" i="5"/>
  <c r="B93" i="5"/>
  <c r="B109" i="5"/>
  <c r="B14" i="5"/>
  <c r="B30" i="5"/>
  <c r="B46" i="5"/>
  <c r="B62" i="5"/>
  <c r="B78" i="5"/>
  <c r="B15" i="5"/>
  <c r="B31" i="5"/>
  <c r="B47" i="5"/>
  <c r="B63" i="5"/>
  <c r="B16" i="5"/>
  <c r="B32" i="5"/>
  <c r="B17" i="5"/>
  <c r="B33" i="5"/>
  <c r="B49" i="5"/>
  <c r="B18" i="5"/>
  <c r="B34" i="5"/>
  <c r="B50" i="5"/>
  <c r="B51" i="5"/>
  <c r="B99" i="5"/>
  <c r="B128" i="5"/>
  <c r="B129" i="5"/>
  <c r="B130" i="5"/>
  <c r="B131" i="5"/>
  <c r="B163" i="5"/>
  <c r="B179" i="5"/>
  <c r="B195" i="5"/>
  <c r="B211" i="5"/>
  <c r="B227" i="5"/>
  <c r="B243" i="5"/>
  <c r="B98" i="5"/>
  <c r="B112" i="5"/>
  <c r="B121" i="5"/>
  <c r="B164" i="5"/>
  <c r="B180" i="5"/>
  <c r="B196" i="5"/>
  <c r="B212" i="5"/>
  <c r="B228" i="5"/>
  <c r="B80" i="5"/>
  <c r="B140" i="5"/>
  <c r="B165" i="5"/>
  <c r="B181" i="5"/>
  <c r="B197" i="5"/>
  <c r="B213" i="5"/>
  <c r="B229" i="5"/>
  <c r="B48" i="5"/>
  <c r="B111" i="5"/>
  <c r="B120" i="5"/>
  <c r="B139" i="5"/>
  <c r="B141" i="5"/>
  <c r="B166" i="5"/>
  <c r="B182" i="5"/>
  <c r="B198" i="5"/>
  <c r="B214" i="5"/>
  <c r="B230" i="5"/>
  <c r="B67" i="5"/>
  <c r="B97" i="5"/>
  <c r="B142" i="5"/>
  <c r="B167" i="5"/>
  <c r="B183" i="5"/>
  <c r="B199" i="5"/>
  <c r="B215" i="5"/>
  <c r="B231" i="5"/>
  <c r="B110" i="5"/>
  <c r="B138" i="5"/>
  <c r="B143" i="5"/>
  <c r="B150" i="5"/>
  <c r="B151" i="5"/>
  <c r="B152" i="5"/>
  <c r="B168" i="5"/>
  <c r="B184" i="5"/>
  <c r="B200" i="5"/>
  <c r="B66" i="5"/>
  <c r="B79" i="5"/>
  <c r="B144" i="5"/>
  <c r="B145" i="5"/>
  <c r="B146" i="5"/>
  <c r="B153" i="5"/>
  <c r="B169" i="5"/>
  <c r="B185" i="5"/>
  <c r="B201" i="5"/>
  <c r="B217" i="5"/>
  <c r="B233" i="5"/>
  <c r="B3" i="5"/>
  <c r="B83" i="5"/>
  <c r="B137" i="5"/>
  <c r="B147" i="5"/>
  <c r="B154" i="5"/>
  <c r="B170" i="5"/>
  <c r="B186" i="5"/>
  <c r="B202" i="5"/>
  <c r="B218" i="5"/>
  <c r="B234" i="5"/>
  <c r="B19" i="5"/>
  <c r="B96" i="5"/>
  <c r="B155" i="5"/>
  <c r="B171" i="5"/>
  <c r="B187" i="5"/>
  <c r="B203" i="5"/>
  <c r="B219" i="5"/>
  <c r="B235" i="5"/>
  <c r="B35" i="5"/>
  <c r="B82" i="5"/>
  <c r="B136" i="5"/>
  <c r="B156" i="5"/>
  <c r="B172" i="5"/>
  <c r="B65" i="5"/>
  <c r="B157" i="5"/>
  <c r="B173" i="5"/>
  <c r="B189" i="5"/>
  <c r="B205" i="5"/>
  <c r="B221" i="5"/>
  <c r="B237" i="5"/>
  <c r="B95" i="5"/>
  <c r="B135" i="5"/>
  <c r="B158" i="5"/>
  <c r="B174" i="5"/>
  <c r="B190" i="5"/>
  <c r="B206" i="5"/>
  <c r="B108" i="5"/>
  <c r="B114" i="5"/>
  <c r="B115" i="5"/>
  <c r="B124" i="5"/>
  <c r="B159" i="5"/>
  <c r="B175" i="5"/>
  <c r="B191" i="5"/>
  <c r="B81" i="5"/>
  <c r="B105" i="5"/>
  <c r="B123" i="5"/>
  <c r="B125" i="5"/>
  <c r="B160" i="5"/>
  <c r="B176" i="5"/>
  <c r="B192" i="5"/>
  <c r="B208" i="5"/>
  <c r="B224" i="5"/>
  <c r="B64" i="5"/>
  <c r="B94" i="5"/>
  <c r="B122" i="5"/>
  <c r="B127" i="5"/>
  <c r="B162" i="5"/>
  <c r="B178" i="5"/>
  <c r="B194" i="5"/>
  <c r="B210" i="5"/>
  <c r="B226" i="5"/>
  <c r="B204" i="5"/>
  <c r="B251" i="5"/>
  <c r="B267" i="5"/>
  <c r="B283" i="5"/>
  <c r="B299" i="5"/>
  <c r="B315" i="5"/>
  <c r="B331" i="5"/>
  <c r="B347" i="5"/>
  <c r="B239" i="5"/>
  <c r="B252" i="5"/>
  <c r="B268" i="5"/>
  <c r="B284" i="5"/>
  <c r="B300" i="5"/>
  <c r="B316" i="5"/>
  <c r="B332" i="5"/>
  <c r="B348" i="5"/>
  <c r="B253" i="5"/>
  <c r="B269" i="5"/>
  <c r="B285" i="5"/>
  <c r="B301" i="5"/>
  <c r="B317" i="5"/>
  <c r="B333" i="5"/>
  <c r="B349" i="5"/>
  <c r="B220" i="5"/>
  <c r="B238" i="5"/>
  <c r="B254" i="5"/>
  <c r="B270" i="5"/>
  <c r="B286" i="5"/>
  <c r="B302" i="5"/>
  <c r="B318" i="5"/>
  <c r="B334" i="5"/>
  <c r="B350" i="5"/>
  <c r="B209" i="5"/>
  <c r="B255" i="5"/>
  <c r="B271" i="5"/>
  <c r="B287" i="5"/>
  <c r="B303" i="5"/>
  <c r="B319" i="5"/>
  <c r="B335" i="5"/>
  <c r="B351" i="5"/>
  <c r="B256" i="5"/>
  <c r="B272" i="5"/>
  <c r="B288" i="5"/>
  <c r="B304" i="5"/>
  <c r="B320" i="5"/>
  <c r="B336" i="5"/>
  <c r="B223" i="5"/>
  <c r="B257" i="5"/>
  <c r="B273" i="5"/>
  <c r="B289" i="5"/>
  <c r="B305" i="5"/>
  <c r="B321" i="5"/>
  <c r="B337" i="5"/>
  <c r="B353" i="5"/>
  <c r="B258" i="5"/>
  <c r="B274" i="5"/>
  <c r="B290" i="5"/>
  <c r="B306" i="5"/>
  <c r="B322" i="5"/>
  <c r="B338" i="5"/>
  <c r="B354" i="5"/>
  <c r="B259" i="5"/>
  <c r="B275" i="5"/>
  <c r="B291" i="5"/>
  <c r="B307" i="5"/>
  <c r="B323" i="5"/>
  <c r="B339" i="5"/>
  <c r="B355" i="5"/>
  <c r="B177" i="5"/>
  <c r="B236" i="5"/>
  <c r="B244" i="5"/>
  <c r="B260" i="5"/>
  <c r="B276" i="5"/>
  <c r="B292" i="5"/>
  <c r="B308" i="5"/>
  <c r="B324" i="5"/>
  <c r="B340" i="5"/>
  <c r="B356" i="5"/>
  <c r="B222" i="5"/>
  <c r="B245" i="5"/>
  <c r="B261" i="5"/>
  <c r="B277" i="5"/>
  <c r="B293" i="5"/>
  <c r="B309" i="5"/>
  <c r="B325" i="5"/>
  <c r="B341" i="5"/>
  <c r="B357" i="5"/>
  <c r="B113" i="5"/>
  <c r="B126" i="5"/>
  <c r="B188" i="5"/>
  <c r="B216" i="5"/>
  <c r="B242" i="5"/>
  <c r="B246" i="5"/>
  <c r="B262" i="5"/>
  <c r="B278" i="5"/>
  <c r="B294" i="5"/>
  <c r="B310" i="5"/>
  <c r="B326" i="5"/>
  <c r="B342" i="5"/>
  <c r="B161" i="5"/>
  <c r="B193" i="5"/>
  <c r="B241" i="5"/>
  <c r="B247" i="5"/>
  <c r="B263" i="5"/>
  <c r="B279" i="5"/>
  <c r="B295" i="5"/>
  <c r="B311" i="5"/>
  <c r="B327" i="5"/>
  <c r="B343" i="5"/>
  <c r="B359" i="5"/>
  <c r="B225" i="5"/>
  <c r="B232" i="5"/>
  <c r="B248" i="5"/>
  <c r="B264" i="5"/>
  <c r="B280" i="5"/>
  <c r="B296" i="5"/>
  <c r="B312" i="5"/>
  <c r="B328" i="5"/>
  <c r="B207" i="5"/>
  <c r="B240" i="5"/>
  <c r="B249" i="5"/>
  <c r="B265" i="5"/>
  <c r="B281" i="5"/>
  <c r="B297" i="5"/>
  <c r="B313" i="5"/>
  <c r="B329" i="5"/>
  <c r="B345" i="5"/>
  <c r="B250" i="5"/>
  <c r="B266" i="5"/>
  <c r="N294" i="5"/>
  <c r="P363" i="5"/>
  <c r="Q362" i="5"/>
  <c r="B361" i="5"/>
  <c r="Q353" i="5"/>
  <c r="P284" i="5"/>
  <c r="F16" i="5"/>
  <c r="M16" i="5" s="1"/>
  <c r="F32" i="5"/>
  <c r="M32" i="5" s="1"/>
  <c r="F48" i="5"/>
  <c r="M48" i="5" s="1"/>
  <c r="F64" i="5"/>
  <c r="M64" i="5" s="1"/>
  <c r="F80" i="5"/>
  <c r="N80" i="5" s="1"/>
  <c r="F96" i="5"/>
  <c r="N96" i="5" s="1"/>
  <c r="F112" i="5"/>
  <c r="N112" i="5" s="1"/>
  <c r="F128" i="5"/>
  <c r="N128" i="5" s="1"/>
  <c r="F144" i="5"/>
  <c r="M144" i="5" s="1"/>
  <c r="F17" i="5"/>
  <c r="N17" i="5" s="1"/>
  <c r="F33" i="5"/>
  <c r="N33" i="5" s="1"/>
  <c r="F49" i="5"/>
  <c r="N49" i="5" s="1"/>
  <c r="F65" i="5"/>
  <c r="N65" i="5" s="1"/>
  <c r="F81" i="5"/>
  <c r="M81" i="5" s="1"/>
  <c r="F97" i="5"/>
  <c r="M97" i="5" s="1"/>
  <c r="F113" i="5"/>
  <c r="M113" i="5" s="1"/>
  <c r="F129" i="5"/>
  <c r="N129" i="5" s="1"/>
  <c r="F145" i="5"/>
  <c r="M145" i="5" s="1"/>
  <c r="F18" i="5"/>
  <c r="M18" i="5" s="1"/>
  <c r="F34" i="5"/>
  <c r="M34" i="5" s="1"/>
  <c r="F50" i="5"/>
  <c r="M50" i="5" s="1"/>
  <c r="F66" i="5"/>
  <c r="M66" i="5" s="1"/>
  <c r="F82" i="5"/>
  <c r="M82" i="5" s="1"/>
  <c r="F98" i="5"/>
  <c r="M98" i="5" s="1"/>
  <c r="F114" i="5"/>
  <c r="M114" i="5" s="1"/>
  <c r="F130" i="5"/>
  <c r="N130" i="5" s="1"/>
  <c r="F3" i="5"/>
  <c r="M3" i="5" s="1"/>
  <c r="F19" i="5"/>
  <c r="N19" i="5" s="1"/>
  <c r="F35" i="5"/>
  <c r="N35" i="5" s="1"/>
  <c r="F51" i="5"/>
  <c r="N51" i="5" s="1"/>
  <c r="F67" i="5"/>
  <c r="M67" i="5" s="1"/>
  <c r="F83" i="5"/>
  <c r="M83" i="5" s="1"/>
  <c r="F99" i="5"/>
  <c r="M99" i="5" s="1"/>
  <c r="F115" i="5"/>
  <c r="M115" i="5" s="1"/>
  <c r="F2" i="5"/>
  <c r="N2" i="5" s="1"/>
  <c r="F4" i="5"/>
  <c r="N4" i="5" s="1"/>
  <c r="F20" i="5"/>
  <c r="N20" i="5" s="1"/>
  <c r="F36" i="5"/>
  <c r="N36" i="5" s="1"/>
  <c r="F52" i="5"/>
  <c r="N52" i="5" s="1"/>
  <c r="F68" i="5"/>
  <c r="N68" i="5" s="1"/>
  <c r="F84" i="5"/>
  <c r="M84" i="5" s="1"/>
  <c r="F100" i="5"/>
  <c r="M100" i="5" s="1"/>
  <c r="F5" i="5"/>
  <c r="M5" i="5" s="1"/>
  <c r="F21" i="5"/>
  <c r="M21" i="5" s="1"/>
  <c r="F37" i="5"/>
  <c r="M37" i="5" s="1"/>
  <c r="F53" i="5"/>
  <c r="M53" i="5" s="1"/>
  <c r="F69" i="5"/>
  <c r="M69" i="5" s="1"/>
  <c r="F85" i="5"/>
  <c r="N85" i="5" s="1"/>
  <c r="F6" i="5"/>
  <c r="M6" i="5" s="1"/>
  <c r="F22" i="5"/>
  <c r="M22" i="5" s="1"/>
  <c r="F38" i="5"/>
  <c r="M38" i="5" s="1"/>
  <c r="F54" i="5"/>
  <c r="M54" i="5" s="1"/>
  <c r="F70" i="5"/>
  <c r="M70" i="5" s="1"/>
  <c r="F86" i="5"/>
  <c r="N86" i="5" s="1"/>
  <c r="F102" i="5"/>
  <c r="M102" i="5" s="1"/>
  <c r="F7" i="5"/>
  <c r="N7" i="5" s="1"/>
  <c r="F23" i="5"/>
  <c r="M23" i="5" s="1"/>
  <c r="F39" i="5"/>
  <c r="N39" i="5" s="1"/>
  <c r="F55" i="5"/>
  <c r="M55" i="5" s="1"/>
  <c r="F71" i="5"/>
  <c r="M71" i="5" s="1"/>
  <c r="F87" i="5"/>
  <c r="N87" i="5" s="1"/>
  <c r="F103" i="5"/>
  <c r="M103" i="5" s="1"/>
  <c r="F8" i="5"/>
  <c r="M8" i="5" s="1"/>
  <c r="F24" i="5"/>
  <c r="N24" i="5" s="1"/>
  <c r="F40" i="5"/>
  <c r="N40" i="5" s="1"/>
  <c r="F56" i="5"/>
  <c r="N56" i="5" s="1"/>
  <c r="F72" i="5"/>
  <c r="N72" i="5" s="1"/>
  <c r="F88" i="5"/>
  <c r="N88" i="5" s="1"/>
  <c r="F9" i="5"/>
  <c r="N9" i="5" s="1"/>
  <c r="F25" i="5"/>
  <c r="N25" i="5" s="1"/>
  <c r="F41" i="5"/>
  <c r="N41" i="5" s="1"/>
  <c r="F57" i="5"/>
  <c r="N57" i="5" s="1"/>
  <c r="F73" i="5"/>
  <c r="M73" i="5" s="1"/>
  <c r="F89" i="5"/>
  <c r="M89" i="5" s="1"/>
  <c r="F105" i="5"/>
  <c r="M105" i="5" s="1"/>
  <c r="F10" i="5"/>
  <c r="N10" i="5" s="1"/>
  <c r="F26" i="5"/>
  <c r="N26" i="5" s="1"/>
  <c r="F42" i="5"/>
  <c r="N42" i="5" s="1"/>
  <c r="F58" i="5"/>
  <c r="M58" i="5" s="1"/>
  <c r="F74" i="5"/>
  <c r="M74" i="5" s="1"/>
  <c r="F90" i="5"/>
  <c r="M90" i="5" s="1"/>
  <c r="F11" i="5"/>
  <c r="N11" i="5" s="1"/>
  <c r="F27" i="5"/>
  <c r="N27" i="5" s="1"/>
  <c r="F43" i="5"/>
  <c r="M43" i="5" s="1"/>
  <c r="F59" i="5"/>
  <c r="M59" i="5" s="1"/>
  <c r="F12" i="5"/>
  <c r="N12" i="5" s="1"/>
  <c r="F28" i="5"/>
  <c r="N28" i="5" s="1"/>
  <c r="F13" i="5"/>
  <c r="N13" i="5" s="1"/>
  <c r="F29" i="5"/>
  <c r="N29" i="5" s="1"/>
  <c r="F45" i="5"/>
  <c r="M45" i="5" s="1"/>
  <c r="F14" i="5"/>
  <c r="M14" i="5" s="1"/>
  <c r="F30" i="5"/>
  <c r="M30" i="5" s="1"/>
  <c r="F46" i="5"/>
  <c r="N46" i="5" s="1"/>
  <c r="F44" i="5"/>
  <c r="N44" i="5" s="1"/>
  <c r="F101" i="5"/>
  <c r="N101" i="5" s="1"/>
  <c r="F108" i="5"/>
  <c r="M108" i="5" s="1"/>
  <c r="F124" i="5"/>
  <c r="M124" i="5" s="1"/>
  <c r="F159" i="5"/>
  <c r="M159" i="5" s="1"/>
  <c r="F175" i="5"/>
  <c r="M175" i="5" s="1"/>
  <c r="F191" i="5"/>
  <c r="M191" i="5" s="1"/>
  <c r="F207" i="5"/>
  <c r="M207" i="5" s="1"/>
  <c r="F223" i="5"/>
  <c r="M223" i="5" s="1"/>
  <c r="F239" i="5"/>
  <c r="N239" i="5" s="1"/>
  <c r="F123" i="5"/>
  <c r="M123" i="5" s="1"/>
  <c r="F125" i="5"/>
  <c r="M125" i="5" s="1"/>
  <c r="F134" i="5"/>
  <c r="N134" i="5" s="1"/>
  <c r="F160" i="5"/>
  <c r="N160" i="5" s="1"/>
  <c r="F176" i="5"/>
  <c r="N176" i="5" s="1"/>
  <c r="F192" i="5"/>
  <c r="M192" i="5" s="1"/>
  <c r="F208" i="5"/>
  <c r="M208" i="5" s="1"/>
  <c r="F224" i="5"/>
  <c r="N224" i="5" s="1"/>
  <c r="F240" i="5"/>
  <c r="N240" i="5" s="1"/>
  <c r="F75" i="5"/>
  <c r="M75" i="5" s="1"/>
  <c r="F126" i="5"/>
  <c r="M126" i="5" s="1"/>
  <c r="F161" i="5"/>
  <c r="M161" i="5" s="1"/>
  <c r="F177" i="5"/>
  <c r="M177" i="5" s="1"/>
  <c r="F193" i="5"/>
  <c r="M193" i="5" s="1"/>
  <c r="F209" i="5"/>
  <c r="M209" i="5" s="1"/>
  <c r="F225" i="5"/>
  <c r="M225" i="5" s="1"/>
  <c r="F241" i="5"/>
  <c r="M241" i="5" s="1"/>
  <c r="F61" i="5"/>
  <c r="M61" i="5" s="1"/>
  <c r="F94" i="5"/>
  <c r="N94" i="5" s="1"/>
  <c r="F122" i="5"/>
  <c r="N122" i="5" s="1"/>
  <c r="F127" i="5"/>
  <c r="N127" i="5" s="1"/>
  <c r="F133" i="5"/>
  <c r="N133" i="5" s="1"/>
  <c r="F162" i="5"/>
  <c r="M162" i="5" s="1"/>
  <c r="F178" i="5"/>
  <c r="M178" i="5" s="1"/>
  <c r="F194" i="5"/>
  <c r="M194" i="5" s="1"/>
  <c r="F210" i="5"/>
  <c r="N210" i="5" s="1"/>
  <c r="F226" i="5"/>
  <c r="M226" i="5" s="1"/>
  <c r="F131" i="5"/>
  <c r="M131" i="5" s="1"/>
  <c r="F132" i="5"/>
  <c r="M132" i="5" s="1"/>
  <c r="F163" i="5"/>
  <c r="M163" i="5" s="1"/>
  <c r="F179" i="5"/>
  <c r="M179" i="5" s="1"/>
  <c r="F195" i="5"/>
  <c r="M195" i="5" s="1"/>
  <c r="F211" i="5"/>
  <c r="N211" i="5" s="1"/>
  <c r="F227" i="5"/>
  <c r="N227" i="5" s="1"/>
  <c r="F243" i="5"/>
  <c r="N243" i="5" s="1"/>
  <c r="F77" i="5"/>
  <c r="M77" i="5" s="1"/>
  <c r="F91" i="5"/>
  <c r="M91" i="5" s="1"/>
  <c r="F104" i="5"/>
  <c r="N104" i="5" s="1"/>
  <c r="F107" i="5"/>
  <c r="N107" i="5" s="1"/>
  <c r="F121" i="5"/>
  <c r="M121" i="5" s="1"/>
  <c r="F164" i="5"/>
  <c r="N164" i="5" s="1"/>
  <c r="F180" i="5"/>
  <c r="N180" i="5" s="1"/>
  <c r="F196" i="5"/>
  <c r="N196" i="5" s="1"/>
  <c r="F212" i="5"/>
  <c r="N212" i="5" s="1"/>
  <c r="F140" i="5"/>
  <c r="N140" i="5" s="1"/>
  <c r="F165" i="5"/>
  <c r="N165" i="5" s="1"/>
  <c r="F181" i="5"/>
  <c r="N181" i="5" s="1"/>
  <c r="F197" i="5"/>
  <c r="M197" i="5" s="1"/>
  <c r="F213" i="5"/>
  <c r="M213" i="5" s="1"/>
  <c r="F229" i="5"/>
  <c r="N229" i="5" s="1"/>
  <c r="F63" i="5"/>
  <c r="N63" i="5" s="1"/>
  <c r="F111" i="5"/>
  <c r="M111" i="5" s="1"/>
  <c r="F120" i="5"/>
  <c r="N120" i="5" s="1"/>
  <c r="F139" i="5"/>
  <c r="N139" i="5" s="1"/>
  <c r="F141" i="5"/>
  <c r="M141" i="5" s="1"/>
  <c r="F166" i="5"/>
  <c r="M166" i="5" s="1"/>
  <c r="F182" i="5"/>
  <c r="M182" i="5" s="1"/>
  <c r="F198" i="5"/>
  <c r="M198" i="5" s="1"/>
  <c r="F214" i="5"/>
  <c r="M214" i="5" s="1"/>
  <c r="F230" i="5"/>
  <c r="M230" i="5" s="1"/>
  <c r="F93" i="5"/>
  <c r="M93" i="5" s="1"/>
  <c r="F142" i="5"/>
  <c r="M142" i="5" s="1"/>
  <c r="F167" i="5"/>
  <c r="N167" i="5" s="1"/>
  <c r="F183" i="5"/>
  <c r="N183" i="5" s="1"/>
  <c r="F199" i="5"/>
  <c r="N199" i="5" s="1"/>
  <c r="F215" i="5"/>
  <c r="N215" i="5" s="1"/>
  <c r="F231" i="5"/>
  <c r="N231" i="5" s="1"/>
  <c r="F15" i="5"/>
  <c r="N15" i="5" s="1"/>
  <c r="F60" i="5"/>
  <c r="N60" i="5" s="1"/>
  <c r="F110" i="5"/>
  <c r="N110" i="5" s="1"/>
  <c r="F119" i="5"/>
  <c r="M119" i="5" s="1"/>
  <c r="F138" i="5"/>
  <c r="M138" i="5" s="1"/>
  <c r="F143" i="5"/>
  <c r="M143" i="5" s="1"/>
  <c r="F150" i="5"/>
  <c r="M150" i="5" s="1"/>
  <c r="F151" i="5"/>
  <c r="M151" i="5" s="1"/>
  <c r="F152" i="5"/>
  <c r="M152" i="5" s="1"/>
  <c r="F168" i="5"/>
  <c r="M168" i="5" s="1"/>
  <c r="F184" i="5"/>
  <c r="M184" i="5" s="1"/>
  <c r="F31" i="5"/>
  <c r="M31" i="5" s="1"/>
  <c r="F79" i="5"/>
  <c r="N79" i="5" s="1"/>
  <c r="F146" i="5"/>
  <c r="N146" i="5" s="1"/>
  <c r="F149" i="5"/>
  <c r="N149" i="5" s="1"/>
  <c r="F153" i="5"/>
  <c r="N153" i="5" s="1"/>
  <c r="F169" i="5"/>
  <c r="N169" i="5" s="1"/>
  <c r="F185" i="5"/>
  <c r="N185" i="5" s="1"/>
  <c r="F201" i="5"/>
  <c r="M201" i="5" s="1"/>
  <c r="F217" i="5"/>
  <c r="M217" i="5" s="1"/>
  <c r="F233" i="5"/>
  <c r="M233" i="5" s="1"/>
  <c r="F76" i="5"/>
  <c r="M76" i="5" s="1"/>
  <c r="F106" i="5"/>
  <c r="N106" i="5" s="1"/>
  <c r="F137" i="5"/>
  <c r="N137" i="5" s="1"/>
  <c r="F147" i="5"/>
  <c r="M147" i="5" s="1"/>
  <c r="F148" i="5"/>
  <c r="M148" i="5" s="1"/>
  <c r="F154" i="5"/>
  <c r="M154" i="5" s="1"/>
  <c r="F170" i="5"/>
  <c r="N170" i="5" s="1"/>
  <c r="F186" i="5"/>
  <c r="N186" i="5" s="1"/>
  <c r="F202" i="5"/>
  <c r="N202" i="5" s="1"/>
  <c r="F47" i="5"/>
  <c r="N47" i="5" s="1"/>
  <c r="F109" i="5"/>
  <c r="M109" i="5" s="1"/>
  <c r="F118" i="5"/>
  <c r="N118" i="5" s="1"/>
  <c r="F155" i="5"/>
  <c r="N155" i="5" s="1"/>
  <c r="F171" i="5"/>
  <c r="M171" i="5" s="1"/>
  <c r="F187" i="5"/>
  <c r="M187" i="5" s="1"/>
  <c r="F203" i="5"/>
  <c r="M203" i="5" s="1"/>
  <c r="F62" i="5"/>
  <c r="N62" i="5" s="1"/>
  <c r="F136" i="5"/>
  <c r="M136" i="5" s="1"/>
  <c r="F156" i="5"/>
  <c r="M156" i="5" s="1"/>
  <c r="F172" i="5"/>
  <c r="M172" i="5" s="1"/>
  <c r="F188" i="5"/>
  <c r="M188" i="5" s="1"/>
  <c r="F204" i="5"/>
  <c r="N204" i="5" s="1"/>
  <c r="F220" i="5"/>
  <c r="M220" i="5" s="1"/>
  <c r="F78" i="5"/>
  <c r="N78" i="5" s="1"/>
  <c r="F95" i="5"/>
  <c r="M95" i="5" s="1"/>
  <c r="F116" i="5"/>
  <c r="M116" i="5" s="1"/>
  <c r="F135" i="5"/>
  <c r="M135" i="5" s="1"/>
  <c r="F158" i="5"/>
  <c r="M158" i="5" s="1"/>
  <c r="F174" i="5"/>
  <c r="N174" i="5" s="1"/>
  <c r="F190" i="5"/>
  <c r="N190" i="5" s="1"/>
  <c r="F206" i="5"/>
  <c r="N206" i="5" s="1"/>
  <c r="F222" i="5"/>
  <c r="M222" i="5" s="1"/>
  <c r="F117" i="5"/>
  <c r="N117" i="5" s="1"/>
  <c r="F235" i="5"/>
  <c r="M235" i="5" s="1"/>
  <c r="F247" i="5"/>
  <c r="N247" i="5" s="1"/>
  <c r="F263" i="5"/>
  <c r="N263" i="5" s="1"/>
  <c r="F279" i="5"/>
  <c r="N279" i="5" s="1"/>
  <c r="F295" i="5"/>
  <c r="N295" i="5" s="1"/>
  <c r="F311" i="5"/>
  <c r="M311" i="5" s="1"/>
  <c r="F327" i="5"/>
  <c r="N327" i="5" s="1"/>
  <c r="F343" i="5"/>
  <c r="N343" i="5" s="1"/>
  <c r="F359" i="5"/>
  <c r="N359" i="5" s="1"/>
  <c r="F232" i="5"/>
  <c r="N232" i="5" s="1"/>
  <c r="F248" i="5"/>
  <c r="M248" i="5" s="1"/>
  <c r="F264" i="5"/>
  <c r="M264" i="5" s="1"/>
  <c r="F280" i="5"/>
  <c r="M280" i="5" s="1"/>
  <c r="F296" i="5"/>
  <c r="M296" i="5" s="1"/>
  <c r="F312" i="5"/>
  <c r="M312" i="5" s="1"/>
  <c r="F328" i="5"/>
  <c r="M328" i="5" s="1"/>
  <c r="F344" i="5"/>
  <c r="N344" i="5" s="1"/>
  <c r="F200" i="5"/>
  <c r="M200" i="5" s="1"/>
  <c r="F218" i="5"/>
  <c r="N218" i="5" s="1"/>
  <c r="F221" i="5"/>
  <c r="M221" i="5" s="1"/>
  <c r="F249" i="5"/>
  <c r="N249" i="5" s="1"/>
  <c r="F265" i="5"/>
  <c r="N265" i="5" s="1"/>
  <c r="F281" i="5"/>
  <c r="N281" i="5" s="1"/>
  <c r="F297" i="5"/>
  <c r="M297" i="5" s="1"/>
  <c r="F313" i="5"/>
  <c r="N313" i="5" s="1"/>
  <c r="F329" i="5"/>
  <c r="N329" i="5" s="1"/>
  <c r="F345" i="5"/>
  <c r="N345" i="5" s="1"/>
  <c r="F250" i="5"/>
  <c r="N250" i="5" s="1"/>
  <c r="F266" i="5"/>
  <c r="M266" i="5" s="1"/>
  <c r="F282" i="5"/>
  <c r="M282" i="5" s="1"/>
  <c r="F298" i="5"/>
  <c r="M298" i="5" s="1"/>
  <c r="F314" i="5"/>
  <c r="N314" i="5" s="1"/>
  <c r="F330" i="5"/>
  <c r="N330" i="5" s="1"/>
  <c r="F346" i="5"/>
  <c r="M346" i="5" s="1"/>
  <c r="F228" i="5"/>
  <c r="M228" i="5" s="1"/>
  <c r="F251" i="5"/>
  <c r="N251" i="5" s="1"/>
  <c r="F267" i="5"/>
  <c r="N267" i="5" s="1"/>
  <c r="F283" i="5"/>
  <c r="M283" i="5" s="1"/>
  <c r="F299" i="5"/>
  <c r="N299" i="5" s="1"/>
  <c r="F315" i="5"/>
  <c r="N315" i="5" s="1"/>
  <c r="F331" i="5"/>
  <c r="N331" i="5" s="1"/>
  <c r="F347" i="5"/>
  <c r="N347" i="5" s="1"/>
  <c r="F234" i="5"/>
  <c r="M234" i="5" s="1"/>
  <c r="F252" i="5"/>
  <c r="N252" i="5" s="1"/>
  <c r="F268" i="5"/>
  <c r="M268" i="5" s="1"/>
  <c r="F284" i="5"/>
  <c r="M284" i="5" s="1"/>
  <c r="F300" i="5"/>
  <c r="M300" i="5" s="1"/>
  <c r="F316" i="5"/>
  <c r="N316" i="5" s="1"/>
  <c r="F332" i="5"/>
  <c r="N332" i="5" s="1"/>
  <c r="F92" i="5"/>
  <c r="N92" i="5" s="1"/>
  <c r="F253" i="5"/>
  <c r="N253" i="5" s="1"/>
  <c r="F269" i="5"/>
  <c r="N269" i="5" s="1"/>
  <c r="F285" i="5"/>
  <c r="N285" i="5" s="1"/>
  <c r="F301" i="5"/>
  <c r="M301" i="5" s="1"/>
  <c r="F317" i="5"/>
  <c r="M317" i="5" s="1"/>
  <c r="F333" i="5"/>
  <c r="N333" i="5" s="1"/>
  <c r="F349" i="5"/>
  <c r="N349" i="5" s="1"/>
  <c r="F238" i="5"/>
  <c r="N238" i="5" s="1"/>
  <c r="F254" i="5"/>
  <c r="N254" i="5" s="1"/>
  <c r="F270" i="5"/>
  <c r="M270" i="5" s="1"/>
  <c r="F286" i="5"/>
  <c r="M286" i="5" s="1"/>
  <c r="F302" i="5"/>
  <c r="N302" i="5" s="1"/>
  <c r="F318" i="5"/>
  <c r="M318" i="5" s="1"/>
  <c r="F334" i="5"/>
  <c r="M334" i="5" s="1"/>
  <c r="F350" i="5"/>
  <c r="N350" i="5" s="1"/>
  <c r="F255" i="5"/>
  <c r="M255" i="5" s="1"/>
  <c r="F271" i="5"/>
  <c r="M271" i="5" s="1"/>
  <c r="F287" i="5"/>
  <c r="M287" i="5" s="1"/>
  <c r="F303" i="5"/>
  <c r="N303" i="5" s="1"/>
  <c r="F319" i="5"/>
  <c r="N319" i="5" s="1"/>
  <c r="F335" i="5"/>
  <c r="M335" i="5" s="1"/>
  <c r="F351" i="5"/>
  <c r="N351" i="5" s="1"/>
  <c r="F189" i="5"/>
  <c r="M189" i="5" s="1"/>
  <c r="F256" i="5"/>
  <c r="N256" i="5" s="1"/>
  <c r="F272" i="5"/>
  <c r="N272" i="5" s="1"/>
  <c r="F288" i="5"/>
  <c r="N288" i="5" s="1"/>
  <c r="F304" i="5"/>
  <c r="N304" i="5" s="1"/>
  <c r="F320" i="5"/>
  <c r="N320" i="5" s="1"/>
  <c r="F336" i="5"/>
  <c r="N336" i="5" s="1"/>
  <c r="F352" i="5"/>
  <c r="M352" i="5" s="1"/>
  <c r="F173" i="5"/>
  <c r="N173" i="5" s="1"/>
  <c r="F237" i="5"/>
  <c r="M237" i="5" s="1"/>
  <c r="F257" i="5"/>
  <c r="M257" i="5" s="1"/>
  <c r="F273" i="5"/>
  <c r="M273" i="5" s="1"/>
  <c r="F289" i="5"/>
  <c r="M289" i="5" s="1"/>
  <c r="F305" i="5"/>
  <c r="N305" i="5" s="1"/>
  <c r="F321" i="5"/>
  <c r="N321" i="5" s="1"/>
  <c r="F337" i="5"/>
  <c r="N337" i="5" s="1"/>
  <c r="F353" i="5"/>
  <c r="N353" i="5" s="1"/>
  <c r="F258" i="5"/>
  <c r="N258" i="5" s="1"/>
  <c r="F274" i="5"/>
  <c r="N274" i="5" s="1"/>
  <c r="F290" i="5"/>
  <c r="N290" i="5" s="1"/>
  <c r="F306" i="5"/>
  <c r="N306" i="5" s="1"/>
  <c r="F322" i="5"/>
  <c r="M322" i="5" s="1"/>
  <c r="F338" i="5"/>
  <c r="N338" i="5" s="1"/>
  <c r="F219" i="5"/>
  <c r="M219" i="5" s="1"/>
  <c r="F259" i="5"/>
  <c r="M259" i="5" s="1"/>
  <c r="F275" i="5"/>
  <c r="M275" i="5" s="1"/>
  <c r="F291" i="5"/>
  <c r="N291" i="5" s="1"/>
  <c r="F307" i="5"/>
  <c r="N307" i="5" s="1"/>
  <c r="F323" i="5"/>
  <c r="N323" i="5" s="1"/>
  <c r="F339" i="5"/>
  <c r="N339" i="5" s="1"/>
  <c r="F355" i="5"/>
  <c r="N355" i="5" s="1"/>
  <c r="F157" i="5"/>
  <c r="N157" i="5" s="1"/>
  <c r="F236" i="5"/>
  <c r="M236" i="5" s="1"/>
  <c r="F244" i="5"/>
  <c r="N244" i="5" s="1"/>
  <c r="F260" i="5"/>
  <c r="N260" i="5" s="1"/>
  <c r="F276" i="5"/>
  <c r="N276" i="5" s="1"/>
  <c r="F292" i="5"/>
  <c r="N292" i="5" s="1"/>
  <c r="F308" i="5"/>
  <c r="M308" i="5" s="1"/>
  <c r="F324" i="5"/>
  <c r="M324" i="5" s="1"/>
  <c r="F340" i="5"/>
  <c r="M340" i="5" s="1"/>
  <c r="F205" i="5"/>
  <c r="M205" i="5" s="1"/>
  <c r="F245" i="5"/>
  <c r="M245" i="5" s="1"/>
  <c r="F261" i="5"/>
  <c r="N261" i="5" s="1"/>
  <c r="F277" i="5"/>
  <c r="N277" i="5" s="1"/>
  <c r="F293" i="5"/>
  <c r="N293" i="5" s="1"/>
  <c r="F309" i="5"/>
  <c r="N309" i="5" s="1"/>
  <c r="F325" i="5"/>
  <c r="N325" i="5" s="1"/>
  <c r="F341" i="5"/>
  <c r="N341" i="5" s="1"/>
  <c r="F357" i="5"/>
  <c r="N357" i="5" s="1"/>
  <c r="F216" i="5"/>
  <c r="N216" i="5" s="1"/>
  <c r="F242" i="5"/>
  <c r="M242" i="5" s="1"/>
  <c r="F246" i="5"/>
  <c r="N246" i="5" s="1"/>
  <c r="F262" i="5"/>
  <c r="N262" i="5" s="1"/>
  <c r="P362" i="5"/>
  <c r="Q361" i="5"/>
  <c r="B360" i="5"/>
  <c r="P348" i="5"/>
  <c r="Q331" i="5"/>
  <c r="F310" i="5"/>
  <c r="M310" i="5" s="1"/>
  <c r="K179" i="6"/>
  <c r="K213" i="6"/>
  <c r="S209" i="9"/>
  <c r="P361" i="5"/>
  <c r="Q360" i="5"/>
  <c r="L353" i="5"/>
  <c r="B314" i="5"/>
  <c r="L273" i="5"/>
  <c r="P6" i="5"/>
  <c r="P22" i="5"/>
  <c r="P38" i="5"/>
  <c r="P54" i="5"/>
  <c r="P70" i="5"/>
  <c r="P86" i="5"/>
  <c r="P102" i="5"/>
  <c r="P118" i="5"/>
  <c r="P134" i="5"/>
  <c r="P7" i="5"/>
  <c r="P23" i="5"/>
  <c r="P39" i="5"/>
  <c r="P55" i="5"/>
  <c r="P71" i="5"/>
  <c r="P87" i="5"/>
  <c r="P103" i="5"/>
  <c r="P119" i="5"/>
  <c r="P135" i="5"/>
  <c r="P151" i="5"/>
  <c r="P8" i="5"/>
  <c r="P24" i="5"/>
  <c r="P40" i="5"/>
  <c r="P56" i="5"/>
  <c r="P72" i="5"/>
  <c r="P88" i="5"/>
  <c r="P104" i="5"/>
  <c r="P120" i="5"/>
  <c r="P136" i="5"/>
  <c r="P9" i="5"/>
  <c r="P25" i="5"/>
  <c r="P41" i="5"/>
  <c r="P57" i="5"/>
  <c r="P73" i="5"/>
  <c r="P89" i="5"/>
  <c r="P105" i="5"/>
  <c r="P10" i="5"/>
  <c r="P26" i="5"/>
  <c r="P42" i="5"/>
  <c r="P58" i="5"/>
  <c r="P74" i="5"/>
  <c r="P90" i="5"/>
  <c r="P106" i="5"/>
  <c r="P11" i="5"/>
  <c r="P27" i="5"/>
  <c r="P43" i="5"/>
  <c r="P59" i="5"/>
  <c r="P75" i="5"/>
  <c r="P91" i="5"/>
  <c r="P12" i="5"/>
  <c r="P28" i="5"/>
  <c r="P44" i="5"/>
  <c r="P60" i="5"/>
  <c r="P76" i="5"/>
  <c r="P92" i="5"/>
  <c r="P108" i="5"/>
  <c r="P13" i="5"/>
  <c r="P29" i="5"/>
  <c r="P45" i="5"/>
  <c r="P61" i="5"/>
  <c r="P77" i="5"/>
  <c r="P93" i="5"/>
  <c r="P109" i="5"/>
  <c r="P14" i="5"/>
  <c r="P30" i="5"/>
  <c r="P46" i="5"/>
  <c r="P62" i="5"/>
  <c r="P78" i="5"/>
  <c r="P94" i="5"/>
  <c r="P15" i="5"/>
  <c r="P31" i="5"/>
  <c r="P47" i="5"/>
  <c r="P63" i="5"/>
  <c r="P79" i="5"/>
  <c r="P95" i="5"/>
  <c r="P111" i="5"/>
  <c r="P16" i="5"/>
  <c r="P32" i="5"/>
  <c r="P48" i="5"/>
  <c r="P64" i="5"/>
  <c r="P80" i="5"/>
  <c r="P17" i="5"/>
  <c r="P33" i="5"/>
  <c r="P49" i="5"/>
  <c r="P2" i="5"/>
  <c r="P18" i="5"/>
  <c r="P34" i="5"/>
  <c r="P3" i="5"/>
  <c r="P19" i="5"/>
  <c r="P35" i="5"/>
  <c r="P51" i="5"/>
  <c r="P4" i="5"/>
  <c r="P20" i="5"/>
  <c r="P36" i="5"/>
  <c r="P52" i="5"/>
  <c r="P53" i="5"/>
  <c r="P138" i="5"/>
  <c r="P140" i="5"/>
  <c r="P165" i="5"/>
  <c r="P181" i="5"/>
  <c r="P197" i="5"/>
  <c r="P213" i="5"/>
  <c r="P229" i="5"/>
  <c r="P66" i="5"/>
  <c r="P84" i="5"/>
  <c r="P96" i="5"/>
  <c r="P110" i="5"/>
  <c r="P141" i="5"/>
  <c r="P166" i="5"/>
  <c r="P182" i="5"/>
  <c r="P198" i="5"/>
  <c r="P214" i="5"/>
  <c r="P230" i="5"/>
  <c r="P83" i="5"/>
  <c r="P137" i="5"/>
  <c r="P142" i="5"/>
  <c r="P167" i="5"/>
  <c r="P183" i="5"/>
  <c r="P199" i="5"/>
  <c r="P215" i="5"/>
  <c r="P231" i="5"/>
  <c r="P65" i="5"/>
  <c r="P143" i="5"/>
  <c r="P144" i="5"/>
  <c r="P145" i="5"/>
  <c r="P150" i="5"/>
  <c r="P152" i="5"/>
  <c r="P168" i="5"/>
  <c r="P184" i="5"/>
  <c r="P200" i="5"/>
  <c r="P216" i="5"/>
  <c r="P232" i="5"/>
  <c r="P82" i="5"/>
  <c r="P146" i="5"/>
  <c r="P149" i="5"/>
  <c r="P153" i="5"/>
  <c r="P169" i="5"/>
  <c r="P185" i="5"/>
  <c r="P201" i="5"/>
  <c r="P217" i="5"/>
  <c r="P233" i="5"/>
  <c r="P5" i="5"/>
  <c r="P147" i="5"/>
  <c r="P148" i="5"/>
  <c r="P154" i="5"/>
  <c r="P170" i="5"/>
  <c r="P186" i="5"/>
  <c r="P202" i="5"/>
  <c r="P21" i="5"/>
  <c r="P81" i="5"/>
  <c r="P155" i="5"/>
  <c r="P171" i="5"/>
  <c r="P187" i="5"/>
  <c r="P203" i="5"/>
  <c r="P219" i="5"/>
  <c r="P235" i="5"/>
  <c r="P37" i="5"/>
  <c r="P156" i="5"/>
  <c r="P172" i="5"/>
  <c r="P188" i="5"/>
  <c r="P204" i="5"/>
  <c r="P220" i="5"/>
  <c r="P236" i="5"/>
  <c r="P117" i="5"/>
  <c r="P157" i="5"/>
  <c r="P173" i="5"/>
  <c r="P189" i="5"/>
  <c r="P205" i="5"/>
  <c r="P221" i="5"/>
  <c r="P113" i="5"/>
  <c r="P114" i="5"/>
  <c r="P115" i="5"/>
  <c r="P116" i="5"/>
  <c r="P123" i="5"/>
  <c r="P158" i="5"/>
  <c r="P174" i="5"/>
  <c r="P101" i="5"/>
  <c r="P122" i="5"/>
  <c r="P124" i="5"/>
  <c r="P159" i="5"/>
  <c r="P175" i="5"/>
  <c r="P191" i="5"/>
  <c r="P207" i="5"/>
  <c r="P223" i="5"/>
  <c r="P239" i="5"/>
  <c r="P100" i="5"/>
  <c r="P107" i="5"/>
  <c r="P112" i="5"/>
  <c r="P125" i="5"/>
  <c r="P160" i="5"/>
  <c r="P176" i="5"/>
  <c r="P192" i="5"/>
  <c r="P208" i="5"/>
  <c r="P69" i="5"/>
  <c r="P99" i="5"/>
  <c r="P121" i="5"/>
  <c r="P126" i="5"/>
  <c r="P161" i="5"/>
  <c r="P177" i="5"/>
  <c r="P193" i="5"/>
  <c r="P98" i="5"/>
  <c r="P127" i="5"/>
  <c r="P128" i="5"/>
  <c r="P129" i="5"/>
  <c r="P130" i="5"/>
  <c r="P133" i="5"/>
  <c r="P162" i="5"/>
  <c r="P178" i="5"/>
  <c r="P194" i="5"/>
  <c r="P210" i="5"/>
  <c r="P226" i="5"/>
  <c r="P50" i="5"/>
  <c r="P67" i="5"/>
  <c r="P85" i="5"/>
  <c r="P139" i="5"/>
  <c r="P164" i="5"/>
  <c r="P180" i="5"/>
  <c r="P196" i="5"/>
  <c r="P212" i="5"/>
  <c r="P228" i="5"/>
  <c r="P227" i="5"/>
  <c r="P253" i="5"/>
  <c r="P269" i="5"/>
  <c r="P285" i="5"/>
  <c r="P301" i="5"/>
  <c r="P317" i="5"/>
  <c r="P333" i="5"/>
  <c r="P349" i="5"/>
  <c r="P237" i="5"/>
  <c r="P254" i="5"/>
  <c r="P270" i="5"/>
  <c r="P286" i="5"/>
  <c r="P302" i="5"/>
  <c r="P318" i="5"/>
  <c r="P334" i="5"/>
  <c r="P350" i="5"/>
  <c r="P255" i="5"/>
  <c r="P271" i="5"/>
  <c r="P287" i="5"/>
  <c r="P303" i="5"/>
  <c r="P319" i="5"/>
  <c r="P335" i="5"/>
  <c r="P351" i="5"/>
  <c r="P256" i="5"/>
  <c r="P272" i="5"/>
  <c r="P288" i="5"/>
  <c r="P304" i="5"/>
  <c r="P320" i="5"/>
  <c r="P336" i="5"/>
  <c r="P352" i="5"/>
  <c r="P211" i="5"/>
  <c r="P222" i="5"/>
  <c r="P257" i="5"/>
  <c r="P273" i="5"/>
  <c r="P289" i="5"/>
  <c r="P305" i="5"/>
  <c r="P321" i="5"/>
  <c r="P337" i="5"/>
  <c r="P353" i="5"/>
  <c r="P131" i="5"/>
  <c r="P179" i="5"/>
  <c r="P258" i="5"/>
  <c r="P274" i="5"/>
  <c r="P290" i="5"/>
  <c r="P306" i="5"/>
  <c r="P322" i="5"/>
  <c r="P338" i="5"/>
  <c r="P259" i="5"/>
  <c r="P275" i="5"/>
  <c r="P291" i="5"/>
  <c r="P307" i="5"/>
  <c r="P323" i="5"/>
  <c r="P339" i="5"/>
  <c r="P355" i="5"/>
  <c r="P243" i="5"/>
  <c r="P244" i="5"/>
  <c r="P260" i="5"/>
  <c r="P276" i="5"/>
  <c r="P292" i="5"/>
  <c r="P308" i="5"/>
  <c r="P324" i="5"/>
  <c r="P340" i="5"/>
  <c r="P356" i="5"/>
  <c r="P97" i="5"/>
  <c r="P163" i="5"/>
  <c r="P190" i="5"/>
  <c r="P218" i="5"/>
  <c r="P225" i="5"/>
  <c r="P241" i="5"/>
  <c r="P242" i="5"/>
  <c r="P245" i="5"/>
  <c r="P261" i="5"/>
  <c r="P277" i="5"/>
  <c r="P293" i="5"/>
  <c r="P309" i="5"/>
  <c r="P325" i="5"/>
  <c r="P341" i="5"/>
  <c r="P357" i="5"/>
  <c r="P195" i="5"/>
  <c r="P240" i="5"/>
  <c r="P246" i="5"/>
  <c r="P262" i="5"/>
  <c r="P278" i="5"/>
  <c r="P294" i="5"/>
  <c r="P310" i="5"/>
  <c r="P326" i="5"/>
  <c r="P342" i="5"/>
  <c r="P358" i="5"/>
  <c r="P247" i="5"/>
  <c r="P263" i="5"/>
  <c r="P279" i="5"/>
  <c r="P295" i="5"/>
  <c r="P311" i="5"/>
  <c r="P327" i="5"/>
  <c r="P343" i="5"/>
  <c r="P224" i="5"/>
  <c r="P248" i="5"/>
  <c r="P264" i="5"/>
  <c r="P280" i="5"/>
  <c r="P296" i="5"/>
  <c r="P312" i="5"/>
  <c r="P328" i="5"/>
  <c r="P344" i="5"/>
  <c r="P234" i="5"/>
  <c r="P249" i="5"/>
  <c r="P265" i="5"/>
  <c r="P281" i="5"/>
  <c r="P297" i="5"/>
  <c r="P313" i="5"/>
  <c r="P329" i="5"/>
  <c r="P345" i="5"/>
  <c r="P206" i="5"/>
  <c r="P250" i="5"/>
  <c r="P266" i="5"/>
  <c r="P282" i="5"/>
  <c r="P298" i="5"/>
  <c r="P314" i="5"/>
  <c r="P330" i="5"/>
  <c r="P68" i="5"/>
  <c r="P209" i="5"/>
  <c r="P251" i="5"/>
  <c r="P267" i="5"/>
  <c r="P283" i="5"/>
  <c r="P299" i="5"/>
  <c r="P315" i="5"/>
  <c r="P331" i="5"/>
  <c r="P347" i="5"/>
  <c r="P132" i="5"/>
  <c r="P238" i="5"/>
  <c r="P252" i="5"/>
  <c r="P268" i="5"/>
  <c r="P360" i="5"/>
  <c r="B352" i="5"/>
  <c r="B346" i="5"/>
  <c r="F326" i="5"/>
  <c r="M326" i="5" s="1"/>
  <c r="Q5" i="5"/>
  <c r="Q21" i="5"/>
  <c r="Q37" i="5"/>
  <c r="Q53" i="5"/>
  <c r="Q69" i="5"/>
  <c r="Q85" i="5"/>
  <c r="Q101" i="5"/>
  <c r="Q117" i="5"/>
  <c r="Q133" i="5"/>
  <c r="Q149" i="5"/>
  <c r="Q6" i="5"/>
  <c r="Q22" i="5"/>
  <c r="Q38" i="5"/>
  <c r="Q54" i="5"/>
  <c r="Q70" i="5"/>
  <c r="Q86" i="5"/>
  <c r="Q102" i="5"/>
  <c r="Q118" i="5"/>
  <c r="Q134" i="5"/>
  <c r="Q150" i="5"/>
  <c r="Q7" i="5"/>
  <c r="Q23" i="5"/>
  <c r="Q39" i="5"/>
  <c r="Q55" i="5"/>
  <c r="Q71" i="5"/>
  <c r="Q87" i="5"/>
  <c r="Q103" i="5"/>
  <c r="Q119" i="5"/>
  <c r="Q135" i="5"/>
  <c r="Q8" i="5"/>
  <c r="Q24" i="5"/>
  <c r="Q40" i="5"/>
  <c r="Q56" i="5"/>
  <c r="Q72" i="5"/>
  <c r="Q88" i="5"/>
  <c r="Q104" i="5"/>
  <c r="Q9" i="5"/>
  <c r="Q25" i="5"/>
  <c r="Q41" i="5"/>
  <c r="Q57" i="5"/>
  <c r="Q73" i="5"/>
  <c r="Q89" i="5"/>
  <c r="Q105" i="5"/>
  <c r="Q10" i="5"/>
  <c r="Q26" i="5"/>
  <c r="Q42" i="5"/>
  <c r="Q58" i="5"/>
  <c r="Q74" i="5"/>
  <c r="Q90" i="5"/>
  <c r="Q11" i="5"/>
  <c r="Q27" i="5"/>
  <c r="Q43" i="5"/>
  <c r="Q59" i="5"/>
  <c r="Q75" i="5"/>
  <c r="Q91" i="5"/>
  <c r="Q107" i="5"/>
  <c r="Q12" i="5"/>
  <c r="Q28" i="5"/>
  <c r="Q44" i="5"/>
  <c r="Q60" i="5"/>
  <c r="Q76" i="5"/>
  <c r="Q92" i="5"/>
  <c r="Q108" i="5"/>
  <c r="Q13" i="5"/>
  <c r="Q29" i="5"/>
  <c r="Q45" i="5"/>
  <c r="Q61" i="5"/>
  <c r="Q77" i="5"/>
  <c r="Q93" i="5"/>
  <c r="Q14" i="5"/>
  <c r="Q30" i="5"/>
  <c r="Q46" i="5"/>
  <c r="Q62" i="5"/>
  <c r="Q78" i="5"/>
  <c r="Q94" i="5"/>
  <c r="Q110" i="5"/>
  <c r="Q15" i="5"/>
  <c r="Q31" i="5"/>
  <c r="Q47" i="5"/>
  <c r="Q63" i="5"/>
  <c r="Q79" i="5"/>
  <c r="Q16" i="5"/>
  <c r="Q32" i="5"/>
  <c r="Q48" i="5"/>
  <c r="Q17" i="5"/>
  <c r="Q33" i="5"/>
  <c r="Q2" i="5"/>
  <c r="Q18" i="5"/>
  <c r="Q34" i="5"/>
  <c r="Q50" i="5"/>
  <c r="Q3" i="5"/>
  <c r="Q19" i="5"/>
  <c r="Q35" i="5"/>
  <c r="Q51" i="5"/>
  <c r="Q67" i="5"/>
  <c r="Q139" i="5"/>
  <c r="Q164" i="5"/>
  <c r="Q180" i="5"/>
  <c r="Q196" i="5"/>
  <c r="Q212" i="5"/>
  <c r="Q228" i="5"/>
  <c r="Q106" i="5"/>
  <c r="Q138" i="5"/>
  <c r="Q140" i="5"/>
  <c r="Q165" i="5"/>
  <c r="Q181" i="5"/>
  <c r="Q197" i="5"/>
  <c r="Q213" i="5"/>
  <c r="Q229" i="5"/>
  <c r="Q66" i="5"/>
  <c r="Q84" i="5"/>
  <c r="Q96" i="5"/>
  <c r="Q141" i="5"/>
  <c r="Q166" i="5"/>
  <c r="Q182" i="5"/>
  <c r="Q198" i="5"/>
  <c r="Q214" i="5"/>
  <c r="Q230" i="5"/>
  <c r="Q83" i="5"/>
  <c r="Q137" i="5"/>
  <c r="Q142" i="5"/>
  <c r="Q151" i="5"/>
  <c r="Q167" i="5"/>
  <c r="Q183" i="5"/>
  <c r="Q199" i="5"/>
  <c r="Q215" i="5"/>
  <c r="Q231" i="5"/>
  <c r="Q65" i="5"/>
  <c r="Q109" i="5"/>
  <c r="Q143" i="5"/>
  <c r="Q144" i="5"/>
  <c r="Q145" i="5"/>
  <c r="Q152" i="5"/>
  <c r="Q168" i="5"/>
  <c r="Q184" i="5"/>
  <c r="Q200" i="5"/>
  <c r="Q216" i="5"/>
  <c r="Q232" i="5"/>
  <c r="Q49" i="5"/>
  <c r="Q52" i="5"/>
  <c r="Q82" i="5"/>
  <c r="Q136" i="5"/>
  <c r="Q146" i="5"/>
  <c r="Q153" i="5"/>
  <c r="Q169" i="5"/>
  <c r="Q185" i="5"/>
  <c r="Q201" i="5"/>
  <c r="Q95" i="5"/>
  <c r="Q147" i="5"/>
  <c r="Q148" i="5"/>
  <c r="Q154" i="5"/>
  <c r="Q170" i="5"/>
  <c r="Q186" i="5"/>
  <c r="Q202" i="5"/>
  <c r="Q218" i="5"/>
  <c r="Q234" i="5"/>
  <c r="Q81" i="5"/>
  <c r="Q155" i="5"/>
  <c r="Q171" i="5"/>
  <c r="Q187" i="5"/>
  <c r="Q203" i="5"/>
  <c r="Q219" i="5"/>
  <c r="Q235" i="5"/>
  <c r="Q64" i="5"/>
  <c r="Q156" i="5"/>
  <c r="Q172" i="5"/>
  <c r="Q188" i="5"/>
  <c r="Q204" i="5"/>
  <c r="Q220" i="5"/>
  <c r="Q157" i="5"/>
  <c r="Q173" i="5"/>
  <c r="Q113" i="5"/>
  <c r="Q114" i="5"/>
  <c r="Q115" i="5"/>
  <c r="Q116" i="5"/>
  <c r="Q123" i="5"/>
  <c r="Q158" i="5"/>
  <c r="Q174" i="5"/>
  <c r="Q190" i="5"/>
  <c r="Q206" i="5"/>
  <c r="Q222" i="5"/>
  <c r="Q238" i="5"/>
  <c r="Q4" i="5"/>
  <c r="Q80" i="5"/>
  <c r="Q122" i="5"/>
  <c r="Q124" i="5"/>
  <c r="Q159" i="5"/>
  <c r="Q175" i="5"/>
  <c r="Q191" i="5"/>
  <c r="Q207" i="5"/>
  <c r="Q20" i="5"/>
  <c r="Q100" i="5"/>
  <c r="Q112" i="5"/>
  <c r="Q125" i="5"/>
  <c r="Q160" i="5"/>
  <c r="Q176" i="5"/>
  <c r="Q192" i="5"/>
  <c r="Q36" i="5"/>
  <c r="Q99" i="5"/>
  <c r="Q121" i="5"/>
  <c r="Q126" i="5"/>
  <c r="Q161" i="5"/>
  <c r="Q177" i="5"/>
  <c r="Q193" i="5"/>
  <c r="Q209" i="5"/>
  <c r="Q225" i="5"/>
  <c r="Q68" i="5"/>
  <c r="Q97" i="5"/>
  <c r="Q111" i="5"/>
  <c r="Q120" i="5"/>
  <c r="Q131" i="5"/>
  <c r="Q132" i="5"/>
  <c r="Q163" i="5"/>
  <c r="Q179" i="5"/>
  <c r="Q195" i="5"/>
  <c r="Q211" i="5"/>
  <c r="Q227" i="5"/>
  <c r="Q194" i="5"/>
  <c r="Q223" i="5"/>
  <c r="Q252" i="5"/>
  <c r="Q268" i="5"/>
  <c r="Q284" i="5"/>
  <c r="Q300" i="5"/>
  <c r="Q316" i="5"/>
  <c r="Q332" i="5"/>
  <c r="Q348" i="5"/>
  <c r="Q233" i="5"/>
  <c r="Q253" i="5"/>
  <c r="Q269" i="5"/>
  <c r="Q285" i="5"/>
  <c r="Q301" i="5"/>
  <c r="Q317" i="5"/>
  <c r="Q333" i="5"/>
  <c r="Q349" i="5"/>
  <c r="Q98" i="5"/>
  <c r="Q129" i="5"/>
  <c r="Q237" i="5"/>
  <c r="Q254" i="5"/>
  <c r="Q270" i="5"/>
  <c r="Q286" i="5"/>
  <c r="Q302" i="5"/>
  <c r="Q318" i="5"/>
  <c r="Q334" i="5"/>
  <c r="Q350" i="5"/>
  <c r="Q208" i="5"/>
  <c r="Q255" i="5"/>
  <c r="Q271" i="5"/>
  <c r="Q287" i="5"/>
  <c r="Q303" i="5"/>
  <c r="Q319" i="5"/>
  <c r="Q335" i="5"/>
  <c r="Q351" i="5"/>
  <c r="Q205" i="5"/>
  <c r="Q256" i="5"/>
  <c r="Q272" i="5"/>
  <c r="Q288" i="5"/>
  <c r="Q304" i="5"/>
  <c r="Q320" i="5"/>
  <c r="Q336" i="5"/>
  <c r="Q352" i="5"/>
  <c r="Q226" i="5"/>
  <c r="Q236" i="5"/>
  <c r="Q257" i="5"/>
  <c r="Q273" i="5"/>
  <c r="Q289" i="5"/>
  <c r="Q305" i="5"/>
  <c r="Q321" i="5"/>
  <c r="Q337" i="5"/>
  <c r="Q258" i="5"/>
  <c r="Q274" i="5"/>
  <c r="Q290" i="5"/>
  <c r="Q306" i="5"/>
  <c r="Q322" i="5"/>
  <c r="Q338" i="5"/>
  <c r="Q354" i="5"/>
  <c r="Q259" i="5"/>
  <c r="Q275" i="5"/>
  <c r="Q291" i="5"/>
  <c r="Q307" i="5"/>
  <c r="Q323" i="5"/>
  <c r="Q339" i="5"/>
  <c r="Q355" i="5"/>
  <c r="Q128" i="5"/>
  <c r="Q243" i="5"/>
  <c r="Q244" i="5"/>
  <c r="Q260" i="5"/>
  <c r="Q276" i="5"/>
  <c r="Q292" i="5"/>
  <c r="Q308" i="5"/>
  <c r="Q324" i="5"/>
  <c r="Q340" i="5"/>
  <c r="Q356" i="5"/>
  <c r="Q221" i="5"/>
  <c r="Q241" i="5"/>
  <c r="Q242" i="5"/>
  <c r="Q245" i="5"/>
  <c r="Q261" i="5"/>
  <c r="Q277" i="5"/>
  <c r="Q293" i="5"/>
  <c r="Q309" i="5"/>
  <c r="Q325" i="5"/>
  <c r="Q341" i="5"/>
  <c r="Q357" i="5"/>
  <c r="Q210" i="5"/>
  <c r="Q240" i="5"/>
  <c r="Q246" i="5"/>
  <c r="Q262" i="5"/>
  <c r="Q278" i="5"/>
  <c r="Q294" i="5"/>
  <c r="Q310" i="5"/>
  <c r="Q326" i="5"/>
  <c r="Q342" i="5"/>
  <c r="Q358" i="5"/>
  <c r="Q247" i="5"/>
  <c r="Q263" i="5"/>
  <c r="Q279" i="5"/>
  <c r="Q295" i="5"/>
  <c r="Q311" i="5"/>
  <c r="Q327" i="5"/>
  <c r="Q343" i="5"/>
  <c r="Q130" i="5"/>
  <c r="Q178" i="5"/>
  <c r="Q224" i="5"/>
  <c r="Q239" i="5"/>
  <c r="Q248" i="5"/>
  <c r="Q264" i="5"/>
  <c r="Q280" i="5"/>
  <c r="Q296" i="5"/>
  <c r="Q312" i="5"/>
  <c r="Q328" i="5"/>
  <c r="Q344" i="5"/>
  <c r="Q249" i="5"/>
  <c r="Q265" i="5"/>
  <c r="Q281" i="5"/>
  <c r="Q297" i="5"/>
  <c r="Q313" i="5"/>
  <c r="Q329" i="5"/>
  <c r="Q127" i="5"/>
  <c r="Q217" i="5"/>
  <c r="Q250" i="5"/>
  <c r="Q266" i="5"/>
  <c r="Q282" i="5"/>
  <c r="Q298" i="5"/>
  <c r="Q314" i="5"/>
  <c r="Q330" i="5"/>
  <c r="Q346" i="5"/>
  <c r="Q162" i="5"/>
  <c r="Q189" i="5"/>
  <c r="Q251" i="5"/>
  <c r="Q267" i="5"/>
  <c r="S67" i="9"/>
  <c r="S275" i="9"/>
  <c r="S291" i="9"/>
  <c r="S323" i="9"/>
  <c r="P359" i="5"/>
  <c r="R359" i="5" s="1"/>
  <c r="Q345" i="5"/>
  <c r="B330" i="5"/>
  <c r="L103" i="5"/>
  <c r="L239" i="5"/>
  <c r="L88" i="5"/>
  <c r="L200" i="5"/>
  <c r="L168" i="5"/>
  <c r="L119" i="5"/>
  <c r="L184" i="5"/>
  <c r="L138" i="5"/>
  <c r="L74" i="5"/>
  <c r="L56" i="5"/>
  <c r="L112" i="5"/>
  <c r="L26" i="5"/>
  <c r="L90" i="5"/>
  <c r="K206" i="6"/>
  <c r="S180" i="9"/>
  <c r="J189" i="9"/>
  <c r="J212" i="9"/>
  <c r="S324" i="9"/>
  <c r="K188" i="6"/>
  <c r="K204" i="6"/>
  <c r="S118" i="9"/>
  <c r="K231" i="6"/>
  <c r="J81" i="9"/>
  <c r="S111" i="9"/>
  <c r="K234" i="6"/>
  <c r="S120" i="9"/>
  <c r="J60" i="9"/>
  <c r="S234" i="9"/>
  <c r="K164" i="6"/>
  <c r="S188" i="9"/>
  <c r="K91" i="6"/>
  <c r="S236" i="9"/>
  <c r="K263" i="6"/>
  <c r="K185" i="6"/>
  <c r="K317" i="6"/>
  <c r="K326" i="6"/>
  <c r="S190" i="9"/>
  <c r="S348" i="9"/>
  <c r="S364" i="9"/>
  <c r="S254" i="9"/>
  <c r="K324" i="6"/>
  <c r="J139" i="9"/>
  <c r="J263" i="9"/>
  <c r="K311" i="6"/>
  <c r="K208" i="6"/>
  <c r="S13" i="9"/>
  <c r="S45" i="9"/>
  <c r="S155" i="9"/>
  <c r="S258" i="9"/>
  <c r="K226" i="6"/>
  <c r="K242" i="6"/>
  <c r="K290" i="6"/>
  <c r="K322" i="6"/>
  <c r="S30" i="9"/>
  <c r="S177" i="9"/>
  <c r="S184" i="9"/>
  <c r="S230" i="9"/>
  <c r="S237" i="9"/>
  <c r="S253" i="9"/>
  <c r="S283" i="9"/>
  <c r="S299" i="9"/>
  <c r="S315" i="9"/>
  <c r="K195" i="6"/>
  <c r="K272" i="6"/>
  <c r="S83" i="9"/>
  <c r="S106" i="9"/>
  <c r="S122" i="9"/>
  <c r="S138" i="9"/>
  <c r="S170" i="9"/>
  <c r="S200" i="9"/>
  <c r="S223" i="9"/>
  <c r="S262" i="9"/>
  <c r="S347" i="9"/>
  <c r="J273" i="9"/>
  <c r="K254" i="6"/>
  <c r="J2" i="9"/>
  <c r="S32" i="9"/>
  <c r="S78" i="9"/>
  <c r="S115" i="9"/>
  <c r="S165" i="9"/>
  <c r="S239" i="9"/>
  <c r="S257" i="9"/>
  <c r="S264" i="9"/>
  <c r="S271" i="9"/>
  <c r="S287" i="9"/>
  <c r="R232" i="7"/>
  <c r="S326" i="9"/>
  <c r="K202" i="6"/>
  <c r="K36" i="6"/>
  <c r="K52" i="6"/>
  <c r="K171" i="6"/>
  <c r="K189" i="6"/>
  <c r="K314" i="6"/>
  <c r="S351" i="9"/>
  <c r="K273" i="6"/>
  <c r="S68" i="9"/>
  <c r="S75" i="9"/>
  <c r="S162" i="9"/>
  <c r="J307" i="9"/>
  <c r="K264" i="6"/>
  <c r="K312" i="6"/>
  <c r="S15" i="9"/>
  <c r="S24" i="9"/>
  <c r="S40" i="9"/>
  <c r="J58" i="9"/>
  <c r="J268" i="9"/>
  <c r="S346" i="9"/>
  <c r="J361" i="9"/>
  <c r="J100" i="9"/>
  <c r="S309" i="9"/>
  <c r="K246" i="6"/>
  <c r="K262" i="6"/>
  <c r="K14" i="6"/>
  <c r="K30" i="6"/>
  <c r="K46" i="6"/>
  <c r="K62" i="6"/>
  <c r="K78" i="6"/>
  <c r="K94" i="6"/>
  <c r="K158" i="6"/>
  <c r="K174" i="6"/>
  <c r="K192" i="6"/>
  <c r="K276" i="6"/>
  <c r="J3" i="9"/>
  <c r="S63" i="9"/>
  <c r="J125" i="9"/>
  <c r="S302" i="9"/>
  <c r="K183" i="6"/>
  <c r="K214" i="6"/>
  <c r="K267" i="6"/>
  <c r="K283" i="6"/>
  <c r="J86" i="9"/>
  <c r="S205" i="9"/>
  <c r="S235" i="9"/>
  <c r="S281" i="9"/>
  <c r="S313" i="9"/>
  <c r="S60" i="9"/>
  <c r="S221" i="9"/>
  <c r="S274" i="9"/>
  <c r="S306" i="9"/>
  <c r="S322" i="9"/>
  <c r="R224" i="7"/>
  <c r="R239" i="7"/>
  <c r="S17" i="9"/>
  <c r="J54" i="9"/>
  <c r="R187" i="7"/>
  <c r="J196" i="9"/>
  <c r="J234" i="9"/>
  <c r="S303" i="9"/>
  <c r="S319" i="9"/>
  <c r="S340" i="9"/>
  <c r="K63" i="6"/>
  <c r="K159" i="6"/>
  <c r="K182" i="6"/>
  <c r="K221" i="6"/>
  <c r="K230" i="6"/>
  <c r="K289" i="6"/>
  <c r="K305" i="6"/>
  <c r="R128" i="7"/>
  <c r="R130" i="7"/>
  <c r="S19" i="9"/>
  <c r="J49" i="9"/>
  <c r="S114" i="9"/>
  <c r="S128" i="9"/>
  <c r="S130" i="9"/>
  <c r="J137" i="9"/>
  <c r="J159" i="9"/>
  <c r="S241" i="9"/>
  <c r="J293" i="9"/>
  <c r="J326" i="9"/>
  <c r="K79" i="6"/>
  <c r="K175" i="6"/>
  <c r="K336" i="6"/>
  <c r="E21" i="1"/>
  <c r="K191" i="6"/>
  <c r="K271" i="6"/>
  <c r="K296" i="6"/>
  <c r="R100" i="7"/>
  <c r="R235" i="7"/>
  <c r="S5" i="9"/>
  <c r="S100" i="9"/>
  <c r="J205" i="9"/>
  <c r="J316" i="9"/>
  <c r="J362" i="9"/>
  <c r="K47" i="6"/>
  <c r="F21" i="1"/>
  <c r="R80" i="7"/>
  <c r="R96" i="7"/>
  <c r="R184" i="7"/>
  <c r="R281" i="7"/>
  <c r="S14" i="9"/>
  <c r="S21" i="9"/>
  <c r="S65" i="9"/>
  <c r="S116" i="9"/>
  <c r="J123" i="9"/>
  <c r="S132" i="9"/>
  <c r="S164" i="9"/>
  <c r="S178" i="9"/>
  <c r="S187" i="9"/>
  <c r="S194" i="9"/>
  <c r="S208" i="9"/>
  <c r="S215" i="9"/>
  <c r="S231" i="9"/>
  <c r="J236" i="9"/>
  <c r="S245" i="9"/>
  <c r="J272" i="9"/>
  <c r="S282" i="9"/>
  <c r="J289" i="9"/>
  <c r="S298" i="9"/>
  <c r="J305" i="9"/>
  <c r="S314" i="9"/>
  <c r="S335" i="9"/>
  <c r="K327" i="6"/>
  <c r="D22" i="1"/>
  <c r="K155" i="6"/>
  <c r="K187" i="6"/>
  <c r="K269" i="6"/>
  <c r="K285" i="6"/>
  <c r="K310" i="6"/>
  <c r="K332" i="6"/>
  <c r="K348" i="6"/>
  <c r="R183" i="7"/>
  <c r="R297" i="7"/>
  <c r="J97" i="9"/>
  <c r="J282" i="9"/>
  <c r="J288" i="9"/>
  <c r="J353" i="9"/>
  <c r="J358" i="9"/>
  <c r="R156" i="7"/>
  <c r="R182" i="7"/>
  <c r="S46" i="9"/>
  <c r="J131" i="9"/>
  <c r="S150" i="9"/>
  <c r="S182" i="9"/>
  <c r="S203" i="9"/>
  <c r="S247" i="9"/>
  <c r="J313" i="9"/>
  <c r="S330" i="9"/>
  <c r="K352" i="6"/>
  <c r="K330" i="6"/>
  <c r="J16" i="9"/>
  <c r="J118" i="9"/>
  <c r="S189" i="9"/>
  <c r="S226" i="9"/>
  <c r="J300" i="9"/>
  <c r="J329" i="9"/>
  <c r="J337" i="9"/>
  <c r="K32" i="6"/>
  <c r="K48" i="6"/>
  <c r="K64" i="6"/>
  <c r="K80" i="6"/>
  <c r="K96" i="6"/>
  <c r="K144" i="6"/>
  <c r="K160" i="6"/>
  <c r="K167" i="6"/>
  <c r="K215" i="6"/>
  <c r="K240" i="6"/>
  <c r="K258" i="6"/>
  <c r="K306" i="6"/>
  <c r="K315" i="6"/>
  <c r="J15" i="9"/>
  <c r="S25" i="9"/>
  <c r="S41" i="9"/>
  <c r="S48" i="9"/>
  <c r="S55" i="9"/>
  <c r="S97" i="9"/>
  <c r="S104" i="9"/>
  <c r="S136" i="9"/>
  <c r="S152" i="9"/>
  <c r="S168" i="9"/>
  <c r="S198" i="9"/>
  <c r="S219" i="9"/>
  <c r="S249" i="9"/>
  <c r="S286" i="9"/>
  <c r="S318" i="9"/>
  <c r="S332" i="9"/>
  <c r="S339" i="9"/>
  <c r="J348" i="9"/>
  <c r="S355" i="9"/>
  <c r="S362" i="9"/>
  <c r="K239" i="6"/>
  <c r="C14" i="1"/>
  <c r="K238" i="6"/>
  <c r="K265" i="6"/>
  <c r="K281" i="6"/>
  <c r="J31" i="9"/>
  <c r="J120" i="9"/>
  <c r="J269" i="9"/>
  <c r="J332" i="9"/>
  <c r="D14" i="1"/>
  <c r="K181" i="6"/>
  <c r="K209" i="6"/>
  <c r="K220" i="6"/>
  <c r="K229" i="6"/>
  <c r="K295" i="6"/>
  <c r="K304" i="6"/>
  <c r="J27" i="9"/>
  <c r="J29" i="9"/>
  <c r="S92" i="9"/>
  <c r="S212" i="9"/>
  <c r="J264" i="9"/>
  <c r="S265" i="9"/>
  <c r="J271" i="9"/>
  <c r="J299" i="9"/>
  <c r="D32" i="1"/>
  <c r="K207" i="6"/>
  <c r="R173" i="7"/>
  <c r="R228" i="7"/>
  <c r="S4" i="9"/>
  <c r="S27" i="9"/>
  <c r="S29" i="9"/>
  <c r="J71" i="9"/>
  <c r="J121" i="9"/>
  <c r="S154" i="9"/>
  <c r="K31" i="6"/>
  <c r="K143" i="6"/>
  <c r="C16" i="1"/>
  <c r="K35" i="6"/>
  <c r="K51" i="6"/>
  <c r="K67" i="6"/>
  <c r="K147" i="6"/>
  <c r="K163" i="6"/>
  <c r="K205" i="6"/>
  <c r="K218" i="6"/>
  <c r="K261" i="6"/>
  <c r="S38" i="9"/>
  <c r="J59" i="9"/>
  <c r="J84" i="9"/>
  <c r="J108" i="9"/>
  <c r="J156" i="9"/>
  <c r="S202" i="9"/>
  <c r="J290" i="9"/>
  <c r="S297" i="9"/>
  <c r="S359" i="9"/>
  <c r="K201" i="6"/>
  <c r="K225" i="6"/>
  <c r="K268" i="6"/>
  <c r="K284" i="6"/>
  <c r="K363" i="6"/>
  <c r="R169" i="7"/>
  <c r="S61" i="9"/>
  <c r="S73" i="9"/>
  <c r="S87" i="9"/>
  <c r="S110" i="9"/>
  <c r="S126" i="9"/>
  <c r="J149" i="9"/>
  <c r="S158" i="9"/>
  <c r="S225" i="9"/>
  <c r="J246" i="9"/>
  <c r="S255" i="9"/>
  <c r="S269" i="9"/>
  <c r="S276" i="9"/>
  <c r="S292" i="9"/>
  <c r="S308" i="9"/>
  <c r="S345" i="9"/>
  <c r="D35" i="1"/>
  <c r="K199" i="6"/>
  <c r="K275" i="6"/>
  <c r="K316" i="6"/>
  <c r="R255" i="7"/>
  <c r="J116" i="9"/>
  <c r="S119" i="9"/>
  <c r="J164" i="9"/>
  <c r="J215" i="9"/>
  <c r="S218" i="9"/>
  <c r="S248" i="9"/>
  <c r="J261" i="9"/>
  <c r="S301" i="9"/>
  <c r="S317" i="9"/>
  <c r="J324" i="9"/>
  <c r="S331" i="9"/>
  <c r="S338" i="9"/>
  <c r="S354" i="9"/>
  <c r="S361" i="9"/>
  <c r="K331" i="6"/>
  <c r="R120" i="7"/>
  <c r="R241" i="7"/>
  <c r="J46" i="9"/>
  <c r="J224" i="9"/>
  <c r="J365" i="9"/>
  <c r="K241" i="6"/>
  <c r="K250" i="6"/>
  <c r="S39" i="9"/>
  <c r="S95" i="9"/>
  <c r="J127" i="9"/>
  <c r="J284" i="9"/>
  <c r="J314" i="9"/>
  <c r="K232" i="6"/>
  <c r="K329" i="6"/>
  <c r="R244" i="7"/>
  <c r="R251" i="7"/>
  <c r="R252" i="7"/>
  <c r="R253" i="7"/>
  <c r="R254" i="7"/>
  <c r="K173" i="6"/>
  <c r="K325" i="6"/>
  <c r="S22" i="9"/>
  <c r="J122" i="9"/>
  <c r="S207" i="9"/>
  <c r="S214" i="9"/>
  <c r="K323" i="6"/>
  <c r="R180" i="7"/>
  <c r="J207" i="9"/>
  <c r="J360" i="9"/>
  <c r="P130" i="7"/>
  <c r="J124" i="9"/>
  <c r="J223" i="9"/>
  <c r="F42" i="1"/>
  <c r="F44" i="1"/>
  <c r="E58" i="1"/>
  <c r="K34" i="6"/>
  <c r="K50" i="6"/>
  <c r="K66" i="6"/>
  <c r="K82" i="6"/>
  <c r="K98" i="6"/>
  <c r="K146" i="6"/>
  <c r="K162" i="6"/>
  <c r="K319" i="6"/>
  <c r="R301" i="7"/>
  <c r="J19" i="9"/>
  <c r="J66" i="9"/>
  <c r="J117" i="9"/>
  <c r="J202" i="9"/>
  <c r="J253" i="9"/>
  <c r="R78" i="7"/>
  <c r="R170" i="7"/>
  <c r="J10" i="9"/>
  <c r="J110" i="9"/>
  <c r="R74" i="7"/>
  <c r="R124" i="7"/>
  <c r="R209" i="7"/>
  <c r="J343" i="9"/>
  <c r="J364" i="9"/>
  <c r="R42" i="7"/>
  <c r="R126" i="7"/>
  <c r="R163" i="7"/>
  <c r="J75" i="9"/>
  <c r="R108" i="7"/>
  <c r="S336" i="9"/>
  <c r="J48" i="9"/>
  <c r="J134" i="9"/>
  <c r="J233" i="9"/>
  <c r="J321" i="9"/>
  <c r="J333" i="9"/>
  <c r="E15" i="1"/>
  <c r="F15" i="1"/>
  <c r="R159" i="7"/>
  <c r="J7" i="9"/>
  <c r="J107" i="9"/>
  <c r="J229" i="9"/>
  <c r="C22" i="1"/>
  <c r="K9" i="6"/>
  <c r="K25" i="6"/>
  <c r="K41" i="6"/>
  <c r="K57" i="6"/>
  <c r="K105" i="6"/>
  <c r="K121" i="6"/>
  <c r="K137" i="6"/>
  <c r="K153" i="6"/>
  <c r="K252" i="6"/>
  <c r="K279" i="6"/>
  <c r="K288" i="6"/>
  <c r="K299" i="6"/>
  <c r="K308" i="6"/>
  <c r="R40" i="7"/>
  <c r="R122" i="7"/>
  <c r="P126" i="7"/>
  <c r="R158" i="7"/>
  <c r="R161" i="7"/>
  <c r="R165" i="7"/>
  <c r="R211" i="7"/>
  <c r="R221" i="7"/>
  <c r="R329" i="7"/>
  <c r="S56" i="9"/>
  <c r="S88" i="9"/>
  <c r="J95" i="9"/>
  <c r="J99" i="9"/>
  <c r="J151" i="9"/>
  <c r="J167" i="9"/>
  <c r="J168" i="9"/>
  <c r="S185" i="9"/>
  <c r="J201" i="9"/>
  <c r="J219" i="9"/>
  <c r="J241" i="9"/>
  <c r="J245" i="9"/>
  <c r="J248" i="9"/>
  <c r="J258" i="9"/>
  <c r="S270" i="9"/>
  <c r="J292" i="9"/>
  <c r="J331" i="9"/>
  <c r="J336" i="9"/>
  <c r="S341" i="9"/>
  <c r="S343" i="9"/>
  <c r="J357" i="9"/>
  <c r="S358" i="9"/>
  <c r="S360" i="9"/>
  <c r="S365" i="9"/>
  <c r="E22" i="1"/>
  <c r="K7" i="6"/>
  <c r="K23" i="6"/>
  <c r="K39" i="6"/>
  <c r="K55" i="6"/>
  <c r="K151" i="6"/>
  <c r="K169" i="6"/>
  <c r="K178" i="6"/>
  <c r="K217" i="6"/>
  <c r="K237" i="6"/>
  <c r="K248" i="6"/>
  <c r="K277" i="6"/>
  <c r="K297" i="6"/>
  <c r="K340" i="6"/>
  <c r="K356" i="6"/>
  <c r="R157" i="7"/>
  <c r="R164" i="7"/>
  <c r="R166" i="7"/>
  <c r="R168" i="7"/>
  <c r="R172" i="7"/>
  <c r="J24" i="9"/>
  <c r="J41" i="9"/>
  <c r="S51" i="9"/>
  <c r="S53" i="9"/>
  <c r="J89" i="9"/>
  <c r="J90" i="9"/>
  <c r="J112" i="9"/>
  <c r="S117" i="9"/>
  <c r="S127" i="9"/>
  <c r="S129" i="9"/>
  <c r="J143" i="9"/>
  <c r="S146" i="9"/>
  <c r="S160" i="9"/>
  <c r="J187" i="9"/>
  <c r="J192" i="9"/>
  <c r="J303" i="9"/>
  <c r="J304" i="9"/>
  <c r="J325" i="9"/>
  <c r="S353" i="9"/>
  <c r="F16" i="1"/>
  <c r="F22" i="1"/>
  <c r="R25" i="7"/>
  <c r="R90" i="7"/>
  <c r="R94" i="7"/>
  <c r="R155" i="7"/>
  <c r="R162" i="7"/>
  <c r="R171" i="7"/>
  <c r="R203" i="7"/>
  <c r="R215" i="7"/>
  <c r="S12" i="9"/>
  <c r="S34" i="9"/>
  <c r="S112" i="9"/>
  <c r="J129" i="9"/>
  <c r="J141" i="9"/>
  <c r="J160" i="9"/>
  <c r="J165" i="9"/>
  <c r="J170" i="9"/>
  <c r="S175" i="9"/>
  <c r="J216" i="9"/>
  <c r="J226" i="9"/>
  <c r="J238" i="9"/>
  <c r="S260" i="9"/>
  <c r="J294" i="9"/>
  <c r="J301" i="9"/>
  <c r="S304" i="9"/>
  <c r="J311" i="9"/>
  <c r="J328" i="9"/>
  <c r="D9" i="1"/>
  <c r="C23" i="1"/>
  <c r="D34" i="1"/>
  <c r="K5" i="6"/>
  <c r="K21" i="6"/>
  <c r="K37" i="6"/>
  <c r="K53" i="6"/>
  <c r="K69" i="6"/>
  <c r="K85" i="6"/>
  <c r="K101" i="6"/>
  <c r="K117" i="6"/>
  <c r="K133" i="6"/>
  <c r="K149" i="6"/>
  <c r="K165" i="6"/>
  <c r="K176" i="6"/>
  <c r="K235" i="6"/>
  <c r="K257" i="6"/>
  <c r="K293" i="6"/>
  <c r="K338" i="6"/>
  <c r="K354" i="6"/>
  <c r="R3" i="7"/>
  <c r="R112" i="7"/>
  <c r="R150" i="7"/>
  <c r="R153" i="7"/>
  <c r="R201" i="7"/>
  <c r="R223" i="7"/>
  <c r="R227" i="7"/>
  <c r="R331" i="7"/>
  <c r="J26" i="9"/>
  <c r="J36" i="9"/>
  <c r="J80" i="9"/>
  <c r="J85" i="9"/>
  <c r="J92" i="9"/>
  <c r="J102" i="9"/>
  <c r="J114" i="9"/>
  <c r="J119" i="9"/>
  <c r="S134" i="9"/>
  <c r="S139" i="9"/>
  <c r="J191" i="9"/>
  <c r="J194" i="9"/>
  <c r="J257" i="9"/>
  <c r="J259" i="9"/>
  <c r="S277" i="9"/>
  <c r="S316" i="9"/>
  <c r="C18" i="1"/>
  <c r="D23" i="1"/>
  <c r="K44" i="6"/>
  <c r="K60" i="6"/>
  <c r="K76" i="6"/>
  <c r="K92" i="6"/>
  <c r="K156" i="6"/>
  <c r="K222" i="6"/>
  <c r="K224" i="6"/>
  <c r="K233" i="6"/>
  <c r="K244" i="6"/>
  <c r="K266" i="6"/>
  <c r="K282" i="6"/>
  <c r="K313" i="6"/>
  <c r="K361" i="6"/>
  <c r="R23" i="7"/>
  <c r="R148" i="7"/>
  <c r="R151" i="7"/>
  <c r="S9" i="9"/>
  <c r="J13" i="9"/>
  <c r="J23" i="9"/>
  <c r="S36" i="9"/>
  <c r="J43" i="9"/>
  <c r="J52" i="9"/>
  <c r="S80" i="9"/>
  <c r="S102" i="9"/>
  <c r="S107" i="9"/>
  <c r="J136" i="9"/>
  <c r="J145" i="9"/>
  <c r="J155" i="9"/>
  <c r="J157" i="9"/>
  <c r="J184" i="9"/>
  <c r="J211" i="9"/>
  <c r="S250" i="9"/>
  <c r="J267" i="9"/>
  <c r="S272" i="9"/>
  <c r="J323" i="9"/>
  <c r="J340" i="9"/>
  <c r="E23" i="1"/>
  <c r="R22" i="7"/>
  <c r="R36" i="7"/>
  <c r="R72" i="7"/>
  <c r="R106" i="7"/>
  <c r="R118" i="7"/>
  <c r="R149" i="7"/>
  <c r="R195" i="7"/>
  <c r="R207" i="7"/>
  <c r="J21" i="9"/>
  <c r="S43" i="9"/>
  <c r="J55" i="9"/>
  <c r="J65" i="9"/>
  <c r="J70" i="9"/>
  <c r="J87" i="9"/>
  <c r="J94" i="9"/>
  <c r="J104" i="9"/>
  <c r="J109" i="9"/>
  <c r="S148" i="9"/>
  <c r="J206" i="9"/>
  <c r="J218" i="9"/>
  <c r="J228" i="9"/>
  <c r="S233" i="9"/>
  <c r="J252" i="9"/>
  <c r="S284" i="9"/>
  <c r="J330" i="9"/>
  <c r="J335" i="9"/>
  <c r="D10" i="1"/>
  <c r="F23" i="1"/>
  <c r="K42" i="6"/>
  <c r="K58" i="6"/>
  <c r="K154" i="6"/>
  <c r="K253" i="6"/>
  <c r="K280" i="6"/>
  <c r="K300" i="6"/>
  <c r="K309" i="6"/>
  <c r="K343" i="6"/>
  <c r="K359" i="6"/>
  <c r="R35" i="7"/>
  <c r="P108" i="7"/>
  <c r="R116" i="7"/>
  <c r="R190" i="7"/>
  <c r="R193" i="7"/>
  <c r="R233" i="7"/>
  <c r="R343" i="7"/>
  <c r="J28" i="9"/>
  <c r="J38" i="9"/>
  <c r="J45" i="9"/>
  <c r="J82" i="9"/>
  <c r="J91" i="9"/>
  <c r="J115" i="9"/>
  <c r="J126" i="9"/>
  <c r="J150" i="9"/>
  <c r="S172" i="9"/>
  <c r="S201" i="9"/>
  <c r="S206" i="9"/>
  <c r="J208" i="9"/>
  <c r="J213" i="9"/>
  <c r="J217" i="9"/>
  <c r="S228" i="9"/>
  <c r="J240" i="9"/>
  <c r="J247" i="9"/>
  <c r="J291" i="9"/>
  <c r="J308" i="9"/>
  <c r="J347" i="9"/>
  <c r="J352" i="9"/>
  <c r="S357" i="9"/>
  <c r="F10" i="1"/>
  <c r="C20" i="1"/>
  <c r="R14" i="7"/>
  <c r="R20" i="7"/>
  <c r="R66" i="7"/>
  <c r="R70" i="7"/>
  <c r="R88" i="7"/>
  <c r="R114" i="7"/>
  <c r="R191" i="7"/>
  <c r="R237" i="7"/>
  <c r="R265" i="7"/>
  <c r="R309" i="7"/>
  <c r="S33" i="9"/>
  <c r="J44" i="9"/>
  <c r="J50" i="9"/>
  <c r="S143" i="9"/>
  <c r="J186" i="9"/>
  <c r="S196" i="9"/>
  <c r="J230" i="9"/>
  <c r="J235" i="9"/>
  <c r="S240" i="9"/>
  <c r="J297" i="9"/>
  <c r="J298" i="9"/>
  <c r="J342" i="9"/>
  <c r="J349" i="9"/>
  <c r="S352" i="9"/>
  <c r="J359" i="9"/>
  <c r="J363" i="9"/>
  <c r="E24" i="1"/>
  <c r="K40" i="6"/>
  <c r="K56" i="6"/>
  <c r="K152" i="6"/>
  <c r="K170" i="6"/>
  <c r="K249" i="6"/>
  <c r="K278" i="6"/>
  <c r="K298" i="6"/>
  <c r="K307" i="6"/>
  <c r="K357" i="6"/>
  <c r="R19" i="7"/>
  <c r="R32" i="7"/>
  <c r="R186" i="7"/>
  <c r="R189" i="7"/>
  <c r="R197" i="7"/>
  <c r="R199" i="7"/>
  <c r="J11" i="9"/>
  <c r="J33" i="9"/>
  <c r="J35" i="9"/>
  <c r="J40" i="9"/>
  <c r="J111" i="9"/>
  <c r="J132" i="9"/>
  <c r="J133" i="9"/>
  <c r="J138" i="9"/>
  <c r="J152" i="9"/>
  <c r="J173" i="9"/>
  <c r="J181" i="9"/>
  <c r="J185" i="9"/>
  <c r="J203" i="9"/>
  <c r="J220" i="9"/>
  <c r="J244" i="9"/>
  <c r="J276" i="9"/>
  <c r="J315" i="9"/>
  <c r="J319" i="9"/>
  <c r="J320" i="9"/>
  <c r="S325" i="9"/>
  <c r="J341" i="9"/>
  <c r="S342" i="9"/>
  <c r="D20" i="1"/>
  <c r="F24" i="1"/>
  <c r="R29" i="7"/>
  <c r="R82" i="7"/>
  <c r="R86" i="7"/>
  <c r="R104" i="7"/>
  <c r="R194" i="7"/>
  <c r="P281" i="7"/>
  <c r="R339" i="7"/>
  <c r="J47" i="9"/>
  <c r="J105" i="9"/>
  <c r="J106" i="9"/>
  <c r="J128" i="9"/>
  <c r="S133" i="9"/>
  <c r="J135" i="9"/>
  <c r="J144" i="9"/>
  <c r="J180" i="9"/>
  <c r="S191" i="9"/>
  <c r="J225" i="9"/>
  <c r="J237" i="9"/>
  <c r="J310" i="9"/>
  <c r="J317" i="9"/>
  <c r="S320" i="9"/>
  <c r="J327" i="9"/>
  <c r="J344" i="9"/>
  <c r="J354" i="9"/>
  <c r="F20" i="1"/>
  <c r="K38" i="6"/>
  <c r="K54" i="6"/>
  <c r="K150" i="6"/>
  <c r="K166" i="6"/>
  <c r="K177" i="6"/>
  <c r="K236" i="6"/>
  <c r="K247" i="6"/>
  <c r="K294" i="6"/>
  <c r="R179" i="7"/>
  <c r="R192" i="7"/>
  <c r="R305" i="7"/>
  <c r="J18" i="9"/>
  <c r="J42" i="9"/>
  <c r="S54" i="9"/>
  <c r="S74" i="9"/>
  <c r="J101" i="9"/>
  <c r="S135" i="9"/>
  <c r="S147" i="9"/>
  <c r="S159" i="9"/>
  <c r="S169" i="9"/>
  <c r="J176" i="9"/>
  <c r="J231" i="9"/>
  <c r="J232" i="9"/>
  <c r="S242" i="9"/>
  <c r="S244" i="9"/>
  <c r="J278" i="9"/>
  <c r="J283" i="9"/>
  <c r="J287" i="9"/>
  <c r="S293" i="9"/>
  <c r="J309" i="9"/>
  <c r="S337" i="9"/>
  <c r="E14" i="1"/>
  <c r="C21" i="1"/>
  <c r="E25" i="1"/>
  <c r="K141" i="6"/>
  <c r="K157" i="6"/>
  <c r="K216" i="6"/>
  <c r="K245" i="6"/>
  <c r="K303" i="6"/>
  <c r="K346" i="6"/>
  <c r="K362" i="6"/>
  <c r="R11" i="7"/>
  <c r="R26" i="7"/>
  <c r="R102" i="7"/>
  <c r="R174" i="7"/>
  <c r="R177" i="7"/>
  <c r="R181" i="7"/>
  <c r="R185" i="7"/>
  <c r="R363" i="7"/>
  <c r="P363" i="7"/>
  <c r="S3" i="9"/>
  <c r="S8" i="9"/>
  <c r="J39" i="9"/>
  <c r="J64" i="9"/>
  <c r="S69" i="9"/>
  <c r="J73" i="9"/>
  <c r="S93" i="9"/>
  <c r="S98" i="9"/>
  <c r="S103" i="9"/>
  <c r="S108" i="9"/>
  <c r="J130" i="9"/>
  <c r="J140" i="9"/>
  <c r="J154" i="9"/>
  <c r="J161" i="9"/>
  <c r="S166" i="9"/>
  <c r="S171" i="9"/>
  <c r="S227" i="9"/>
  <c r="S261" i="9"/>
  <c r="S263" i="9"/>
  <c r="S273" i="9"/>
  <c r="J285" i="9"/>
  <c r="S288" i="9"/>
  <c r="J295" i="9"/>
  <c r="J322" i="9"/>
  <c r="J339" i="9"/>
  <c r="J356" i="9"/>
  <c r="D21" i="1"/>
  <c r="D28" i="1"/>
  <c r="K68" i="6"/>
  <c r="K84" i="6"/>
  <c r="K243" i="6"/>
  <c r="K274" i="6"/>
  <c r="K301" i="6"/>
  <c r="R98" i="7"/>
  <c r="R175" i="7"/>
  <c r="R178" i="7"/>
  <c r="R188" i="7"/>
  <c r="R213" i="7"/>
  <c r="R225" i="7"/>
  <c r="R229" i="7"/>
  <c r="J34" i="9"/>
  <c r="J37" i="9"/>
  <c r="J51" i="9"/>
  <c r="J68" i="9"/>
  <c r="S125" i="9"/>
  <c r="S142" i="9"/>
  <c r="S149" i="9"/>
  <c r="S156" i="9"/>
  <c r="J166" i="9"/>
  <c r="J171" i="9"/>
  <c r="J175" i="9"/>
  <c r="S195" i="9"/>
  <c r="J221" i="9"/>
  <c r="J222" i="9"/>
  <c r="J227" i="9"/>
  <c r="J239" i="9"/>
  <c r="S246" i="9"/>
  <c r="J251" i="9"/>
  <c r="J255" i="9"/>
  <c r="J256" i="9"/>
  <c r="S268" i="9"/>
  <c r="J277" i="9"/>
  <c r="S280" i="9"/>
  <c r="S285" i="9"/>
  <c r="S290" i="9"/>
  <c r="S300" i="9"/>
  <c r="S307" i="9"/>
  <c r="J345" i="9"/>
  <c r="J346" i="9"/>
  <c r="J351" i="9"/>
  <c r="S363" i="9"/>
  <c r="B366" i="9"/>
  <c r="B350" i="9"/>
  <c r="B334" i="9"/>
  <c r="B318" i="9"/>
  <c r="B302" i="9"/>
  <c r="B286" i="9"/>
  <c r="B270" i="9"/>
  <c r="B254" i="9"/>
  <c r="B355" i="9"/>
  <c r="B339" i="9"/>
  <c r="B323" i="9"/>
  <c r="B307" i="9"/>
  <c r="B291" i="9"/>
  <c r="B275" i="9"/>
  <c r="B259" i="9"/>
  <c r="B360" i="9"/>
  <c r="B344" i="9"/>
  <c r="B328" i="9"/>
  <c r="B312" i="9"/>
  <c r="B296" i="9"/>
  <c r="B280" i="9"/>
  <c r="B365" i="9"/>
  <c r="B349" i="9"/>
  <c r="B333" i="9"/>
  <c r="B317" i="9"/>
  <c r="B301" i="9"/>
  <c r="B285" i="9"/>
  <c r="B269" i="9"/>
  <c r="B354" i="9"/>
  <c r="B338" i="9"/>
  <c r="B322" i="9"/>
  <c r="B306" i="9"/>
  <c r="B290" i="9"/>
  <c r="B274" i="9"/>
  <c r="B258" i="9"/>
  <c r="B242" i="9"/>
  <c r="B359" i="9"/>
  <c r="B343" i="9"/>
  <c r="B327" i="9"/>
  <c r="B311" i="9"/>
  <c r="B295" i="9"/>
  <c r="B279" i="9"/>
  <c r="B263" i="9"/>
  <c r="B364" i="9"/>
  <c r="B348" i="9"/>
  <c r="B332" i="9"/>
  <c r="B316" i="9"/>
  <c r="B300" i="9"/>
  <c r="B284" i="9"/>
  <c r="B268" i="9"/>
  <c r="B252" i="9"/>
  <c r="B353" i="9"/>
  <c r="B337" i="9"/>
  <c r="B321" i="9"/>
  <c r="B305" i="9"/>
  <c r="B289" i="9"/>
  <c r="B273" i="9"/>
  <c r="B257" i="9"/>
  <c r="B241" i="9"/>
  <c r="B358" i="9"/>
  <c r="B342" i="9"/>
  <c r="B326" i="9"/>
  <c r="B310" i="9"/>
  <c r="B294" i="9"/>
  <c r="B278" i="9"/>
  <c r="B262" i="9"/>
  <c r="B363" i="9"/>
  <c r="B347" i="9"/>
  <c r="B331" i="9"/>
  <c r="B315" i="9"/>
  <c r="B299" i="9"/>
  <c r="B283" i="9"/>
  <c r="B267" i="9"/>
  <c r="B352" i="9"/>
  <c r="B336" i="9"/>
  <c r="B320" i="9"/>
  <c r="B304" i="9"/>
  <c r="B288" i="9"/>
  <c r="B272" i="9"/>
  <c r="B357" i="9"/>
  <c r="B341" i="9"/>
  <c r="B325" i="9"/>
  <c r="B309" i="9"/>
  <c r="B293" i="9"/>
  <c r="B362" i="9"/>
  <c r="B346" i="9"/>
  <c r="B330" i="9"/>
  <c r="B314" i="9"/>
  <c r="B298" i="9"/>
  <c r="B282" i="9"/>
  <c r="B351" i="9"/>
  <c r="B335" i="9"/>
  <c r="B319" i="9"/>
  <c r="B303" i="9"/>
  <c r="B287" i="9"/>
  <c r="B361" i="9"/>
  <c r="B345" i="9"/>
  <c r="B329" i="9"/>
  <c r="B313" i="9"/>
  <c r="B297" i="9"/>
  <c r="B237" i="9"/>
  <c r="B220" i="9"/>
  <c r="B204" i="9"/>
  <c r="B188" i="9"/>
  <c r="B172" i="9"/>
  <c r="B156" i="9"/>
  <c r="B260" i="9"/>
  <c r="B245" i="9"/>
  <c r="B236" i="9"/>
  <c r="B225" i="9"/>
  <c r="B209" i="9"/>
  <c r="B193" i="9"/>
  <c r="B177" i="9"/>
  <c r="B161" i="9"/>
  <c r="B145" i="9"/>
  <c r="B261" i="9"/>
  <c r="B230" i="9"/>
  <c r="B214" i="9"/>
  <c r="B198" i="9"/>
  <c r="B182" i="9"/>
  <c r="B166" i="9"/>
  <c r="B150" i="9"/>
  <c r="B244" i="9"/>
  <c r="B235" i="9"/>
  <c r="B219" i="9"/>
  <c r="B203" i="9"/>
  <c r="B187" i="9"/>
  <c r="B171" i="9"/>
  <c r="B155" i="9"/>
  <c r="B276" i="9"/>
  <c r="B224" i="9"/>
  <c r="B208" i="9"/>
  <c r="B192" i="9"/>
  <c r="B176" i="9"/>
  <c r="B243" i="9"/>
  <c r="B229" i="9"/>
  <c r="B213" i="9"/>
  <c r="B234" i="9"/>
  <c r="B218" i="9"/>
  <c r="B202" i="9"/>
  <c r="B186" i="9"/>
  <c r="B170" i="9"/>
  <c r="B154" i="9"/>
  <c r="B277" i="9"/>
  <c r="B264" i="9"/>
  <c r="B223" i="9"/>
  <c r="B207" i="9"/>
  <c r="B191" i="9"/>
  <c r="B251" i="9"/>
  <c r="B228" i="9"/>
  <c r="B212" i="9"/>
  <c r="B196" i="9"/>
  <c r="B180" i="9"/>
  <c r="B164" i="9"/>
  <c r="B292" i="9"/>
  <c r="B233" i="9"/>
  <c r="B217" i="9"/>
  <c r="B201" i="9"/>
  <c r="B185" i="9"/>
  <c r="B169" i="9"/>
  <c r="B308" i="9"/>
  <c r="B265" i="9"/>
  <c r="B253" i="9"/>
  <c r="B250" i="9"/>
  <c r="B249" i="9"/>
  <c r="B240" i="9"/>
  <c r="B222" i="9"/>
  <c r="B206" i="9"/>
  <c r="B190" i="9"/>
  <c r="B324" i="9"/>
  <c r="B248" i="9"/>
  <c r="B227" i="9"/>
  <c r="B211" i="9"/>
  <c r="B340" i="9"/>
  <c r="B256" i="9"/>
  <c r="B247" i="9"/>
  <c r="B239" i="9"/>
  <c r="B232" i="9"/>
  <c r="B216" i="9"/>
  <c r="B356" i="9"/>
  <c r="B266" i="9"/>
  <c r="B255" i="9"/>
  <c r="B221" i="9"/>
  <c r="B205" i="9"/>
  <c r="B281" i="9"/>
  <c r="B271" i="9"/>
  <c r="B246" i="9"/>
  <c r="B238" i="9"/>
  <c r="B226" i="9"/>
  <c r="B210" i="9"/>
  <c r="B231" i="9"/>
  <c r="B215" i="9"/>
  <c r="B183" i="9"/>
  <c r="B168" i="9"/>
  <c r="B167" i="9"/>
  <c r="B136" i="9"/>
  <c r="B120" i="9"/>
  <c r="B104" i="9"/>
  <c r="B88" i="9"/>
  <c r="B72" i="9"/>
  <c r="B56" i="9"/>
  <c r="B149" i="9"/>
  <c r="B147" i="9"/>
  <c r="B146" i="9"/>
  <c r="B143" i="9"/>
  <c r="B142" i="9"/>
  <c r="B125" i="9"/>
  <c r="B109" i="9"/>
  <c r="B93" i="9"/>
  <c r="B77" i="9"/>
  <c r="B61" i="9"/>
  <c r="B184" i="9"/>
  <c r="B178" i="9"/>
  <c r="B158" i="9"/>
  <c r="B153" i="9"/>
  <c r="B152" i="9"/>
  <c r="B151" i="9"/>
  <c r="B148" i="9"/>
  <c r="B130" i="9"/>
  <c r="B114" i="9"/>
  <c r="B98" i="9"/>
  <c r="B82" i="9"/>
  <c r="B66" i="9"/>
  <c r="B194" i="9"/>
  <c r="B189" i="9"/>
  <c r="B179" i="9"/>
  <c r="B160" i="9"/>
  <c r="B159" i="9"/>
  <c r="B157" i="9"/>
  <c r="B141" i="9"/>
  <c r="B135" i="9"/>
  <c r="B119" i="9"/>
  <c r="B103" i="9"/>
  <c r="B87" i="9"/>
  <c r="B71" i="9"/>
  <c r="B195" i="9"/>
  <c r="B140" i="9"/>
  <c r="B124" i="9"/>
  <c r="B108" i="9"/>
  <c r="B129" i="9"/>
  <c r="B113" i="9"/>
  <c r="B97" i="9"/>
  <c r="B81" i="9"/>
  <c r="B65" i="9"/>
  <c r="B49" i="9"/>
  <c r="B134" i="9"/>
  <c r="B118" i="9"/>
  <c r="B102" i="9"/>
  <c r="B86" i="9"/>
  <c r="B70" i="9"/>
  <c r="B199" i="9"/>
  <c r="B174" i="9"/>
  <c r="B139" i="9"/>
  <c r="B123" i="9"/>
  <c r="B107" i="9"/>
  <c r="B91" i="9"/>
  <c r="B75" i="9"/>
  <c r="B181" i="9"/>
  <c r="B173" i="9"/>
  <c r="B128" i="9"/>
  <c r="B112" i="9"/>
  <c r="B96" i="9"/>
  <c r="B80" i="9"/>
  <c r="B64" i="9"/>
  <c r="B175" i="9"/>
  <c r="B163" i="9"/>
  <c r="B162" i="9"/>
  <c r="B133" i="9"/>
  <c r="B117" i="9"/>
  <c r="B101" i="9"/>
  <c r="B85" i="9"/>
  <c r="B69" i="9"/>
  <c r="B53" i="9"/>
  <c r="B200" i="9"/>
  <c r="B138" i="9"/>
  <c r="B122" i="9"/>
  <c r="B106" i="9"/>
  <c r="B90" i="9"/>
  <c r="B127" i="9"/>
  <c r="B111" i="9"/>
  <c r="B132" i="9"/>
  <c r="B116" i="9"/>
  <c r="B100" i="9"/>
  <c r="B197" i="9"/>
  <c r="B165" i="9"/>
  <c r="B137" i="9"/>
  <c r="B121" i="9"/>
  <c r="B105" i="9"/>
  <c r="B126" i="9"/>
  <c r="B110" i="9"/>
  <c r="B144" i="9"/>
  <c r="B131" i="9"/>
  <c r="B115" i="9"/>
  <c r="B36" i="9"/>
  <c r="B20" i="9"/>
  <c r="B4" i="9"/>
  <c r="B366" i="7"/>
  <c r="B364" i="7"/>
  <c r="B362" i="7"/>
  <c r="B360" i="7"/>
  <c r="B358" i="7"/>
  <c r="B356" i="7"/>
  <c r="B354" i="7"/>
  <c r="B352" i="7"/>
  <c r="B350" i="7"/>
  <c r="B348" i="7"/>
  <c r="B346" i="7"/>
  <c r="B344" i="7"/>
  <c r="B342" i="7"/>
  <c r="B340" i="7"/>
  <c r="B338" i="7"/>
  <c r="B336" i="7"/>
  <c r="B334" i="7"/>
  <c r="B332" i="7"/>
  <c r="B330" i="7"/>
  <c r="B328" i="7"/>
  <c r="B326" i="7"/>
  <c r="B41" i="9"/>
  <c r="B25" i="9"/>
  <c r="B9" i="9"/>
  <c r="B46" i="9"/>
  <c r="B30" i="9"/>
  <c r="B14" i="9"/>
  <c r="B94" i="9"/>
  <c r="B89" i="9"/>
  <c r="B83" i="9"/>
  <c r="B35" i="9"/>
  <c r="B19" i="9"/>
  <c r="B3" i="9"/>
  <c r="B99" i="9"/>
  <c r="B95" i="9"/>
  <c r="B55" i="9"/>
  <c r="B40" i="9"/>
  <c r="B24" i="9"/>
  <c r="B84" i="9"/>
  <c r="B58" i="9"/>
  <c r="B54" i="9"/>
  <c r="B45" i="9"/>
  <c r="B29" i="9"/>
  <c r="B13" i="9"/>
  <c r="B78" i="9"/>
  <c r="B59" i="9"/>
  <c r="B52" i="9"/>
  <c r="B34" i="9"/>
  <c r="B18" i="9"/>
  <c r="B2" i="9"/>
  <c r="B79" i="9"/>
  <c r="B60" i="9"/>
  <c r="B57" i="9"/>
  <c r="B51" i="9"/>
  <c r="B39" i="9"/>
  <c r="B23" i="9"/>
  <c r="B7" i="9"/>
  <c r="B44" i="9"/>
  <c r="B28" i="9"/>
  <c r="B12" i="9"/>
  <c r="B365" i="7"/>
  <c r="B363" i="7"/>
  <c r="B361" i="7"/>
  <c r="B359" i="7"/>
  <c r="B357" i="7"/>
  <c r="B355" i="7"/>
  <c r="B353" i="7"/>
  <c r="B351" i="7"/>
  <c r="B349" i="7"/>
  <c r="B347" i="7"/>
  <c r="B345" i="7"/>
  <c r="B343" i="7"/>
  <c r="B341" i="7"/>
  <c r="B339" i="7"/>
  <c r="B337" i="7"/>
  <c r="B335" i="7"/>
  <c r="B74" i="9"/>
  <c r="B73" i="9"/>
  <c r="B67" i="9"/>
  <c r="B50" i="9"/>
  <c r="B33" i="9"/>
  <c r="B17" i="9"/>
  <c r="B92" i="9"/>
  <c r="B38" i="9"/>
  <c r="B22" i="9"/>
  <c r="B6" i="9"/>
  <c r="B68" i="9"/>
  <c r="B43" i="9"/>
  <c r="B27" i="9"/>
  <c r="B48" i="9"/>
  <c r="B32" i="9"/>
  <c r="B16" i="9"/>
  <c r="B37" i="9"/>
  <c r="B76" i="9"/>
  <c r="B62" i="9"/>
  <c r="B42" i="9"/>
  <c r="B26" i="9"/>
  <c r="B63" i="9"/>
  <c r="B47" i="9"/>
  <c r="B31" i="9"/>
  <c r="B5" i="9"/>
  <c r="B333" i="7"/>
  <c r="B327" i="7"/>
  <c r="B10" i="9"/>
  <c r="B324" i="7"/>
  <c r="B322" i="7"/>
  <c r="B320" i="7"/>
  <c r="B318" i="7"/>
  <c r="B316" i="7"/>
  <c r="B314" i="7"/>
  <c r="B312" i="7"/>
  <c r="B310" i="7"/>
  <c r="B308" i="7"/>
  <c r="B306" i="7"/>
  <c r="B304" i="7"/>
  <c r="B302" i="7"/>
  <c r="B300" i="7"/>
  <c r="B298" i="7"/>
  <c r="B296" i="7"/>
  <c r="B294" i="7"/>
  <c r="B292" i="7"/>
  <c r="B290" i="7"/>
  <c r="B288" i="7"/>
  <c r="B286" i="7"/>
  <c r="B284" i="7"/>
  <c r="B282" i="7"/>
  <c r="B280" i="7"/>
  <c r="B278" i="7"/>
  <c r="B276" i="7"/>
  <c r="B274" i="7"/>
  <c r="B272" i="7"/>
  <c r="B270" i="7"/>
  <c r="B268" i="7"/>
  <c r="B266" i="7"/>
  <c r="B264" i="7"/>
  <c r="B262" i="7"/>
  <c r="B260" i="7"/>
  <c r="B258" i="7"/>
  <c r="B11" i="9"/>
  <c r="B21" i="9"/>
  <c r="B329" i="7"/>
  <c r="B15" i="9"/>
  <c r="B8" i="9"/>
  <c r="B331" i="7"/>
  <c r="B323" i="7"/>
  <c r="B321" i="7"/>
  <c r="B325" i="7"/>
  <c r="B293" i="7"/>
  <c r="B277" i="7"/>
  <c r="B261" i="7"/>
  <c r="B283" i="7"/>
  <c r="B267" i="7"/>
  <c r="B313" i="7"/>
  <c r="B303" i="7"/>
  <c r="B299" i="7"/>
  <c r="B289" i="7"/>
  <c r="B273" i="7"/>
  <c r="B257" i="7"/>
  <c r="B307" i="7"/>
  <c r="B254" i="7"/>
  <c r="B252" i="7"/>
  <c r="B250" i="7"/>
  <c r="B248" i="7"/>
  <c r="B246" i="7"/>
  <c r="B244" i="7"/>
  <c r="B242" i="7"/>
  <c r="B240" i="7"/>
  <c r="B238" i="7"/>
  <c r="B236" i="7"/>
  <c r="B234" i="7"/>
  <c r="B232" i="7"/>
  <c r="B230" i="7"/>
  <c r="B228" i="7"/>
  <c r="B226" i="7"/>
  <c r="B224" i="7"/>
  <c r="B222" i="7"/>
  <c r="B220" i="7"/>
  <c r="B218" i="7"/>
  <c r="B216" i="7"/>
  <c r="B214" i="7"/>
  <c r="B212" i="7"/>
  <c r="B210" i="7"/>
  <c r="B208" i="7"/>
  <c r="B206" i="7"/>
  <c r="B204" i="7"/>
  <c r="B202" i="7"/>
  <c r="B200" i="7"/>
  <c r="B198" i="7"/>
  <c r="B196" i="7"/>
  <c r="B319" i="7"/>
  <c r="B295" i="7"/>
  <c r="B279" i="7"/>
  <c r="B263" i="7"/>
  <c r="B285" i="7"/>
  <c r="B269" i="7"/>
  <c r="B256" i="7"/>
  <c r="B311" i="7"/>
  <c r="B317" i="7"/>
  <c r="B291" i="7"/>
  <c r="B275" i="7"/>
  <c r="B259" i="7"/>
  <c r="B305" i="7"/>
  <c r="B301" i="7"/>
  <c r="B297" i="7"/>
  <c r="B281" i="7"/>
  <c r="B265" i="7"/>
  <c r="B253" i="7"/>
  <c r="B251" i="7"/>
  <c r="B249" i="7"/>
  <c r="B247" i="7"/>
  <c r="B245" i="7"/>
  <c r="B243" i="7"/>
  <c r="B315" i="7"/>
  <c r="B287" i="7"/>
  <c r="B271" i="7"/>
  <c r="B309" i="7"/>
  <c r="B255" i="7"/>
  <c r="B189" i="7"/>
  <c r="B182" i="7"/>
  <c r="B173" i="7"/>
  <c r="B166" i="7"/>
  <c r="B157" i="7"/>
  <c r="B155" i="7"/>
  <c r="B153" i="7"/>
  <c r="B151" i="7"/>
  <c r="B149" i="7"/>
  <c r="B147" i="7"/>
  <c r="B145" i="7"/>
  <c r="B143" i="7"/>
  <c r="B141" i="7"/>
  <c r="B139" i="7"/>
  <c r="B137" i="7"/>
  <c r="B135" i="7"/>
  <c r="B133" i="7"/>
  <c r="B131" i="7"/>
  <c r="B12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231" i="7"/>
  <c r="B209" i="7"/>
  <c r="B201" i="7"/>
  <c r="B191" i="7"/>
  <c r="B184" i="7"/>
  <c r="B175" i="7"/>
  <c r="B168" i="7"/>
  <c r="B159" i="7"/>
  <c r="B227" i="7"/>
  <c r="B217" i="7"/>
  <c r="B193" i="7"/>
  <c r="B186" i="7"/>
  <c r="B177" i="7"/>
  <c r="B170" i="7"/>
  <c r="B161" i="7"/>
  <c r="B223" i="7"/>
  <c r="B237" i="7"/>
  <c r="B211" i="7"/>
  <c r="B203" i="7"/>
  <c r="B195" i="7"/>
  <c r="B188" i="7"/>
  <c r="B179" i="7"/>
  <c r="B172" i="7"/>
  <c r="B163" i="7"/>
  <c r="B241" i="7"/>
  <c r="B233" i="7"/>
  <c r="B219" i="7"/>
  <c r="B190" i="7"/>
  <c r="B181" i="7"/>
  <c r="B174" i="7"/>
  <c r="B165" i="7"/>
  <c r="B158" i="7"/>
  <c r="B156" i="7"/>
  <c r="B154" i="7"/>
  <c r="B152" i="7"/>
  <c r="B150" i="7"/>
  <c r="B148" i="7"/>
  <c r="B146" i="7"/>
  <c r="B144" i="7"/>
  <c r="B142" i="7"/>
  <c r="B140" i="7"/>
  <c r="B138" i="7"/>
  <c r="B136" i="7"/>
  <c r="B134" i="7"/>
  <c r="B132" i="7"/>
  <c r="B229" i="7"/>
  <c r="B213" i="7"/>
  <c r="B205" i="7"/>
  <c r="B197" i="7"/>
  <c r="B192" i="7"/>
  <c r="B183" i="7"/>
  <c r="B176" i="7"/>
  <c r="B167" i="7"/>
  <c r="B160" i="7"/>
  <c r="B225" i="7"/>
  <c r="B194" i="7"/>
  <c r="B185" i="7"/>
  <c r="B178" i="7"/>
  <c r="B169" i="7"/>
  <c r="B162" i="7"/>
  <c r="B221" i="7"/>
  <c r="B215" i="7"/>
  <c r="B207" i="7"/>
  <c r="B199" i="7"/>
  <c r="B187" i="7"/>
  <c r="B180" i="7"/>
  <c r="B171" i="7"/>
  <c r="B164" i="7"/>
  <c r="B239" i="7"/>
  <c r="B235" i="7"/>
  <c r="B122" i="7"/>
  <c r="B102" i="7"/>
  <c r="B94" i="7"/>
  <c r="B86" i="7"/>
  <c r="B78" i="7"/>
  <c r="B70" i="7"/>
  <c r="B62" i="7"/>
  <c r="B54" i="7"/>
  <c r="B46" i="7"/>
  <c r="B38" i="7"/>
  <c r="B116" i="7"/>
  <c r="B110" i="7"/>
  <c r="B128" i="7"/>
  <c r="B104" i="7"/>
  <c r="B96" i="7"/>
  <c r="B88" i="7"/>
  <c r="B80" i="7"/>
  <c r="B72" i="7"/>
  <c r="B64" i="7"/>
  <c r="B56" i="7"/>
  <c r="B124" i="7"/>
  <c r="B118" i="7"/>
  <c r="B112" i="7"/>
  <c r="B106" i="7"/>
  <c r="B98" i="7"/>
  <c r="B90" i="7"/>
  <c r="B82" i="7"/>
  <c r="B74" i="7"/>
  <c r="B130" i="7"/>
  <c r="B126" i="7"/>
  <c r="B120" i="7"/>
  <c r="B114" i="7"/>
  <c r="B100" i="7"/>
  <c r="B92" i="7"/>
  <c r="B84" i="7"/>
  <c r="B76" i="7"/>
  <c r="B68" i="7"/>
  <c r="B60" i="7"/>
  <c r="B108" i="7"/>
  <c r="B48" i="7"/>
  <c r="B31" i="7"/>
  <c r="B28" i="7"/>
  <c r="B2" i="7"/>
  <c r="B356" i="6"/>
  <c r="B340" i="6"/>
  <c r="L340" i="6" s="1"/>
  <c r="B66" i="7"/>
  <c r="B10" i="7"/>
  <c r="B357" i="6"/>
  <c r="L357" i="6" s="1"/>
  <c r="B341" i="6"/>
  <c r="L341" i="6" s="1"/>
  <c r="B358" i="6"/>
  <c r="L358" i="6" s="1"/>
  <c r="B342" i="6"/>
  <c r="L342" i="6" s="1"/>
  <c r="B34" i="7"/>
  <c r="B21" i="7"/>
  <c r="B7" i="7"/>
  <c r="B359" i="6"/>
  <c r="L359" i="6" s="1"/>
  <c r="B343" i="6"/>
  <c r="L343" i="6" s="1"/>
  <c r="B27" i="7"/>
  <c r="B24" i="7"/>
  <c r="B18" i="7"/>
  <c r="B15" i="7"/>
  <c r="B360" i="6"/>
  <c r="B344" i="6"/>
  <c r="B42" i="7"/>
  <c r="B12" i="7"/>
  <c r="B4" i="7"/>
  <c r="B361" i="6"/>
  <c r="L361" i="6" s="1"/>
  <c r="B345" i="6"/>
  <c r="L345" i="6" s="1"/>
  <c r="B33" i="7"/>
  <c r="B30" i="7"/>
  <c r="B362" i="6"/>
  <c r="L362" i="6" s="1"/>
  <c r="B346" i="6"/>
  <c r="L346" i="6" s="1"/>
  <c r="B9" i="7"/>
  <c r="B363" i="6"/>
  <c r="L363" i="6" s="1"/>
  <c r="B23" i="7"/>
  <c r="B52" i="7"/>
  <c r="B20" i="7"/>
  <c r="B17" i="7"/>
  <c r="B6" i="7"/>
  <c r="B364" i="6"/>
  <c r="L364" i="6" s="1"/>
  <c r="B349" i="6"/>
  <c r="L349" i="6" s="1"/>
  <c r="B40" i="7"/>
  <c r="B36" i="7"/>
  <c r="B29" i="7"/>
  <c r="B26" i="7"/>
  <c r="B14" i="7"/>
  <c r="B58" i="7"/>
  <c r="B11" i="7"/>
  <c r="B3" i="7"/>
  <c r="B365" i="6"/>
  <c r="L365" i="6" s="1"/>
  <c r="B351" i="6"/>
  <c r="L351" i="6" s="1"/>
  <c r="B50" i="7"/>
  <c r="B32" i="7"/>
  <c r="B35" i="7"/>
  <c r="B8" i="7"/>
  <c r="B366" i="6"/>
  <c r="L366" i="6" s="1"/>
  <c r="B25" i="7"/>
  <c r="B22" i="7"/>
  <c r="B19" i="7"/>
  <c r="B354" i="6"/>
  <c r="L354" i="6" s="1"/>
  <c r="B44" i="7"/>
  <c r="B16" i="7"/>
  <c r="B13" i="7"/>
  <c r="B319" i="6"/>
  <c r="L319" i="6" s="1"/>
  <c r="B303" i="6"/>
  <c r="L303" i="6" s="1"/>
  <c r="B287" i="6"/>
  <c r="L287" i="6" s="1"/>
  <c r="B335" i="6"/>
  <c r="L335" i="6" s="1"/>
  <c r="B320" i="6"/>
  <c r="L320" i="6" s="1"/>
  <c r="B304" i="6"/>
  <c r="L304" i="6" s="1"/>
  <c r="B288" i="6"/>
  <c r="L288" i="6" s="1"/>
  <c r="B321" i="6"/>
  <c r="L321" i="6" s="1"/>
  <c r="B305" i="6"/>
  <c r="L305" i="6" s="1"/>
  <c r="B289" i="6"/>
  <c r="L289" i="6" s="1"/>
  <c r="B336" i="6"/>
  <c r="L336" i="6" s="1"/>
  <c r="B322" i="6"/>
  <c r="L322" i="6" s="1"/>
  <c r="B306" i="6"/>
  <c r="L306" i="6" s="1"/>
  <c r="B290" i="6"/>
  <c r="L290" i="6" s="1"/>
  <c r="B323" i="6"/>
  <c r="L323" i="6" s="1"/>
  <c r="B307" i="6"/>
  <c r="L307" i="6" s="1"/>
  <c r="B291" i="6"/>
  <c r="L291" i="6" s="1"/>
  <c r="B348" i="6"/>
  <c r="L348" i="6" s="1"/>
  <c r="B324" i="6"/>
  <c r="L324" i="6" s="1"/>
  <c r="B308" i="6"/>
  <c r="L308" i="6" s="1"/>
  <c r="B292" i="6"/>
  <c r="L292" i="6" s="1"/>
  <c r="B337" i="6"/>
  <c r="L337" i="6" s="1"/>
  <c r="B325" i="6"/>
  <c r="L325" i="6" s="1"/>
  <c r="B309" i="6"/>
  <c r="L309" i="6" s="1"/>
  <c r="B293" i="6"/>
  <c r="L293" i="6" s="1"/>
  <c r="B326" i="6"/>
  <c r="L326" i="6" s="1"/>
  <c r="B310" i="6"/>
  <c r="L310" i="6" s="1"/>
  <c r="B352" i="6"/>
  <c r="L352" i="6" s="1"/>
  <c r="B327" i="6"/>
  <c r="L327" i="6" s="1"/>
  <c r="B311" i="6"/>
  <c r="L311" i="6" s="1"/>
  <c r="B5" i="7"/>
  <c r="B355" i="6"/>
  <c r="L355" i="6" s="1"/>
  <c r="B328" i="6"/>
  <c r="L328" i="6" s="1"/>
  <c r="B312" i="6"/>
  <c r="L312" i="6" s="1"/>
  <c r="B338" i="6"/>
  <c r="L338" i="6" s="1"/>
  <c r="B329" i="6"/>
  <c r="L329" i="6" s="1"/>
  <c r="B313" i="6"/>
  <c r="L313" i="6" s="1"/>
  <c r="B297" i="6"/>
  <c r="L297" i="6" s="1"/>
  <c r="B330" i="6"/>
  <c r="L330" i="6" s="1"/>
  <c r="B314" i="6"/>
  <c r="L314" i="6" s="1"/>
  <c r="B298" i="6"/>
  <c r="L298" i="6" s="1"/>
  <c r="B331" i="6"/>
  <c r="L331" i="6" s="1"/>
  <c r="B315" i="6"/>
  <c r="L315" i="6" s="1"/>
  <c r="B353" i="6"/>
  <c r="L353" i="6" s="1"/>
  <c r="B332" i="6"/>
  <c r="L332" i="6" s="1"/>
  <c r="B339" i="6"/>
  <c r="L339" i="6" s="1"/>
  <c r="B333" i="6"/>
  <c r="L333" i="6" s="1"/>
  <c r="B317" i="6"/>
  <c r="L317" i="6" s="1"/>
  <c r="B350" i="6"/>
  <c r="L350" i="6" s="1"/>
  <c r="B347" i="6"/>
  <c r="L347" i="6" s="1"/>
  <c r="B334" i="6"/>
  <c r="L334" i="6" s="1"/>
  <c r="B318" i="6"/>
  <c r="L318" i="6" s="1"/>
  <c r="B302" i="6"/>
  <c r="L302" i="6" s="1"/>
  <c r="B260" i="6"/>
  <c r="L260" i="6" s="1"/>
  <c r="B253" i="6"/>
  <c r="L253" i="6" s="1"/>
  <c r="B245" i="6"/>
  <c r="L245" i="6" s="1"/>
  <c r="B237" i="6"/>
  <c r="L237" i="6" s="1"/>
  <c r="B221" i="6"/>
  <c r="L221" i="6" s="1"/>
  <c r="B294" i="6"/>
  <c r="L294" i="6" s="1"/>
  <c r="B222" i="6"/>
  <c r="L222" i="6" s="1"/>
  <c r="B301" i="6"/>
  <c r="L301" i="6" s="1"/>
  <c r="B254" i="6"/>
  <c r="L254" i="6" s="1"/>
  <c r="B246" i="6"/>
  <c r="L246" i="6" s="1"/>
  <c r="B238" i="6"/>
  <c r="L238" i="6" s="1"/>
  <c r="B223" i="6"/>
  <c r="L223" i="6" s="1"/>
  <c r="B286" i="6"/>
  <c r="L286" i="6" s="1"/>
  <c r="B282" i="6"/>
  <c r="L282" i="6" s="1"/>
  <c r="B278" i="6"/>
  <c r="L278" i="6" s="1"/>
  <c r="B274" i="6"/>
  <c r="L274" i="6" s="1"/>
  <c r="B270" i="6"/>
  <c r="L270" i="6" s="1"/>
  <c r="B266" i="6"/>
  <c r="L266" i="6" s="1"/>
  <c r="B261" i="6"/>
  <c r="L261" i="6" s="1"/>
  <c r="B224" i="6"/>
  <c r="L224" i="6" s="1"/>
  <c r="B299" i="6"/>
  <c r="L299" i="6" s="1"/>
  <c r="B255" i="6"/>
  <c r="L255" i="6" s="1"/>
  <c r="B247" i="6"/>
  <c r="L247" i="6" s="1"/>
  <c r="B239" i="6"/>
  <c r="L239" i="6" s="1"/>
  <c r="B225" i="6"/>
  <c r="L225" i="6" s="1"/>
  <c r="B226" i="6"/>
  <c r="L226" i="6" s="1"/>
  <c r="B295" i="6"/>
  <c r="L295" i="6" s="1"/>
  <c r="B262" i="6"/>
  <c r="L262" i="6" s="1"/>
  <c r="B256" i="6"/>
  <c r="L256" i="6" s="1"/>
  <c r="B248" i="6"/>
  <c r="L248" i="6" s="1"/>
  <c r="B240" i="6"/>
  <c r="L240" i="6" s="1"/>
  <c r="B227" i="6"/>
  <c r="L227" i="6" s="1"/>
  <c r="B283" i="6"/>
  <c r="L283" i="6" s="1"/>
  <c r="B279" i="6"/>
  <c r="L279" i="6" s="1"/>
  <c r="B275" i="6"/>
  <c r="L275" i="6" s="1"/>
  <c r="B271" i="6"/>
  <c r="L271" i="6" s="1"/>
  <c r="B267" i="6"/>
  <c r="L267" i="6" s="1"/>
  <c r="B228" i="6"/>
  <c r="L228" i="6" s="1"/>
  <c r="B257" i="6"/>
  <c r="L257" i="6" s="1"/>
  <c r="B249" i="6"/>
  <c r="L249" i="6" s="1"/>
  <c r="B241" i="6"/>
  <c r="L241" i="6" s="1"/>
  <c r="B229" i="6"/>
  <c r="L229" i="6" s="1"/>
  <c r="B316" i="6"/>
  <c r="L316" i="6" s="1"/>
  <c r="B263" i="6"/>
  <c r="L263" i="6" s="1"/>
  <c r="B230" i="6"/>
  <c r="L230" i="6" s="1"/>
  <c r="B296" i="6"/>
  <c r="L296" i="6" s="1"/>
  <c r="B258" i="6"/>
  <c r="L258" i="6" s="1"/>
  <c r="B250" i="6"/>
  <c r="L250" i="6" s="1"/>
  <c r="B242" i="6"/>
  <c r="L242" i="6" s="1"/>
  <c r="B231" i="6"/>
  <c r="L231" i="6" s="1"/>
  <c r="B215" i="6"/>
  <c r="L215" i="6" s="1"/>
  <c r="B214" i="6"/>
  <c r="L214" i="6" s="1"/>
  <c r="B213" i="6"/>
  <c r="L213" i="6" s="1"/>
  <c r="B212" i="6"/>
  <c r="L212" i="6" s="1"/>
  <c r="B211" i="6"/>
  <c r="L211" i="6" s="1"/>
  <c r="B210" i="6"/>
  <c r="L210" i="6" s="1"/>
  <c r="B209" i="6"/>
  <c r="L209" i="6" s="1"/>
  <c r="B208" i="6"/>
  <c r="L208" i="6" s="1"/>
  <c r="B207" i="6"/>
  <c r="L207" i="6" s="1"/>
  <c r="B206" i="6"/>
  <c r="L206" i="6" s="1"/>
  <c r="B205" i="6"/>
  <c r="L205" i="6" s="1"/>
  <c r="B204" i="6"/>
  <c r="L204" i="6" s="1"/>
  <c r="B203" i="6"/>
  <c r="L203" i="6" s="1"/>
  <c r="B202" i="6"/>
  <c r="L202" i="6" s="1"/>
  <c r="B201" i="6"/>
  <c r="L201" i="6" s="1"/>
  <c r="B200" i="6"/>
  <c r="L200" i="6" s="1"/>
  <c r="B199" i="6"/>
  <c r="L199" i="6" s="1"/>
  <c r="B198" i="6"/>
  <c r="L198" i="6" s="1"/>
  <c r="B197" i="6"/>
  <c r="L197" i="6" s="1"/>
  <c r="B196" i="6"/>
  <c r="L196" i="6" s="1"/>
  <c r="B195" i="6"/>
  <c r="L195" i="6" s="1"/>
  <c r="B194" i="6"/>
  <c r="L194" i="6" s="1"/>
  <c r="B193" i="6"/>
  <c r="L193" i="6" s="1"/>
  <c r="B192" i="6"/>
  <c r="L192" i="6" s="1"/>
  <c r="B191" i="6"/>
  <c r="L191" i="6" s="1"/>
  <c r="B190" i="6"/>
  <c r="L190" i="6" s="1"/>
  <c r="B189" i="6"/>
  <c r="L189" i="6" s="1"/>
  <c r="B188" i="6"/>
  <c r="L188" i="6" s="1"/>
  <c r="B187" i="6"/>
  <c r="L187" i="6" s="1"/>
  <c r="B186" i="6"/>
  <c r="L186" i="6" s="1"/>
  <c r="B185" i="6"/>
  <c r="L185" i="6" s="1"/>
  <c r="B184" i="6"/>
  <c r="L184" i="6" s="1"/>
  <c r="B183" i="6"/>
  <c r="L183" i="6" s="1"/>
  <c r="B182" i="6"/>
  <c r="L182" i="6" s="1"/>
  <c r="B181" i="6"/>
  <c r="L181" i="6" s="1"/>
  <c r="B180" i="6"/>
  <c r="L180" i="6" s="1"/>
  <c r="B179" i="6"/>
  <c r="L179" i="6" s="1"/>
  <c r="B178" i="6"/>
  <c r="L178" i="6" s="1"/>
  <c r="B177" i="6"/>
  <c r="L177" i="6" s="1"/>
  <c r="B176" i="6"/>
  <c r="L176" i="6" s="1"/>
  <c r="B300" i="6"/>
  <c r="L300" i="6" s="1"/>
  <c r="B284" i="6"/>
  <c r="L284" i="6" s="1"/>
  <c r="B280" i="6"/>
  <c r="L280" i="6" s="1"/>
  <c r="B276" i="6"/>
  <c r="L276" i="6" s="1"/>
  <c r="B272" i="6"/>
  <c r="L272" i="6" s="1"/>
  <c r="B268" i="6"/>
  <c r="L268" i="6" s="1"/>
  <c r="B232" i="6"/>
  <c r="L232" i="6" s="1"/>
  <c r="B216" i="6"/>
  <c r="L216" i="6" s="1"/>
  <c r="B264" i="6"/>
  <c r="L264" i="6" s="1"/>
  <c r="B251" i="6"/>
  <c r="L251" i="6" s="1"/>
  <c r="B243" i="6"/>
  <c r="L243" i="6" s="1"/>
  <c r="B233" i="6"/>
  <c r="L233" i="6" s="1"/>
  <c r="B259" i="6"/>
  <c r="L259" i="6" s="1"/>
  <c r="B234" i="6"/>
  <c r="L234" i="6" s="1"/>
  <c r="B252" i="6"/>
  <c r="L252" i="6" s="1"/>
  <c r="B244" i="6"/>
  <c r="L244" i="6" s="1"/>
  <c r="B285" i="6"/>
  <c r="L285" i="6" s="1"/>
  <c r="B281" i="6"/>
  <c r="L281" i="6" s="1"/>
  <c r="B277" i="6"/>
  <c r="L277" i="6" s="1"/>
  <c r="B273" i="6"/>
  <c r="L273" i="6" s="1"/>
  <c r="B269" i="6"/>
  <c r="L269" i="6" s="1"/>
  <c r="B265" i="6"/>
  <c r="L265" i="6" s="1"/>
  <c r="B236" i="6"/>
  <c r="L236" i="6" s="1"/>
  <c r="B235" i="6"/>
  <c r="L235" i="6" s="1"/>
  <c r="B175" i="6"/>
  <c r="L175" i="6" s="1"/>
  <c r="B159" i="6"/>
  <c r="L159" i="6" s="1"/>
  <c r="B160" i="6"/>
  <c r="L160" i="6" s="1"/>
  <c r="B161" i="6"/>
  <c r="L161" i="6" s="1"/>
  <c r="B162" i="6"/>
  <c r="L162" i="6" s="1"/>
  <c r="B163" i="6"/>
  <c r="L163" i="6" s="1"/>
  <c r="B219" i="6"/>
  <c r="L219" i="6" s="1"/>
  <c r="B164" i="6"/>
  <c r="L164" i="6" s="1"/>
  <c r="B165" i="6"/>
  <c r="L165" i="6" s="1"/>
  <c r="B217" i="6"/>
  <c r="L217" i="6" s="1"/>
  <c r="B166" i="6"/>
  <c r="L166" i="6" s="1"/>
  <c r="B167" i="6"/>
  <c r="L167" i="6" s="1"/>
  <c r="B168" i="6"/>
  <c r="L168" i="6" s="1"/>
  <c r="B169" i="6"/>
  <c r="L169" i="6" s="1"/>
  <c r="B220" i="6"/>
  <c r="L220" i="6" s="1"/>
  <c r="B170" i="6"/>
  <c r="L170" i="6" s="1"/>
  <c r="B171" i="6"/>
  <c r="L171" i="6" s="1"/>
  <c r="B172" i="6"/>
  <c r="L172" i="6" s="1"/>
  <c r="B218" i="6"/>
  <c r="L218" i="6" s="1"/>
  <c r="B174" i="6"/>
  <c r="L174" i="6" s="1"/>
  <c r="B88" i="6"/>
  <c r="L88" i="6" s="1"/>
  <c r="B72" i="6"/>
  <c r="L72" i="6" s="1"/>
  <c r="B151" i="6"/>
  <c r="L151" i="6" s="1"/>
  <c r="B147" i="6"/>
  <c r="L147" i="6" s="1"/>
  <c r="B143" i="6"/>
  <c r="L143" i="6" s="1"/>
  <c r="B139" i="6"/>
  <c r="L139" i="6" s="1"/>
  <c r="B135" i="6"/>
  <c r="L135" i="6" s="1"/>
  <c r="B131" i="6"/>
  <c r="L131" i="6" s="1"/>
  <c r="B127" i="6"/>
  <c r="L127" i="6" s="1"/>
  <c r="B123" i="6"/>
  <c r="L123" i="6" s="1"/>
  <c r="B119" i="6"/>
  <c r="L119" i="6" s="1"/>
  <c r="B115" i="6"/>
  <c r="L115" i="6" s="1"/>
  <c r="B111" i="6"/>
  <c r="L111" i="6" s="1"/>
  <c r="B107" i="6"/>
  <c r="L107" i="6" s="1"/>
  <c r="B103" i="6"/>
  <c r="L103" i="6" s="1"/>
  <c r="B99" i="6"/>
  <c r="L99" i="6" s="1"/>
  <c r="B83" i="6"/>
  <c r="L83" i="6" s="1"/>
  <c r="B67" i="6"/>
  <c r="L67" i="6" s="1"/>
  <c r="B94" i="6"/>
  <c r="L94" i="6" s="1"/>
  <c r="B78" i="6"/>
  <c r="L78" i="6" s="1"/>
  <c r="B158" i="6"/>
  <c r="L158" i="6" s="1"/>
  <c r="B89" i="6"/>
  <c r="L89" i="6" s="1"/>
  <c r="B73" i="6"/>
  <c r="L73" i="6" s="1"/>
  <c r="B173" i="6"/>
  <c r="L173" i="6" s="1"/>
  <c r="B155" i="6"/>
  <c r="L155" i="6" s="1"/>
  <c r="B84" i="6"/>
  <c r="L84" i="6" s="1"/>
  <c r="B68" i="6"/>
  <c r="L68" i="6" s="1"/>
  <c r="B152" i="6"/>
  <c r="L152" i="6" s="1"/>
  <c r="B148" i="6"/>
  <c r="L148" i="6" s="1"/>
  <c r="B144" i="6"/>
  <c r="L144" i="6" s="1"/>
  <c r="B140" i="6"/>
  <c r="L140" i="6" s="1"/>
  <c r="B136" i="6"/>
  <c r="L136" i="6" s="1"/>
  <c r="B132" i="6"/>
  <c r="L132" i="6" s="1"/>
  <c r="B128" i="6"/>
  <c r="L128" i="6" s="1"/>
  <c r="B124" i="6"/>
  <c r="L124" i="6" s="1"/>
  <c r="B120" i="6"/>
  <c r="L120" i="6" s="1"/>
  <c r="B116" i="6"/>
  <c r="L116" i="6" s="1"/>
  <c r="B112" i="6"/>
  <c r="L112" i="6" s="1"/>
  <c r="B108" i="6"/>
  <c r="L108" i="6" s="1"/>
  <c r="B104" i="6"/>
  <c r="L104" i="6" s="1"/>
  <c r="B100" i="6"/>
  <c r="L100" i="6" s="1"/>
  <c r="B95" i="6"/>
  <c r="L95" i="6" s="1"/>
  <c r="B79" i="6"/>
  <c r="L79" i="6" s="1"/>
  <c r="B90" i="6"/>
  <c r="L90" i="6" s="1"/>
  <c r="B74" i="6"/>
  <c r="L74" i="6" s="1"/>
  <c r="B85" i="6"/>
  <c r="L85" i="6" s="1"/>
  <c r="B69" i="6"/>
  <c r="L69" i="6" s="1"/>
  <c r="B96" i="6"/>
  <c r="L96" i="6" s="1"/>
  <c r="B80" i="6"/>
  <c r="L80" i="6" s="1"/>
  <c r="B156" i="6"/>
  <c r="L156" i="6" s="1"/>
  <c r="B149" i="6"/>
  <c r="L149" i="6" s="1"/>
  <c r="B145" i="6"/>
  <c r="L145" i="6" s="1"/>
  <c r="B141" i="6"/>
  <c r="L141" i="6" s="1"/>
  <c r="B137" i="6"/>
  <c r="L137" i="6" s="1"/>
  <c r="B133" i="6"/>
  <c r="L133" i="6" s="1"/>
  <c r="B129" i="6"/>
  <c r="L129" i="6" s="1"/>
  <c r="B125" i="6"/>
  <c r="L125" i="6" s="1"/>
  <c r="B121" i="6"/>
  <c r="L121" i="6" s="1"/>
  <c r="B117" i="6"/>
  <c r="L117" i="6" s="1"/>
  <c r="B113" i="6"/>
  <c r="L113" i="6" s="1"/>
  <c r="B109" i="6"/>
  <c r="L109" i="6" s="1"/>
  <c r="B105" i="6"/>
  <c r="L105" i="6" s="1"/>
  <c r="B101" i="6"/>
  <c r="L101" i="6" s="1"/>
  <c r="B91" i="6"/>
  <c r="L91" i="6" s="1"/>
  <c r="B75" i="6"/>
  <c r="L75" i="6" s="1"/>
  <c r="B153" i="6"/>
  <c r="L153" i="6" s="1"/>
  <c r="B86" i="6"/>
  <c r="L86" i="6" s="1"/>
  <c r="B70" i="6"/>
  <c r="L70" i="6" s="1"/>
  <c r="B97" i="6"/>
  <c r="L97" i="6" s="1"/>
  <c r="B81" i="6"/>
  <c r="L81" i="6" s="1"/>
  <c r="B92" i="6"/>
  <c r="L92" i="6" s="1"/>
  <c r="B76" i="6"/>
  <c r="L76" i="6" s="1"/>
  <c r="B150" i="6"/>
  <c r="L150" i="6" s="1"/>
  <c r="B146" i="6"/>
  <c r="L146" i="6" s="1"/>
  <c r="B142" i="6"/>
  <c r="L142" i="6" s="1"/>
  <c r="B138" i="6"/>
  <c r="L138" i="6" s="1"/>
  <c r="B134" i="6"/>
  <c r="L134" i="6" s="1"/>
  <c r="B130" i="6"/>
  <c r="L130" i="6" s="1"/>
  <c r="B126" i="6"/>
  <c r="L126" i="6" s="1"/>
  <c r="B122" i="6"/>
  <c r="L122" i="6" s="1"/>
  <c r="B118" i="6"/>
  <c r="L118" i="6" s="1"/>
  <c r="B114" i="6"/>
  <c r="L114" i="6" s="1"/>
  <c r="B110" i="6"/>
  <c r="L110" i="6" s="1"/>
  <c r="B106" i="6"/>
  <c r="L106" i="6" s="1"/>
  <c r="B102" i="6"/>
  <c r="L102" i="6" s="1"/>
  <c r="B87" i="6"/>
  <c r="L87" i="6" s="1"/>
  <c r="B71" i="6"/>
  <c r="L71" i="6" s="1"/>
  <c r="B157" i="6"/>
  <c r="L157" i="6" s="1"/>
  <c r="B98" i="6"/>
  <c r="L98" i="6" s="1"/>
  <c r="B82" i="6"/>
  <c r="L82" i="6" s="1"/>
  <c r="B154" i="6"/>
  <c r="L154" i="6" s="1"/>
  <c r="B93" i="6"/>
  <c r="L93" i="6" s="1"/>
  <c r="B77" i="6"/>
  <c r="L77" i="6" s="1"/>
  <c r="C25" i="1"/>
  <c r="M357" i="9"/>
  <c r="M341" i="9"/>
  <c r="M325" i="9"/>
  <c r="M309" i="9"/>
  <c r="M293" i="9"/>
  <c r="M277" i="9"/>
  <c r="M261" i="9"/>
  <c r="M362" i="9"/>
  <c r="M346" i="9"/>
  <c r="M330" i="9"/>
  <c r="M314" i="9"/>
  <c r="M298" i="9"/>
  <c r="M282" i="9"/>
  <c r="M266" i="9"/>
  <c r="M351" i="9"/>
  <c r="M335" i="9"/>
  <c r="M319" i="9"/>
  <c r="M303" i="9"/>
  <c r="M287" i="9"/>
  <c r="M271" i="9"/>
  <c r="M356" i="9"/>
  <c r="M340" i="9"/>
  <c r="M324" i="9"/>
  <c r="M308" i="9"/>
  <c r="M292" i="9"/>
  <c r="M276" i="9"/>
  <c r="M361" i="9"/>
  <c r="M345" i="9"/>
  <c r="M329" i="9"/>
  <c r="M313" i="9"/>
  <c r="M297" i="9"/>
  <c r="M281" i="9"/>
  <c r="M265" i="9"/>
  <c r="M249" i="9"/>
  <c r="M366" i="9"/>
  <c r="M350" i="9"/>
  <c r="M334" i="9"/>
  <c r="M318" i="9"/>
  <c r="M302" i="9"/>
  <c r="M286" i="9"/>
  <c r="M270" i="9"/>
  <c r="M254" i="9"/>
  <c r="M355" i="9"/>
  <c r="M339" i="9"/>
  <c r="M323" i="9"/>
  <c r="M307" i="9"/>
  <c r="M291" i="9"/>
  <c r="M275" i="9"/>
  <c r="M259" i="9"/>
  <c r="M360" i="9"/>
  <c r="M344" i="9"/>
  <c r="M328" i="9"/>
  <c r="M312" i="9"/>
  <c r="M296" i="9"/>
  <c r="M280" i="9"/>
  <c r="M264" i="9"/>
  <c r="M248" i="9"/>
  <c r="M365" i="9"/>
  <c r="M349" i="9"/>
  <c r="M333" i="9"/>
  <c r="M317" i="9"/>
  <c r="M301" i="9"/>
  <c r="M285" i="9"/>
  <c r="M269" i="9"/>
  <c r="M253" i="9"/>
  <c r="M354" i="9"/>
  <c r="M338" i="9"/>
  <c r="M322" i="9"/>
  <c r="M306" i="9"/>
  <c r="M290" i="9"/>
  <c r="M274" i="9"/>
  <c r="M359" i="9"/>
  <c r="M343" i="9"/>
  <c r="M327" i="9"/>
  <c r="M311" i="9"/>
  <c r="M295" i="9"/>
  <c r="M279" i="9"/>
  <c r="M364" i="9"/>
  <c r="M348" i="9"/>
  <c r="M332" i="9"/>
  <c r="M316" i="9"/>
  <c r="M300" i="9"/>
  <c r="M353" i="9"/>
  <c r="M337" i="9"/>
  <c r="M321" i="9"/>
  <c r="M305" i="9"/>
  <c r="M289" i="9"/>
  <c r="M273" i="9"/>
  <c r="M358" i="9"/>
  <c r="M342" i="9"/>
  <c r="M326" i="9"/>
  <c r="M310" i="9"/>
  <c r="M294" i="9"/>
  <c r="M278" i="9"/>
  <c r="M352" i="9"/>
  <c r="M336" i="9"/>
  <c r="M320" i="9"/>
  <c r="M304" i="9"/>
  <c r="M288" i="9"/>
  <c r="M363" i="9"/>
  <c r="M283" i="9"/>
  <c r="M250" i="9"/>
  <c r="M227" i="9"/>
  <c r="M211" i="9"/>
  <c r="M195" i="9"/>
  <c r="M179" i="9"/>
  <c r="M163" i="9"/>
  <c r="M147" i="9"/>
  <c r="M257" i="9"/>
  <c r="M247" i="9"/>
  <c r="M232" i="9"/>
  <c r="M216" i="9"/>
  <c r="M200" i="9"/>
  <c r="M184" i="9"/>
  <c r="M168" i="9"/>
  <c r="M152" i="9"/>
  <c r="M256" i="9"/>
  <c r="M239" i="9"/>
  <c r="M221" i="9"/>
  <c r="M205" i="9"/>
  <c r="M189" i="9"/>
  <c r="M173" i="9"/>
  <c r="M157" i="9"/>
  <c r="M141" i="9"/>
  <c r="M258" i="9"/>
  <c r="M246" i="9"/>
  <c r="M226" i="9"/>
  <c r="M210" i="9"/>
  <c r="M194" i="9"/>
  <c r="M178" i="9"/>
  <c r="M162" i="9"/>
  <c r="M146" i="9"/>
  <c r="M284" i="9"/>
  <c r="M255" i="9"/>
  <c r="M238" i="9"/>
  <c r="M231" i="9"/>
  <c r="M215" i="9"/>
  <c r="M199" i="9"/>
  <c r="M183" i="9"/>
  <c r="M237" i="9"/>
  <c r="M220" i="9"/>
  <c r="M204" i="9"/>
  <c r="M267" i="9"/>
  <c r="M245" i="9"/>
  <c r="M236" i="9"/>
  <c r="M225" i="9"/>
  <c r="M209" i="9"/>
  <c r="M193" i="9"/>
  <c r="M177" i="9"/>
  <c r="M161" i="9"/>
  <c r="M145" i="9"/>
  <c r="M268" i="9"/>
  <c r="M230" i="9"/>
  <c r="M214" i="9"/>
  <c r="M198" i="9"/>
  <c r="M182" i="9"/>
  <c r="M272" i="9"/>
  <c r="M235" i="9"/>
  <c r="M219" i="9"/>
  <c r="M203" i="9"/>
  <c r="M187" i="9"/>
  <c r="M171" i="9"/>
  <c r="M262" i="9"/>
  <c r="M260" i="9"/>
  <c r="M244" i="9"/>
  <c r="M224" i="9"/>
  <c r="M208" i="9"/>
  <c r="M192" i="9"/>
  <c r="M176" i="9"/>
  <c r="M160" i="9"/>
  <c r="M263" i="9"/>
  <c r="M229" i="9"/>
  <c r="M213" i="9"/>
  <c r="M197" i="9"/>
  <c r="M243" i="9"/>
  <c r="M234" i="9"/>
  <c r="M218" i="9"/>
  <c r="M299" i="9"/>
  <c r="M242" i="9"/>
  <c r="M223" i="9"/>
  <c r="M315" i="9"/>
  <c r="M252" i="9"/>
  <c r="M251" i="9"/>
  <c r="M241" i="9"/>
  <c r="M228" i="9"/>
  <c r="M212" i="9"/>
  <c r="M196" i="9"/>
  <c r="M331" i="9"/>
  <c r="M233" i="9"/>
  <c r="M217" i="9"/>
  <c r="M201" i="9"/>
  <c r="M347" i="9"/>
  <c r="M240" i="9"/>
  <c r="M222" i="9"/>
  <c r="M206" i="9"/>
  <c r="M127" i="9"/>
  <c r="M111" i="9"/>
  <c r="M95" i="9"/>
  <c r="M79" i="9"/>
  <c r="M63" i="9"/>
  <c r="M132" i="9"/>
  <c r="M116" i="9"/>
  <c r="M100" i="9"/>
  <c r="M84" i="9"/>
  <c r="M68" i="9"/>
  <c r="M52" i="9"/>
  <c r="M165" i="9"/>
  <c r="M164" i="9"/>
  <c r="M137" i="9"/>
  <c r="M121" i="9"/>
  <c r="M105" i="9"/>
  <c r="M89" i="9"/>
  <c r="M73" i="9"/>
  <c r="M207" i="9"/>
  <c r="M126" i="9"/>
  <c r="M110" i="9"/>
  <c r="M94" i="9"/>
  <c r="M78" i="9"/>
  <c r="M62" i="9"/>
  <c r="M166" i="9"/>
  <c r="M144" i="9"/>
  <c r="M131" i="9"/>
  <c r="M115" i="9"/>
  <c r="M136" i="9"/>
  <c r="M120" i="9"/>
  <c r="M104" i="9"/>
  <c r="M88" i="9"/>
  <c r="M72" i="9"/>
  <c r="M56" i="9"/>
  <c r="M167" i="9"/>
  <c r="M155" i="9"/>
  <c r="M150" i="9"/>
  <c r="M149" i="9"/>
  <c r="M143" i="9"/>
  <c r="M125" i="9"/>
  <c r="M109" i="9"/>
  <c r="M93" i="9"/>
  <c r="M77" i="9"/>
  <c r="M61" i="9"/>
  <c r="M154" i="9"/>
  <c r="M130" i="9"/>
  <c r="M114" i="9"/>
  <c r="M98" i="9"/>
  <c r="M82" i="9"/>
  <c r="M66" i="9"/>
  <c r="M188" i="9"/>
  <c r="M170" i="9"/>
  <c r="M169" i="9"/>
  <c r="M159" i="9"/>
  <c r="M156" i="9"/>
  <c r="M151" i="9"/>
  <c r="M148" i="9"/>
  <c r="M135" i="9"/>
  <c r="M119" i="9"/>
  <c r="M103" i="9"/>
  <c r="M87" i="9"/>
  <c r="M71" i="9"/>
  <c r="M55" i="9"/>
  <c r="M153" i="9"/>
  <c r="M142" i="9"/>
  <c r="M140" i="9"/>
  <c r="M124" i="9"/>
  <c r="M108" i="9"/>
  <c r="M92" i="9"/>
  <c r="M76" i="9"/>
  <c r="M60" i="9"/>
  <c r="M158" i="9"/>
  <c r="M129" i="9"/>
  <c r="M113" i="9"/>
  <c r="M97" i="9"/>
  <c r="M202" i="9"/>
  <c r="M134" i="9"/>
  <c r="M118" i="9"/>
  <c r="M102" i="9"/>
  <c r="M190" i="9"/>
  <c r="M185" i="9"/>
  <c r="M180" i="9"/>
  <c r="M139" i="9"/>
  <c r="M123" i="9"/>
  <c r="M107" i="9"/>
  <c r="M191" i="9"/>
  <c r="M181" i="9"/>
  <c r="M172" i="9"/>
  <c r="M128" i="9"/>
  <c r="M112" i="9"/>
  <c r="M186" i="9"/>
  <c r="M175" i="9"/>
  <c r="M133" i="9"/>
  <c r="M117" i="9"/>
  <c r="M101" i="9"/>
  <c r="M174" i="9"/>
  <c r="M138" i="9"/>
  <c r="M122" i="9"/>
  <c r="M106" i="9"/>
  <c r="M80" i="9"/>
  <c r="M49" i="9"/>
  <c r="M43" i="9"/>
  <c r="M27" i="9"/>
  <c r="M11" i="9"/>
  <c r="M75" i="9"/>
  <c r="M74" i="9"/>
  <c r="M67" i="9"/>
  <c r="M48" i="9"/>
  <c r="M32" i="9"/>
  <c r="M16" i="9"/>
  <c r="M81" i="9"/>
  <c r="M37" i="9"/>
  <c r="M21" i="9"/>
  <c r="M5" i="9"/>
  <c r="M69" i="9"/>
  <c r="M42" i="9"/>
  <c r="M26" i="9"/>
  <c r="M10" i="9"/>
  <c r="M70" i="9"/>
  <c r="M47" i="9"/>
  <c r="M31" i="9"/>
  <c r="M36" i="9"/>
  <c r="M20" i="9"/>
  <c r="M4" i="9"/>
  <c r="M41" i="9"/>
  <c r="M25" i="9"/>
  <c r="M9" i="9"/>
  <c r="M46" i="9"/>
  <c r="M30" i="9"/>
  <c r="M14" i="9"/>
  <c r="M64" i="9"/>
  <c r="M35" i="9"/>
  <c r="M19" i="9"/>
  <c r="M3" i="9"/>
  <c r="M65" i="9"/>
  <c r="M40" i="9"/>
  <c r="M24" i="9"/>
  <c r="M8" i="9"/>
  <c r="M54" i="9"/>
  <c r="M45" i="9"/>
  <c r="M29" i="9"/>
  <c r="M13" i="9"/>
  <c r="M83" i="9"/>
  <c r="M59" i="9"/>
  <c r="M53" i="9"/>
  <c r="M34" i="9"/>
  <c r="M18" i="9"/>
  <c r="M99" i="9"/>
  <c r="M90" i="9"/>
  <c r="M58" i="9"/>
  <c r="M39" i="9"/>
  <c r="M23" i="9"/>
  <c r="M7" i="9"/>
  <c r="M91" i="9"/>
  <c r="M85" i="9"/>
  <c r="M57" i="9"/>
  <c r="M51" i="9"/>
  <c r="M44" i="9"/>
  <c r="M96" i="9"/>
  <c r="M86" i="9"/>
  <c r="M33" i="9"/>
  <c r="M17" i="9"/>
  <c r="M50" i="9"/>
  <c r="M38" i="9"/>
  <c r="M22" i="9"/>
  <c r="M15" i="9"/>
  <c r="M12" i="9"/>
  <c r="M28" i="9"/>
  <c r="M6" i="9"/>
  <c r="M2" i="9"/>
  <c r="F47" i="1"/>
  <c r="E62" i="1"/>
  <c r="B6" i="6"/>
  <c r="L6" i="6" s="1"/>
  <c r="B22" i="6"/>
  <c r="L22" i="6" s="1"/>
  <c r="B37" i="6"/>
  <c r="L37" i="6" s="1"/>
  <c r="B45" i="6"/>
  <c r="L45" i="6" s="1"/>
  <c r="B53" i="6"/>
  <c r="L53" i="6" s="1"/>
  <c r="B61" i="6"/>
  <c r="L61" i="6" s="1"/>
  <c r="U348" i="7"/>
  <c r="U362" i="7"/>
  <c r="U352" i="7"/>
  <c r="U356" i="7"/>
  <c r="U366" i="7"/>
  <c r="U346" i="7"/>
  <c r="U360" i="7"/>
  <c r="U350" i="7"/>
  <c r="U354" i="7"/>
  <c r="U328" i="7"/>
  <c r="U364" i="7"/>
  <c r="U358" i="7"/>
  <c r="U344" i="7"/>
  <c r="U253" i="7"/>
  <c r="U251" i="7"/>
  <c r="U249" i="7"/>
  <c r="U287" i="7"/>
  <c r="U271" i="7"/>
  <c r="U255" i="7"/>
  <c r="U293" i="7"/>
  <c r="U277" i="7"/>
  <c r="U261" i="7"/>
  <c r="U283" i="7"/>
  <c r="U267" i="7"/>
  <c r="U243" i="7"/>
  <c r="U227" i="7"/>
  <c r="U217" i="7"/>
  <c r="U193" i="7"/>
  <c r="U177" i="7"/>
  <c r="U161" i="7"/>
  <c r="U223" i="7"/>
  <c r="U237" i="7"/>
  <c r="U211" i="7"/>
  <c r="U203" i="7"/>
  <c r="U195" i="7"/>
  <c r="U179" i="7"/>
  <c r="U163" i="7"/>
  <c r="U241" i="7"/>
  <c r="U233" i="7"/>
  <c r="U219" i="7"/>
  <c r="U181" i="7"/>
  <c r="U165" i="7"/>
  <c r="U247" i="7"/>
  <c r="U229" i="7"/>
  <c r="U213" i="7"/>
  <c r="U205" i="7"/>
  <c r="U197" i="7"/>
  <c r="U183" i="7"/>
  <c r="U167" i="7"/>
  <c r="U225" i="7"/>
  <c r="U185" i="7"/>
  <c r="U169" i="7"/>
  <c r="U245" i="7"/>
  <c r="U221" i="7"/>
  <c r="U215" i="7"/>
  <c r="U207" i="7"/>
  <c r="U199" i="7"/>
  <c r="U187" i="7"/>
  <c r="U180" i="7"/>
  <c r="U171" i="7"/>
  <c r="U164" i="7"/>
  <c r="U239" i="7"/>
  <c r="U235" i="7"/>
  <c r="U212" i="7"/>
  <c r="U204" i="7"/>
  <c r="U196" i="7"/>
  <c r="U189" i="7"/>
  <c r="U182" i="7"/>
  <c r="U173" i="7"/>
  <c r="U166" i="7"/>
  <c r="U157" i="7"/>
  <c r="U231" i="7"/>
  <c r="U209" i="7"/>
  <c r="U201" i="7"/>
  <c r="U191" i="7"/>
  <c r="U184" i="7"/>
  <c r="U175" i="7"/>
  <c r="U168" i="7"/>
  <c r="U159" i="7"/>
  <c r="U145" i="7"/>
  <c r="U129" i="7"/>
  <c r="U125" i="7"/>
  <c r="U119" i="7"/>
  <c r="U143" i="7"/>
  <c r="U135" i="7"/>
  <c r="U113" i="7"/>
  <c r="U107" i="7"/>
  <c r="U141" i="7"/>
  <c r="U133" i="7"/>
  <c r="U121" i="7"/>
  <c r="U82" i="7"/>
  <c r="U74" i="7"/>
  <c r="U115" i="7"/>
  <c r="U155" i="7"/>
  <c r="U153" i="7"/>
  <c r="U109" i="7"/>
  <c r="U151" i="7"/>
  <c r="U127" i="7"/>
  <c r="U120" i="7"/>
  <c r="U149" i="7"/>
  <c r="U139" i="7"/>
  <c r="U131" i="7"/>
  <c r="U114" i="7"/>
  <c r="U100" i="7"/>
  <c r="U92" i="7"/>
  <c r="U84" i="7"/>
  <c r="U76" i="7"/>
  <c r="U68" i="7"/>
  <c r="U123" i="7"/>
  <c r="U108" i="7"/>
  <c r="U147" i="7"/>
  <c r="U117" i="7"/>
  <c r="U111" i="7"/>
  <c r="U137" i="7"/>
  <c r="U122" i="7"/>
  <c r="U105" i="7"/>
  <c r="U102" i="7"/>
  <c r="U97" i="7"/>
  <c r="U94" i="7"/>
  <c r="U89" i="7"/>
  <c r="U86" i="7"/>
  <c r="U81" i="7"/>
  <c r="U78" i="7"/>
  <c r="U73" i="7"/>
  <c r="U70" i="7"/>
  <c r="U49" i="7"/>
  <c r="U65" i="7"/>
  <c r="U54" i="7"/>
  <c r="U62" i="7"/>
  <c r="U52" i="7"/>
  <c r="U60" i="7"/>
  <c r="U41" i="7"/>
  <c r="U8" i="7"/>
  <c r="U22" i="7"/>
  <c r="U19" i="7"/>
  <c r="U44" i="7"/>
  <c r="U25" i="7"/>
  <c r="U16" i="7"/>
  <c r="U13" i="7"/>
  <c r="U5" i="7"/>
  <c r="U39" i="7"/>
  <c r="U28" i="7"/>
  <c r="U57" i="7"/>
  <c r="U31" i="7"/>
  <c r="U10" i="7"/>
  <c r="U2" i="7"/>
  <c r="E17" i="1"/>
  <c r="D33" i="1"/>
  <c r="F40" i="1"/>
  <c r="B9" i="6"/>
  <c r="L9" i="6" s="1"/>
  <c r="B25" i="6"/>
  <c r="L25" i="6" s="1"/>
  <c r="F17" i="1"/>
  <c r="D25" i="1"/>
  <c r="L352" i="9"/>
  <c r="L336" i="9"/>
  <c r="L320" i="9"/>
  <c r="L304" i="9"/>
  <c r="L288" i="9"/>
  <c r="L272" i="9"/>
  <c r="L256" i="9"/>
  <c r="L357" i="9"/>
  <c r="L341" i="9"/>
  <c r="L325" i="9"/>
  <c r="L309" i="9"/>
  <c r="L293" i="9"/>
  <c r="L277" i="9"/>
  <c r="L261" i="9"/>
  <c r="L362" i="9"/>
  <c r="L346" i="9"/>
  <c r="L330" i="9"/>
  <c r="L314" i="9"/>
  <c r="L298" i="9"/>
  <c r="L282" i="9"/>
  <c r="L266" i="9"/>
  <c r="L351" i="9"/>
  <c r="L335" i="9"/>
  <c r="L319" i="9"/>
  <c r="L303" i="9"/>
  <c r="L287" i="9"/>
  <c r="L271" i="9"/>
  <c r="L356" i="9"/>
  <c r="L340" i="9"/>
  <c r="L324" i="9"/>
  <c r="L308" i="9"/>
  <c r="L292" i="9"/>
  <c r="L276" i="9"/>
  <c r="L260" i="9"/>
  <c r="L244" i="9"/>
  <c r="L361" i="9"/>
  <c r="L345" i="9"/>
  <c r="L329" i="9"/>
  <c r="L313" i="9"/>
  <c r="L297" i="9"/>
  <c r="L281" i="9"/>
  <c r="L265" i="9"/>
  <c r="L366" i="9"/>
  <c r="L350" i="9"/>
  <c r="L334" i="9"/>
  <c r="L318" i="9"/>
  <c r="L302" i="9"/>
  <c r="L286" i="9"/>
  <c r="L270" i="9"/>
  <c r="L254" i="9"/>
  <c r="L355" i="9"/>
  <c r="L339" i="9"/>
  <c r="L323" i="9"/>
  <c r="L307" i="9"/>
  <c r="L291" i="9"/>
  <c r="L275" i="9"/>
  <c r="L259" i="9"/>
  <c r="L243" i="9"/>
  <c r="L360" i="9"/>
  <c r="L344" i="9"/>
  <c r="L328" i="9"/>
  <c r="L312" i="9"/>
  <c r="L296" i="9"/>
  <c r="L280" i="9"/>
  <c r="L264" i="9"/>
  <c r="L365" i="9"/>
  <c r="L349" i="9"/>
  <c r="L333" i="9"/>
  <c r="L317" i="9"/>
  <c r="L301" i="9"/>
  <c r="L285" i="9"/>
  <c r="L269" i="9"/>
  <c r="L354" i="9"/>
  <c r="L338" i="9"/>
  <c r="L322" i="9"/>
  <c r="L306" i="9"/>
  <c r="L290" i="9"/>
  <c r="L274" i="9"/>
  <c r="L359" i="9"/>
  <c r="L343" i="9"/>
  <c r="L327" i="9"/>
  <c r="L311" i="9"/>
  <c r="L295" i="9"/>
  <c r="L364" i="9"/>
  <c r="L348" i="9"/>
  <c r="L332" i="9"/>
  <c r="L316" i="9"/>
  <c r="L300" i="9"/>
  <c r="L284" i="9"/>
  <c r="L353" i="9"/>
  <c r="L337" i="9"/>
  <c r="L321" i="9"/>
  <c r="L305" i="9"/>
  <c r="L289" i="9"/>
  <c r="L363" i="9"/>
  <c r="L347" i="9"/>
  <c r="L331" i="9"/>
  <c r="L315" i="9"/>
  <c r="L299" i="9"/>
  <c r="L283" i="9"/>
  <c r="L342" i="9"/>
  <c r="L253" i="9"/>
  <c r="L240" i="9"/>
  <c r="L222" i="9"/>
  <c r="L206" i="9"/>
  <c r="L190" i="9"/>
  <c r="L174" i="9"/>
  <c r="L158" i="9"/>
  <c r="L142" i="9"/>
  <c r="L358" i="9"/>
  <c r="L250" i="9"/>
  <c r="L248" i="9"/>
  <c r="L227" i="9"/>
  <c r="L211" i="9"/>
  <c r="L195" i="9"/>
  <c r="L179" i="9"/>
  <c r="L163" i="9"/>
  <c r="L147" i="9"/>
  <c r="L257" i="9"/>
  <c r="L249" i="9"/>
  <c r="L247" i="9"/>
  <c r="L232" i="9"/>
  <c r="L216" i="9"/>
  <c r="L200" i="9"/>
  <c r="L184" i="9"/>
  <c r="L168" i="9"/>
  <c r="L152" i="9"/>
  <c r="L239" i="9"/>
  <c r="L221" i="9"/>
  <c r="L205" i="9"/>
  <c r="L189" i="9"/>
  <c r="L173" i="9"/>
  <c r="L157" i="9"/>
  <c r="L278" i="9"/>
  <c r="L258" i="9"/>
  <c r="L246" i="9"/>
  <c r="L226" i="9"/>
  <c r="L210" i="9"/>
  <c r="L194" i="9"/>
  <c r="L178" i="9"/>
  <c r="L255" i="9"/>
  <c r="L238" i="9"/>
  <c r="L231" i="9"/>
  <c r="L215" i="9"/>
  <c r="L237" i="9"/>
  <c r="L220" i="9"/>
  <c r="L204" i="9"/>
  <c r="L188" i="9"/>
  <c r="L172" i="9"/>
  <c r="L156" i="9"/>
  <c r="L267" i="9"/>
  <c r="L245" i="9"/>
  <c r="L236" i="9"/>
  <c r="L225" i="9"/>
  <c r="L209" i="9"/>
  <c r="L193" i="9"/>
  <c r="L177" i="9"/>
  <c r="L268" i="9"/>
  <c r="L230" i="9"/>
  <c r="L214" i="9"/>
  <c r="L198" i="9"/>
  <c r="L182" i="9"/>
  <c r="L166" i="9"/>
  <c r="L235" i="9"/>
  <c r="L219" i="9"/>
  <c r="L203" i="9"/>
  <c r="L187" i="9"/>
  <c r="L171" i="9"/>
  <c r="L279" i="9"/>
  <c r="L262" i="9"/>
  <c r="L224" i="9"/>
  <c r="L208" i="9"/>
  <c r="L192" i="9"/>
  <c r="L273" i="9"/>
  <c r="L263" i="9"/>
  <c r="L229" i="9"/>
  <c r="L213" i="9"/>
  <c r="L234" i="9"/>
  <c r="L218" i="9"/>
  <c r="L294" i="9"/>
  <c r="L242" i="9"/>
  <c r="L223" i="9"/>
  <c r="L207" i="9"/>
  <c r="L310" i="9"/>
  <c r="L252" i="9"/>
  <c r="L251" i="9"/>
  <c r="L241" i="9"/>
  <c r="L228" i="9"/>
  <c r="L212" i="9"/>
  <c r="L326" i="9"/>
  <c r="L233" i="9"/>
  <c r="L217" i="9"/>
  <c r="L196" i="9"/>
  <c r="L176" i="9"/>
  <c r="L162" i="9"/>
  <c r="L138" i="9"/>
  <c r="L122" i="9"/>
  <c r="L106" i="9"/>
  <c r="L90" i="9"/>
  <c r="L74" i="9"/>
  <c r="L58" i="9"/>
  <c r="L127" i="9"/>
  <c r="L111" i="9"/>
  <c r="L95" i="9"/>
  <c r="L79" i="9"/>
  <c r="L63" i="9"/>
  <c r="L132" i="9"/>
  <c r="L116" i="9"/>
  <c r="L100" i="9"/>
  <c r="L84" i="9"/>
  <c r="L68" i="9"/>
  <c r="L165" i="9"/>
  <c r="L164" i="9"/>
  <c r="L137" i="9"/>
  <c r="L121" i="9"/>
  <c r="L105" i="9"/>
  <c r="L89" i="9"/>
  <c r="L73" i="9"/>
  <c r="L197" i="9"/>
  <c r="L126" i="9"/>
  <c r="L110" i="9"/>
  <c r="L145" i="9"/>
  <c r="L144" i="9"/>
  <c r="L131" i="9"/>
  <c r="L115" i="9"/>
  <c r="L99" i="9"/>
  <c r="L83" i="9"/>
  <c r="L67" i="9"/>
  <c r="L51" i="9"/>
  <c r="L136" i="9"/>
  <c r="L120" i="9"/>
  <c r="L104" i="9"/>
  <c r="L88" i="9"/>
  <c r="L72" i="9"/>
  <c r="L201" i="9"/>
  <c r="L167" i="9"/>
  <c r="L155" i="9"/>
  <c r="L150" i="9"/>
  <c r="L149" i="9"/>
  <c r="L143" i="9"/>
  <c r="L125" i="9"/>
  <c r="L109" i="9"/>
  <c r="L93" i="9"/>
  <c r="L77" i="9"/>
  <c r="L183" i="9"/>
  <c r="L154" i="9"/>
  <c r="L146" i="9"/>
  <c r="L130" i="9"/>
  <c r="L114" i="9"/>
  <c r="L98" i="9"/>
  <c r="L82" i="9"/>
  <c r="L66" i="9"/>
  <c r="L170" i="9"/>
  <c r="L169" i="9"/>
  <c r="L160" i="9"/>
  <c r="L159" i="9"/>
  <c r="L151" i="9"/>
  <c r="L148" i="9"/>
  <c r="L141" i="9"/>
  <c r="L135" i="9"/>
  <c r="L119" i="9"/>
  <c r="L103" i="9"/>
  <c r="L87" i="9"/>
  <c r="L71" i="9"/>
  <c r="L55" i="9"/>
  <c r="L153" i="9"/>
  <c r="L140" i="9"/>
  <c r="L124" i="9"/>
  <c r="L108" i="9"/>
  <c r="L92" i="9"/>
  <c r="L129" i="9"/>
  <c r="L113" i="9"/>
  <c r="L202" i="9"/>
  <c r="L134" i="9"/>
  <c r="L118" i="9"/>
  <c r="L102" i="9"/>
  <c r="L185" i="9"/>
  <c r="L180" i="9"/>
  <c r="L161" i="9"/>
  <c r="L139" i="9"/>
  <c r="L123" i="9"/>
  <c r="L107" i="9"/>
  <c r="L191" i="9"/>
  <c r="L181" i="9"/>
  <c r="L128" i="9"/>
  <c r="L112" i="9"/>
  <c r="L199" i="9"/>
  <c r="L186" i="9"/>
  <c r="L175" i="9"/>
  <c r="L133" i="9"/>
  <c r="L117" i="9"/>
  <c r="L50" i="9"/>
  <c r="L38" i="9"/>
  <c r="L22" i="9"/>
  <c r="L6" i="9"/>
  <c r="L80" i="9"/>
  <c r="L49" i="9"/>
  <c r="L43" i="9"/>
  <c r="L27" i="9"/>
  <c r="L11" i="9"/>
  <c r="L97" i="9"/>
  <c r="L75" i="9"/>
  <c r="L61" i="9"/>
  <c r="L48" i="9"/>
  <c r="L32" i="9"/>
  <c r="L16" i="9"/>
  <c r="L101" i="9"/>
  <c r="L81" i="9"/>
  <c r="L37" i="9"/>
  <c r="L21" i="9"/>
  <c r="L5" i="9"/>
  <c r="L76" i="9"/>
  <c r="L69" i="9"/>
  <c r="L42" i="9"/>
  <c r="L26" i="9"/>
  <c r="L70" i="9"/>
  <c r="L47" i="9"/>
  <c r="L31" i="9"/>
  <c r="L15" i="9"/>
  <c r="L62" i="9"/>
  <c r="L36" i="9"/>
  <c r="L20" i="9"/>
  <c r="L4" i="9"/>
  <c r="L41" i="9"/>
  <c r="L25" i="9"/>
  <c r="L9" i="9"/>
  <c r="L46" i="9"/>
  <c r="L30" i="9"/>
  <c r="L14" i="9"/>
  <c r="L64" i="9"/>
  <c r="L35" i="9"/>
  <c r="L19" i="9"/>
  <c r="L3" i="9"/>
  <c r="L65" i="9"/>
  <c r="L40" i="9"/>
  <c r="L24" i="9"/>
  <c r="L8" i="9"/>
  <c r="L94" i="9"/>
  <c r="L54" i="9"/>
  <c r="L45" i="9"/>
  <c r="L29" i="9"/>
  <c r="L59" i="9"/>
  <c r="L53" i="9"/>
  <c r="L52" i="9"/>
  <c r="L34" i="9"/>
  <c r="L18" i="9"/>
  <c r="L2" i="9"/>
  <c r="L60" i="9"/>
  <c r="L56" i="9"/>
  <c r="L39" i="9"/>
  <c r="L91" i="9"/>
  <c r="L85" i="9"/>
  <c r="L78" i="9"/>
  <c r="L57" i="9"/>
  <c r="L44" i="9"/>
  <c r="L28" i="9"/>
  <c r="L12" i="9"/>
  <c r="L96" i="9"/>
  <c r="L86" i="9"/>
  <c r="L33" i="9"/>
  <c r="L13" i="9"/>
  <c r="L17" i="9"/>
  <c r="L23" i="9"/>
  <c r="L10" i="9"/>
  <c r="L7" i="9"/>
  <c r="F52" i="1"/>
  <c r="K4" i="6"/>
  <c r="B12" i="6"/>
  <c r="L12" i="6" s="1"/>
  <c r="K20" i="6"/>
  <c r="B28" i="6"/>
  <c r="L28" i="6" s="1"/>
  <c r="B34" i="6"/>
  <c r="L34" i="6" s="1"/>
  <c r="B42" i="6"/>
  <c r="L42" i="6" s="1"/>
  <c r="B50" i="6"/>
  <c r="L50" i="6" s="1"/>
  <c r="B58" i="6"/>
  <c r="L58" i="6" s="1"/>
  <c r="B66" i="6"/>
  <c r="L66" i="6" s="1"/>
  <c r="B15" i="6"/>
  <c r="L15" i="6" s="1"/>
  <c r="B31" i="6"/>
  <c r="L31" i="6" s="1"/>
  <c r="B2" i="6"/>
  <c r="L2" i="6" s="1"/>
  <c r="K10" i="6"/>
  <c r="B18" i="6"/>
  <c r="L18" i="6" s="1"/>
  <c r="K26" i="6"/>
  <c r="B39" i="6"/>
  <c r="L39" i="6" s="1"/>
  <c r="B47" i="6"/>
  <c r="L47" i="6" s="1"/>
  <c r="B55" i="6"/>
  <c r="L55" i="6" s="1"/>
  <c r="B63" i="6"/>
  <c r="L63" i="6" s="1"/>
  <c r="E8" i="1"/>
  <c r="D18" i="1"/>
  <c r="B5" i="6"/>
  <c r="L5" i="6" s="1"/>
  <c r="B21" i="6"/>
  <c r="L21" i="6" s="1"/>
  <c r="E18" i="1"/>
  <c r="F41" i="1"/>
  <c r="F45" i="1"/>
  <c r="F49" i="1"/>
  <c r="B8" i="6"/>
  <c r="L8" i="6" s="1"/>
  <c r="K16" i="6"/>
  <c r="B24" i="6"/>
  <c r="L24" i="6" s="1"/>
  <c r="B36" i="6"/>
  <c r="L36" i="6" s="1"/>
  <c r="B44" i="6"/>
  <c r="L44" i="6" s="1"/>
  <c r="B52" i="6"/>
  <c r="L52" i="6" s="1"/>
  <c r="B60" i="6"/>
  <c r="L60" i="6" s="1"/>
  <c r="C9" i="1"/>
  <c r="D15" i="1"/>
  <c r="T365" i="7"/>
  <c r="T363" i="7"/>
  <c r="T361" i="7"/>
  <c r="T359" i="7"/>
  <c r="T357" i="7"/>
  <c r="T355" i="7"/>
  <c r="T353" i="7"/>
  <c r="T351" i="7"/>
  <c r="T349" i="7"/>
  <c r="T347" i="7"/>
  <c r="T345" i="7"/>
  <c r="T358" i="7"/>
  <c r="T344" i="7"/>
  <c r="T327" i="7"/>
  <c r="T340" i="7"/>
  <c r="T348" i="7"/>
  <c r="T343" i="7"/>
  <c r="T330" i="7"/>
  <c r="T322" i="7"/>
  <c r="T320" i="7"/>
  <c r="T318" i="7"/>
  <c r="T316" i="7"/>
  <c r="T314" i="7"/>
  <c r="T312" i="7"/>
  <c r="T310" i="7"/>
  <c r="T308" i="7"/>
  <c r="T306" i="7"/>
  <c r="T336" i="7"/>
  <c r="T324" i="7"/>
  <c r="T362" i="7"/>
  <c r="T352" i="7"/>
  <c r="T339" i="7"/>
  <c r="T329" i="7"/>
  <c r="T356" i="7"/>
  <c r="T335" i="7"/>
  <c r="T332" i="7"/>
  <c r="T366" i="7"/>
  <c r="T342" i="7"/>
  <c r="T326" i="7"/>
  <c r="T346" i="7"/>
  <c r="T360" i="7"/>
  <c r="T338" i="7"/>
  <c r="T331" i="7"/>
  <c r="T323" i="7"/>
  <c r="T350" i="7"/>
  <c r="T341" i="7"/>
  <c r="T334" i="7"/>
  <c r="T354" i="7"/>
  <c r="T364" i="7"/>
  <c r="T328" i="7"/>
  <c r="T296" i="7"/>
  <c r="T283" i="7"/>
  <c r="T280" i="7"/>
  <c r="T267" i="7"/>
  <c r="T264" i="7"/>
  <c r="T337" i="7"/>
  <c r="T333" i="7"/>
  <c r="T313" i="7"/>
  <c r="T303" i="7"/>
  <c r="T299" i="7"/>
  <c r="T289" i="7"/>
  <c r="T286" i="7"/>
  <c r="T273" i="7"/>
  <c r="T270" i="7"/>
  <c r="T257" i="7"/>
  <c r="T321" i="7"/>
  <c r="T307" i="7"/>
  <c r="T254" i="7"/>
  <c r="T252" i="7"/>
  <c r="T250" i="7"/>
  <c r="T248" i="7"/>
  <c r="T246" i="7"/>
  <c r="T244" i="7"/>
  <c r="T242" i="7"/>
  <c r="T240" i="7"/>
  <c r="T238" i="7"/>
  <c r="T295" i="7"/>
  <c r="T292" i="7"/>
  <c r="T279" i="7"/>
  <c r="T276" i="7"/>
  <c r="T263" i="7"/>
  <c r="T260" i="7"/>
  <c r="T319" i="7"/>
  <c r="T285" i="7"/>
  <c r="T282" i="7"/>
  <c r="T269" i="7"/>
  <c r="T266" i="7"/>
  <c r="T311" i="7"/>
  <c r="T302" i="7"/>
  <c r="T298" i="7"/>
  <c r="T291" i="7"/>
  <c r="T288" i="7"/>
  <c r="T275" i="7"/>
  <c r="T272" i="7"/>
  <c r="T259" i="7"/>
  <c r="T256" i="7"/>
  <c r="T317" i="7"/>
  <c r="T305" i="7"/>
  <c r="T301" i="7"/>
  <c r="T297" i="7"/>
  <c r="T294" i="7"/>
  <c r="T281" i="7"/>
  <c r="T278" i="7"/>
  <c r="T265" i="7"/>
  <c r="T262" i="7"/>
  <c r="T253" i="7"/>
  <c r="T251" i="7"/>
  <c r="T287" i="7"/>
  <c r="T284" i="7"/>
  <c r="T271" i="7"/>
  <c r="T268" i="7"/>
  <c r="T315" i="7"/>
  <c r="T309" i="7"/>
  <c r="T255" i="7"/>
  <c r="T293" i="7"/>
  <c r="T290" i="7"/>
  <c r="T277" i="7"/>
  <c r="T274" i="7"/>
  <c r="T261" i="7"/>
  <c r="T258" i="7"/>
  <c r="T325" i="7"/>
  <c r="T304" i="7"/>
  <c r="T300" i="7"/>
  <c r="T209" i="7"/>
  <c r="T201" i="7"/>
  <c r="T191" i="7"/>
  <c r="T184" i="7"/>
  <c r="T175" i="7"/>
  <c r="T168" i="7"/>
  <c r="T159" i="7"/>
  <c r="T243" i="7"/>
  <c r="T227" i="7"/>
  <c r="T220" i="7"/>
  <c r="T217" i="7"/>
  <c r="T249" i="7"/>
  <c r="T234" i="7"/>
  <c r="T214" i="7"/>
  <c r="T206" i="7"/>
  <c r="T198" i="7"/>
  <c r="T193" i="7"/>
  <c r="T186" i="7"/>
  <c r="T177" i="7"/>
  <c r="T170" i="7"/>
  <c r="T161" i="7"/>
  <c r="T223" i="7"/>
  <c r="T237" i="7"/>
  <c r="T230" i="7"/>
  <c r="T211" i="7"/>
  <c r="T203" i="7"/>
  <c r="T195" i="7"/>
  <c r="T188" i="7"/>
  <c r="T179" i="7"/>
  <c r="T172" i="7"/>
  <c r="T163" i="7"/>
  <c r="T241" i="7"/>
  <c r="T233" i="7"/>
  <c r="T226" i="7"/>
  <c r="T219" i="7"/>
  <c r="T216" i="7"/>
  <c r="T208" i="7"/>
  <c r="T200" i="7"/>
  <c r="T190" i="7"/>
  <c r="T181" i="7"/>
  <c r="T174" i="7"/>
  <c r="T165" i="7"/>
  <c r="T158" i="7"/>
  <c r="T156" i="7"/>
  <c r="T154" i="7"/>
  <c r="T152" i="7"/>
  <c r="T150" i="7"/>
  <c r="T148" i="7"/>
  <c r="T146" i="7"/>
  <c r="T144" i="7"/>
  <c r="T142" i="7"/>
  <c r="T140" i="7"/>
  <c r="T138" i="7"/>
  <c r="T136" i="7"/>
  <c r="T134" i="7"/>
  <c r="T132" i="7"/>
  <c r="T130" i="7"/>
  <c r="T247" i="7"/>
  <c r="T229" i="7"/>
  <c r="T222" i="7"/>
  <c r="T213" i="7"/>
  <c r="T205" i="7"/>
  <c r="T197" i="7"/>
  <c r="T192" i="7"/>
  <c r="T183" i="7"/>
  <c r="T176" i="7"/>
  <c r="T167" i="7"/>
  <c r="T160" i="7"/>
  <c r="T236" i="7"/>
  <c r="T225" i="7"/>
  <c r="T210" i="7"/>
  <c r="T202" i="7"/>
  <c r="T194" i="7"/>
  <c r="T185" i="7"/>
  <c r="T178" i="7"/>
  <c r="T169" i="7"/>
  <c r="T162" i="7"/>
  <c r="T232" i="7"/>
  <c r="T218" i="7"/>
  <c r="T245" i="7"/>
  <c r="T221" i="7"/>
  <c r="T215" i="7"/>
  <c r="T207" i="7"/>
  <c r="T199" i="7"/>
  <c r="T187" i="7"/>
  <c r="T180" i="7"/>
  <c r="T171" i="7"/>
  <c r="T164" i="7"/>
  <c r="T239" i="7"/>
  <c r="T235" i="7"/>
  <c r="T228" i="7"/>
  <c r="T212" i="7"/>
  <c r="T204" i="7"/>
  <c r="T196" i="7"/>
  <c r="T189" i="7"/>
  <c r="T182" i="7"/>
  <c r="T173" i="7"/>
  <c r="T166" i="7"/>
  <c r="T157" i="7"/>
  <c r="T155" i="7"/>
  <c r="T153" i="7"/>
  <c r="T151" i="7"/>
  <c r="T149" i="7"/>
  <c r="T147" i="7"/>
  <c r="T145" i="7"/>
  <c r="T231" i="7"/>
  <c r="T224" i="7"/>
  <c r="T137" i="7"/>
  <c r="T122" i="7"/>
  <c r="T105" i="7"/>
  <c r="T102" i="7"/>
  <c r="T97" i="7"/>
  <c r="T94" i="7"/>
  <c r="T89" i="7"/>
  <c r="T86" i="7"/>
  <c r="T81" i="7"/>
  <c r="T78" i="7"/>
  <c r="T73" i="7"/>
  <c r="T70" i="7"/>
  <c r="T65" i="7"/>
  <c r="T62" i="7"/>
  <c r="T57" i="7"/>
  <c r="T54" i="7"/>
  <c r="T49" i="7"/>
  <c r="T46" i="7"/>
  <c r="T41" i="7"/>
  <c r="T38" i="7"/>
  <c r="T116" i="7"/>
  <c r="T110" i="7"/>
  <c r="T129" i="7"/>
  <c r="T125" i="7"/>
  <c r="T119" i="7"/>
  <c r="T143" i="7"/>
  <c r="T135" i="7"/>
  <c r="T128" i="7"/>
  <c r="T113" i="7"/>
  <c r="T104" i="7"/>
  <c r="T99" i="7"/>
  <c r="T96" i="7"/>
  <c r="T91" i="7"/>
  <c r="T88" i="7"/>
  <c r="T83" i="7"/>
  <c r="T80" i="7"/>
  <c r="T75" i="7"/>
  <c r="T72" i="7"/>
  <c r="T67" i="7"/>
  <c r="T64" i="7"/>
  <c r="T59" i="7"/>
  <c r="T56" i="7"/>
  <c r="T51" i="7"/>
  <c r="T48" i="7"/>
  <c r="T43" i="7"/>
  <c r="T40" i="7"/>
  <c r="T35" i="7"/>
  <c r="T33" i="7"/>
  <c r="T31" i="7"/>
  <c r="T29" i="7"/>
  <c r="T27" i="7"/>
  <c r="T25" i="7"/>
  <c r="T23" i="7"/>
  <c r="T107" i="7"/>
  <c r="T124" i="7"/>
  <c r="T118" i="7"/>
  <c r="T112" i="7"/>
  <c r="T141" i="7"/>
  <c r="T133" i="7"/>
  <c r="T121" i="7"/>
  <c r="T106" i="7"/>
  <c r="T101" i="7"/>
  <c r="T98" i="7"/>
  <c r="T93" i="7"/>
  <c r="T90" i="7"/>
  <c r="T85" i="7"/>
  <c r="T82" i="7"/>
  <c r="T77" i="7"/>
  <c r="T74" i="7"/>
  <c r="T69" i="7"/>
  <c r="T66" i="7"/>
  <c r="T61" i="7"/>
  <c r="T58" i="7"/>
  <c r="T53" i="7"/>
  <c r="T50" i="7"/>
  <c r="T45" i="7"/>
  <c r="T42" i="7"/>
  <c r="T37" i="7"/>
  <c r="T115" i="7"/>
  <c r="T109" i="7"/>
  <c r="T127" i="7"/>
  <c r="T120" i="7"/>
  <c r="T139" i="7"/>
  <c r="T131" i="7"/>
  <c r="T126" i="7"/>
  <c r="T114" i="7"/>
  <c r="T103" i="7"/>
  <c r="T100" i="7"/>
  <c r="T95" i="7"/>
  <c r="T92" i="7"/>
  <c r="T87" i="7"/>
  <c r="T84" i="7"/>
  <c r="T79" i="7"/>
  <c r="T76" i="7"/>
  <c r="T71" i="7"/>
  <c r="T68" i="7"/>
  <c r="T123" i="7"/>
  <c r="T108" i="7"/>
  <c r="T117" i="7"/>
  <c r="T111" i="7"/>
  <c r="T10" i="7"/>
  <c r="T2" i="7"/>
  <c r="T55" i="7"/>
  <c r="T34" i="7"/>
  <c r="T21" i="7"/>
  <c r="T7" i="7"/>
  <c r="T24" i="7"/>
  <c r="T18" i="7"/>
  <c r="T15" i="7"/>
  <c r="T12" i="7"/>
  <c r="T4" i="7"/>
  <c r="T63" i="7"/>
  <c r="T47" i="7"/>
  <c r="T30" i="7"/>
  <c r="T9" i="7"/>
  <c r="T52" i="7"/>
  <c r="T20" i="7"/>
  <c r="T17" i="7"/>
  <c r="T6" i="7"/>
  <c r="T60" i="7"/>
  <c r="T36" i="7"/>
  <c r="T26" i="7"/>
  <c r="T14" i="7"/>
  <c r="T11" i="7"/>
  <c r="T3" i="7"/>
  <c r="T32" i="7"/>
  <c r="T8" i="7"/>
  <c r="T22" i="7"/>
  <c r="T19" i="7"/>
  <c r="T44" i="7"/>
  <c r="T16" i="7"/>
  <c r="T13" i="7"/>
  <c r="T5" i="7"/>
  <c r="T39" i="7"/>
  <c r="T28" i="7"/>
  <c r="F53" i="1"/>
  <c r="E59" i="1"/>
  <c r="K3" i="6"/>
  <c r="B11" i="6"/>
  <c r="L11" i="6" s="1"/>
  <c r="K19" i="6"/>
  <c r="B27" i="6"/>
  <c r="L27" i="6" s="1"/>
  <c r="C19" i="1"/>
  <c r="D29" i="1"/>
  <c r="K6" i="6"/>
  <c r="B14" i="6"/>
  <c r="L14" i="6" s="1"/>
  <c r="K22" i="6"/>
  <c r="B30" i="6"/>
  <c r="L30" i="6" s="1"/>
  <c r="B33" i="6"/>
  <c r="L33" i="6" s="1"/>
  <c r="B41" i="6"/>
  <c r="L41" i="6" s="1"/>
  <c r="B49" i="6"/>
  <c r="L49" i="6" s="1"/>
  <c r="B57" i="6"/>
  <c r="L57" i="6" s="1"/>
  <c r="B65" i="6"/>
  <c r="L65" i="6" s="1"/>
  <c r="B17" i="6"/>
  <c r="L17" i="6" s="1"/>
  <c r="E60" i="1"/>
  <c r="E56" i="1"/>
  <c r="F48" i="1"/>
  <c r="F51" i="1"/>
  <c r="F38" i="1"/>
  <c r="D19" i="1"/>
  <c r="S365" i="7"/>
  <c r="S363" i="7"/>
  <c r="S361" i="7"/>
  <c r="S359" i="7"/>
  <c r="S357" i="7"/>
  <c r="S333" i="7"/>
  <c r="S358" i="7"/>
  <c r="S344" i="7"/>
  <c r="S327" i="7"/>
  <c r="S340" i="7"/>
  <c r="S348" i="7"/>
  <c r="S343" i="7"/>
  <c r="S330" i="7"/>
  <c r="S322" i="7"/>
  <c r="S320" i="7"/>
  <c r="S318" i="7"/>
  <c r="S316" i="7"/>
  <c r="S314" i="7"/>
  <c r="S312" i="7"/>
  <c r="S310" i="7"/>
  <c r="S308" i="7"/>
  <c r="S306" i="7"/>
  <c r="S304" i="7"/>
  <c r="S302" i="7"/>
  <c r="S300" i="7"/>
  <c r="S298" i="7"/>
  <c r="S347" i="7"/>
  <c r="S336" i="7"/>
  <c r="S324" i="7"/>
  <c r="S362" i="7"/>
  <c r="S352" i="7"/>
  <c r="S339" i="7"/>
  <c r="S351" i="7"/>
  <c r="S329" i="7"/>
  <c r="S356" i="7"/>
  <c r="S335" i="7"/>
  <c r="S355" i="7"/>
  <c r="S332" i="7"/>
  <c r="S366" i="7"/>
  <c r="S342" i="7"/>
  <c r="S326" i="7"/>
  <c r="S346" i="7"/>
  <c r="S360" i="7"/>
  <c r="S345" i="7"/>
  <c r="S338" i="7"/>
  <c r="S331" i="7"/>
  <c r="S350" i="7"/>
  <c r="S341" i="7"/>
  <c r="S325" i="7"/>
  <c r="S349" i="7"/>
  <c r="S354" i="7"/>
  <c r="S337" i="7"/>
  <c r="S328" i="7"/>
  <c r="S364" i="7"/>
  <c r="S353" i="7"/>
  <c r="S334" i="7"/>
  <c r="S296" i="7"/>
  <c r="S283" i="7"/>
  <c r="S280" i="7"/>
  <c r="S267" i="7"/>
  <c r="S264" i="7"/>
  <c r="S323" i="7"/>
  <c r="S313" i="7"/>
  <c r="S303" i="7"/>
  <c r="S299" i="7"/>
  <c r="S289" i="7"/>
  <c r="S286" i="7"/>
  <c r="S273" i="7"/>
  <c r="S270" i="7"/>
  <c r="S257" i="7"/>
  <c r="S321" i="7"/>
  <c r="S307" i="7"/>
  <c r="S254" i="7"/>
  <c r="S252" i="7"/>
  <c r="S250" i="7"/>
  <c r="S248" i="7"/>
  <c r="S246" i="7"/>
  <c r="S244" i="7"/>
  <c r="S242" i="7"/>
  <c r="S240" i="7"/>
  <c r="S238" i="7"/>
  <c r="S295" i="7"/>
  <c r="S292" i="7"/>
  <c r="S279" i="7"/>
  <c r="S276" i="7"/>
  <c r="S263" i="7"/>
  <c r="S260" i="7"/>
  <c r="S319" i="7"/>
  <c r="S285" i="7"/>
  <c r="S282" i="7"/>
  <c r="S269" i="7"/>
  <c r="S266" i="7"/>
  <c r="S311" i="7"/>
  <c r="S291" i="7"/>
  <c r="S288" i="7"/>
  <c r="S275" i="7"/>
  <c r="S272" i="7"/>
  <c r="S259" i="7"/>
  <c r="S256" i="7"/>
  <c r="S317" i="7"/>
  <c r="S305" i="7"/>
  <c r="S301" i="7"/>
  <c r="S297" i="7"/>
  <c r="S294" i="7"/>
  <c r="S281" i="7"/>
  <c r="S278" i="7"/>
  <c r="S265" i="7"/>
  <c r="S262" i="7"/>
  <c r="S287" i="7"/>
  <c r="S284" i="7"/>
  <c r="S271" i="7"/>
  <c r="S268" i="7"/>
  <c r="S315" i="7"/>
  <c r="S309" i="7"/>
  <c r="S255" i="7"/>
  <c r="S293" i="7"/>
  <c r="S290" i="7"/>
  <c r="S277" i="7"/>
  <c r="S274" i="7"/>
  <c r="S261" i="7"/>
  <c r="S258" i="7"/>
  <c r="S251" i="7"/>
  <c r="S231" i="7"/>
  <c r="S224" i="7"/>
  <c r="S209" i="7"/>
  <c r="S201" i="7"/>
  <c r="S191" i="7"/>
  <c r="S184" i="7"/>
  <c r="S175" i="7"/>
  <c r="S168" i="7"/>
  <c r="S159" i="7"/>
  <c r="S243" i="7"/>
  <c r="S227" i="7"/>
  <c r="S220" i="7"/>
  <c r="S217" i="7"/>
  <c r="S249" i="7"/>
  <c r="S234" i="7"/>
  <c r="S214" i="7"/>
  <c r="S206" i="7"/>
  <c r="S198" i="7"/>
  <c r="S193" i="7"/>
  <c r="S186" i="7"/>
  <c r="S177" i="7"/>
  <c r="S170" i="7"/>
  <c r="S161" i="7"/>
  <c r="S223" i="7"/>
  <c r="S237" i="7"/>
  <c r="S230" i="7"/>
  <c r="S211" i="7"/>
  <c r="S203" i="7"/>
  <c r="S195" i="7"/>
  <c r="S188" i="7"/>
  <c r="S179" i="7"/>
  <c r="S172" i="7"/>
  <c r="S163" i="7"/>
  <c r="S241" i="7"/>
  <c r="S233" i="7"/>
  <c r="S226" i="7"/>
  <c r="S219" i="7"/>
  <c r="S216" i="7"/>
  <c r="S208" i="7"/>
  <c r="S200" i="7"/>
  <c r="S190" i="7"/>
  <c r="S181" i="7"/>
  <c r="S174" i="7"/>
  <c r="S165" i="7"/>
  <c r="S158" i="7"/>
  <c r="S156" i="7"/>
  <c r="S154" i="7"/>
  <c r="S152" i="7"/>
  <c r="S150" i="7"/>
  <c r="S148" i="7"/>
  <c r="S146" i="7"/>
  <c r="S144" i="7"/>
  <c r="S142" i="7"/>
  <c r="S140" i="7"/>
  <c r="S138" i="7"/>
  <c r="S136" i="7"/>
  <c r="S134" i="7"/>
  <c r="S132" i="7"/>
  <c r="S130" i="7"/>
  <c r="S128" i="7"/>
  <c r="S126" i="7"/>
  <c r="S124" i="7"/>
  <c r="S247" i="7"/>
  <c r="S229" i="7"/>
  <c r="S222" i="7"/>
  <c r="S213" i="7"/>
  <c r="S205" i="7"/>
  <c r="S197" i="7"/>
  <c r="S192" i="7"/>
  <c r="S183" i="7"/>
  <c r="S176" i="7"/>
  <c r="S167" i="7"/>
  <c r="S160" i="7"/>
  <c r="S236" i="7"/>
  <c r="S225" i="7"/>
  <c r="S210" i="7"/>
  <c r="S202" i="7"/>
  <c r="S194" i="7"/>
  <c r="S185" i="7"/>
  <c r="S178" i="7"/>
  <c r="S169" i="7"/>
  <c r="S162" i="7"/>
  <c r="S232" i="7"/>
  <c r="S218" i="7"/>
  <c r="S245" i="7"/>
  <c r="S221" i="7"/>
  <c r="S215" i="7"/>
  <c r="S207" i="7"/>
  <c r="S199" i="7"/>
  <c r="S187" i="7"/>
  <c r="S180" i="7"/>
  <c r="S171" i="7"/>
  <c r="S164" i="7"/>
  <c r="S253" i="7"/>
  <c r="S239" i="7"/>
  <c r="S235" i="7"/>
  <c r="S228" i="7"/>
  <c r="S212" i="7"/>
  <c r="S204" i="7"/>
  <c r="S196" i="7"/>
  <c r="S189" i="7"/>
  <c r="S182" i="7"/>
  <c r="S173" i="7"/>
  <c r="S166" i="7"/>
  <c r="S157" i="7"/>
  <c r="S155" i="7"/>
  <c r="S153" i="7"/>
  <c r="S151" i="7"/>
  <c r="S111" i="7"/>
  <c r="S145" i="7"/>
  <c r="S137" i="7"/>
  <c r="S122" i="7"/>
  <c r="S105" i="7"/>
  <c r="S102" i="7"/>
  <c r="S97" i="7"/>
  <c r="S94" i="7"/>
  <c r="S89" i="7"/>
  <c r="S86" i="7"/>
  <c r="S81" i="7"/>
  <c r="S78" i="7"/>
  <c r="S73" i="7"/>
  <c r="S70" i="7"/>
  <c r="S65" i="7"/>
  <c r="S62" i="7"/>
  <c r="S57" i="7"/>
  <c r="S54" i="7"/>
  <c r="S49" i="7"/>
  <c r="S46" i="7"/>
  <c r="S41" i="7"/>
  <c r="S116" i="7"/>
  <c r="S110" i="7"/>
  <c r="S129" i="7"/>
  <c r="S125" i="7"/>
  <c r="S119" i="7"/>
  <c r="S143" i="7"/>
  <c r="S135" i="7"/>
  <c r="S113" i="7"/>
  <c r="S104" i="7"/>
  <c r="S99" i="7"/>
  <c r="S96" i="7"/>
  <c r="S91" i="7"/>
  <c r="S88" i="7"/>
  <c r="S83" i="7"/>
  <c r="S80" i="7"/>
  <c r="S75" i="7"/>
  <c r="S72" i="7"/>
  <c r="S67" i="7"/>
  <c r="S64" i="7"/>
  <c r="S59" i="7"/>
  <c r="S56" i="7"/>
  <c r="S51" i="7"/>
  <c r="S48" i="7"/>
  <c r="S107" i="7"/>
  <c r="S118" i="7"/>
  <c r="S112" i="7"/>
  <c r="S141" i="7"/>
  <c r="S133" i="7"/>
  <c r="S121" i="7"/>
  <c r="S106" i="7"/>
  <c r="S101" i="7"/>
  <c r="S98" i="7"/>
  <c r="S93" i="7"/>
  <c r="S90" i="7"/>
  <c r="S85" i="7"/>
  <c r="S82" i="7"/>
  <c r="S77" i="7"/>
  <c r="S74" i="7"/>
  <c r="S69" i="7"/>
  <c r="S66" i="7"/>
  <c r="S115" i="7"/>
  <c r="S109" i="7"/>
  <c r="S149" i="7"/>
  <c r="S127" i="7"/>
  <c r="S120" i="7"/>
  <c r="S139" i="7"/>
  <c r="S131" i="7"/>
  <c r="S114" i="7"/>
  <c r="S103" i="7"/>
  <c r="S100" i="7"/>
  <c r="S95" i="7"/>
  <c r="S92" i="7"/>
  <c r="S87" i="7"/>
  <c r="S84" i="7"/>
  <c r="S79" i="7"/>
  <c r="S76" i="7"/>
  <c r="S71" i="7"/>
  <c r="S68" i="7"/>
  <c r="S63" i="7"/>
  <c r="S147" i="7"/>
  <c r="S123" i="7"/>
  <c r="S108" i="7"/>
  <c r="S117" i="7"/>
  <c r="S39" i="7"/>
  <c r="S31" i="7"/>
  <c r="S28" i="7"/>
  <c r="S43" i="7"/>
  <c r="S10" i="7"/>
  <c r="S2" i="7"/>
  <c r="S55" i="7"/>
  <c r="S38" i="7"/>
  <c r="S34" i="7"/>
  <c r="S21" i="7"/>
  <c r="S7" i="7"/>
  <c r="S42" i="7"/>
  <c r="S27" i="7"/>
  <c r="S24" i="7"/>
  <c r="S18" i="7"/>
  <c r="S15" i="7"/>
  <c r="S53" i="7"/>
  <c r="S12" i="7"/>
  <c r="S4" i="7"/>
  <c r="S61" i="7"/>
  <c r="S47" i="7"/>
  <c r="S37" i="7"/>
  <c r="S33" i="7"/>
  <c r="S30" i="7"/>
  <c r="S9" i="7"/>
  <c r="S23" i="7"/>
  <c r="S52" i="7"/>
  <c r="S20" i="7"/>
  <c r="S17" i="7"/>
  <c r="S6" i="7"/>
  <c r="S60" i="7"/>
  <c r="S58" i="7"/>
  <c r="S40" i="7"/>
  <c r="S36" i="7"/>
  <c r="S29" i="7"/>
  <c r="S26" i="7"/>
  <c r="S14" i="7"/>
  <c r="S50" i="7"/>
  <c r="S45" i="7"/>
  <c r="S11" i="7"/>
  <c r="S3" i="7"/>
  <c r="S32" i="7"/>
  <c r="S35" i="7"/>
  <c r="S8" i="7"/>
  <c r="S25" i="7"/>
  <c r="S22" i="7"/>
  <c r="S19" i="7"/>
  <c r="S44" i="7"/>
  <c r="S16" i="7"/>
  <c r="S13" i="7"/>
  <c r="S5" i="7"/>
  <c r="D30" i="1"/>
  <c r="B4" i="6"/>
  <c r="L4" i="6" s="1"/>
  <c r="K12" i="6"/>
  <c r="B20" i="6"/>
  <c r="L20" i="6" s="1"/>
  <c r="K28" i="6"/>
  <c r="B38" i="6"/>
  <c r="L38" i="6" s="1"/>
  <c r="B46" i="6"/>
  <c r="L46" i="6" s="1"/>
  <c r="B54" i="6"/>
  <c r="L54" i="6" s="1"/>
  <c r="B62" i="6"/>
  <c r="L62" i="6" s="1"/>
  <c r="F9" i="1"/>
  <c r="E19" i="1"/>
  <c r="F46" i="1"/>
  <c r="F50" i="1"/>
  <c r="E55" i="1"/>
  <c r="B7" i="6"/>
  <c r="L7" i="6" s="1"/>
  <c r="K15" i="6"/>
  <c r="B23" i="6"/>
  <c r="L23" i="6" s="1"/>
  <c r="C10" i="1"/>
  <c r="C13" i="1" s="1" a="1"/>
  <c r="D16" i="1"/>
  <c r="D31" i="1"/>
  <c r="F39" i="1"/>
  <c r="K2" i="6"/>
  <c r="B10" i="6"/>
  <c r="L10" i="6" s="1"/>
  <c r="K18" i="6"/>
  <c r="B26" i="6"/>
  <c r="L26" i="6" s="1"/>
  <c r="B35" i="6"/>
  <c r="L35" i="6" s="1"/>
  <c r="B43" i="6"/>
  <c r="L43" i="6" s="1"/>
  <c r="B51" i="6"/>
  <c r="L51" i="6" s="1"/>
  <c r="B59" i="6"/>
  <c r="L59" i="6" s="1"/>
  <c r="B13" i="6"/>
  <c r="L13" i="6" s="1"/>
  <c r="B29" i="6"/>
  <c r="L29" i="6" s="1"/>
  <c r="F43" i="1"/>
  <c r="K8" i="6"/>
  <c r="B16" i="6"/>
  <c r="L16" i="6" s="1"/>
  <c r="K24" i="6"/>
  <c r="B32" i="6"/>
  <c r="L32" i="6" s="1"/>
  <c r="B40" i="6"/>
  <c r="L40" i="6" s="1"/>
  <c r="B48" i="6"/>
  <c r="L48" i="6" s="1"/>
  <c r="B56" i="6"/>
  <c r="L56" i="6" s="1"/>
  <c r="B64" i="6"/>
  <c r="L64" i="6" s="1"/>
  <c r="C17" i="1"/>
  <c r="E57" i="1"/>
  <c r="B3" i="6"/>
  <c r="L3" i="6" s="1"/>
  <c r="B19" i="6"/>
  <c r="L19" i="6" s="1"/>
  <c r="K74" i="6"/>
  <c r="K90" i="6"/>
  <c r="K95" i="6"/>
  <c r="K100" i="6"/>
  <c r="K104" i="6"/>
  <c r="K108" i="6"/>
  <c r="K112" i="6"/>
  <c r="K116" i="6"/>
  <c r="K120" i="6"/>
  <c r="K124" i="6"/>
  <c r="K128" i="6"/>
  <c r="K132" i="6"/>
  <c r="K136" i="6"/>
  <c r="K140" i="6"/>
  <c r="K73" i="6"/>
  <c r="K89" i="6"/>
  <c r="K83" i="6"/>
  <c r="K99" i="6"/>
  <c r="K103" i="6"/>
  <c r="K107" i="6"/>
  <c r="K111" i="6"/>
  <c r="K115" i="6"/>
  <c r="K119" i="6"/>
  <c r="K123" i="6"/>
  <c r="K127" i="6"/>
  <c r="K131" i="6"/>
  <c r="K135" i="6"/>
  <c r="K139" i="6"/>
  <c r="K72" i="6"/>
  <c r="K88" i="6"/>
  <c r="K77" i="6"/>
  <c r="K93" i="6"/>
  <c r="K71" i="6"/>
  <c r="K87" i="6"/>
  <c r="K102" i="6"/>
  <c r="K106" i="6"/>
  <c r="K110" i="6"/>
  <c r="K114" i="6"/>
  <c r="K118" i="6"/>
  <c r="K122" i="6"/>
  <c r="K126" i="6"/>
  <c r="K130" i="6"/>
  <c r="K134" i="6"/>
  <c r="K138" i="6"/>
  <c r="K142" i="6"/>
  <c r="C24" i="1"/>
  <c r="K81" i="6"/>
  <c r="K97" i="6"/>
  <c r="K70" i="6"/>
  <c r="K86" i="6"/>
  <c r="K227" i="6"/>
  <c r="K286" i="6"/>
  <c r="K287" i="6"/>
  <c r="K292" i="6"/>
  <c r="K302" i="6"/>
  <c r="R9" i="7"/>
  <c r="K345" i="6"/>
  <c r="L356" i="6"/>
  <c r="L360" i="6"/>
  <c r="R8" i="7"/>
  <c r="L344" i="6"/>
  <c r="R6" i="7"/>
  <c r="K342" i="6"/>
  <c r="K341" i="6"/>
  <c r="R51" i="7"/>
  <c r="P51" i="7"/>
  <c r="K347" i="6"/>
  <c r="R59" i="7"/>
  <c r="P59" i="7"/>
  <c r="R37" i="7"/>
  <c r="P37" i="7"/>
  <c r="R41" i="7"/>
  <c r="P41" i="7"/>
  <c r="U40" i="7"/>
  <c r="R46" i="7"/>
  <c r="P46" i="7"/>
  <c r="R50" i="7"/>
  <c r="P52" i="7"/>
  <c r="U51" i="7"/>
  <c r="K344" i="6"/>
  <c r="K360" i="6"/>
  <c r="R58" i="7"/>
  <c r="P60" i="7"/>
  <c r="U59" i="7"/>
  <c r="R60" i="7"/>
  <c r="R17" i="7"/>
  <c r="U32" i="7"/>
  <c r="U45" i="7"/>
  <c r="R47" i="7"/>
  <c r="P47" i="7"/>
  <c r="U50" i="7"/>
  <c r="R52" i="7"/>
  <c r="K358" i="6"/>
  <c r="U3" i="7"/>
  <c r="U11" i="7"/>
  <c r="U29" i="7"/>
  <c r="P34" i="7"/>
  <c r="U33" i="7"/>
  <c r="U58" i="7"/>
  <c r="U14" i="7"/>
  <c r="U26" i="7"/>
  <c r="U36" i="7"/>
  <c r="R38" i="7"/>
  <c r="P38" i="7"/>
  <c r="R43" i="7"/>
  <c r="P43" i="7"/>
  <c r="U46" i="7"/>
  <c r="R62" i="7"/>
  <c r="P62" i="7"/>
  <c r="U6" i="7"/>
  <c r="U17" i="7"/>
  <c r="U20" i="7"/>
  <c r="U23" i="7"/>
  <c r="R30" i="7"/>
  <c r="R33" i="7"/>
  <c r="R54" i="7"/>
  <c r="P54" i="7"/>
  <c r="R64" i="7"/>
  <c r="P64" i="7"/>
  <c r="K339" i="6"/>
  <c r="K355" i="6"/>
  <c r="R4" i="7"/>
  <c r="R12" i="7"/>
  <c r="K366" i="6"/>
  <c r="U9" i="7"/>
  <c r="R15" i="7"/>
  <c r="R18" i="7"/>
  <c r="R24" i="7"/>
  <c r="R27" i="7"/>
  <c r="U37" i="7"/>
  <c r="R39" i="7"/>
  <c r="P39" i="7"/>
  <c r="U61" i="7"/>
  <c r="K337" i="6"/>
  <c r="K353" i="6"/>
  <c r="R7" i="7"/>
  <c r="R21" i="7"/>
  <c r="U30" i="7"/>
  <c r="R34" i="7"/>
  <c r="U47" i="7"/>
  <c r="U53" i="7"/>
  <c r="R56" i="7"/>
  <c r="P56" i="7"/>
  <c r="U63" i="7"/>
  <c r="U4" i="7"/>
  <c r="U12" i="7"/>
  <c r="U27" i="7"/>
  <c r="U42" i="7"/>
  <c r="P44" i="7"/>
  <c r="U43" i="7"/>
  <c r="R49" i="7"/>
  <c r="P49" i="7"/>
  <c r="U48" i="7"/>
  <c r="K335" i="6"/>
  <c r="K351" i="6"/>
  <c r="R10" i="7"/>
  <c r="U15" i="7"/>
  <c r="U18" i="7"/>
  <c r="U24" i="7"/>
  <c r="U38" i="7"/>
  <c r="K334" i="6"/>
  <c r="K350" i="6"/>
  <c r="K364" i="6"/>
  <c r="U7" i="7"/>
  <c r="U21" i="7"/>
  <c r="R28" i="7"/>
  <c r="R31" i="7"/>
  <c r="U34" i="7"/>
  <c r="R48" i="7"/>
  <c r="K349" i="6"/>
  <c r="R5" i="7"/>
  <c r="R13" i="7"/>
  <c r="R16" i="7"/>
  <c r="P36" i="7"/>
  <c r="U35" i="7"/>
  <c r="R44" i="7"/>
  <c r="U55" i="7"/>
  <c r="R57" i="7"/>
  <c r="P57" i="7"/>
  <c r="U56" i="7"/>
  <c r="R139" i="7"/>
  <c r="P139" i="7"/>
  <c r="U138" i="7"/>
  <c r="R68" i="7"/>
  <c r="R76" i="7"/>
  <c r="R84" i="7"/>
  <c r="R92" i="7"/>
  <c r="R67" i="7"/>
  <c r="P67" i="7"/>
  <c r="R75" i="7"/>
  <c r="P75" i="7"/>
  <c r="R83" i="7"/>
  <c r="P83" i="7"/>
  <c r="R91" i="7"/>
  <c r="P91" i="7"/>
  <c r="R99" i="7"/>
  <c r="P99" i="7"/>
  <c r="R107" i="7"/>
  <c r="P107" i="7"/>
  <c r="K108" i="9"/>
  <c r="D368" i="7"/>
  <c r="D369" i="7" s="1"/>
  <c r="R113" i="7"/>
  <c r="P113" i="7"/>
  <c r="R132" i="7"/>
  <c r="R140" i="7"/>
  <c r="R152" i="7"/>
  <c r="R154" i="7"/>
  <c r="U71" i="7"/>
  <c r="U79" i="7"/>
  <c r="U87" i="7"/>
  <c r="U95" i="7"/>
  <c r="U103" i="7"/>
  <c r="R119" i="7"/>
  <c r="P119" i="7"/>
  <c r="R133" i="7"/>
  <c r="P133" i="7"/>
  <c r="U132" i="7"/>
  <c r="R141" i="7"/>
  <c r="P141" i="7"/>
  <c r="U140" i="7"/>
  <c r="R125" i="7"/>
  <c r="P125" i="7"/>
  <c r="R65" i="7"/>
  <c r="P65" i="7"/>
  <c r="R73" i="7"/>
  <c r="P73" i="7"/>
  <c r="R81" i="7"/>
  <c r="P81" i="7"/>
  <c r="R89" i="7"/>
  <c r="P89" i="7"/>
  <c r="R97" i="7"/>
  <c r="P97" i="7"/>
  <c r="R105" i="7"/>
  <c r="P105" i="7"/>
  <c r="P72" i="7"/>
  <c r="P80" i="7"/>
  <c r="P88" i="7"/>
  <c r="P96" i="7"/>
  <c r="P104" i="7"/>
  <c r="R129" i="7"/>
  <c r="P129" i="7"/>
  <c r="U128" i="7"/>
  <c r="R134" i="7"/>
  <c r="R142" i="7"/>
  <c r="U66" i="7"/>
  <c r="U69" i="7"/>
  <c r="U77" i="7"/>
  <c r="U85" i="7"/>
  <c r="U90" i="7"/>
  <c r="U93" i="7"/>
  <c r="U98" i="7"/>
  <c r="U101" i="7"/>
  <c r="U106" i="7"/>
  <c r="R111" i="7"/>
  <c r="P111" i="7"/>
  <c r="R135" i="7"/>
  <c r="P135" i="7"/>
  <c r="U134" i="7"/>
  <c r="R143" i="7"/>
  <c r="P143" i="7"/>
  <c r="U142" i="7"/>
  <c r="U112" i="7"/>
  <c r="R117" i="7"/>
  <c r="P117" i="7"/>
  <c r="R55" i="7"/>
  <c r="P55" i="7"/>
  <c r="R63" i="7"/>
  <c r="P63" i="7"/>
  <c r="R71" i="7"/>
  <c r="P71" i="7"/>
  <c r="R79" i="7"/>
  <c r="P79" i="7"/>
  <c r="R87" i="7"/>
  <c r="P87" i="7"/>
  <c r="R95" i="7"/>
  <c r="P95" i="7"/>
  <c r="R103" i="7"/>
  <c r="P103" i="7"/>
  <c r="U118" i="7"/>
  <c r="R123" i="7"/>
  <c r="P123" i="7"/>
  <c r="U124" i="7"/>
  <c r="P70" i="7"/>
  <c r="P78" i="7"/>
  <c r="P86" i="7"/>
  <c r="P94" i="7"/>
  <c r="P102" i="7"/>
  <c r="R110" i="7"/>
  <c r="R136" i="7"/>
  <c r="R144" i="7"/>
  <c r="U64" i="7"/>
  <c r="U67" i="7"/>
  <c r="U72" i="7"/>
  <c r="U75" i="7"/>
  <c r="U80" i="7"/>
  <c r="U83" i="7"/>
  <c r="U88" i="7"/>
  <c r="U91" i="7"/>
  <c r="U96" i="7"/>
  <c r="U99" i="7"/>
  <c r="U104" i="7"/>
  <c r="R137" i="7"/>
  <c r="P137" i="7"/>
  <c r="U136" i="7"/>
  <c r="R145" i="7"/>
  <c r="P145" i="7"/>
  <c r="U144" i="7"/>
  <c r="R109" i="7"/>
  <c r="P109" i="7"/>
  <c r="R45" i="7"/>
  <c r="P45" i="7"/>
  <c r="R53" i="7"/>
  <c r="P53" i="7"/>
  <c r="R61" i="7"/>
  <c r="P61" i="7"/>
  <c r="R69" i="7"/>
  <c r="P69" i="7"/>
  <c r="R77" i="7"/>
  <c r="P77" i="7"/>
  <c r="R85" i="7"/>
  <c r="P85" i="7"/>
  <c r="R93" i="7"/>
  <c r="P93" i="7"/>
  <c r="R101" i="7"/>
  <c r="P101" i="7"/>
  <c r="U110" i="7"/>
  <c r="R115" i="7"/>
  <c r="P115" i="7"/>
  <c r="R146" i="7"/>
  <c r="U116" i="7"/>
  <c r="R121" i="7"/>
  <c r="P121" i="7"/>
  <c r="R127" i="7"/>
  <c r="P127" i="7"/>
  <c r="U126" i="7"/>
  <c r="R131" i="7"/>
  <c r="P131" i="7"/>
  <c r="U130" i="7"/>
  <c r="R138" i="7"/>
  <c r="R147" i="7"/>
  <c r="U218" i="7"/>
  <c r="U232" i="7"/>
  <c r="R196" i="7"/>
  <c r="R204" i="7"/>
  <c r="R212" i="7"/>
  <c r="U236" i="7"/>
  <c r="U240" i="7"/>
  <c r="U222" i="7"/>
  <c r="R245" i="7"/>
  <c r="U246" i="7"/>
  <c r="R218" i="7"/>
  <c r="R160" i="7"/>
  <c r="R167" i="7"/>
  <c r="R176" i="7"/>
  <c r="R202" i="7"/>
  <c r="R205" i="7"/>
  <c r="R210" i="7"/>
  <c r="U216" i="7"/>
  <c r="P219" i="7"/>
  <c r="U226" i="7"/>
  <c r="U162" i="7"/>
  <c r="U178" i="7"/>
  <c r="U194" i="7"/>
  <c r="U202" i="7"/>
  <c r="U210" i="7"/>
  <c r="R236" i="7"/>
  <c r="R240" i="7"/>
  <c r="P163" i="7"/>
  <c r="P179" i="7"/>
  <c r="P195" i="7"/>
  <c r="P203" i="7"/>
  <c r="P211" i="7"/>
  <c r="R219" i="7"/>
  <c r="R222" i="7"/>
  <c r="U230" i="7"/>
  <c r="R246" i="7"/>
  <c r="U160" i="7"/>
  <c r="U176" i="7"/>
  <c r="U192" i="7"/>
  <c r="R247" i="7"/>
  <c r="U248" i="7"/>
  <c r="P161" i="7"/>
  <c r="P177" i="7"/>
  <c r="P193" i="7"/>
  <c r="R200" i="7"/>
  <c r="R208" i="7"/>
  <c r="R216" i="7"/>
  <c r="R226" i="7"/>
  <c r="U234" i="7"/>
  <c r="U242" i="7"/>
  <c r="U146" i="7"/>
  <c r="U148" i="7"/>
  <c r="U150" i="7"/>
  <c r="U152" i="7"/>
  <c r="U154" i="7"/>
  <c r="U156" i="7"/>
  <c r="U158" i="7"/>
  <c r="U174" i="7"/>
  <c r="U190" i="7"/>
  <c r="U200" i="7"/>
  <c r="U208" i="7"/>
  <c r="P217" i="7"/>
  <c r="U220" i="7"/>
  <c r="P159" i="7"/>
  <c r="P175" i="7"/>
  <c r="P191" i="7"/>
  <c r="P201" i="7"/>
  <c r="P209" i="7"/>
  <c r="R230" i="7"/>
  <c r="U238" i="7"/>
  <c r="U250" i="7"/>
  <c r="U172" i="7"/>
  <c r="U188" i="7"/>
  <c r="R217" i="7"/>
  <c r="U224" i="7"/>
  <c r="R248" i="7"/>
  <c r="P147" i="7"/>
  <c r="P149" i="7"/>
  <c r="P151" i="7"/>
  <c r="P153" i="7"/>
  <c r="P155" i="7"/>
  <c r="P157" i="7"/>
  <c r="P173" i="7"/>
  <c r="P189" i="7"/>
  <c r="R198" i="7"/>
  <c r="R206" i="7"/>
  <c r="R214" i="7"/>
  <c r="R234" i="7"/>
  <c r="R242" i="7"/>
  <c r="R249" i="7"/>
  <c r="U252" i="7"/>
  <c r="U170" i="7"/>
  <c r="U186" i="7"/>
  <c r="U198" i="7"/>
  <c r="U206" i="7"/>
  <c r="U214" i="7"/>
  <c r="R220" i="7"/>
  <c r="U228" i="7"/>
  <c r="R231" i="7"/>
  <c r="R243" i="7"/>
  <c r="U244" i="7"/>
  <c r="P221" i="7"/>
  <c r="R238" i="7"/>
  <c r="R250" i="7"/>
  <c r="R266" i="7"/>
  <c r="P266" i="7"/>
  <c r="U268" i="7"/>
  <c r="R282" i="7"/>
  <c r="P282" i="7"/>
  <c r="U284" i="7"/>
  <c r="R298" i="7"/>
  <c r="P298" i="7"/>
  <c r="R315" i="7"/>
  <c r="R271" i="7"/>
  <c r="R287" i="7"/>
  <c r="R302" i="7"/>
  <c r="P302" i="7"/>
  <c r="U301" i="7"/>
  <c r="R306" i="7"/>
  <c r="P306" i="7"/>
  <c r="U305" i="7"/>
  <c r="U310" i="7"/>
  <c r="U316" i="7"/>
  <c r="P317" i="7"/>
  <c r="R260" i="7"/>
  <c r="P260" i="7"/>
  <c r="U262" i="7"/>
  <c r="R276" i="7"/>
  <c r="P276" i="7"/>
  <c r="U278" i="7"/>
  <c r="R292" i="7"/>
  <c r="P292" i="7"/>
  <c r="U294" i="7"/>
  <c r="R318" i="7"/>
  <c r="P318" i="7"/>
  <c r="U317" i="7"/>
  <c r="R312" i="7"/>
  <c r="P312" i="7"/>
  <c r="U311" i="7"/>
  <c r="U256" i="7"/>
  <c r="R270" i="7"/>
  <c r="P270" i="7"/>
  <c r="U272" i="7"/>
  <c r="R286" i="7"/>
  <c r="P286" i="7"/>
  <c r="U288" i="7"/>
  <c r="P311" i="7"/>
  <c r="R317" i="7"/>
  <c r="R259" i="7"/>
  <c r="P269" i="7"/>
  <c r="R275" i="7"/>
  <c r="P285" i="7"/>
  <c r="R291" i="7"/>
  <c r="U306" i="7"/>
  <c r="U318" i="7"/>
  <c r="P319" i="7"/>
  <c r="R264" i="7"/>
  <c r="P264" i="7"/>
  <c r="U265" i="7"/>
  <c r="U266" i="7"/>
  <c r="R280" i="7"/>
  <c r="P280" i="7"/>
  <c r="U281" i="7"/>
  <c r="U282" i="7"/>
  <c r="R296" i="7"/>
  <c r="P296" i="7"/>
  <c r="U297" i="7"/>
  <c r="U298" i="7"/>
  <c r="U302" i="7"/>
  <c r="R311" i="7"/>
  <c r="R320" i="7"/>
  <c r="P320" i="7"/>
  <c r="U319" i="7"/>
  <c r="U254" i="7"/>
  <c r="P263" i="7"/>
  <c r="R269" i="7"/>
  <c r="P279" i="7"/>
  <c r="R285" i="7"/>
  <c r="P295" i="7"/>
  <c r="R308" i="7"/>
  <c r="P308" i="7"/>
  <c r="U307" i="7"/>
  <c r="U312" i="7"/>
  <c r="R258" i="7"/>
  <c r="P258" i="7"/>
  <c r="U259" i="7"/>
  <c r="U260" i="7"/>
  <c r="R274" i="7"/>
  <c r="P274" i="7"/>
  <c r="U275" i="7"/>
  <c r="U276" i="7"/>
  <c r="R290" i="7"/>
  <c r="P290" i="7"/>
  <c r="U291" i="7"/>
  <c r="U292" i="7"/>
  <c r="P307" i="7"/>
  <c r="R319" i="7"/>
  <c r="P257" i="7"/>
  <c r="R263" i="7"/>
  <c r="P273" i="7"/>
  <c r="R279" i="7"/>
  <c r="P289" i="7"/>
  <c r="R295" i="7"/>
  <c r="R300" i="7"/>
  <c r="P300" i="7"/>
  <c r="U299" i="7"/>
  <c r="R304" i="7"/>
  <c r="P304" i="7"/>
  <c r="U303" i="7"/>
  <c r="R314" i="7"/>
  <c r="P314" i="7"/>
  <c r="U313" i="7"/>
  <c r="U320" i="7"/>
  <c r="R321" i="7"/>
  <c r="P321" i="7"/>
  <c r="R322" i="7"/>
  <c r="P322" i="7"/>
  <c r="U321" i="7"/>
  <c r="R268" i="7"/>
  <c r="P268" i="7"/>
  <c r="U269" i="7"/>
  <c r="U270" i="7"/>
  <c r="R284" i="7"/>
  <c r="P284" i="7"/>
  <c r="U285" i="7"/>
  <c r="U286" i="7"/>
  <c r="P299" i="7"/>
  <c r="P303" i="7"/>
  <c r="R307" i="7"/>
  <c r="P313" i="7"/>
  <c r="R257" i="7"/>
  <c r="R273" i="7"/>
  <c r="P283" i="7"/>
  <c r="R289" i="7"/>
  <c r="U308" i="7"/>
  <c r="U322" i="7"/>
  <c r="R323" i="7"/>
  <c r="P323" i="7"/>
  <c r="P324" i="7"/>
  <c r="R324" i="7"/>
  <c r="U323" i="7"/>
  <c r="U324" i="7"/>
  <c r="R262" i="7"/>
  <c r="P262" i="7"/>
  <c r="U263" i="7"/>
  <c r="U264" i="7"/>
  <c r="R278" i="7"/>
  <c r="P278" i="7"/>
  <c r="U279" i="7"/>
  <c r="U280" i="7"/>
  <c r="R294" i="7"/>
  <c r="P294" i="7"/>
  <c r="U295" i="7"/>
  <c r="U296" i="7"/>
  <c r="R299" i="7"/>
  <c r="R303" i="7"/>
  <c r="R313" i="7"/>
  <c r="R256" i="7"/>
  <c r="P256" i="7"/>
  <c r="P261" i="7"/>
  <c r="R267" i="7"/>
  <c r="P277" i="7"/>
  <c r="R283" i="7"/>
  <c r="P293" i="7"/>
  <c r="R310" i="7"/>
  <c r="P310" i="7"/>
  <c r="U309" i="7"/>
  <c r="U314" i="7"/>
  <c r="P315" i="7"/>
  <c r="U330" i="7"/>
  <c r="R332" i="7"/>
  <c r="P332" i="7"/>
  <c r="U331" i="7"/>
  <c r="R333" i="7"/>
  <c r="R335" i="7"/>
  <c r="P335" i="7"/>
  <c r="U334" i="7"/>
  <c r="P255" i="7"/>
  <c r="U257" i="7"/>
  <c r="U258" i="7"/>
  <c r="R272" i="7"/>
  <c r="P272" i="7"/>
  <c r="U273" i="7"/>
  <c r="U274" i="7"/>
  <c r="R288" i="7"/>
  <c r="P288" i="7"/>
  <c r="U289" i="7"/>
  <c r="U290" i="7"/>
  <c r="U300" i="7"/>
  <c r="U304" i="7"/>
  <c r="P309" i="7"/>
  <c r="R316" i="7"/>
  <c r="P316" i="7"/>
  <c r="U315" i="7"/>
  <c r="R327" i="7"/>
  <c r="P327" i="7"/>
  <c r="U326" i="7"/>
  <c r="R261" i="7"/>
  <c r="P271" i="7"/>
  <c r="R277" i="7"/>
  <c r="P287" i="7"/>
  <c r="R293" i="7"/>
  <c r="R325" i="7"/>
  <c r="R342" i="7"/>
  <c r="P342" i="7"/>
  <c r="U341" i="7"/>
  <c r="R346" i="7"/>
  <c r="P346" i="7"/>
  <c r="U345" i="7"/>
  <c r="R351" i="7"/>
  <c r="R360" i="7"/>
  <c r="P360" i="7"/>
  <c r="U359" i="7"/>
  <c r="R361" i="7"/>
  <c r="R347" i="7"/>
  <c r="R366" i="7"/>
  <c r="P366" i="7"/>
  <c r="U365" i="7"/>
  <c r="J14" i="9"/>
  <c r="R356" i="7"/>
  <c r="P356" i="7"/>
  <c r="U355" i="7"/>
  <c r="R330" i="7"/>
  <c r="P330" i="7"/>
  <c r="U329" i="7"/>
  <c r="R336" i="7"/>
  <c r="P336" i="7"/>
  <c r="U335" i="7"/>
  <c r="J6" i="9"/>
  <c r="U338" i="7"/>
  <c r="R352" i="7"/>
  <c r="P352" i="7"/>
  <c r="U351" i="7"/>
  <c r="R357" i="7"/>
  <c r="J5" i="9"/>
  <c r="J20" i="9"/>
  <c r="R340" i="7"/>
  <c r="P340" i="7"/>
  <c r="U339" i="7"/>
  <c r="R362" i="7"/>
  <c r="P362" i="7"/>
  <c r="U361" i="7"/>
  <c r="J17" i="9"/>
  <c r="P339" i="7"/>
  <c r="U342" i="7"/>
  <c r="R348" i="7"/>
  <c r="P348" i="7"/>
  <c r="U347" i="7"/>
  <c r="R353" i="7"/>
  <c r="J9" i="9"/>
  <c r="J25" i="9"/>
  <c r="U332" i="7"/>
  <c r="R337" i="7"/>
  <c r="R344" i="7"/>
  <c r="P344" i="7"/>
  <c r="U343" i="7"/>
  <c r="R328" i="7"/>
  <c r="P328" i="7"/>
  <c r="U327" i="7"/>
  <c r="P343" i="7"/>
  <c r="R349" i="7"/>
  <c r="J4" i="9"/>
  <c r="J30" i="9"/>
  <c r="R334" i="7"/>
  <c r="P334" i="7"/>
  <c r="U333" i="7"/>
  <c r="R341" i="7"/>
  <c r="R358" i="7"/>
  <c r="P358" i="7"/>
  <c r="U357" i="7"/>
  <c r="P333" i="7"/>
  <c r="R345" i="7"/>
  <c r="R359" i="7"/>
  <c r="J12" i="9"/>
  <c r="J22" i="9"/>
  <c r="U336" i="7"/>
  <c r="R354" i="7"/>
  <c r="P354" i="7"/>
  <c r="U353" i="7"/>
  <c r="R364" i="7"/>
  <c r="P364" i="7"/>
  <c r="U363" i="7"/>
  <c r="J8" i="9"/>
  <c r="R338" i="7"/>
  <c r="P338" i="7"/>
  <c r="U337" i="7"/>
  <c r="R365" i="7"/>
  <c r="R326" i="7"/>
  <c r="P326" i="7"/>
  <c r="U325" i="7"/>
  <c r="P337" i="7"/>
  <c r="U340" i="7"/>
  <c r="R350" i="7"/>
  <c r="P350" i="7"/>
  <c r="U349" i="7"/>
  <c r="R355" i="7"/>
  <c r="S7" i="9"/>
  <c r="J56" i="9"/>
  <c r="S58" i="9"/>
  <c r="J78" i="9"/>
  <c r="J53" i="9"/>
  <c r="J72" i="9"/>
  <c r="S90" i="9"/>
  <c r="J77" i="9"/>
  <c r="J63" i="9"/>
  <c r="J67" i="9"/>
  <c r="J88" i="9"/>
  <c r="J98" i="9"/>
  <c r="J62" i="9"/>
  <c r="J93" i="9"/>
  <c r="J69" i="9"/>
  <c r="J61" i="9"/>
  <c r="J74" i="9"/>
  <c r="J83" i="9"/>
  <c r="S91" i="9"/>
  <c r="J96" i="9"/>
  <c r="J57" i="9"/>
  <c r="S59" i="9"/>
  <c r="J79" i="9"/>
  <c r="S85" i="9"/>
  <c r="J103" i="9"/>
  <c r="H368" i="9"/>
  <c r="H369" i="9" s="1"/>
  <c r="H371" i="9"/>
  <c r="H372" i="9" s="1"/>
  <c r="S161" i="9"/>
  <c r="J183" i="9"/>
  <c r="J188" i="9"/>
  <c r="I368" i="9"/>
  <c r="I369" i="9" s="1"/>
  <c r="I371" i="9"/>
  <c r="I372" i="9" s="1"/>
  <c r="J113" i="9"/>
  <c r="J190" i="9"/>
  <c r="J195" i="9"/>
  <c r="J214" i="9"/>
  <c r="J179" i="9"/>
  <c r="J158" i="9"/>
  <c r="J178" i="9"/>
  <c r="J142" i="9"/>
  <c r="J146" i="9"/>
  <c r="J147" i="9"/>
  <c r="J169" i="9"/>
  <c r="J198" i="9"/>
  <c r="S145" i="9"/>
  <c r="J193" i="9"/>
  <c r="J204" i="9"/>
  <c r="J177" i="9"/>
  <c r="J197" i="9"/>
  <c r="J199" i="9"/>
  <c r="J210" i="9"/>
  <c r="J172" i="9"/>
  <c r="C368" i="9"/>
  <c r="C369" i="9" s="1"/>
  <c r="C371" i="9"/>
  <c r="C372" i="9" s="1"/>
  <c r="S113" i="9"/>
  <c r="D368" i="9"/>
  <c r="D369" i="9" s="1"/>
  <c r="D371" i="9"/>
  <c r="D372" i="9" s="1"/>
  <c r="J182" i="9"/>
  <c r="J200" i="9"/>
  <c r="E368" i="9"/>
  <c r="E369" i="9" s="1"/>
  <c r="E371" i="9"/>
  <c r="E372" i="9" s="1"/>
  <c r="J162" i="9"/>
  <c r="J163" i="9"/>
  <c r="F368" i="9"/>
  <c r="F369" i="9" s="1"/>
  <c r="F371" i="9"/>
  <c r="F372" i="9" s="1"/>
  <c r="J148" i="9"/>
  <c r="J153" i="9"/>
  <c r="S174" i="9"/>
  <c r="G368" i="9"/>
  <c r="G369" i="9" s="1"/>
  <c r="G371" i="9"/>
  <c r="G372" i="9" s="1"/>
  <c r="J174" i="9"/>
  <c r="J209" i="9"/>
  <c r="J243" i="9"/>
  <c r="J262" i="9"/>
  <c r="J312" i="9"/>
  <c r="J279" i="9"/>
  <c r="J296" i="9"/>
  <c r="S267" i="9"/>
  <c r="J275" i="9"/>
  <c r="J306" i="9"/>
  <c r="J338" i="9"/>
  <c r="J281" i="9"/>
  <c r="J266" i="9"/>
  <c r="J254" i="9"/>
  <c r="J366" i="9"/>
  <c r="J249" i="9"/>
  <c r="J250" i="9"/>
  <c r="J265" i="9"/>
  <c r="J270" i="9"/>
  <c r="J350" i="9"/>
  <c r="S251" i="9"/>
  <c r="S252" i="9"/>
  <c r="J274" i="9"/>
  <c r="J334" i="9"/>
  <c r="J280" i="9"/>
  <c r="J286" i="9"/>
  <c r="S289" i="9"/>
  <c r="J318" i="9"/>
  <c r="J260" i="9"/>
  <c r="J302" i="9"/>
  <c r="J355" i="9"/>
  <c r="S278" i="9"/>
  <c r="E42" i="1"/>
  <c r="C12" i="1" l="1" a="1"/>
  <c r="F12" i="1" s="1"/>
  <c r="R300" i="5"/>
  <c r="N334" i="5"/>
  <c r="M363" i="5"/>
  <c r="O363" i="5" s="1"/>
  <c r="R347" i="5"/>
  <c r="N365" i="5"/>
  <c r="R283" i="5"/>
  <c r="M351" i="5"/>
  <c r="O351" i="5" s="1"/>
  <c r="R353" i="5"/>
  <c r="N361" i="5"/>
  <c r="O361" i="5" s="1"/>
  <c r="N356" i="5"/>
  <c r="O356" i="5" s="1"/>
  <c r="N348" i="5"/>
  <c r="O348" i="5" s="1"/>
  <c r="M366" i="5"/>
  <c r="O366" i="5" s="1"/>
  <c r="R330" i="5"/>
  <c r="R122" i="5"/>
  <c r="R220" i="5"/>
  <c r="R12" i="5"/>
  <c r="R73" i="5"/>
  <c r="N318" i="5"/>
  <c r="O318" i="5" s="1"/>
  <c r="N23" i="5"/>
  <c r="O23" i="5" s="1"/>
  <c r="N138" i="5"/>
  <c r="O138" i="5" s="1"/>
  <c r="R366" i="5"/>
  <c r="R196" i="5"/>
  <c r="R364" i="5"/>
  <c r="R363" i="5"/>
  <c r="N358" i="5"/>
  <c r="O358" i="5" s="1"/>
  <c r="R331" i="5"/>
  <c r="N342" i="5"/>
  <c r="O342" i="5" s="1"/>
  <c r="R315" i="5"/>
  <c r="R299" i="5"/>
  <c r="N354" i="5"/>
  <c r="O354" i="5" s="1"/>
  <c r="N82" i="5"/>
  <c r="O82" i="5" s="1"/>
  <c r="N66" i="5"/>
  <c r="O66" i="5" s="1"/>
  <c r="N50" i="5"/>
  <c r="O50" i="5" s="1"/>
  <c r="N324" i="5"/>
  <c r="O324" i="5" s="1"/>
  <c r="N48" i="5"/>
  <c r="O48" i="5" s="1"/>
  <c r="R328" i="5"/>
  <c r="R355" i="5"/>
  <c r="N230" i="5"/>
  <c r="O230" i="5" s="1"/>
  <c r="N362" i="5"/>
  <c r="O362" i="5" s="1"/>
  <c r="N163" i="5"/>
  <c r="O163" i="5" s="1"/>
  <c r="N209" i="5"/>
  <c r="O209" i="5" s="1"/>
  <c r="N364" i="5"/>
  <c r="O364" i="5" s="1"/>
  <c r="N360" i="5"/>
  <c r="O360" i="5" s="1"/>
  <c r="N172" i="5"/>
  <c r="O172" i="5" s="1"/>
  <c r="N219" i="5"/>
  <c r="O219" i="5" s="1"/>
  <c r="N148" i="5"/>
  <c r="O148" i="5" s="1"/>
  <c r="R114" i="5"/>
  <c r="N147" i="5"/>
  <c r="O147" i="5" s="1"/>
  <c r="R329" i="5"/>
  <c r="R340" i="5"/>
  <c r="R318" i="5"/>
  <c r="R127" i="5"/>
  <c r="R100" i="5"/>
  <c r="R185" i="5"/>
  <c r="R65" i="5"/>
  <c r="R96" i="5"/>
  <c r="N184" i="5"/>
  <c r="O184" i="5" s="1"/>
  <c r="N298" i="5"/>
  <c r="O298" i="5" s="1"/>
  <c r="N152" i="5"/>
  <c r="O152" i="5" s="1"/>
  <c r="N297" i="5"/>
  <c r="O297" i="5" s="1"/>
  <c r="N6" i="5"/>
  <c r="O6" i="5" s="1"/>
  <c r="N255" i="5"/>
  <c r="O255" i="5" s="1"/>
  <c r="R312" i="5"/>
  <c r="R339" i="5"/>
  <c r="N282" i="5"/>
  <c r="O282" i="5" s="1"/>
  <c r="N308" i="5"/>
  <c r="O308" i="5" s="1"/>
  <c r="N214" i="5"/>
  <c r="O214" i="5" s="1"/>
  <c r="N99" i="5"/>
  <c r="O99" i="5" s="1"/>
  <c r="N203" i="5"/>
  <c r="O203" i="5" s="1"/>
  <c r="N53" i="5"/>
  <c r="O53" i="5" s="1"/>
  <c r="N90" i="5"/>
  <c r="O90" i="5" s="1"/>
  <c r="M338" i="5"/>
  <c r="O338" i="5" s="1"/>
  <c r="R303" i="5"/>
  <c r="O334" i="5"/>
  <c r="N266" i="5"/>
  <c r="O266" i="5" s="1"/>
  <c r="N275" i="5"/>
  <c r="O275" i="5" s="1"/>
  <c r="N198" i="5"/>
  <c r="O198" i="5" s="1"/>
  <c r="N69" i="5"/>
  <c r="O69" i="5" s="1"/>
  <c r="N74" i="5"/>
  <c r="O74" i="5" s="1"/>
  <c r="M336" i="5"/>
  <c r="O336" i="5" s="1"/>
  <c r="N259" i="5"/>
  <c r="O259" i="5" s="1"/>
  <c r="N182" i="5"/>
  <c r="O182" i="5" s="1"/>
  <c r="N100" i="5"/>
  <c r="O100" i="5" s="1"/>
  <c r="N58" i="5"/>
  <c r="O58" i="5" s="1"/>
  <c r="R133" i="5"/>
  <c r="N328" i="5"/>
  <c r="O328" i="5" s="1"/>
  <c r="N236" i="5"/>
  <c r="O236" i="5" s="1"/>
  <c r="N166" i="5"/>
  <c r="O166" i="5" s="1"/>
  <c r="N233" i="5"/>
  <c r="O233" i="5" s="1"/>
  <c r="N121" i="5"/>
  <c r="O121" i="5" s="1"/>
  <c r="M224" i="5"/>
  <c r="O224" i="5" s="1"/>
  <c r="R227" i="5"/>
  <c r="N312" i="5"/>
  <c r="O312" i="5" s="1"/>
  <c r="N141" i="5"/>
  <c r="O141" i="5" s="1"/>
  <c r="N223" i="5"/>
  <c r="O223" i="5" s="1"/>
  <c r="N200" i="5"/>
  <c r="O200" i="5" s="1"/>
  <c r="N113" i="5"/>
  <c r="O113" i="5" s="1"/>
  <c r="N8" i="5"/>
  <c r="O8" i="5" s="1"/>
  <c r="R132" i="5"/>
  <c r="R206" i="5"/>
  <c r="R224" i="5"/>
  <c r="R240" i="5"/>
  <c r="R97" i="5"/>
  <c r="R129" i="5"/>
  <c r="R112" i="5"/>
  <c r="R235" i="5"/>
  <c r="R217" i="5"/>
  <c r="R144" i="5"/>
  <c r="R141" i="5"/>
  <c r="R4" i="5"/>
  <c r="R111" i="5"/>
  <c r="R61" i="5"/>
  <c r="R11" i="5"/>
  <c r="R120" i="5"/>
  <c r="N296" i="5"/>
  <c r="O296" i="5" s="1"/>
  <c r="N67" i="5"/>
  <c r="O67" i="5" s="1"/>
  <c r="N124" i="5"/>
  <c r="O124" i="5" s="1"/>
  <c r="N97" i="5"/>
  <c r="O97" i="5" s="1"/>
  <c r="M101" i="5"/>
  <c r="O101" i="5" s="1"/>
  <c r="R345" i="5"/>
  <c r="R343" i="5"/>
  <c r="R195" i="5"/>
  <c r="R356" i="5"/>
  <c r="R338" i="5"/>
  <c r="R211" i="5"/>
  <c r="R334" i="5"/>
  <c r="R212" i="5"/>
  <c r="R128" i="5"/>
  <c r="R107" i="5"/>
  <c r="R219" i="5"/>
  <c r="R201" i="5"/>
  <c r="R143" i="5"/>
  <c r="R110" i="5"/>
  <c r="R45" i="5"/>
  <c r="R361" i="5"/>
  <c r="N280" i="5"/>
  <c r="O280" i="5" s="1"/>
  <c r="N322" i="5"/>
  <c r="O322" i="5" s="1"/>
  <c r="N195" i="5"/>
  <c r="O195" i="5" s="1"/>
  <c r="N81" i="5"/>
  <c r="O81" i="5" s="1"/>
  <c r="R322" i="5"/>
  <c r="R113" i="5"/>
  <c r="R203" i="5"/>
  <c r="R79" i="5"/>
  <c r="R29" i="5"/>
  <c r="R90" i="5"/>
  <c r="N311" i="5"/>
  <c r="O311" i="5" s="1"/>
  <c r="N226" i="5"/>
  <c r="O226" i="5" s="1"/>
  <c r="N179" i="5"/>
  <c r="O179" i="5" s="1"/>
  <c r="N222" i="5"/>
  <c r="O222" i="5" s="1"/>
  <c r="N151" i="5"/>
  <c r="O151" i="5" s="1"/>
  <c r="R313" i="5"/>
  <c r="R306" i="5"/>
  <c r="R187" i="5"/>
  <c r="R63" i="5"/>
  <c r="R13" i="5"/>
  <c r="R74" i="5"/>
  <c r="N317" i="5"/>
  <c r="O317" i="5" s="1"/>
  <c r="N273" i="5"/>
  <c r="O273" i="5" s="1"/>
  <c r="N123" i="5"/>
  <c r="O123" i="5" s="1"/>
  <c r="N150" i="5"/>
  <c r="O150" i="5" s="1"/>
  <c r="N32" i="5"/>
  <c r="O32" i="5" s="1"/>
  <c r="R286" i="5"/>
  <c r="N301" i="5"/>
  <c r="O301" i="5" s="1"/>
  <c r="N257" i="5"/>
  <c r="O257" i="5" s="1"/>
  <c r="N194" i="5"/>
  <c r="O194" i="5" s="1"/>
  <c r="N115" i="5"/>
  <c r="O115" i="5" s="1"/>
  <c r="N143" i="5"/>
  <c r="O143" i="5" s="1"/>
  <c r="N16" i="5"/>
  <c r="O16" i="5" s="1"/>
  <c r="R365" i="5"/>
  <c r="R149" i="5"/>
  <c r="R34" i="5"/>
  <c r="N300" i="5"/>
  <c r="O300" i="5" s="1"/>
  <c r="N326" i="5"/>
  <c r="O326" i="5" s="1"/>
  <c r="N178" i="5"/>
  <c r="O178" i="5" s="1"/>
  <c r="N205" i="5"/>
  <c r="O205" i="5" s="1"/>
  <c r="N119" i="5"/>
  <c r="O119" i="5" s="1"/>
  <c r="N31" i="5"/>
  <c r="O31" i="5" s="1"/>
  <c r="N284" i="5"/>
  <c r="O284" i="5" s="1"/>
  <c r="N208" i="5"/>
  <c r="O208" i="5" s="1"/>
  <c r="N162" i="5"/>
  <c r="O162" i="5" s="1"/>
  <c r="N103" i="5"/>
  <c r="O103" i="5" s="1"/>
  <c r="N108" i="5"/>
  <c r="O108" i="5" s="1"/>
  <c r="R249" i="5"/>
  <c r="R247" i="5"/>
  <c r="R277" i="5"/>
  <c r="R126" i="5"/>
  <c r="R157" i="5"/>
  <c r="R167" i="5"/>
  <c r="R197" i="5"/>
  <c r="N268" i="5"/>
  <c r="O268" i="5" s="1"/>
  <c r="N278" i="5"/>
  <c r="O278" i="5" s="1"/>
  <c r="N352" i="5"/>
  <c r="O352" i="5" s="1"/>
  <c r="N98" i="5"/>
  <c r="O98" i="5" s="1"/>
  <c r="N156" i="5"/>
  <c r="O156" i="5" s="1"/>
  <c r="N83" i="5"/>
  <c r="O83" i="5" s="1"/>
  <c r="N76" i="5"/>
  <c r="O76" i="5" s="1"/>
  <c r="R209" i="5"/>
  <c r="R234" i="5"/>
  <c r="R358" i="5"/>
  <c r="R261" i="5"/>
  <c r="R131" i="5"/>
  <c r="R349" i="5"/>
  <c r="R50" i="5"/>
  <c r="R121" i="5"/>
  <c r="R159" i="5"/>
  <c r="R117" i="5"/>
  <c r="R202" i="5"/>
  <c r="R232" i="5"/>
  <c r="R142" i="5"/>
  <c r="R181" i="5"/>
  <c r="R49" i="5"/>
  <c r="R78" i="5"/>
  <c r="R44" i="5"/>
  <c r="R105" i="5"/>
  <c r="R151" i="5"/>
  <c r="N220" i="5"/>
  <c r="O220" i="5" s="1"/>
  <c r="N245" i="5"/>
  <c r="O245" i="5" s="1"/>
  <c r="N241" i="5"/>
  <c r="O241" i="5" s="1"/>
  <c r="N102" i="5"/>
  <c r="O102" i="5" s="1"/>
  <c r="N38" i="5"/>
  <c r="O38" i="5" s="1"/>
  <c r="N75" i="5"/>
  <c r="O75" i="5" s="1"/>
  <c r="R344" i="5"/>
  <c r="R342" i="5"/>
  <c r="R245" i="5"/>
  <c r="R243" i="5"/>
  <c r="R351" i="5"/>
  <c r="R333" i="5"/>
  <c r="R124" i="5"/>
  <c r="R186" i="5"/>
  <c r="R216" i="5"/>
  <c r="R137" i="5"/>
  <c r="R165" i="5"/>
  <c r="R62" i="5"/>
  <c r="R28" i="5"/>
  <c r="R89" i="5"/>
  <c r="N283" i="5"/>
  <c r="O283" i="5" s="1"/>
  <c r="N340" i="5"/>
  <c r="O340" i="5" s="1"/>
  <c r="N271" i="5"/>
  <c r="O271" i="5" s="1"/>
  <c r="N225" i="5"/>
  <c r="O225" i="5" s="1"/>
  <c r="N235" i="5"/>
  <c r="O235" i="5" s="1"/>
  <c r="N22" i="5"/>
  <c r="O22" i="5" s="1"/>
  <c r="N59" i="5"/>
  <c r="O59" i="5" s="1"/>
  <c r="R238" i="5"/>
  <c r="R250" i="5"/>
  <c r="R248" i="5"/>
  <c r="R246" i="5"/>
  <c r="R163" i="5"/>
  <c r="R275" i="5"/>
  <c r="R257" i="5"/>
  <c r="R255" i="5"/>
  <c r="R130" i="5"/>
  <c r="R125" i="5"/>
  <c r="R116" i="5"/>
  <c r="R37" i="5"/>
  <c r="R233" i="5"/>
  <c r="R145" i="5"/>
  <c r="R166" i="5"/>
  <c r="R20" i="5"/>
  <c r="R16" i="5"/>
  <c r="R77" i="5"/>
  <c r="R27" i="5"/>
  <c r="R136" i="5"/>
  <c r="R39" i="5"/>
  <c r="N289" i="5"/>
  <c r="O289" i="5" s="1"/>
  <c r="N287" i="5"/>
  <c r="O287" i="5" s="1"/>
  <c r="N125" i="5"/>
  <c r="O125" i="5" s="1"/>
  <c r="N158" i="5"/>
  <c r="O158" i="5" s="1"/>
  <c r="N188" i="5"/>
  <c r="O188" i="5" s="1"/>
  <c r="N154" i="5"/>
  <c r="O154" i="5" s="1"/>
  <c r="N142" i="5"/>
  <c r="O142" i="5" s="1"/>
  <c r="N3" i="5"/>
  <c r="O3" i="5" s="1"/>
  <c r="N64" i="5"/>
  <c r="O64" i="5" s="1"/>
  <c r="N30" i="5"/>
  <c r="O30" i="5" s="1"/>
  <c r="N91" i="5"/>
  <c r="O91" i="5" s="1"/>
  <c r="M347" i="5"/>
  <c r="O347" i="5" s="1"/>
  <c r="M254" i="5"/>
  <c r="O254" i="5" s="1"/>
  <c r="M250" i="5"/>
  <c r="O250" i="5" s="1"/>
  <c r="M359" i="5"/>
  <c r="O359" i="5" s="1"/>
  <c r="M262" i="5"/>
  <c r="O262" i="5" s="1"/>
  <c r="M181" i="5"/>
  <c r="O181" i="5" s="1"/>
  <c r="M68" i="5"/>
  <c r="O68" i="5" s="1"/>
  <c r="M86" i="5"/>
  <c r="O86" i="5" s="1"/>
  <c r="M173" i="5"/>
  <c r="O173" i="5" s="1"/>
  <c r="M155" i="5"/>
  <c r="O155" i="5" s="1"/>
  <c r="M185" i="5"/>
  <c r="O185" i="5" s="1"/>
  <c r="M52" i="5"/>
  <c r="O52" i="5" s="1"/>
  <c r="M2" i="5"/>
  <c r="O2" i="5" s="1"/>
  <c r="M79" i="5"/>
  <c r="O79" i="5" s="1"/>
  <c r="M29" i="5"/>
  <c r="O29" i="5" s="1"/>
  <c r="M27" i="5"/>
  <c r="O27" i="5" s="1"/>
  <c r="M57" i="5"/>
  <c r="O57" i="5" s="1"/>
  <c r="N346" i="5"/>
  <c r="O346" i="5" s="1"/>
  <c r="R259" i="5"/>
  <c r="R222" i="5"/>
  <c r="R350" i="5"/>
  <c r="R228" i="5"/>
  <c r="R115" i="5"/>
  <c r="R23" i="5"/>
  <c r="N242" i="5"/>
  <c r="O242" i="5" s="1"/>
  <c r="N135" i="5"/>
  <c r="O135" i="5" s="1"/>
  <c r="N14" i="5"/>
  <c r="O14" i="5" s="1"/>
  <c r="N105" i="5"/>
  <c r="O105" i="5" s="1"/>
  <c r="M227" i="5"/>
  <c r="O227" i="5" s="1"/>
  <c r="M252" i="5"/>
  <c r="O252" i="5" s="1"/>
  <c r="M345" i="5"/>
  <c r="O345" i="5" s="1"/>
  <c r="M343" i="5"/>
  <c r="O343" i="5" s="1"/>
  <c r="M246" i="5"/>
  <c r="O246" i="5" s="1"/>
  <c r="M165" i="5"/>
  <c r="O165" i="5" s="1"/>
  <c r="M157" i="5"/>
  <c r="O157" i="5" s="1"/>
  <c r="M118" i="5"/>
  <c r="O118" i="5" s="1"/>
  <c r="M169" i="5"/>
  <c r="O169" i="5" s="1"/>
  <c r="M36" i="5"/>
  <c r="O36" i="5" s="1"/>
  <c r="M63" i="5"/>
  <c r="O63" i="5" s="1"/>
  <c r="M13" i="5"/>
  <c r="O13" i="5" s="1"/>
  <c r="M11" i="5"/>
  <c r="O11" i="5" s="1"/>
  <c r="M41" i="5"/>
  <c r="O41" i="5" s="1"/>
  <c r="M357" i="5"/>
  <c r="O357" i="5" s="1"/>
  <c r="R51" i="5"/>
  <c r="R95" i="5"/>
  <c r="R106" i="5"/>
  <c r="R104" i="5"/>
  <c r="R7" i="5"/>
  <c r="N168" i="5"/>
  <c r="O168" i="5" s="1"/>
  <c r="N54" i="5"/>
  <c r="O54" i="5" s="1"/>
  <c r="N93" i="5"/>
  <c r="O93" i="5" s="1"/>
  <c r="N89" i="5"/>
  <c r="O89" i="5" s="1"/>
  <c r="M120" i="5"/>
  <c r="O120" i="5" s="1"/>
  <c r="M231" i="5"/>
  <c r="O231" i="5" s="1"/>
  <c r="M329" i="5"/>
  <c r="O329" i="5" s="1"/>
  <c r="M327" i="5"/>
  <c r="O327" i="5" s="1"/>
  <c r="M292" i="5"/>
  <c r="O292" i="5" s="1"/>
  <c r="M306" i="5"/>
  <c r="O306" i="5" s="1"/>
  <c r="M320" i="5"/>
  <c r="O320" i="5" s="1"/>
  <c r="M140" i="5"/>
  <c r="O140" i="5" s="1"/>
  <c r="M117" i="5"/>
  <c r="O117" i="5" s="1"/>
  <c r="M40" i="5"/>
  <c r="O40" i="5" s="1"/>
  <c r="M153" i="5"/>
  <c r="O153" i="5" s="1"/>
  <c r="M110" i="5"/>
  <c r="O110" i="5" s="1"/>
  <c r="M20" i="5"/>
  <c r="O20" i="5" s="1"/>
  <c r="M47" i="5"/>
  <c r="O47" i="5" s="1"/>
  <c r="M25" i="5"/>
  <c r="O25" i="5" s="1"/>
  <c r="R327" i="5"/>
  <c r="R357" i="5"/>
  <c r="R352" i="5"/>
  <c r="R35" i="5"/>
  <c r="R88" i="5"/>
  <c r="R134" i="5"/>
  <c r="N234" i="5"/>
  <c r="O234" i="5" s="1"/>
  <c r="N310" i="5"/>
  <c r="O310" i="5" s="1"/>
  <c r="N116" i="5"/>
  <c r="O116" i="5" s="1"/>
  <c r="N109" i="5"/>
  <c r="O109" i="5" s="1"/>
  <c r="N77" i="5"/>
  <c r="O77" i="5" s="1"/>
  <c r="N43" i="5"/>
  <c r="O43" i="5" s="1"/>
  <c r="N73" i="5"/>
  <c r="O73" i="5" s="1"/>
  <c r="M333" i="5"/>
  <c r="O333" i="5" s="1"/>
  <c r="M331" i="5"/>
  <c r="O331" i="5" s="1"/>
  <c r="M313" i="5"/>
  <c r="O313" i="5" s="1"/>
  <c r="M276" i="5"/>
  <c r="O276" i="5" s="1"/>
  <c r="M290" i="5"/>
  <c r="O290" i="5" s="1"/>
  <c r="M304" i="5"/>
  <c r="O304" i="5" s="1"/>
  <c r="M72" i="5"/>
  <c r="O72" i="5" s="1"/>
  <c r="M210" i="5"/>
  <c r="O210" i="5" s="1"/>
  <c r="M238" i="5"/>
  <c r="O238" i="5" s="1"/>
  <c r="M87" i="5"/>
  <c r="O87" i="5" s="1"/>
  <c r="M149" i="5"/>
  <c r="O149" i="5" s="1"/>
  <c r="M4" i="5"/>
  <c r="O4" i="5" s="1"/>
  <c r="M65" i="5"/>
  <c r="O65" i="5" s="1"/>
  <c r="M92" i="5"/>
  <c r="O92" i="5" s="1"/>
  <c r="M122" i="5"/>
  <c r="O122" i="5" s="1"/>
  <c r="M9" i="5"/>
  <c r="O9" i="5" s="1"/>
  <c r="R311" i="5"/>
  <c r="R341" i="5"/>
  <c r="R324" i="5"/>
  <c r="R336" i="5"/>
  <c r="R302" i="5"/>
  <c r="R180" i="5"/>
  <c r="R98" i="5"/>
  <c r="R239" i="5"/>
  <c r="R221" i="5"/>
  <c r="R169" i="5"/>
  <c r="R231" i="5"/>
  <c r="R84" i="5"/>
  <c r="R19" i="5"/>
  <c r="R72" i="5"/>
  <c r="R118" i="5"/>
  <c r="N270" i="5"/>
  <c r="O270" i="5" s="1"/>
  <c r="N192" i="5"/>
  <c r="O192" i="5" s="1"/>
  <c r="N264" i="5"/>
  <c r="O264" i="5" s="1"/>
  <c r="N132" i="5"/>
  <c r="O132" i="5" s="1"/>
  <c r="N193" i="5"/>
  <c r="O193" i="5" s="1"/>
  <c r="N207" i="5"/>
  <c r="O207" i="5" s="1"/>
  <c r="N71" i="5"/>
  <c r="O71" i="5" s="1"/>
  <c r="N34" i="5"/>
  <c r="O34" i="5" s="1"/>
  <c r="N111" i="5"/>
  <c r="O111" i="5" s="1"/>
  <c r="N61" i="5"/>
  <c r="O61" i="5" s="1"/>
  <c r="M315" i="5"/>
  <c r="O315" i="5" s="1"/>
  <c r="M295" i="5"/>
  <c r="O295" i="5" s="1"/>
  <c r="M229" i="5"/>
  <c r="O229" i="5" s="1"/>
  <c r="M260" i="5"/>
  <c r="O260" i="5" s="1"/>
  <c r="M274" i="5"/>
  <c r="O274" i="5" s="1"/>
  <c r="M288" i="5"/>
  <c r="O288" i="5" s="1"/>
  <c r="M196" i="5"/>
  <c r="O196" i="5" s="1"/>
  <c r="M218" i="5"/>
  <c r="O218" i="5" s="1"/>
  <c r="M146" i="5"/>
  <c r="O146" i="5" s="1"/>
  <c r="M88" i="5"/>
  <c r="O88" i="5" s="1"/>
  <c r="M49" i="5"/>
  <c r="O49" i="5" s="1"/>
  <c r="M15" i="5"/>
  <c r="O15" i="5" s="1"/>
  <c r="M106" i="5"/>
  <c r="O106" i="5" s="1"/>
  <c r="R297" i="5"/>
  <c r="R295" i="5"/>
  <c r="R325" i="5"/>
  <c r="R308" i="5"/>
  <c r="R290" i="5"/>
  <c r="R320" i="5"/>
  <c r="R164" i="5"/>
  <c r="R193" i="5"/>
  <c r="R223" i="5"/>
  <c r="R205" i="5"/>
  <c r="R171" i="5"/>
  <c r="R153" i="5"/>
  <c r="R215" i="5"/>
  <c r="R66" i="5"/>
  <c r="R3" i="5"/>
  <c r="R47" i="5"/>
  <c r="R108" i="5"/>
  <c r="R58" i="5"/>
  <c r="R56" i="5"/>
  <c r="R102" i="5"/>
  <c r="N248" i="5"/>
  <c r="O248" i="5" s="1"/>
  <c r="N131" i="5"/>
  <c r="O131" i="5" s="1"/>
  <c r="N177" i="5"/>
  <c r="O177" i="5" s="1"/>
  <c r="N191" i="5"/>
  <c r="O191" i="5" s="1"/>
  <c r="N114" i="5"/>
  <c r="O114" i="5" s="1"/>
  <c r="N55" i="5"/>
  <c r="O55" i="5" s="1"/>
  <c r="N18" i="5"/>
  <c r="O18" i="5" s="1"/>
  <c r="N95" i="5"/>
  <c r="O95" i="5" s="1"/>
  <c r="N45" i="5"/>
  <c r="O45" i="5" s="1"/>
  <c r="M299" i="5"/>
  <c r="O299" i="5" s="1"/>
  <c r="M281" i="5"/>
  <c r="O281" i="5" s="1"/>
  <c r="M279" i="5"/>
  <c r="O279" i="5" s="1"/>
  <c r="M244" i="5"/>
  <c r="O244" i="5" s="1"/>
  <c r="M258" i="5"/>
  <c r="O258" i="5" s="1"/>
  <c r="M272" i="5"/>
  <c r="O272" i="5" s="1"/>
  <c r="M180" i="5"/>
  <c r="O180" i="5" s="1"/>
  <c r="M176" i="5"/>
  <c r="O176" i="5" s="1"/>
  <c r="M206" i="5"/>
  <c r="O206" i="5" s="1"/>
  <c r="M202" i="5"/>
  <c r="O202" i="5" s="1"/>
  <c r="M33" i="5"/>
  <c r="O33" i="5" s="1"/>
  <c r="M94" i="5"/>
  <c r="O94" i="5" s="1"/>
  <c r="M60" i="5"/>
  <c r="O60" i="5" s="1"/>
  <c r="M349" i="5"/>
  <c r="O349" i="5" s="1"/>
  <c r="R316" i="5"/>
  <c r="R281" i="5"/>
  <c r="R279" i="5"/>
  <c r="R309" i="5"/>
  <c r="R292" i="5"/>
  <c r="R274" i="5"/>
  <c r="R304" i="5"/>
  <c r="R270" i="5"/>
  <c r="R139" i="5"/>
  <c r="R177" i="5"/>
  <c r="R207" i="5"/>
  <c r="R189" i="5"/>
  <c r="R155" i="5"/>
  <c r="R199" i="5"/>
  <c r="R229" i="5"/>
  <c r="R31" i="5"/>
  <c r="R92" i="5"/>
  <c r="R42" i="5"/>
  <c r="R40" i="5"/>
  <c r="R86" i="5"/>
  <c r="N161" i="5"/>
  <c r="O161" i="5" s="1"/>
  <c r="N175" i="5"/>
  <c r="O175" i="5" s="1"/>
  <c r="N70" i="5"/>
  <c r="O70" i="5" s="1"/>
  <c r="N145" i="5"/>
  <c r="O145" i="5" s="1"/>
  <c r="M285" i="5"/>
  <c r="O285" i="5" s="1"/>
  <c r="M265" i="5"/>
  <c r="O265" i="5" s="1"/>
  <c r="M263" i="5"/>
  <c r="O263" i="5" s="1"/>
  <c r="M325" i="5"/>
  <c r="O325" i="5" s="1"/>
  <c r="M243" i="5"/>
  <c r="O243" i="5" s="1"/>
  <c r="M353" i="5"/>
  <c r="O353" i="5" s="1"/>
  <c r="M256" i="5"/>
  <c r="O256" i="5" s="1"/>
  <c r="M164" i="5"/>
  <c r="O164" i="5" s="1"/>
  <c r="M160" i="5"/>
  <c r="O160" i="5" s="1"/>
  <c r="M190" i="5"/>
  <c r="O190" i="5" s="1"/>
  <c r="M204" i="5"/>
  <c r="O204" i="5" s="1"/>
  <c r="M186" i="5"/>
  <c r="O186" i="5" s="1"/>
  <c r="M232" i="5"/>
  <c r="O232" i="5" s="1"/>
  <c r="M39" i="5"/>
  <c r="O39" i="5" s="1"/>
  <c r="M51" i="5"/>
  <c r="O51" i="5" s="1"/>
  <c r="M17" i="5"/>
  <c r="O17" i="5" s="1"/>
  <c r="M78" i="5"/>
  <c r="O78" i="5" s="1"/>
  <c r="M44" i="5"/>
  <c r="O44" i="5" s="1"/>
  <c r="M319" i="5"/>
  <c r="O319" i="5" s="1"/>
  <c r="R267" i="5"/>
  <c r="R265" i="5"/>
  <c r="R263" i="5"/>
  <c r="R293" i="5"/>
  <c r="R276" i="5"/>
  <c r="R258" i="5"/>
  <c r="R288" i="5"/>
  <c r="R254" i="5"/>
  <c r="R85" i="5"/>
  <c r="R161" i="5"/>
  <c r="R191" i="5"/>
  <c r="R173" i="5"/>
  <c r="R81" i="5"/>
  <c r="R146" i="5"/>
  <c r="R183" i="5"/>
  <c r="R213" i="5"/>
  <c r="R18" i="5"/>
  <c r="R15" i="5"/>
  <c r="R76" i="5"/>
  <c r="R26" i="5"/>
  <c r="R24" i="5"/>
  <c r="R70" i="5"/>
  <c r="N126" i="5"/>
  <c r="O126" i="5" s="1"/>
  <c r="N159" i="5"/>
  <c r="O159" i="5" s="1"/>
  <c r="N237" i="5"/>
  <c r="O237" i="5" s="1"/>
  <c r="N187" i="5"/>
  <c r="O187" i="5" s="1"/>
  <c r="N217" i="5"/>
  <c r="O217" i="5" s="1"/>
  <c r="N144" i="5"/>
  <c r="O144" i="5" s="1"/>
  <c r="N37" i="5"/>
  <c r="O37" i="5" s="1"/>
  <c r="M269" i="5"/>
  <c r="O269" i="5" s="1"/>
  <c r="M267" i="5"/>
  <c r="O267" i="5" s="1"/>
  <c r="M249" i="5"/>
  <c r="O249" i="5" s="1"/>
  <c r="M247" i="5"/>
  <c r="O247" i="5" s="1"/>
  <c r="M309" i="5"/>
  <c r="O309" i="5" s="1"/>
  <c r="M337" i="5"/>
  <c r="O337" i="5" s="1"/>
  <c r="M104" i="5"/>
  <c r="O104" i="5" s="1"/>
  <c r="M133" i="5"/>
  <c r="O133" i="5" s="1"/>
  <c r="M134" i="5"/>
  <c r="O134" i="5" s="1"/>
  <c r="M174" i="5"/>
  <c r="O174" i="5" s="1"/>
  <c r="M170" i="5"/>
  <c r="O170" i="5" s="1"/>
  <c r="M216" i="5"/>
  <c r="O216" i="5" s="1"/>
  <c r="M35" i="5"/>
  <c r="O35" i="5" s="1"/>
  <c r="M112" i="5"/>
  <c r="O112" i="5" s="1"/>
  <c r="M62" i="5"/>
  <c r="O62" i="5" s="1"/>
  <c r="M28" i="5"/>
  <c r="O28" i="5" s="1"/>
  <c r="R332" i="5"/>
  <c r="R251" i="5"/>
  <c r="R260" i="5"/>
  <c r="R179" i="5"/>
  <c r="R272" i="5"/>
  <c r="R237" i="5"/>
  <c r="R67" i="5"/>
  <c r="R175" i="5"/>
  <c r="R21" i="5"/>
  <c r="R82" i="5"/>
  <c r="R2" i="5"/>
  <c r="R94" i="5"/>
  <c r="R60" i="5"/>
  <c r="R10" i="5"/>
  <c r="R8" i="5"/>
  <c r="R54" i="5"/>
  <c r="N84" i="5"/>
  <c r="O84" i="5" s="1"/>
  <c r="N221" i="5"/>
  <c r="O221" i="5" s="1"/>
  <c r="N171" i="5"/>
  <c r="O171" i="5" s="1"/>
  <c r="N201" i="5"/>
  <c r="O201" i="5" s="1"/>
  <c r="N21" i="5"/>
  <c r="O21" i="5" s="1"/>
  <c r="N136" i="5"/>
  <c r="O136" i="5" s="1"/>
  <c r="M253" i="5"/>
  <c r="O253" i="5" s="1"/>
  <c r="M251" i="5"/>
  <c r="O251" i="5" s="1"/>
  <c r="M344" i="5"/>
  <c r="O344" i="5" s="1"/>
  <c r="M240" i="5"/>
  <c r="O240" i="5" s="1"/>
  <c r="M293" i="5"/>
  <c r="O293" i="5" s="1"/>
  <c r="M355" i="5"/>
  <c r="O355" i="5" s="1"/>
  <c r="M321" i="5"/>
  <c r="O321" i="5" s="1"/>
  <c r="M215" i="5"/>
  <c r="O215" i="5" s="1"/>
  <c r="M85" i="5"/>
  <c r="O85" i="5" s="1"/>
  <c r="M130" i="5"/>
  <c r="O130" i="5" s="1"/>
  <c r="M7" i="5"/>
  <c r="O7" i="5" s="1"/>
  <c r="M19" i="5"/>
  <c r="O19" i="5" s="1"/>
  <c r="M96" i="5"/>
  <c r="O96" i="5" s="1"/>
  <c r="M46" i="5"/>
  <c r="O46" i="5" s="1"/>
  <c r="M12" i="5"/>
  <c r="O12" i="5" s="1"/>
  <c r="M42" i="5"/>
  <c r="O42" i="5" s="1"/>
  <c r="M341" i="5"/>
  <c r="O341" i="5" s="1"/>
  <c r="R244" i="5"/>
  <c r="R256" i="5"/>
  <c r="R38" i="5"/>
  <c r="N228" i="5"/>
  <c r="O228" i="5" s="1"/>
  <c r="N5" i="5"/>
  <c r="O5" i="5" s="1"/>
  <c r="M212" i="5"/>
  <c r="O212" i="5" s="1"/>
  <c r="M277" i="5"/>
  <c r="O277" i="5" s="1"/>
  <c r="M339" i="5"/>
  <c r="O339" i="5" s="1"/>
  <c r="M305" i="5"/>
  <c r="O305" i="5" s="1"/>
  <c r="M199" i="5"/>
  <c r="O199" i="5" s="1"/>
  <c r="M56" i="5"/>
  <c r="O56" i="5" s="1"/>
  <c r="M129" i="5"/>
  <c r="O129" i="5" s="1"/>
  <c r="M80" i="5"/>
  <c r="O80" i="5" s="1"/>
  <c r="M139" i="5"/>
  <c r="O139" i="5" s="1"/>
  <c r="M26" i="5"/>
  <c r="O26" i="5" s="1"/>
  <c r="R346" i="5"/>
  <c r="R68" i="5"/>
  <c r="R226" i="5"/>
  <c r="R99" i="5"/>
  <c r="R236" i="5"/>
  <c r="R33" i="5"/>
  <c r="R135" i="5"/>
  <c r="R22" i="5"/>
  <c r="R348" i="5"/>
  <c r="N189" i="5"/>
  <c r="O189" i="5" s="1"/>
  <c r="M350" i="5"/>
  <c r="O350" i="5" s="1"/>
  <c r="M261" i="5"/>
  <c r="O261" i="5" s="1"/>
  <c r="M323" i="5"/>
  <c r="O323" i="5" s="1"/>
  <c r="M183" i="5"/>
  <c r="O183" i="5" s="1"/>
  <c r="M211" i="5"/>
  <c r="O211" i="5" s="1"/>
  <c r="M128" i="5"/>
  <c r="O128" i="5" s="1"/>
  <c r="M239" i="5"/>
  <c r="O239" i="5" s="1"/>
  <c r="M10" i="5"/>
  <c r="O10" i="5" s="1"/>
  <c r="N286" i="5"/>
  <c r="O286" i="5" s="1"/>
  <c r="R360" i="5"/>
  <c r="R326" i="5"/>
  <c r="R242" i="5"/>
  <c r="R337" i="5"/>
  <c r="R335" i="5"/>
  <c r="R317" i="5"/>
  <c r="R210" i="5"/>
  <c r="R69" i="5"/>
  <c r="R170" i="5"/>
  <c r="R200" i="5"/>
  <c r="R83" i="5"/>
  <c r="R140" i="5"/>
  <c r="R17" i="5"/>
  <c r="R46" i="5"/>
  <c r="R119" i="5"/>
  <c r="R6" i="5"/>
  <c r="M330" i="5"/>
  <c r="O330" i="5" s="1"/>
  <c r="M307" i="5"/>
  <c r="O307" i="5" s="1"/>
  <c r="M167" i="5"/>
  <c r="O167" i="5" s="1"/>
  <c r="M127" i="5"/>
  <c r="O127" i="5" s="1"/>
  <c r="M107" i="5"/>
  <c r="O107" i="5" s="1"/>
  <c r="M137" i="5"/>
  <c r="O137" i="5" s="1"/>
  <c r="M303" i="5"/>
  <c r="O303" i="5" s="1"/>
  <c r="R314" i="5"/>
  <c r="R310" i="5"/>
  <c r="R241" i="5"/>
  <c r="R321" i="5"/>
  <c r="R319" i="5"/>
  <c r="R301" i="5"/>
  <c r="R194" i="5"/>
  <c r="R208" i="5"/>
  <c r="R101" i="5"/>
  <c r="R204" i="5"/>
  <c r="R154" i="5"/>
  <c r="R184" i="5"/>
  <c r="R230" i="5"/>
  <c r="R138" i="5"/>
  <c r="R80" i="5"/>
  <c r="R30" i="5"/>
  <c r="R91" i="5"/>
  <c r="R57" i="5"/>
  <c r="R103" i="5"/>
  <c r="N197" i="5"/>
  <c r="O197" i="5" s="1"/>
  <c r="M332" i="5"/>
  <c r="O332" i="5" s="1"/>
  <c r="M314" i="5"/>
  <c r="O314" i="5" s="1"/>
  <c r="M291" i="5"/>
  <c r="O291" i="5" s="1"/>
  <c r="M24" i="5"/>
  <c r="O24" i="5" s="1"/>
  <c r="R298" i="5"/>
  <c r="R296" i="5"/>
  <c r="R294" i="5"/>
  <c r="R225" i="5"/>
  <c r="R323" i="5"/>
  <c r="R305" i="5"/>
  <c r="R285" i="5"/>
  <c r="R178" i="5"/>
  <c r="R192" i="5"/>
  <c r="R174" i="5"/>
  <c r="R188" i="5"/>
  <c r="R148" i="5"/>
  <c r="R168" i="5"/>
  <c r="R214" i="5"/>
  <c r="R53" i="5"/>
  <c r="R64" i="5"/>
  <c r="R14" i="5"/>
  <c r="R75" i="5"/>
  <c r="R41" i="5"/>
  <c r="R87" i="5"/>
  <c r="R362" i="5"/>
  <c r="R284" i="5"/>
  <c r="N335" i="5"/>
  <c r="O335" i="5" s="1"/>
  <c r="M302" i="5"/>
  <c r="O302" i="5" s="1"/>
  <c r="M316" i="5"/>
  <c r="O316" i="5" s="1"/>
  <c r="R354" i="5"/>
  <c r="R268" i="5"/>
  <c r="R282" i="5"/>
  <c r="R280" i="5"/>
  <c r="R278" i="5"/>
  <c r="R218" i="5"/>
  <c r="R307" i="5"/>
  <c r="R289" i="5"/>
  <c r="R287" i="5"/>
  <c r="R269" i="5"/>
  <c r="R162" i="5"/>
  <c r="R176" i="5"/>
  <c r="R158" i="5"/>
  <c r="R172" i="5"/>
  <c r="R147" i="5"/>
  <c r="R152" i="5"/>
  <c r="R198" i="5"/>
  <c r="R52" i="5"/>
  <c r="R48" i="5"/>
  <c r="R109" i="5"/>
  <c r="R59" i="5"/>
  <c r="R25" i="5"/>
  <c r="R71" i="5"/>
  <c r="N213" i="5"/>
  <c r="O213" i="5" s="1"/>
  <c r="O294" i="5"/>
  <c r="R252" i="5"/>
  <c r="R266" i="5"/>
  <c r="R264" i="5"/>
  <c r="R262" i="5"/>
  <c r="R190" i="5"/>
  <c r="R291" i="5"/>
  <c r="R273" i="5"/>
  <c r="R271" i="5"/>
  <c r="R253" i="5"/>
  <c r="R160" i="5"/>
  <c r="R123" i="5"/>
  <c r="R156" i="5"/>
  <c r="R5" i="5"/>
  <c r="R150" i="5"/>
  <c r="R182" i="5"/>
  <c r="R36" i="5"/>
  <c r="R32" i="5"/>
  <c r="R93" i="5"/>
  <c r="R43" i="5"/>
  <c r="R9" i="5"/>
  <c r="R55" i="5"/>
  <c r="O365" i="5"/>
  <c r="C71" i="6" a="1"/>
  <c r="C71" i="6" s="1"/>
  <c r="D71" i="6" s="1" a="1"/>
  <c r="D71" i="6" s="1"/>
  <c r="C44" i="6" a="1"/>
  <c r="C44" i="6" s="1"/>
  <c r="D44" i="6" s="1" a="1"/>
  <c r="D44" i="6" s="1"/>
  <c r="C7" i="6" a="1"/>
  <c r="C7" i="6" s="1"/>
  <c r="D7" i="6" s="1" a="1"/>
  <c r="D7" i="6" s="1"/>
  <c r="E48" i="1"/>
  <c r="D55" i="1"/>
  <c r="J369" i="9"/>
  <c r="C13" i="6" a="1"/>
  <c r="C13" i="6" s="1"/>
  <c r="D13" i="6" s="1" a="1"/>
  <c r="D13" i="6" s="1"/>
  <c r="C153" i="6" a="1"/>
  <c r="C153" i="6" s="1"/>
  <c r="D153" i="6" s="1" a="1"/>
  <c r="D153" i="6" s="1"/>
  <c r="D62" i="1"/>
  <c r="D8" i="1"/>
  <c r="C133" i="6" a="1"/>
  <c r="C133" i="6" s="1"/>
  <c r="D133" i="6" s="1" a="1"/>
  <c r="D133" i="6" s="1"/>
  <c r="C24" i="6" a="1"/>
  <c r="C24" i="6" s="1"/>
  <c r="D24" i="6" s="1" a="1"/>
  <c r="D24" i="6" s="1"/>
  <c r="C108" i="6" a="1"/>
  <c r="C108" i="6" s="1"/>
  <c r="D108" i="6" s="1" a="1"/>
  <c r="D108" i="6" s="1"/>
  <c r="C89" i="6" a="1"/>
  <c r="C89" i="6" s="1"/>
  <c r="D89" i="6" s="1" a="1"/>
  <c r="D89" i="6" s="1"/>
  <c r="C10" i="6" a="1"/>
  <c r="C10" i="6" s="1"/>
  <c r="D10" i="6" s="1" a="1"/>
  <c r="D10" i="6" s="1"/>
  <c r="C264" i="6" a="1"/>
  <c r="C264" i="6" s="1"/>
  <c r="D264" i="6" s="1" a="1"/>
  <c r="D264" i="6" s="1"/>
  <c r="E38" i="1"/>
  <c r="C269" i="6" a="1"/>
  <c r="C269" i="6" s="1"/>
  <c r="D269" i="6" s="1" a="1"/>
  <c r="D269" i="6" s="1"/>
  <c r="C51" i="6" a="1"/>
  <c r="C51" i="6" s="1"/>
  <c r="D51" i="6" s="1" a="1"/>
  <c r="D51" i="6" s="1"/>
  <c r="C115" i="6" a="1"/>
  <c r="C115" i="6" s="1"/>
  <c r="D115" i="6" s="1" a="1"/>
  <c r="D115" i="6" s="1"/>
  <c r="C22" i="6" a="1"/>
  <c r="C22" i="6" s="1"/>
  <c r="D22" i="6" s="1" a="1"/>
  <c r="D22" i="6" s="1"/>
  <c r="C43" i="6" a="1"/>
  <c r="C43" i="6" s="1"/>
  <c r="D43" i="6" s="1" a="1"/>
  <c r="D43" i="6" s="1"/>
  <c r="C54" i="6" a="1"/>
  <c r="C54" i="6" s="1"/>
  <c r="D54" i="6" s="1" a="1"/>
  <c r="D54" i="6" s="1"/>
  <c r="C57" i="6" a="1"/>
  <c r="C57" i="6" s="1"/>
  <c r="D57" i="6" s="1" a="1"/>
  <c r="D57" i="6" s="1"/>
  <c r="C131" i="6" a="1"/>
  <c r="C131" i="6" s="1"/>
  <c r="D131" i="6" s="1" a="1"/>
  <c r="D131" i="6" s="1"/>
  <c r="C56" i="6" a="1"/>
  <c r="C56" i="6" s="1"/>
  <c r="D56" i="6" s="1" a="1"/>
  <c r="D56" i="6" s="1"/>
  <c r="C46" i="6" a="1"/>
  <c r="C46" i="6" s="1"/>
  <c r="D46" i="6" s="1" a="1"/>
  <c r="D46" i="6" s="1"/>
  <c r="C41" i="6" a="1"/>
  <c r="C41" i="6" s="1"/>
  <c r="D41" i="6" s="1" a="1"/>
  <c r="D41" i="6" s="1"/>
  <c r="C135" i="6" a="1"/>
  <c r="C135" i="6" s="1"/>
  <c r="D135" i="6" s="1" a="1"/>
  <c r="D135" i="6" s="1"/>
  <c r="C48" i="6" a="1"/>
  <c r="C48" i="6" s="1"/>
  <c r="D48" i="6" s="1" a="1"/>
  <c r="D48" i="6" s="1"/>
  <c r="C157" i="6" a="1"/>
  <c r="C157" i="6" s="1"/>
  <c r="D157" i="6" s="1" a="1"/>
  <c r="D157" i="6" s="1"/>
  <c r="C40" i="6" a="1"/>
  <c r="C40" i="6" s="1"/>
  <c r="D40" i="6" s="1" a="1"/>
  <c r="D40" i="6" s="1"/>
  <c r="C67" i="6" a="1"/>
  <c r="C67" i="6" s="1"/>
  <c r="D67" i="6" s="1" a="1"/>
  <c r="D67" i="6" s="1"/>
  <c r="C114" i="6" a="1"/>
  <c r="C114" i="6" s="1"/>
  <c r="D114" i="6" s="1" a="1"/>
  <c r="D114" i="6" s="1"/>
  <c r="C92" i="6" a="1"/>
  <c r="C92" i="6" s="1"/>
  <c r="D92" i="6" s="1" a="1"/>
  <c r="D92" i="6" s="1"/>
  <c r="C88" i="6" a="1"/>
  <c r="C88" i="6" s="1"/>
  <c r="D88" i="6" s="1" a="1"/>
  <c r="D88" i="6" s="1"/>
  <c r="C134" i="6" a="1"/>
  <c r="C134" i="6" s="1"/>
  <c r="D134" i="6" s="1" a="1"/>
  <c r="D134" i="6" s="1"/>
  <c r="C109" i="6" a="1"/>
  <c r="C109" i="6" s="1"/>
  <c r="D109" i="6" s="1" a="1"/>
  <c r="D109" i="6" s="1"/>
  <c r="C74" i="6" a="1"/>
  <c r="C74" i="6" s="1"/>
  <c r="D74" i="6" s="1" a="1"/>
  <c r="D74" i="6" s="1"/>
  <c r="C148" i="6" a="1"/>
  <c r="C148" i="6" s="1"/>
  <c r="D148" i="6" s="1" a="1"/>
  <c r="D148" i="6" s="1"/>
  <c r="C253" i="6" a="1"/>
  <c r="C253" i="6" s="1"/>
  <c r="D253" i="6" s="1" a="1"/>
  <c r="D253" i="6" s="1"/>
  <c r="C259" i="6" a="1"/>
  <c r="C259" i="6" s="1"/>
  <c r="D259" i="6" s="1" a="1"/>
  <c r="D259" i="6" s="1"/>
  <c r="C159" i="6" a="1"/>
  <c r="C159" i="6" s="1"/>
  <c r="D159" i="6" s="1" a="1"/>
  <c r="D159" i="6" s="1"/>
  <c r="C175" i="6" a="1"/>
  <c r="C175" i="6" s="1"/>
  <c r="D175" i="6" s="1" a="1"/>
  <c r="D175" i="6" s="1"/>
  <c r="C191" i="6" a="1"/>
  <c r="C191" i="6" s="1"/>
  <c r="D191" i="6" s="1" a="1"/>
  <c r="D191" i="6" s="1"/>
  <c r="C207" i="6" a="1"/>
  <c r="C207" i="6" s="1"/>
  <c r="D207" i="6" s="1" a="1"/>
  <c r="D207" i="6" s="1"/>
  <c r="C287" i="6" a="1"/>
  <c r="C287" i="6" s="1"/>
  <c r="D287" i="6" s="1" a="1"/>
  <c r="D287" i="6" s="1"/>
  <c r="C262" i="6" a="1"/>
  <c r="C262" i="6" s="1"/>
  <c r="D262" i="6" s="1" a="1"/>
  <c r="D262" i="6" s="1"/>
  <c r="C246" i="6" a="1"/>
  <c r="C246" i="6" s="1"/>
  <c r="D246" i="6" s="1" a="1"/>
  <c r="D246" i="6" s="1"/>
  <c r="C315" i="6" a="1"/>
  <c r="C315" i="6" s="1"/>
  <c r="D315" i="6" s="1" a="1"/>
  <c r="D315" i="6" s="1"/>
  <c r="C294" i="6" a="1"/>
  <c r="C294" i="6" s="1"/>
  <c r="D294" i="6" s="1" a="1"/>
  <c r="D294" i="6" s="1"/>
  <c r="C306" i="6" a="1"/>
  <c r="C306" i="6" s="1"/>
  <c r="D306" i="6" s="1" a="1"/>
  <c r="D306" i="6" s="1"/>
  <c r="C346" i="6" a="1"/>
  <c r="C346" i="6" s="1"/>
  <c r="D346" i="6" s="1" a="1"/>
  <c r="D346" i="6" s="1"/>
  <c r="V36" i="7"/>
  <c r="X36" i="7" s="1"/>
  <c r="Y36" i="7" s="1"/>
  <c r="V21" i="7"/>
  <c r="X21" i="7" s="1"/>
  <c r="Y21" i="7" s="1"/>
  <c r="V95" i="7"/>
  <c r="X95" i="7" s="1"/>
  <c r="Y95" i="7" s="1"/>
  <c r="V58" i="7"/>
  <c r="X58" i="7" s="1"/>
  <c r="Y58" i="7" s="1"/>
  <c r="V112" i="7"/>
  <c r="X112" i="7" s="1"/>
  <c r="Y112" i="7" s="1"/>
  <c r="V59" i="7"/>
  <c r="X59" i="7" s="1"/>
  <c r="Y59" i="7" s="1"/>
  <c r="V119" i="7"/>
  <c r="X119" i="7" s="1"/>
  <c r="Y119" i="7" s="1"/>
  <c r="V81" i="7"/>
  <c r="X81" i="7" s="1"/>
  <c r="Y81" i="7" s="1"/>
  <c r="V155" i="7"/>
  <c r="X155" i="7" s="1"/>
  <c r="Y155" i="7" s="1"/>
  <c r="V199" i="7"/>
  <c r="X199" i="7" s="1"/>
  <c r="Y199" i="7" s="1"/>
  <c r="V160" i="7"/>
  <c r="X160" i="7" s="1"/>
  <c r="Y160" i="7" s="1"/>
  <c r="V140" i="7"/>
  <c r="X140" i="7" s="1"/>
  <c r="Y140" i="7" s="1"/>
  <c r="V216" i="7"/>
  <c r="X216" i="7" s="1"/>
  <c r="Y216" i="7" s="1"/>
  <c r="V170" i="7"/>
  <c r="X170" i="7" s="1"/>
  <c r="Y170" i="7" s="1"/>
  <c r="V184" i="7"/>
  <c r="X184" i="7" s="1"/>
  <c r="Y184" i="7" s="1"/>
  <c r="V268" i="7"/>
  <c r="X268" i="7" s="1"/>
  <c r="Y268" i="7" s="1"/>
  <c r="V259" i="7"/>
  <c r="X259" i="7" s="1"/>
  <c r="Y259" i="7" s="1"/>
  <c r="V279" i="7"/>
  <c r="X279" i="7" s="1"/>
  <c r="Y279" i="7" s="1"/>
  <c r="V273" i="7"/>
  <c r="X273" i="7" s="1"/>
  <c r="Y273" i="7" s="1"/>
  <c r="V334" i="7"/>
  <c r="X334" i="7" s="1"/>
  <c r="Y334" i="7" s="1"/>
  <c r="V352" i="7"/>
  <c r="X352" i="7" s="1"/>
  <c r="Y352" i="7" s="1"/>
  <c r="V340" i="7"/>
  <c r="X340" i="7" s="1"/>
  <c r="Y340" i="7" s="1"/>
  <c r="C66" i="6" a="1"/>
  <c r="C66" i="6" s="1"/>
  <c r="D66" i="6" s="1" a="1"/>
  <c r="D66" i="6" s="1"/>
  <c r="G30" i="1"/>
  <c r="D36" i="1"/>
  <c r="P28" i="9"/>
  <c r="Q28" i="9" s="1"/>
  <c r="R28" i="9" s="1"/>
  <c r="T28" i="9" s="1"/>
  <c r="P23" i="9"/>
  <c r="Q23" i="9" s="1"/>
  <c r="R23" i="9" s="1"/>
  <c r="T23" i="9" s="1"/>
  <c r="P40" i="9"/>
  <c r="Q40" i="9" s="1"/>
  <c r="R40" i="9" s="1"/>
  <c r="T40" i="9" s="1"/>
  <c r="P47" i="9"/>
  <c r="Q47" i="9" s="1"/>
  <c r="R47" i="9" s="1"/>
  <c r="T47" i="9" s="1"/>
  <c r="P11" i="9"/>
  <c r="Q11" i="9" s="1"/>
  <c r="R11" i="9" s="1"/>
  <c r="T11" i="9" s="1"/>
  <c r="P172" i="9"/>
  <c r="Q172" i="9" s="1"/>
  <c r="R172" i="9" s="1"/>
  <c r="T172" i="9" s="1"/>
  <c r="P158" i="9"/>
  <c r="Q158" i="9" s="1"/>
  <c r="R158" i="9" s="1"/>
  <c r="T158" i="9" s="1"/>
  <c r="P151" i="9"/>
  <c r="Q151" i="9" s="1"/>
  <c r="R151" i="9" s="1"/>
  <c r="T151" i="9" s="1"/>
  <c r="P125" i="9"/>
  <c r="Q125" i="9" s="1"/>
  <c r="R125" i="9" s="1"/>
  <c r="T125" i="9" s="1"/>
  <c r="P62" i="9"/>
  <c r="Q62" i="9" s="1"/>
  <c r="R62" i="9" s="1"/>
  <c r="T62" i="9" s="1"/>
  <c r="P100" i="9"/>
  <c r="Q100" i="9" s="1"/>
  <c r="R100" i="9" s="1"/>
  <c r="T100" i="9" s="1"/>
  <c r="P196" i="9"/>
  <c r="Q196" i="9" s="1"/>
  <c r="R196" i="9" s="1"/>
  <c r="T196" i="9" s="1"/>
  <c r="P263" i="9"/>
  <c r="Q263" i="9" s="1"/>
  <c r="R263" i="9" s="1"/>
  <c r="T263" i="9" s="1"/>
  <c r="P198" i="9"/>
  <c r="Q198" i="9" s="1"/>
  <c r="R198" i="9" s="1"/>
  <c r="T198" i="9" s="1"/>
  <c r="P183" i="9"/>
  <c r="Q183" i="9" s="1"/>
  <c r="R183" i="9" s="1"/>
  <c r="T183" i="9" s="1"/>
  <c r="P157" i="9"/>
  <c r="Q157" i="9" s="1"/>
  <c r="R157" i="9" s="1"/>
  <c r="T157" i="9" s="1"/>
  <c r="P163" i="9"/>
  <c r="Q163" i="9" s="1"/>
  <c r="R163" i="9" s="1"/>
  <c r="T163" i="9" s="1"/>
  <c r="P326" i="9"/>
  <c r="Q326" i="9" s="1"/>
  <c r="R326" i="9" s="1"/>
  <c r="T326" i="9" s="1"/>
  <c r="P311" i="9"/>
  <c r="Q311" i="9" s="1"/>
  <c r="R311" i="9" s="1"/>
  <c r="T311" i="9" s="1"/>
  <c r="P349" i="9"/>
  <c r="Q349" i="9" s="1"/>
  <c r="R349" i="9" s="1"/>
  <c r="T349" i="9" s="1"/>
  <c r="P355" i="9"/>
  <c r="Q355" i="9" s="1"/>
  <c r="R355" i="9" s="1"/>
  <c r="T355" i="9" s="1"/>
  <c r="P361" i="9"/>
  <c r="Q361" i="9" s="1"/>
  <c r="R361" i="9" s="1"/>
  <c r="T361" i="9" s="1"/>
  <c r="P314" i="9"/>
  <c r="Q314" i="9" s="1"/>
  <c r="R314" i="9" s="1"/>
  <c r="T314" i="9" s="1"/>
  <c r="C35" i="6" a="1"/>
  <c r="C35" i="6" s="1"/>
  <c r="D35" i="6" s="1" a="1"/>
  <c r="D35" i="6" s="1"/>
  <c r="C38" i="6" a="1"/>
  <c r="C38" i="6" s="1"/>
  <c r="D38" i="6" s="1" a="1"/>
  <c r="D38" i="6" s="1"/>
  <c r="C83" i="6" a="1"/>
  <c r="C83" i="6" s="1"/>
  <c r="D83" i="6" s="1" a="1"/>
  <c r="D83" i="6" s="1"/>
  <c r="C77" i="6" a="1"/>
  <c r="C77" i="6" s="1"/>
  <c r="D77" i="6" s="1" a="1"/>
  <c r="D77" i="6" s="1"/>
  <c r="C138" i="6" a="1"/>
  <c r="C138" i="6" s="1"/>
  <c r="D138" i="6" s="1" a="1"/>
  <c r="D138" i="6" s="1"/>
  <c r="C113" i="6" a="1"/>
  <c r="C113" i="6" s="1"/>
  <c r="D113" i="6" s="1" a="1"/>
  <c r="D113" i="6" s="1"/>
  <c r="C90" i="6" a="1"/>
  <c r="C90" i="6" s="1"/>
  <c r="D90" i="6" s="1" a="1"/>
  <c r="D90" i="6" s="1"/>
  <c r="C152" i="6" a="1"/>
  <c r="C152" i="6" s="1"/>
  <c r="D152" i="6" s="1" a="1"/>
  <c r="D152" i="6" s="1"/>
  <c r="C260" i="6" a="1"/>
  <c r="C260" i="6" s="1"/>
  <c r="D260" i="6" s="1" a="1"/>
  <c r="D260" i="6" s="1"/>
  <c r="C297" i="6" a="1"/>
  <c r="C297" i="6" s="1"/>
  <c r="D297" i="6" s="1" a="1"/>
  <c r="D297" i="6" s="1"/>
  <c r="C160" i="6" a="1"/>
  <c r="C160" i="6" s="1"/>
  <c r="D160" i="6" s="1" a="1"/>
  <c r="D160" i="6" s="1"/>
  <c r="C176" i="6" a="1"/>
  <c r="C176" i="6" s="1"/>
  <c r="D176" i="6" s="1" a="1"/>
  <c r="D176" i="6" s="1"/>
  <c r="C192" i="6" a="1"/>
  <c r="C192" i="6" s="1"/>
  <c r="D192" i="6" s="1" a="1"/>
  <c r="D192" i="6" s="1"/>
  <c r="C208" i="6" a="1"/>
  <c r="C208" i="6" s="1"/>
  <c r="D208" i="6" s="1" a="1"/>
  <c r="D208" i="6" s="1"/>
  <c r="C302" i="6" a="1"/>
  <c r="C302" i="6" s="1"/>
  <c r="D302" i="6" s="1" a="1"/>
  <c r="D302" i="6" s="1"/>
  <c r="C226" i="6" a="1"/>
  <c r="C226" i="6" s="1"/>
  <c r="D226" i="6" s="1" a="1"/>
  <c r="D226" i="6" s="1"/>
  <c r="C254" i="6" a="1"/>
  <c r="C254" i="6" s="1"/>
  <c r="D254" i="6" s="1" a="1"/>
  <c r="D254" i="6" s="1"/>
  <c r="C331" i="6" a="1"/>
  <c r="C331" i="6" s="1"/>
  <c r="D331" i="6" s="1" a="1"/>
  <c r="D331" i="6" s="1"/>
  <c r="C310" i="6" a="1"/>
  <c r="C310" i="6" s="1"/>
  <c r="D310" i="6" s="1" a="1"/>
  <c r="D310" i="6" s="1"/>
  <c r="C322" i="6" a="1"/>
  <c r="C322" i="6" s="1"/>
  <c r="D322" i="6" s="1" a="1"/>
  <c r="D322" i="6" s="1"/>
  <c r="C362" i="6" a="1"/>
  <c r="C362" i="6" s="1"/>
  <c r="D362" i="6" s="1" a="1"/>
  <c r="D362" i="6" s="1"/>
  <c r="V60" i="7"/>
  <c r="X60" i="7" s="1"/>
  <c r="Y60" i="7" s="1"/>
  <c r="V34" i="7"/>
  <c r="X34" i="7" s="1"/>
  <c r="Y34" i="7" s="1"/>
  <c r="V100" i="7"/>
  <c r="X100" i="7" s="1"/>
  <c r="Y100" i="7" s="1"/>
  <c r="V61" i="7"/>
  <c r="X61" i="7" s="1"/>
  <c r="Y61" i="7" s="1"/>
  <c r="V118" i="7"/>
  <c r="X118" i="7" s="1"/>
  <c r="Y118" i="7" s="1"/>
  <c r="V64" i="7"/>
  <c r="X64" i="7" s="1"/>
  <c r="Y64" i="7" s="1"/>
  <c r="V125" i="7"/>
  <c r="X125" i="7" s="1"/>
  <c r="Y125" i="7" s="1"/>
  <c r="V86" i="7"/>
  <c r="X86" i="7" s="1"/>
  <c r="Y86" i="7" s="1"/>
  <c r="V157" i="7"/>
  <c r="X157" i="7" s="1"/>
  <c r="Y157" i="7" s="1"/>
  <c r="V207" i="7"/>
  <c r="X207" i="7" s="1"/>
  <c r="Y207" i="7" s="1"/>
  <c r="V167" i="7"/>
  <c r="X167" i="7" s="1"/>
  <c r="Y167" i="7" s="1"/>
  <c r="V142" i="7"/>
  <c r="X142" i="7" s="1"/>
  <c r="Y142" i="7" s="1"/>
  <c r="V219" i="7"/>
  <c r="X219" i="7" s="1"/>
  <c r="Y219" i="7" s="1"/>
  <c r="V177" i="7"/>
  <c r="X177" i="7" s="1"/>
  <c r="Y177" i="7" s="1"/>
  <c r="V191" i="7"/>
  <c r="X191" i="7" s="1"/>
  <c r="Y191" i="7" s="1"/>
  <c r="V271" i="7"/>
  <c r="X271" i="7" s="1"/>
  <c r="Y271" i="7" s="1"/>
  <c r="V272" i="7"/>
  <c r="X272" i="7" s="1"/>
  <c r="Y272" i="7" s="1"/>
  <c r="V292" i="7"/>
  <c r="X292" i="7" s="1"/>
  <c r="Y292" i="7" s="1"/>
  <c r="V286" i="7"/>
  <c r="X286" i="7" s="1"/>
  <c r="Y286" i="7" s="1"/>
  <c r="V341" i="7"/>
  <c r="X341" i="7" s="1"/>
  <c r="Y341" i="7" s="1"/>
  <c r="V362" i="7"/>
  <c r="X362" i="7" s="1"/>
  <c r="Y362" i="7" s="1"/>
  <c r="V327" i="7"/>
  <c r="X327" i="7" s="1"/>
  <c r="Y327" i="7" s="1"/>
  <c r="C62" i="1"/>
  <c r="C55" i="1"/>
  <c r="D38" i="1"/>
  <c r="C8" i="1"/>
  <c r="D48" i="1"/>
  <c r="C11" i="1" a="1"/>
  <c r="C3" i="6" a="1"/>
  <c r="C3" i="6" s="1"/>
  <c r="D3" i="6" s="1" a="1"/>
  <c r="D3" i="6" s="1"/>
  <c r="C55" i="6" a="1"/>
  <c r="C55" i="6" s="1"/>
  <c r="D55" i="6" s="1" a="1"/>
  <c r="D55" i="6" s="1"/>
  <c r="C72" i="6" a="1"/>
  <c r="C72" i="6" s="1"/>
  <c r="D72" i="6" s="1" a="1"/>
  <c r="D72" i="6" s="1"/>
  <c r="P12" i="9"/>
  <c r="Q12" i="9" s="1"/>
  <c r="R12" i="9" s="1"/>
  <c r="T12" i="9" s="1"/>
  <c r="P39" i="9"/>
  <c r="Q39" i="9" s="1"/>
  <c r="R39" i="9" s="1"/>
  <c r="T39" i="9" s="1"/>
  <c r="P65" i="9"/>
  <c r="Q65" i="9" s="1"/>
  <c r="R65" i="9" s="1"/>
  <c r="T65" i="9" s="1"/>
  <c r="P70" i="9"/>
  <c r="Q70" i="9" s="1"/>
  <c r="R70" i="9" s="1"/>
  <c r="T70" i="9" s="1"/>
  <c r="P27" i="9"/>
  <c r="Q27" i="9" s="1"/>
  <c r="R27" i="9" s="1"/>
  <c r="T27" i="9" s="1"/>
  <c r="P181" i="9"/>
  <c r="Q181" i="9" s="1"/>
  <c r="R181" i="9" s="1"/>
  <c r="T181" i="9" s="1"/>
  <c r="P60" i="9"/>
  <c r="Q60" i="9" s="1"/>
  <c r="R60" i="9" s="1"/>
  <c r="T60" i="9" s="1"/>
  <c r="P156" i="9"/>
  <c r="Q156" i="9" s="1"/>
  <c r="R156" i="9" s="1"/>
  <c r="T156" i="9" s="1"/>
  <c r="P143" i="9"/>
  <c r="Q143" i="9" s="1"/>
  <c r="R143" i="9" s="1"/>
  <c r="T143" i="9" s="1"/>
  <c r="P78" i="9"/>
  <c r="Q78" i="9" s="1"/>
  <c r="R78" i="9" s="1"/>
  <c r="T78" i="9" s="1"/>
  <c r="P116" i="9"/>
  <c r="Q116" i="9" s="1"/>
  <c r="R116" i="9" s="1"/>
  <c r="T116" i="9" s="1"/>
  <c r="P212" i="9"/>
  <c r="Q212" i="9" s="1"/>
  <c r="R212" i="9" s="1"/>
  <c r="T212" i="9" s="1"/>
  <c r="P160" i="9"/>
  <c r="Q160" i="9" s="1"/>
  <c r="R160" i="9" s="1"/>
  <c r="T160" i="9" s="1"/>
  <c r="P214" i="9"/>
  <c r="Q214" i="9" s="1"/>
  <c r="R214" i="9" s="1"/>
  <c r="T214" i="9" s="1"/>
  <c r="P199" i="9"/>
  <c r="Q199" i="9" s="1"/>
  <c r="R199" i="9" s="1"/>
  <c r="T199" i="9" s="1"/>
  <c r="P173" i="9"/>
  <c r="Q173" i="9" s="1"/>
  <c r="R173" i="9" s="1"/>
  <c r="T173" i="9" s="1"/>
  <c r="P179" i="9"/>
  <c r="Q179" i="9" s="1"/>
  <c r="R179" i="9" s="1"/>
  <c r="T179" i="9" s="1"/>
  <c r="P342" i="9"/>
  <c r="Q342" i="9" s="1"/>
  <c r="R342" i="9" s="1"/>
  <c r="T342" i="9" s="1"/>
  <c r="P327" i="9"/>
  <c r="Q327" i="9" s="1"/>
  <c r="R327" i="9" s="1"/>
  <c r="T327" i="9" s="1"/>
  <c r="P365" i="9"/>
  <c r="Q365" i="9" s="1"/>
  <c r="R365" i="9" s="1"/>
  <c r="T365" i="9" s="1"/>
  <c r="P254" i="9"/>
  <c r="Q254" i="9" s="1"/>
  <c r="R254" i="9" s="1"/>
  <c r="T254" i="9" s="1"/>
  <c r="P276" i="9"/>
  <c r="Q276" i="9" s="1"/>
  <c r="R276" i="9" s="1"/>
  <c r="T276" i="9" s="1"/>
  <c r="P330" i="9"/>
  <c r="Q330" i="9" s="1"/>
  <c r="R330" i="9" s="1"/>
  <c r="T330" i="9" s="1"/>
  <c r="C99" i="6" a="1"/>
  <c r="C99" i="6" s="1"/>
  <c r="D99" i="6" s="1" a="1"/>
  <c r="D99" i="6" s="1"/>
  <c r="C93" i="6" a="1"/>
  <c r="C93" i="6" s="1"/>
  <c r="D93" i="6" s="1" a="1"/>
  <c r="D93" i="6" s="1"/>
  <c r="C142" i="6" a="1"/>
  <c r="C142" i="6" s="1"/>
  <c r="D142" i="6" s="1" a="1"/>
  <c r="D142" i="6" s="1"/>
  <c r="C117" i="6" a="1"/>
  <c r="C117" i="6" s="1"/>
  <c r="D117" i="6" s="1" a="1"/>
  <c r="D117" i="6" s="1"/>
  <c r="C79" i="6" a="1"/>
  <c r="C79" i="6" s="1"/>
  <c r="D79" i="6" s="1" a="1"/>
  <c r="D79" i="6" s="1"/>
  <c r="C68" i="6" a="1"/>
  <c r="C68" i="6" s="1"/>
  <c r="D68" i="6" s="1" a="1"/>
  <c r="D68" i="6" s="1"/>
  <c r="C288" i="6" a="1"/>
  <c r="C288" i="6" s="1"/>
  <c r="D288" i="6" s="1" a="1"/>
  <c r="D288" i="6" s="1"/>
  <c r="C217" i="6" a="1"/>
  <c r="C217" i="6" s="1"/>
  <c r="D217" i="6" s="1" a="1"/>
  <c r="D217" i="6" s="1"/>
  <c r="C161" i="6" a="1"/>
  <c r="C161" i="6" s="1"/>
  <c r="D161" i="6" s="1" a="1"/>
  <c r="D161" i="6" s="1"/>
  <c r="C177" i="6" a="1"/>
  <c r="C177" i="6" s="1"/>
  <c r="D177" i="6" s="1" a="1"/>
  <c r="D177" i="6" s="1"/>
  <c r="C193" i="6" a="1"/>
  <c r="C193" i="6" s="1"/>
  <c r="D193" i="6" s="1" a="1"/>
  <c r="D193" i="6" s="1"/>
  <c r="C209" i="6" a="1"/>
  <c r="C209" i="6" s="1"/>
  <c r="D209" i="6" s="1" a="1"/>
  <c r="D209" i="6" s="1"/>
  <c r="C229" i="6" a="1"/>
  <c r="C229" i="6" s="1"/>
  <c r="D229" i="6" s="1" a="1"/>
  <c r="D229" i="6" s="1"/>
  <c r="C225" i="6" a="1"/>
  <c r="C225" i="6" s="1"/>
  <c r="D225" i="6" s="1" a="1"/>
  <c r="D225" i="6" s="1"/>
  <c r="C301" i="6" a="1"/>
  <c r="C301" i="6" s="1"/>
  <c r="D301" i="6" s="1" a="1"/>
  <c r="D301" i="6" s="1"/>
  <c r="C314" i="6" a="1"/>
  <c r="C314" i="6" s="1"/>
  <c r="D314" i="6" s="1" a="1"/>
  <c r="D314" i="6" s="1"/>
  <c r="C326" i="6" a="1"/>
  <c r="C326" i="6" s="1"/>
  <c r="D326" i="6" s="1" a="1"/>
  <c r="D326" i="6" s="1"/>
  <c r="C336" i="6" a="1"/>
  <c r="C336" i="6" s="1"/>
  <c r="D336" i="6" s="1" a="1"/>
  <c r="D336" i="6" s="1"/>
  <c r="C345" i="6" a="1"/>
  <c r="C345" i="6" s="1"/>
  <c r="D345" i="6" s="1" a="1"/>
  <c r="D345" i="6" s="1"/>
  <c r="C36" i="6" a="1"/>
  <c r="C36" i="6" s="1"/>
  <c r="D36" i="6" s="1" a="1"/>
  <c r="D36" i="6" s="1"/>
  <c r="V28" i="7"/>
  <c r="X28" i="7" s="1"/>
  <c r="Y28" i="7" s="1"/>
  <c r="V6" i="7"/>
  <c r="X6" i="7" s="1"/>
  <c r="Y6" i="7" s="1"/>
  <c r="V55" i="7"/>
  <c r="X55" i="7" s="1"/>
  <c r="Y55" i="7" s="1"/>
  <c r="V103" i="7"/>
  <c r="X103" i="7" s="1"/>
  <c r="Y103" i="7" s="1"/>
  <c r="V66" i="7"/>
  <c r="X66" i="7" s="1"/>
  <c r="Y66" i="7" s="1"/>
  <c r="V124" i="7"/>
  <c r="X124" i="7" s="1"/>
  <c r="Y124" i="7" s="1"/>
  <c r="V67" i="7"/>
  <c r="X67" i="7" s="1"/>
  <c r="Y67" i="7" s="1"/>
  <c r="V129" i="7"/>
  <c r="X129" i="7" s="1"/>
  <c r="Y129" i="7" s="1"/>
  <c r="V89" i="7"/>
  <c r="X89" i="7" s="1"/>
  <c r="Y89" i="7" s="1"/>
  <c r="V166" i="7"/>
  <c r="X166" i="7" s="1"/>
  <c r="Y166" i="7" s="1"/>
  <c r="V215" i="7"/>
  <c r="X215" i="7" s="1"/>
  <c r="Y215" i="7" s="1"/>
  <c r="V176" i="7"/>
  <c r="X176" i="7" s="1"/>
  <c r="Y176" i="7" s="1"/>
  <c r="V144" i="7"/>
  <c r="X144" i="7" s="1"/>
  <c r="Y144" i="7" s="1"/>
  <c r="V226" i="7"/>
  <c r="X226" i="7" s="1"/>
  <c r="Y226" i="7" s="1"/>
  <c r="V186" i="7"/>
  <c r="X186" i="7" s="1"/>
  <c r="Y186" i="7" s="1"/>
  <c r="V201" i="7"/>
  <c r="X201" i="7" s="1"/>
  <c r="Y201" i="7" s="1"/>
  <c r="V284" i="7"/>
  <c r="X284" i="7" s="1"/>
  <c r="Y284" i="7" s="1"/>
  <c r="V275" i="7"/>
  <c r="X275" i="7" s="1"/>
  <c r="Y275" i="7" s="1"/>
  <c r="V295" i="7"/>
  <c r="X295" i="7" s="1"/>
  <c r="Y295" i="7" s="1"/>
  <c r="V289" i="7"/>
  <c r="X289" i="7" s="1"/>
  <c r="Y289" i="7" s="1"/>
  <c r="V350" i="7"/>
  <c r="X350" i="7" s="1"/>
  <c r="Y350" i="7" s="1"/>
  <c r="V324" i="7"/>
  <c r="X324" i="7" s="1"/>
  <c r="Y324" i="7" s="1"/>
  <c r="V344" i="7"/>
  <c r="X344" i="7" s="1"/>
  <c r="Y344" i="7" s="1"/>
  <c r="C37" i="6" a="1"/>
  <c r="C37" i="6" s="1"/>
  <c r="D37" i="6" s="1" a="1"/>
  <c r="D37" i="6" s="1"/>
  <c r="P15" i="9"/>
  <c r="Q15" i="9" s="1"/>
  <c r="R15" i="9" s="1"/>
  <c r="T15" i="9" s="1"/>
  <c r="P58" i="9"/>
  <c r="Q58" i="9" s="1"/>
  <c r="R58" i="9" s="1"/>
  <c r="T58" i="9" s="1"/>
  <c r="P3" i="9"/>
  <c r="Q3" i="9" s="1"/>
  <c r="R3" i="9" s="1"/>
  <c r="T3" i="9" s="1"/>
  <c r="P10" i="9"/>
  <c r="Q10" i="9" s="1"/>
  <c r="R10" i="9" s="1"/>
  <c r="T10" i="9" s="1"/>
  <c r="P43" i="9"/>
  <c r="Q43" i="9" s="1"/>
  <c r="R43" i="9" s="1"/>
  <c r="T43" i="9" s="1"/>
  <c r="P191" i="9"/>
  <c r="Q191" i="9" s="1"/>
  <c r="R191" i="9" s="1"/>
  <c r="T191" i="9" s="1"/>
  <c r="P76" i="9"/>
  <c r="Q76" i="9" s="1"/>
  <c r="R76" i="9" s="1"/>
  <c r="T76" i="9" s="1"/>
  <c r="P159" i="9"/>
  <c r="Q159" i="9" s="1"/>
  <c r="R159" i="9" s="1"/>
  <c r="T159" i="9" s="1"/>
  <c r="P149" i="9"/>
  <c r="Q149" i="9" s="1"/>
  <c r="R149" i="9" s="1"/>
  <c r="T149" i="9" s="1"/>
  <c r="P94" i="9"/>
  <c r="Q94" i="9" s="1"/>
  <c r="R94" i="9" s="1"/>
  <c r="T94" i="9" s="1"/>
  <c r="P132" i="9"/>
  <c r="Q132" i="9" s="1"/>
  <c r="R132" i="9" s="1"/>
  <c r="T132" i="9" s="1"/>
  <c r="P228" i="9"/>
  <c r="Q228" i="9" s="1"/>
  <c r="R228" i="9" s="1"/>
  <c r="T228" i="9" s="1"/>
  <c r="P176" i="9"/>
  <c r="Q176" i="9" s="1"/>
  <c r="R176" i="9" s="1"/>
  <c r="T176" i="9" s="1"/>
  <c r="P230" i="9"/>
  <c r="Q230" i="9" s="1"/>
  <c r="R230" i="9" s="1"/>
  <c r="T230" i="9" s="1"/>
  <c r="P215" i="9"/>
  <c r="Q215" i="9" s="1"/>
  <c r="R215" i="9" s="1"/>
  <c r="T215" i="9" s="1"/>
  <c r="P189" i="9"/>
  <c r="Q189" i="9" s="1"/>
  <c r="R189" i="9" s="1"/>
  <c r="T189" i="9" s="1"/>
  <c r="P195" i="9"/>
  <c r="Q195" i="9" s="1"/>
  <c r="R195" i="9" s="1"/>
  <c r="T195" i="9" s="1"/>
  <c r="P358" i="9"/>
  <c r="Q358" i="9" s="1"/>
  <c r="R358" i="9" s="1"/>
  <c r="T358" i="9" s="1"/>
  <c r="P343" i="9"/>
  <c r="Q343" i="9" s="1"/>
  <c r="R343" i="9" s="1"/>
  <c r="T343" i="9" s="1"/>
  <c r="P248" i="9"/>
  <c r="Q248" i="9" s="1"/>
  <c r="R248" i="9" s="1"/>
  <c r="T248" i="9" s="1"/>
  <c r="P270" i="9"/>
  <c r="Q270" i="9" s="1"/>
  <c r="R270" i="9" s="1"/>
  <c r="T270" i="9" s="1"/>
  <c r="P292" i="9"/>
  <c r="Q292" i="9" s="1"/>
  <c r="R292" i="9" s="1"/>
  <c r="T292" i="9" s="1"/>
  <c r="P346" i="9"/>
  <c r="Q346" i="9" s="1"/>
  <c r="R346" i="9" s="1"/>
  <c r="T346" i="9" s="1"/>
  <c r="C26" i="6" a="1"/>
  <c r="C26" i="6" s="1"/>
  <c r="D26" i="6" s="1" a="1"/>
  <c r="D26" i="6" s="1"/>
  <c r="C4" i="6" a="1"/>
  <c r="C4" i="6" s="1"/>
  <c r="D4" i="6" s="1" a="1"/>
  <c r="D4" i="6" s="1"/>
  <c r="F60" i="1"/>
  <c r="F56" i="1"/>
  <c r="G48" i="1"/>
  <c r="G51" i="1"/>
  <c r="G38" i="1"/>
  <c r="G41" i="1"/>
  <c r="G43" i="1"/>
  <c r="G39" i="1"/>
  <c r="F55" i="1"/>
  <c r="G50" i="1"/>
  <c r="G46" i="1"/>
  <c r="G42" i="1"/>
  <c r="F59" i="1"/>
  <c r="G53" i="1"/>
  <c r="G49" i="1"/>
  <c r="G45" i="1"/>
  <c r="F8" i="1"/>
  <c r="F58" i="1"/>
  <c r="G44" i="1"/>
  <c r="G52" i="1"/>
  <c r="G40" i="1"/>
  <c r="F62" i="1"/>
  <c r="G47" i="1"/>
  <c r="F57" i="1"/>
  <c r="C33" i="6" a="1"/>
  <c r="C33" i="6" s="1"/>
  <c r="D33" i="6" s="1" a="1"/>
  <c r="D33" i="6" s="1"/>
  <c r="C103" i="6" a="1"/>
  <c r="C103" i="6" s="1"/>
  <c r="D103" i="6" s="1" a="1"/>
  <c r="D103" i="6" s="1"/>
  <c r="C154" i="6" a="1"/>
  <c r="C154" i="6" s="1"/>
  <c r="D154" i="6" s="1" a="1"/>
  <c r="D154" i="6" s="1"/>
  <c r="C146" i="6" a="1"/>
  <c r="C146" i="6" s="1"/>
  <c r="D146" i="6" s="1" a="1"/>
  <c r="D146" i="6" s="1"/>
  <c r="C121" i="6" a="1"/>
  <c r="C121" i="6" s="1"/>
  <c r="D121" i="6" s="1" a="1"/>
  <c r="D121" i="6" s="1"/>
  <c r="C95" i="6" a="1"/>
  <c r="C95" i="6" s="1"/>
  <c r="D95" i="6" s="1" a="1"/>
  <c r="D95" i="6" s="1"/>
  <c r="C84" i="6" a="1"/>
  <c r="C84" i="6" s="1"/>
  <c r="D84" i="6" s="1" a="1"/>
  <c r="D84" i="6" s="1"/>
  <c r="C303" i="6" a="1"/>
  <c r="C303" i="6" s="1"/>
  <c r="D303" i="6" s="1" a="1"/>
  <c r="D303" i="6" s="1"/>
  <c r="C233" i="6" a="1"/>
  <c r="C233" i="6" s="1"/>
  <c r="D233" i="6" s="1" a="1"/>
  <c r="D233" i="6" s="1"/>
  <c r="C162" i="6" a="1"/>
  <c r="C162" i="6" s="1"/>
  <c r="D162" i="6" s="1" a="1"/>
  <c r="D162" i="6" s="1"/>
  <c r="C178" i="6" a="1"/>
  <c r="C178" i="6" s="1"/>
  <c r="D178" i="6" s="1" a="1"/>
  <c r="D178" i="6" s="1"/>
  <c r="C194" i="6" a="1"/>
  <c r="C194" i="6" s="1"/>
  <c r="D194" i="6" s="1" a="1"/>
  <c r="D194" i="6" s="1"/>
  <c r="C210" i="6" a="1"/>
  <c r="C210" i="6" s="1"/>
  <c r="D210" i="6" s="1" a="1"/>
  <c r="D210" i="6" s="1"/>
  <c r="C241" i="6" a="1"/>
  <c r="C241" i="6" s="1"/>
  <c r="D241" i="6" s="1" a="1"/>
  <c r="D241" i="6" s="1"/>
  <c r="C239" i="6" a="1"/>
  <c r="C239" i="6" s="1"/>
  <c r="D239" i="6" s="1" a="1"/>
  <c r="D239" i="6" s="1"/>
  <c r="C304" i="6" a="1"/>
  <c r="C304" i="6" s="1"/>
  <c r="D304" i="6" s="1" a="1"/>
  <c r="D304" i="6" s="1"/>
  <c r="C330" i="6" a="1"/>
  <c r="C330" i="6" s="1"/>
  <c r="D330" i="6" s="1" a="1"/>
  <c r="D330" i="6" s="1"/>
  <c r="C357" i="6" a="1"/>
  <c r="C357" i="6" s="1"/>
  <c r="D357" i="6" s="1" a="1"/>
  <c r="D357" i="6" s="1"/>
  <c r="C340" i="6" a="1"/>
  <c r="C340" i="6" s="1"/>
  <c r="D340" i="6" s="1" a="1"/>
  <c r="D340" i="6" s="1"/>
  <c r="C361" i="6" a="1"/>
  <c r="C361" i="6" s="1"/>
  <c r="D361" i="6" s="1" a="1"/>
  <c r="D361" i="6" s="1"/>
  <c r="V39" i="7"/>
  <c r="X39" i="7" s="1"/>
  <c r="Y39" i="7" s="1"/>
  <c r="V17" i="7"/>
  <c r="X17" i="7" s="1"/>
  <c r="Y17" i="7" s="1"/>
  <c r="V2" i="7"/>
  <c r="X2" i="7" s="1"/>
  <c r="Y2" i="7" s="1"/>
  <c r="V114" i="7"/>
  <c r="X114" i="7" s="1"/>
  <c r="Y114" i="7" s="1"/>
  <c r="V69" i="7"/>
  <c r="X69" i="7" s="1"/>
  <c r="Y69" i="7" s="1"/>
  <c r="V107" i="7"/>
  <c r="X107" i="7" s="1"/>
  <c r="Y107" i="7" s="1"/>
  <c r="V72" i="7"/>
  <c r="X72" i="7" s="1"/>
  <c r="Y72" i="7" s="1"/>
  <c r="V110" i="7"/>
  <c r="X110" i="7" s="1"/>
  <c r="Y110" i="7" s="1"/>
  <c r="V94" i="7"/>
  <c r="X94" i="7" s="1"/>
  <c r="Y94" i="7" s="1"/>
  <c r="V173" i="7"/>
  <c r="X173" i="7" s="1"/>
  <c r="Y173" i="7" s="1"/>
  <c r="V221" i="7"/>
  <c r="X221" i="7" s="1"/>
  <c r="Y221" i="7" s="1"/>
  <c r="V183" i="7"/>
  <c r="X183" i="7" s="1"/>
  <c r="Y183" i="7" s="1"/>
  <c r="V146" i="7"/>
  <c r="X146" i="7" s="1"/>
  <c r="Y146" i="7" s="1"/>
  <c r="V233" i="7"/>
  <c r="X233" i="7" s="1"/>
  <c r="Y233" i="7" s="1"/>
  <c r="V193" i="7"/>
  <c r="X193" i="7" s="1"/>
  <c r="Y193" i="7" s="1"/>
  <c r="V209" i="7"/>
  <c r="X209" i="7" s="1"/>
  <c r="Y209" i="7" s="1"/>
  <c r="V287" i="7"/>
  <c r="X287" i="7" s="1"/>
  <c r="Y287" i="7" s="1"/>
  <c r="V288" i="7"/>
  <c r="X288" i="7" s="1"/>
  <c r="Y288" i="7" s="1"/>
  <c r="V238" i="7"/>
  <c r="X238" i="7" s="1"/>
  <c r="Y238" i="7" s="1"/>
  <c r="V299" i="7"/>
  <c r="X299" i="7" s="1"/>
  <c r="Y299" i="7" s="1"/>
  <c r="V323" i="7"/>
  <c r="X323" i="7" s="1"/>
  <c r="Y323" i="7" s="1"/>
  <c r="V336" i="7"/>
  <c r="X336" i="7" s="1"/>
  <c r="Y336" i="7" s="1"/>
  <c r="V358" i="7"/>
  <c r="X358" i="7" s="1"/>
  <c r="Y358" i="7" s="1"/>
  <c r="C58" i="6" a="1"/>
  <c r="C58" i="6" s="1"/>
  <c r="D58" i="6" s="1" a="1"/>
  <c r="D58" i="6" s="1"/>
  <c r="C9" i="6" a="1"/>
  <c r="C9" i="6" s="1"/>
  <c r="D9" i="6" s="1" a="1"/>
  <c r="D9" i="6" s="1"/>
  <c r="P22" i="9"/>
  <c r="Q22" i="9" s="1"/>
  <c r="R22" i="9" s="1"/>
  <c r="T22" i="9" s="1"/>
  <c r="P90" i="9"/>
  <c r="Q90" i="9" s="1"/>
  <c r="R90" i="9" s="1"/>
  <c r="T90" i="9" s="1"/>
  <c r="P19" i="9"/>
  <c r="Q19" i="9" s="1"/>
  <c r="R19" i="9" s="1"/>
  <c r="T19" i="9" s="1"/>
  <c r="P26" i="9"/>
  <c r="Q26" i="9" s="1"/>
  <c r="R26" i="9" s="1"/>
  <c r="T26" i="9" s="1"/>
  <c r="P49" i="9"/>
  <c r="Q49" i="9" s="1"/>
  <c r="R49" i="9" s="1"/>
  <c r="T49" i="9" s="1"/>
  <c r="P107" i="9"/>
  <c r="Q107" i="9" s="1"/>
  <c r="R107" i="9" s="1"/>
  <c r="T107" i="9" s="1"/>
  <c r="P92" i="9"/>
  <c r="Q92" i="9" s="1"/>
  <c r="R92" i="9" s="1"/>
  <c r="T92" i="9" s="1"/>
  <c r="P169" i="9"/>
  <c r="Q169" i="9" s="1"/>
  <c r="R169" i="9" s="1"/>
  <c r="T169" i="9" s="1"/>
  <c r="P150" i="9"/>
  <c r="Q150" i="9" s="1"/>
  <c r="R150" i="9" s="1"/>
  <c r="T150" i="9" s="1"/>
  <c r="P110" i="9"/>
  <c r="Q110" i="9" s="1"/>
  <c r="R110" i="9" s="1"/>
  <c r="T110" i="9" s="1"/>
  <c r="P63" i="9"/>
  <c r="Q63" i="9" s="1"/>
  <c r="R63" i="9" s="1"/>
  <c r="T63" i="9" s="1"/>
  <c r="P241" i="9"/>
  <c r="Q241" i="9" s="1"/>
  <c r="R241" i="9" s="1"/>
  <c r="T241" i="9" s="1"/>
  <c r="P192" i="9"/>
  <c r="Q192" i="9" s="1"/>
  <c r="R192" i="9" s="1"/>
  <c r="T192" i="9" s="1"/>
  <c r="P268" i="9"/>
  <c r="Q268" i="9" s="1"/>
  <c r="R268" i="9" s="1"/>
  <c r="T268" i="9" s="1"/>
  <c r="P231" i="9"/>
  <c r="Q231" i="9" s="1"/>
  <c r="R231" i="9" s="1"/>
  <c r="T231" i="9" s="1"/>
  <c r="P205" i="9"/>
  <c r="Q205" i="9" s="1"/>
  <c r="R205" i="9" s="1"/>
  <c r="T205" i="9" s="1"/>
  <c r="P211" i="9"/>
  <c r="Q211" i="9" s="1"/>
  <c r="R211" i="9" s="1"/>
  <c r="T211" i="9" s="1"/>
  <c r="P273" i="9"/>
  <c r="Q273" i="9" s="1"/>
  <c r="R273" i="9" s="1"/>
  <c r="T273" i="9" s="1"/>
  <c r="P359" i="9"/>
  <c r="Q359" i="9" s="1"/>
  <c r="R359" i="9" s="1"/>
  <c r="T359" i="9" s="1"/>
  <c r="P264" i="9"/>
  <c r="Q264" i="9" s="1"/>
  <c r="R264" i="9" s="1"/>
  <c r="T264" i="9" s="1"/>
  <c r="P286" i="9"/>
  <c r="Q286" i="9" s="1"/>
  <c r="R286" i="9" s="1"/>
  <c r="T286" i="9" s="1"/>
  <c r="P308" i="9"/>
  <c r="Q308" i="9" s="1"/>
  <c r="R308" i="9" s="1"/>
  <c r="T308" i="9" s="1"/>
  <c r="P362" i="9"/>
  <c r="Q362" i="9" s="1"/>
  <c r="R362" i="9" s="1"/>
  <c r="T362" i="9" s="1"/>
  <c r="C32" i="6" a="1"/>
  <c r="C32" i="6" s="1"/>
  <c r="D32" i="6" s="1" a="1"/>
  <c r="D32" i="6" s="1"/>
  <c r="C27" i="6" a="1"/>
  <c r="C27" i="6" s="1"/>
  <c r="D27" i="6" s="1" a="1"/>
  <c r="D27" i="6" s="1"/>
  <c r="C107" i="6" a="1"/>
  <c r="C107" i="6" s="1"/>
  <c r="D107" i="6" s="1" a="1"/>
  <c r="D107" i="6" s="1"/>
  <c r="C82" i="6" a="1"/>
  <c r="C82" i="6" s="1"/>
  <c r="D82" i="6" s="1" a="1"/>
  <c r="D82" i="6" s="1"/>
  <c r="C150" i="6" a="1"/>
  <c r="C150" i="6" s="1"/>
  <c r="D150" i="6" s="1" a="1"/>
  <c r="D150" i="6" s="1"/>
  <c r="C125" i="6" a="1"/>
  <c r="C125" i="6" s="1"/>
  <c r="D125" i="6" s="1" a="1"/>
  <c r="D125" i="6" s="1"/>
  <c r="C100" i="6" a="1"/>
  <c r="C100" i="6" s="1"/>
  <c r="D100" i="6" s="1" a="1"/>
  <c r="D100" i="6" s="1"/>
  <c r="C155" i="6" a="1"/>
  <c r="C155" i="6" s="1"/>
  <c r="D155" i="6" s="1" a="1"/>
  <c r="D155" i="6" s="1"/>
  <c r="C236" i="6" a="1"/>
  <c r="C236" i="6" s="1"/>
  <c r="D236" i="6" s="1" a="1"/>
  <c r="D236" i="6" s="1"/>
  <c r="C243" i="6" a="1"/>
  <c r="C243" i="6" s="1"/>
  <c r="D243" i="6" s="1" a="1"/>
  <c r="D243" i="6" s="1"/>
  <c r="C163" i="6" a="1"/>
  <c r="C163" i="6" s="1"/>
  <c r="D163" i="6" s="1" a="1"/>
  <c r="D163" i="6" s="1"/>
  <c r="C179" i="6" a="1"/>
  <c r="C179" i="6" s="1"/>
  <c r="D179" i="6" s="1" a="1"/>
  <c r="D179" i="6" s="1"/>
  <c r="C195" i="6" a="1"/>
  <c r="C195" i="6" s="1"/>
  <c r="D195" i="6" s="1" a="1"/>
  <c r="D195" i="6" s="1"/>
  <c r="C211" i="6" a="1"/>
  <c r="C211" i="6" s="1"/>
  <c r="D211" i="6" s="1" a="1"/>
  <c r="D211" i="6" s="1"/>
  <c r="C249" i="6" a="1"/>
  <c r="C249" i="6" s="1"/>
  <c r="D249" i="6" s="1" a="1"/>
  <c r="D249" i="6" s="1"/>
  <c r="C247" i="6" a="1"/>
  <c r="C247" i="6" s="1"/>
  <c r="D247" i="6" s="1" a="1"/>
  <c r="D247" i="6" s="1"/>
  <c r="C320" i="6" a="1"/>
  <c r="C320" i="6" s="1"/>
  <c r="D320" i="6" s="1" a="1"/>
  <c r="D320" i="6" s="1"/>
  <c r="C349" i="6" a="1"/>
  <c r="C349" i="6" s="1"/>
  <c r="D349" i="6" s="1" a="1"/>
  <c r="D349" i="6" s="1"/>
  <c r="C293" i="6" a="1"/>
  <c r="C293" i="6" s="1"/>
  <c r="D293" i="6" s="1" a="1"/>
  <c r="D293" i="6" s="1"/>
  <c r="C289" i="6" a="1"/>
  <c r="C289" i="6" s="1"/>
  <c r="D289" i="6" s="1" a="1"/>
  <c r="D289" i="6" s="1"/>
  <c r="C344" i="6" a="1"/>
  <c r="C344" i="6" s="1"/>
  <c r="D344" i="6" s="1" a="1"/>
  <c r="D344" i="6" s="1"/>
  <c r="V5" i="7"/>
  <c r="X5" i="7" s="1"/>
  <c r="Y5" i="7" s="1"/>
  <c r="V20" i="7"/>
  <c r="X20" i="7" s="1"/>
  <c r="Y20" i="7" s="1"/>
  <c r="V10" i="7"/>
  <c r="X10" i="7" s="1"/>
  <c r="Y10" i="7" s="1"/>
  <c r="V126" i="7"/>
  <c r="X126" i="7" s="1"/>
  <c r="Y126" i="7" s="1"/>
  <c r="V74" i="7"/>
  <c r="X74" i="7" s="1"/>
  <c r="Y74" i="7" s="1"/>
  <c r="V23" i="7"/>
  <c r="X23" i="7" s="1"/>
  <c r="Y23" i="7" s="1"/>
  <c r="V75" i="7"/>
  <c r="X75" i="7" s="1"/>
  <c r="Y75" i="7" s="1"/>
  <c r="V116" i="7"/>
  <c r="X116" i="7" s="1"/>
  <c r="Y116" i="7" s="1"/>
  <c r="V97" i="7"/>
  <c r="X97" i="7" s="1"/>
  <c r="Y97" i="7" s="1"/>
  <c r="V182" i="7"/>
  <c r="X182" i="7" s="1"/>
  <c r="Y182" i="7" s="1"/>
  <c r="V245" i="7"/>
  <c r="X245" i="7" s="1"/>
  <c r="Y245" i="7" s="1"/>
  <c r="V192" i="7"/>
  <c r="X192" i="7" s="1"/>
  <c r="Y192" i="7" s="1"/>
  <c r="V148" i="7"/>
  <c r="X148" i="7" s="1"/>
  <c r="Y148" i="7" s="1"/>
  <c r="V241" i="7"/>
  <c r="X241" i="7" s="1"/>
  <c r="Y241" i="7" s="1"/>
  <c r="V198" i="7"/>
  <c r="X198" i="7" s="1"/>
  <c r="Y198" i="7" s="1"/>
  <c r="V300" i="7"/>
  <c r="X300" i="7" s="1"/>
  <c r="Y300" i="7" s="1"/>
  <c r="V251" i="7"/>
  <c r="X251" i="7" s="1"/>
  <c r="Y251" i="7" s="1"/>
  <c r="V291" i="7"/>
  <c r="X291" i="7" s="1"/>
  <c r="Y291" i="7" s="1"/>
  <c r="V240" i="7"/>
  <c r="X240" i="7" s="1"/>
  <c r="Y240" i="7" s="1"/>
  <c r="V303" i="7"/>
  <c r="X303" i="7" s="1"/>
  <c r="Y303" i="7" s="1"/>
  <c r="V331" i="7"/>
  <c r="X331" i="7" s="1"/>
  <c r="Y331" i="7" s="1"/>
  <c r="V306" i="7"/>
  <c r="X306" i="7" s="1"/>
  <c r="Y306" i="7" s="1"/>
  <c r="V345" i="7"/>
  <c r="X345" i="7" s="1"/>
  <c r="Y345" i="7" s="1"/>
  <c r="C47" i="6" a="1"/>
  <c r="C47" i="6" s="1"/>
  <c r="D47" i="6" s="1" a="1"/>
  <c r="D47" i="6" s="1"/>
  <c r="C12" i="6" a="1"/>
  <c r="C12" i="6" s="1"/>
  <c r="D12" i="6" s="1" a="1"/>
  <c r="D12" i="6" s="1"/>
  <c r="P38" i="9"/>
  <c r="Q38" i="9" s="1"/>
  <c r="R38" i="9" s="1"/>
  <c r="T38" i="9" s="1"/>
  <c r="P99" i="9"/>
  <c r="Q99" i="9" s="1"/>
  <c r="R99" i="9" s="1"/>
  <c r="T99" i="9" s="1"/>
  <c r="P35" i="9"/>
  <c r="Q35" i="9" s="1"/>
  <c r="R35" i="9" s="1"/>
  <c r="T35" i="9" s="1"/>
  <c r="P42" i="9"/>
  <c r="Q42" i="9" s="1"/>
  <c r="R42" i="9" s="1"/>
  <c r="T42" i="9" s="1"/>
  <c r="P80" i="9"/>
  <c r="Q80" i="9" s="1"/>
  <c r="R80" i="9" s="1"/>
  <c r="T80" i="9" s="1"/>
  <c r="P123" i="9"/>
  <c r="Q123" i="9" s="1"/>
  <c r="R123" i="9" s="1"/>
  <c r="T123" i="9" s="1"/>
  <c r="P108" i="9"/>
  <c r="Q108" i="9" s="1"/>
  <c r="R108" i="9" s="1"/>
  <c r="T108" i="9" s="1"/>
  <c r="P170" i="9"/>
  <c r="Q170" i="9" s="1"/>
  <c r="R170" i="9" s="1"/>
  <c r="T170" i="9" s="1"/>
  <c r="P155" i="9"/>
  <c r="Q155" i="9" s="1"/>
  <c r="R155" i="9" s="1"/>
  <c r="T155" i="9" s="1"/>
  <c r="P126" i="9"/>
  <c r="Q126" i="9" s="1"/>
  <c r="R126" i="9" s="1"/>
  <c r="T126" i="9" s="1"/>
  <c r="P79" i="9"/>
  <c r="Q79" i="9" s="1"/>
  <c r="R79" i="9" s="1"/>
  <c r="T79" i="9" s="1"/>
  <c r="P251" i="9"/>
  <c r="Q251" i="9" s="1"/>
  <c r="R251" i="9" s="1"/>
  <c r="T251" i="9" s="1"/>
  <c r="P208" i="9"/>
  <c r="Q208" i="9" s="1"/>
  <c r="R208" i="9" s="1"/>
  <c r="T208" i="9" s="1"/>
  <c r="P145" i="9"/>
  <c r="Q145" i="9" s="1"/>
  <c r="R145" i="9" s="1"/>
  <c r="T145" i="9" s="1"/>
  <c r="P238" i="9"/>
  <c r="Q238" i="9" s="1"/>
  <c r="R238" i="9" s="1"/>
  <c r="T238" i="9" s="1"/>
  <c r="P221" i="9"/>
  <c r="Q221" i="9" s="1"/>
  <c r="R221" i="9" s="1"/>
  <c r="T221" i="9" s="1"/>
  <c r="P227" i="9"/>
  <c r="Q227" i="9" s="1"/>
  <c r="R227" i="9" s="1"/>
  <c r="T227" i="9" s="1"/>
  <c r="P289" i="9"/>
  <c r="Q289" i="9" s="1"/>
  <c r="R289" i="9" s="1"/>
  <c r="T289" i="9" s="1"/>
  <c r="P274" i="9"/>
  <c r="Q274" i="9" s="1"/>
  <c r="R274" i="9" s="1"/>
  <c r="T274" i="9" s="1"/>
  <c r="P280" i="9"/>
  <c r="Q280" i="9" s="1"/>
  <c r="R280" i="9" s="1"/>
  <c r="T280" i="9" s="1"/>
  <c r="P302" i="9"/>
  <c r="Q302" i="9" s="1"/>
  <c r="R302" i="9" s="1"/>
  <c r="T302" i="9" s="1"/>
  <c r="P324" i="9"/>
  <c r="Q324" i="9" s="1"/>
  <c r="R324" i="9" s="1"/>
  <c r="T324" i="9" s="1"/>
  <c r="P261" i="9"/>
  <c r="Q261" i="9" s="1"/>
  <c r="R261" i="9" s="1"/>
  <c r="T261" i="9" s="1"/>
  <c r="J372" i="9"/>
  <c r="C29" i="6" a="1"/>
  <c r="C29" i="6" s="1"/>
  <c r="D29" i="6" s="1" a="1"/>
  <c r="D29" i="6" s="1"/>
  <c r="C23" i="6" a="1"/>
  <c r="C23" i="6" s="1"/>
  <c r="D23" i="6" s="1" a="1"/>
  <c r="D23" i="6" s="1"/>
  <c r="C111" i="6" a="1"/>
  <c r="C111" i="6" s="1"/>
  <c r="D111" i="6" s="1" a="1"/>
  <c r="D111" i="6" s="1"/>
  <c r="C98" i="6" a="1"/>
  <c r="C98" i="6" s="1"/>
  <c r="D98" i="6" s="1" a="1"/>
  <c r="D98" i="6" s="1"/>
  <c r="C76" i="6" a="1"/>
  <c r="C76" i="6" s="1"/>
  <c r="D76" i="6" s="1" a="1"/>
  <c r="D76" i="6" s="1"/>
  <c r="C129" i="6" a="1"/>
  <c r="C129" i="6" s="1"/>
  <c r="D129" i="6" s="1" a="1"/>
  <c r="D129" i="6" s="1"/>
  <c r="C104" i="6" a="1"/>
  <c r="C104" i="6" s="1"/>
  <c r="D104" i="6" s="1" a="1"/>
  <c r="D104" i="6" s="1"/>
  <c r="C73" i="6" a="1"/>
  <c r="C73" i="6" s="1"/>
  <c r="D73" i="6" s="1" a="1"/>
  <c r="D73" i="6" s="1"/>
  <c r="C265" i="6" a="1"/>
  <c r="C265" i="6" s="1"/>
  <c r="D265" i="6" s="1" a="1"/>
  <c r="D265" i="6" s="1"/>
  <c r="C251" i="6" a="1"/>
  <c r="C251" i="6" s="1"/>
  <c r="D251" i="6" s="1" a="1"/>
  <c r="D251" i="6" s="1"/>
  <c r="C164" i="6" a="1"/>
  <c r="C164" i="6" s="1"/>
  <c r="D164" i="6" s="1" a="1"/>
  <c r="D164" i="6" s="1"/>
  <c r="C180" i="6" a="1"/>
  <c r="C180" i="6" s="1"/>
  <c r="D180" i="6" s="1" a="1"/>
  <c r="D180" i="6" s="1"/>
  <c r="C196" i="6" a="1"/>
  <c r="C196" i="6" s="1"/>
  <c r="D196" i="6" s="1" a="1"/>
  <c r="D196" i="6" s="1"/>
  <c r="C212" i="6" a="1"/>
  <c r="C212" i="6" s="1"/>
  <c r="D212" i="6" s="1" a="1"/>
  <c r="D212" i="6" s="1"/>
  <c r="C257" i="6" a="1"/>
  <c r="C257" i="6" s="1"/>
  <c r="D257" i="6" s="1" a="1"/>
  <c r="D257" i="6" s="1"/>
  <c r="C255" i="6" a="1"/>
  <c r="C255" i="6" s="1"/>
  <c r="D255" i="6" s="1" a="1"/>
  <c r="D255" i="6" s="1"/>
  <c r="C335" i="6" a="1"/>
  <c r="C335" i="6" s="1"/>
  <c r="D335" i="6" s="1" a="1"/>
  <c r="D335" i="6" s="1"/>
  <c r="C313" i="6" a="1"/>
  <c r="C313" i="6" s="1"/>
  <c r="D313" i="6" s="1" a="1"/>
  <c r="D313" i="6" s="1"/>
  <c r="C309" i="6" a="1"/>
  <c r="C309" i="6" s="1"/>
  <c r="D309" i="6" s="1" a="1"/>
  <c r="D309" i="6" s="1"/>
  <c r="C305" i="6" a="1"/>
  <c r="C305" i="6" s="1"/>
  <c r="D305" i="6" s="1" a="1"/>
  <c r="D305" i="6" s="1"/>
  <c r="C360" i="6" a="1"/>
  <c r="C360" i="6" s="1"/>
  <c r="D360" i="6" s="1" a="1"/>
  <c r="D360" i="6" s="1"/>
  <c r="V13" i="7"/>
  <c r="X13" i="7" s="1"/>
  <c r="Y13" i="7" s="1"/>
  <c r="V52" i="7"/>
  <c r="X52" i="7" s="1"/>
  <c r="Y52" i="7" s="1"/>
  <c r="V111" i="7"/>
  <c r="X111" i="7" s="1"/>
  <c r="Y111" i="7" s="1"/>
  <c r="V131" i="7"/>
  <c r="X131" i="7" s="1"/>
  <c r="Y131" i="7" s="1"/>
  <c r="V77" i="7"/>
  <c r="X77" i="7" s="1"/>
  <c r="Y77" i="7" s="1"/>
  <c r="V25" i="7"/>
  <c r="X25" i="7" s="1"/>
  <c r="Y25" i="7" s="1"/>
  <c r="V80" i="7"/>
  <c r="X80" i="7" s="1"/>
  <c r="Y80" i="7" s="1"/>
  <c r="V38" i="7"/>
  <c r="X38" i="7" s="1"/>
  <c r="Y38" i="7" s="1"/>
  <c r="V102" i="7"/>
  <c r="X102" i="7" s="1"/>
  <c r="Y102" i="7" s="1"/>
  <c r="V189" i="7"/>
  <c r="X189" i="7" s="1"/>
  <c r="Y189" i="7" s="1"/>
  <c r="V218" i="7"/>
  <c r="X218" i="7" s="1"/>
  <c r="Y218" i="7" s="1"/>
  <c r="V197" i="7"/>
  <c r="X197" i="7" s="1"/>
  <c r="Y197" i="7" s="1"/>
  <c r="V150" i="7"/>
  <c r="X150" i="7" s="1"/>
  <c r="Y150" i="7" s="1"/>
  <c r="V163" i="7"/>
  <c r="X163" i="7" s="1"/>
  <c r="Y163" i="7" s="1"/>
  <c r="V206" i="7"/>
  <c r="X206" i="7" s="1"/>
  <c r="Y206" i="7" s="1"/>
  <c r="V304" i="7"/>
  <c r="X304" i="7" s="1"/>
  <c r="Y304" i="7" s="1"/>
  <c r="V253" i="7"/>
  <c r="X253" i="7" s="1"/>
  <c r="Y253" i="7" s="1"/>
  <c r="V298" i="7"/>
  <c r="X298" i="7" s="1"/>
  <c r="Y298" i="7" s="1"/>
  <c r="V242" i="7"/>
  <c r="X242" i="7" s="1"/>
  <c r="Y242" i="7" s="1"/>
  <c r="V313" i="7"/>
  <c r="X313" i="7" s="1"/>
  <c r="Y313" i="7" s="1"/>
  <c r="V338" i="7"/>
  <c r="X338" i="7" s="1"/>
  <c r="Y338" i="7" s="1"/>
  <c r="V308" i="7"/>
  <c r="X308" i="7" s="1"/>
  <c r="Y308" i="7" s="1"/>
  <c r="V347" i="7"/>
  <c r="X347" i="7" s="1"/>
  <c r="Y347" i="7" s="1"/>
  <c r="C18" i="6" a="1"/>
  <c r="C18" i="6" s="1"/>
  <c r="D18" i="6" s="1" a="1"/>
  <c r="D18" i="6" s="1"/>
  <c r="P50" i="9"/>
  <c r="Q50" i="9" s="1"/>
  <c r="R50" i="9" s="1"/>
  <c r="T50" i="9" s="1"/>
  <c r="P18" i="9"/>
  <c r="Q18" i="9" s="1"/>
  <c r="R18" i="9" s="1"/>
  <c r="T18" i="9" s="1"/>
  <c r="P64" i="9"/>
  <c r="Q64" i="9" s="1"/>
  <c r="R64" i="9" s="1"/>
  <c r="T64" i="9" s="1"/>
  <c r="P69" i="9"/>
  <c r="Q69" i="9" s="1"/>
  <c r="R69" i="9" s="1"/>
  <c r="T69" i="9" s="1"/>
  <c r="P106" i="9"/>
  <c r="Q106" i="9" s="1"/>
  <c r="R106" i="9" s="1"/>
  <c r="T106" i="9" s="1"/>
  <c r="P139" i="9"/>
  <c r="Q139" i="9" s="1"/>
  <c r="R139" i="9" s="1"/>
  <c r="T139" i="9" s="1"/>
  <c r="P124" i="9"/>
  <c r="Q124" i="9" s="1"/>
  <c r="R124" i="9" s="1"/>
  <c r="T124" i="9" s="1"/>
  <c r="P188" i="9"/>
  <c r="Q188" i="9" s="1"/>
  <c r="R188" i="9" s="1"/>
  <c r="T188" i="9" s="1"/>
  <c r="P167" i="9"/>
  <c r="Q167" i="9" s="1"/>
  <c r="R167" i="9" s="1"/>
  <c r="T167" i="9" s="1"/>
  <c r="P207" i="9"/>
  <c r="Q207" i="9" s="1"/>
  <c r="R207" i="9" s="1"/>
  <c r="T207" i="9" s="1"/>
  <c r="P95" i="9"/>
  <c r="Q95" i="9" s="1"/>
  <c r="R95" i="9" s="1"/>
  <c r="T95" i="9" s="1"/>
  <c r="P252" i="9"/>
  <c r="Q252" i="9" s="1"/>
  <c r="R252" i="9" s="1"/>
  <c r="T252" i="9" s="1"/>
  <c r="P224" i="9"/>
  <c r="Q224" i="9" s="1"/>
  <c r="R224" i="9" s="1"/>
  <c r="T224" i="9" s="1"/>
  <c r="P161" i="9"/>
  <c r="Q161" i="9" s="1"/>
  <c r="R161" i="9" s="1"/>
  <c r="T161" i="9" s="1"/>
  <c r="P255" i="9"/>
  <c r="Q255" i="9" s="1"/>
  <c r="R255" i="9" s="1"/>
  <c r="T255" i="9" s="1"/>
  <c r="P239" i="9"/>
  <c r="Q239" i="9" s="1"/>
  <c r="R239" i="9" s="1"/>
  <c r="T239" i="9" s="1"/>
  <c r="P250" i="9"/>
  <c r="Q250" i="9" s="1"/>
  <c r="R250" i="9" s="1"/>
  <c r="T250" i="9" s="1"/>
  <c r="P305" i="9"/>
  <c r="Q305" i="9" s="1"/>
  <c r="R305" i="9" s="1"/>
  <c r="T305" i="9" s="1"/>
  <c r="P290" i="9"/>
  <c r="Q290" i="9" s="1"/>
  <c r="R290" i="9" s="1"/>
  <c r="T290" i="9" s="1"/>
  <c r="P296" i="9"/>
  <c r="Q296" i="9" s="1"/>
  <c r="R296" i="9" s="1"/>
  <c r="T296" i="9" s="1"/>
  <c r="P318" i="9"/>
  <c r="Q318" i="9" s="1"/>
  <c r="R318" i="9" s="1"/>
  <c r="T318" i="9" s="1"/>
  <c r="P340" i="9"/>
  <c r="Q340" i="9" s="1"/>
  <c r="R340" i="9" s="1"/>
  <c r="T340" i="9" s="1"/>
  <c r="P277" i="9"/>
  <c r="Q277" i="9" s="1"/>
  <c r="R277" i="9" s="1"/>
  <c r="T277" i="9" s="1"/>
  <c r="C165" i="6" a="1"/>
  <c r="C165" i="6" s="1"/>
  <c r="D165" i="6" s="1" a="1"/>
  <c r="D165" i="6" s="1"/>
  <c r="C181" i="6" a="1"/>
  <c r="C181" i="6" s="1"/>
  <c r="D181" i="6" s="1" a="1"/>
  <c r="D181" i="6" s="1"/>
  <c r="C197" i="6" a="1"/>
  <c r="C197" i="6" s="1"/>
  <c r="D197" i="6" s="1" a="1"/>
  <c r="D197" i="6" s="1"/>
  <c r="C213" i="6" a="1"/>
  <c r="C213" i="6" s="1"/>
  <c r="D213" i="6" s="1" a="1"/>
  <c r="D213" i="6" s="1"/>
  <c r="C228" i="6" a="1"/>
  <c r="C228" i="6" s="1"/>
  <c r="D228" i="6" s="1" a="1"/>
  <c r="D228" i="6" s="1"/>
  <c r="C224" i="6" a="1"/>
  <c r="C224" i="6" s="1"/>
  <c r="D224" i="6" s="1" a="1"/>
  <c r="D224" i="6" s="1"/>
  <c r="C319" i="6" a="1"/>
  <c r="C319" i="6" s="1"/>
  <c r="D319" i="6" s="1" a="1"/>
  <c r="D319" i="6" s="1"/>
  <c r="C329" i="6" a="1"/>
  <c r="C329" i="6" s="1"/>
  <c r="D329" i="6" s="1" a="1"/>
  <c r="D329" i="6" s="1"/>
  <c r="C325" i="6" a="1"/>
  <c r="C325" i="6" s="1"/>
  <c r="D325" i="6" s="1" a="1"/>
  <c r="D325" i="6" s="1"/>
  <c r="C321" i="6" a="1"/>
  <c r="C321" i="6" s="1"/>
  <c r="D321" i="6" s="1" a="1"/>
  <c r="D321" i="6" s="1"/>
  <c r="C343" i="6" a="1"/>
  <c r="C343" i="6" s="1"/>
  <c r="D343" i="6" s="1" a="1"/>
  <c r="D343" i="6" s="1"/>
  <c r="V16" i="7"/>
  <c r="X16" i="7" s="1"/>
  <c r="Y16" i="7" s="1"/>
  <c r="V9" i="7"/>
  <c r="X9" i="7" s="1"/>
  <c r="Y9" i="7" s="1"/>
  <c r="V117" i="7"/>
  <c r="X117" i="7" s="1"/>
  <c r="Y117" i="7" s="1"/>
  <c r="V139" i="7"/>
  <c r="X139" i="7" s="1"/>
  <c r="Y139" i="7" s="1"/>
  <c r="V82" i="7"/>
  <c r="X82" i="7" s="1"/>
  <c r="Y82" i="7" s="1"/>
  <c r="V27" i="7"/>
  <c r="X27" i="7" s="1"/>
  <c r="Y27" i="7" s="1"/>
  <c r="V83" i="7"/>
  <c r="X83" i="7" s="1"/>
  <c r="Y83" i="7" s="1"/>
  <c r="V41" i="7"/>
  <c r="X41" i="7" s="1"/>
  <c r="Y41" i="7" s="1"/>
  <c r="V105" i="7"/>
  <c r="X105" i="7" s="1"/>
  <c r="Y105" i="7" s="1"/>
  <c r="V196" i="7"/>
  <c r="X196" i="7" s="1"/>
  <c r="Y196" i="7" s="1"/>
  <c r="V232" i="7"/>
  <c r="X232" i="7" s="1"/>
  <c r="Y232" i="7" s="1"/>
  <c r="V205" i="7"/>
  <c r="X205" i="7" s="1"/>
  <c r="Y205" i="7" s="1"/>
  <c r="V152" i="7"/>
  <c r="X152" i="7" s="1"/>
  <c r="Y152" i="7" s="1"/>
  <c r="V172" i="7"/>
  <c r="X172" i="7" s="1"/>
  <c r="Y172" i="7" s="1"/>
  <c r="V214" i="7"/>
  <c r="X214" i="7" s="1"/>
  <c r="Y214" i="7" s="1"/>
  <c r="V325" i="7"/>
  <c r="X325" i="7" s="1"/>
  <c r="Y325" i="7" s="1"/>
  <c r="V262" i="7"/>
  <c r="X262" i="7" s="1"/>
  <c r="Y262" i="7" s="1"/>
  <c r="V302" i="7"/>
  <c r="X302" i="7" s="1"/>
  <c r="Y302" i="7" s="1"/>
  <c r="V244" i="7"/>
  <c r="X244" i="7" s="1"/>
  <c r="Y244" i="7" s="1"/>
  <c r="V333" i="7"/>
  <c r="X333" i="7" s="1"/>
  <c r="Y333" i="7" s="1"/>
  <c r="V360" i="7"/>
  <c r="X360" i="7" s="1"/>
  <c r="Y360" i="7" s="1"/>
  <c r="V310" i="7"/>
  <c r="X310" i="7" s="1"/>
  <c r="Y310" i="7" s="1"/>
  <c r="V349" i="7"/>
  <c r="X349" i="7" s="1"/>
  <c r="Y349" i="7" s="1"/>
  <c r="C50" i="6" a="1"/>
  <c r="C50" i="6" s="1"/>
  <c r="D50" i="6" s="1" a="1"/>
  <c r="D50" i="6" s="1"/>
  <c r="C6" i="6" a="1"/>
  <c r="C6" i="6" s="1"/>
  <c r="D6" i="6" s="1" a="1"/>
  <c r="D6" i="6" s="1"/>
  <c r="C16" i="6" a="1"/>
  <c r="C16" i="6" s="1"/>
  <c r="D16" i="6" s="1" a="1"/>
  <c r="D16" i="6" s="1"/>
  <c r="P17" i="9"/>
  <c r="Q17" i="9" s="1"/>
  <c r="R17" i="9" s="1"/>
  <c r="T17" i="9" s="1"/>
  <c r="P34" i="9"/>
  <c r="Q34" i="9" s="1"/>
  <c r="R34" i="9" s="1"/>
  <c r="T34" i="9" s="1"/>
  <c r="P14" i="9"/>
  <c r="Q14" i="9" s="1"/>
  <c r="R14" i="9" s="1"/>
  <c r="T14" i="9" s="1"/>
  <c r="P5" i="9"/>
  <c r="Q5" i="9" s="1"/>
  <c r="R5" i="9" s="1"/>
  <c r="T5" i="9" s="1"/>
  <c r="P122" i="9"/>
  <c r="Q122" i="9" s="1"/>
  <c r="R122" i="9" s="1"/>
  <c r="T122" i="9" s="1"/>
  <c r="P180" i="9"/>
  <c r="Q180" i="9" s="1"/>
  <c r="R180" i="9" s="1"/>
  <c r="T180" i="9" s="1"/>
  <c r="P140" i="9"/>
  <c r="Q140" i="9" s="1"/>
  <c r="R140" i="9" s="1"/>
  <c r="T140" i="9" s="1"/>
  <c r="P66" i="9"/>
  <c r="Q66" i="9" s="1"/>
  <c r="R66" i="9" s="1"/>
  <c r="T66" i="9" s="1"/>
  <c r="P56" i="9"/>
  <c r="Q56" i="9" s="1"/>
  <c r="R56" i="9" s="1"/>
  <c r="T56" i="9" s="1"/>
  <c r="P73" i="9"/>
  <c r="Q73" i="9" s="1"/>
  <c r="R73" i="9" s="1"/>
  <c r="T73" i="9" s="1"/>
  <c r="P111" i="9"/>
  <c r="Q111" i="9" s="1"/>
  <c r="R111" i="9" s="1"/>
  <c r="T111" i="9" s="1"/>
  <c r="P315" i="9"/>
  <c r="Q315" i="9" s="1"/>
  <c r="R315" i="9" s="1"/>
  <c r="T315" i="9" s="1"/>
  <c r="P244" i="9"/>
  <c r="Q244" i="9" s="1"/>
  <c r="R244" i="9" s="1"/>
  <c r="T244" i="9" s="1"/>
  <c r="P177" i="9"/>
  <c r="Q177" i="9" s="1"/>
  <c r="R177" i="9" s="1"/>
  <c r="T177" i="9" s="1"/>
  <c r="P284" i="9"/>
  <c r="Q284" i="9" s="1"/>
  <c r="R284" i="9" s="1"/>
  <c r="T284" i="9" s="1"/>
  <c r="P256" i="9"/>
  <c r="Q256" i="9" s="1"/>
  <c r="R256" i="9" s="1"/>
  <c r="T256" i="9" s="1"/>
  <c r="P283" i="9"/>
  <c r="Q283" i="9" s="1"/>
  <c r="R283" i="9" s="1"/>
  <c r="T283" i="9" s="1"/>
  <c r="P321" i="9"/>
  <c r="Q321" i="9" s="1"/>
  <c r="R321" i="9" s="1"/>
  <c r="T321" i="9" s="1"/>
  <c r="P306" i="9"/>
  <c r="Q306" i="9" s="1"/>
  <c r="R306" i="9" s="1"/>
  <c r="T306" i="9" s="1"/>
  <c r="P312" i="9"/>
  <c r="Q312" i="9" s="1"/>
  <c r="R312" i="9" s="1"/>
  <c r="T312" i="9" s="1"/>
  <c r="P334" i="9"/>
  <c r="Q334" i="9" s="1"/>
  <c r="R334" i="9" s="1"/>
  <c r="T334" i="9" s="1"/>
  <c r="P356" i="9"/>
  <c r="Q356" i="9" s="1"/>
  <c r="R356" i="9" s="1"/>
  <c r="T356" i="9" s="1"/>
  <c r="P293" i="9"/>
  <c r="Q293" i="9" s="1"/>
  <c r="R293" i="9" s="1"/>
  <c r="T293" i="9" s="1"/>
  <c r="C30" i="6" a="1"/>
  <c r="C30" i="6" s="1"/>
  <c r="D30" i="6" s="1" a="1"/>
  <c r="D30" i="6" s="1"/>
  <c r="C65" i="6" a="1"/>
  <c r="C65" i="6" s="1"/>
  <c r="D65" i="6" s="1" a="1"/>
  <c r="D65" i="6" s="1"/>
  <c r="C119" i="6" a="1"/>
  <c r="C119" i="6" s="1"/>
  <c r="D119" i="6" s="1" a="1"/>
  <c r="D119" i="6" s="1"/>
  <c r="C87" i="6" a="1"/>
  <c r="C87" i="6" s="1"/>
  <c r="D87" i="6" s="1" a="1"/>
  <c r="D87" i="6" s="1"/>
  <c r="C81" i="6" a="1"/>
  <c r="C81" i="6" s="1"/>
  <c r="D81" i="6" s="1" a="1"/>
  <c r="D81" i="6" s="1"/>
  <c r="C137" i="6" a="1"/>
  <c r="C137" i="6" s="1"/>
  <c r="D137" i="6" s="1" a="1"/>
  <c r="D137" i="6" s="1"/>
  <c r="C112" i="6" a="1"/>
  <c r="C112" i="6" s="1"/>
  <c r="D112" i="6" s="1" a="1"/>
  <c r="D112" i="6" s="1"/>
  <c r="C78" i="6" a="1"/>
  <c r="C78" i="6" s="1"/>
  <c r="D78" i="6" s="1" a="1"/>
  <c r="D78" i="6" s="1"/>
  <c r="C273" i="6" a="1"/>
  <c r="C273" i="6" s="1"/>
  <c r="D273" i="6" s="1" a="1"/>
  <c r="D273" i="6" s="1"/>
  <c r="C216" i="6" a="1"/>
  <c r="C216" i="6" s="1"/>
  <c r="D216" i="6" s="1" a="1"/>
  <c r="D216" i="6" s="1"/>
  <c r="C166" i="6" a="1"/>
  <c r="C166" i="6" s="1"/>
  <c r="D166" i="6" s="1" a="1"/>
  <c r="D166" i="6" s="1"/>
  <c r="C182" i="6" a="1"/>
  <c r="C182" i="6" s="1"/>
  <c r="D182" i="6" s="1" a="1"/>
  <c r="D182" i="6" s="1"/>
  <c r="C198" i="6" a="1"/>
  <c r="C198" i="6" s="1"/>
  <c r="D198" i="6" s="1" a="1"/>
  <c r="D198" i="6" s="1"/>
  <c r="C214" i="6" a="1"/>
  <c r="C214" i="6" s="1"/>
  <c r="D214" i="6" s="1" a="1"/>
  <c r="D214" i="6" s="1"/>
  <c r="C267" i="6" a="1"/>
  <c r="C267" i="6" s="1"/>
  <c r="D267" i="6" s="1" a="1"/>
  <c r="D267" i="6" s="1"/>
  <c r="C261" i="6" a="1"/>
  <c r="C261" i="6" s="1"/>
  <c r="D261" i="6" s="1" a="1"/>
  <c r="D261" i="6" s="1"/>
  <c r="C350" i="6" a="1"/>
  <c r="C350" i="6" s="1"/>
  <c r="D350" i="6" s="1" a="1"/>
  <c r="D350" i="6" s="1"/>
  <c r="C338" i="6" a="1"/>
  <c r="C338" i="6" s="1"/>
  <c r="D338" i="6" s="1" a="1"/>
  <c r="D338" i="6" s="1"/>
  <c r="C337" i="6" a="1"/>
  <c r="C337" i="6" s="1"/>
  <c r="D337" i="6" s="1" a="1"/>
  <c r="D337" i="6" s="1"/>
  <c r="C356" i="6" a="1"/>
  <c r="C356" i="6" s="1"/>
  <c r="D356" i="6" s="1" a="1"/>
  <c r="D356" i="6" s="1"/>
  <c r="C359" i="6" a="1"/>
  <c r="C359" i="6" s="1"/>
  <c r="D359" i="6" s="1" a="1"/>
  <c r="D359" i="6" s="1"/>
  <c r="V44" i="7"/>
  <c r="X44" i="7" s="1"/>
  <c r="Y44" i="7" s="1"/>
  <c r="V30" i="7"/>
  <c r="X30" i="7" s="1"/>
  <c r="Y30" i="7" s="1"/>
  <c r="V108" i="7"/>
  <c r="X108" i="7" s="1"/>
  <c r="Y108" i="7" s="1"/>
  <c r="V120" i="7"/>
  <c r="X120" i="7" s="1"/>
  <c r="Y120" i="7" s="1"/>
  <c r="V85" i="7"/>
  <c r="X85" i="7" s="1"/>
  <c r="Y85" i="7" s="1"/>
  <c r="V29" i="7"/>
  <c r="X29" i="7" s="1"/>
  <c r="Y29" i="7" s="1"/>
  <c r="V88" i="7"/>
  <c r="X88" i="7" s="1"/>
  <c r="Y88" i="7" s="1"/>
  <c r="V46" i="7"/>
  <c r="X46" i="7" s="1"/>
  <c r="Y46" i="7" s="1"/>
  <c r="V122" i="7"/>
  <c r="X122" i="7" s="1"/>
  <c r="Y122" i="7" s="1"/>
  <c r="V204" i="7"/>
  <c r="X204" i="7" s="1"/>
  <c r="Y204" i="7" s="1"/>
  <c r="V162" i="7"/>
  <c r="X162" i="7" s="1"/>
  <c r="Y162" i="7" s="1"/>
  <c r="V213" i="7"/>
  <c r="X213" i="7" s="1"/>
  <c r="Y213" i="7" s="1"/>
  <c r="V154" i="7"/>
  <c r="X154" i="7" s="1"/>
  <c r="Y154" i="7" s="1"/>
  <c r="V179" i="7"/>
  <c r="X179" i="7" s="1"/>
  <c r="Y179" i="7" s="1"/>
  <c r="V234" i="7"/>
  <c r="X234" i="7" s="1"/>
  <c r="Y234" i="7" s="1"/>
  <c r="V258" i="7"/>
  <c r="X258" i="7" s="1"/>
  <c r="Y258" i="7" s="1"/>
  <c r="V265" i="7"/>
  <c r="X265" i="7" s="1"/>
  <c r="Y265" i="7" s="1"/>
  <c r="V311" i="7"/>
  <c r="X311" i="7" s="1"/>
  <c r="Y311" i="7" s="1"/>
  <c r="V246" i="7"/>
  <c r="X246" i="7" s="1"/>
  <c r="Y246" i="7" s="1"/>
  <c r="V337" i="7"/>
  <c r="X337" i="7" s="1"/>
  <c r="Y337" i="7" s="1"/>
  <c r="V346" i="7"/>
  <c r="X346" i="7" s="1"/>
  <c r="Y346" i="7" s="1"/>
  <c r="V312" i="7"/>
  <c r="X312" i="7" s="1"/>
  <c r="Y312" i="7" s="1"/>
  <c r="V351" i="7"/>
  <c r="X351" i="7" s="1"/>
  <c r="Y351" i="7" s="1"/>
  <c r="C39" i="6" a="1"/>
  <c r="C39" i="6" s="1"/>
  <c r="D39" i="6" s="1" a="1"/>
  <c r="D39" i="6" s="1"/>
  <c r="P33" i="9"/>
  <c r="Q33" i="9" s="1"/>
  <c r="R33" i="9" s="1"/>
  <c r="T33" i="9" s="1"/>
  <c r="P53" i="9"/>
  <c r="Q53" i="9" s="1"/>
  <c r="R53" i="9" s="1"/>
  <c r="T53" i="9" s="1"/>
  <c r="P30" i="9"/>
  <c r="Q30" i="9" s="1"/>
  <c r="R30" i="9" s="1"/>
  <c r="T30" i="9" s="1"/>
  <c r="P21" i="9"/>
  <c r="Q21" i="9" s="1"/>
  <c r="R21" i="9" s="1"/>
  <c r="T21" i="9" s="1"/>
  <c r="P138" i="9"/>
  <c r="Q138" i="9" s="1"/>
  <c r="R138" i="9" s="1"/>
  <c r="T138" i="9" s="1"/>
  <c r="P185" i="9"/>
  <c r="Q185" i="9" s="1"/>
  <c r="R185" i="9" s="1"/>
  <c r="T185" i="9" s="1"/>
  <c r="P142" i="9"/>
  <c r="Q142" i="9" s="1"/>
  <c r="R142" i="9" s="1"/>
  <c r="T142" i="9" s="1"/>
  <c r="P82" i="9"/>
  <c r="Q82" i="9" s="1"/>
  <c r="R82" i="9" s="1"/>
  <c r="T82" i="9" s="1"/>
  <c r="P72" i="9"/>
  <c r="Q72" i="9" s="1"/>
  <c r="R72" i="9" s="1"/>
  <c r="T72" i="9" s="1"/>
  <c r="P89" i="9"/>
  <c r="Q89" i="9" s="1"/>
  <c r="R89" i="9" s="1"/>
  <c r="T89" i="9" s="1"/>
  <c r="P127" i="9"/>
  <c r="Q127" i="9" s="1"/>
  <c r="R127" i="9" s="1"/>
  <c r="T127" i="9" s="1"/>
  <c r="P223" i="9"/>
  <c r="Q223" i="9" s="1"/>
  <c r="R223" i="9" s="1"/>
  <c r="T223" i="9" s="1"/>
  <c r="P260" i="9"/>
  <c r="Q260" i="9" s="1"/>
  <c r="R260" i="9" s="1"/>
  <c r="T260" i="9" s="1"/>
  <c r="P193" i="9"/>
  <c r="Q193" i="9" s="1"/>
  <c r="R193" i="9" s="1"/>
  <c r="T193" i="9" s="1"/>
  <c r="P146" i="9"/>
  <c r="Q146" i="9" s="1"/>
  <c r="R146" i="9" s="1"/>
  <c r="T146" i="9" s="1"/>
  <c r="P152" i="9"/>
  <c r="Q152" i="9" s="1"/>
  <c r="R152" i="9" s="1"/>
  <c r="T152" i="9" s="1"/>
  <c r="P363" i="9"/>
  <c r="Q363" i="9" s="1"/>
  <c r="R363" i="9" s="1"/>
  <c r="T363" i="9" s="1"/>
  <c r="P337" i="9"/>
  <c r="Q337" i="9" s="1"/>
  <c r="R337" i="9" s="1"/>
  <c r="T337" i="9" s="1"/>
  <c r="P322" i="9"/>
  <c r="Q322" i="9" s="1"/>
  <c r="R322" i="9" s="1"/>
  <c r="T322" i="9" s="1"/>
  <c r="P328" i="9"/>
  <c r="Q328" i="9" s="1"/>
  <c r="R328" i="9" s="1"/>
  <c r="T328" i="9" s="1"/>
  <c r="P350" i="9"/>
  <c r="Q350" i="9" s="1"/>
  <c r="R350" i="9" s="1"/>
  <c r="T350" i="9" s="1"/>
  <c r="P271" i="9"/>
  <c r="Q271" i="9" s="1"/>
  <c r="R271" i="9" s="1"/>
  <c r="T271" i="9" s="1"/>
  <c r="P309" i="9"/>
  <c r="Q309" i="9" s="1"/>
  <c r="R309" i="9" s="1"/>
  <c r="T309" i="9" s="1"/>
  <c r="C64" i="6" a="1"/>
  <c r="C64" i="6" s="1"/>
  <c r="D64" i="6" s="1" a="1"/>
  <c r="D64" i="6" s="1"/>
  <c r="C59" i="6" a="1"/>
  <c r="C59" i="6" s="1"/>
  <c r="D59" i="6" s="1" a="1"/>
  <c r="D59" i="6" s="1"/>
  <c r="F13" i="1"/>
  <c r="E13" i="1"/>
  <c r="D13" i="1"/>
  <c r="C13" i="1"/>
  <c r="C62" i="6" a="1"/>
  <c r="C62" i="6" s="1"/>
  <c r="D62" i="6" s="1" a="1"/>
  <c r="D62" i="6" s="1"/>
  <c r="C17" i="6" a="1"/>
  <c r="C17" i="6" s="1"/>
  <c r="D17" i="6" s="1" a="1"/>
  <c r="D17" i="6" s="1"/>
  <c r="C123" i="6" a="1"/>
  <c r="C123" i="6" s="1"/>
  <c r="D123" i="6" s="1" a="1"/>
  <c r="D123" i="6" s="1"/>
  <c r="C102" i="6" a="1"/>
  <c r="C102" i="6" s="1"/>
  <c r="D102" i="6" s="1" a="1"/>
  <c r="D102" i="6" s="1"/>
  <c r="C97" i="6" a="1"/>
  <c r="C97" i="6" s="1"/>
  <c r="D97" i="6" s="1" a="1"/>
  <c r="D97" i="6" s="1"/>
  <c r="C141" i="6" a="1"/>
  <c r="C141" i="6" s="1"/>
  <c r="D141" i="6" s="1" a="1"/>
  <c r="D141" i="6" s="1"/>
  <c r="C116" i="6" a="1"/>
  <c r="C116" i="6" s="1"/>
  <c r="D116" i="6" s="1" a="1"/>
  <c r="D116" i="6" s="1"/>
  <c r="C94" i="6" a="1"/>
  <c r="C94" i="6" s="1"/>
  <c r="D94" i="6" s="1" a="1"/>
  <c r="D94" i="6" s="1"/>
  <c r="C277" i="6" a="1"/>
  <c r="C277" i="6" s="1"/>
  <c r="D277" i="6" s="1" a="1"/>
  <c r="D277" i="6" s="1"/>
  <c r="C232" i="6" a="1"/>
  <c r="C232" i="6" s="1"/>
  <c r="D232" i="6" s="1" a="1"/>
  <c r="D232" i="6" s="1"/>
  <c r="C167" i="6" a="1"/>
  <c r="C167" i="6" s="1"/>
  <c r="D167" i="6" s="1" a="1"/>
  <c r="D167" i="6" s="1"/>
  <c r="C183" i="6" a="1"/>
  <c r="C183" i="6" s="1"/>
  <c r="D183" i="6" s="1" a="1"/>
  <c r="D183" i="6" s="1"/>
  <c r="C199" i="6" a="1"/>
  <c r="C199" i="6" s="1"/>
  <c r="D199" i="6" s="1" a="1"/>
  <c r="D199" i="6" s="1"/>
  <c r="C215" i="6" a="1"/>
  <c r="C215" i="6" s="1"/>
  <c r="D215" i="6" s="1" a="1"/>
  <c r="D215" i="6" s="1"/>
  <c r="C271" i="6" a="1"/>
  <c r="C271" i="6" s="1"/>
  <c r="D271" i="6" s="1" a="1"/>
  <c r="D271" i="6" s="1"/>
  <c r="C266" i="6" a="1"/>
  <c r="C266" i="6" s="1"/>
  <c r="D266" i="6" s="1" a="1"/>
  <c r="D266" i="6" s="1"/>
  <c r="C334" i="6" a="1"/>
  <c r="C334" i="6" s="1"/>
  <c r="D334" i="6" s="1" a="1"/>
  <c r="D334" i="6" s="1"/>
  <c r="C355" i="6" a="1"/>
  <c r="C355" i="6" s="1"/>
  <c r="D355" i="6" s="1" a="1"/>
  <c r="D355" i="6" s="1"/>
  <c r="C292" i="6" a="1"/>
  <c r="C292" i="6" s="1"/>
  <c r="D292" i="6" s="1" a="1"/>
  <c r="D292" i="6" s="1"/>
  <c r="C353" i="6" a="1"/>
  <c r="C353" i="6" s="1"/>
  <c r="D353" i="6" s="1" a="1"/>
  <c r="D353" i="6" s="1"/>
  <c r="C342" i="6" a="1"/>
  <c r="C342" i="6" s="1"/>
  <c r="D342" i="6" s="1" a="1"/>
  <c r="D342" i="6" s="1"/>
  <c r="C21" i="6" a="1"/>
  <c r="C21" i="6" s="1"/>
  <c r="D21" i="6" s="1" a="1"/>
  <c r="D21" i="6" s="1"/>
  <c r="V19" i="7"/>
  <c r="X19" i="7" s="1"/>
  <c r="Y19" i="7" s="1"/>
  <c r="V47" i="7"/>
  <c r="X47" i="7" s="1"/>
  <c r="Y47" i="7" s="1"/>
  <c r="V123" i="7"/>
  <c r="X123" i="7" s="1"/>
  <c r="Y123" i="7" s="1"/>
  <c r="V127" i="7"/>
  <c r="X127" i="7" s="1"/>
  <c r="Y127" i="7" s="1"/>
  <c r="V90" i="7"/>
  <c r="X90" i="7" s="1"/>
  <c r="Y90" i="7" s="1"/>
  <c r="V31" i="7"/>
  <c r="X31" i="7" s="1"/>
  <c r="Y31" i="7" s="1"/>
  <c r="V91" i="7"/>
  <c r="X91" i="7" s="1"/>
  <c r="Y91" i="7" s="1"/>
  <c r="V49" i="7"/>
  <c r="X49" i="7" s="1"/>
  <c r="Y49" i="7" s="1"/>
  <c r="V137" i="7"/>
  <c r="X137" i="7" s="1"/>
  <c r="Y137" i="7" s="1"/>
  <c r="V212" i="7"/>
  <c r="X212" i="7" s="1"/>
  <c r="Y212" i="7" s="1"/>
  <c r="V169" i="7"/>
  <c r="X169" i="7" s="1"/>
  <c r="Y169" i="7" s="1"/>
  <c r="V222" i="7"/>
  <c r="X222" i="7" s="1"/>
  <c r="Y222" i="7" s="1"/>
  <c r="V156" i="7"/>
  <c r="X156" i="7" s="1"/>
  <c r="Y156" i="7" s="1"/>
  <c r="V188" i="7"/>
  <c r="X188" i="7" s="1"/>
  <c r="Y188" i="7" s="1"/>
  <c r="V249" i="7"/>
  <c r="X249" i="7" s="1"/>
  <c r="Y249" i="7" s="1"/>
  <c r="V261" i="7"/>
  <c r="X261" i="7" s="1"/>
  <c r="Y261" i="7" s="1"/>
  <c r="V278" i="7"/>
  <c r="X278" i="7" s="1"/>
  <c r="Y278" i="7" s="1"/>
  <c r="V266" i="7"/>
  <c r="X266" i="7" s="1"/>
  <c r="Y266" i="7" s="1"/>
  <c r="V248" i="7"/>
  <c r="X248" i="7" s="1"/>
  <c r="Y248" i="7" s="1"/>
  <c r="V264" i="7"/>
  <c r="X264" i="7" s="1"/>
  <c r="Y264" i="7" s="1"/>
  <c r="V326" i="7"/>
  <c r="X326" i="7" s="1"/>
  <c r="Y326" i="7" s="1"/>
  <c r="V314" i="7"/>
  <c r="X314" i="7" s="1"/>
  <c r="Y314" i="7" s="1"/>
  <c r="V353" i="7"/>
  <c r="X353" i="7" s="1"/>
  <c r="Y353" i="7" s="1"/>
  <c r="P86" i="9"/>
  <c r="Q86" i="9" s="1"/>
  <c r="R86" i="9" s="1"/>
  <c r="T86" i="9" s="1"/>
  <c r="P59" i="9"/>
  <c r="Q59" i="9" s="1"/>
  <c r="R59" i="9" s="1"/>
  <c r="T59" i="9" s="1"/>
  <c r="P46" i="9"/>
  <c r="Q46" i="9" s="1"/>
  <c r="R46" i="9" s="1"/>
  <c r="T46" i="9" s="1"/>
  <c r="P37" i="9"/>
  <c r="Q37" i="9" s="1"/>
  <c r="R37" i="9" s="1"/>
  <c r="T37" i="9" s="1"/>
  <c r="P174" i="9"/>
  <c r="Q174" i="9" s="1"/>
  <c r="R174" i="9" s="1"/>
  <c r="T174" i="9" s="1"/>
  <c r="P190" i="9"/>
  <c r="Q190" i="9" s="1"/>
  <c r="R190" i="9" s="1"/>
  <c r="T190" i="9" s="1"/>
  <c r="P153" i="9"/>
  <c r="Q153" i="9" s="1"/>
  <c r="R153" i="9" s="1"/>
  <c r="T153" i="9" s="1"/>
  <c r="P98" i="9"/>
  <c r="Q98" i="9" s="1"/>
  <c r="R98" i="9" s="1"/>
  <c r="T98" i="9" s="1"/>
  <c r="P88" i="9"/>
  <c r="Q88" i="9" s="1"/>
  <c r="R88" i="9" s="1"/>
  <c r="T88" i="9" s="1"/>
  <c r="P105" i="9"/>
  <c r="Q105" i="9" s="1"/>
  <c r="R105" i="9" s="1"/>
  <c r="T105" i="9" s="1"/>
  <c r="P206" i="9"/>
  <c r="Q206" i="9" s="1"/>
  <c r="R206" i="9" s="1"/>
  <c r="T206" i="9" s="1"/>
  <c r="P242" i="9"/>
  <c r="Q242" i="9" s="1"/>
  <c r="R242" i="9" s="1"/>
  <c r="T242" i="9" s="1"/>
  <c r="P262" i="9"/>
  <c r="Q262" i="9" s="1"/>
  <c r="R262" i="9" s="1"/>
  <c r="T262" i="9" s="1"/>
  <c r="P209" i="9"/>
  <c r="Q209" i="9" s="1"/>
  <c r="R209" i="9" s="1"/>
  <c r="T209" i="9" s="1"/>
  <c r="P162" i="9"/>
  <c r="Q162" i="9" s="1"/>
  <c r="R162" i="9" s="1"/>
  <c r="T162" i="9" s="1"/>
  <c r="P168" i="9"/>
  <c r="Q168" i="9" s="1"/>
  <c r="R168" i="9" s="1"/>
  <c r="T168" i="9" s="1"/>
  <c r="P288" i="9"/>
  <c r="Q288" i="9" s="1"/>
  <c r="R288" i="9" s="1"/>
  <c r="T288" i="9" s="1"/>
  <c r="P353" i="9"/>
  <c r="Q353" i="9" s="1"/>
  <c r="R353" i="9" s="1"/>
  <c r="T353" i="9" s="1"/>
  <c r="P338" i="9"/>
  <c r="Q338" i="9" s="1"/>
  <c r="R338" i="9" s="1"/>
  <c r="T338" i="9" s="1"/>
  <c r="P344" i="9"/>
  <c r="Q344" i="9" s="1"/>
  <c r="R344" i="9" s="1"/>
  <c r="T344" i="9" s="1"/>
  <c r="P366" i="9"/>
  <c r="Q366" i="9" s="1"/>
  <c r="R366" i="9" s="1"/>
  <c r="T366" i="9" s="1"/>
  <c r="P287" i="9"/>
  <c r="Q287" i="9" s="1"/>
  <c r="R287" i="9" s="1"/>
  <c r="T287" i="9" s="1"/>
  <c r="P325" i="9"/>
  <c r="Q325" i="9" s="1"/>
  <c r="R325" i="9" s="1"/>
  <c r="T325" i="9" s="1"/>
  <c r="C11" i="6" a="1"/>
  <c r="C11" i="6" s="1"/>
  <c r="D11" i="6" s="1" a="1"/>
  <c r="D11" i="6" s="1"/>
  <c r="C127" i="6" a="1"/>
  <c r="C127" i="6" s="1"/>
  <c r="D127" i="6" s="1" a="1"/>
  <c r="D127" i="6" s="1"/>
  <c r="C106" i="6" a="1"/>
  <c r="C106" i="6" s="1"/>
  <c r="D106" i="6" s="1" a="1"/>
  <c r="D106" i="6" s="1"/>
  <c r="C70" i="6" a="1"/>
  <c r="C70" i="6" s="1"/>
  <c r="D70" i="6" s="1" a="1"/>
  <c r="D70" i="6" s="1"/>
  <c r="C145" i="6" a="1"/>
  <c r="C145" i="6" s="1"/>
  <c r="D145" i="6" s="1" a="1"/>
  <c r="D145" i="6" s="1"/>
  <c r="C120" i="6" a="1"/>
  <c r="C120" i="6" s="1"/>
  <c r="D120" i="6" s="1" a="1"/>
  <c r="D120" i="6" s="1"/>
  <c r="C221" i="6" a="1"/>
  <c r="C221" i="6" s="1"/>
  <c r="D221" i="6" s="1" a="1"/>
  <c r="D221" i="6" s="1"/>
  <c r="C281" i="6" a="1"/>
  <c r="C281" i="6" s="1"/>
  <c r="D281" i="6" s="1" a="1"/>
  <c r="D281" i="6" s="1"/>
  <c r="C268" i="6" a="1"/>
  <c r="C268" i="6" s="1"/>
  <c r="D268" i="6" s="1" a="1"/>
  <c r="D268" i="6" s="1"/>
  <c r="C168" i="6" a="1"/>
  <c r="C168" i="6" s="1"/>
  <c r="D168" i="6" s="1" a="1"/>
  <c r="D168" i="6" s="1"/>
  <c r="C184" i="6" a="1"/>
  <c r="C184" i="6" s="1"/>
  <c r="D184" i="6" s="1" a="1"/>
  <c r="D184" i="6" s="1"/>
  <c r="C200" i="6" a="1"/>
  <c r="C200" i="6" s="1"/>
  <c r="D200" i="6" s="1" a="1"/>
  <c r="D200" i="6" s="1"/>
  <c r="C231" i="6" a="1"/>
  <c r="C231" i="6" s="1"/>
  <c r="D231" i="6" s="1" a="1"/>
  <c r="D231" i="6" s="1"/>
  <c r="C275" i="6" a="1"/>
  <c r="C275" i="6" s="1"/>
  <c r="D275" i="6" s="1" a="1"/>
  <c r="D275" i="6" s="1"/>
  <c r="C270" i="6" a="1"/>
  <c r="C270" i="6" s="1"/>
  <c r="D270" i="6" s="1" a="1"/>
  <c r="D270" i="6" s="1"/>
  <c r="C317" i="6" a="1"/>
  <c r="C317" i="6" s="1"/>
  <c r="D317" i="6" s="1" a="1"/>
  <c r="D317" i="6" s="1"/>
  <c r="C312" i="6" a="1"/>
  <c r="C312" i="6" s="1"/>
  <c r="D312" i="6" s="1" a="1"/>
  <c r="D312" i="6" s="1"/>
  <c r="C308" i="6" a="1"/>
  <c r="C308" i="6" s="1"/>
  <c r="D308" i="6" s="1" a="1"/>
  <c r="D308" i="6" s="1"/>
  <c r="C366" i="6" a="1"/>
  <c r="C366" i="6" s="1"/>
  <c r="D366" i="6" s="1" a="1"/>
  <c r="D366" i="6" s="1"/>
  <c r="C358" i="6" a="1"/>
  <c r="C358" i="6" s="1"/>
  <c r="D358" i="6" s="1" a="1"/>
  <c r="D358" i="6" s="1"/>
  <c r="V22" i="7"/>
  <c r="X22" i="7" s="1"/>
  <c r="Y22" i="7" s="1"/>
  <c r="V63" i="7"/>
  <c r="X63" i="7" s="1"/>
  <c r="Y63" i="7" s="1"/>
  <c r="V68" i="7"/>
  <c r="X68" i="7" s="1"/>
  <c r="Y68" i="7" s="1"/>
  <c r="V109" i="7"/>
  <c r="X109" i="7" s="1"/>
  <c r="Y109" i="7" s="1"/>
  <c r="V93" i="7"/>
  <c r="X93" i="7" s="1"/>
  <c r="Y93" i="7" s="1"/>
  <c r="V33" i="7"/>
  <c r="X33" i="7" s="1"/>
  <c r="Y33" i="7" s="1"/>
  <c r="V96" i="7"/>
  <c r="X96" i="7" s="1"/>
  <c r="Y96" i="7" s="1"/>
  <c r="V54" i="7"/>
  <c r="X54" i="7" s="1"/>
  <c r="Y54" i="7" s="1"/>
  <c r="V224" i="7"/>
  <c r="X224" i="7" s="1"/>
  <c r="Y224" i="7" s="1"/>
  <c r="V228" i="7"/>
  <c r="X228" i="7" s="1"/>
  <c r="Y228" i="7" s="1"/>
  <c r="V178" i="7"/>
  <c r="X178" i="7" s="1"/>
  <c r="Y178" i="7" s="1"/>
  <c r="V229" i="7"/>
  <c r="X229" i="7" s="1"/>
  <c r="Y229" i="7" s="1"/>
  <c r="V158" i="7"/>
  <c r="X158" i="7" s="1"/>
  <c r="Y158" i="7" s="1"/>
  <c r="V195" i="7"/>
  <c r="X195" i="7" s="1"/>
  <c r="Y195" i="7" s="1"/>
  <c r="V217" i="7"/>
  <c r="X217" i="7" s="1"/>
  <c r="Y217" i="7" s="1"/>
  <c r="V274" i="7"/>
  <c r="X274" i="7" s="1"/>
  <c r="Y274" i="7" s="1"/>
  <c r="V281" i="7"/>
  <c r="X281" i="7" s="1"/>
  <c r="Y281" i="7" s="1"/>
  <c r="V269" i="7"/>
  <c r="X269" i="7" s="1"/>
  <c r="Y269" i="7" s="1"/>
  <c r="V250" i="7"/>
  <c r="X250" i="7" s="1"/>
  <c r="Y250" i="7" s="1"/>
  <c r="V267" i="7"/>
  <c r="X267" i="7" s="1"/>
  <c r="Y267" i="7" s="1"/>
  <c r="V342" i="7"/>
  <c r="X342" i="7" s="1"/>
  <c r="Y342" i="7" s="1"/>
  <c r="V316" i="7"/>
  <c r="X316" i="7" s="1"/>
  <c r="Y316" i="7" s="1"/>
  <c r="V355" i="7"/>
  <c r="X355" i="7" s="1"/>
  <c r="Y355" i="7" s="1"/>
  <c r="C42" i="6" a="1"/>
  <c r="C42" i="6" s="1"/>
  <c r="D42" i="6" s="1" a="1"/>
  <c r="D42" i="6" s="1"/>
  <c r="C61" i="6" a="1"/>
  <c r="C61" i="6" s="1"/>
  <c r="D61" i="6" s="1" a="1"/>
  <c r="D61" i="6" s="1"/>
  <c r="C19" i="6" a="1"/>
  <c r="C19" i="6" s="1"/>
  <c r="D19" i="6" s="1" a="1"/>
  <c r="D19" i="6" s="1"/>
  <c r="P96" i="9"/>
  <c r="Q96" i="9" s="1"/>
  <c r="R96" i="9" s="1"/>
  <c r="T96" i="9" s="1"/>
  <c r="P83" i="9"/>
  <c r="Q83" i="9" s="1"/>
  <c r="R83" i="9" s="1"/>
  <c r="T83" i="9" s="1"/>
  <c r="P9" i="9"/>
  <c r="Q9" i="9" s="1"/>
  <c r="R9" i="9" s="1"/>
  <c r="T9" i="9" s="1"/>
  <c r="P81" i="9"/>
  <c r="Q81" i="9" s="1"/>
  <c r="R81" i="9" s="1"/>
  <c r="T81" i="9" s="1"/>
  <c r="P101" i="9"/>
  <c r="Q101" i="9" s="1"/>
  <c r="R101" i="9" s="1"/>
  <c r="T101" i="9" s="1"/>
  <c r="P102" i="9"/>
  <c r="Q102" i="9" s="1"/>
  <c r="R102" i="9" s="1"/>
  <c r="T102" i="9" s="1"/>
  <c r="P55" i="9"/>
  <c r="Q55" i="9" s="1"/>
  <c r="R55" i="9" s="1"/>
  <c r="T55" i="9" s="1"/>
  <c r="P114" i="9"/>
  <c r="Q114" i="9" s="1"/>
  <c r="R114" i="9" s="1"/>
  <c r="T114" i="9" s="1"/>
  <c r="P104" i="9"/>
  <c r="Q104" i="9" s="1"/>
  <c r="R104" i="9" s="1"/>
  <c r="T104" i="9" s="1"/>
  <c r="P121" i="9"/>
  <c r="Q121" i="9" s="1"/>
  <c r="R121" i="9" s="1"/>
  <c r="T121" i="9" s="1"/>
  <c r="P222" i="9"/>
  <c r="Q222" i="9" s="1"/>
  <c r="R222" i="9" s="1"/>
  <c r="T222" i="9" s="1"/>
  <c r="P299" i="9"/>
  <c r="Q299" i="9" s="1"/>
  <c r="R299" i="9" s="1"/>
  <c r="T299" i="9" s="1"/>
  <c r="P171" i="9"/>
  <c r="Q171" i="9" s="1"/>
  <c r="R171" i="9" s="1"/>
  <c r="T171" i="9" s="1"/>
  <c r="P225" i="9"/>
  <c r="Q225" i="9" s="1"/>
  <c r="R225" i="9" s="1"/>
  <c r="T225" i="9" s="1"/>
  <c r="P178" i="9"/>
  <c r="Q178" i="9" s="1"/>
  <c r="R178" i="9" s="1"/>
  <c r="T178" i="9" s="1"/>
  <c r="P184" i="9"/>
  <c r="Q184" i="9" s="1"/>
  <c r="R184" i="9" s="1"/>
  <c r="T184" i="9" s="1"/>
  <c r="P304" i="9"/>
  <c r="Q304" i="9" s="1"/>
  <c r="R304" i="9" s="1"/>
  <c r="T304" i="9" s="1"/>
  <c r="P300" i="9"/>
  <c r="Q300" i="9" s="1"/>
  <c r="R300" i="9" s="1"/>
  <c r="T300" i="9" s="1"/>
  <c r="P354" i="9"/>
  <c r="Q354" i="9" s="1"/>
  <c r="R354" i="9" s="1"/>
  <c r="T354" i="9" s="1"/>
  <c r="P360" i="9"/>
  <c r="Q360" i="9" s="1"/>
  <c r="R360" i="9" s="1"/>
  <c r="T360" i="9" s="1"/>
  <c r="P249" i="9"/>
  <c r="Q249" i="9" s="1"/>
  <c r="R249" i="9" s="1"/>
  <c r="T249" i="9" s="1"/>
  <c r="P303" i="9"/>
  <c r="Q303" i="9" s="1"/>
  <c r="R303" i="9" s="1"/>
  <c r="T303" i="9" s="1"/>
  <c r="P341" i="9"/>
  <c r="Q341" i="9" s="1"/>
  <c r="R341" i="9" s="1"/>
  <c r="T341" i="9" s="1"/>
  <c r="C110" i="6" a="1"/>
  <c r="C110" i="6" s="1"/>
  <c r="D110" i="6" s="1" a="1"/>
  <c r="D110" i="6" s="1"/>
  <c r="C86" i="6" a="1"/>
  <c r="C86" i="6" s="1"/>
  <c r="D86" i="6" s="1" a="1"/>
  <c r="D86" i="6" s="1"/>
  <c r="C149" i="6" a="1"/>
  <c r="C149" i="6" s="1"/>
  <c r="D149" i="6" s="1" a="1"/>
  <c r="D149" i="6" s="1"/>
  <c r="C124" i="6" a="1"/>
  <c r="C124" i="6" s="1"/>
  <c r="D124" i="6" s="1" a="1"/>
  <c r="D124" i="6" s="1"/>
  <c r="C220" i="6" a="1"/>
  <c r="C220" i="6" s="1"/>
  <c r="D220" i="6" s="1" a="1"/>
  <c r="D220" i="6" s="1"/>
  <c r="C285" i="6" a="1"/>
  <c r="C285" i="6" s="1"/>
  <c r="D285" i="6" s="1" a="1"/>
  <c r="D285" i="6" s="1"/>
  <c r="C272" i="6" a="1"/>
  <c r="C272" i="6" s="1"/>
  <c r="D272" i="6" s="1" a="1"/>
  <c r="D272" i="6" s="1"/>
  <c r="C169" i="6" a="1"/>
  <c r="C169" i="6" s="1"/>
  <c r="D169" i="6" s="1" a="1"/>
  <c r="D169" i="6" s="1"/>
  <c r="C185" i="6" a="1"/>
  <c r="C185" i="6" s="1"/>
  <c r="D185" i="6" s="1" a="1"/>
  <c r="D185" i="6" s="1"/>
  <c r="C201" i="6" a="1"/>
  <c r="C201" i="6" s="1"/>
  <c r="D201" i="6" s="1" a="1"/>
  <c r="D201" i="6" s="1"/>
  <c r="C242" i="6" a="1"/>
  <c r="C242" i="6" s="1"/>
  <c r="D242" i="6" s="1" a="1"/>
  <c r="D242" i="6" s="1"/>
  <c r="C279" i="6" a="1"/>
  <c r="C279" i="6" s="1"/>
  <c r="D279" i="6" s="1" a="1"/>
  <c r="D279" i="6" s="1"/>
  <c r="C274" i="6" a="1"/>
  <c r="C274" i="6" s="1"/>
  <c r="D274" i="6" s="1" a="1"/>
  <c r="D274" i="6" s="1"/>
  <c r="C333" i="6" a="1"/>
  <c r="C333" i="6" s="1"/>
  <c r="D333" i="6" s="1" a="1"/>
  <c r="D333" i="6" s="1"/>
  <c r="C328" i="6" a="1"/>
  <c r="C328" i="6" s="1"/>
  <c r="D328" i="6" s="1" a="1"/>
  <c r="D328" i="6" s="1"/>
  <c r="C324" i="6" a="1"/>
  <c r="C324" i="6" s="1"/>
  <c r="D324" i="6" s="1" a="1"/>
  <c r="D324" i="6" s="1"/>
  <c r="C351" i="6" a="1"/>
  <c r="C351" i="6" s="1"/>
  <c r="D351" i="6" s="1" a="1"/>
  <c r="D351" i="6" s="1"/>
  <c r="V8" i="7"/>
  <c r="X8" i="7" s="1"/>
  <c r="Y8" i="7" s="1"/>
  <c r="V4" i="7"/>
  <c r="X4" i="7" s="1"/>
  <c r="Y4" i="7" s="1"/>
  <c r="V71" i="7"/>
  <c r="X71" i="7" s="1"/>
  <c r="Y71" i="7" s="1"/>
  <c r="V115" i="7"/>
  <c r="X115" i="7" s="1"/>
  <c r="Y115" i="7" s="1"/>
  <c r="V98" i="7"/>
  <c r="X98" i="7" s="1"/>
  <c r="Y98" i="7" s="1"/>
  <c r="V35" i="7"/>
  <c r="X35" i="7" s="1"/>
  <c r="Y35" i="7" s="1"/>
  <c r="V99" i="7"/>
  <c r="X99" i="7" s="1"/>
  <c r="Y99" i="7" s="1"/>
  <c r="V57" i="7"/>
  <c r="X57" i="7" s="1"/>
  <c r="Y57" i="7" s="1"/>
  <c r="V231" i="7"/>
  <c r="X231" i="7" s="1"/>
  <c r="Y231" i="7" s="1"/>
  <c r="V235" i="7"/>
  <c r="X235" i="7" s="1"/>
  <c r="Y235" i="7" s="1"/>
  <c r="V185" i="7"/>
  <c r="X185" i="7" s="1"/>
  <c r="Y185" i="7" s="1"/>
  <c r="V247" i="7"/>
  <c r="X247" i="7" s="1"/>
  <c r="Y247" i="7" s="1"/>
  <c r="V165" i="7"/>
  <c r="X165" i="7" s="1"/>
  <c r="Y165" i="7" s="1"/>
  <c r="V203" i="7"/>
  <c r="X203" i="7" s="1"/>
  <c r="Y203" i="7" s="1"/>
  <c r="V220" i="7"/>
  <c r="X220" i="7" s="1"/>
  <c r="Y220" i="7" s="1"/>
  <c r="V277" i="7"/>
  <c r="X277" i="7" s="1"/>
  <c r="Y277" i="7" s="1"/>
  <c r="V294" i="7"/>
  <c r="X294" i="7" s="1"/>
  <c r="Y294" i="7" s="1"/>
  <c r="V282" i="7"/>
  <c r="X282" i="7" s="1"/>
  <c r="Y282" i="7" s="1"/>
  <c r="V252" i="7"/>
  <c r="X252" i="7" s="1"/>
  <c r="Y252" i="7" s="1"/>
  <c r="V280" i="7"/>
  <c r="X280" i="7" s="1"/>
  <c r="Y280" i="7" s="1"/>
  <c r="V366" i="7"/>
  <c r="X366" i="7" s="1"/>
  <c r="Y366" i="7" s="1"/>
  <c r="V318" i="7"/>
  <c r="X318" i="7" s="1"/>
  <c r="Y318" i="7" s="1"/>
  <c r="V357" i="7"/>
  <c r="X357" i="7" s="1"/>
  <c r="Y357" i="7" s="1"/>
  <c r="C31" i="6" a="1"/>
  <c r="C31" i="6" s="1"/>
  <c r="D31" i="6" s="1" a="1"/>
  <c r="D31" i="6" s="1"/>
  <c r="P44" i="9"/>
  <c r="Q44" i="9" s="1"/>
  <c r="R44" i="9" s="1"/>
  <c r="T44" i="9" s="1"/>
  <c r="P13" i="9"/>
  <c r="Q13" i="9" s="1"/>
  <c r="R13" i="9" s="1"/>
  <c r="T13" i="9" s="1"/>
  <c r="P25" i="9"/>
  <c r="Q25" i="9" s="1"/>
  <c r="R25" i="9" s="1"/>
  <c r="T25" i="9" s="1"/>
  <c r="P16" i="9"/>
  <c r="Q16" i="9" s="1"/>
  <c r="R16" i="9" s="1"/>
  <c r="T16" i="9" s="1"/>
  <c r="P117" i="9"/>
  <c r="Q117" i="9" s="1"/>
  <c r="R117" i="9" s="1"/>
  <c r="T117" i="9" s="1"/>
  <c r="P118" i="9"/>
  <c r="Q118" i="9" s="1"/>
  <c r="R118" i="9" s="1"/>
  <c r="T118" i="9" s="1"/>
  <c r="P71" i="9"/>
  <c r="Q71" i="9" s="1"/>
  <c r="R71" i="9" s="1"/>
  <c r="T71" i="9" s="1"/>
  <c r="P130" i="9"/>
  <c r="Q130" i="9" s="1"/>
  <c r="R130" i="9" s="1"/>
  <c r="T130" i="9" s="1"/>
  <c r="P120" i="9"/>
  <c r="Q120" i="9" s="1"/>
  <c r="R120" i="9" s="1"/>
  <c r="T120" i="9" s="1"/>
  <c r="P137" i="9"/>
  <c r="Q137" i="9" s="1"/>
  <c r="R137" i="9" s="1"/>
  <c r="T137" i="9" s="1"/>
  <c r="P240" i="9"/>
  <c r="Q240" i="9" s="1"/>
  <c r="R240" i="9" s="1"/>
  <c r="T240" i="9" s="1"/>
  <c r="P218" i="9"/>
  <c r="Q218" i="9" s="1"/>
  <c r="R218" i="9" s="1"/>
  <c r="T218" i="9" s="1"/>
  <c r="P187" i="9"/>
  <c r="Q187" i="9" s="1"/>
  <c r="R187" i="9" s="1"/>
  <c r="T187" i="9" s="1"/>
  <c r="P236" i="9"/>
  <c r="Q236" i="9" s="1"/>
  <c r="R236" i="9" s="1"/>
  <c r="T236" i="9" s="1"/>
  <c r="P194" i="9"/>
  <c r="Q194" i="9" s="1"/>
  <c r="R194" i="9" s="1"/>
  <c r="T194" i="9" s="1"/>
  <c r="P200" i="9"/>
  <c r="Q200" i="9" s="1"/>
  <c r="R200" i="9" s="1"/>
  <c r="T200" i="9" s="1"/>
  <c r="P320" i="9"/>
  <c r="Q320" i="9" s="1"/>
  <c r="R320" i="9" s="1"/>
  <c r="T320" i="9" s="1"/>
  <c r="P316" i="9"/>
  <c r="Q316" i="9" s="1"/>
  <c r="R316" i="9" s="1"/>
  <c r="T316" i="9" s="1"/>
  <c r="P253" i="9"/>
  <c r="Q253" i="9" s="1"/>
  <c r="R253" i="9" s="1"/>
  <c r="T253" i="9" s="1"/>
  <c r="P259" i="9"/>
  <c r="Q259" i="9" s="1"/>
  <c r="R259" i="9" s="1"/>
  <c r="T259" i="9" s="1"/>
  <c r="P265" i="9"/>
  <c r="Q265" i="9" s="1"/>
  <c r="R265" i="9" s="1"/>
  <c r="T265" i="9" s="1"/>
  <c r="P319" i="9"/>
  <c r="Q319" i="9" s="1"/>
  <c r="R319" i="9" s="1"/>
  <c r="T319" i="9" s="1"/>
  <c r="P357" i="9"/>
  <c r="Q357" i="9" s="1"/>
  <c r="R357" i="9" s="1"/>
  <c r="T357" i="9" s="1"/>
  <c r="C156" i="6" a="1"/>
  <c r="C156" i="6" s="1"/>
  <c r="D156" i="6" s="1" a="1"/>
  <c r="D156" i="6" s="1"/>
  <c r="C128" i="6" a="1"/>
  <c r="C128" i="6" s="1"/>
  <c r="D128" i="6" s="1" a="1"/>
  <c r="D128" i="6" s="1"/>
  <c r="C222" i="6" a="1"/>
  <c r="C222" i="6" s="1"/>
  <c r="D222" i="6" s="1" a="1"/>
  <c r="D222" i="6" s="1"/>
  <c r="C235" i="6" a="1"/>
  <c r="C235" i="6" s="1"/>
  <c r="D235" i="6" s="1" a="1"/>
  <c r="D235" i="6" s="1"/>
  <c r="C276" i="6" a="1"/>
  <c r="C276" i="6" s="1"/>
  <c r="D276" i="6" s="1" a="1"/>
  <c r="D276" i="6" s="1"/>
  <c r="C170" i="6" a="1"/>
  <c r="C170" i="6" s="1"/>
  <c r="D170" i="6" s="1" a="1"/>
  <c r="D170" i="6" s="1"/>
  <c r="C186" i="6" a="1"/>
  <c r="C186" i="6" s="1"/>
  <c r="D186" i="6" s="1" a="1"/>
  <c r="D186" i="6" s="1"/>
  <c r="C202" i="6" a="1"/>
  <c r="C202" i="6" s="1"/>
  <c r="D202" i="6" s="1" a="1"/>
  <c r="D202" i="6" s="1"/>
  <c r="C250" i="6" a="1"/>
  <c r="C250" i="6" s="1"/>
  <c r="D250" i="6" s="1" a="1"/>
  <c r="D250" i="6" s="1"/>
  <c r="C283" i="6" a="1"/>
  <c r="C283" i="6" s="1"/>
  <c r="D283" i="6" s="1" a="1"/>
  <c r="D283" i="6" s="1"/>
  <c r="C278" i="6" a="1"/>
  <c r="C278" i="6" s="1"/>
  <c r="D278" i="6" s="1" a="1"/>
  <c r="D278" i="6" s="1"/>
  <c r="C339" i="6" a="1"/>
  <c r="C339" i="6" s="1"/>
  <c r="D339" i="6" s="1" a="1"/>
  <c r="D339" i="6" s="1"/>
  <c r="C341" i="6" a="1"/>
  <c r="C341" i="6" s="1"/>
  <c r="D341" i="6" s="1" a="1"/>
  <c r="D341" i="6" s="1"/>
  <c r="C291" i="6" a="1"/>
  <c r="C291" i="6" s="1"/>
  <c r="D291" i="6" s="1" a="1"/>
  <c r="D291" i="6" s="1"/>
  <c r="C365" i="6" a="1"/>
  <c r="C365" i="6" s="1"/>
  <c r="D365" i="6" s="1" a="1"/>
  <c r="D365" i="6" s="1"/>
  <c r="V32" i="7"/>
  <c r="X32" i="7" s="1"/>
  <c r="Y32" i="7" s="1"/>
  <c r="V12" i="7"/>
  <c r="X12" i="7" s="1"/>
  <c r="Y12" i="7" s="1"/>
  <c r="V76" i="7"/>
  <c r="X76" i="7" s="1"/>
  <c r="Y76" i="7" s="1"/>
  <c r="V37" i="7"/>
  <c r="X37" i="7" s="1"/>
  <c r="Y37" i="7" s="1"/>
  <c r="V101" i="7"/>
  <c r="X101" i="7" s="1"/>
  <c r="Y101" i="7" s="1"/>
  <c r="V40" i="7"/>
  <c r="X40" i="7" s="1"/>
  <c r="Y40" i="7" s="1"/>
  <c r="V104" i="7"/>
  <c r="X104" i="7" s="1"/>
  <c r="Y104" i="7" s="1"/>
  <c r="V62" i="7"/>
  <c r="X62" i="7" s="1"/>
  <c r="Y62" i="7" s="1"/>
  <c r="V145" i="7"/>
  <c r="X145" i="7" s="1"/>
  <c r="Y145" i="7" s="1"/>
  <c r="V239" i="7"/>
  <c r="X239" i="7" s="1"/>
  <c r="Y239" i="7" s="1"/>
  <c r="V194" i="7"/>
  <c r="X194" i="7" s="1"/>
  <c r="Y194" i="7" s="1"/>
  <c r="V130" i="7"/>
  <c r="X130" i="7" s="1"/>
  <c r="Y130" i="7" s="1"/>
  <c r="V174" i="7"/>
  <c r="X174" i="7" s="1"/>
  <c r="Y174" i="7" s="1"/>
  <c r="V211" i="7"/>
  <c r="X211" i="7" s="1"/>
  <c r="Y211" i="7" s="1"/>
  <c r="V227" i="7"/>
  <c r="X227" i="7" s="1"/>
  <c r="Y227" i="7" s="1"/>
  <c r="V290" i="7"/>
  <c r="X290" i="7" s="1"/>
  <c r="Y290" i="7" s="1"/>
  <c r="V297" i="7"/>
  <c r="X297" i="7" s="1"/>
  <c r="Y297" i="7" s="1"/>
  <c r="V285" i="7"/>
  <c r="X285" i="7" s="1"/>
  <c r="Y285" i="7" s="1"/>
  <c r="V254" i="7"/>
  <c r="X254" i="7" s="1"/>
  <c r="Y254" i="7" s="1"/>
  <c r="V283" i="7"/>
  <c r="X283" i="7" s="1"/>
  <c r="Y283" i="7" s="1"/>
  <c r="V332" i="7"/>
  <c r="X332" i="7" s="1"/>
  <c r="Y332" i="7" s="1"/>
  <c r="V320" i="7"/>
  <c r="X320" i="7" s="1"/>
  <c r="Y320" i="7" s="1"/>
  <c r="V359" i="7"/>
  <c r="X359" i="7" s="1"/>
  <c r="Y359" i="7" s="1"/>
  <c r="C2" i="6" a="1"/>
  <c r="C2" i="6" s="1"/>
  <c r="P51" i="9"/>
  <c r="Q51" i="9" s="1"/>
  <c r="R51" i="9" s="1"/>
  <c r="T51" i="9" s="1"/>
  <c r="P29" i="9"/>
  <c r="Q29" i="9" s="1"/>
  <c r="R29" i="9" s="1"/>
  <c r="T29" i="9" s="1"/>
  <c r="P41" i="9"/>
  <c r="Q41" i="9" s="1"/>
  <c r="R41" i="9" s="1"/>
  <c r="T41" i="9" s="1"/>
  <c r="P32" i="9"/>
  <c r="Q32" i="9" s="1"/>
  <c r="R32" i="9" s="1"/>
  <c r="T32" i="9" s="1"/>
  <c r="P133" i="9"/>
  <c r="Q133" i="9" s="1"/>
  <c r="R133" i="9" s="1"/>
  <c r="T133" i="9" s="1"/>
  <c r="P134" i="9"/>
  <c r="Q134" i="9" s="1"/>
  <c r="R134" i="9" s="1"/>
  <c r="T134" i="9" s="1"/>
  <c r="P87" i="9"/>
  <c r="Q87" i="9" s="1"/>
  <c r="R87" i="9" s="1"/>
  <c r="T87" i="9" s="1"/>
  <c r="P154" i="9"/>
  <c r="Q154" i="9" s="1"/>
  <c r="R154" i="9" s="1"/>
  <c r="T154" i="9" s="1"/>
  <c r="P136" i="9"/>
  <c r="Q136" i="9" s="1"/>
  <c r="R136" i="9" s="1"/>
  <c r="T136" i="9" s="1"/>
  <c r="P164" i="9"/>
  <c r="Q164" i="9" s="1"/>
  <c r="R164" i="9" s="1"/>
  <c r="T164" i="9" s="1"/>
  <c r="P347" i="9"/>
  <c r="Q347" i="9" s="1"/>
  <c r="R347" i="9" s="1"/>
  <c r="T347" i="9" s="1"/>
  <c r="P234" i="9"/>
  <c r="Q234" i="9" s="1"/>
  <c r="R234" i="9" s="1"/>
  <c r="T234" i="9" s="1"/>
  <c r="P203" i="9"/>
  <c r="Q203" i="9" s="1"/>
  <c r="R203" i="9" s="1"/>
  <c r="T203" i="9" s="1"/>
  <c r="P245" i="9"/>
  <c r="Q245" i="9" s="1"/>
  <c r="R245" i="9" s="1"/>
  <c r="T245" i="9" s="1"/>
  <c r="P210" i="9"/>
  <c r="Q210" i="9" s="1"/>
  <c r="R210" i="9" s="1"/>
  <c r="T210" i="9" s="1"/>
  <c r="P216" i="9"/>
  <c r="Q216" i="9" s="1"/>
  <c r="R216" i="9" s="1"/>
  <c r="T216" i="9" s="1"/>
  <c r="P336" i="9"/>
  <c r="Q336" i="9" s="1"/>
  <c r="R336" i="9" s="1"/>
  <c r="T336" i="9" s="1"/>
  <c r="P332" i="9"/>
  <c r="Q332" i="9" s="1"/>
  <c r="R332" i="9" s="1"/>
  <c r="T332" i="9" s="1"/>
  <c r="P269" i="9"/>
  <c r="Q269" i="9" s="1"/>
  <c r="R269" i="9" s="1"/>
  <c r="T269" i="9" s="1"/>
  <c r="P275" i="9"/>
  <c r="Q275" i="9" s="1"/>
  <c r="R275" i="9" s="1"/>
  <c r="T275" i="9" s="1"/>
  <c r="P281" i="9"/>
  <c r="Q281" i="9" s="1"/>
  <c r="R281" i="9" s="1"/>
  <c r="T281" i="9" s="1"/>
  <c r="P335" i="9"/>
  <c r="Q335" i="9" s="1"/>
  <c r="R335" i="9" s="1"/>
  <c r="T335" i="9" s="1"/>
  <c r="C8" i="6" a="1"/>
  <c r="C8" i="6" s="1"/>
  <c r="D8" i="6" s="1" a="1"/>
  <c r="D8" i="6" s="1"/>
  <c r="C139" i="6" a="1"/>
  <c r="C139" i="6" s="1"/>
  <c r="D139" i="6" s="1" a="1"/>
  <c r="D139" i="6" s="1"/>
  <c r="C118" i="6" a="1"/>
  <c r="C118" i="6" s="1"/>
  <c r="D118" i="6" s="1" a="1"/>
  <c r="D118" i="6" s="1"/>
  <c r="C75" i="6" a="1"/>
  <c r="C75" i="6" s="1"/>
  <c r="D75" i="6" s="1" a="1"/>
  <c r="D75" i="6" s="1"/>
  <c r="C80" i="6" a="1"/>
  <c r="C80" i="6" s="1"/>
  <c r="D80" i="6" s="1" a="1"/>
  <c r="D80" i="6" s="1"/>
  <c r="C132" i="6" a="1"/>
  <c r="C132" i="6" s="1"/>
  <c r="D132" i="6" s="1" a="1"/>
  <c r="D132" i="6" s="1"/>
  <c r="C219" i="6" a="1"/>
  <c r="C219" i="6" s="1"/>
  <c r="D219" i="6" s="1" a="1"/>
  <c r="D219" i="6" s="1"/>
  <c r="C244" i="6" a="1"/>
  <c r="C244" i="6" s="1"/>
  <c r="D244" i="6" s="1" a="1"/>
  <c r="D244" i="6" s="1"/>
  <c r="C280" i="6" a="1"/>
  <c r="C280" i="6" s="1"/>
  <c r="D280" i="6" s="1" a="1"/>
  <c r="D280" i="6" s="1"/>
  <c r="C171" i="6" a="1"/>
  <c r="C171" i="6" s="1"/>
  <c r="D171" i="6" s="1" a="1"/>
  <c r="D171" i="6" s="1"/>
  <c r="C187" i="6" a="1"/>
  <c r="C187" i="6" s="1"/>
  <c r="D187" i="6" s="1" a="1"/>
  <c r="D187" i="6" s="1"/>
  <c r="C203" i="6" a="1"/>
  <c r="C203" i="6" s="1"/>
  <c r="D203" i="6" s="1" a="1"/>
  <c r="D203" i="6" s="1"/>
  <c r="C258" i="6" a="1"/>
  <c r="C258" i="6" s="1"/>
  <c r="D258" i="6" s="1" a="1"/>
  <c r="D258" i="6" s="1"/>
  <c r="C227" i="6" a="1"/>
  <c r="C227" i="6" s="1"/>
  <c r="D227" i="6" s="1" a="1"/>
  <c r="D227" i="6" s="1"/>
  <c r="C282" i="6" a="1"/>
  <c r="C282" i="6" s="1"/>
  <c r="D282" i="6" s="1" a="1"/>
  <c r="D282" i="6" s="1"/>
  <c r="C300" i="6" a="1"/>
  <c r="C300" i="6" s="1"/>
  <c r="D300" i="6" s="1" a="1"/>
  <c r="D300" i="6" s="1"/>
  <c r="C352" i="6" a="1"/>
  <c r="C352" i="6" s="1"/>
  <c r="D352" i="6" s="1" a="1"/>
  <c r="D352" i="6" s="1"/>
  <c r="C307" i="6" a="1"/>
  <c r="C307" i="6" s="1"/>
  <c r="D307" i="6" s="1" a="1"/>
  <c r="D307" i="6" s="1"/>
  <c r="C364" i="6" a="1"/>
  <c r="C364" i="6" s="1"/>
  <c r="D364" i="6" s="1" a="1"/>
  <c r="D364" i="6" s="1"/>
  <c r="C52" i="6" a="1"/>
  <c r="C52" i="6" s="1"/>
  <c r="D52" i="6" s="1" a="1"/>
  <c r="D52" i="6" s="1"/>
  <c r="V3" i="7"/>
  <c r="X3" i="7" s="1"/>
  <c r="Y3" i="7" s="1"/>
  <c r="V15" i="7"/>
  <c r="X15" i="7" s="1"/>
  <c r="Y15" i="7" s="1"/>
  <c r="V79" i="7"/>
  <c r="X79" i="7" s="1"/>
  <c r="Y79" i="7" s="1"/>
  <c r="V42" i="7"/>
  <c r="X42" i="7" s="1"/>
  <c r="Y42" i="7" s="1"/>
  <c r="V106" i="7"/>
  <c r="X106" i="7" s="1"/>
  <c r="Y106" i="7" s="1"/>
  <c r="V43" i="7"/>
  <c r="X43" i="7" s="1"/>
  <c r="Y43" i="7" s="1"/>
  <c r="V113" i="7"/>
  <c r="X113" i="7" s="1"/>
  <c r="Y113" i="7" s="1"/>
  <c r="V65" i="7"/>
  <c r="X65" i="7" s="1"/>
  <c r="Y65" i="7" s="1"/>
  <c r="V147" i="7"/>
  <c r="X147" i="7" s="1"/>
  <c r="Y147" i="7" s="1"/>
  <c r="V164" i="7"/>
  <c r="X164" i="7" s="1"/>
  <c r="Y164" i="7" s="1"/>
  <c r="V202" i="7"/>
  <c r="X202" i="7" s="1"/>
  <c r="Y202" i="7" s="1"/>
  <c r="V132" i="7"/>
  <c r="X132" i="7" s="1"/>
  <c r="Y132" i="7" s="1"/>
  <c r="V181" i="7"/>
  <c r="X181" i="7" s="1"/>
  <c r="Y181" i="7" s="1"/>
  <c r="V230" i="7"/>
  <c r="X230" i="7" s="1"/>
  <c r="Y230" i="7" s="1"/>
  <c r="V243" i="7"/>
  <c r="X243" i="7" s="1"/>
  <c r="Y243" i="7" s="1"/>
  <c r="V293" i="7"/>
  <c r="X293" i="7" s="1"/>
  <c r="Y293" i="7" s="1"/>
  <c r="V301" i="7"/>
  <c r="X301" i="7" s="1"/>
  <c r="Y301" i="7" s="1"/>
  <c r="V319" i="7"/>
  <c r="X319" i="7" s="1"/>
  <c r="Y319" i="7" s="1"/>
  <c r="V307" i="7"/>
  <c r="X307" i="7" s="1"/>
  <c r="Y307" i="7" s="1"/>
  <c r="V296" i="7"/>
  <c r="X296" i="7" s="1"/>
  <c r="Y296" i="7" s="1"/>
  <c r="V335" i="7"/>
  <c r="X335" i="7" s="1"/>
  <c r="Y335" i="7" s="1"/>
  <c r="V322" i="7"/>
  <c r="X322" i="7" s="1"/>
  <c r="Y322" i="7" s="1"/>
  <c r="V361" i="7"/>
  <c r="X361" i="7" s="1"/>
  <c r="Y361" i="7" s="1"/>
  <c r="C34" i="6" a="1"/>
  <c r="C34" i="6" s="1"/>
  <c r="D34" i="6" s="1" a="1"/>
  <c r="D34" i="6" s="1"/>
  <c r="C53" i="6" a="1"/>
  <c r="C53" i="6" s="1"/>
  <c r="D53" i="6" s="1" a="1"/>
  <c r="D53" i="6" s="1"/>
  <c r="P57" i="9"/>
  <c r="Q57" i="9" s="1"/>
  <c r="R57" i="9" s="1"/>
  <c r="T57" i="9" s="1"/>
  <c r="P45" i="9"/>
  <c r="Q45" i="9" s="1"/>
  <c r="R45" i="9" s="1"/>
  <c r="T45" i="9" s="1"/>
  <c r="P4" i="9"/>
  <c r="Q4" i="9" s="1"/>
  <c r="R4" i="9" s="1"/>
  <c r="T4" i="9" s="1"/>
  <c r="P48" i="9"/>
  <c r="Q48" i="9" s="1"/>
  <c r="R48" i="9" s="1"/>
  <c r="T48" i="9" s="1"/>
  <c r="P175" i="9"/>
  <c r="Q175" i="9" s="1"/>
  <c r="R175" i="9" s="1"/>
  <c r="T175" i="9" s="1"/>
  <c r="P202" i="9"/>
  <c r="Q202" i="9" s="1"/>
  <c r="R202" i="9" s="1"/>
  <c r="T202" i="9" s="1"/>
  <c r="P103" i="9"/>
  <c r="Q103" i="9" s="1"/>
  <c r="R103" i="9" s="1"/>
  <c r="T103" i="9" s="1"/>
  <c r="P61" i="9"/>
  <c r="Q61" i="9" s="1"/>
  <c r="R61" i="9" s="1"/>
  <c r="T61" i="9" s="1"/>
  <c r="P115" i="9"/>
  <c r="Q115" i="9" s="1"/>
  <c r="R115" i="9" s="1"/>
  <c r="T115" i="9" s="1"/>
  <c r="P165" i="9"/>
  <c r="Q165" i="9" s="1"/>
  <c r="R165" i="9" s="1"/>
  <c r="T165" i="9" s="1"/>
  <c r="P201" i="9"/>
  <c r="Q201" i="9" s="1"/>
  <c r="R201" i="9" s="1"/>
  <c r="T201" i="9" s="1"/>
  <c r="P243" i="9"/>
  <c r="Q243" i="9" s="1"/>
  <c r="R243" i="9" s="1"/>
  <c r="T243" i="9" s="1"/>
  <c r="P219" i="9"/>
  <c r="Q219" i="9" s="1"/>
  <c r="R219" i="9" s="1"/>
  <c r="T219" i="9" s="1"/>
  <c r="P267" i="9"/>
  <c r="Q267" i="9" s="1"/>
  <c r="R267" i="9" s="1"/>
  <c r="T267" i="9" s="1"/>
  <c r="P226" i="9"/>
  <c r="Q226" i="9" s="1"/>
  <c r="R226" i="9" s="1"/>
  <c r="T226" i="9" s="1"/>
  <c r="P232" i="9"/>
  <c r="Q232" i="9" s="1"/>
  <c r="R232" i="9" s="1"/>
  <c r="T232" i="9" s="1"/>
  <c r="P352" i="9"/>
  <c r="Q352" i="9" s="1"/>
  <c r="R352" i="9" s="1"/>
  <c r="T352" i="9" s="1"/>
  <c r="P348" i="9"/>
  <c r="Q348" i="9" s="1"/>
  <c r="R348" i="9" s="1"/>
  <c r="T348" i="9" s="1"/>
  <c r="P285" i="9"/>
  <c r="Q285" i="9" s="1"/>
  <c r="R285" i="9" s="1"/>
  <c r="T285" i="9" s="1"/>
  <c r="P291" i="9"/>
  <c r="Q291" i="9" s="1"/>
  <c r="R291" i="9" s="1"/>
  <c r="T291" i="9" s="1"/>
  <c r="P297" i="9"/>
  <c r="Q297" i="9" s="1"/>
  <c r="R297" i="9" s="1"/>
  <c r="T297" i="9" s="1"/>
  <c r="P351" i="9"/>
  <c r="Q351" i="9" s="1"/>
  <c r="R351" i="9" s="1"/>
  <c r="T351" i="9" s="1"/>
  <c r="C60" i="6" a="1"/>
  <c r="C60" i="6" s="1"/>
  <c r="D60" i="6" s="1" a="1"/>
  <c r="D60" i="6" s="1"/>
  <c r="C20" i="6" a="1"/>
  <c r="C20" i="6" s="1"/>
  <c r="D20" i="6" s="1" a="1"/>
  <c r="D20" i="6" s="1"/>
  <c r="C14" i="6" a="1"/>
  <c r="C14" i="6" s="1"/>
  <c r="D14" i="6" s="1" a="1"/>
  <c r="D14" i="6" s="1"/>
  <c r="C49" i="6" a="1"/>
  <c r="C49" i="6" s="1"/>
  <c r="D49" i="6" s="1" a="1"/>
  <c r="D49" i="6" s="1"/>
  <c r="C143" i="6" a="1"/>
  <c r="C143" i="6" s="1"/>
  <c r="D143" i="6" s="1" a="1"/>
  <c r="D143" i="6" s="1"/>
  <c r="C122" i="6" a="1"/>
  <c r="C122" i="6" s="1"/>
  <c r="D122" i="6" s="1" a="1"/>
  <c r="D122" i="6" s="1"/>
  <c r="C91" i="6" a="1"/>
  <c r="C91" i="6" s="1"/>
  <c r="D91" i="6" s="1" a="1"/>
  <c r="D91" i="6" s="1"/>
  <c r="C96" i="6" a="1"/>
  <c r="C96" i="6" s="1"/>
  <c r="D96" i="6" s="1" a="1"/>
  <c r="D96" i="6" s="1"/>
  <c r="C136" i="6" a="1"/>
  <c r="C136" i="6" s="1"/>
  <c r="D136" i="6" s="1" a="1"/>
  <c r="D136" i="6" s="1"/>
  <c r="C237" i="6" a="1"/>
  <c r="C237" i="6" s="1"/>
  <c r="D237" i="6" s="1" a="1"/>
  <c r="D237" i="6" s="1"/>
  <c r="C252" i="6" a="1"/>
  <c r="C252" i="6" s="1"/>
  <c r="D252" i="6" s="1" a="1"/>
  <c r="D252" i="6" s="1"/>
  <c r="C284" i="6" a="1"/>
  <c r="C284" i="6" s="1"/>
  <c r="D284" i="6" s="1" a="1"/>
  <c r="D284" i="6" s="1"/>
  <c r="C172" i="6" a="1"/>
  <c r="C172" i="6" s="1"/>
  <c r="D172" i="6" s="1" a="1"/>
  <c r="D172" i="6" s="1"/>
  <c r="C188" i="6" a="1"/>
  <c r="C188" i="6" s="1"/>
  <c r="D188" i="6" s="1" a="1"/>
  <c r="D188" i="6" s="1"/>
  <c r="C204" i="6" a="1"/>
  <c r="C204" i="6" s="1"/>
  <c r="D204" i="6" s="1" a="1"/>
  <c r="D204" i="6" s="1"/>
  <c r="C296" i="6" a="1"/>
  <c r="C296" i="6" s="1"/>
  <c r="D296" i="6" s="1" a="1"/>
  <c r="D296" i="6" s="1"/>
  <c r="C240" i="6" a="1"/>
  <c r="C240" i="6" s="1"/>
  <c r="D240" i="6" s="1" a="1"/>
  <c r="D240" i="6" s="1"/>
  <c r="C286" i="6" a="1"/>
  <c r="C286" i="6" s="1"/>
  <c r="D286" i="6" s="1" a="1"/>
  <c r="D286" i="6" s="1"/>
  <c r="C316" i="6" a="1"/>
  <c r="C316" i="6" s="1"/>
  <c r="D316" i="6" s="1" a="1"/>
  <c r="D316" i="6" s="1"/>
  <c r="C295" i="6" a="1"/>
  <c r="C295" i="6" s="1"/>
  <c r="D295" i="6" s="1" a="1"/>
  <c r="D295" i="6" s="1"/>
  <c r="C323" i="6" a="1"/>
  <c r="C323" i="6" s="1"/>
  <c r="D323" i="6" s="1" a="1"/>
  <c r="D323" i="6" s="1"/>
  <c r="C348" i="6" a="1"/>
  <c r="C348" i="6" s="1"/>
  <c r="D348" i="6" s="1" a="1"/>
  <c r="D348" i="6" s="1"/>
  <c r="V11" i="7"/>
  <c r="X11" i="7" s="1"/>
  <c r="Y11" i="7" s="1"/>
  <c r="V18" i="7"/>
  <c r="X18" i="7" s="1"/>
  <c r="Y18" i="7" s="1"/>
  <c r="V84" i="7"/>
  <c r="X84" i="7" s="1"/>
  <c r="Y84" i="7" s="1"/>
  <c r="V45" i="7"/>
  <c r="X45" i="7" s="1"/>
  <c r="Y45" i="7" s="1"/>
  <c r="V121" i="7"/>
  <c r="X121" i="7" s="1"/>
  <c r="Y121" i="7" s="1"/>
  <c r="V48" i="7"/>
  <c r="X48" i="7" s="1"/>
  <c r="Y48" i="7" s="1"/>
  <c r="V128" i="7"/>
  <c r="X128" i="7" s="1"/>
  <c r="Y128" i="7" s="1"/>
  <c r="V70" i="7"/>
  <c r="X70" i="7" s="1"/>
  <c r="Y70" i="7" s="1"/>
  <c r="V149" i="7"/>
  <c r="X149" i="7" s="1"/>
  <c r="Y149" i="7" s="1"/>
  <c r="V171" i="7"/>
  <c r="X171" i="7" s="1"/>
  <c r="Y171" i="7" s="1"/>
  <c r="V210" i="7"/>
  <c r="X210" i="7" s="1"/>
  <c r="Y210" i="7" s="1"/>
  <c r="V134" i="7"/>
  <c r="X134" i="7" s="1"/>
  <c r="Y134" i="7" s="1"/>
  <c r="V190" i="7"/>
  <c r="X190" i="7" s="1"/>
  <c r="Y190" i="7" s="1"/>
  <c r="V237" i="7"/>
  <c r="X237" i="7" s="1"/>
  <c r="Y237" i="7" s="1"/>
  <c r="V159" i="7"/>
  <c r="X159" i="7" s="1"/>
  <c r="Y159" i="7" s="1"/>
  <c r="V255" i="7"/>
  <c r="X255" i="7" s="1"/>
  <c r="Y255" i="7" s="1"/>
  <c r="V305" i="7"/>
  <c r="X305" i="7" s="1"/>
  <c r="Y305" i="7" s="1"/>
  <c r="V260" i="7"/>
  <c r="X260" i="7" s="1"/>
  <c r="Y260" i="7" s="1"/>
  <c r="V321" i="7"/>
  <c r="X321" i="7" s="1"/>
  <c r="Y321" i="7" s="1"/>
  <c r="V328" i="7"/>
  <c r="X328" i="7" s="1"/>
  <c r="Y328" i="7" s="1"/>
  <c r="V356" i="7"/>
  <c r="X356" i="7" s="1"/>
  <c r="Y356" i="7" s="1"/>
  <c r="V330" i="7"/>
  <c r="X330" i="7" s="1"/>
  <c r="Y330" i="7" s="1"/>
  <c r="V363" i="7"/>
  <c r="X363" i="7" s="1"/>
  <c r="Y363" i="7" s="1"/>
  <c r="P85" i="9"/>
  <c r="Q85" i="9" s="1"/>
  <c r="R85" i="9" s="1"/>
  <c r="T85" i="9" s="1"/>
  <c r="P54" i="9"/>
  <c r="Q54" i="9" s="1"/>
  <c r="R54" i="9" s="1"/>
  <c r="T54" i="9" s="1"/>
  <c r="P20" i="9"/>
  <c r="Q20" i="9" s="1"/>
  <c r="R20" i="9" s="1"/>
  <c r="T20" i="9" s="1"/>
  <c r="P67" i="9"/>
  <c r="Q67" i="9" s="1"/>
  <c r="R67" i="9" s="1"/>
  <c r="T67" i="9" s="1"/>
  <c r="P186" i="9"/>
  <c r="Q186" i="9" s="1"/>
  <c r="R186" i="9" s="1"/>
  <c r="T186" i="9" s="1"/>
  <c r="P97" i="9"/>
  <c r="Q97" i="9" s="1"/>
  <c r="R97" i="9" s="1"/>
  <c r="T97" i="9" s="1"/>
  <c r="P119" i="9"/>
  <c r="Q119" i="9" s="1"/>
  <c r="R119" i="9" s="1"/>
  <c r="T119" i="9" s="1"/>
  <c r="P77" i="9"/>
  <c r="Q77" i="9" s="1"/>
  <c r="R77" i="9" s="1"/>
  <c r="T77" i="9" s="1"/>
  <c r="P131" i="9"/>
  <c r="Q131" i="9" s="1"/>
  <c r="R131" i="9" s="1"/>
  <c r="T131" i="9" s="1"/>
  <c r="P52" i="9"/>
  <c r="Q52" i="9" s="1"/>
  <c r="R52" i="9" s="1"/>
  <c r="T52" i="9" s="1"/>
  <c r="P217" i="9"/>
  <c r="Q217" i="9" s="1"/>
  <c r="R217" i="9" s="1"/>
  <c r="T217" i="9" s="1"/>
  <c r="P197" i="9"/>
  <c r="Q197" i="9" s="1"/>
  <c r="R197" i="9" s="1"/>
  <c r="T197" i="9" s="1"/>
  <c r="P235" i="9"/>
  <c r="Q235" i="9" s="1"/>
  <c r="R235" i="9" s="1"/>
  <c r="T235" i="9" s="1"/>
  <c r="P204" i="9"/>
  <c r="Q204" i="9" s="1"/>
  <c r="R204" i="9" s="1"/>
  <c r="T204" i="9" s="1"/>
  <c r="P246" i="9"/>
  <c r="Q246" i="9" s="1"/>
  <c r="R246" i="9" s="1"/>
  <c r="T246" i="9" s="1"/>
  <c r="P247" i="9"/>
  <c r="Q247" i="9" s="1"/>
  <c r="R247" i="9" s="1"/>
  <c r="T247" i="9" s="1"/>
  <c r="P278" i="9"/>
  <c r="Q278" i="9" s="1"/>
  <c r="R278" i="9" s="1"/>
  <c r="T278" i="9" s="1"/>
  <c r="P364" i="9"/>
  <c r="Q364" i="9" s="1"/>
  <c r="R364" i="9" s="1"/>
  <c r="T364" i="9" s="1"/>
  <c r="P301" i="9"/>
  <c r="Q301" i="9" s="1"/>
  <c r="R301" i="9" s="1"/>
  <c r="T301" i="9" s="1"/>
  <c r="P307" i="9"/>
  <c r="Q307" i="9" s="1"/>
  <c r="R307" i="9" s="1"/>
  <c r="T307" i="9" s="1"/>
  <c r="P313" i="9"/>
  <c r="Q313" i="9" s="1"/>
  <c r="R313" i="9" s="1"/>
  <c r="T313" i="9" s="1"/>
  <c r="P266" i="9"/>
  <c r="Q266" i="9" s="1"/>
  <c r="R266" i="9" s="1"/>
  <c r="T266" i="9" s="1"/>
  <c r="C147" i="6" a="1"/>
  <c r="C147" i="6" s="1"/>
  <c r="D147" i="6" s="1" a="1"/>
  <c r="D147" i="6" s="1"/>
  <c r="C126" i="6" a="1"/>
  <c r="C126" i="6" s="1"/>
  <c r="D126" i="6" s="1" a="1"/>
  <c r="D126" i="6" s="1"/>
  <c r="C101" i="6" a="1"/>
  <c r="C101" i="6" s="1"/>
  <c r="D101" i="6" s="1" a="1"/>
  <c r="D101" i="6" s="1"/>
  <c r="C69" i="6" a="1"/>
  <c r="C69" i="6" s="1"/>
  <c r="D69" i="6" s="1" a="1"/>
  <c r="D69" i="6" s="1"/>
  <c r="C140" i="6" a="1"/>
  <c r="C140" i="6" s="1"/>
  <c r="D140" i="6" s="1" a="1"/>
  <c r="D140" i="6" s="1"/>
  <c r="C298" i="6" a="1"/>
  <c r="C298" i="6" s="1"/>
  <c r="D298" i="6" s="1" a="1"/>
  <c r="D298" i="6" s="1"/>
  <c r="C218" i="6" a="1"/>
  <c r="C218" i="6" s="1"/>
  <c r="D218" i="6" s="1" a="1"/>
  <c r="D218" i="6" s="1"/>
  <c r="C318" i="6" a="1"/>
  <c r="C318" i="6" s="1"/>
  <c r="D318" i="6" s="1" a="1"/>
  <c r="D318" i="6" s="1"/>
  <c r="C173" i="6" a="1"/>
  <c r="C173" i="6" s="1"/>
  <c r="D173" i="6" s="1" a="1"/>
  <c r="D173" i="6" s="1"/>
  <c r="C189" i="6" a="1"/>
  <c r="C189" i="6" s="1"/>
  <c r="D189" i="6" s="1" a="1"/>
  <c r="D189" i="6" s="1"/>
  <c r="C205" i="6" a="1"/>
  <c r="C205" i="6" s="1"/>
  <c r="D205" i="6" s="1" a="1"/>
  <c r="D205" i="6" s="1"/>
  <c r="C230" i="6" a="1"/>
  <c r="C230" i="6" s="1"/>
  <c r="D230" i="6" s="1" a="1"/>
  <c r="D230" i="6" s="1"/>
  <c r="C248" i="6" a="1"/>
  <c r="C248" i="6" s="1"/>
  <c r="D248" i="6" s="1" a="1"/>
  <c r="D248" i="6" s="1"/>
  <c r="C223" i="6" a="1"/>
  <c r="C223" i="6" s="1"/>
  <c r="D223" i="6" s="1" a="1"/>
  <c r="D223" i="6" s="1"/>
  <c r="C332" i="6" a="1"/>
  <c r="C332" i="6" s="1"/>
  <c r="D332" i="6" s="1" a="1"/>
  <c r="D332" i="6" s="1"/>
  <c r="C311" i="6" a="1"/>
  <c r="C311" i="6" s="1"/>
  <c r="D311" i="6" s="1" a="1"/>
  <c r="D311" i="6" s="1"/>
  <c r="C354" i="6" a="1"/>
  <c r="C354" i="6" s="1"/>
  <c r="D354" i="6" s="1" a="1"/>
  <c r="D354" i="6" s="1"/>
  <c r="C347" i="6" a="1"/>
  <c r="C347" i="6" s="1"/>
  <c r="D347" i="6" s="1" a="1"/>
  <c r="D347" i="6" s="1"/>
  <c r="C5" i="6" a="1"/>
  <c r="C5" i="6" s="1"/>
  <c r="D5" i="6" s="1" a="1"/>
  <c r="D5" i="6" s="1"/>
  <c r="V14" i="7"/>
  <c r="X14" i="7" s="1"/>
  <c r="Y14" i="7" s="1"/>
  <c r="V24" i="7"/>
  <c r="X24" i="7" s="1"/>
  <c r="Y24" i="7" s="1"/>
  <c r="V87" i="7"/>
  <c r="X87" i="7" s="1"/>
  <c r="Y87" i="7" s="1"/>
  <c r="V50" i="7"/>
  <c r="X50" i="7" s="1"/>
  <c r="Y50" i="7" s="1"/>
  <c r="V133" i="7"/>
  <c r="X133" i="7" s="1"/>
  <c r="Y133" i="7" s="1"/>
  <c r="V51" i="7"/>
  <c r="X51" i="7" s="1"/>
  <c r="Y51" i="7" s="1"/>
  <c r="V135" i="7"/>
  <c r="X135" i="7" s="1"/>
  <c r="Y135" i="7" s="1"/>
  <c r="V73" i="7"/>
  <c r="X73" i="7" s="1"/>
  <c r="Y73" i="7" s="1"/>
  <c r="V151" i="7"/>
  <c r="X151" i="7" s="1"/>
  <c r="Y151" i="7" s="1"/>
  <c r="V180" i="7"/>
  <c r="X180" i="7" s="1"/>
  <c r="Y180" i="7" s="1"/>
  <c r="V225" i="7"/>
  <c r="X225" i="7" s="1"/>
  <c r="Y225" i="7" s="1"/>
  <c r="V136" i="7"/>
  <c r="X136" i="7" s="1"/>
  <c r="Y136" i="7" s="1"/>
  <c r="V200" i="7"/>
  <c r="X200" i="7" s="1"/>
  <c r="Y200" i="7" s="1"/>
  <c r="V223" i="7"/>
  <c r="X223" i="7" s="1"/>
  <c r="Y223" i="7" s="1"/>
  <c r="V168" i="7"/>
  <c r="X168" i="7" s="1"/>
  <c r="Y168" i="7" s="1"/>
  <c r="V309" i="7"/>
  <c r="X309" i="7" s="1"/>
  <c r="Y309" i="7" s="1"/>
  <c r="V317" i="7"/>
  <c r="X317" i="7" s="1"/>
  <c r="Y317" i="7" s="1"/>
  <c r="V263" i="7"/>
  <c r="X263" i="7" s="1"/>
  <c r="Y263" i="7" s="1"/>
  <c r="V257" i="7"/>
  <c r="X257" i="7" s="1"/>
  <c r="Y257" i="7" s="1"/>
  <c r="V364" i="7"/>
  <c r="X364" i="7" s="1"/>
  <c r="Y364" i="7" s="1"/>
  <c r="V329" i="7"/>
  <c r="X329" i="7" s="1"/>
  <c r="Y329" i="7" s="1"/>
  <c r="V343" i="7"/>
  <c r="X343" i="7" s="1"/>
  <c r="Y343" i="7" s="1"/>
  <c r="V365" i="7"/>
  <c r="X365" i="7" s="1"/>
  <c r="Y365" i="7" s="1"/>
  <c r="C63" i="6" a="1"/>
  <c r="C63" i="6" s="1"/>
  <c r="D63" i="6" s="1" a="1"/>
  <c r="D63" i="6" s="1"/>
  <c r="C28" i="6" a="1"/>
  <c r="C28" i="6" s="1"/>
  <c r="D28" i="6" s="1" a="1"/>
  <c r="D28" i="6" s="1"/>
  <c r="C25" i="6" a="1"/>
  <c r="C25" i="6" s="1"/>
  <c r="D25" i="6" s="1" a="1"/>
  <c r="D25" i="6" s="1"/>
  <c r="P2" i="9"/>
  <c r="Q2" i="9" s="1"/>
  <c r="R2" i="9" s="1"/>
  <c r="T2" i="9" s="1"/>
  <c r="P91" i="9"/>
  <c r="Q91" i="9" s="1"/>
  <c r="R91" i="9" s="1"/>
  <c r="T91" i="9" s="1"/>
  <c r="P8" i="9"/>
  <c r="Q8" i="9" s="1"/>
  <c r="R8" i="9" s="1"/>
  <c r="T8" i="9" s="1"/>
  <c r="P36" i="9"/>
  <c r="Q36" i="9" s="1"/>
  <c r="R36" i="9" s="1"/>
  <c r="T36" i="9" s="1"/>
  <c r="P74" i="9"/>
  <c r="Q74" i="9" s="1"/>
  <c r="R74" i="9" s="1"/>
  <c r="T74" i="9" s="1"/>
  <c r="P112" i="9"/>
  <c r="Q112" i="9" s="1"/>
  <c r="R112" i="9" s="1"/>
  <c r="T112" i="9" s="1"/>
  <c r="P113" i="9"/>
  <c r="Q113" i="9" s="1"/>
  <c r="R113" i="9" s="1"/>
  <c r="T113" i="9" s="1"/>
  <c r="P135" i="9"/>
  <c r="Q135" i="9" s="1"/>
  <c r="R135" i="9" s="1"/>
  <c r="T135" i="9" s="1"/>
  <c r="P93" i="9"/>
  <c r="Q93" i="9" s="1"/>
  <c r="R93" i="9" s="1"/>
  <c r="T93" i="9" s="1"/>
  <c r="P144" i="9"/>
  <c r="Q144" i="9" s="1"/>
  <c r="R144" i="9" s="1"/>
  <c r="T144" i="9" s="1"/>
  <c r="P68" i="9"/>
  <c r="Q68" i="9" s="1"/>
  <c r="R68" i="9" s="1"/>
  <c r="T68" i="9" s="1"/>
  <c r="P233" i="9"/>
  <c r="Q233" i="9" s="1"/>
  <c r="R233" i="9" s="1"/>
  <c r="T233" i="9" s="1"/>
  <c r="P213" i="9"/>
  <c r="Q213" i="9" s="1"/>
  <c r="R213" i="9" s="1"/>
  <c r="T213" i="9" s="1"/>
  <c r="P272" i="9"/>
  <c r="Q272" i="9" s="1"/>
  <c r="R272" i="9" s="1"/>
  <c r="T272" i="9" s="1"/>
  <c r="P220" i="9"/>
  <c r="Q220" i="9" s="1"/>
  <c r="R220" i="9" s="1"/>
  <c r="T220" i="9" s="1"/>
  <c r="P258" i="9"/>
  <c r="Q258" i="9" s="1"/>
  <c r="R258" i="9" s="1"/>
  <c r="T258" i="9" s="1"/>
  <c r="P257" i="9"/>
  <c r="Q257" i="9" s="1"/>
  <c r="R257" i="9" s="1"/>
  <c r="T257" i="9" s="1"/>
  <c r="P294" i="9"/>
  <c r="Q294" i="9" s="1"/>
  <c r="R294" i="9" s="1"/>
  <c r="T294" i="9" s="1"/>
  <c r="P279" i="9"/>
  <c r="Q279" i="9" s="1"/>
  <c r="R279" i="9" s="1"/>
  <c r="T279" i="9" s="1"/>
  <c r="P317" i="9"/>
  <c r="Q317" i="9" s="1"/>
  <c r="R317" i="9" s="1"/>
  <c r="T317" i="9" s="1"/>
  <c r="P323" i="9"/>
  <c r="Q323" i="9" s="1"/>
  <c r="R323" i="9" s="1"/>
  <c r="T323" i="9" s="1"/>
  <c r="P329" i="9"/>
  <c r="Q329" i="9" s="1"/>
  <c r="R329" i="9" s="1"/>
  <c r="T329" i="9" s="1"/>
  <c r="P282" i="9"/>
  <c r="Q282" i="9" s="1"/>
  <c r="R282" i="9" s="1"/>
  <c r="T282" i="9" s="1"/>
  <c r="G29" i="1"/>
  <c r="C151" i="6" a="1"/>
  <c r="C151" i="6" s="1"/>
  <c r="D151" i="6" s="1" a="1"/>
  <c r="D151" i="6" s="1"/>
  <c r="C130" i="6" a="1"/>
  <c r="C130" i="6" s="1"/>
  <c r="D130" i="6" s="1" a="1"/>
  <c r="D130" i="6" s="1"/>
  <c r="C105" i="6" a="1"/>
  <c r="C105" i="6" s="1"/>
  <c r="D105" i="6" s="1" a="1"/>
  <c r="D105" i="6" s="1"/>
  <c r="C85" i="6" a="1"/>
  <c r="C85" i="6" s="1"/>
  <c r="D85" i="6" s="1" a="1"/>
  <c r="D85" i="6" s="1"/>
  <c r="C144" i="6" a="1"/>
  <c r="C144" i="6" s="1"/>
  <c r="D144" i="6" s="1" a="1"/>
  <c r="D144" i="6" s="1"/>
  <c r="C245" i="6" a="1"/>
  <c r="C245" i="6" s="1"/>
  <c r="D245" i="6" s="1" a="1"/>
  <c r="D245" i="6" s="1"/>
  <c r="C234" i="6" a="1"/>
  <c r="C234" i="6" s="1"/>
  <c r="D234" i="6" s="1" a="1"/>
  <c r="D234" i="6" s="1"/>
  <c r="C158" i="6" a="1"/>
  <c r="C158" i="6" s="1"/>
  <c r="D158" i="6" s="1" a="1"/>
  <c r="D158" i="6" s="1"/>
  <c r="C174" i="6" a="1"/>
  <c r="C174" i="6" s="1"/>
  <c r="D174" i="6" s="1" a="1"/>
  <c r="D174" i="6" s="1"/>
  <c r="C190" i="6" a="1"/>
  <c r="C190" i="6" s="1"/>
  <c r="D190" i="6" s="1" a="1"/>
  <c r="D190" i="6" s="1"/>
  <c r="C206" i="6" a="1"/>
  <c r="C206" i="6" s="1"/>
  <c r="D206" i="6" s="1" a="1"/>
  <c r="D206" i="6" s="1"/>
  <c r="C263" i="6" a="1"/>
  <c r="C263" i="6" s="1"/>
  <c r="D263" i="6" s="1" a="1"/>
  <c r="D263" i="6" s="1"/>
  <c r="C256" i="6" a="1"/>
  <c r="C256" i="6" s="1"/>
  <c r="D256" i="6" s="1" a="1"/>
  <c r="D256" i="6" s="1"/>
  <c r="C238" i="6" a="1"/>
  <c r="C238" i="6" s="1"/>
  <c r="D238" i="6" s="1" a="1"/>
  <c r="D238" i="6" s="1"/>
  <c r="C299" i="6" a="1"/>
  <c r="C299" i="6" s="1"/>
  <c r="D299" i="6" s="1" a="1"/>
  <c r="D299" i="6" s="1"/>
  <c r="C327" i="6" a="1"/>
  <c r="C327" i="6" s="1"/>
  <c r="D327" i="6" s="1" a="1"/>
  <c r="D327" i="6" s="1"/>
  <c r="C290" i="6" a="1"/>
  <c r="C290" i="6" s="1"/>
  <c r="D290" i="6" s="1" a="1"/>
  <c r="D290" i="6" s="1"/>
  <c r="C363" i="6" a="1"/>
  <c r="C363" i="6" s="1"/>
  <c r="D363" i="6" s="1" a="1"/>
  <c r="D363" i="6" s="1"/>
  <c r="V26" i="7"/>
  <c r="X26" i="7" s="1"/>
  <c r="Y26" i="7" s="1"/>
  <c r="V7" i="7"/>
  <c r="X7" i="7" s="1"/>
  <c r="Y7" i="7" s="1"/>
  <c r="V92" i="7"/>
  <c r="X92" i="7" s="1"/>
  <c r="Y92" i="7" s="1"/>
  <c r="V53" i="7"/>
  <c r="X53" i="7" s="1"/>
  <c r="Y53" i="7" s="1"/>
  <c r="V141" i="7"/>
  <c r="X141" i="7" s="1"/>
  <c r="Y141" i="7" s="1"/>
  <c r="V56" i="7"/>
  <c r="X56" i="7" s="1"/>
  <c r="Y56" i="7" s="1"/>
  <c r="V143" i="7"/>
  <c r="X143" i="7" s="1"/>
  <c r="Y143" i="7" s="1"/>
  <c r="V78" i="7"/>
  <c r="X78" i="7" s="1"/>
  <c r="Y78" i="7" s="1"/>
  <c r="V153" i="7"/>
  <c r="X153" i="7" s="1"/>
  <c r="Y153" i="7" s="1"/>
  <c r="V187" i="7"/>
  <c r="X187" i="7" s="1"/>
  <c r="Y187" i="7" s="1"/>
  <c r="V236" i="7"/>
  <c r="X236" i="7" s="1"/>
  <c r="Y236" i="7" s="1"/>
  <c r="V138" i="7"/>
  <c r="X138" i="7" s="1"/>
  <c r="Y138" i="7" s="1"/>
  <c r="V208" i="7"/>
  <c r="X208" i="7" s="1"/>
  <c r="Y208" i="7" s="1"/>
  <c r="V161" i="7"/>
  <c r="X161" i="7" s="1"/>
  <c r="Y161" i="7" s="1"/>
  <c r="V175" i="7"/>
  <c r="X175" i="7" s="1"/>
  <c r="Y175" i="7" s="1"/>
  <c r="V315" i="7"/>
  <c r="X315" i="7" s="1"/>
  <c r="Y315" i="7" s="1"/>
  <c r="V256" i="7"/>
  <c r="X256" i="7" s="1"/>
  <c r="Y256" i="7" s="1"/>
  <c r="V276" i="7"/>
  <c r="X276" i="7" s="1"/>
  <c r="Y276" i="7" s="1"/>
  <c r="V270" i="7"/>
  <c r="X270" i="7" s="1"/>
  <c r="Y270" i="7" s="1"/>
  <c r="V354" i="7"/>
  <c r="X354" i="7" s="1"/>
  <c r="Y354" i="7" s="1"/>
  <c r="V339" i="7"/>
  <c r="X339" i="7" s="1"/>
  <c r="Y339" i="7" s="1"/>
  <c r="V348" i="7"/>
  <c r="X348" i="7" s="1"/>
  <c r="Y348" i="7" s="1"/>
  <c r="C15" i="6" a="1"/>
  <c r="C15" i="6" s="1"/>
  <c r="D15" i="6" s="1" a="1"/>
  <c r="D15" i="6" s="1"/>
  <c r="C45" i="6" a="1"/>
  <c r="C45" i="6" s="1"/>
  <c r="D45" i="6" s="1" a="1"/>
  <c r="D45" i="6" s="1"/>
  <c r="P6" i="9"/>
  <c r="Q6" i="9" s="1"/>
  <c r="R6" i="9" s="1"/>
  <c r="T6" i="9" s="1"/>
  <c r="P7" i="9"/>
  <c r="Q7" i="9" s="1"/>
  <c r="R7" i="9" s="1"/>
  <c r="T7" i="9" s="1"/>
  <c r="P24" i="9"/>
  <c r="Q24" i="9" s="1"/>
  <c r="R24" i="9" s="1"/>
  <c r="T24" i="9" s="1"/>
  <c r="P31" i="9"/>
  <c r="Q31" i="9" s="1"/>
  <c r="R31" i="9" s="1"/>
  <c r="T31" i="9" s="1"/>
  <c r="P75" i="9"/>
  <c r="Q75" i="9" s="1"/>
  <c r="R75" i="9" s="1"/>
  <c r="T75" i="9" s="1"/>
  <c r="P128" i="9"/>
  <c r="Q128" i="9" s="1"/>
  <c r="R128" i="9" s="1"/>
  <c r="T128" i="9" s="1"/>
  <c r="P129" i="9"/>
  <c r="Q129" i="9" s="1"/>
  <c r="R129" i="9" s="1"/>
  <c r="T129" i="9" s="1"/>
  <c r="P148" i="9"/>
  <c r="Q148" i="9" s="1"/>
  <c r="R148" i="9" s="1"/>
  <c r="T148" i="9" s="1"/>
  <c r="P109" i="9"/>
  <c r="Q109" i="9" s="1"/>
  <c r="R109" i="9" s="1"/>
  <c r="T109" i="9" s="1"/>
  <c r="P166" i="9"/>
  <c r="Q166" i="9" s="1"/>
  <c r="R166" i="9" s="1"/>
  <c r="T166" i="9" s="1"/>
  <c r="P84" i="9"/>
  <c r="Q84" i="9" s="1"/>
  <c r="R84" i="9" s="1"/>
  <c r="T84" i="9" s="1"/>
  <c r="P331" i="9"/>
  <c r="Q331" i="9" s="1"/>
  <c r="R331" i="9" s="1"/>
  <c r="T331" i="9" s="1"/>
  <c r="P229" i="9"/>
  <c r="Q229" i="9" s="1"/>
  <c r="R229" i="9" s="1"/>
  <c r="T229" i="9" s="1"/>
  <c r="P182" i="9"/>
  <c r="Q182" i="9" s="1"/>
  <c r="R182" i="9" s="1"/>
  <c r="T182" i="9" s="1"/>
  <c r="P237" i="9"/>
  <c r="Q237" i="9" s="1"/>
  <c r="R237" i="9" s="1"/>
  <c r="T237" i="9" s="1"/>
  <c r="P141" i="9"/>
  <c r="Q141" i="9" s="1"/>
  <c r="R141" i="9" s="1"/>
  <c r="T141" i="9" s="1"/>
  <c r="P147" i="9"/>
  <c r="Q147" i="9" s="1"/>
  <c r="R147" i="9" s="1"/>
  <c r="T147" i="9" s="1"/>
  <c r="P310" i="9"/>
  <c r="Q310" i="9" s="1"/>
  <c r="R310" i="9" s="1"/>
  <c r="T310" i="9" s="1"/>
  <c r="P295" i="9"/>
  <c r="Q295" i="9" s="1"/>
  <c r="R295" i="9" s="1"/>
  <c r="T295" i="9" s="1"/>
  <c r="P333" i="9"/>
  <c r="Q333" i="9" s="1"/>
  <c r="R333" i="9" s="1"/>
  <c r="T333" i="9" s="1"/>
  <c r="P339" i="9"/>
  <c r="Q339" i="9" s="1"/>
  <c r="R339" i="9" s="1"/>
  <c r="T339" i="9" s="1"/>
  <c r="P345" i="9"/>
  <c r="Q345" i="9" s="1"/>
  <c r="R345" i="9" s="1"/>
  <c r="T345" i="9" s="1"/>
  <c r="P298" i="9"/>
  <c r="Q298" i="9" s="1"/>
  <c r="R298" i="9" s="1"/>
  <c r="T298" i="9" s="1"/>
  <c r="E44" i="1"/>
  <c r="E53" i="1"/>
  <c r="E43" i="1"/>
  <c r="D60" i="1"/>
  <c r="E50" i="1"/>
  <c r="E47" i="1"/>
  <c r="D57" i="1"/>
  <c r="E39" i="1"/>
  <c r="E51" i="1"/>
  <c r="E49" i="1"/>
  <c r="E41" i="1"/>
  <c r="E52" i="1"/>
  <c r="E46" i="1"/>
  <c r="E40" i="1"/>
  <c r="D56" i="1"/>
  <c r="D44" i="1"/>
  <c r="D43" i="1"/>
  <c r="D51" i="1"/>
  <c r="C60" i="1"/>
  <c r="D40" i="1"/>
  <c r="D53" i="1"/>
  <c r="C56" i="1"/>
  <c r="D42" i="1"/>
  <c r="D49" i="1"/>
  <c r="D39" i="1"/>
  <c r="D45" i="1"/>
  <c r="C57" i="1"/>
  <c r="D50" i="1"/>
  <c r="D46" i="1"/>
  <c r="D52" i="1"/>
  <c r="D41" i="1"/>
  <c r="D47" i="1"/>
  <c r="D58" i="1" l="1"/>
  <c r="C12" i="1"/>
  <c r="C59" i="1" s="1"/>
  <c r="D12" i="1"/>
  <c r="D59" i="1" s="1"/>
  <c r="E12" i="1"/>
  <c r="G31" i="1"/>
  <c r="D64" i="1"/>
  <c r="E45" i="1"/>
  <c r="C58" i="1"/>
  <c r="I62" i="1" a="1"/>
  <c r="I62" i="1" s="1"/>
  <c r="F66" i="1" a="1"/>
  <c r="F66" i="1" s="1"/>
  <c r="F67" i="1" s="1"/>
  <c r="D66" i="1" a="1"/>
  <c r="D66" i="1" s="1"/>
  <c r="D67" i="1" s="1"/>
  <c r="F64" i="1"/>
  <c r="D2" i="6" a="1"/>
  <c r="D2" i="6" s="1"/>
  <c r="J61" i="1" s="1" a="1"/>
  <c r="E66" i="1" a="1"/>
  <c r="E66" i="1" s="1"/>
  <c r="E67" i="1" s="1"/>
  <c r="E64" i="1"/>
  <c r="C64" i="1"/>
  <c r="C66" i="1" a="1"/>
  <c r="C66" i="1" s="1"/>
  <c r="C67" i="1" s="1"/>
  <c r="F11" i="1"/>
  <c r="E11" i="1"/>
  <c r="E65" i="1" s="1" a="1"/>
  <c r="E65" i="1" s="1"/>
  <c r="D11" i="1"/>
  <c r="C11" i="1"/>
  <c r="M364" i="6" s="1" a="1"/>
  <c r="M364" i="6" s="1"/>
  <c r="M44" i="6" l="1" a="1"/>
  <c r="M44" i="6" s="1"/>
  <c r="M38" i="6" a="1"/>
  <c r="M38" i="6" s="1"/>
  <c r="M8" i="6" a="1"/>
  <c r="M8" i="6" s="1"/>
  <c r="M338" i="6" a="1"/>
  <c r="M338" i="6" s="1"/>
  <c r="M30" i="6" a="1"/>
  <c r="M30" i="6" s="1"/>
  <c r="M80" i="6" a="1"/>
  <c r="M80" i="6" s="1"/>
  <c r="M344" i="6" a="1"/>
  <c r="M344" i="6" s="1"/>
  <c r="M2" i="6" a="1"/>
  <c r="M2" i="6" s="1"/>
  <c r="M19" i="6" a="1"/>
  <c r="M19" i="6" s="1"/>
  <c r="M64" i="6" a="1"/>
  <c r="M64" i="6" s="1"/>
  <c r="M36" i="6" a="1"/>
  <c r="M36" i="6" s="1"/>
  <c r="M9" i="6" a="1"/>
  <c r="M9" i="6" s="1"/>
  <c r="M97" i="6" a="1"/>
  <c r="M97" i="6" s="1"/>
  <c r="M39" i="6" a="1"/>
  <c r="M39" i="6" s="1"/>
  <c r="M14" i="6" a="1"/>
  <c r="M14" i="6" s="1"/>
  <c r="M272" i="6" a="1"/>
  <c r="M272" i="6" s="1"/>
  <c r="M274" i="6" a="1"/>
  <c r="M274" i="6" s="1"/>
  <c r="M21" i="6" a="1"/>
  <c r="M21" i="6" s="1"/>
  <c r="M63" i="6" a="1"/>
  <c r="M63" i="6" s="1"/>
  <c r="M316" i="6" a="1"/>
  <c r="M316" i="6" s="1"/>
  <c r="M91" i="6" a="1"/>
  <c r="M91" i="6" s="1"/>
  <c r="M71" i="6" a="1"/>
  <c r="M71" i="6" s="1"/>
  <c r="M163" i="6" a="1"/>
  <c r="M163" i="6" s="1"/>
  <c r="M49" i="6" a="1"/>
  <c r="M49" i="6" s="1"/>
  <c r="M7" i="6" a="1"/>
  <c r="M7" i="6" s="1"/>
  <c r="M349" i="6" a="1"/>
  <c r="M349" i="6" s="1"/>
  <c r="M86" i="6" a="1"/>
  <c r="M86" i="6" s="1"/>
  <c r="M31" i="6" a="1"/>
  <c r="M31" i="6" s="1"/>
  <c r="M294" i="6" a="1"/>
  <c r="M294" i="6" s="1"/>
  <c r="M81" i="6" a="1"/>
  <c r="M81" i="6" s="1"/>
  <c r="M365" i="6" a="1"/>
  <c r="M365" i="6" s="1"/>
  <c r="M12" i="6" a="1"/>
  <c r="M12" i="6" s="1"/>
  <c r="M331" i="6" a="1"/>
  <c r="M331" i="6" s="1"/>
  <c r="M315" i="6" a="1"/>
  <c r="M315" i="6" s="1"/>
  <c r="M190" i="6" a="1"/>
  <c r="M190" i="6" s="1"/>
  <c r="M37" i="6" a="1"/>
  <c r="M37" i="6" s="1"/>
  <c r="M4" i="6" a="1"/>
  <c r="M4" i="6" s="1"/>
  <c r="M32" i="6" a="1"/>
  <c r="M32" i="6" s="1"/>
  <c r="M3" i="6" a="1"/>
  <c r="M3" i="6" s="1"/>
  <c r="M117" i="6" a="1"/>
  <c r="M117" i="6" s="1"/>
  <c r="M300" i="6" a="1"/>
  <c r="M300" i="6" s="1"/>
  <c r="M129" i="6" a="1"/>
  <c r="M129" i="6" s="1"/>
  <c r="M217" i="6" a="1"/>
  <c r="M217" i="6" s="1"/>
  <c r="M187" i="6" a="1"/>
  <c r="M187" i="6" s="1"/>
  <c r="M131" i="6" a="1"/>
  <c r="M131" i="6" s="1"/>
  <c r="M33" i="6" a="1"/>
  <c r="M33" i="6" s="1"/>
  <c r="M62" i="6" a="1"/>
  <c r="M62" i="6" s="1"/>
  <c r="M114" i="6" a="1"/>
  <c r="M114" i="6" s="1"/>
  <c r="M317" i="6" a="1"/>
  <c r="M317" i="6" s="1"/>
  <c r="M65" i="6" a="1"/>
  <c r="M65" i="6" s="1"/>
  <c r="M40" i="6" a="1"/>
  <c r="M40" i="6" s="1"/>
  <c r="M225" i="6" a="1"/>
  <c r="M225" i="6" s="1"/>
  <c r="M354" i="6" a="1"/>
  <c r="M354" i="6" s="1"/>
  <c r="M179" i="6" a="1"/>
  <c r="M179" i="6" s="1"/>
  <c r="M54" i="6" a="1"/>
  <c r="M54" i="6" s="1"/>
  <c r="M173" i="6" a="1"/>
  <c r="M173" i="6" s="1"/>
  <c r="M293" i="6" a="1"/>
  <c r="M293" i="6" s="1"/>
  <c r="M100" i="6" a="1"/>
  <c r="M100" i="6" s="1"/>
  <c r="M203" i="6" a="1"/>
  <c r="M203" i="6" s="1"/>
  <c r="M177" i="6" a="1"/>
  <c r="M177" i="6" s="1"/>
  <c r="M35" i="6" a="1"/>
  <c r="M35" i="6" s="1"/>
  <c r="M48" i="6" a="1"/>
  <c r="M48" i="6" s="1"/>
  <c r="M70" i="6" a="1"/>
  <c r="M70" i="6" s="1"/>
  <c r="M98" i="6" a="1"/>
  <c r="M98" i="6" s="1"/>
  <c r="M13" i="6" a="1"/>
  <c r="M13" i="6" s="1"/>
  <c r="M132" i="6" a="1"/>
  <c r="M132" i="6" s="1"/>
  <c r="M306" i="6" a="1"/>
  <c r="M306" i="6" s="1"/>
  <c r="M290" i="6" a="1"/>
  <c r="M290" i="6" s="1"/>
  <c r="M11" i="6" a="1"/>
  <c r="M11" i="6" s="1"/>
  <c r="M43" i="6" a="1"/>
  <c r="M43" i="6" s="1"/>
  <c r="M224" i="6" a="1"/>
  <c r="M224" i="6" s="1"/>
  <c r="M238" i="6" a="1"/>
  <c r="M238" i="6" s="1"/>
  <c r="M130" i="6" a="1"/>
  <c r="M130" i="6" s="1"/>
  <c r="M271" i="6" a="1"/>
  <c r="M271" i="6" s="1"/>
  <c r="M299" i="6" a="1"/>
  <c r="M299" i="6" s="1"/>
  <c r="M326" i="6" a="1"/>
  <c r="M326" i="6" s="1"/>
  <c r="M51" i="6" a="1"/>
  <c r="M51" i="6" s="1"/>
  <c r="M171" i="6" a="1"/>
  <c r="M171" i="6" s="1"/>
  <c r="M133" i="6" a="1"/>
  <c r="M133" i="6" s="1"/>
  <c r="M275" i="6" a="1"/>
  <c r="M275" i="6" s="1"/>
  <c r="M341" i="6" a="1"/>
  <c r="M341" i="6" s="1"/>
  <c r="M301" i="6" a="1"/>
  <c r="M301" i="6" s="1"/>
  <c r="M182" i="6" a="1"/>
  <c r="M182" i="6" s="1"/>
  <c r="M29" i="6" a="1"/>
  <c r="M29" i="6" s="1"/>
  <c r="M24" i="6" a="1"/>
  <c r="M24" i="6" s="1"/>
  <c r="M69" i="6" a="1"/>
  <c r="M69" i="6" s="1"/>
  <c r="M136" i="6" a="1"/>
  <c r="M136" i="6" s="1"/>
  <c r="M276" i="6" a="1"/>
  <c r="M276" i="6" s="1"/>
  <c r="M353" i="6" a="1"/>
  <c r="M353" i="6" s="1"/>
  <c r="M327" i="6" a="1"/>
  <c r="M327" i="6" s="1"/>
  <c r="M22" i="6" a="1"/>
  <c r="M22" i="6" s="1"/>
  <c r="M23" i="6" a="1"/>
  <c r="M23" i="6" s="1"/>
  <c r="M10" i="6" a="1"/>
  <c r="M10" i="6" s="1"/>
  <c r="M90" i="6" a="1"/>
  <c r="M90" i="6" s="1"/>
  <c r="M147" i="6" a="1"/>
  <c r="M147" i="6" s="1"/>
  <c r="M333" i="6" a="1"/>
  <c r="M333" i="6" s="1"/>
  <c r="M105" i="6" a="1"/>
  <c r="M105" i="6" s="1"/>
  <c r="M16" i="6" a="1"/>
  <c r="M16" i="6" s="1"/>
  <c r="M77" i="6" a="1"/>
  <c r="M77" i="6" s="1"/>
  <c r="M358" i="6" a="1"/>
  <c r="M358" i="6" s="1"/>
  <c r="M168" i="6" a="1"/>
  <c r="M168" i="6" s="1"/>
  <c r="M155" i="6" a="1"/>
  <c r="M155" i="6" s="1"/>
  <c r="M93" i="6" a="1"/>
  <c r="M93" i="6" s="1"/>
  <c r="M5" i="6" a="1"/>
  <c r="M5" i="6" s="1"/>
  <c r="M57" i="6" a="1"/>
  <c r="M57" i="6" s="1"/>
  <c r="M112" i="6" a="1"/>
  <c r="M112" i="6" s="1"/>
  <c r="M167" i="6" a="1"/>
  <c r="M167" i="6" s="1"/>
  <c r="M240" i="6" a="1"/>
  <c r="M240" i="6" s="1"/>
  <c r="M58" i="6" a="1"/>
  <c r="M58" i="6" s="1"/>
  <c r="M102" i="6" a="1"/>
  <c r="M102" i="6" s="1"/>
  <c r="M205" i="6" a="1"/>
  <c r="M205" i="6" s="1"/>
  <c r="M291" i="6" a="1"/>
  <c r="M291" i="6" s="1"/>
  <c r="M183" i="6" a="1"/>
  <c r="M183" i="6" s="1"/>
  <c r="M297" i="6" a="1"/>
  <c r="M297" i="6" s="1"/>
  <c r="M120" i="6" a="1"/>
  <c r="M120" i="6" s="1"/>
  <c r="M305" i="6" a="1"/>
  <c r="M305" i="6" s="1"/>
  <c r="M108" i="6" a="1"/>
  <c r="M108" i="6" s="1"/>
  <c r="M85" i="6" a="1"/>
  <c r="M85" i="6" s="1"/>
  <c r="M162" i="6" a="1"/>
  <c r="M162" i="6" s="1"/>
  <c r="M146" i="6" a="1"/>
  <c r="M146" i="6" s="1"/>
  <c r="M246" i="6" a="1"/>
  <c r="M246" i="6" s="1"/>
  <c r="M278" i="6" a="1"/>
  <c r="M278" i="6" s="1"/>
  <c r="M348" i="6" a="1"/>
  <c r="M348" i="6" s="1"/>
  <c r="M219" i="6" a="1"/>
  <c r="M219" i="6" s="1"/>
  <c r="M47" i="6" a="1"/>
  <c r="M47" i="6" s="1"/>
  <c r="M61" i="6" a="1"/>
  <c r="M61" i="6" s="1"/>
  <c r="M366" i="6" a="1"/>
  <c r="M366" i="6" s="1"/>
  <c r="M46" i="6" a="1"/>
  <c r="M46" i="6" s="1"/>
  <c r="M73" i="6" a="1"/>
  <c r="M73" i="6" s="1"/>
  <c r="M199" i="6" a="1"/>
  <c r="M199" i="6" s="1"/>
  <c r="M149" i="6" a="1"/>
  <c r="M149" i="6" s="1"/>
  <c r="M330" i="6" a="1"/>
  <c r="M330" i="6" s="1"/>
  <c r="M361" i="6" a="1"/>
  <c r="M361" i="6" s="1"/>
  <c r="M160" i="6" a="1"/>
  <c r="M160" i="6" s="1"/>
  <c r="M101" i="6" a="1"/>
  <c r="M101" i="6" s="1"/>
  <c r="M66" i="6" a="1"/>
  <c r="M66" i="6" s="1"/>
  <c r="M56" i="6" a="1"/>
  <c r="M56" i="6" s="1"/>
  <c r="M110" i="6" a="1"/>
  <c r="M110" i="6" s="1"/>
  <c r="M111" i="6" a="1"/>
  <c r="M111" i="6" s="1"/>
  <c r="M89" i="6" a="1"/>
  <c r="M89" i="6" s="1"/>
  <c r="M204" i="6" a="1"/>
  <c r="M204" i="6" s="1"/>
  <c r="M150" i="6" a="1"/>
  <c r="M150" i="6" s="1"/>
  <c r="M312" i="6" a="1"/>
  <c r="M312" i="6" s="1"/>
  <c r="M359" i="6" a="1"/>
  <c r="M359" i="6" s="1"/>
  <c r="M99" i="6" a="1"/>
  <c r="M99" i="6" s="1"/>
  <c r="M311" i="6" a="1"/>
  <c r="M311" i="6" s="1"/>
  <c r="M59" i="6" a="1"/>
  <c r="M59" i="6" s="1"/>
  <c r="M53" i="6" a="1"/>
  <c r="M53" i="6" s="1"/>
  <c r="M104" i="6" a="1"/>
  <c r="M104" i="6" s="1"/>
  <c r="M67" i="6" a="1"/>
  <c r="M67" i="6" s="1"/>
  <c r="M208" i="6" a="1"/>
  <c r="M208" i="6" s="1"/>
  <c r="M151" i="6" a="1"/>
  <c r="M151" i="6" s="1"/>
  <c r="M323" i="6" a="1"/>
  <c r="M323" i="6" s="1"/>
  <c r="M41" i="6" a="1"/>
  <c r="M41" i="6" s="1"/>
  <c r="M18" i="6" a="1"/>
  <c r="M18" i="6" s="1"/>
  <c r="M87" i="6" a="1"/>
  <c r="M87" i="6" s="1"/>
  <c r="M42" i="6" a="1"/>
  <c r="M42" i="6" s="1"/>
  <c r="M109" i="6" a="1"/>
  <c r="M109" i="6" s="1"/>
  <c r="M26" i="6" a="1"/>
  <c r="M26" i="6" s="1"/>
  <c r="M362" i="6" a="1"/>
  <c r="M362" i="6" s="1"/>
  <c r="M17" i="6" a="1"/>
  <c r="M17" i="6" s="1"/>
  <c r="M6" i="6" a="1"/>
  <c r="M6" i="6" s="1"/>
  <c r="M45" i="6" a="1"/>
  <c r="M45" i="6" s="1"/>
  <c r="M186" i="6" a="1"/>
  <c r="M186" i="6" s="1"/>
  <c r="M212" i="6" a="1"/>
  <c r="M212" i="6" s="1"/>
  <c r="M152" i="6" a="1"/>
  <c r="M152" i="6" s="1"/>
  <c r="M347" i="6" a="1"/>
  <c r="M347" i="6" s="1"/>
  <c r="M202" i="6" a="1"/>
  <c r="M202" i="6" s="1"/>
  <c r="M158" i="6" a="1"/>
  <c r="M158" i="6" s="1"/>
  <c r="M153" i="6" a="1"/>
  <c r="M153" i="6" s="1"/>
  <c r="M289" i="6" a="1"/>
  <c r="M289" i="6" s="1"/>
  <c r="M185" i="6" a="1"/>
  <c r="M185" i="6" s="1"/>
  <c r="M121" i="6" a="1"/>
  <c r="M121" i="6" s="1"/>
  <c r="M231" i="6" a="1"/>
  <c r="M231" i="6" s="1"/>
  <c r="M321" i="6" a="1"/>
  <c r="M321" i="6" s="1"/>
  <c r="M201" i="6" a="1"/>
  <c r="M201" i="6" s="1"/>
  <c r="M123" i="6" a="1"/>
  <c r="M123" i="6" s="1"/>
  <c r="M229" i="6" a="1"/>
  <c r="M229" i="6" s="1"/>
  <c r="M350" i="6" a="1"/>
  <c r="M350" i="6" s="1"/>
  <c r="M78" i="6" a="1"/>
  <c r="M78" i="6" s="1"/>
  <c r="M166" i="6" a="1"/>
  <c r="M166" i="6" s="1"/>
  <c r="M175" i="6" a="1"/>
  <c r="M175" i="6" s="1"/>
  <c r="M134" i="6" a="1"/>
  <c r="M134" i="6" s="1"/>
  <c r="M250" i="6" a="1"/>
  <c r="M250" i="6" s="1"/>
  <c r="M298" i="6" a="1"/>
  <c r="M298" i="6" s="1"/>
  <c r="M302" i="6" a="1"/>
  <c r="M302" i="6" s="1"/>
  <c r="M360" i="6" a="1"/>
  <c r="M360" i="6" s="1"/>
  <c r="M94" i="6" a="1"/>
  <c r="M94" i="6" s="1"/>
  <c r="M195" i="6" a="1"/>
  <c r="M195" i="6" s="1"/>
  <c r="M215" i="6" a="1"/>
  <c r="M215" i="6" s="1"/>
  <c r="M135" i="6" a="1"/>
  <c r="M135" i="6" s="1"/>
  <c r="M296" i="6" a="1"/>
  <c r="M296" i="6" s="1"/>
  <c r="M235" i="6" a="1"/>
  <c r="M235" i="6" s="1"/>
  <c r="M318" i="6" a="1"/>
  <c r="M318" i="6" s="1"/>
  <c r="M343" i="6" a="1"/>
  <c r="M343" i="6" s="1"/>
  <c r="M83" i="6" a="1"/>
  <c r="M83" i="6" s="1"/>
  <c r="M209" i="6" a="1"/>
  <c r="M209" i="6" s="1"/>
  <c r="M174" i="6" a="1"/>
  <c r="M174" i="6" s="1"/>
  <c r="M137" i="6" a="1"/>
  <c r="M137" i="6" s="1"/>
  <c r="M292" i="6" a="1"/>
  <c r="M292" i="6" s="1"/>
  <c r="M234" i="6" a="1"/>
  <c r="M234" i="6" s="1"/>
  <c r="M258" i="6" a="1"/>
  <c r="M258" i="6" s="1"/>
  <c r="M342" i="6" a="1"/>
  <c r="M342" i="6" s="1"/>
  <c r="M15" i="6" a="1"/>
  <c r="M15" i="6" s="1"/>
  <c r="M20" i="6" a="1"/>
  <c r="M20" i="6" s="1"/>
  <c r="M309" i="6" a="1"/>
  <c r="M309" i="6" s="1"/>
  <c r="M76" i="6" a="1"/>
  <c r="M76" i="6" s="1"/>
  <c r="M221" i="6" a="1"/>
  <c r="M221" i="6" s="1"/>
  <c r="M50" i="6" a="1"/>
  <c r="M50" i="6" s="1"/>
  <c r="M74" i="6" a="1"/>
  <c r="M74" i="6" s="1"/>
  <c r="M170" i="6" a="1"/>
  <c r="M170" i="6" s="1"/>
  <c r="M213" i="6" a="1"/>
  <c r="M213" i="6" s="1"/>
  <c r="M207" i="6" a="1"/>
  <c r="M207" i="6" s="1"/>
  <c r="M138" i="6" a="1"/>
  <c r="M138" i="6" s="1"/>
  <c r="M230" i="6" a="1"/>
  <c r="M230" i="6" s="1"/>
  <c r="M243" i="6" a="1"/>
  <c r="M243" i="6" s="1"/>
  <c r="M259" i="6" a="1"/>
  <c r="M259" i="6" s="1"/>
  <c r="M340" i="6" a="1"/>
  <c r="M340" i="6" s="1"/>
  <c r="M34" i="6" a="1"/>
  <c r="M34" i="6" s="1"/>
  <c r="M28" i="6" a="1"/>
  <c r="M28" i="6" s="1"/>
  <c r="M351" i="6" a="1"/>
  <c r="M351" i="6" s="1"/>
  <c r="M337" i="6" a="1"/>
  <c r="M337" i="6" s="1"/>
  <c r="M116" i="6" a="1"/>
  <c r="M116" i="6" s="1"/>
  <c r="M363" i="6" a="1"/>
  <c r="M363" i="6" s="1"/>
  <c r="M75" i="6" a="1"/>
  <c r="M75" i="6" s="1"/>
  <c r="M72" i="6" a="1"/>
  <c r="M72" i="6" s="1"/>
  <c r="M164" i="6" a="1"/>
  <c r="M164" i="6" s="1"/>
  <c r="M211" i="6" a="1"/>
  <c r="M211" i="6" s="1"/>
  <c r="M139" i="6" a="1"/>
  <c r="M139" i="6" s="1"/>
  <c r="M241" i="6" a="1"/>
  <c r="M241" i="6" s="1"/>
  <c r="M251" i="6" a="1"/>
  <c r="M251" i="6" s="1"/>
  <c r="M260" i="6" a="1"/>
  <c r="M260" i="6" s="1"/>
  <c r="M25" i="6" a="1"/>
  <c r="M25" i="6" s="1"/>
  <c r="M346" i="6" a="1"/>
  <c r="M346" i="6" s="1"/>
  <c r="M332" i="6" a="1"/>
  <c r="M332" i="6" s="1"/>
  <c r="M118" i="6" a="1"/>
  <c r="M118" i="6" s="1"/>
  <c r="M181" i="6" a="1"/>
  <c r="M181" i="6" s="1"/>
  <c r="M115" i="6" a="1"/>
  <c r="M115" i="6" s="1"/>
  <c r="M169" i="6" a="1"/>
  <c r="M169" i="6" s="1"/>
  <c r="M88" i="6" a="1"/>
  <c r="M88" i="6" s="1"/>
  <c r="M189" i="6" a="1"/>
  <c r="M189" i="6" s="1"/>
  <c r="M119" i="6" a="1"/>
  <c r="M119" i="6" s="1"/>
  <c r="M145" i="6" a="1"/>
  <c r="M145" i="6" s="1"/>
  <c r="M249" i="6" a="1"/>
  <c r="M249" i="6" s="1"/>
  <c r="M352" i="6" a="1"/>
  <c r="M352" i="6" s="1"/>
  <c r="M262" i="6" a="1"/>
  <c r="M262" i="6" s="1"/>
  <c r="M82" i="6" a="1"/>
  <c r="M82" i="6" s="1"/>
  <c r="M96" i="6" a="1"/>
  <c r="M96" i="6" s="1"/>
  <c r="M191" i="6" a="1"/>
  <c r="M191" i="6" s="1"/>
  <c r="M194" i="6" a="1"/>
  <c r="M194" i="6" s="1"/>
  <c r="M122" i="6" a="1"/>
  <c r="M122" i="6" s="1"/>
  <c r="M148" i="6" a="1"/>
  <c r="M148" i="6" s="1"/>
  <c r="M255" i="6" a="1"/>
  <c r="M255" i="6" s="1"/>
  <c r="M307" i="6" a="1"/>
  <c r="M307" i="6" s="1"/>
  <c r="M273" i="6" a="1"/>
  <c r="M273" i="6" s="1"/>
  <c r="M61" i="1"/>
  <c r="L61" i="1"/>
  <c r="K61" i="1"/>
  <c r="J61" i="1"/>
  <c r="M257" i="6" a="1"/>
  <c r="M257" i="6" s="1"/>
  <c r="M254" i="6" a="1"/>
  <c r="M254" i="6" s="1"/>
  <c r="M314" i="6" a="1"/>
  <c r="M314" i="6" s="1"/>
  <c r="M335" i="6" a="1"/>
  <c r="M335" i="6" s="1"/>
  <c r="M261" i="6" a="1"/>
  <c r="M261" i="6" s="1"/>
  <c r="M277" i="6" a="1"/>
  <c r="M277" i="6" s="1"/>
  <c r="M357" i="6" a="1"/>
  <c r="M357" i="6" s="1"/>
  <c r="F65" i="1" a="1"/>
  <c r="F65" i="1" s="1"/>
  <c r="M154" i="6" a="1"/>
  <c r="M154" i="6" s="1"/>
  <c r="M228" i="6" a="1"/>
  <c r="M228" i="6" s="1"/>
  <c r="M223" i="6" a="1"/>
  <c r="M223" i="6" s="1"/>
  <c r="M329" i="6" a="1"/>
  <c r="M329" i="6" s="1"/>
  <c r="M288" i="6" a="1"/>
  <c r="M288" i="6" s="1"/>
  <c r="M263" i="6" a="1"/>
  <c r="M263" i="6" s="1"/>
  <c r="M279" i="6" a="1"/>
  <c r="M279" i="6" s="1"/>
  <c r="M356" i="6" a="1"/>
  <c r="M356" i="6" s="1"/>
  <c r="M237" i="6" a="1"/>
  <c r="M237" i="6" s="1"/>
  <c r="M304" i="6" a="1"/>
  <c r="M304" i="6" s="1"/>
  <c r="M280" i="6" a="1"/>
  <c r="M280" i="6" s="1"/>
  <c r="M339" i="6" a="1"/>
  <c r="M339" i="6" s="1"/>
  <c r="M218" i="6" a="1"/>
  <c r="M218" i="6" s="1"/>
  <c r="M55" i="6" a="1"/>
  <c r="M55" i="6" s="1"/>
  <c r="M322" i="6" a="1"/>
  <c r="M322" i="6" s="1"/>
  <c r="M60" i="6" a="1"/>
  <c r="M60" i="6" s="1"/>
  <c r="M165" i="6" a="1"/>
  <c r="M165" i="6" s="1"/>
  <c r="M161" i="6" a="1"/>
  <c r="M161" i="6" s="1"/>
  <c r="M140" i="6" a="1"/>
  <c r="M140" i="6" s="1"/>
  <c r="M156" i="6" a="1"/>
  <c r="M156" i="6" s="1"/>
  <c r="M248" i="6" a="1"/>
  <c r="M248" i="6" s="1"/>
  <c r="M245" i="6" a="1"/>
  <c r="M245" i="6" s="1"/>
  <c r="M328" i="6" a="1"/>
  <c r="M328" i="6" s="1"/>
  <c r="M320" i="6" a="1"/>
  <c r="M320" i="6" s="1"/>
  <c r="M265" i="6" a="1"/>
  <c r="M265" i="6" s="1"/>
  <c r="M281" i="6" a="1"/>
  <c r="M281" i="6" s="1"/>
  <c r="M355" i="6" a="1"/>
  <c r="M355" i="6" s="1"/>
  <c r="M264" i="6" a="1"/>
  <c r="M264" i="6" s="1"/>
  <c r="M103" i="6" a="1"/>
  <c r="M103" i="6" s="1"/>
  <c r="M27" i="6" a="1"/>
  <c r="M27" i="6" s="1"/>
  <c r="M198" i="6" a="1"/>
  <c r="M198" i="6" s="1"/>
  <c r="M222" i="6" a="1"/>
  <c r="M222" i="6" s="1"/>
  <c r="M295" i="6" a="1"/>
  <c r="M295" i="6" s="1"/>
  <c r="M172" i="6" a="1"/>
  <c r="M172" i="6" s="1"/>
  <c r="M79" i="6" a="1"/>
  <c r="M79" i="6" s="1"/>
  <c r="M206" i="6" a="1"/>
  <c r="M206" i="6" s="1"/>
  <c r="M124" i="6" a="1"/>
  <c r="M124" i="6" s="1"/>
  <c r="M107" i="6" a="1"/>
  <c r="M107" i="6" s="1"/>
  <c r="M113" i="6" a="1"/>
  <c r="M113" i="6" s="1"/>
  <c r="M52" i="6" a="1"/>
  <c r="M52" i="6" s="1"/>
  <c r="M227" i="6" a="1"/>
  <c r="M227" i="6" s="1"/>
  <c r="M197" i="6" a="1"/>
  <c r="M197" i="6" s="1"/>
  <c r="M192" i="6" a="1"/>
  <c r="M192" i="6" s="1"/>
  <c r="M226" i="6" a="1"/>
  <c r="M226" i="6" s="1"/>
  <c r="M310" i="6" a="1"/>
  <c r="M310" i="6" s="1"/>
  <c r="M106" i="6" a="1"/>
  <c r="M106" i="6" s="1"/>
  <c r="M92" i="6" a="1"/>
  <c r="M92" i="6" s="1"/>
  <c r="M95" i="6" a="1"/>
  <c r="M95" i="6" s="1"/>
  <c r="M210" i="6" a="1"/>
  <c r="M210" i="6" s="1"/>
  <c r="M178" i="6" a="1"/>
  <c r="M178" i="6" s="1"/>
  <c r="M176" i="6" a="1"/>
  <c r="M176" i="6" s="1"/>
  <c r="M125" i="6" a="1"/>
  <c r="M125" i="6" s="1"/>
  <c r="M141" i="6" a="1"/>
  <c r="M141" i="6" s="1"/>
  <c r="M157" i="6" a="1"/>
  <c r="M157" i="6" s="1"/>
  <c r="M256" i="6" a="1"/>
  <c r="M256" i="6" s="1"/>
  <c r="M253" i="6" a="1"/>
  <c r="M253" i="6" s="1"/>
  <c r="M325" i="6" a="1"/>
  <c r="M325" i="6" s="1"/>
  <c r="M287" i="6" a="1"/>
  <c r="M287" i="6" s="1"/>
  <c r="M266" i="6" a="1"/>
  <c r="M266" i="6" s="1"/>
  <c r="M282" i="6" a="1"/>
  <c r="M282" i="6" s="1"/>
  <c r="M68" i="6" a="1"/>
  <c r="M68" i="6" s="1"/>
  <c r="M214" i="6" a="1"/>
  <c r="M214" i="6" s="1"/>
  <c r="M184" i="6" a="1"/>
  <c r="M184" i="6" s="1"/>
  <c r="M188" i="6" a="1"/>
  <c r="M188" i="6" s="1"/>
  <c r="M126" i="6" a="1"/>
  <c r="M126" i="6" s="1"/>
  <c r="M142" i="6" a="1"/>
  <c r="M142" i="6" s="1"/>
  <c r="M232" i="6" a="1"/>
  <c r="M232" i="6" s="1"/>
  <c r="M313" i="6" a="1"/>
  <c r="M313" i="6" s="1"/>
  <c r="M220" i="6" a="1"/>
  <c r="M220" i="6" s="1"/>
  <c r="M345" i="6" a="1"/>
  <c r="M345" i="6" s="1"/>
  <c r="M303" i="6" a="1"/>
  <c r="M303" i="6" s="1"/>
  <c r="M267" i="6" a="1"/>
  <c r="M267" i="6" s="1"/>
  <c r="M283" i="6" a="1"/>
  <c r="M283" i="6" s="1"/>
  <c r="M84" i="6" a="1"/>
  <c r="M84" i="6" s="1"/>
  <c r="M180" i="6" a="1"/>
  <c r="M180" i="6" s="1"/>
  <c r="M200" i="6" a="1"/>
  <c r="M200" i="6" s="1"/>
  <c r="M193" i="6" a="1"/>
  <c r="M193" i="6" s="1"/>
  <c r="M127" i="6" a="1"/>
  <c r="M127" i="6" s="1"/>
  <c r="M143" i="6" a="1"/>
  <c r="M143" i="6" s="1"/>
  <c r="M233" i="6" a="1"/>
  <c r="M233" i="6" s="1"/>
  <c r="M239" i="6" a="1"/>
  <c r="M239" i="6" s="1"/>
  <c r="M236" i="6" a="1"/>
  <c r="M236" i="6" s="1"/>
  <c r="M308" i="6" a="1"/>
  <c r="M308" i="6" s="1"/>
  <c r="M319" i="6" a="1"/>
  <c r="M319" i="6" s="1"/>
  <c r="M268" i="6" a="1"/>
  <c r="M268" i="6" s="1"/>
  <c r="M284" i="6" a="1"/>
  <c r="M284" i="6" s="1"/>
  <c r="M196" i="6" a="1"/>
  <c r="M196" i="6" s="1"/>
  <c r="M216" i="6" a="1"/>
  <c r="M216" i="6" s="1"/>
  <c r="M159" i="6" a="1"/>
  <c r="M159" i="6" s="1"/>
  <c r="M128" i="6" a="1"/>
  <c r="M128" i="6" s="1"/>
  <c r="M144" i="6" a="1"/>
  <c r="M144" i="6" s="1"/>
  <c r="M242" i="6" a="1"/>
  <c r="M242" i="6" s="1"/>
  <c r="M247" i="6" a="1"/>
  <c r="M247" i="6" s="1"/>
  <c r="M244" i="6" a="1"/>
  <c r="M244" i="6" s="1"/>
  <c r="M324" i="6" a="1"/>
  <c r="M324" i="6" s="1"/>
  <c r="M334" i="6" a="1"/>
  <c r="M334" i="6" s="1"/>
  <c r="M269" i="6" a="1"/>
  <c r="M269" i="6" s="1"/>
  <c r="M285" i="6" a="1"/>
  <c r="M285" i="6" s="1"/>
  <c r="M252" i="6" a="1"/>
  <c r="M252" i="6" s="1"/>
  <c r="M336" i="6" a="1"/>
  <c r="M336" i="6" s="1"/>
  <c r="M286" i="6" a="1"/>
  <c r="M286" i="6" s="1"/>
  <c r="M270" i="6" a="1"/>
  <c r="M270" i="6" s="1"/>
  <c r="D65" i="1" l="1" a="1"/>
  <c r="D65" i="1" s="1"/>
  <c r="C65" i="1" a="1"/>
  <c r="C65" i="1" s="1"/>
  <c r="J62" i="1" a="1"/>
  <c r="J62" i="1" s="1"/>
  <c r="J63" i="1" a="1"/>
  <c r="J63" i="1" s="1"/>
  <c r="J64" i="1" a="1"/>
  <c r="J64" i="1" s="1"/>
  <c r="J65" i="1" a="1"/>
  <c r="J65" i="1" s="1"/>
  <c r="K62" i="1" a="1"/>
  <c r="K62" i="1" s="1"/>
  <c r="K63" i="1" a="1"/>
  <c r="K63" i="1" s="1"/>
  <c r="K64" i="1" a="1"/>
  <c r="K64" i="1" s="1"/>
  <c r="K65" i="1" a="1"/>
  <c r="K65" i="1" s="1"/>
  <c r="L63" i="1" a="1"/>
  <c r="L63" i="1" s="1"/>
  <c r="L65" i="1" a="1"/>
  <c r="L65" i="1" s="1"/>
  <c r="L64" i="1" a="1"/>
  <c r="L64" i="1" s="1"/>
  <c r="L62" i="1" a="1"/>
  <c r="L62" i="1" s="1"/>
  <c r="M65" i="1" a="1"/>
  <c r="M65" i="1" s="1"/>
  <c r="M64" i="1" a="1"/>
  <c r="M64" i="1" s="1"/>
  <c r="M62" i="1" a="1"/>
  <c r="M62" i="1" s="1"/>
  <c r="M63" i="1" a="1"/>
  <c r="M63" i="1" s="1"/>
  <c r="N62" i="1" l="1"/>
  <c r="C63" i="1" s="1" a="1"/>
  <c r="F63" i="1" l="1"/>
  <c r="F68" i="1" s="1"/>
  <c r="E63" i="1"/>
  <c r="E68" i="1" s="1"/>
  <c r="D63" i="1"/>
  <c r="D68" i="1" s="1"/>
  <c r="C63" i="1"/>
  <c r="C68" i="1" s="1"/>
</calcChain>
</file>

<file path=xl/sharedStrings.xml><?xml version="1.0" encoding="utf-8"?>
<sst xmlns="http://schemas.openxmlformats.org/spreadsheetml/2006/main" count="270" uniqueCount="234">
  <si>
    <t>DOY</t>
  </si>
  <si>
    <t>Date</t>
  </si>
  <si>
    <t>Rainfall [mm]</t>
  </si>
  <si>
    <t>Irrigation [mm]</t>
  </si>
  <si>
    <t>p [-]</t>
  </si>
  <si>
    <t>Thickness lyr 1 [m]</t>
  </si>
  <si>
    <t>Thickness lyr 2 [m]</t>
  </si>
  <si>
    <t>wcontent lyr 1 [mm]</t>
  </si>
  <si>
    <t>wcontent lyr 2 [mm]</t>
  </si>
  <si>
    <t>Trigger threshold [mm]</t>
  </si>
  <si>
    <t>is trying to irrigate</t>
  </si>
  <si>
    <t>wcont at FC lyr1 [mm]</t>
  </si>
  <si>
    <t>wcont at WP lyr1 [mm]</t>
  </si>
  <si>
    <t>TAW lyr1 [mm]</t>
  </si>
  <si>
    <t>wcont at FC lyr2 [mm]</t>
  </si>
  <si>
    <t>wcont at WP lyr2 [mm]</t>
  </si>
  <si>
    <t>TAW lyr2 [mm]</t>
  </si>
  <si>
    <t>Parametri di simulazione</t>
  </si>
  <si>
    <t>Codice uso suolo</t>
  </si>
  <si>
    <t>Anno</t>
  </si>
  <si>
    <t>Spessore primo strato</t>
  </si>
  <si>
    <t>Spessore massimo secondo strato</t>
  </si>
  <si>
    <t>Dati delle colture</t>
  </si>
  <si>
    <t>Data di emergenza (DOI)</t>
  </si>
  <si>
    <t>Data di raccolta (DOI)</t>
  </si>
  <si>
    <t>Durata ciclo colturale</t>
  </si>
  <si>
    <t>Data di emergenza</t>
  </si>
  <si>
    <t>Data di raccolta</t>
  </si>
  <si>
    <t>Kcb minimo</t>
  </si>
  <si>
    <t>Kcb ini</t>
  </si>
  <si>
    <t>Kcb massimo</t>
  </si>
  <si>
    <t>Tcrit</t>
  </si>
  <si>
    <t>Tlim</t>
  </si>
  <si>
    <t>KyT</t>
  </si>
  <si>
    <t>Ky1</t>
  </si>
  <si>
    <t>Ky2</t>
  </si>
  <si>
    <t>Ky3</t>
  </si>
  <si>
    <t>Ky4</t>
  </si>
  <si>
    <t>WPadj</t>
  </si>
  <si>
    <t>HI</t>
  </si>
  <si>
    <t>Caratteristiche idrauliche del suolo</t>
  </si>
  <si>
    <t>m3/m3</t>
  </si>
  <si>
    <t>mm</t>
  </si>
  <si>
    <t>Theta I sat</t>
  </si>
  <si>
    <t>TAW</t>
  </si>
  <si>
    <t>Theta I fc</t>
  </si>
  <si>
    <t>1° strato</t>
  </si>
  <si>
    <t>Theta I wp</t>
  </si>
  <si>
    <t>2° strato</t>
  </si>
  <si>
    <t>Theta I r</t>
  </si>
  <si>
    <t>intero profilo</t>
  </si>
  <si>
    <t>Theta II sat</t>
  </si>
  <si>
    <t>Theta II fc</t>
  </si>
  <si>
    <t>Theta II wp</t>
  </si>
  <si>
    <t> </t>
  </si>
  <si>
    <t>Theta II r</t>
  </si>
  <si>
    <t>AWC</t>
  </si>
  <si>
    <t>Dati relativi al bilancio idrologico - 1° strato</t>
  </si>
  <si>
    <t>Anno intero</t>
  </si>
  <si>
    <t>Precipitazioni [mm]</t>
  </si>
  <si>
    <t>Irrigazione [mm]</t>
  </si>
  <si>
    <t>Intercezione [mm]</t>
  </si>
  <si>
    <t>Scorrimento [mm]</t>
  </si>
  <si>
    <t>Infiltrazione [mm]</t>
  </si>
  <si>
    <t>Evaporazione [mm]</t>
  </si>
  <si>
    <t>Traspirazione del 1° strato [mm]</t>
  </si>
  <si>
    <t>Percolazione al 2° strato [mm]</t>
  </si>
  <si>
    <t>Risalita dal 2° strato [mm]</t>
  </si>
  <si>
    <t>Dati relativi al bilancio idrologico - 2° strato</t>
  </si>
  <si>
    <t>Percolazione dal 1° strato [mm]</t>
  </si>
  <si>
    <t>Risalita capillare da falda [mm]</t>
  </si>
  <si>
    <t>Traspirazione del 2° strato [mm]</t>
  </si>
  <si>
    <t>Percolazione a falda [mm]</t>
  </si>
  <si>
    <t>Risalita al 1° strato [mm]</t>
  </si>
  <si>
    <t>Dati irrigui</t>
  </si>
  <si>
    <t>Numero di interventi irrigui</t>
  </si>
  <si>
    <t>Irrigazione totale [mm]</t>
  </si>
  <si>
    <t>Irrigazione media per intervento [mm]</t>
  </si>
  <si>
    <t>Turno medio stimato [d]</t>
  </si>
  <si>
    <t>Efficienza irrigua</t>
  </si>
  <si>
    <t>Fase</t>
  </si>
  <si>
    <t>fcCS</t>
  </si>
  <si>
    <t>Dati relativi alla produttività</t>
  </si>
  <si>
    <t>Coltura</t>
  </si>
  <si>
    <t>fcT</t>
  </si>
  <si>
    <t>fHSd</t>
  </si>
  <si>
    <t>Biomassa potenziale</t>
  </si>
  <si>
    <t>Resa potenziale</t>
  </si>
  <si>
    <t>Resa effettiva</t>
  </si>
  <si>
    <t>input files</t>
  </si>
  <si>
    <t>Giorno giuliano</t>
  </si>
  <si>
    <t>Data</t>
  </si>
  <si>
    <t>Id coltura</t>
  </si>
  <si>
    <t>Kcb</t>
  </si>
  <si>
    <t>Tmax [°C]</t>
  </si>
  <si>
    <t>Tmin [°C]</t>
  </si>
  <si>
    <t>ET0 [mm]</t>
  </si>
  <si>
    <t>Traspirazione potenziale [mm]</t>
  </si>
  <si>
    <t>Traspirazione effettiva [mm]</t>
  </si>
  <si>
    <t>Tp/ET0</t>
  </si>
  <si>
    <t>Tday [°C]</t>
  </si>
  <si>
    <t>Mese</t>
  </si>
  <si>
    <t>Tmax_time</t>
  </si>
  <si>
    <t>Tmin_time</t>
  </si>
  <si>
    <t>Giorno</t>
  </si>
  <si>
    <t>Pioggia efficace [mm]</t>
  </si>
  <si>
    <t>H2O disponibile lorda [mm]</t>
  </si>
  <si>
    <t>H2O disponibile netta [mm]</t>
  </si>
  <si>
    <t>Traspirazione [mm]</t>
  </si>
  <si>
    <t>Percolazione [mm]</t>
  </si>
  <si>
    <t>Contenuto idrico [mm]</t>
  </si>
  <si>
    <t>Contenuto idrico antecedente [mm]</t>
  </si>
  <si>
    <t>Ponding [mm]</t>
  </si>
  <si>
    <t>Bilancio [mm]</t>
  </si>
  <si>
    <t>Theta wp [%]</t>
  </si>
  <si>
    <t>Theta fc [%]</t>
  </si>
  <si>
    <t>Contenuto idrico [%]</t>
  </si>
  <si>
    <t>TAW I [%]</t>
  </si>
  <si>
    <t>RAW I [%]</t>
  </si>
  <si>
    <t>FC-RAW</t>
  </si>
  <si>
    <t>teta s</t>
  </si>
  <si>
    <t>Percolazione 1 [mm]</t>
  </si>
  <si>
    <t>Risalita capillare [mm]</t>
  </si>
  <si>
    <t>Percolazione 2 [mm]</t>
  </si>
  <si>
    <t>Contenuto idrico  iniziale [mm]</t>
  </si>
  <si>
    <t>Eventi irrigui</t>
  </si>
  <si>
    <t>Spessore 2 [m]</t>
  </si>
  <si>
    <t>TAW [mm]</t>
  </si>
  <si>
    <t>RAW [mm]</t>
  </si>
  <si>
    <t>FC-RAW [mm]</t>
  </si>
  <si>
    <t>FC-RAW [%]</t>
  </si>
  <si>
    <t>Soil water content [mm]</t>
  </si>
  <si>
    <t>Control point loader</t>
  </si>
  <si>
    <t>Source folder</t>
  </si>
  <si>
    <t>Point (row_col)</t>
  </si>
  <si>
    <t>Year / prefix</t>
  </si>
  <si>
    <t>Status</t>
  </si>
  <si>
    <t>C:\Users\Soffi\Documents\GitHub\IdrAgra_v2\demo\simout</t>
  </si>
  <si>
    <t>2_2</t>
  </si>
  <si>
    <t>Giulian_day</t>
  </si>
  <si>
    <t>rain_mm</t>
  </si>
  <si>
    <t>Tmax</t>
  </si>
  <si>
    <t>Tmin</t>
  </si>
  <si>
    <t>et0</t>
  </si>
  <si>
    <t>kcb</t>
  </si>
  <si>
    <t>lai</t>
  </si>
  <si>
    <t>pday</t>
  </si>
  <si>
    <t>irrig_mm</t>
  </si>
  <si>
    <t>eff_rain_mm</t>
  </si>
  <si>
    <t>GrossAv_water_mm</t>
  </si>
  <si>
    <t>NetAv_water_mm</t>
  </si>
  <si>
    <t>interception_mm</t>
  </si>
  <si>
    <t>runoff_mm</t>
  </si>
  <si>
    <t>infiltration_mm</t>
  </si>
  <si>
    <t>eva_pot_mm</t>
  </si>
  <si>
    <t>eva_mm</t>
  </si>
  <si>
    <t>trasp_pot1_mm</t>
  </si>
  <si>
    <t>trasp_act1_mm</t>
  </si>
  <si>
    <t>perc1_mm</t>
  </si>
  <si>
    <t>theta1_mm</t>
  </si>
  <si>
    <t>ponding_mm</t>
  </si>
  <si>
    <t>rise_mm</t>
  </si>
  <si>
    <t>trasp_pot2_mm</t>
  </si>
  <si>
    <t>trasp_act2_mm</t>
  </si>
  <si>
    <t>ks</t>
  </si>
  <si>
    <t>thickness_II_m</t>
  </si>
  <si>
    <t>wat_table_depth_under_root_m</t>
  </si>
  <si>
    <t>capflux_mm</t>
  </si>
  <si>
    <t>perc2_mm</t>
  </si>
  <si>
    <t>theta2_mm</t>
  </si>
  <si>
    <t>theta_old_mm</t>
  </si>
  <si>
    <t>rawbig</t>
  </si>
  <si>
    <t>rawinf</t>
  </si>
  <si>
    <t>wat_table_depth_m</t>
  </si>
  <si>
    <t>distr_irr_mm</t>
  </si>
  <si>
    <t>priv_well_irr_mm</t>
  </si>
  <si>
    <t>espperc1</t>
  </si>
  <si>
    <t>espperc2</t>
  </si>
  <si>
    <t>irr_loss_mm</t>
  </si>
  <si>
    <t>RF_e</t>
  </si>
  <si>
    <t>RF_t</t>
  </si>
  <si>
    <t>r_stress</t>
  </si>
  <si>
    <t>h_r</t>
  </si>
  <si>
    <t>h_wp</t>
  </si>
  <si>
    <t>h_fc</t>
  </si>
  <si>
    <t>h_sat</t>
  </si>
  <si>
    <t>h_maxpond</t>
  </si>
  <si>
    <t>Kcbmin</t>
  </si>
  <si>
    <t>Kcbini</t>
  </si>
  <si>
    <t>Kcbmax</t>
  </si>
  <si>
    <t>ii0</t>
  </si>
  <si>
    <t>iie</t>
  </si>
  <si>
    <t>iid</t>
  </si>
  <si>
    <t>dij</t>
  </si>
  <si>
    <t>irandom</t>
  </si>
  <si>
    <t>Domain</t>
  </si>
  <si>
    <t>Slope</t>
  </si>
  <si>
    <t>Soil use</t>
  </si>
  <si>
    <t>Irrigation subdistrict</t>
  </si>
  <si>
    <t>Irrigation method</t>
  </si>
  <si>
    <t>Method efficiency</t>
  </si>
  <si>
    <t>null</t>
  </si>
  <si>
    <t>Conveyance efficiency</t>
  </si>
  <si>
    <t>Hydrologic soil group</t>
  </si>
  <si>
    <t>Hydrologic condition</t>
  </si>
  <si>
    <t>ThetaI_sat</t>
  </si>
  <si>
    <t>ThetaI_fc</t>
  </si>
  <si>
    <t>ThetaI_wp</t>
  </si>
  <si>
    <t>ThetaI_r</t>
  </si>
  <si>
    <t>ThetaII_sat</t>
  </si>
  <si>
    <t>ThetaII_fc</t>
  </si>
  <si>
    <t>ThetaII_wp</t>
  </si>
  <si>
    <t>ThetaII_r</t>
  </si>
  <si>
    <t>ksat_I</t>
  </si>
  <si>
    <t>ksat_II</t>
  </si>
  <si>
    <t>expn_I</t>
  </si>
  <si>
    <t>expn_II</t>
  </si>
  <si>
    <t>1st layer's thickness</t>
  </si>
  <si>
    <t>2nd layer's max thickness</t>
  </si>
  <si>
    <t>Simulation year</t>
  </si>
  <si>
    <t>CapFluxParam_a3</t>
  </si>
  <si>
    <t>CapFluxParam_a4</t>
  </si>
  <si>
    <t>CapFluxParam_b1</t>
  </si>
  <si>
    <t>CapFluxParam_b2</t>
  </si>
  <si>
    <t>CapFluxParam_b3</t>
  </si>
  <si>
    <t>CapFluxParam_b4</t>
  </si>
  <si>
    <t>Water depth</t>
  </si>
  <si>
    <t>am_perc1</t>
  </si>
  <si>
    <t>am_perc2</t>
  </si>
  <si>
    <t>bm_perc1</t>
  </si>
  <si>
    <t>bm_perc2</t>
  </si>
  <si>
    <t>Meteorological Station nr           1</t>
  </si>
  <si>
    <t>Meteorological Station nr           2</t>
  </si>
  <si>
    <t>Loaded 2021_cell_2_2.csv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</si>
</sst>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8"/>
      <color theme="0" tint="-0.49995422223578601"/>
      <name val="Calibri"/>
      <family val="2"/>
      <scheme val="minor"/>
    </font>
    <font>
      <i/>
      <sz val="8"/>
      <color theme="0" tint="-0.49995422223578601"/>
      <name val="Calibri"/>
      <family val="2"/>
      <scheme val="minor"/>
    </font>
    <font>
      <strike/>
      <sz val="8"/>
      <color theme="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11">
    <xf numFmtId="0" fontId="0" fillId="0" borderId="0"/>
    <xf numFmtId="9" fontId="1" fillId="0" borderId="0"/>
    <xf numFmtId="0" fontId="9" fillId="0" borderId="0"/>
    <xf numFmtId="0" fontId="10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2" fillId="0" borderId="0"/>
  </cellStyleXfs>
  <cellXfs count="65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/>
    <xf numFmtId="164" fontId="3" fillId="0" borderId="0" xfId="0" applyNumberFormat="1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4" fillId="0" borderId="0" xfId="0" applyFont="1" applyAlignment="1">
      <alignment horizontal="center" wrapText="1"/>
    </xf>
    <xf numFmtId="14" fontId="8" fillId="0" borderId="0" xfId="0" applyNumberFormat="1" applyFont="1"/>
    <xf numFmtId="164" fontId="4" fillId="0" borderId="0" xfId="0" applyNumberFormat="1" applyFont="1"/>
    <xf numFmtId="11" fontId="3" fillId="0" borderId="0" xfId="0" applyNumberFormat="1" applyFont="1"/>
    <xf numFmtId="0" fontId="4" fillId="9" borderId="1" xfId="0" applyFont="1" applyFill="1" applyBorder="1"/>
    <xf numFmtId="0" fontId="3" fillId="9" borderId="1" xfId="0" applyFont="1" applyFill="1" applyBorder="1"/>
    <xf numFmtId="11" fontId="0" fillId="0" borderId="0" xfId="0" applyNumberFormat="1"/>
    <xf numFmtId="0" fontId="4" fillId="0" borderId="1" xfId="0" applyFont="1" applyBorder="1"/>
    <xf numFmtId="0" fontId="3" fillId="0" borderId="1" xfId="0" applyFont="1" applyBorder="1"/>
    <xf numFmtId="14" fontId="3" fillId="0" borderId="1" xfId="0" applyNumberFormat="1" applyFont="1" applyBorder="1"/>
    <xf numFmtId="0" fontId="4" fillId="0" borderId="2" xfId="0" applyFont="1" applyBorder="1"/>
    <xf numFmtId="0" fontId="3" fillId="0" borderId="2" xfId="0" applyFont="1" applyBorder="1"/>
    <xf numFmtId="2" fontId="3" fillId="0" borderId="2" xfId="0" applyNumberFormat="1" applyFont="1" applyBorder="1"/>
    <xf numFmtId="0" fontId="4" fillId="0" borderId="2" xfId="0" applyFont="1" applyBorder="1" applyAlignment="1">
      <alignment horizontal="center"/>
    </xf>
    <xf numFmtId="164" fontId="3" fillId="0" borderId="2" xfId="0" applyNumberFormat="1" applyFont="1" applyBorder="1"/>
    <xf numFmtId="164" fontId="4" fillId="0" borderId="2" xfId="0" applyNumberFormat="1" applyFont="1" applyBorder="1"/>
    <xf numFmtId="0" fontId="4" fillId="0" borderId="3" xfId="0" applyFont="1" applyBorder="1"/>
    <xf numFmtId="165" fontId="3" fillId="0" borderId="1" xfId="0" applyNumberFormat="1" applyFont="1" applyBorder="1"/>
    <xf numFmtId="10" fontId="3" fillId="0" borderId="2" xfId="1" applyNumberFormat="1" applyFont="1" applyBorder="1"/>
    <xf numFmtId="0" fontId="4" fillId="0" borderId="1" xfId="0" applyFont="1" applyBorder="1" applyAlignment="1">
      <alignment horizontal="center"/>
    </xf>
    <xf numFmtId="1" fontId="3" fillId="0" borderId="1" xfId="0" applyNumberFormat="1" applyFont="1" applyBorder="1"/>
    <xf numFmtId="2" fontId="3" fillId="0" borderId="2" xfId="0" applyNumberFormat="1" applyFont="1" applyBorder="1" applyAlignment="1">
      <alignment horizontal="right"/>
    </xf>
    <xf numFmtId="0" fontId="11" fillId="0" borderId="0" xfId="0" applyFont="1" applyAlignment="1">
      <alignment vertical="center"/>
    </xf>
    <xf numFmtId="0" fontId="2" fillId="0" borderId="0" xfId="0" applyFont="1"/>
    <xf numFmtId="2" fontId="3" fillId="0" borderId="1" xfId="0" applyNumberFormat="1" applyFont="1" applyBorder="1"/>
    <xf numFmtId="1" fontId="3" fillId="0" borderId="0" xfId="0" applyNumberFormat="1" applyFont="1"/>
    <xf numFmtId="0" fontId="4" fillId="0" borderId="4" xfId="0" applyFont="1" applyBorder="1"/>
    <xf numFmtId="0" fontId="12" fillId="0" borderId="0" xfId="10" quotePrefix="1" applyAlignment="1">
      <alignment vertical="center"/>
    </xf>
    <xf numFmtId="14" fontId="0" fillId="0" borderId="0" xfId="0" applyNumberFormat="1"/>
    <xf numFmtId="164" fontId="4" fillId="0" borderId="2" xfId="0" applyNumberFormat="1" applyFont="1" applyBorder="1" applyAlignment="1">
      <alignment horizontal="center"/>
    </xf>
    <xf numFmtId="2" fontId="0" fillId="0" borderId="0" xfId="0" applyNumberFormat="1"/>
    <xf numFmtId="0" fontId="3" fillId="0" borderId="0" xfId="0" applyFont="1" applyAlignment="1">
      <alignment horizontal="right"/>
    </xf>
    <xf numFmtId="0" fontId="13" fillId="0" borderId="0" xfId="0" applyFont="1"/>
    <xf numFmtId="14" fontId="13" fillId="0" borderId="0" xfId="0" applyNumberFormat="1" applyFont="1"/>
    <xf numFmtId="2" fontId="3" fillId="0" borderId="0" xfId="0" applyNumberFormat="1" applyFont="1"/>
    <xf numFmtId="2" fontId="11" fillId="0" borderId="0" xfId="0" applyNumberFormat="1" applyFont="1"/>
    <xf numFmtId="2" fontId="13" fillId="0" borderId="0" xfId="0" applyNumberFormat="1" applyFont="1"/>
    <xf numFmtId="0" fontId="3" fillId="10" borderId="1" xfId="0" applyFont="1" applyFill="1" applyBorder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3" fillId="0" borderId="1" xfId="0" applyFont="1" applyBorder="1" applyAlignment="1">
      <alignment horizontal="center"/>
    </xf>
    <xf numFmtId="0" fontId="0" fillId="0" borderId="11" xfId="0" applyBorder="1"/>
    <xf numFmtId="0" fontId="0" fillId="0" borderId="8" xfId="0" applyBorder="1"/>
    <xf numFmtId="0" fontId="3" fillId="0" borderId="1" xfId="0" applyFont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4" fillId="0" borderId="1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0" xfId="0" applyFont="1"/>
    <xf numFmtId="0" fontId="0" fillId="0" borderId="0" xfId="0"/>
    <xf numFmtId="1" fontId="3" fillId="0" borderId="1" xfId="0" applyNumberFormat="1" applyFont="1" applyBorder="1"/>
    <xf numFmtId="0" fontId="0" fillId="0" borderId="0" xfId="0" applyAlignment="1">
      <alignment wrapText="1"/>
    </xf>
    <xf numFmtId="11" fontId="14" fillId="0" borderId="0" xfId="0" applyNumberFormat="1" applyFont="1"/>
  </cellXfs>
  <cellStyles count="11">
    <cellStyle name="60% - Colore 1 2" xfId="4" xr:uid="{00000000-0005-0000-0000-00002D000000}"/>
    <cellStyle name="60% - Colore 2 2" xfId="5" xr:uid="{00000000-0005-0000-0000-00002E000000}"/>
    <cellStyle name="60% - Colore 3 2" xfId="6" xr:uid="{00000000-0005-0000-0000-00002F000000}"/>
    <cellStyle name="60% - Colore 4 2" xfId="7" xr:uid="{00000000-0005-0000-0000-000030000000}"/>
    <cellStyle name="60% - Colore 5 2" xfId="8" xr:uid="{00000000-0005-0000-0000-000031000000}"/>
    <cellStyle name="60% - Colore 6 2" xfId="9" xr:uid="{00000000-0005-0000-0000-000032000000}"/>
    <cellStyle name="Collegamento ipertestuale" xfId="10" builtinId="8"/>
    <cellStyle name="Neutrale 2" xfId="3" xr:uid="{00000000-0005-0000-0000-00002C000000}"/>
    <cellStyle name="Normale" xfId="0" builtinId="0"/>
    <cellStyle name="Percentuale" xfId="1" builtinId="5"/>
    <cellStyle name="Titolo 5" xfId="2" xr:uid="{00000000-0005-0000-0000-00002B000000}"/>
  </cellStyles>
  <dxfs count="10">
    <dxf>
      <fill>
        <patternFill>
          <bgColor theme="3" tint="0.79995117038483843"/>
        </patternFill>
      </fill>
    </dxf>
    <dxf>
      <fill>
        <patternFill>
          <bgColor theme="5" tint="0.79995117038483843"/>
        </patternFill>
      </fill>
    </dxf>
    <dxf>
      <fill>
        <patternFill>
          <bgColor rgb="FFFFFFCC"/>
        </patternFill>
      </fill>
    </dxf>
    <dxf>
      <fill>
        <patternFill>
          <bgColor theme="5" tint="0.79995117038483843"/>
        </patternFill>
      </fill>
    </dxf>
    <dxf>
      <fill>
        <patternFill>
          <bgColor rgb="FFFFFFCC"/>
        </patternFill>
      </fill>
    </dxf>
    <dxf>
      <fill>
        <patternFill>
          <bgColor theme="6" tint="0.79995117038483843"/>
        </patternFill>
      </fill>
    </dxf>
    <dxf>
      <fill>
        <patternFill>
          <bgColor theme="5" tint="0.79995117038483843"/>
        </patternFill>
      </fill>
    </dxf>
    <dxf>
      <fill>
        <patternFill>
          <bgColor rgb="FFFFFFCC"/>
        </patternFill>
      </fill>
    </dxf>
    <dxf>
      <fill>
        <patternFill>
          <bgColor theme="6" tint="0.79995117038483843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274523291670537E-2"/>
          <c:y val="1.9095990027166491E-2"/>
          <c:w val="0.93777975385159473"/>
          <c:h val="0.89100049399499093"/>
        </c:manualLayout>
      </c:layout>
      <c:areaChart>
        <c:grouping val="stacked"/>
        <c:varyColors val="0"/>
        <c:ser>
          <c:idx val="2"/>
          <c:order val="0"/>
          <c:tx>
            <c:strRef>
              <c:f>'Rootzone balance'!$J$1</c:f>
              <c:strCache>
                <c:ptCount val="1"/>
                <c:pt idx="0">
                  <c:v>Soil water content [mm]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1"/>
              </a:solidFill>
            </a:ln>
            <a:effectLst/>
          </c:spPr>
          <c:cat>
            <c:numRef>
              <c:f>'Rootzone balance'!$B$2:$B$366</c:f>
              <c:numCache>
                <c:formatCode>m/d/yyyy</c:formatCode>
                <c:ptCount val="365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  <c:pt idx="100">
                  <c:v>44297</c:v>
                </c:pt>
                <c:pt idx="101">
                  <c:v>44298</c:v>
                </c:pt>
                <c:pt idx="102">
                  <c:v>44299</c:v>
                </c:pt>
                <c:pt idx="103">
                  <c:v>44300</c:v>
                </c:pt>
                <c:pt idx="104">
                  <c:v>44301</c:v>
                </c:pt>
                <c:pt idx="105">
                  <c:v>44302</c:v>
                </c:pt>
                <c:pt idx="106">
                  <c:v>44303</c:v>
                </c:pt>
                <c:pt idx="107">
                  <c:v>44304</c:v>
                </c:pt>
                <c:pt idx="108">
                  <c:v>44305</c:v>
                </c:pt>
                <c:pt idx="109">
                  <c:v>44306</c:v>
                </c:pt>
                <c:pt idx="110">
                  <c:v>44307</c:v>
                </c:pt>
                <c:pt idx="111">
                  <c:v>44308</c:v>
                </c:pt>
                <c:pt idx="112">
                  <c:v>44309</c:v>
                </c:pt>
                <c:pt idx="113">
                  <c:v>44310</c:v>
                </c:pt>
                <c:pt idx="114">
                  <c:v>44311</c:v>
                </c:pt>
                <c:pt idx="115">
                  <c:v>44312</c:v>
                </c:pt>
                <c:pt idx="116">
                  <c:v>44313</c:v>
                </c:pt>
                <c:pt idx="117">
                  <c:v>44314</c:v>
                </c:pt>
                <c:pt idx="118">
                  <c:v>44315</c:v>
                </c:pt>
                <c:pt idx="119">
                  <c:v>44316</c:v>
                </c:pt>
                <c:pt idx="120">
                  <c:v>44317</c:v>
                </c:pt>
                <c:pt idx="121">
                  <c:v>44318</c:v>
                </c:pt>
                <c:pt idx="122">
                  <c:v>44319</c:v>
                </c:pt>
                <c:pt idx="123">
                  <c:v>44320</c:v>
                </c:pt>
                <c:pt idx="124">
                  <c:v>44321</c:v>
                </c:pt>
                <c:pt idx="125">
                  <c:v>44322</c:v>
                </c:pt>
                <c:pt idx="126">
                  <c:v>44323</c:v>
                </c:pt>
                <c:pt idx="127">
                  <c:v>44324</c:v>
                </c:pt>
                <c:pt idx="128">
                  <c:v>44325</c:v>
                </c:pt>
                <c:pt idx="129">
                  <c:v>44326</c:v>
                </c:pt>
                <c:pt idx="130">
                  <c:v>44327</c:v>
                </c:pt>
                <c:pt idx="131">
                  <c:v>44328</c:v>
                </c:pt>
                <c:pt idx="132">
                  <c:v>44329</c:v>
                </c:pt>
                <c:pt idx="133">
                  <c:v>44330</c:v>
                </c:pt>
                <c:pt idx="134">
                  <c:v>44331</c:v>
                </c:pt>
                <c:pt idx="135">
                  <c:v>44332</c:v>
                </c:pt>
                <c:pt idx="136">
                  <c:v>44333</c:v>
                </c:pt>
                <c:pt idx="137">
                  <c:v>44334</c:v>
                </c:pt>
                <c:pt idx="138">
                  <c:v>44335</c:v>
                </c:pt>
                <c:pt idx="139">
                  <c:v>44336</c:v>
                </c:pt>
                <c:pt idx="140">
                  <c:v>44337</c:v>
                </c:pt>
                <c:pt idx="141">
                  <c:v>44338</c:v>
                </c:pt>
                <c:pt idx="142">
                  <c:v>44339</c:v>
                </c:pt>
                <c:pt idx="143">
                  <c:v>44340</c:v>
                </c:pt>
                <c:pt idx="144">
                  <c:v>44341</c:v>
                </c:pt>
                <c:pt idx="145">
                  <c:v>44342</c:v>
                </c:pt>
                <c:pt idx="146">
                  <c:v>44343</c:v>
                </c:pt>
                <c:pt idx="147">
                  <c:v>44344</c:v>
                </c:pt>
                <c:pt idx="148">
                  <c:v>44345</c:v>
                </c:pt>
                <c:pt idx="149">
                  <c:v>44346</c:v>
                </c:pt>
                <c:pt idx="150">
                  <c:v>44347</c:v>
                </c:pt>
                <c:pt idx="151">
                  <c:v>44348</c:v>
                </c:pt>
                <c:pt idx="152">
                  <c:v>44349</c:v>
                </c:pt>
                <c:pt idx="153">
                  <c:v>44350</c:v>
                </c:pt>
                <c:pt idx="154">
                  <c:v>44351</c:v>
                </c:pt>
                <c:pt idx="155">
                  <c:v>44352</c:v>
                </c:pt>
                <c:pt idx="156">
                  <c:v>44353</c:v>
                </c:pt>
                <c:pt idx="157">
                  <c:v>44354</c:v>
                </c:pt>
                <c:pt idx="158">
                  <c:v>44355</c:v>
                </c:pt>
                <c:pt idx="159">
                  <c:v>44356</c:v>
                </c:pt>
                <c:pt idx="160">
                  <c:v>44357</c:v>
                </c:pt>
                <c:pt idx="161">
                  <c:v>44358</c:v>
                </c:pt>
                <c:pt idx="162">
                  <c:v>44359</c:v>
                </c:pt>
                <c:pt idx="163">
                  <c:v>44360</c:v>
                </c:pt>
                <c:pt idx="164">
                  <c:v>44361</c:v>
                </c:pt>
                <c:pt idx="165">
                  <c:v>44362</c:v>
                </c:pt>
                <c:pt idx="166">
                  <c:v>44363</c:v>
                </c:pt>
                <c:pt idx="167">
                  <c:v>44364</c:v>
                </c:pt>
                <c:pt idx="168">
                  <c:v>44365</c:v>
                </c:pt>
                <c:pt idx="169">
                  <c:v>44366</c:v>
                </c:pt>
                <c:pt idx="170">
                  <c:v>44367</c:v>
                </c:pt>
                <c:pt idx="171">
                  <c:v>44368</c:v>
                </c:pt>
                <c:pt idx="172">
                  <c:v>44369</c:v>
                </c:pt>
                <c:pt idx="173">
                  <c:v>44370</c:v>
                </c:pt>
                <c:pt idx="174">
                  <c:v>44371</c:v>
                </c:pt>
                <c:pt idx="175">
                  <c:v>44372</c:v>
                </c:pt>
                <c:pt idx="176">
                  <c:v>44373</c:v>
                </c:pt>
                <c:pt idx="177">
                  <c:v>44374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44380</c:v>
                </c:pt>
                <c:pt idx="184">
                  <c:v>44381</c:v>
                </c:pt>
                <c:pt idx="185">
                  <c:v>44382</c:v>
                </c:pt>
                <c:pt idx="186">
                  <c:v>44383</c:v>
                </c:pt>
                <c:pt idx="187">
                  <c:v>44384</c:v>
                </c:pt>
                <c:pt idx="188">
                  <c:v>44385</c:v>
                </c:pt>
                <c:pt idx="189">
                  <c:v>44386</c:v>
                </c:pt>
                <c:pt idx="190">
                  <c:v>44387</c:v>
                </c:pt>
                <c:pt idx="191">
                  <c:v>44388</c:v>
                </c:pt>
                <c:pt idx="192">
                  <c:v>44389</c:v>
                </c:pt>
                <c:pt idx="193">
                  <c:v>44390</c:v>
                </c:pt>
                <c:pt idx="194">
                  <c:v>44391</c:v>
                </c:pt>
                <c:pt idx="195">
                  <c:v>44392</c:v>
                </c:pt>
                <c:pt idx="196">
                  <c:v>44393</c:v>
                </c:pt>
                <c:pt idx="197">
                  <c:v>44394</c:v>
                </c:pt>
                <c:pt idx="198">
                  <c:v>44395</c:v>
                </c:pt>
                <c:pt idx="199">
                  <c:v>44396</c:v>
                </c:pt>
                <c:pt idx="200">
                  <c:v>44397</c:v>
                </c:pt>
                <c:pt idx="201">
                  <c:v>44398</c:v>
                </c:pt>
                <c:pt idx="202">
                  <c:v>44399</c:v>
                </c:pt>
                <c:pt idx="203">
                  <c:v>44400</c:v>
                </c:pt>
                <c:pt idx="204">
                  <c:v>44401</c:v>
                </c:pt>
                <c:pt idx="205">
                  <c:v>44402</c:v>
                </c:pt>
                <c:pt idx="206">
                  <c:v>44403</c:v>
                </c:pt>
                <c:pt idx="207">
                  <c:v>44404</c:v>
                </c:pt>
                <c:pt idx="208">
                  <c:v>44405</c:v>
                </c:pt>
                <c:pt idx="209">
                  <c:v>44406</c:v>
                </c:pt>
                <c:pt idx="210">
                  <c:v>44407</c:v>
                </c:pt>
                <c:pt idx="211">
                  <c:v>44408</c:v>
                </c:pt>
                <c:pt idx="212">
                  <c:v>44409</c:v>
                </c:pt>
                <c:pt idx="213">
                  <c:v>44410</c:v>
                </c:pt>
                <c:pt idx="214">
                  <c:v>44411</c:v>
                </c:pt>
                <c:pt idx="215">
                  <c:v>44412</c:v>
                </c:pt>
                <c:pt idx="216">
                  <c:v>44413</c:v>
                </c:pt>
                <c:pt idx="217">
                  <c:v>44414</c:v>
                </c:pt>
                <c:pt idx="218">
                  <c:v>44415</c:v>
                </c:pt>
                <c:pt idx="219">
                  <c:v>44416</c:v>
                </c:pt>
                <c:pt idx="220">
                  <c:v>44417</c:v>
                </c:pt>
                <c:pt idx="221">
                  <c:v>44418</c:v>
                </c:pt>
                <c:pt idx="222">
                  <c:v>44419</c:v>
                </c:pt>
                <c:pt idx="223">
                  <c:v>44420</c:v>
                </c:pt>
                <c:pt idx="224">
                  <c:v>44421</c:v>
                </c:pt>
                <c:pt idx="225">
                  <c:v>44422</c:v>
                </c:pt>
                <c:pt idx="226">
                  <c:v>44423</c:v>
                </c:pt>
                <c:pt idx="227">
                  <c:v>44424</c:v>
                </c:pt>
                <c:pt idx="228">
                  <c:v>44425</c:v>
                </c:pt>
                <c:pt idx="229">
                  <c:v>44426</c:v>
                </c:pt>
                <c:pt idx="230">
                  <c:v>44427</c:v>
                </c:pt>
                <c:pt idx="231">
                  <c:v>44428</c:v>
                </c:pt>
                <c:pt idx="232">
                  <c:v>44429</c:v>
                </c:pt>
                <c:pt idx="233">
                  <c:v>44430</c:v>
                </c:pt>
                <c:pt idx="234">
                  <c:v>44431</c:v>
                </c:pt>
                <c:pt idx="235">
                  <c:v>44432</c:v>
                </c:pt>
                <c:pt idx="236">
                  <c:v>44433</c:v>
                </c:pt>
                <c:pt idx="237">
                  <c:v>44434</c:v>
                </c:pt>
                <c:pt idx="238">
                  <c:v>44435</c:v>
                </c:pt>
                <c:pt idx="239">
                  <c:v>44436</c:v>
                </c:pt>
                <c:pt idx="240">
                  <c:v>44437</c:v>
                </c:pt>
                <c:pt idx="241">
                  <c:v>44438</c:v>
                </c:pt>
                <c:pt idx="242">
                  <c:v>44439</c:v>
                </c:pt>
                <c:pt idx="243">
                  <c:v>44440</c:v>
                </c:pt>
                <c:pt idx="244">
                  <c:v>44441</c:v>
                </c:pt>
                <c:pt idx="245">
                  <c:v>44442</c:v>
                </c:pt>
                <c:pt idx="246">
                  <c:v>44443</c:v>
                </c:pt>
                <c:pt idx="247">
                  <c:v>44444</c:v>
                </c:pt>
                <c:pt idx="248">
                  <c:v>44445</c:v>
                </c:pt>
                <c:pt idx="249">
                  <c:v>44446</c:v>
                </c:pt>
                <c:pt idx="250">
                  <c:v>44447</c:v>
                </c:pt>
                <c:pt idx="251">
                  <c:v>44448</c:v>
                </c:pt>
                <c:pt idx="252">
                  <c:v>44449</c:v>
                </c:pt>
                <c:pt idx="253">
                  <c:v>44450</c:v>
                </c:pt>
                <c:pt idx="254">
                  <c:v>44451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44457</c:v>
                </c:pt>
                <c:pt idx="261">
                  <c:v>44458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44464</c:v>
                </c:pt>
                <c:pt idx="268">
                  <c:v>44465</c:v>
                </c:pt>
                <c:pt idx="269">
                  <c:v>44466</c:v>
                </c:pt>
                <c:pt idx="270">
                  <c:v>44467</c:v>
                </c:pt>
                <c:pt idx="271">
                  <c:v>44468</c:v>
                </c:pt>
                <c:pt idx="272">
                  <c:v>44469</c:v>
                </c:pt>
                <c:pt idx="273">
                  <c:v>44470</c:v>
                </c:pt>
                <c:pt idx="274">
                  <c:v>44471</c:v>
                </c:pt>
                <c:pt idx="275">
                  <c:v>44472</c:v>
                </c:pt>
                <c:pt idx="276">
                  <c:v>44473</c:v>
                </c:pt>
                <c:pt idx="277">
                  <c:v>44474</c:v>
                </c:pt>
                <c:pt idx="278">
                  <c:v>44475</c:v>
                </c:pt>
                <c:pt idx="279">
                  <c:v>44476</c:v>
                </c:pt>
                <c:pt idx="280">
                  <c:v>44477</c:v>
                </c:pt>
                <c:pt idx="281">
                  <c:v>44478</c:v>
                </c:pt>
                <c:pt idx="282">
                  <c:v>44479</c:v>
                </c:pt>
                <c:pt idx="283">
                  <c:v>44480</c:v>
                </c:pt>
                <c:pt idx="284">
                  <c:v>44481</c:v>
                </c:pt>
                <c:pt idx="285">
                  <c:v>44482</c:v>
                </c:pt>
                <c:pt idx="286">
                  <c:v>44483</c:v>
                </c:pt>
                <c:pt idx="287">
                  <c:v>44484</c:v>
                </c:pt>
                <c:pt idx="288">
                  <c:v>44485</c:v>
                </c:pt>
                <c:pt idx="289">
                  <c:v>44486</c:v>
                </c:pt>
                <c:pt idx="290">
                  <c:v>44487</c:v>
                </c:pt>
                <c:pt idx="291">
                  <c:v>44488</c:v>
                </c:pt>
                <c:pt idx="292">
                  <c:v>44489</c:v>
                </c:pt>
                <c:pt idx="293">
                  <c:v>44490</c:v>
                </c:pt>
                <c:pt idx="294">
                  <c:v>44491</c:v>
                </c:pt>
                <c:pt idx="295">
                  <c:v>44492</c:v>
                </c:pt>
                <c:pt idx="296">
                  <c:v>44493</c:v>
                </c:pt>
                <c:pt idx="297">
                  <c:v>44494</c:v>
                </c:pt>
                <c:pt idx="298">
                  <c:v>44495</c:v>
                </c:pt>
                <c:pt idx="299">
                  <c:v>44496</c:v>
                </c:pt>
                <c:pt idx="300">
                  <c:v>44497</c:v>
                </c:pt>
                <c:pt idx="301">
                  <c:v>44498</c:v>
                </c:pt>
                <c:pt idx="302">
                  <c:v>44499</c:v>
                </c:pt>
                <c:pt idx="303">
                  <c:v>44500</c:v>
                </c:pt>
                <c:pt idx="304">
                  <c:v>44501</c:v>
                </c:pt>
                <c:pt idx="305">
                  <c:v>44502</c:v>
                </c:pt>
                <c:pt idx="306">
                  <c:v>44503</c:v>
                </c:pt>
                <c:pt idx="307">
                  <c:v>44504</c:v>
                </c:pt>
                <c:pt idx="308">
                  <c:v>44505</c:v>
                </c:pt>
                <c:pt idx="309">
                  <c:v>44506</c:v>
                </c:pt>
                <c:pt idx="310">
                  <c:v>44507</c:v>
                </c:pt>
                <c:pt idx="311">
                  <c:v>44508</c:v>
                </c:pt>
                <c:pt idx="312">
                  <c:v>44509</c:v>
                </c:pt>
                <c:pt idx="313">
                  <c:v>44510</c:v>
                </c:pt>
                <c:pt idx="314">
                  <c:v>44511</c:v>
                </c:pt>
                <c:pt idx="315">
                  <c:v>44512</c:v>
                </c:pt>
                <c:pt idx="316">
                  <c:v>44513</c:v>
                </c:pt>
                <c:pt idx="317">
                  <c:v>44514</c:v>
                </c:pt>
                <c:pt idx="318">
                  <c:v>44515</c:v>
                </c:pt>
                <c:pt idx="319">
                  <c:v>44516</c:v>
                </c:pt>
                <c:pt idx="320">
                  <c:v>44517</c:v>
                </c:pt>
                <c:pt idx="321">
                  <c:v>44518</c:v>
                </c:pt>
                <c:pt idx="322">
                  <c:v>44519</c:v>
                </c:pt>
                <c:pt idx="323">
                  <c:v>44520</c:v>
                </c:pt>
                <c:pt idx="324">
                  <c:v>44521</c:v>
                </c:pt>
                <c:pt idx="325">
                  <c:v>44522</c:v>
                </c:pt>
                <c:pt idx="326">
                  <c:v>44523</c:v>
                </c:pt>
                <c:pt idx="327">
                  <c:v>44524</c:v>
                </c:pt>
                <c:pt idx="328">
                  <c:v>44525</c:v>
                </c:pt>
                <c:pt idx="329">
                  <c:v>44526</c:v>
                </c:pt>
                <c:pt idx="330">
                  <c:v>44527</c:v>
                </c:pt>
                <c:pt idx="331">
                  <c:v>44528</c:v>
                </c:pt>
                <c:pt idx="332">
                  <c:v>44529</c:v>
                </c:pt>
                <c:pt idx="333">
                  <c:v>44530</c:v>
                </c:pt>
                <c:pt idx="334">
                  <c:v>44531</c:v>
                </c:pt>
                <c:pt idx="335">
                  <c:v>44532</c:v>
                </c:pt>
                <c:pt idx="336">
                  <c:v>44533</c:v>
                </c:pt>
                <c:pt idx="337">
                  <c:v>44534</c:v>
                </c:pt>
                <c:pt idx="338">
                  <c:v>44535</c:v>
                </c:pt>
                <c:pt idx="339">
                  <c:v>44536</c:v>
                </c:pt>
                <c:pt idx="340">
                  <c:v>44537</c:v>
                </c:pt>
                <c:pt idx="341">
                  <c:v>44538</c:v>
                </c:pt>
                <c:pt idx="342">
                  <c:v>44539</c:v>
                </c:pt>
                <c:pt idx="343">
                  <c:v>44540</c:v>
                </c:pt>
                <c:pt idx="344">
                  <c:v>44541</c:v>
                </c:pt>
                <c:pt idx="345">
                  <c:v>44542</c:v>
                </c:pt>
                <c:pt idx="346">
                  <c:v>44543</c:v>
                </c:pt>
                <c:pt idx="347">
                  <c:v>44544</c:v>
                </c:pt>
                <c:pt idx="348">
                  <c:v>44545</c:v>
                </c:pt>
                <c:pt idx="349">
                  <c:v>44546</c:v>
                </c:pt>
                <c:pt idx="350">
                  <c:v>44547</c:v>
                </c:pt>
                <c:pt idx="351">
                  <c:v>44548</c:v>
                </c:pt>
                <c:pt idx="352">
                  <c:v>44549</c:v>
                </c:pt>
                <c:pt idx="353">
                  <c:v>44550</c:v>
                </c:pt>
                <c:pt idx="354">
                  <c:v>44551</c:v>
                </c:pt>
                <c:pt idx="355">
                  <c:v>44552</c:v>
                </c:pt>
                <c:pt idx="356">
                  <c:v>44553</c:v>
                </c:pt>
                <c:pt idx="357">
                  <c:v>44554</c:v>
                </c:pt>
                <c:pt idx="358">
                  <c:v>44555</c:v>
                </c:pt>
                <c:pt idx="359">
                  <c:v>44556</c:v>
                </c:pt>
                <c:pt idx="360">
                  <c:v>44557</c:v>
                </c:pt>
                <c:pt idx="361">
                  <c:v>44558</c:v>
                </c:pt>
                <c:pt idx="362">
                  <c:v>44559</c:v>
                </c:pt>
                <c:pt idx="363">
                  <c:v>44560</c:v>
                </c:pt>
                <c:pt idx="364">
                  <c:v>44561</c:v>
                </c:pt>
              </c:numCache>
            </c:numRef>
          </c:cat>
          <c:val>
            <c:numRef>
              <c:f>'Rootzone balance'!$J$2:$J$366</c:f>
              <c:numCache>
                <c:formatCode>0.00</c:formatCode>
                <c:ptCount val="365"/>
                <c:pt idx="1">
                  <c:v>227.43424026968961</c:v>
                </c:pt>
                <c:pt idx="2">
                  <c:v>238.68215905894468</c:v>
                </c:pt>
                <c:pt idx="3">
                  <c:v>244.16152420032097</c:v>
                </c:pt>
                <c:pt idx="4">
                  <c:v>250.12250244610232</c:v>
                </c:pt>
                <c:pt idx="5">
                  <c:v>253.51647181382194</c:v>
                </c:pt>
                <c:pt idx="6">
                  <c:v>255.37514833614682</c:v>
                </c:pt>
                <c:pt idx="7">
                  <c:v>254.87462421557106</c:v>
                </c:pt>
                <c:pt idx="8">
                  <c:v>254.55880413023223</c:v>
                </c:pt>
                <c:pt idx="9">
                  <c:v>253.99117931417135</c:v>
                </c:pt>
                <c:pt idx="10">
                  <c:v>253.34778582674056</c:v>
                </c:pt>
                <c:pt idx="11">
                  <c:v>253.05899915685302</c:v>
                </c:pt>
                <c:pt idx="12">
                  <c:v>252.5099765156944</c:v>
                </c:pt>
                <c:pt idx="13">
                  <c:v>251.64876548777511</c:v>
                </c:pt>
                <c:pt idx="14">
                  <c:v>250.69129641919611</c:v>
                </c:pt>
                <c:pt idx="15">
                  <c:v>249.86915137299673</c:v>
                </c:pt>
                <c:pt idx="16">
                  <c:v>249.33938838241602</c:v>
                </c:pt>
                <c:pt idx="17">
                  <c:v>248.79157962697769</c:v>
                </c:pt>
                <c:pt idx="18">
                  <c:v>248.42300286436756</c:v>
                </c:pt>
                <c:pt idx="19">
                  <c:v>248.45162392224805</c:v>
                </c:pt>
                <c:pt idx="20">
                  <c:v>252.94740582592809</c:v>
                </c:pt>
                <c:pt idx="21">
                  <c:v>257.77942325457531</c:v>
                </c:pt>
                <c:pt idx="22">
                  <c:v>268.90668531624107</c:v>
                </c:pt>
                <c:pt idx="23">
                  <c:v>275.79687070337644</c:v>
                </c:pt>
                <c:pt idx="24">
                  <c:v>274.69353243187817</c:v>
                </c:pt>
                <c:pt idx="25">
                  <c:v>273.40621455905136</c:v>
                </c:pt>
                <c:pt idx="26">
                  <c:v>270.87104187000108</c:v>
                </c:pt>
                <c:pt idx="27">
                  <c:v>269.65742910872427</c:v>
                </c:pt>
                <c:pt idx="28">
                  <c:v>268.61496097804252</c:v>
                </c:pt>
                <c:pt idx="29">
                  <c:v>267.6034609688428</c:v>
                </c:pt>
                <c:pt idx="30">
                  <c:v>269.35141209176572</c:v>
                </c:pt>
                <c:pt idx="31">
                  <c:v>274.98250722276686</c:v>
                </c:pt>
                <c:pt idx="32">
                  <c:v>273.88175516825925</c:v>
                </c:pt>
                <c:pt idx="33">
                  <c:v>272.9575350572577</c:v>
                </c:pt>
                <c:pt idx="34">
                  <c:v>277.83238001242614</c:v>
                </c:pt>
                <c:pt idx="35">
                  <c:v>277.8646154281231</c:v>
                </c:pt>
                <c:pt idx="36">
                  <c:v>278.90972809998703</c:v>
                </c:pt>
                <c:pt idx="37">
                  <c:v>277.83053202238386</c:v>
                </c:pt>
                <c:pt idx="38">
                  <c:v>289.55756431345213</c:v>
                </c:pt>
                <c:pt idx="39">
                  <c:v>290.01343095095035</c:v>
                </c:pt>
                <c:pt idx="40">
                  <c:v>290.76577224872301</c:v>
                </c:pt>
                <c:pt idx="41">
                  <c:v>298.9631201555203</c:v>
                </c:pt>
                <c:pt idx="42">
                  <c:v>296.81133157322188</c:v>
                </c:pt>
                <c:pt idx="43">
                  <c:v>294.42212578212036</c:v>
                </c:pt>
                <c:pt idx="44">
                  <c:v>292.24969078368173</c:v>
                </c:pt>
                <c:pt idx="45">
                  <c:v>290.06534314006763</c:v>
                </c:pt>
                <c:pt idx="46">
                  <c:v>287.97122709600814</c:v>
                </c:pt>
                <c:pt idx="47">
                  <c:v>285.84397778292526</c:v>
                </c:pt>
                <c:pt idx="48">
                  <c:v>283.99646895817295</c:v>
                </c:pt>
                <c:pt idx="49">
                  <c:v>282.70477456927927</c:v>
                </c:pt>
                <c:pt idx="50">
                  <c:v>281.69821404602453</c:v>
                </c:pt>
                <c:pt idx="51">
                  <c:v>279.95828239014918</c:v>
                </c:pt>
                <c:pt idx="52">
                  <c:v>277.86844480762983</c:v>
                </c:pt>
                <c:pt idx="53">
                  <c:v>275.89712656176391</c:v>
                </c:pt>
                <c:pt idx="54">
                  <c:v>273.7172532511625</c:v>
                </c:pt>
                <c:pt idx="55">
                  <c:v>271.41031557984383</c:v>
                </c:pt>
                <c:pt idx="56">
                  <c:v>269.33308491336697</c:v>
                </c:pt>
                <c:pt idx="57">
                  <c:v>267.44985899907988</c:v>
                </c:pt>
                <c:pt idx="58">
                  <c:v>265.63520118281917</c:v>
                </c:pt>
                <c:pt idx="59">
                  <c:v>264.0950651291152</c:v>
                </c:pt>
                <c:pt idx="60">
                  <c:v>262.79323491905262</c:v>
                </c:pt>
                <c:pt idx="61">
                  <c:v>261.62796914875571</c:v>
                </c:pt>
                <c:pt idx="62">
                  <c:v>260.67145871211187</c:v>
                </c:pt>
                <c:pt idx="63">
                  <c:v>259.74587387285584</c:v>
                </c:pt>
                <c:pt idx="64">
                  <c:v>258.80072277472163</c:v>
                </c:pt>
                <c:pt idx="65">
                  <c:v>258.5604713133298</c:v>
                </c:pt>
                <c:pt idx="66">
                  <c:v>257.72397525996985</c:v>
                </c:pt>
                <c:pt idx="67">
                  <c:v>256.94715981588314</c:v>
                </c:pt>
                <c:pt idx="68">
                  <c:v>256.20569223979226</c:v>
                </c:pt>
                <c:pt idx="69">
                  <c:v>255.5090841195715</c:v>
                </c:pt>
                <c:pt idx="70">
                  <c:v>254.93286070107908</c:v>
                </c:pt>
                <c:pt idx="71">
                  <c:v>254.31091584472267</c:v>
                </c:pt>
                <c:pt idx="72">
                  <c:v>253.73287812417755</c:v>
                </c:pt>
                <c:pt idx="73">
                  <c:v>253.1329448454191</c:v>
                </c:pt>
                <c:pt idx="74">
                  <c:v>252.6017677375747</c:v>
                </c:pt>
                <c:pt idx="75">
                  <c:v>252.07406281734131</c:v>
                </c:pt>
                <c:pt idx="76">
                  <c:v>251.61747082760439</c:v>
                </c:pt>
                <c:pt idx="77">
                  <c:v>251.77795760755058</c:v>
                </c:pt>
                <c:pt idx="78">
                  <c:v>251.25758344305282</c:v>
                </c:pt>
                <c:pt idx="79">
                  <c:v>250.77069122202531</c:v>
                </c:pt>
                <c:pt idx="80">
                  <c:v>250.31850228706034</c:v>
                </c:pt>
                <c:pt idx="81">
                  <c:v>249.87925335685333</c:v>
                </c:pt>
                <c:pt idx="82">
                  <c:v>249.45747236843701</c:v>
                </c:pt>
                <c:pt idx="83">
                  <c:v>249.06154444045225</c:v>
                </c:pt>
                <c:pt idx="84">
                  <c:v>248.68396688049583</c:v>
                </c:pt>
                <c:pt idx="85">
                  <c:v>248.32257728689683</c:v>
                </c:pt>
                <c:pt idx="86">
                  <c:v>247.98130484651628</c:v>
                </c:pt>
                <c:pt idx="87">
                  <c:v>247.64139192127854</c:v>
                </c:pt>
                <c:pt idx="88">
                  <c:v>247.30961441852051</c:v>
                </c:pt>
                <c:pt idx="89">
                  <c:v>246.98644546854871</c:v>
                </c:pt>
                <c:pt idx="90">
                  <c:v>246.6722114577793</c:v>
                </c:pt>
                <c:pt idx="91">
                  <c:v>246.36510470209242</c:v>
                </c:pt>
                <c:pt idx="92">
                  <c:v>58.848586525070907</c:v>
                </c:pt>
                <c:pt idx="93">
                  <c:v>89.2970167207408</c:v>
                </c:pt>
                <c:pt idx="94">
                  <c:v>78.293444137357625</c:v>
                </c:pt>
                <c:pt idx="95">
                  <c:v>72.36210186218787</c:v>
                </c:pt>
                <c:pt idx="96">
                  <c:v>67.060016549378489</c:v>
                </c:pt>
                <c:pt idx="97">
                  <c:v>63.592209656851594</c:v>
                </c:pt>
                <c:pt idx="98">
                  <c:v>61.180602180712668</c:v>
                </c:pt>
                <c:pt idx="99">
                  <c:v>59.892658783074538</c:v>
                </c:pt>
                <c:pt idx="100">
                  <c:v>61.417779193452368</c:v>
                </c:pt>
                <c:pt idx="101">
                  <c:v>80.546804623943572</c:v>
                </c:pt>
                <c:pt idx="102">
                  <c:v>88.353713617068607</c:v>
                </c:pt>
                <c:pt idx="103">
                  <c:v>84.243944224127731</c:v>
                </c:pt>
                <c:pt idx="104">
                  <c:v>79.907162706431507</c:v>
                </c:pt>
                <c:pt idx="105">
                  <c:v>76.371160924953827</c:v>
                </c:pt>
                <c:pt idx="106">
                  <c:v>74.090830750960137</c:v>
                </c:pt>
                <c:pt idx="107">
                  <c:v>72.051598927891519</c:v>
                </c:pt>
                <c:pt idx="108">
                  <c:v>70.97305957819917</c:v>
                </c:pt>
                <c:pt idx="109">
                  <c:v>70.502234073710397</c:v>
                </c:pt>
                <c:pt idx="110">
                  <c:v>70.620429845495096</c:v>
                </c:pt>
                <c:pt idx="111">
                  <c:v>70.618653226282461</c:v>
                </c:pt>
                <c:pt idx="112">
                  <c:v>70.859482108677341</c:v>
                </c:pt>
                <c:pt idx="113">
                  <c:v>71.309034699927764</c:v>
                </c:pt>
                <c:pt idx="114">
                  <c:v>71.877275726646047</c:v>
                </c:pt>
                <c:pt idx="115">
                  <c:v>72.575198247753221</c:v>
                </c:pt>
                <c:pt idx="116">
                  <c:v>74.158218704052771</c:v>
                </c:pt>
                <c:pt idx="117">
                  <c:v>76.501220652854713</c:v>
                </c:pt>
                <c:pt idx="118">
                  <c:v>77.880826153533107</c:v>
                </c:pt>
                <c:pt idx="119">
                  <c:v>88.990940510687025</c:v>
                </c:pt>
                <c:pt idx="120">
                  <c:v>89.958992814961007</c:v>
                </c:pt>
                <c:pt idx="121">
                  <c:v>120.28833348035604</c:v>
                </c:pt>
                <c:pt idx="122">
                  <c:v>118.46359023446037</c:v>
                </c:pt>
                <c:pt idx="123">
                  <c:v>115.39512396070597</c:v>
                </c:pt>
                <c:pt idx="124">
                  <c:v>111.97549909398063</c:v>
                </c:pt>
                <c:pt idx="125">
                  <c:v>109.88365048115865</c:v>
                </c:pt>
                <c:pt idx="126">
                  <c:v>107.73031338498433</c:v>
                </c:pt>
                <c:pt idx="127">
                  <c:v>105.27624438969147</c:v>
                </c:pt>
                <c:pt idx="128">
                  <c:v>104.47055155250798</c:v>
                </c:pt>
                <c:pt idx="129">
                  <c:v>104.37719686921227</c:v>
                </c:pt>
                <c:pt idx="130">
                  <c:v>105.43229890272193</c:v>
                </c:pt>
                <c:pt idx="131">
                  <c:v>124.23029829540774</c:v>
                </c:pt>
                <c:pt idx="132">
                  <c:v>122.45107233091649</c:v>
                </c:pt>
                <c:pt idx="133">
                  <c:v>121.31754031271473</c:v>
                </c:pt>
                <c:pt idx="134">
                  <c:v>126.41573484262021</c:v>
                </c:pt>
                <c:pt idx="135">
                  <c:v>125.32288539428097</c:v>
                </c:pt>
                <c:pt idx="136">
                  <c:v>126.3418824887336</c:v>
                </c:pt>
                <c:pt idx="137">
                  <c:v>126.00437257415565</c:v>
                </c:pt>
                <c:pt idx="138">
                  <c:v>123.55269025232961</c:v>
                </c:pt>
                <c:pt idx="139">
                  <c:v>120.91619124453112</c:v>
                </c:pt>
                <c:pt idx="140">
                  <c:v>119.22135014532296</c:v>
                </c:pt>
                <c:pt idx="141">
                  <c:v>118.77522255192049</c:v>
                </c:pt>
                <c:pt idx="142">
                  <c:v>121.54667130992166</c:v>
                </c:pt>
                <c:pt idx="143">
                  <c:v>120.47140781693655</c:v>
                </c:pt>
                <c:pt idx="144">
                  <c:v>146.50943242990948</c:v>
                </c:pt>
                <c:pt idx="145">
                  <c:v>142.62869412068159</c:v>
                </c:pt>
                <c:pt idx="146">
                  <c:v>139.34486398083084</c:v>
                </c:pt>
                <c:pt idx="147">
                  <c:v>135.77787890268598</c:v>
                </c:pt>
                <c:pt idx="148">
                  <c:v>132.47605848891243</c:v>
                </c:pt>
                <c:pt idx="149">
                  <c:v>129.40589841874376</c:v>
                </c:pt>
                <c:pt idx="150">
                  <c:v>126.70693699351247</c:v>
                </c:pt>
                <c:pt idx="151">
                  <c:v>125.17542878232049</c:v>
                </c:pt>
                <c:pt idx="152">
                  <c:v>123.57352533276642</c:v>
                </c:pt>
                <c:pt idx="153">
                  <c:v>122.38713643334536</c:v>
                </c:pt>
                <c:pt idx="154">
                  <c:v>120.68509942103151</c:v>
                </c:pt>
                <c:pt idx="155">
                  <c:v>171.22333668314457</c:v>
                </c:pt>
                <c:pt idx="156">
                  <c:v>174.1642435402822</c:v>
                </c:pt>
                <c:pt idx="157">
                  <c:v>184.2225509032055</c:v>
                </c:pt>
                <c:pt idx="158">
                  <c:v>182.84434463261488</c:v>
                </c:pt>
                <c:pt idx="159">
                  <c:v>180.66971020278518</c:v>
                </c:pt>
                <c:pt idx="160">
                  <c:v>176.56415271020168</c:v>
                </c:pt>
                <c:pt idx="161">
                  <c:v>172.72170125768241</c:v>
                </c:pt>
                <c:pt idx="162">
                  <c:v>171.56109781309198</c:v>
                </c:pt>
                <c:pt idx="163">
                  <c:v>167.46041180987274</c:v>
                </c:pt>
                <c:pt idx="164">
                  <c:v>162.2365041273531</c:v>
                </c:pt>
                <c:pt idx="165">
                  <c:v>157.84049451658936</c:v>
                </c:pt>
                <c:pt idx="166">
                  <c:v>153.89608781405559</c:v>
                </c:pt>
                <c:pt idx="167">
                  <c:v>204.46885875898948</c:v>
                </c:pt>
                <c:pt idx="168">
                  <c:v>199.9243906826635</c:v>
                </c:pt>
                <c:pt idx="169">
                  <c:v>194.87215204004644</c:v>
                </c:pt>
                <c:pt idx="170">
                  <c:v>191.07055698470876</c:v>
                </c:pt>
                <c:pt idx="171">
                  <c:v>188.54682424161786</c:v>
                </c:pt>
                <c:pt idx="172">
                  <c:v>184.58916645068348</c:v>
                </c:pt>
                <c:pt idx="173">
                  <c:v>181.13456712135806</c:v>
                </c:pt>
                <c:pt idx="174">
                  <c:v>177.72064475157819</c:v>
                </c:pt>
                <c:pt idx="175">
                  <c:v>173.59217569163536</c:v>
                </c:pt>
                <c:pt idx="176">
                  <c:v>222.04595011533652</c:v>
                </c:pt>
                <c:pt idx="177">
                  <c:v>214.44399953711155</c:v>
                </c:pt>
                <c:pt idx="178">
                  <c:v>207.79531716261448</c:v>
                </c:pt>
                <c:pt idx="179">
                  <c:v>200.66958767958349</c:v>
                </c:pt>
                <c:pt idx="180">
                  <c:v>193.90150402013603</c:v>
                </c:pt>
                <c:pt idx="181">
                  <c:v>187.37225474975565</c:v>
                </c:pt>
                <c:pt idx="182">
                  <c:v>179.88446126330481</c:v>
                </c:pt>
                <c:pt idx="183">
                  <c:v>226.28463494751941</c:v>
                </c:pt>
                <c:pt idx="184">
                  <c:v>219.88060101271842</c:v>
                </c:pt>
                <c:pt idx="185">
                  <c:v>221.3429400130064</c:v>
                </c:pt>
                <c:pt idx="186">
                  <c:v>215.19392052147907</c:v>
                </c:pt>
                <c:pt idx="187">
                  <c:v>208.63784180989373</c:v>
                </c:pt>
                <c:pt idx="188">
                  <c:v>202.73557518487343</c:v>
                </c:pt>
                <c:pt idx="189">
                  <c:v>214.02397852737255</c:v>
                </c:pt>
                <c:pt idx="190">
                  <c:v>207.07165257288224</c:v>
                </c:pt>
                <c:pt idx="191">
                  <c:v>200.58194842330772</c:v>
                </c:pt>
                <c:pt idx="192">
                  <c:v>194.01687847320051</c:v>
                </c:pt>
                <c:pt idx="193">
                  <c:v>188.35673426110588</c:v>
                </c:pt>
                <c:pt idx="194">
                  <c:v>183.01476407608027</c:v>
                </c:pt>
                <c:pt idx="195">
                  <c:v>183.12203886133648</c:v>
                </c:pt>
                <c:pt idx="196">
                  <c:v>179.24123470909836</c:v>
                </c:pt>
                <c:pt idx="197">
                  <c:v>174.22220232393607</c:v>
                </c:pt>
                <c:pt idx="198">
                  <c:v>221.97037659041794</c:v>
                </c:pt>
                <c:pt idx="199">
                  <c:v>215.59309370564628</c:v>
                </c:pt>
                <c:pt idx="200">
                  <c:v>208.09189086333089</c:v>
                </c:pt>
                <c:pt idx="201">
                  <c:v>200.95242159091495</c:v>
                </c:pt>
                <c:pt idx="202">
                  <c:v>194.62635089564577</c:v>
                </c:pt>
                <c:pt idx="203">
                  <c:v>188.2222571362903</c:v>
                </c:pt>
                <c:pt idx="204">
                  <c:v>182.30038909351106</c:v>
                </c:pt>
                <c:pt idx="205">
                  <c:v>176.99612525480947</c:v>
                </c:pt>
                <c:pt idx="206">
                  <c:v>225.33057435775936</c:v>
                </c:pt>
                <c:pt idx="207">
                  <c:v>233.38530459190093</c:v>
                </c:pt>
                <c:pt idx="208">
                  <c:v>228.01785390021985</c:v>
                </c:pt>
                <c:pt idx="209">
                  <c:v>222.97611071062698</c:v>
                </c:pt>
                <c:pt idx="210">
                  <c:v>216.6986943685549</c:v>
                </c:pt>
                <c:pt idx="211">
                  <c:v>211.49191728996252</c:v>
                </c:pt>
                <c:pt idx="212">
                  <c:v>206.37738580470946</c:v>
                </c:pt>
                <c:pt idx="213">
                  <c:v>211.43423704363016</c:v>
                </c:pt>
                <c:pt idx="214">
                  <c:v>208.24144919556102</c:v>
                </c:pt>
                <c:pt idx="215">
                  <c:v>204.22609770966676</c:v>
                </c:pt>
                <c:pt idx="216">
                  <c:v>207.89910607040079</c:v>
                </c:pt>
                <c:pt idx="217">
                  <c:v>201.7457062556513</c:v>
                </c:pt>
                <c:pt idx="218">
                  <c:v>195.98256924142294</c:v>
                </c:pt>
                <c:pt idx="219">
                  <c:v>192.42108767717176</c:v>
                </c:pt>
                <c:pt idx="220">
                  <c:v>187.76769443267773</c:v>
                </c:pt>
                <c:pt idx="221">
                  <c:v>182.40550443689995</c:v>
                </c:pt>
                <c:pt idx="222">
                  <c:v>177.09359833741553</c:v>
                </c:pt>
                <c:pt idx="223">
                  <c:v>224.74113244679666</c:v>
                </c:pt>
                <c:pt idx="224">
                  <c:v>217.50398216070718</c:v>
                </c:pt>
                <c:pt idx="225">
                  <c:v>211.00528777555039</c:v>
                </c:pt>
                <c:pt idx="226">
                  <c:v>204.93220822507192</c:v>
                </c:pt>
                <c:pt idx="227">
                  <c:v>198.79402483142786</c:v>
                </c:pt>
                <c:pt idx="228">
                  <c:v>200.05861161066915</c:v>
                </c:pt>
                <c:pt idx="229">
                  <c:v>194.18731839806327</c:v>
                </c:pt>
                <c:pt idx="230">
                  <c:v>188.72697649863252</c:v>
                </c:pt>
                <c:pt idx="231">
                  <c:v>183.89662076183399</c:v>
                </c:pt>
                <c:pt idx="232">
                  <c:v>179.11931856731749</c:v>
                </c:pt>
                <c:pt idx="233">
                  <c:v>174.08602780755925</c:v>
                </c:pt>
                <c:pt idx="234">
                  <c:v>222.54842824810925</c:v>
                </c:pt>
                <c:pt idx="235">
                  <c:v>221.10960542388747</c:v>
                </c:pt>
                <c:pt idx="236">
                  <c:v>215.9024408577786</c:v>
                </c:pt>
                <c:pt idx="237">
                  <c:v>210.92528034843755</c:v>
                </c:pt>
                <c:pt idx="238">
                  <c:v>205.42173697703441</c:v>
                </c:pt>
                <c:pt idx="239">
                  <c:v>201.82233294886422</c:v>
                </c:pt>
                <c:pt idx="240">
                  <c:v>197.01469238007954</c:v>
                </c:pt>
                <c:pt idx="241">
                  <c:v>192.52850591817864</c:v>
                </c:pt>
                <c:pt idx="242">
                  <c:v>188.57602156070786</c:v>
                </c:pt>
                <c:pt idx="243">
                  <c:v>185.46413429428816</c:v>
                </c:pt>
                <c:pt idx="244">
                  <c:v>182.70067024811101</c:v>
                </c:pt>
                <c:pt idx="245">
                  <c:v>180.14003724504491</c:v>
                </c:pt>
                <c:pt idx="246">
                  <c:v>178.19758292338506</c:v>
                </c:pt>
                <c:pt idx="247">
                  <c:v>176.66562001915059</c:v>
                </c:pt>
                <c:pt idx="248">
                  <c:v>175.42091604884499</c:v>
                </c:pt>
                <c:pt idx="249">
                  <c:v>224.96468262989839</c:v>
                </c:pt>
                <c:pt idx="250">
                  <c:v>257.31338984195298</c:v>
                </c:pt>
                <c:pt idx="251">
                  <c:v>251.56332725374062</c:v>
                </c:pt>
                <c:pt idx="252">
                  <c:v>246.87604481259547</c:v>
                </c:pt>
                <c:pt idx="253">
                  <c:v>243.94851670243767</c:v>
                </c:pt>
                <c:pt idx="254">
                  <c:v>241.58657654727807</c:v>
                </c:pt>
                <c:pt idx="255">
                  <c:v>239.89676080052325</c:v>
                </c:pt>
                <c:pt idx="256">
                  <c:v>238.70156759706208</c:v>
                </c:pt>
                <c:pt idx="257">
                  <c:v>237.96972087250319</c:v>
                </c:pt>
                <c:pt idx="258">
                  <c:v>237.39052086137761</c:v>
                </c:pt>
                <c:pt idx="259">
                  <c:v>273.33459930350369</c:v>
                </c:pt>
                <c:pt idx="260">
                  <c:v>269.64381550012456</c:v>
                </c:pt>
                <c:pt idx="261">
                  <c:v>266.80690848090222</c:v>
                </c:pt>
                <c:pt idx="262">
                  <c:v>271.28351584988081</c:v>
                </c:pt>
                <c:pt idx="263">
                  <c:v>275.6494611884491</c:v>
                </c:pt>
                <c:pt idx="264">
                  <c:v>272.34373914167912</c:v>
                </c:pt>
                <c:pt idx="265">
                  <c:v>268.74073184515606</c:v>
                </c:pt>
                <c:pt idx="266">
                  <c:v>265.37162188053964</c:v>
                </c:pt>
                <c:pt idx="267">
                  <c:v>261.91439489064385</c:v>
                </c:pt>
                <c:pt idx="268">
                  <c:v>259.48060831003761</c:v>
                </c:pt>
                <c:pt idx="269">
                  <c:v>277.54453387031373</c:v>
                </c:pt>
                <c:pt idx="270">
                  <c:v>275.13097241118709</c:v>
                </c:pt>
                <c:pt idx="271">
                  <c:v>271.86705103671164</c:v>
                </c:pt>
                <c:pt idx="272">
                  <c:v>268.32162487110196</c:v>
                </c:pt>
                <c:pt idx="273">
                  <c:v>265.0774192830051</c:v>
                </c:pt>
                <c:pt idx="274">
                  <c:v>261.75597653773406</c:v>
                </c:pt>
                <c:pt idx="275">
                  <c:v>258.90620561079771</c:v>
                </c:pt>
                <c:pt idx="276">
                  <c:v>260.18225078993629</c:v>
                </c:pt>
                <c:pt idx="277">
                  <c:v>284.00689980471338</c:v>
                </c:pt>
                <c:pt idx="278">
                  <c:v>283.88051814034338</c:v>
                </c:pt>
                <c:pt idx="279">
                  <c:v>291.16592197497414</c:v>
                </c:pt>
                <c:pt idx="280">
                  <c:v>288.42821570362355</c:v>
                </c:pt>
                <c:pt idx="281">
                  <c:v>285.66311385136771</c:v>
                </c:pt>
                <c:pt idx="282">
                  <c:v>282.77437367566625</c:v>
                </c:pt>
                <c:pt idx="283">
                  <c:v>280.05086016948474</c:v>
                </c:pt>
                <c:pt idx="284">
                  <c:v>277.37851830441235</c:v>
                </c:pt>
                <c:pt idx="285">
                  <c:v>274.80161495852218</c:v>
                </c:pt>
                <c:pt idx="286">
                  <c:v>272.17510757685562</c:v>
                </c:pt>
                <c:pt idx="287">
                  <c:v>269.80610566640661</c:v>
                </c:pt>
                <c:pt idx="288">
                  <c:v>267.89236089698687</c:v>
                </c:pt>
                <c:pt idx="289">
                  <c:v>266.24332158994105</c:v>
                </c:pt>
                <c:pt idx="290">
                  <c:v>264.70533315321654</c:v>
                </c:pt>
                <c:pt idx="291">
                  <c:v>263.41156659435791</c:v>
                </c:pt>
                <c:pt idx="292">
                  <c:v>262.24050989686617</c:v>
                </c:pt>
                <c:pt idx="293">
                  <c:v>261.24670837151928</c:v>
                </c:pt>
                <c:pt idx="294">
                  <c:v>265.34645346686438</c:v>
                </c:pt>
                <c:pt idx="295">
                  <c:v>263.83472899207226</c:v>
                </c:pt>
                <c:pt idx="296">
                  <c:v>262.5308430092557</c:v>
                </c:pt>
                <c:pt idx="297">
                  <c:v>261.29655789803968</c:v>
                </c:pt>
                <c:pt idx="298">
                  <c:v>260.21459402999812</c:v>
                </c:pt>
                <c:pt idx="299">
                  <c:v>259.24338856216906</c:v>
                </c:pt>
                <c:pt idx="300">
                  <c:v>258.30603805084201</c:v>
                </c:pt>
                <c:pt idx="301">
                  <c:v>257.41080563519154</c:v>
                </c:pt>
                <c:pt idx="302">
                  <c:v>256.74100419362651</c:v>
                </c:pt>
                <c:pt idx="303">
                  <c:v>257.20373807476204</c:v>
                </c:pt>
                <c:pt idx="304">
                  <c:v>256.78755190131017</c:v>
                </c:pt>
                <c:pt idx="305">
                  <c:v>280.3988057417788</c:v>
                </c:pt>
                <c:pt idx="306">
                  <c:v>279.27885262495886</c:v>
                </c:pt>
                <c:pt idx="307">
                  <c:v>290.3541074974242</c:v>
                </c:pt>
                <c:pt idx="308">
                  <c:v>294.41933372242352</c:v>
                </c:pt>
                <c:pt idx="309">
                  <c:v>292.60391989870635</c:v>
                </c:pt>
                <c:pt idx="310">
                  <c:v>290.78585070209675</c:v>
                </c:pt>
                <c:pt idx="311">
                  <c:v>288.95438720455121</c:v>
                </c:pt>
                <c:pt idx="312">
                  <c:v>288.28582785808879</c:v>
                </c:pt>
                <c:pt idx="313">
                  <c:v>286.66069228348385</c:v>
                </c:pt>
                <c:pt idx="314">
                  <c:v>284.9627492451105</c:v>
                </c:pt>
                <c:pt idx="315">
                  <c:v>283.41042906406312</c:v>
                </c:pt>
                <c:pt idx="316">
                  <c:v>281.9648890769509</c:v>
                </c:pt>
                <c:pt idx="317">
                  <c:v>291.03769984756497</c:v>
                </c:pt>
                <c:pt idx="318">
                  <c:v>302.71704544390525</c:v>
                </c:pt>
                <c:pt idx="319">
                  <c:v>304.95909408088841</c:v>
                </c:pt>
                <c:pt idx="320">
                  <c:v>305.64036364030466</c:v>
                </c:pt>
                <c:pt idx="321">
                  <c:v>305.71359730976377</c:v>
                </c:pt>
                <c:pt idx="322">
                  <c:v>303.58833537799273</c:v>
                </c:pt>
                <c:pt idx="323">
                  <c:v>301.27406224732044</c:v>
                </c:pt>
                <c:pt idx="324">
                  <c:v>299.15267853649408</c:v>
                </c:pt>
                <c:pt idx="325">
                  <c:v>299.04167370814912</c:v>
                </c:pt>
                <c:pt idx="326">
                  <c:v>305.65735896951651</c:v>
                </c:pt>
                <c:pt idx="327">
                  <c:v>305.90245259738657</c:v>
                </c:pt>
                <c:pt idx="328">
                  <c:v>303.86708649482114</c:v>
                </c:pt>
                <c:pt idx="329">
                  <c:v>309.75252826416295</c:v>
                </c:pt>
                <c:pt idx="330">
                  <c:v>307.41402548178587</c:v>
                </c:pt>
                <c:pt idx="331">
                  <c:v>307.22689735604996</c:v>
                </c:pt>
                <c:pt idx="332">
                  <c:v>305.54391083433501</c:v>
                </c:pt>
                <c:pt idx="333">
                  <c:v>302.58069328891258</c:v>
                </c:pt>
                <c:pt idx="334">
                  <c:v>299.45398544120474</c:v>
                </c:pt>
                <c:pt idx="335">
                  <c:v>297.67205771357129</c:v>
                </c:pt>
                <c:pt idx="336">
                  <c:v>296.23384741075438</c:v>
                </c:pt>
                <c:pt idx="337">
                  <c:v>294.56333510700915</c:v>
                </c:pt>
                <c:pt idx="338">
                  <c:v>292.72815898155989</c:v>
                </c:pt>
                <c:pt idx="339">
                  <c:v>291.17377462084869</c:v>
                </c:pt>
                <c:pt idx="340">
                  <c:v>289.96096165016547</c:v>
                </c:pt>
                <c:pt idx="341">
                  <c:v>288.57608400813422</c:v>
                </c:pt>
                <c:pt idx="342">
                  <c:v>297.44614425959054</c:v>
                </c:pt>
                <c:pt idx="343">
                  <c:v>297.67520080682294</c:v>
                </c:pt>
                <c:pt idx="344">
                  <c:v>300.20460171425879</c:v>
                </c:pt>
                <c:pt idx="345">
                  <c:v>298.85345888667638</c:v>
                </c:pt>
                <c:pt idx="346">
                  <c:v>297.45765835953523</c:v>
                </c:pt>
                <c:pt idx="347">
                  <c:v>295.85503201946261</c:v>
                </c:pt>
                <c:pt idx="348">
                  <c:v>294.45824356446212</c:v>
                </c:pt>
                <c:pt idx="349">
                  <c:v>293.02194685356898</c:v>
                </c:pt>
                <c:pt idx="350">
                  <c:v>291.84932264600343</c:v>
                </c:pt>
                <c:pt idx="351">
                  <c:v>290.51149636138905</c:v>
                </c:pt>
                <c:pt idx="352">
                  <c:v>289.53152123577729</c:v>
                </c:pt>
                <c:pt idx="353">
                  <c:v>288.21676254294863</c:v>
                </c:pt>
                <c:pt idx="354">
                  <c:v>286.76547952217032</c:v>
                </c:pt>
                <c:pt idx="355">
                  <c:v>285.42036589683642</c:v>
                </c:pt>
                <c:pt idx="356">
                  <c:v>284.27766403384686</c:v>
                </c:pt>
                <c:pt idx="357">
                  <c:v>283.07374402855157</c:v>
                </c:pt>
                <c:pt idx="358">
                  <c:v>281.68304717263396</c:v>
                </c:pt>
                <c:pt idx="359">
                  <c:v>282.10121222046882</c:v>
                </c:pt>
                <c:pt idx="360">
                  <c:v>281.12606659465411</c:v>
                </c:pt>
                <c:pt idx="361">
                  <c:v>283.30335264387509</c:v>
                </c:pt>
                <c:pt idx="362">
                  <c:v>282.17634951020551</c:v>
                </c:pt>
                <c:pt idx="363">
                  <c:v>281.31131856210601</c:v>
                </c:pt>
                <c:pt idx="364">
                  <c:v>280.32237535031646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8-441C-A729-3B1566EE6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46287"/>
        <c:axId val="1368800655"/>
      </c:areaChart>
      <c:barChart>
        <c:barDir val="col"/>
        <c:grouping val="clustered"/>
        <c:varyColors val="0"/>
        <c:ser>
          <c:idx val="0"/>
          <c:order val="2"/>
          <c:tx>
            <c:strRef>
              <c:f>'Rootzone balance'!$C$1</c:f>
              <c:strCache>
                <c:ptCount val="1"/>
                <c:pt idx="0">
                  <c:v>Rainfall [mm]</c:v>
                </c:pt>
              </c:strCache>
            </c:strRef>
          </c:tx>
          <c:spPr>
            <a:solidFill>
              <a:schemeClr val="accent1"/>
            </a:solidFill>
            <a:ln w="12700">
              <a:solidFill>
                <a:schemeClr val="accent1"/>
              </a:solidFill>
            </a:ln>
            <a:effectLst/>
          </c:spPr>
          <c:invertIfNegative val="0"/>
          <c:cat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cat>
          <c:val>
            <c:numRef>
              <c:f>'Rootzone balance'!$C$2:$C$366</c:f>
              <c:numCache>
                <c:formatCode>General</c:formatCode>
                <c:ptCount val="365"/>
                <c:pt idx="0">
                  <c:v>12.279999999999855</c:v>
                </c:pt>
                <c:pt idx="1">
                  <c:v>23.639999999999752</c:v>
                </c:pt>
                <c:pt idx="2">
                  <c:v>6.4799999999999125</c:v>
                </c:pt>
                <c:pt idx="3">
                  <c:v>7.4399999999999142</c:v>
                </c:pt>
                <c:pt idx="4">
                  <c:v>3.9999999999998965</c:v>
                </c:pt>
                <c:pt idx="5">
                  <c:v>2.3599999999999763</c:v>
                </c:pt>
                <c:pt idx="6">
                  <c:v>7.9999999999999724E-2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7.9999999999999724E-2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0.47999999999999826</c:v>
                </c:pt>
                <c:pt idx="19">
                  <c:v>5.0399999999999565</c:v>
                </c:pt>
                <c:pt idx="20">
                  <c:v>5.8799999999999724</c:v>
                </c:pt>
                <c:pt idx="21">
                  <c:v>24.399999999999679</c:v>
                </c:pt>
                <c:pt idx="22">
                  <c:v>10.559999999999839</c:v>
                </c:pt>
                <c:pt idx="23">
                  <c:v>0.15999999999999945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3.0399999999999552</c:v>
                </c:pt>
                <c:pt idx="30">
                  <c:v>8.1599999999999113</c:v>
                </c:pt>
                <c:pt idx="31">
                  <c:v>0</c:v>
                </c:pt>
                <c:pt idx="32">
                  <c:v>0</c:v>
                </c:pt>
                <c:pt idx="33">
                  <c:v>6.3999999999999257</c:v>
                </c:pt>
                <c:pt idx="34">
                  <c:v>1.1199999999999875</c:v>
                </c:pt>
                <c:pt idx="35">
                  <c:v>2.0799999999999925</c:v>
                </c:pt>
                <c:pt idx="36">
                  <c:v>0</c:v>
                </c:pt>
                <c:pt idx="37">
                  <c:v>31.919999999999625</c:v>
                </c:pt>
                <c:pt idx="38">
                  <c:v>2.4399999999999893</c:v>
                </c:pt>
                <c:pt idx="39">
                  <c:v>2.3599999999999763</c:v>
                </c:pt>
                <c:pt idx="40">
                  <c:v>15.439999999999788</c:v>
                </c:pt>
                <c:pt idx="41">
                  <c:v>0.15999999999999945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0.39999999999999858</c:v>
                </c:pt>
                <c:pt idx="48">
                  <c:v>0.67999999999999106</c:v>
                </c:pt>
                <c:pt idx="49">
                  <c:v>0.63999999999999779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0.55999999999999794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0.63999999999996371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2.5999999999999841</c:v>
                </c:pt>
                <c:pt idx="100">
                  <c:v>22.559999999999793</c:v>
                </c:pt>
                <c:pt idx="101">
                  <c:v>14.439999999999891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0.79999999999999716</c:v>
                </c:pt>
                <c:pt idx="110">
                  <c:v>0.15999999999999945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1.1199999999999875</c:v>
                </c:pt>
                <c:pt idx="117">
                  <c:v>0.479999999999977</c:v>
                </c:pt>
                <c:pt idx="118">
                  <c:v>10.239999999999771</c:v>
                </c:pt>
                <c:pt idx="119">
                  <c:v>1.599999999999913</c:v>
                </c:pt>
                <c:pt idx="120">
                  <c:v>35.279999999999525</c:v>
                </c:pt>
                <c:pt idx="121">
                  <c:v>1.8799999999999912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0.43999999999997502</c:v>
                </c:pt>
                <c:pt idx="130">
                  <c:v>18.919999999999774</c:v>
                </c:pt>
                <c:pt idx="131">
                  <c:v>1.8399999999998953</c:v>
                </c:pt>
                <c:pt idx="132">
                  <c:v>2.5199999999999889</c:v>
                </c:pt>
                <c:pt idx="133">
                  <c:v>6.8799999999998436</c:v>
                </c:pt>
                <c:pt idx="134">
                  <c:v>0.15999999999999945</c:v>
                </c:pt>
                <c:pt idx="135">
                  <c:v>1.1999999999999957</c:v>
                </c:pt>
                <c:pt idx="136">
                  <c:v>3.7599999999999696</c:v>
                </c:pt>
                <c:pt idx="137">
                  <c:v>1.2399999999999807</c:v>
                </c:pt>
                <c:pt idx="138">
                  <c:v>0.15999999999999945</c:v>
                </c:pt>
                <c:pt idx="139">
                  <c:v>0</c:v>
                </c:pt>
                <c:pt idx="140">
                  <c:v>0.23999999999999491</c:v>
                </c:pt>
                <c:pt idx="141">
                  <c:v>3.1199999999999846</c:v>
                </c:pt>
                <c:pt idx="142">
                  <c:v>0</c:v>
                </c:pt>
                <c:pt idx="143">
                  <c:v>25.999999999999595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7.1199999999999752</c:v>
                </c:pt>
                <c:pt idx="156">
                  <c:v>26.319999999999805</c:v>
                </c:pt>
                <c:pt idx="157">
                  <c:v>1.6399999999999921</c:v>
                </c:pt>
                <c:pt idx="158">
                  <c:v>0.47999999999999826</c:v>
                </c:pt>
                <c:pt idx="159">
                  <c:v>0</c:v>
                </c:pt>
                <c:pt idx="160">
                  <c:v>0</c:v>
                </c:pt>
                <c:pt idx="161">
                  <c:v>3.8799999999999502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7.9999999999999724E-2</c:v>
                </c:pt>
                <c:pt idx="168">
                  <c:v>0</c:v>
                </c:pt>
                <c:pt idx="169">
                  <c:v>0</c:v>
                </c:pt>
                <c:pt idx="170">
                  <c:v>0.15999999999999945</c:v>
                </c:pt>
                <c:pt idx="171">
                  <c:v>0</c:v>
                </c:pt>
                <c:pt idx="172">
                  <c:v>0.19999999999998863</c:v>
                </c:pt>
                <c:pt idx="173">
                  <c:v>0.59999999999996589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6.9199999999999227</c:v>
                </c:pt>
                <c:pt idx="185">
                  <c:v>0.15999999999999945</c:v>
                </c:pt>
                <c:pt idx="186">
                  <c:v>0</c:v>
                </c:pt>
                <c:pt idx="187">
                  <c:v>1.2399999999999296</c:v>
                </c:pt>
                <c:pt idx="188">
                  <c:v>20.479999999999634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6.0799999999999654</c:v>
                </c:pt>
                <c:pt idx="195">
                  <c:v>0</c:v>
                </c:pt>
                <c:pt idx="196">
                  <c:v>1.3199999999999292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0.63999999999999779</c:v>
                </c:pt>
                <c:pt idx="205">
                  <c:v>0</c:v>
                </c:pt>
                <c:pt idx="206">
                  <c:v>19.43999999999992</c:v>
                </c:pt>
                <c:pt idx="207">
                  <c:v>0.55999999999999794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0.43999999999999206</c:v>
                </c:pt>
                <c:pt idx="212">
                  <c:v>10.719999999999906</c:v>
                </c:pt>
                <c:pt idx="213">
                  <c:v>2.7999999999999901</c:v>
                </c:pt>
                <c:pt idx="214">
                  <c:v>0</c:v>
                </c:pt>
                <c:pt idx="215">
                  <c:v>7.9199999999999546</c:v>
                </c:pt>
                <c:pt idx="216">
                  <c:v>0.3199999999999904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9.2399999999997284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6.7199999999999767</c:v>
                </c:pt>
                <c:pt idx="235">
                  <c:v>7.9999999999999724E-2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0.11999999999999317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52.359999999999332</c:v>
                </c:pt>
                <c:pt idx="259">
                  <c:v>7.9999999999999724E-2</c:v>
                </c:pt>
                <c:pt idx="260">
                  <c:v>0.959999999999954</c:v>
                </c:pt>
                <c:pt idx="261">
                  <c:v>9.9599999999998872</c:v>
                </c:pt>
                <c:pt idx="262">
                  <c:v>10.359999999999808</c:v>
                </c:pt>
                <c:pt idx="263">
                  <c:v>0.15999999999999945</c:v>
                </c:pt>
                <c:pt idx="264">
                  <c:v>0</c:v>
                </c:pt>
                <c:pt idx="265">
                  <c:v>0</c:v>
                </c:pt>
                <c:pt idx="266">
                  <c:v>3.9999999999997732E-2</c:v>
                </c:pt>
                <c:pt idx="267">
                  <c:v>0</c:v>
                </c:pt>
                <c:pt idx="268">
                  <c:v>26.079999999999686</c:v>
                </c:pt>
                <c:pt idx="269">
                  <c:v>0.11999999999999746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2.6799999999999375</c:v>
                </c:pt>
                <c:pt idx="276">
                  <c:v>44.599999999999369</c:v>
                </c:pt>
                <c:pt idx="277">
                  <c:v>2.0399999999999268</c:v>
                </c:pt>
                <c:pt idx="278">
                  <c:v>14.759999999999616</c:v>
                </c:pt>
                <c:pt idx="279">
                  <c:v>3.9999999999997732E-2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7.9999999999999724E-2</c:v>
                </c:pt>
                <c:pt idx="289">
                  <c:v>0</c:v>
                </c:pt>
                <c:pt idx="290">
                  <c:v>7.9999999999999724E-2</c:v>
                </c:pt>
                <c:pt idx="291">
                  <c:v>0</c:v>
                </c:pt>
                <c:pt idx="292">
                  <c:v>0</c:v>
                </c:pt>
                <c:pt idx="293">
                  <c:v>5.0399999999999734</c:v>
                </c:pt>
                <c:pt idx="294">
                  <c:v>3.9999999999997732E-2</c:v>
                </c:pt>
                <c:pt idx="295">
                  <c:v>0</c:v>
                </c:pt>
                <c:pt idx="296">
                  <c:v>3.9999999999997732E-2</c:v>
                </c:pt>
                <c:pt idx="297">
                  <c:v>0</c:v>
                </c:pt>
                <c:pt idx="298">
                  <c:v>7.9999999999999724E-2</c:v>
                </c:pt>
                <c:pt idx="299">
                  <c:v>7.9999999999999724E-2</c:v>
                </c:pt>
                <c:pt idx="300">
                  <c:v>0</c:v>
                </c:pt>
                <c:pt idx="301">
                  <c:v>0.15999999999999945</c:v>
                </c:pt>
                <c:pt idx="302">
                  <c:v>1.1999999999999913</c:v>
                </c:pt>
                <c:pt idx="303">
                  <c:v>0.3199999999999989</c:v>
                </c:pt>
                <c:pt idx="304">
                  <c:v>30.079999999999878</c:v>
                </c:pt>
                <c:pt idx="305">
                  <c:v>0.15999999999999945</c:v>
                </c:pt>
                <c:pt idx="306">
                  <c:v>28.03999999999975</c:v>
                </c:pt>
                <c:pt idx="307">
                  <c:v>6.8399999999998879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0.839999999999965</c:v>
                </c:pt>
                <c:pt idx="312">
                  <c:v>0</c:v>
                </c:pt>
                <c:pt idx="313">
                  <c:v>0</c:v>
                </c:pt>
                <c:pt idx="314">
                  <c:v>7.9999999999999724E-2</c:v>
                </c:pt>
                <c:pt idx="315">
                  <c:v>7.9999999999999724E-2</c:v>
                </c:pt>
                <c:pt idx="316">
                  <c:v>18.159999999999762</c:v>
                </c:pt>
                <c:pt idx="317">
                  <c:v>36.439999999999529</c:v>
                </c:pt>
                <c:pt idx="318">
                  <c:v>4.2799999999999274</c:v>
                </c:pt>
                <c:pt idx="319">
                  <c:v>2.9199999999999449</c:v>
                </c:pt>
                <c:pt idx="320">
                  <c:v>2.3599999999999639</c:v>
                </c:pt>
                <c:pt idx="321">
                  <c:v>0.15999999999999945</c:v>
                </c:pt>
                <c:pt idx="322">
                  <c:v>0</c:v>
                </c:pt>
                <c:pt idx="323">
                  <c:v>0</c:v>
                </c:pt>
                <c:pt idx="324">
                  <c:v>1.9199999999999762</c:v>
                </c:pt>
                <c:pt idx="325">
                  <c:v>12.039999999999832</c:v>
                </c:pt>
                <c:pt idx="326">
                  <c:v>2.5199999999999756</c:v>
                </c:pt>
                <c:pt idx="327">
                  <c:v>7.9999999999999724E-2</c:v>
                </c:pt>
                <c:pt idx="328">
                  <c:v>11.039999999999857</c:v>
                </c:pt>
                <c:pt idx="329">
                  <c:v>0</c:v>
                </c:pt>
                <c:pt idx="330">
                  <c:v>2.1999999999998749</c:v>
                </c:pt>
                <c:pt idx="331">
                  <c:v>0.71999999999998465</c:v>
                </c:pt>
                <c:pt idx="332">
                  <c:v>0</c:v>
                </c:pt>
                <c:pt idx="333">
                  <c:v>0</c:v>
                </c:pt>
                <c:pt idx="334">
                  <c:v>0.47999999999999404</c:v>
                </c:pt>
                <c:pt idx="335">
                  <c:v>0.39999999999999436</c:v>
                </c:pt>
                <c:pt idx="336">
                  <c:v>7.9999999999999724E-2</c:v>
                </c:pt>
                <c:pt idx="337">
                  <c:v>0</c:v>
                </c:pt>
                <c:pt idx="338">
                  <c:v>0</c:v>
                </c:pt>
                <c:pt idx="339">
                  <c:v>0.15999999999999945</c:v>
                </c:pt>
                <c:pt idx="340">
                  <c:v>7.9999999999999724E-2</c:v>
                </c:pt>
                <c:pt idx="341">
                  <c:v>17.919999999999789</c:v>
                </c:pt>
                <c:pt idx="342">
                  <c:v>1.5999999999999943</c:v>
                </c:pt>
                <c:pt idx="343">
                  <c:v>4.199999999999978</c:v>
                </c:pt>
                <c:pt idx="344">
                  <c:v>7.9999999999999724E-2</c:v>
                </c:pt>
                <c:pt idx="345">
                  <c:v>0.15999999999999945</c:v>
                </c:pt>
                <c:pt idx="346">
                  <c:v>0</c:v>
                </c:pt>
                <c:pt idx="347">
                  <c:v>7.9999999999999724E-2</c:v>
                </c:pt>
                <c:pt idx="348">
                  <c:v>0</c:v>
                </c:pt>
                <c:pt idx="349">
                  <c:v>0.15999999999999945</c:v>
                </c:pt>
                <c:pt idx="350">
                  <c:v>7.9999999999999724E-2</c:v>
                </c:pt>
                <c:pt idx="351">
                  <c:v>0.23999999999999913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1.6799999999999473</c:v>
                </c:pt>
                <c:pt idx="359">
                  <c:v>7.9999999999999724E-2</c:v>
                </c:pt>
                <c:pt idx="360">
                  <c:v>3.3199999999999692</c:v>
                </c:pt>
                <c:pt idx="361">
                  <c:v>0</c:v>
                </c:pt>
                <c:pt idx="362">
                  <c:v>7.9999999999999724E-2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58-441C-A729-3B1566EE65E5}"/>
            </c:ext>
          </c:extLst>
        </c:ser>
        <c:ser>
          <c:idx val="1"/>
          <c:order val="3"/>
          <c:tx>
            <c:strRef>
              <c:f>'Rootzone balance'!$D$1</c:f>
              <c:strCache>
                <c:ptCount val="1"/>
                <c:pt idx="0">
                  <c:v>Irrigation [mm]</c:v>
                </c:pt>
              </c:strCache>
            </c:strRef>
          </c:tx>
          <c:spPr>
            <a:solidFill>
              <a:schemeClr val="accent2"/>
            </a:solidFill>
            <a:ln w="12700">
              <a:solidFill>
                <a:schemeClr val="accent2"/>
              </a:solidFill>
            </a:ln>
            <a:effectLst/>
          </c:spPr>
          <c:invertIfNegative val="0"/>
          <c:cat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cat>
          <c:val>
            <c:numRef>
              <c:f>'Rootzone balance'!$D$2:$D$366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54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54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54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54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54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54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54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54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54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54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58-441C-A729-3B1566EE6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71167632"/>
        <c:axId val="1471520128"/>
      </c:barChart>
      <c:lineChart>
        <c:grouping val="standard"/>
        <c:varyColors val="0"/>
        <c:ser>
          <c:idx val="3"/>
          <c:order val="1"/>
          <c:tx>
            <c:v>Trigger water content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cat>
          <c:val>
            <c:numRef>
              <c:f>'Rootzone balance'!$K$2:$K$366</c:f>
              <c:numCache>
                <c:formatCode>0.00</c:formatCode>
                <c:ptCount val="365"/>
                <c:pt idx="0">
                  <c:v>236.58200040273368</c:v>
                </c:pt>
                <c:pt idx="1">
                  <c:v>237.86564980119275</c:v>
                </c:pt>
                <c:pt idx="2">
                  <c:v>237.90103003596681</c:v>
                </c:pt>
                <c:pt idx="3">
                  <c:v>237.58701918783589</c:v>
                </c:pt>
                <c:pt idx="4">
                  <c:v>237.93228670288735</c:v>
                </c:pt>
                <c:pt idx="5">
                  <c:v>238.21946448141679</c:v>
                </c:pt>
                <c:pt idx="6">
                  <c:v>238.01737919144963</c:v>
                </c:pt>
                <c:pt idx="7">
                  <c:v>238.24557095148603</c:v>
                </c:pt>
                <c:pt idx="8">
                  <c:v>237.26158008184288</c:v>
                </c:pt>
                <c:pt idx="9">
                  <c:v>238.15159402822854</c:v>
                </c:pt>
                <c:pt idx="10">
                  <c:v>238.41463540328925</c:v>
                </c:pt>
                <c:pt idx="11">
                  <c:v>237.41955863147302</c:v>
                </c:pt>
                <c:pt idx="12">
                  <c:v>238.06567058671004</c:v>
                </c:pt>
                <c:pt idx="13">
                  <c:v>239.18925209561328</c:v>
                </c:pt>
                <c:pt idx="14">
                  <c:v>239.53662775003741</c:v>
                </c:pt>
                <c:pt idx="15">
                  <c:v>239.05083355367398</c:v>
                </c:pt>
                <c:pt idx="16">
                  <c:v>237.99980789650994</c:v>
                </c:pt>
                <c:pt idx="17">
                  <c:v>238.06776957396062</c:v>
                </c:pt>
                <c:pt idx="18">
                  <c:v>237.42502773496224</c:v>
                </c:pt>
                <c:pt idx="19">
                  <c:v>237.72661785155088</c:v>
                </c:pt>
                <c:pt idx="20">
                  <c:v>238.01316914481538</c:v>
                </c:pt>
                <c:pt idx="21">
                  <c:v>238.18147880263592</c:v>
                </c:pt>
                <c:pt idx="22">
                  <c:v>238.13602249191371</c:v>
                </c:pt>
                <c:pt idx="23">
                  <c:v>239.44753389727688</c:v>
                </c:pt>
                <c:pt idx="24">
                  <c:v>239.88068478069093</c:v>
                </c:pt>
                <c:pt idx="25">
                  <c:v>239.85643802121524</c:v>
                </c:pt>
                <c:pt idx="26">
                  <c:v>244.32548360237078</c:v>
                </c:pt>
                <c:pt idx="27">
                  <c:v>239.57201710615246</c:v>
                </c:pt>
                <c:pt idx="28">
                  <c:v>238.97334245125168</c:v>
                </c:pt>
                <c:pt idx="29">
                  <c:v>238.8827423486841</c:v>
                </c:pt>
                <c:pt idx="30">
                  <c:v>239.91440704019004</c:v>
                </c:pt>
                <c:pt idx="31">
                  <c:v>239.56821777260626</c:v>
                </c:pt>
                <c:pt idx="32">
                  <c:v>239.17060596899287</c:v>
                </c:pt>
                <c:pt idx="33">
                  <c:v>238.49829798372133</c:v>
                </c:pt>
                <c:pt idx="34">
                  <c:v>238.30995368764292</c:v>
                </c:pt>
                <c:pt idx="35">
                  <c:v>238.94237851938493</c:v>
                </c:pt>
                <c:pt idx="36">
                  <c:v>238.65543281479799</c:v>
                </c:pt>
                <c:pt idx="37">
                  <c:v>238.73904221548463</c:v>
                </c:pt>
                <c:pt idx="38">
                  <c:v>238.37413552844419</c:v>
                </c:pt>
                <c:pt idx="39">
                  <c:v>241.17144344923514</c:v>
                </c:pt>
                <c:pt idx="40">
                  <c:v>239.48592234314734</c:v>
                </c:pt>
                <c:pt idx="41">
                  <c:v>238.68009915488378</c:v>
                </c:pt>
                <c:pt idx="42">
                  <c:v>240.87075669835036</c:v>
                </c:pt>
                <c:pt idx="43">
                  <c:v>241.00878730952007</c:v>
                </c:pt>
                <c:pt idx="44">
                  <c:v>240.32093873618433</c:v>
                </c:pt>
                <c:pt idx="45">
                  <c:v>240.51616185317656</c:v>
                </c:pt>
                <c:pt idx="46">
                  <c:v>240.35936273075112</c:v>
                </c:pt>
                <c:pt idx="47">
                  <c:v>240.64673179440584</c:v>
                </c:pt>
                <c:pt idx="48">
                  <c:v>241.24113012355559</c:v>
                </c:pt>
                <c:pt idx="49">
                  <c:v>240.39816261322017</c:v>
                </c:pt>
                <c:pt idx="50">
                  <c:v>239.36634372904609</c:v>
                </c:pt>
                <c:pt idx="51">
                  <c:v>239.8321997437447</c:v>
                </c:pt>
                <c:pt idx="52">
                  <c:v>241.21370588790455</c:v>
                </c:pt>
                <c:pt idx="53">
                  <c:v>240.89915967047614</c:v>
                </c:pt>
                <c:pt idx="54">
                  <c:v>241.76353654626269</c:v>
                </c:pt>
                <c:pt idx="55">
                  <c:v>242.92039733701787</c:v>
                </c:pt>
                <c:pt idx="56">
                  <c:v>243.10033070483883</c:v>
                </c:pt>
                <c:pt idx="57">
                  <c:v>243.36728523894269</c:v>
                </c:pt>
                <c:pt idx="58">
                  <c:v>244.46211273467054</c:v>
                </c:pt>
                <c:pt idx="59">
                  <c:v>244.1075975695251</c:v>
                </c:pt>
                <c:pt idx="60">
                  <c:v>243.47896265043718</c:v>
                </c:pt>
                <c:pt idx="61">
                  <c:v>243.41845411545913</c:v>
                </c:pt>
                <c:pt idx="62">
                  <c:v>241.9381927027398</c:v>
                </c:pt>
                <c:pt idx="63">
                  <c:v>242.54667879055665</c:v>
                </c:pt>
                <c:pt idx="64">
                  <c:v>244.36909796186941</c:v>
                </c:pt>
                <c:pt idx="65">
                  <c:v>242.03687021123196</c:v>
                </c:pt>
                <c:pt idx="66">
                  <c:v>243.11180299346518</c:v>
                </c:pt>
                <c:pt idx="67">
                  <c:v>243.22577591559937</c:v>
                </c:pt>
                <c:pt idx="68">
                  <c:v>243.89227991569174</c:v>
                </c:pt>
                <c:pt idx="69">
                  <c:v>244.32911318642462</c:v>
                </c:pt>
                <c:pt idx="70">
                  <c:v>241.29876241913948</c:v>
                </c:pt>
                <c:pt idx="71">
                  <c:v>244.85230747575605</c:v>
                </c:pt>
                <c:pt idx="72">
                  <c:v>244.85385190140076</c:v>
                </c:pt>
                <c:pt idx="73">
                  <c:v>245.59099986575546</c:v>
                </c:pt>
                <c:pt idx="74">
                  <c:v>245.59099986575546</c:v>
                </c:pt>
                <c:pt idx="75">
                  <c:v>245.59099986575546</c:v>
                </c:pt>
                <c:pt idx="76">
                  <c:v>245.59099986575546</c:v>
                </c:pt>
                <c:pt idx="77">
                  <c:v>245.02649905148945</c:v>
                </c:pt>
                <c:pt idx="78">
                  <c:v>245.30727420078426</c:v>
                </c:pt>
                <c:pt idx="79">
                  <c:v>245.48784471639314</c:v>
                </c:pt>
                <c:pt idx="80">
                  <c:v>244.99391928591828</c:v>
                </c:pt>
                <c:pt idx="81">
                  <c:v>245.59099986575546</c:v>
                </c:pt>
                <c:pt idx="82">
                  <c:v>245.59099986575546</c:v>
                </c:pt>
                <c:pt idx="83">
                  <c:v>245.59099986575546</c:v>
                </c:pt>
                <c:pt idx="84">
                  <c:v>245.59099986575546</c:v>
                </c:pt>
                <c:pt idx="85">
                  <c:v>245.59099986575546</c:v>
                </c:pt>
                <c:pt idx="86">
                  <c:v>243.01729067990874</c:v>
                </c:pt>
                <c:pt idx="87">
                  <c:v>245.59099986575546</c:v>
                </c:pt>
                <c:pt idx="88">
                  <c:v>245.59099986575546</c:v>
                </c:pt>
                <c:pt idx="89">
                  <c:v>245.59099986575546</c:v>
                </c:pt>
                <c:pt idx="90">
                  <c:v>245.59099986575546</c:v>
                </c:pt>
                <c:pt idx="91">
                  <c:v>245.59099986575546</c:v>
                </c:pt>
                <c:pt idx="92">
                  <c:v>61.102517642637842</c:v>
                </c:pt>
                <c:pt idx="93">
                  <c:v>58.092952448707813</c:v>
                </c:pt>
                <c:pt idx="94">
                  <c:v>55.217899552809342</c:v>
                </c:pt>
                <c:pt idx="95">
                  <c:v>52.668179309450224</c:v>
                </c:pt>
                <c:pt idx="96">
                  <c:v>51.455299570756715</c:v>
                </c:pt>
                <c:pt idx="97">
                  <c:v>48.451466169755065</c:v>
                </c:pt>
                <c:pt idx="98">
                  <c:v>46.132453063983945</c:v>
                </c:pt>
                <c:pt idx="99">
                  <c:v>40.671379032942212</c:v>
                </c:pt>
                <c:pt idx="100">
                  <c:v>36.670839754429949</c:v>
                </c:pt>
                <c:pt idx="101">
                  <c:v>32.302277789021375</c:v>
                </c:pt>
                <c:pt idx="102">
                  <c:v>32.157450606176916</c:v>
                </c:pt>
                <c:pt idx="103">
                  <c:v>37.271520462347411</c:v>
                </c:pt>
                <c:pt idx="104">
                  <c:v>38.089555272390641</c:v>
                </c:pt>
                <c:pt idx="105">
                  <c:v>36.504897722622601</c:v>
                </c:pt>
                <c:pt idx="106">
                  <c:v>39.270066396972837</c:v>
                </c:pt>
                <c:pt idx="107">
                  <c:v>40.195015772881533</c:v>
                </c:pt>
                <c:pt idx="108">
                  <c:v>40.292311843229989</c:v>
                </c:pt>
                <c:pt idx="109">
                  <c:v>42.411346614404579</c:v>
                </c:pt>
                <c:pt idx="110">
                  <c:v>45.553275492398583</c:v>
                </c:pt>
                <c:pt idx="111">
                  <c:v>45.764911486813986</c:v>
                </c:pt>
                <c:pt idx="112">
                  <c:v>46.392680630668849</c:v>
                </c:pt>
                <c:pt idx="113">
                  <c:v>48.118049416849729</c:v>
                </c:pt>
                <c:pt idx="114">
                  <c:v>50.63798916262153</c:v>
                </c:pt>
                <c:pt idx="115">
                  <c:v>52.646946198580096</c:v>
                </c:pt>
                <c:pt idx="116">
                  <c:v>44.121295501623024</c:v>
                </c:pt>
                <c:pt idx="117">
                  <c:v>44.73046277766494</c:v>
                </c:pt>
                <c:pt idx="118">
                  <c:v>49.344410163328455</c:v>
                </c:pt>
                <c:pt idx="119">
                  <c:v>43.253757836609481</c:v>
                </c:pt>
                <c:pt idx="120">
                  <c:v>48.261249845987372</c:v>
                </c:pt>
                <c:pt idx="121">
                  <c:v>46.19089923850747</c:v>
                </c:pt>
                <c:pt idx="122">
                  <c:v>59.811709402292884</c:v>
                </c:pt>
                <c:pt idx="123">
                  <c:v>59.746100300910356</c:v>
                </c:pt>
                <c:pt idx="124">
                  <c:v>61.346943371495691</c:v>
                </c:pt>
                <c:pt idx="125">
                  <c:v>57.453593709342357</c:v>
                </c:pt>
                <c:pt idx="126">
                  <c:v>59.651577198174685</c:v>
                </c:pt>
                <c:pt idx="127">
                  <c:v>68.210258962250222</c:v>
                </c:pt>
                <c:pt idx="128">
                  <c:v>65.371804076422606</c:v>
                </c:pt>
                <c:pt idx="129">
                  <c:v>64.886768214134321</c:v>
                </c:pt>
                <c:pt idx="130">
                  <c:v>63.135921104507744</c:v>
                </c:pt>
                <c:pt idx="131">
                  <c:v>54.94944113300096</c:v>
                </c:pt>
                <c:pt idx="132">
                  <c:v>70.978031067191324</c:v>
                </c:pt>
                <c:pt idx="133">
                  <c:v>72.114692972838441</c:v>
                </c:pt>
                <c:pt idx="134">
                  <c:v>66.734812883317929</c:v>
                </c:pt>
                <c:pt idx="135">
                  <c:v>67.343891625327259</c:v>
                </c:pt>
                <c:pt idx="136">
                  <c:v>64.012570443471574</c:v>
                </c:pt>
                <c:pt idx="137">
                  <c:v>83.821023364407182</c:v>
                </c:pt>
                <c:pt idx="138">
                  <c:v>83.726981411996746</c:v>
                </c:pt>
                <c:pt idx="139">
                  <c:v>87.31986940795457</c:v>
                </c:pt>
                <c:pt idx="140">
                  <c:v>90.296305076338399</c:v>
                </c:pt>
                <c:pt idx="141">
                  <c:v>88.458973257730733</c:v>
                </c:pt>
                <c:pt idx="142">
                  <c:v>82.67730220077344</c:v>
                </c:pt>
                <c:pt idx="143">
                  <c:v>94.641694827279323</c:v>
                </c:pt>
                <c:pt idx="144">
                  <c:v>77.743252296437149</c:v>
                </c:pt>
                <c:pt idx="145">
                  <c:v>100.5862368264964</c:v>
                </c:pt>
                <c:pt idx="146">
                  <c:v>100.2170547793541</c:v>
                </c:pt>
                <c:pt idx="147">
                  <c:v>103.75339744803975</c:v>
                </c:pt>
                <c:pt idx="148">
                  <c:v>104.89310337957774</c:v>
                </c:pt>
                <c:pt idx="149">
                  <c:v>107.99975363905226</c:v>
                </c:pt>
                <c:pt idx="150">
                  <c:v>112.19619725099841</c:v>
                </c:pt>
                <c:pt idx="151">
                  <c:v>112.21063720783455</c:v>
                </c:pt>
                <c:pt idx="152">
                  <c:v>114.99660966629011</c:v>
                </c:pt>
                <c:pt idx="153">
                  <c:v>115.72747302731675</c:v>
                </c:pt>
                <c:pt idx="154">
                  <c:v>122.4311321117471</c:v>
                </c:pt>
                <c:pt idx="155">
                  <c:v>124.7805247577821</c:v>
                </c:pt>
                <c:pt idx="156">
                  <c:v>118.0846359901725</c:v>
                </c:pt>
                <c:pt idx="157">
                  <c:v>128.7807907203418</c:v>
                </c:pt>
                <c:pt idx="158">
                  <c:v>121.07373353981201</c:v>
                </c:pt>
                <c:pt idx="159">
                  <c:v>126.37752855039606</c:v>
                </c:pt>
                <c:pt idx="160">
                  <c:v>136.14387761542886</c:v>
                </c:pt>
                <c:pt idx="161">
                  <c:v>138.2604171047652</c:v>
                </c:pt>
                <c:pt idx="162">
                  <c:v>140.48212258419318</c:v>
                </c:pt>
                <c:pt idx="163">
                  <c:v>145.00815669576295</c:v>
                </c:pt>
                <c:pt idx="164">
                  <c:v>151.98772978826639</c:v>
                </c:pt>
                <c:pt idx="165">
                  <c:v>151.65067025335884</c:v>
                </c:pt>
                <c:pt idx="166">
                  <c:v>154.44278179209596</c:v>
                </c:pt>
                <c:pt idx="167">
                  <c:v>151.1647272488494</c:v>
                </c:pt>
                <c:pt idx="168">
                  <c:v>155.59429669598441</c:v>
                </c:pt>
                <c:pt idx="169">
                  <c:v>162.27024494559018</c:v>
                </c:pt>
                <c:pt idx="170">
                  <c:v>161.84524528103518</c:v>
                </c:pt>
                <c:pt idx="171">
                  <c:v>160.9370016439396</c:v>
                </c:pt>
                <c:pt idx="172">
                  <c:v>168.87927338465965</c:v>
                </c:pt>
                <c:pt idx="173">
                  <c:v>171.31847664204565</c:v>
                </c:pt>
                <c:pt idx="174">
                  <c:v>173.58728263290214</c:v>
                </c:pt>
                <c:pt idx="175">
                  <c:v>178.48718053209333</c:v>
                </c:pt>
                <c:pt idx="176">
                  <c:v>183.63163684579149</c:v>
                </c:pt>
                <c:pt idx="177">
                  <c:v>182.21238431074457</c:v>
                </c:pt>
                <c:pt idx="178">
                  <c:v>180.96886260294701</c:v>
                </c:pt>
                <c:pt idx="179">
                  <c:v>183.35014747265771</c:v>
                </c:pt>
                <c:pt idx="180">
                  <c:v>182.73373704348052</c:v>
                </c:pt>
                <c:pt idx="181">
                  <c:v>182.23549076126628</c:v>
                </c:pt>
                <c:pt idx="182">
                  <c:v>185.28776637150068</c:v>
                </c:pt>
                <c:pt idx="183">
                  <c:v>182.88358100288738</c:v>
                </c:pt>
                <c:pt idx="184">
                  <c:v>177.16554748150426</c:v>
                </c:pt>
                <c:pt idx="185">
                  <c:v>169.54435752501797</c:v>
                </c:pt>
                <c:pt idx="186">
                  <c:v>179.21236511503369</c:v>
                </c:pt>
                <c:pt idx="187">
                  <c:v>181.35767807365485</c:v>
                </c:pt>
                <c:pt idx="188">
                  <c:v>181.00104590558317</c:v>
                </c:pt>
                <c:pt idx="189">
                  <c:v>174.75381832549411</c:v>
                </c:pt>
                <c:pt idx="190">
                  <c:v>183.34087480464208</c:v>
                </c:pt>
                <c:pt idx="191">
                  <c:v>182.07565527472568</c:v>
                </c:pt>
                <c:pt idx="192">
                  <c:v>182.41722897008529</c:v>
                </c:pt>
                <c:pt idx="193">
                  <c:v>179.7116687475102</c:v>
                </c:pt>
                <c:pt idx="194">
                  <c:v>178.77306580259946</c:v>
                </c:pt>
                <c:pt idx="195">
                  <c:v>174.55622195723407</c:v>
                </c:pt>
                <c:pt idx="196">
                  <c:v>174.32780528652449</c:v>
                </c:pt>
                <c:pt idx="197">
                  <c:v>179.13792055504857</c:v>
                </c:pt>
                <c:pt idx="198">
                  <c:v>179.80897769438405</c:v>
                </c:pt>
                <c:pt idx="199">
                  <c:v>178.36431148404932</c:v>
                </c:pt>
                <c:pt idx="200">
                  <c:v>183.47456873145748</c:v>
                </c:pt>
                <c:pt idx="201">
                  <c:v>183.36746751061327</c:v>
                </c:pt>
                <c:pt idx="202">
                  <c:v>181.36373396931072</c:v>
                </c:pt>
                <c:pt idx="203">
                  <c:v>181.83990702855596</c:v>
                </c:pt>
                <c:pt idx="204">
                  <c:v>180.48202046194422</c:v>
                </c:pt>
                <c:pt idx="205">
                  <c:v>178.99751599386434</c:v>
                </c:pt>
                <c:pt idx="206">
                  <c:v>177.20187933748372</c:v>
                </c:pt>
                <c:pt idx="207">
                  <c:v>173.88161537229283</c:v>
                </c:pt>
                <c:pt idx="208">
                  <c:v>173.46869491349162</c:v>
                </c:pt>
                <c:pt idx="209">
                  <c:v>174.22985799618831</c:v>
                </c:pt>
                <c:pt idx="210">
                  <c:v>179.53984479874947</c:v>
                </c:pt>
                <c:pt idx="211">
                  <c:v>177.19298107490272</c:v>
                </c:pt>
                <c:pt idx="212">
                  <c:v>177.58767218838949</c:v>
                </c:pt>
                <c:pt idx="213">
                  <c:v>172.19134960013767</c:v>
                </c:pt>
                <c:pt idx="214">
                  <c:v>176.09653104031639</c:v>
                </c:pt>
                <c:pt idx="215">
                  <c:v>174.49415952567631</c:v>
                </c:pt>
                <c:pt idx="216">
                  <c:v>168.76092474861238</c:v>
                </c:pt>
                <c:pt idx="217">
                  <c:v>181.22667214443055</c:v>
                </c:pt>
                <c:pt idx="218">
                  <c:v>179.99432670915809</c:v>
                </c:pt>
                <c:pt idx="219">
                  <c:v>173.29104230384985</c:v>
                </c:pt>
                <c:pt idx="220">
                  <c:v>176.65785791628491</c:v>
                </c:pt>
                <c:pt idx="221">
                  <c:v>178.84850097964059</c:v>
                </c:pt>
                <c:pt idx="222">
                  <c:v>178.70914925869323</c:v>
                </c:pt>
                <c:pt idx="223">
                  <c:v>179.43407178083174</c:v>
                </c:pt>
                <c:pt idx="224">
                  <c:v>180.32056797800718</c:v>
                </c:pt>
                <c:pt idx="225">
                  <c:v>180.04413160053014</c:v>
                </c:pt>
                <c:pt idx="226">
                  <c:v>179.83753511620347</c:v>
                </c:pt>
                <c:pt idx="227">
                  <c:v>180.61840964807922</c:v>
                </c:pt>
                <c:pt idx="228">
                  <c:v>179.97243528465521</c:v>
                </c:pt>
                <c:pt idx="229">
                  <c:v>180.23523310914101</c:v>
                </c:pt>
                <c:pt idx="230">
                  <c:v>179.06108759446082</c:v>
                </c:pt>
                <c:pt idx="231">
                  <c:v>177.18158001315092</c:v>
                </c:pt>
                <c:pt idx="232">
                  <c:v>177.04737872410129</c:v>
                </c:pt>
                <c:pt idx="233">
                  <c:v>177.84870444493978</c:v>
                </c:pt>
                <c:pt idx="234">
                  <c:v>177.28456355426221</c:v>
                </c:pt>
                <c:pt idx="235">
                  <c:v>177.53042844201599</c:v>
                </c:pt>
                <c:pt idx="236">
                  <c:v>175.50766744355766</c:v>
                </c:pt>
                <c:pt idx="237">
                  <c:v>175.81402248430075</c:v>
                </c:pt>
                <c:pt idx="238">
                  <c:v>178.10089890947935</c:v>
                </c:pt>
                <c:pt idx="239">
                  <c:v>172.669586807174</c:v>
                </c:pt>
                <c:pt idx="240">
                  <c:v>176.67602195692308</c:v>
                </c:pt>
                <c:pt idx="241">
                  <c:v>177.17282457418037</c:v>
                </c:pt>
                <c:pt idx="242">
                  <c:v>177.58175010473019</c:v>
                </c:pt>
                <c:pt idx="243">
                  <c:v>176.27001166640554</c:v>
                </c:pt>
                <c:pt idx="244">
                  <c:v>176.88977263593213</c:v>
                </c:pt>
                <c:pt idx="245">
                  <c:v>178.59746998169757</c:v>
                </c:pt>
                <c:pt idx="246">
                  <c:v>177.20272580833645</c:v>
                </c:pt>
                <c:pt idx="247">
                  <c:v>176.41281101049873</c:v>
                </c:pt>
                <c:pt idx="248">
                  <c:v>176.22930477278859</c:v>
                </c:pt>
                <c:pt idx="249">
                  <c:v>177.57543208347084</c:v>
                </c:pt>
                <c:pt idx="250">
                  <c:v>245.59099986575546</c:v>
                </c:pt>
                <c:pt idx="251">
                  <c:v>245.59099986575546</c:v>
                </c:pt>
                <c:pt idx="252">
                  <c:v>245.59099986575546</c:v>
                </c:pt>
                <c:pt idx="253">
                  <c:v>245.59099986575546</c:v>
                </c:pt>
                <c:pt idx="254">
                  <c:v>245.59099986575546</c:v>
                </c:pt>
                <c:pt idx="255">
                  <c:v>245.59099986575546</c:v>
                </c:pt>
                <c:pt idx="256">
                  <c:v>245.59099986575546</c:v>
                </c:pt>
                <c:pt idx="257">
                  <c:v>245.59099986575546</c:v>
                </c:pt>
                <c:pt idx="258">
                  <c:v>245.59099986575546</c:v>
                </c:pt>
                <c:pt idx="259">
                  <c:v>245.52378373775176</c:v>
                </c:pt>
                <c:pt idx="260">
                  <c:v>245.59099986575546</c:v>
                </c:pt>
                <c:pt idx="261">
                  <c:v>245.59099986575546</c:v>
                </c:pt>
                <c:pt idx="262">
                  <c:v>245.59099986575546</c:v>
                </c:pt>
                <c:pt idx="263">
                  <c:v>245.59099986575546</c:v>
                </c:pt>
                <c:pt idx="264">
                  <c:v>245.59099986575546</c:v>
                </c:pt>
                <c:pt idx="265">
                  <c:v>245.59099986575546</c:v>
                </c:pt>
                <c:pt idx="266">
                  <c:v>245.59099986575546</c:v>
                </c:pt>
                <c:pt idx="267">
                  <c:v>245.59099986575546</c:v>
                </c:pt>
                <c:pt idx="268">
                  <c:v>244.1334010876312</c:v>
                </c:pt>
                <c:pt idx="269">
                  <c:v>240.12552338548647</c:v>
                </c:pt>
                <c:pt idx="270">
                  <c:v>244.2979488694433</c:v>
                </c:pt>
                <c:pt idx="271">
                  <c:v>245.59099986575546</c:v>
                </c:pt>
                <c:pt idx="272">
                  <c:v>245.59099986575546</c:v>
                </c:pt>
                <c:pt idx="273">
                  <c:v>245.59099986575546</c:v>
                </c:pt>
                <c:pt idx="274">
                  <c:v>245.59099986575546</c:v>
                </c:pt>
                <c:pt idx="275">
                  <c:v>245.59099986575546</c:v>
                </c:pt>
                <c:pt idx="276">
                  <c:v>240.99510351752923</c:v>
                </c:pt>
                <c:pt idx="277">
                  <c:v>240.32554987786298</c:v>
                </c:pt>
                <c:pt idx="278">
                  <c:v>242.52100022551224</c:v>
                </c:pt>
                <c:pt idx="279">
                  <c:v>242.25485450748221</c:v>
                </c:pt>
                <c:pt idx="280">
                  <c:v>243.81303507912895</c:v>
                </c:pt>
                <c:pt idx="281">
                  <c:v>243.67341627420527</c:v>
                </c:pt>
                <c:pt idx="282">
                  <c:v>244.17263922219379</c:v>
                </c:pt>
                <c:pt idx="283">
                  <c:v>243.66641920214624</c:v>
                </c:pt>
                <c:pt idx="284">
                  <c:v>243.57748711167901</c:v>
                </c:pt>
                <c:pt idx="285">
                  <c:v>243.3265887551255</c:v>
                </c:pt>
                <c:pt idx="286">
                  <c:v>243.59368086913821</c:v>
                </c:pt>
                <c:pt idx="287">
                  <c:v>243.32992960406591</c:v>
                </c:pt>
                <c:pt idx="288">
                  <c:v>242.51562503251628</c:v>
                </c:pt>
                <c:pt idx="289">
                  <c:v>242.57902043652913</c:v>
                </c:pt>
                <c:pt idx="290">
                  <c:v>242.45508769930578</c:v>
                </c:pt>
                <c:pt idx="291">
                  <c:v>242.30213969597094</c:v>
                </c:pt>
                <c:pt idx="292">
                  <c:v>241.57597994807122</c:v>
                </c:pt>
                <c:pt idx="293">
                  <c:v>240.71273149425099</c:v>
                </c:pt>
                <c:pt idx="294">
                  <c:v>239.10311812808331</c:v>
                </c:pt>
                <c:pt idx="295">
                  <c:v>241.53743405790763</c:v>
                </c:pt>
                <c:pt idx="296">
                  <c:v>240.89283022771178</c:v>
                </c:pt>
                <c:pt idx="297">
                  <c:v>241.31074789618486</c:v>
                </c:pt>
                <c:pt idx="298">
                  <c:v>240.65152805946124</c:v>
                </c:pt>
                <c:pt idx="299">
                  <c:v>240.94423440271086</c:v>
                </c:pt>
                <c:pt idx="300">
                  <c:v>241.21599404618604</c:v>
                </c:pt>
                <c:pt idx="301">
                  <c:v>240.70698936377144</c:v>
                </c:pt>
                <c:pt idx="302">
                  <c:v>240.52190046305387</c:v>
                </c:pt>
                <c:pt idx="303">
                  <c:v>239.46193223921856</c:v>
                </c:pt>
                <c:pt idx="304">
                  <c:v>239.25748617124896</c:v>
                </c:pt>
                <c:pt idx="305">
                  <c:v>238.52655114558183</c:v>
                </c:pt>
                <c:pt idx="306">
                  <c:v>239.55830932086081</c:v>
                </c:pt>
                <c:pt idx="307">
                  <c:v>238.82208784124094</c:v>
                </c:pt>
                <c:pt idx="308">
                  <c:v>240.79555585658952</c:v>
                </c:pt>
                <c:pt idx="309">
                  <c:v>239.77935424754708</c:v>
                </c:pt>
                <c:pt idx="310">
                  <c:v>239.67432543227261</c:v>
                </c:pt>
                <c:pt idx="311">
                  <c:v>239.76497010179273</c:v>
                </c:pt>
                <c:pt idx="312">
                  <c:v>238.69121436741236</c:v>
                </c:pt>
                <c:pt idx="313">
                  <c:v>239.20701786940634</c:v>
                </c:pt>
                <c:pt idx="314">
                  <c:v>239.57470546615426</c:v>
                </c:pt>
                <c:pt idx="315">
                  <c:v>239.44869255700516</c:v>
                </c:pt>
                <c:pt idx="316">
                  <c:v>239.17339720896521</c:v>
                </c:pt>
                <c:pt idx="317">
                  <c:v>238.93696701607865</c:v>
                </c:pt>
                <c:pt idx="318">
                  <c:v>238.38618106272216</c:v>
                </c:pt>
                <c:pt idx="319">
                  <c:v>238.59420759603017</c:v>
                </c:pt>
                <c:pt idx="320">
                  <c:v>238.97536611064038</c:v>
                </c:pt>
                <c:pt idx="321">
                  <c:v>238.79395787306228</c:v>
                </c:pt>
                <c:pt idx="322">
                  <c:v>238.69138066376038</c:v>
                </c:pt>
                <c:pt idx="323">
                  <c:v>238.96418508776244</c:v>
                </c:pt>
                <c:pt idx="324">
                  <c:v>238.54895406951698</c:v>
                </c:pt>
                <c:pt idx="325">
                  <c:v>238.51437348502046</c:v>
                </c:pt>
                <c:pt idx="326">
                  <c:v>238.34748580371905</c:v>
                </c:pt>
                <c:pt idx="327">
                  <c:v>238.97739352585876</c:v>
                </c:pt>
                <c:pt idx="328">
                  <c:v>238.13934568570201</c:v>
                </c:pt>
                <c:pt idx="329">
                  <c:v>238.58261335546848</c:v>
                </c:pt>
                <c:pt idx="330">
                  <c:v>238.21363245621501</c:v>
                </c:pt>
                <c:pt idx="331">
                  <c:v>238.3528113336468</c:v>
                </c:pt>
                <c:pt idx="332">
                  <c:v>238.51541781473978</c:v>
                </c:pt>
                <c:pt idx="333">
                  <c:v>240.7791724338619</c:v>
                </c:pt>
                <c:pt idx="334">
                  <c:v>241.73362929330671</c:v>
                </c:pt>
                <c:pt idx="335">
                  <c:v>239.00708717422498</c:v>
                </c:pt>
                <c:pt idx="336">
                  <c:v>237.8366985605528</c:v>
                </c:pt>
                <c:pt idx="337">
                  <c:v>237.83864764215073</c:v>
                </c:pt>
                <c:pt idx="338">
                  <c:v>238.43197517916778</c:v>
                </c:pt>
                <c:pt idx="339">
                  <c:v>237.68416302416182</c:v>
                </c:pt>
                <c:pt idx="340">
                  <c:v>237.27009793585705</c:v>
                </c:pt>
                <c:pt idx="341">
                  <c:v>237.81952527960209</c:v>
                </c:pt>
                <c:pt idx="342">
                  <c:v>238.3611579495724</c:v>
                </c:pt>
                <c:pt idx="343">
                  <c:v>237.44296079393851</c:v>
                </c:pt>
                <c:pt idx="344">
                  <c:v>237.89691334091967</c:v>
                </c:pt>
                <c:pt idx="345">
                  <c:v>237.11204656307848</c:v>
                </c:pt>
                <c:pt idx="346">
                  <c:v>237.51775872015727</c:v>
                </c:pt>
                <c:pt idx="347">
                  <c:v>237.77747015522243</c:v>
                </c:pt>
                <c:pt idx="348">
                  <c:v>237.47119469956894</c:v>
                </c:pt>
                <c:pt idx="349">
                  <c:v>237.49109710833935</c:v>
                </c:pt>
                <c:pt idx="350">
                  <c:v>237.28786455826221</c:v>
                </c:pt>
                <c:pt idx="351">
                  <c:v>237.76061542077727</c:v>
                </c:pt>
                <c:pt idx="352">
                  <c:v>237.2078810488801</c:v>
                </c:pt>
                <c:pt idx="353">
                  <c:v>237.70047557568245</c:v>
                </c:pt>
                <c:pt idx="354">
                  <c:v>238.33751655526657</c:v>
                </c:pt>
                <c:pt idx="355">
                  <c:v>238.09492058713107</c:v>
                </c:pt>
                <c:pt idx="356">
                  <c:v>237.49876993775518</c:v>
                </c:pt>
                <c:pt idx="357">
                  <c:v>237.84477314658363</c:v>
                </c:pt>
                <c:pt idx="358">
                  <c:v>238.63601405358168</c:v>
                </c:pt>
                <c:pt idx="359">
                  <c:v>238.28248495469626</c:v>
                </c:pt>
                <c:pt idx="360">
                  <c:v>237.63798611514704</c:v>
                </c:pt>
                <c:pt idx="361">
                  <c:v>238.01743749576315</c:v>
                </c:pt>
                <c:pt idx="362">
                  <c:v>238.05610293527386</c:v>
                </c:pt>
                <c:pt idx="363">
                  <c:v>237.46619311429043</c:v>
                </c:pt>
                <c:pt idx="364">
                  <c:v>237.69118610820522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58-441C-A729-3B1566EE6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4746287"/>
        <c:axId val="1368800655"/>
      </c:lineChart>
      <c:dateAx>
        <c:axId val="149474628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8800655"/>
        <c:crosses val="autoZero"/>
        <c:auto val="1"/>
        <c:lblOffset val="100"/>
        <c:baseTimeUnit val="days"/>
      </c:dateAx>
      <c:valAx>
        <c:axId val="13688006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4746287"/>
        <c:crosses val="autoZero"/>
        <c:crossBetween val="between"/>
        <c:minorUnit val="100"/>
      </c:valAx>
      <c:valAx>
        <c:axId val="1471520128"/>
        <c:scaling>
          <c:orientation val="maxMin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71167632"/>
        <c:crosses val="max"/>
        <c:crossBetween val="between"/>
      </c:valAx>
      <c:catAx>
        <c:axId val="14711676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47152012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05804637333139"/>
          <c:y val="0.95143602867579313"/>
          <c:w val="0.45883261593325469"/>
          <c:h val="3.22283282785933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175260</xdr:rowOff>
        </xdr:from>
        <xdr:to>
          <xdr:col>9</xdr:col>
          <xdr:colOff>342900</xdr:colOff>
          <xdr:row>7</xdr:row>
          <xdr:rowOff>137160</xdr:rowOff>
        </xdr:to>
        <xdr:sp macro="" textlink="">
          <xdr:nvSpPr>
            <xdr:cNvPr id="3076" name="cp_load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9C1413F0-2BDA-6EB4-F3D7-CA87F0332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control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5</xdr:row>
          <xdr:rowOff>175260</xdr:rowOff>
        </xdr:from>
        <xdr:to>
          <xdr:col>11</xdr:col>
          <xdr:colOff>525780</xdr:colOff>
          <xdr:row>7</xdr:row>
          <xdr:rowOff>137160</xdr:rowOff>
        </xdr:to>
        <xdr:sp macro="" textlink="">
          <xdr:nvSpPr>
            <xdr:cNvPr id="3077" name="cp_pre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434C04E0-BEF5-871E-0DBF-17AEBB07D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5</xdr:row>
          <xdr:rowOff>175260</xdr:rowOff>
        </xdr:from>
        <xdr:to>
          <xdr:col>13</xdr:col>
          <xdr:colOff>533400</xdr:colOff>
          <xdr:row>7</xdr:row>
          <xdr:rowOff>137160</xdr:rowOff>
        </xdr:to>
        <xdr:sp macro="" textlink="">
          <xdr:nvSpPr>
            <xdr:cNvPr id="3078" name="cp_nex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1710D9F5-6F0A-01D5-382F-47E5ACCCF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138375</xdr:colOff>
      <xdr:row>1</xdr:row>
      <xdr:rowOff>148590</xdr:rowOff>
    </xdr:from>
    <xdr:to>
      <xdr:col>38</xdr:col>
      <xdr:colOff>562266</xdr:colOff>
      <xdr:row>45</xdr:row>
      <xdr:rowOff>106293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C783EEE-D03C-4B91-B233-BEFD78460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theme="9" tint="0.39997558519241921"/>
  </sheetPr>
  <dimension ref="B2:N79"/>
  <sheetViews>
    <sheetView showGridLines="0" tabSelected="1" zoomScale="121" workbookViewId="0">
      <selection activeCell="D14" sqref="D14"/>
    </sheetView>
  </sheetViews>
  <sheetFormatPr defaultColWidth="9.109375" defaultRowHeight="10.199999999999999"/>
  <cols>
    <col min="1" max="1" width="10.6640625" style="1" bestFit="1" customWidth="1"/>
    <col min="2" max="2" width="35.88671875" style="1" bestFit="1" customWidth="1"/>
    <col min="3" max="4" width="15.6640625" style="1" customWidth="1"/>
    <col min="5" max="5" width="17.6640625" style="1" bestFit="1" customWidth="1"/>
    <col min="6" max="7" width="15.6640625" style="1" customWidth="1"/>
    <col min="8" max="8" width="9.109375" style="1" customWidth="1"/>
    <col min="9" max="16384" width="9.109375" style="1"/>
  </cols>
  <sheetData>
    <row r="2" spans="2:14" ht="14.4">
      <c r="B2" s="56" t="s">
        <v>17</v>
      </c>
      <c r="C2" s="52"/>
      <c r="H2" s="56" t="s">
        <v>132</v>
      </c>
      <c r="I2" s="60"/>
      <c r="J2" s="61"/>
      <c r="K2" s="61"/>
      <c r="L2" s="61"/>
      <c r="M2" s="61"/>
      <c r="N2" s="61"/>
    </row>
    <row r="3" spans="2:14" ht="14.4">
      <c r="B3" s="17" t="s">
        <v>18</v>
      </c>
      <c r="C3" s="29">
        <f>'Paste cellinfo here'!B4</f>
        <v>2</v>
      </c>
      <c r="E3" s="40"/>
      <c r="H3" s="17" t="s">
        <v>133</v>
      </c>
      <c r="I3" s="62" t="s">
        <v>137</v>
      </c>
      <c r="J3" s="61"/>
      <c r="K3" s="61"/>
      <c r="L3" s="61"/>
      <c r="M3" s="61"/>
      <c r="N3" s="61"/>
    </row>
    <row r="4" spans="2:14" ht="14.4">
      <c r="B4" s="17" t="s">
        <v>19</v>
      </c>
      <c r="C4" s="46">
        <f>'Paste cellinfo here'!B25</f>
        <v>2021</v>
      </c>
      <c r="D4" s="10"/>
      <c r="E4" s="10"/>
      <c r="F4" s="10"/>
      <c r="H4" s="17" t="s">
        <v>134</v>
      </c>
      <c r="I4" s="62" t="s">
        <v>138</v>
      </c>
      <c r="J4" s="61"/>
      <c r="K4" s="17" t="s">
        <v>135</v>
      </c>
      <c r="L4" s="62">
        <v>2021</v>
      </c>
      <c r="M4" s="61"/>
      <c r="N4" s="61"/>
    </row>
    <row r="5" spans="2:14" ht="14.4">
      <c r="B5" s="17" t="s">
        <v>20</v>
      </c>
      <c r="C5" s="46">
        <f>'Paste cellinfo here'!B23</f>
        <v>0.1</v>
      </c>
      <c r="D5" s="4"/>
      <c r="E5" s="4"/>
      <c r="F5" s="4"/>
      <c r="H5" s="17" t="s">
        <v>136</v>
      </c>
      <c r="I5" s="62" t="s">
        <v>233</v>
      </c>
      <c r="J5" s="61"/>
      <c r="K5" s="61"/>
      <c r="L5" s="61"/>
      <c r="M5" s="61"/>
      <c r="N5" s="61"/>
    </row>
    <row r="6" spans="2:14" ht="14.4">
      <c r="B6" s="17" t="s">
        <v>21</v>
      </c>
      <c r="C6" s="17">
        <f>'Paste cellinfo here'!B24</f>
        <v>0.9</v>
      </c>
      <c r="D6" s="4"/>
      <c r="E6" s="4"/>
      <c r="F6" s="4"/>
      <c r="J6"/>
      <c r="K6"/>
      <c r="L6"/>
      <c r="M6"/>
      <c r="N6"/>
    </row>
    <row r="7" spans="2:14" ht="14.4">
      <c r="B7" s="4"/>
      <c r="C7" s="25"/>
      <c r="D7" s="4"/>
      <c r="E7" s="4"/>
      <c r="F7" s="4"/>
      <c r="G7" s="2"/>
      <c r="J7"/>
      <c r="K7"/>
      <c r="L7"/>
      <c r="M7"/>
      <c r="N7"/>
    </row>
    <row r="8" spans="2:14" ht="14.4">
      <c r="B8" s="16" t="s">
        <v>22</v>
      </c>
      <c r="C8" s="28" t="str">
        <f>IF(C9="","","Prima coltura")</f>
        <v>Prima coltura</v>
      </c>
      <c r="D8" s="28" t="str">
        <f>IF(D9="","","Seconda coltura")</f>
        <v/>
      </c>
      <c r="E8" s="28" t="str">
        <f>IF(E9="","","Terza coltura")</f>
        <v/>
      </c>
      <c r="F8" s="28" t="str">
        <f>IF(F9="","","Quarta coltura")</f>
        <v/>
      </c>
      <c r="H8" s="63"/>
      <c r="I8" s="60"/>
      <c r="J8" s="61"/>
      <c r="K8" s="61"/>
      <c r="L8" s="61"/>
      <c r="M8" s="61"/>
      <c r="N8" s="61"/>
    </row>
    <row r="9" spans="2:14">
      <c r="B9" s="17" t="s">
        <v>23</v>
      </c>
      <c r="C9" s="17">
        <f t="array" ref="C9:F9">IF(ISNUMBER(ii0),ii0+irandom,"")</f>
        <v>93</v>
      </c>
      <c r="D9" s="17" t="str">
        <v/>
      </c>
      <c r="E9" s="17" t="str">
        <v/>
      </c>
      <c r="F9" s="18" t="str">
        <v/>
      </c>
      <c r="H9" s="49"/>
    </row>
    <row r="10" spans="2:14">
      <c r="B10" s="17" t="s">
        <v>24</v>
      </c>
      <c r="C10" s="17">
        <f t="array" ref="C10:F10">IF(ISNUMBER(iie),iie+irandom,"")</f>
        <v>250</v>
      </c>
      <c r="D10" s="17" t="str">
        <v/>
      </c>
      <c r="E10" s="17" t="str">
        <v/>
      </c>
      <c r="F10" s="18" t="str">
        <v/>
      </c>
    </row>
    <row r="11" spans="2:14">
      <c r="B11" s="17" t="s">
        <v>25</v>
      </c>
      <c r="C11" s="29">
        <f t="array" ref="C11:F11">IF(ISTEXT(_xlfn.ANCHORARRAY(C9)),"",IF(_xlfn.ANCHORARRAY(C10)-_xlfn.ANCHORARRAY(C9)&lt;0,_xlfn.ANCHORARRAY(C10)-_xlfn.ANCHORARRAY(C9)+366,_xlfn.ANCHORARRAY(C10)-_xlfn.ANCHORARRAY(C9)+1))</f>
        <v>158</v>
      </c>
      <c r="D11" s="29" t="str">
        <v/>
      </c>
      <c r="E11" s="29" t="str">
        <v/>
      </c>
      <c r="F11" s="29" t="str">
        <v/>
      </c>
    </row>
    <row r="12" spans="2:14">
      <c r="B12" s="17" t="s">
        <v>26</v>
      </c>
      <c r="C12" s="18">
        <f t="array" ref="C12:F12">IF(ISTEXT(_xlfn.ANCHORARRAY(C9)),"",DATE($C$4-1,12,31)+_xlfn.ANCHORARRAY(C9))</f>
        <v>44289</v>
      </c>
      <c r="D12" s="18" t="str">
        <v/>
      </c>
      <c r="E12" s="18" t="str">
        <v/>
      </c>
      <c r="F12" s="18" t="str">
        <v/>
      </c>
    </row>
    <row r="13" spans="2:14">
      <c r="B13" s="17" t="s">
        <v>27</v>
      </c>
      <c r="C13" s="18">
        <f t="array" ref="C13:F13">IF(ISTEXT(_xlfn.ANCHORARRAY(C10)),"",DATE($C$4-1,12,31)+_xlfn.ANCHORARRAY(C10))</f>
        <v>44446</v>
      </c>
      <c r="D13" s="18" t="str">
        <v/>
      </c>
      <c r="E13" s="18" t="str">
        <v/>
      </c>
      <c r="F13" s="18" t="str">
        <v/>
      </c>
    </row>
    <row r="14" spans="2:14">
      <c r="B14" s="17" t="s">
        <v>28</v>
      </c>
      <c r="C14" s="26">
        <f t="array" ref="C14:F14">IF(Kcbmin="","",Kcbmin)</f>
        <v>0</v>
      </c>
      <c r="D14" s="26" t="str">
        <v/>
      </c>
      <c r="E14" s="17" t="str">
        <v/>
      </c>
      <c r="F14" s="17" t="str">
        <v/>
      </c>
    </row>
    <row r="15" spans="2:14">
      <c r="B15" s="17" t="s">
        <v>29</v>
      </c>
      <c r="C15" s="26">
        <f t="array" ref="C15:F15">IF(Kcbini="","",Kcbini)</f>
        <v>0.15</v>
      </c>
      <c r="D15" s="26" t="str">
        <v/>
      </c>
      <c r="E15" s="17" t="str">
        <v/>
      </c>
      <c r="F15" s="17" t="str">
        <v/>
      </c>
    </row>
    <row r="16" spans="2:14">
      <c r="B16" s="17" t="s">
        <v>30</v>
      </c>
      <c r="C16" s="26">
        <f t="array" ref="C16:F16">IF(Kcbmax="","",Kcbmax)</f>
        <v>1.0469999999999999</v>
      </c>
      <c r="D16" s="26" t="str">
        <v/>
      </c>
      <c r="E16" s="17" t="str">
        <v/>
      </c>
      <c r="F16" s="17" t="str">
        <v/>
      </c>
    </row>
    <row r="17" spans="2:8">
      <c r="B17" s="17" t="s">
        <v>31</v>
      </c>
      <c r="C17" s="33">
        <f t="array" ref="C17:F17">IF(Tcrit="","",Tcrit)</f>
        <v>32</v>
      </c>
      <c r="D17" s="33" t="str">
        <v/>
      </c>
      <c r="E17" s="17" t="str">
        <v/>
      </c>
      <c r="F17" s="17" t="str">
        <v/>
      </c>
    </row>
    <row r="18" spans="2:8">
      <c r="B18" s="17" t="s">
        <v>32</v>
      </c>
      <c r="C18" s="33">
        <f t="array" ref="C18:F18">IF(Tlim="","",Tlim)</f>
        <v>40</v>
      </c>
      <c r="D18" s="33" t="str">
        <v/>
      </c>
      <c r="E18" s="17" t="str">
        <v/>
      </c>
      <c r="F18" s="17" t="str">
        <v/>
      </c>
    </row>
    <row r="19" spans="2:8">
      <c r="B19" s="17" t="s">
        <v>33</v>
      </c>
      <c r="C19" s="33">
        <f t="array" ref="C19:F19">IF(KyT="","",KyT)</f>
        <v>1.25</v>
      </c>
      <c r="D19" s="33" t="str">
        <v/>
      </c>
      <c r="E19" s="17" t="str">
        <v/>
      </c>
      <c r="F19" s="17" t="str">
        <v/>
      </c>
    </row>
    <row r="20" spans="2:8">
      <c r="B20" s="17" t="s">
        <v>34</v>
      </c>
      <c r="C20" s="33">
        <f t="array" ref="C20:F23">IF(KyP="","",KyP)</f>
        <v>0.4</v>
      </c>
      <c r="D20" s="33" t="str">
        <v/>
      </c>
      <c r="E20" s="17" t="str">
        <v/>
      </c>
      <c r="F20" s="17" t="str">
        <v/>
      </c>
    </row>
    <row r="21" spans="2:8">
      <c r="B21" s="17" t="s">
        <v>35</v>
      </c>
      <c r="C21" s="33">
        <v>0.9</v>
      </c>
      <c r="D21" s="33" t="str">
        <v/>
      </c>
      <c r="E21" s="17" t="str">
        <v/>
      </c>
      <c r="F21" s="17" t="str">
        <v/>
      </c>
      <c r="H21" s="5"/>
    </row>
    <row r="22" spans="2:8">
      <c r="B22" s="17" t="s">
        <v>36</v>
      </c>
      <c r="C22" s="33">
        <v>1.5</v>
      </c>
      <c r="D22" s="33" t="str">
        <v/>
      </c>
      <c r="E22" s="17" t="str">
        <v/>
      </c>
      <c r="F22" s="17" t="str">
        <v/>
      </c>
    </row>
    <row r="23" spans="2:8">
      <c r="B23" s="17" t="s">
        <v>37</v>
      </c>
      <c r="C23" s="33">
        <v>0.5</v>
      </c>
      <c r="D23" s="33" t="str">
        <v/>
      </c>
      <c r="E23" s="17" t="str">
        <v/>
      </c>
      <c r="F23" s="17" t="str">
        <v/>
      </c>
    </row>
    <row r="24" spans="2:8">
      <c r="B24" s="17" t="s">
        <v>38</v>
      </c>
      <c r="C24" s="26">
        <f t="array" ref="C24:F24">IF(WPadj="","",WPadj)</f>
        <v>0.34599999999999997</v>
      </c>
      <c r="D24" s="26" t="str">
        <v/>
      </c>
      <c r="E24" s="17" t="str">
        <v/>
      </c>
      <c r="F24" s="17" t="str">
        <v/>
      </c>
    </row>
    <row r="25" spans="2:8">
      <c r="B25" s="17" t="s">
        <v>39</v>
      </c>
      <c r="C25" s="26">
        <f t="array" ref="C25:F25">IF(HI="","",HI)</f>
        <v>0.45</v>
      </c>
      <c r="D25" s="26" t="str">
        <v/>
      </c>
      <c r="E25" s="17" t="str">
        <v/>
      </c>
      <c r="F25" s="17" t="str">
        <v/>
      </c>
    </row>
    <row r="26" spans="2:8" s="4" customFormat="1">
      <c r="B26" s="1"/>
      <c r="C26" s="1"/>
      <c r="D26" s="1"/>
      <c r="E26" s="1"/>
      <c r="F26" s="1"/>
    </row>
    <row r="27" spans="2:8" ht="12.75" customHeight="1">
      <c r="B27" s="19" t="s">
        <v>40</v>
      </c>
      <c r="C27" s="22" t="s">
        <v>41</v>
      </c>
      <c r="D27" s="22" t="s">
        <v>42</v>
      </c>
    </row>
    <row r="28" spans="2:8">
      <c r="B28" s="20" t="s">
        <v>43</v>
      </c>
      <c r="C28" s="23">
        <f>'Paste cellinfo here'!B11</f>
        <v>0.52400000000000002</v>
      </c>
      <c r="D28" s="23">
        <f>C28*$C$5*1000</f>
        <v>52.400000000000006</v>
      </c>
      <c r="F28" s="38" t="s">
        <v>42</v>
      </c>
      <c r="G28" s="38" t="s">
        <v>44</v>
      </c>
    </row>
    <row r="29" spans="2:8">
      <c r="B29" s="20" t="s">
        <v>45</v>
      </c>
      <c r="C29" s="23">
        <f>'Paste cellinfo here'!B12</f>
        <v>0.23300000000000001</v>
      </c>
      <c r="D29" s="23">
        <f>C29*$C$5*1000</f>
        <v>23.3</v>
      </c>
      <c r="F29" s="23" t="s">
        <v>46</v>
      </c>
      <c r="G29" s="23">
        <f>D29-D30</f>
        <v>12.6</v>
      </c>
    </row>
    <row r="30" spans="2:8">
      <c r="B30" s="20" t="s">
        <v>47</v>
      </c>
      <c r="C30" s="23">
        <f>'Paste cellinfo here'!B13</f>
        <v>0.107</v>
      </c>
      <c r="D30" s="23">
        <f>C30*$C$5*1000</f>
        <v>10.700000000000001</v>
      </c>
      <c r="F30" s="23" t="s">
        <v>48</v>
      </c>
      <c r="G30" s="23">
        <f>D33-D34</f>
        <v>116.1</v>
      </c>
    </row>
    <row r="31" spans="2:8">
      <c r="B31" s="20" t="s">
        <v>49</v>
      </c>
      <c r="C31" s="23">
        <f>'Paste cellinfo here'!B14</f>
        <v>6.6000000000000003E-2</v>
      </c>
      <c r="D31" s="23">
        <f>C31*$C$5*1000</f>
        <v>6.6000000000000005</v>
      </c>
      <c r="F31" s="23" t="s">
        <v>50</v>
      </c>
      <c r="G31" s="24">
        <f>G29+G30</f>
        <v>128.69999999999999</v>
      </c>
    </row>
    <row r="32" spans="2:8">
      <c r="B32" s="20" t="s">
        <v>51</v>
      </c>
      <c r="C32" s="23">
        <f>'Paste cellinfo here'!B15</f>
        <v>0.47399999999999998</v>
      </c>
      <c r="D32" s="23">
        <f>C32*$C$6*1000</f>
        <v>426.59999999999997</v>
      </c>
    </row>
    <row r="33" spans="2:9">
      <c r="B33" s="20" t="s">
        <v>52</v>
      </c>
      <c r="C33" s="23">
        <f>'Paste cellinfo here'!B16</f>
        <v>0.25700000000000001</v>
      </c>
      <c r="D33" s="23">
        <f>C33*$C$6*1000</f>
        <v>231.3</v>
      </c>
    </row>
    <row r="34" spans="2:9">
      <c r="B34" s="20" t="s">
        <v>53</v>
      </c>
      <c r="C34" s="23">
        <f>'Paste cellinfo here'!B17</f>
        <v>0.128</v>
      </c>
      <c r="D34" s="23">
        <f>C34*$C$6*1000</f>
        <v>115.20000000000002</v>
      </c>
      <c r="I34" s="1" t="s">
        <v>54</v>
      </c>
    </row>
    <row r="35" spans="2:9">
      <c r="B35" s="20" t="s">
        <v>55</v>
      </c>
      <c r="C35" s="23">
        <f>'Paste cellinfo here'!B18</f>
        <v>7.6999999999999999E-2</v>
      </c>
      <c r="D35" s="23">
        <f>C35*$C$6*1000</f>
        <v>69.3</v>
      </c>
    </row>
    <row r="36" spans="2:9">
      <c r="B36" s="19" t="s">
        <v>56</v>
      </c>
      <c r="C36" s="24"/>
      <c r="D36" s="24">
        <f>D33-D34</f>
        <v>116.1</v>
      </c>
      <c r="E36" s="11"/>
    </row>
    <row r="37" spans="2:9">
      <c r="B37" s="4"/>
      <c r="C37" s="11"/>
      <c r="D37" s="11"/>
      <c r="E37" s="11"/>
      <c r="F37" s="11"/>
    </row>
    <row r="38" spans="2:9">
      <c r="B38" s="19" t="s">
        <v>57</v>
      </c>
      <c r="C38" s="22" t="s">
        <v>58</v>
      </c>
      <c r="D38" s="22" t="str">
        <f>IF(C9="","","Prima coltura")</f>
        <v>Prima coltura</v>
      </c>
      <c r="E38" s="22" t="str">
        <f>IF(D9="","","Prima coltura")</f>
        <v/>
      </c>
      <c r="F38" s="22" t="str">
        <f>IF(E9="","","Prima coltura")</f>
        <v/>
      </c>
      <c r="G38" s="22" t="str">
        <f>IF(F9="","","Prima coltura")</f>
        <v/>
      </c>
    </row>
    <row r="39" spans="2:9">
      <c r="B39" s="20" t="s">
        <v>59</v>
      </c>
      <c r="C39" s="23">
        <f>SUM('Paste cell here'!B2:B366)</f>
        <v>835.43999999999028</v>
      </c>
      <c r="D39" s="23">
        <f ca="1">IF(ISTEXT(C9),"",IF(C9&lt;C10,SUM(INDIRECT(ADDRESS(C9+1,2,,,"Paste cell here")):INDIRECT(ADDRESS(C10+1,2,,,"Paste cell here"))),SUM('Paste cell here'!B2:INDIRECT(ADDRESS(C10+1,2,,,"Paste cell here")))+SUM(INDIRECT(ADDRESS(C9+1,2,,,"Paste cell here")):'Paste cell here'!B366)))</f>
        <v>293.3199999999963</v>
      </c>
      <c r="E39" s="23" t="str">
        <f ca="1">IF(ISTEXT(D9),"",IF(D9&lt;D10,SUM(INDIRECT(ADDRESS(D9+1,2,,,"Paste cell here")):INDIRECT(ADDRESS(D10+1,2,,,"Paste cell here"))),SUM('Paste cell here'!C2:INDIRECT(ADDRESS(D10+1,2,,,"Paste cell here")))+SUM(INDIRECT(ADDRESS(D9+1,2,,,"Paste cell here")):'Paste cell here'!C366)))</f>
        <v/>
      </c>
      <c r="F39" s="23" t="str">
        <f ca="1">IF(ISTEXT(E9),"",IF(E9&lt;E10,SUM(INDIRECT(ADDRESS(E9+1,2,,,"Paste cell here")):INDIRECT(ADDRESS(E10+1,2,,,"Paste cell here"))),SUM('Paste cell here'!D2:INDIRECT(ADDRESS(E10+1,2,,,"Paste cell here")))+SUM(INDIRECT(ADDRESS(E9+1,2,,,"Paste cell here")):'Paste cell here'!D366)))</f>
        <v/>
      </c>
      <c r="G39" s="23" t="str">
        <f ca="1">IF(ISTEXT(F9),"",IF(F9&lt;F10,SUM(INDIRECT(ADDRESS(F9+1,2,,,"Paste cell here")):INDIRECT(ADDRESS(F10+1,2,,,"Paste cell here"))),SUM('Paste cell here'!E2:INDIRECT(ADDRESS(F10+1,2,,,"Paste cell here")))+SUM(INDIRECT(ADDRESS(F9+1,2,,,"Paste cell here")):'Paste cell here'!E366)))</f>
        <v/>
      </c>
    </row>
    <row r="40" spans="2:9">
      <c r="B40" s="20" t="s">
        <v>60</v>
      </c>
      <c r="C40" s="23">
        <f>SUM('Paste cell here'!I2:I366)</f>
        <v>540</v>
      </c>
      <c r="D40" s="23">
        <f ca="1">IF(ISTEXT(C9),"",IF(C9&lt;C10,SUM(INDIRECT(ADDRESS(C9+1,9,,,"Paste cell here")):INDIRECT(ADDRESS(C10+1,9,,,"Paste cell here"))),SUM('Paste cell here'!I2:INDIRECT(ADDRESS(C10+1,9,,,"Paste cell here")))+SUM(INDIRECT(ADDRESS(C9+1,9,,,"Paste cell here")):'Paste cell here'!I366)))</f>
        <v>540</v>
      </c>
      <c r="E40" s="23" t="str">
        <f ca="1">IF(ISTEXT(D9),"",IF(D9&lt;D10,SUM(INDIRECT(ADDRESS(D9+1,9,,,"Paste cell here")):INDIRECT(ADDRESS(D10+1,9,,,"Paste cell here"))),SUM('Paste cell here'!J2:INDIRECT(ADDRESS(D10+1,9,,,"Paste cell here")))+SUM(INDIRECT(ADDRESS(D9+1,9,,,"Paste cell here")):'Paste cell here'!J366)))</f>
        <v/>
      </c>
      <c r="F40" s="23" t="str">
        <f ca="1">IF(ISTEXT(E9),"",IF(E9&lt;E10,SUM(INDIRECT(ADDRESS(E9+1,9,,,"Paste cell here")):INDIRECT(ADDRESS(E10+1,9,,,"Paste cell here"))),SUM('Paste cell here'!K2:INDIRECT(ADDRESS(E10+1,9,,,"Paste cell here")))+SUM(INDIRECT(ADDRESS(E9+1,9,,,"Paste cell here")):'Paste cell here'!K366)))</f>
        <v/>
      </c>
      <c r="G40" s="23" t="str">
        <f ca="1">IF(ISTEXT(F9),"",IF(F9&lt;F10,SUM(INDIRECT(ADDRESS(F9+1,9,,,"Paste cell here")):INDIRECT(ADDRESS(F10+1,9,,,"Paste cell here"))),SUM('Paste cell here'!L2:INDIRECT(ADDRESS(F10+1,9,,,"Paste cell here")))+SUM(INDIRECT(ADDRESS(F9+1,9,,,"Paste cell here")):'Paste cell here'!L366)))</f>
        <v/>
      </c>
    </row>
    <row r="41" spans="2:9">
      <c r="B41" s="20" t="s">
        <v>61</v>
      </c>
      <c r="C41" s="23">
        <f>SUM('Paste cell here'!M2:M366)</f>
        <v>33.395263835897772</v>
      </c>
      <c r="D41" s="23">
        <f ca="1">IF(ISTEXT(C9),"",IF(C9&lt;C10,SUM(INDIRECT(ADDRESS(C9+1,13,,,"Paste cell here")):INDIRECT(ADDRESS(C10+1,13,,,"Paste cell here"))),SUM('Paste cell here'!M2:INDIRECT(ADDRESS(C10+1,13,,,"Paste cell here")))+SUM(INDIRECT(ADDRESS(C9+1,13,,,"Paste cell here")):'Paste cell here'!M366)))</f>
        <v>33.395263835897772</v>
      </c>
      <c r="E41" s="23" t="str">
        <f ca="1">IF(ISTEXT(D9),"",IF(D9&lt;D10,SUM(INDIRECT(ADDRESS(D9+1,13,,,"Paste cell here")):INDIRECT(ADDRESS(D10+1,13,,,"Paste cell here"))),SUM('Paste cell here'!N2:INDIRECT(ADDRESS(D10+1,13,,,"Paste cell here")))+SUM(INDIRECT(ADDRESS(D9+1,13,,,"Paste cell here")):'Paste cell here'!N366)))</f>
        <v/>
      </c>
      <c r="F41" s="23" t="str">
        <f ca="1">IF(ISTEXT(E9),"",IF(E9&lt;E10,SUM(INDIRECT(ADDRESS(E9+1,13,,,"Paste cell here")):INDIRECT(ADDRESS(E10+1,13,,,"Paste cell here"))),SUM('Paste cell here'!O2:INDIRECT(ADDRESS(E10+1,13,,,"Paste cell here")))+SUM(INDIRECT(ADDRESS(E9+1,13,,,"Paste cell here")):'Paste cell here'!O366)))</f>
        <v/>
      </c>
      <c r="G41" s="23" t="str">
        <f ca="1">IF(ISTEXT(F9),"",IF(F9&lt;F10,SUM(INDIRECT(ADDRESS(F9+1,13,,,"Paste cell here")):INDIRECT(ADDRESS(F10+1,13,,,"Paste cell here"))),SUM('Paste cell here'!P2:INDIRECT(ADDRESS(F10+1,13,,,"Paste cell here")))+SUM(INDIRECT(ADDRESS(F9+1,13,,,"Paste cell here")):'Paste cell here'!P366)))</f>
        <v/>
      </c>
    </row>
    <row r="42" spans="2:9">
      <c r="B42" s="20" t="s">
        <v>62</v>
      </c>
      <c r="C42" s="23">
        <f>SUM('Paste cell here'!N2:N366)</f>
        <v>201.77656293346874</v>
      </c>
      <c r="D42" s="23">
        <f ca="1">IF(ISTEXT(C9),"",IF(C9&lt;C10,SUM(INDIRECT(ADDRESS(C9+1,14,,,"Paste cell here")):INDIRECT(ADDRESS(C10+1,14,,,"Paste cell here"))),SUM('Paste cell here'!N2:INDIRECT(ADDRESS(C10+1,14,,,"Paste cell here")))+SUM(INDIRECT(ADDRESS(C9+1,14,,,"Paste cell here")):'Paste cell here'!N366)))</f>
        <v>27.912497025195417</v>
      </c>
      <c r="E42" s="23" t="str">
        <f ca="1">IF(ISTEXT(D9),"",IF(D9&lt;D10,SUM(INDIRECT(ADDRESS(D9+1,14,,,"Paste cell here")):INDIRECT(ADDRESS(D10+1,14,,,"Paste cell here"))),SUM('Paste cell here'!O2:INDIRECT(ADDRESS(D10+1,14,,,"Paste cell here")))+SUM(INDIRECT(ADDRESS(D9+1,14,,,"Paste cell here")):'Paste cell here'!O366)))</f>
        <v/>
      </c>
      <c r="F42" s="23" t="str">
        <f ca="1">IF(ISTEXT(E9),"",IF(E9&lt;E10,SUM(INDIRECT(ADDRESS(E9+1,14,,,"Paste cell here")):INDIRECT(ADDRESS(E10+1,14,,,"Paste cell here"))),SUM('Paste cell here'!P2:INDIRECT(ADDRESS(E10+1,14,,,"Paste cell here")))+SUM(INDIRECT(ADDRESS(E9+1,14,,,"Paste cell here")):'Paste cell here'!P366)))</f>
        <v/>
      </c>
      <c r="G42" s="23" t="str">
        <f ca="1">IF(ISTEXT(F9),"",IF(F9&lt;F10,SUM(INDIRECT(ADDRESS(F9+1,14,,,"Paste cell here")):INDIRECT(ADDRESS(F10+1,14,,,"Paste cell here"))),SUM('Paste cell here'!Q2:INDIRECT(ADDRESS(F10+1,14,,,"Paste cell here")))+SUM(INDIRECT(ADDRESS(F9+1,14,,,"Paste cell here")):'Paste cell here'!Q366)))</f>
        <v/>
      </c>
    </row>
    <row r="43" spans="2:9">
      <c r="B43" s="20" t="s">
        <v>63</v>
      </c>
      <c r="C43" s="23">
        <f>SUM('Paste cell here'!O2:O366)</f>
        <v>600.26819112000794</v>
      </c>
      <c r="D43" s="23">
        <f ca="1">IF(ISTEXT(C9),"",IF(C9&lt;C10,SUM(INDIRECT(ADDRESS(C9+1,15,,,"Paste cell here")):INDIRECT(ADDRESS(C10+1,15,,,"Paste cell here"))),SUM('Paste cell here'!O2:INDIRECT(ADDRESS(C10+1,15,,,"Paste cell here")))+SUM(INDIRECT(ADDRESS(C9+1,15,,,"Paste cell here")):'Paste cell here'!O366)))</f>
        <v>232.0122460534067</v>
      </c>
      <c r="E43" s="23" t="str">
        <f ca="1">IF(ISTEXT(D9),"",IF(D9&lt;D10,SUM(INDIRECT(ADDRESS(D9+1,15,,,"Paste cell here")):INDIRECT(ADDRESS(D10+1,15,,,"Paste cell here"))),SUM('Paste cell here'!P2:INDIRECT(ADDRESS(D10+1,15,,,"Paste cell here")))+SUM(INDIRECT(ADDRESS(D9+1,15,,,"Paste cell here")):'Paste cell here'!P366)))</f>
        <v/>
      </c>
      <c r="F43" s="23" t="str">
        <f ca="1">IF(ISTEXT(E9),"",IF(E9&lt;E10,SUM(INDIRECT(ADDRESS(E9+1,15,,,"Paste cell here")):INDIRECT(ADDRESS(E10+1,15,,,"Paste cell here"))),SUM('Paste cell here'!Q2:INDIRECT(ADDRESS(E10+1,15,,,"Paste cell here")))+SUM(INDIRECT(ADDRESS(E9+1,15,,,"Paste cell here")):'Paste cell here'!Q366)))</f>
        <v/>
      </c>
      <c r="G43" s="23" t="str">
        <f ca="1">IF(ISTEXT(F9),"",IF(F9&lt;F10,SUM(INDIRECT(ADDRESS(F9+1,15,,,"Paste cell here")):INDIRECT(ADDRESS(F10+1,15,,,"Paste cell here"))),SUM('Paste cell here'!R2:INDIRECT(ADDRESS(F10+1,15,,,"Paste cell here")))+SUM(INDIRECT(ADDRESS(F9+1,15,,,"Paste cell here")):'Paste cell here'!R366)))</f>
        <v/>
      </c>
    </row>
    <row r="44" spans="2:9">
      <c r="B44" s="20" t="s">
        <v>64</v>
      </c>
      <c r="C44" s="23">
        <f>SUM('Paste cell here'!Q2:Q366)</f>
        <v>390.05890529071098</v>
      </c>
      <c r="D44" s="23">
        <f ca="1">IF(ISTEXT(C9),"",IF(C9&lt;C10,SUM(INDIRECT(ADDRESS(C9+1,17,,,"Paste cell here")):INDIRECT(ADDRESS(C10+1,17,,,"Paste cell here"))),SUM('Paste cell here'!Q2:INDIRECT(ADDRESS(C10+1,17,,,"Paste cell here")))+SUM(INDIRECT(ADDRESS(C9+1,17,,,"Paste cell here")):'Paste cell here'!Q366)))</f>
        <v>212.60161965270174</v>
      </c>
      <c r="E44" s="23" t="str">
        <f ca="1">IF(ISTEXT(D9),"",IF(D9&lt;D10,SUM(INDIRECT(ADDRESS(D9+1,17,,,"Paste cell here")):INDIRECT(ADDRESS(D10+1,17,,,"Paste cell here"))),SUM('Paste cell here'!R2:INDIRECT(ADDRESS(D10+1,17,,,"Paste cell here")))+SUM(INDIRECT(ADDRESS(D9+1,17,,,"Paste cell here")):'Paste cell here'!R366)))</f>
        <v/>
      </c>
      <c r="F44" s="23" t="str">
        <f ca="1">IF(ISTEXT(E9),"",IF(E9&lt;E10,SUM(INDIRECT(ADDRESS(E9+1,17,,,"Paste cell here")):INDIRECT(ADDRESS(E10+1,17,,,"Paste cell here"))),SUM('Paste cell here'!S2:INDIRECT(ADDRESS(E10+1,17,,,"Paste cell here")))+SUM(INDIRECT(ADDRESS(E9+1,17,,,"Paste cell here")):'Paste cell here'!S366)))</f>
        <v/>
      </c>
      <c r="G44" s="23" t="str">
        <f ca="1">IF(ISTEXT(F9),"",IF(F9&lt;F10,SUM(INDIRECT(ADDRESS(F9+1,17,,,"Paste cell here")):INDIRECT(ADDRESS(F10+1,17,,,"Paste cell here"))),SUM('Paste cell here'!T2:INDIRECT(ADDRESS(F10+1,17,,,"Paste cell here")))+SUM(INDIRECT(ADDRESS(F9+1,17,,,"Paste cell here")):'Paste cell here'!T366)))</f>
        <v/>
      </c>
    </row>
    <row r="45" spans="2:9">
      <c r="B45" s="20" t="s">
        <v>65</v>
      </c>
      <c r="C45" s="23">
        <f>SUM('Paste cell here'!S2:S366)</f>
        <v>0</v>
      </c>
      <c r="D45" s="23">
        <f ca="1">IF(ISTEXT(C9),"",IF(C9&lt;C10,SUM(INDIRECT(ADDRESS(C9+1,19,,,"Paste cell here")):INDIRECT(ADDRESS(C10+1,19,,,"Paste cell here"))),SUM('Paste cell here'!S2:INDIRECT(ADDRESS(C10+1,19,,,"Paste cell here")))+SUM(INDIRECT(ADDRESS(C9+1,19,,,"Paste cell here")):'Paste cell here'!S366)))</f>
        <v>0</v>
      </c>
      <c r="E45" s="23">
        <f ca="1">D45/(D45+D51)</f>
        <v>0</v>
      </c>
      <c r="F45" s="23" t="str">
        <f ca="1">IF(ISTEXT(E9),"",IF(E9&lt;E10,SUM(INDIRECT(ADDRESS(E9+1,19,,,"Paste cell here")):INDIRECT(ADDRESS(E10+1,19,,,"Paste cell here"))),SUM('Paste cell here'!U2:INDIRECT(ADDRESS(E10+1,19,,,"Paste cell here")))+SUM(INDIRECT(ADDRESS(E9+1,19,,,"Paste cell here")):'Paste cell here'!U366)))</f>
        <v/>
      </c>
      <c r="G45" s="23" t="str">
        <f ca="1">IF(ISTEXT(F9),"",IF(F9&lt;F10,SUM(INDIRECT(ADDRESS(F9+1,19,,,"Paste cell here")):INDIRECT(ADDRESS(F10+1,19,,,"Paste cell here"))),SUM('Paste cell here'!V2:INDIRECT(ADDRESS(F10+1,19,,,"Paste cell here")))+SUM(INDIRECT(ADDRESS(F9+1,19,,,"Paste cell here")):'Paste cell here'!V366)))</f>
        <v/>
      </c>
    </row>
    <row r="46" spans="2:9">
      <c r="B46" s="20" t="s">
        <v>66</v>
      </c>
      <c r="C46" s="23">
        <f>SUM('Paste cell here'!T2:T366)</f>
        <v>745.96401891888627</v>
      </c>
      <c r="D46" s="23">
        <f ca="1">IF(ISTEXT(C9),"",IF(C9&lt;C10,SUM(INDIRECT(ADDRESS(C9+1,20,,,"Paste cell here")):INDIRECT(ADDRESS(C10+1,20,,,"Paste cell here"))),SUM('Paste cell here'!T2:INDIRECT(ADDRESS(C10+1,20,,,"Paste cell here")))+SUM(INDIRECT(ADDRESS(C9+1,20,,,"Paste cell here")):'Paste cell here'!T366)))</f>
        <v>542.87403678274632</v>
      </c>
      <c r="E46" s="23" t="str">
        <f ca="1">IF(ISTEXT(D9),"",IF(D9&lt;D10,SUM(INDIRECT(ADDRESS(D9+1,20,,,"Paste cell here")):INDIRECT(ADDRESS(D10+1,20,,,"Paste cell here"))),SUM('Paste cell here'!U2:INDIRECT(ADDRESS(D10+1,20,,,"Paste cell here")))+SUM(INDIRECT(ADDRESS(D9+1,20,,,"Paste cell here")):'Paste cell here'!U366)))</f>
        <v/>
      </c>
      <c r="F46" s="23" t="str">
        <f ca="1">IF(ISTEXT(E9),"",IF(E9&lt;E10,SUM(INDIRECT(ADDRESS(E9+1,20,,,"Paste cell here")):INDIRECT(ADDRESS(E10+1,20,,,"Paste cell here"))),SUM('Paste cell here'!V2:INDIRECT(ADDRESS(E10+1,20,,,"Paste cell here")))+SUM(INDIRECT(ADDRESS(E9+1,20,,,"Paste cell here")):'Paste cell here'!V366)))</f>
        <v/>
      </c>
      <c r="G46" s="23" t="str">
        <f ca="1">IF(ISTEXT(F9),"",IF(F9&lt;F10,SUM(INDIRECT(ADDRESS(F9+1,20,,,"Paste cell here")):INDIRECT(ADDRESS(F10+1,20,,,"Paste cell here"))),SUM('Paste cell here'!W2:INDIRECT(ADDRESS(F10+1,20,,,"Paste cell here")))+SUM(INDIRECT(ADDRESS(F9+1,20,,,"Paste cell here")):'Paste cell here'!W366)))</f>
        <v/>
      </c>
    </row>
    <row r="47" spans="2:9">
      <c r="B47" s="20" t="s">
        <v>67</v>
      </c>
      <c r="C47" s="23">
        <f>SUM('Paste cell here'!W2:W366)</f>
        <v>0</v>
      </c>
      <c r="D47" s="23">
        <f ca="1">IF(ISTEXT(C9),"",IF(C9&lt;C10,SUM(INDIRECT(ADDRESS(C9+1,23,,,"Paste cell here")):INDIRECT(ADDRESS(C10+1,23,,,"Paste cell here"))),SUM('Paste cell here'!W2:INDIRECT(ADDRESS(C10+1,23,,,"Paste cell here")))+SUM(INDIRECT(ADDRESS(C9+1,23,,,"Paste cell here")):'Paste cell here'!W366)))</f>
        <v>0</v>
      </c>
      <c r="E47" s="23" t="str">
        <f ca="1">IF(ISTEXT(D9),"",IF(D9&lt;D10,SUM(INDIRECT(ADDRESS(D9+1,23,,,"Paste cell here")):INDIRECT(ADDRESS(D10+1,23,,,"Paste cell here"))),SUM('Paste cell here'!X2:INDIRECT(ADDRESS(D10+1,23,,,"Paste cell here")))+SUM(INDIRECT(ADDRESS(D9+1,23,,,"Paste cell here")):'Paste cell here'!X366)))</f>
        <v/>
      </c>
      <c r="F47" s="23" t="str">
        <f ca="1">IF(ISTEXT(E9),"",IF(E9&lt;E10,SUM(INDIRECT(ADDRESS(E9+1,23,,,"Paste cell here")):INDIRECT(ADDRESS(E10+1,23,,,"Paste cell here"))),SUM('Paste cell here'!Y2:INDIRECT(ADDRESS(E10+1,23,,,"Paste cell here")))+SUM(INDIRECT(ADDRESS(E9+1,23,,,"Paste cell here")):'Paste cell here'!Y366)))</f>
        <v/>
      </c>
      <c r="G47" s="23" t="str">
        <f ca="1">IF(ISTEXT(F9),"",IF(F9&lt;F10,SUM(INDIRECT(ADDRESS(F9+1,23,,,"Paste cell here")):INDIRECT(ADDRESS(F10+1,23,,,"Paste cell here"))),SUM('Paste cell here'!Z2:INDIRECT(ADDRESS(F10+1,23,,,"Paste cell here")))+SUM(INDIRECT(ADDRESS(F9+1,23,,,"Paste cell here")):'Paste cell here'!Z366)))</f>
        <v/>
      </c>
    </row>
    <row r="48" spans="2:9">
      <c r="B48" s="19" t="s">
        <v>68</v>
      </c>
      <c r="C48" s="22" t="s">
        <v>58</v>
      </c>
      <c r="D48" s="22" t="str">
        <f>IF(C9="","","Prima coltura")</f>
        <v>Prima coltura</v>
      </c>
      <c r="E48" s="22" t="str">
        <f>IF(D9="","","Prima coltura")</f>
        <v/>
      </c>
      <c r="F48" s="22" t="str">
        <f>IF(E9="","","Prima coltura")</f>
        <v/>
      </c>
      <c r="G48" s="22" t="str">
        <f>IF(F9="","","Prima coltura")</f>
        <v/>
      </c>
    </row>
    <row r="49" spans="2:14">
      <c r="B49" s="20" t="s">
        <v>69</v>
      </c>
      <c r="C49" s="23">
        <f>SUM('Paste cell here'!T2:T366)</f>
        <v>745.96401891888627</v>
      </c>
      <c r="D49" s="23">
        <f ca="1">IF(ISTEXT(C9),"",IF(C9&lt;C10,SUM(INDIRECT(ADDRESS(C9+1,20,,,"Paste cell here")):INDIRECT(ADDRESS(C10+1,20,,,"Paste cell here"))),SUM('Paste cell here'!T2:INDIRECT(ADDRESS(C10+1,20,,,"Paste cell here")))+SUM(INDIRECT(ADDRESS(C9+1,20,,,"Paste cell here")):'Paste cell here'!T366)))</f>
        <v>542.87403678274632</v>
      </c>
      <c r="E49" s="23" t="str">
        <f ca="1">IF(ISTEXT(D9),"",IF(D9&lt;D10,SUM(INDIRECT(ADDRESS(D9+1,20,,,"Paste cell here")):INDIRECT(ADDRESS(D10+1,20,,,"Paste cell here"))),SUM('Paste cell here'!U2:INDIRECT(ADDRESS(D10+1,20,,,"Paste cell here")))+SUM(INDIRECT(ADDRESS(D9+1,20,,,"Paste cell here")):'Paste cell here'!U366)))</f>
        <v/>
      </c>
      <c r="F49" s="23" t="str">
        <f ca="1">IF(ISTEXT(E9),"",IF(E9&lt;E10,SUM(INDIRECT(ADDRESS(E9+1,20,,,"Paste cell here")):INDIRECT(ADDRESS(E10+1,20,,,"Paste cell here"))),SUM('Paste cell here'!V2:INDIRECT(ADDRESS(E10+1,20,,,"Paste cell here")))+SUM(INDIRECT(ADDRESS(E9+1,20,,,"Paste cell here")):'Paste cell here'!V366)))</f>
        <v/>
      </c>
      <c r="G49" s="23" t="str">
        <f ca="1">IF(ISTEXT(F9),"",IF(F9&lt;F10,SUM(INDIRECT(ADDRESS(F9+1,20,,,"Paste cell here")):INDIRECT(ADDRESS(F10+1,20,,,"Paste cell here"))),SUM('Paste cell here'!W2:INDIRECT(ADDRESS(F10+1,20,,,"Paste cell here")))+SUM(INDIRECT(ADDRESS(F9+1,20,,,"Paste cell here")):'Paste cell here'!W366)))</f>
        <v/>
      </c>
    </row>
    <row r="50" spans="2:14">
      <c r="B50" s="20" t="s">
        <v>70</v>
      </c>
      <c r="C50" s="23">
        <f>SUM('Paste cell here'!AC2:AC366)</f>
        <v>4.6616135879376921E-2</v>
      </c>
      <c r="D50" s="23">
        <f ca="1">IF(ISTEXT(C9),"",IF(C9&lt;C10,SUM(INDIRECT(ADDRESS(C9+1,29,,,"Paste cell here")):INDIRECT(ADDRESS(C10+1,29,,,"Paste cell here"))),SUM('Paste cell here'!AC2:INDIRECT(ADDRESS(C10+1,29,,,"Paste cell here")))+SUM(INDIRECT(ADDRESS(C9+1,29,,,"Paste cell here")):'Paste cell here'!AC366)))</f>
        <v>4.6616135879376921E-2</v>
      </c>
      <c r="E50" s="23" t="str">
        <f ca="1">IF(ISTEXT(D9),"",IF(D9&lt;D10,SUM(INDIRECT(ADDRESS(D9+1,29,,,"Paste cell here")):INDIRECT(ADDRESS(D10+1,29,,,"Paste cell here"))),SUM('Paste cell here'!AD2:INDIRECT(ADDRESS(D10+1,29,,,"Paste cell here")))+SUM(INDIRECT(ADDRESS(D9+1,29,,,"Paste cell here")):'Paste cell here'!AD366)))</f>
        <v/>
      </c>
      <c r="F50" s="23" t="str">
        <f ca="1">IF(ISTEXT(E9),"",IF(E9&lt;E10,SUM(INDIRECT(ADDRESS(E9+1,29,,,"Paste cell here")):INDIRECT(ADDRESS(E10+1,29,,,"Paste cell here"))),SUM('Paste cell here'!AE2:INDIRECT(ADDRESS(E10+1,29,,,"Paste cell here")))+SUM(INDIRECT(ADDRESS(E9+1,29,,,"Paste cell here")):'Paste cell here'!AE366)))</f>
        <v/>
      </c>
      <c r="G50" s="23" t="str">
        <f ca="1">IF(ISTEXT(F9),"",IF(F9&lt;F10,SUM(INDIRECT(ADDRESS(F9+1,29,,,"Paste cell here")):INDIRECT(ADDRESS(F10+1,29,,,"Paste cell here"))),SUM('Paste cell here'!AF2:INDIRECT(ADDRESS(F10+1,29,,,"Paste cell here")))+SUM(INDIRECT(ADDRESS(F9+1,29,,,"Paste cell here")):'Paste cell here'!AF366)))</f>
        <v/>
      </c>
    </row>
    <row r="51" spans="2:14">
      <c r="B51" s="20" t="s">
        <v>71</v>
      </c>
      <c r="C51" s="23">
        <f>SUM('Paste cell here'!Y2:Y366)</f>
        <v>458.29434086669147</v>
      </c>
      <c r="D51" s="23">
        <f ca="1">IF(ISTEXT(C9),"",IF(C9&lt;C10,SUM(INDIRECT(ADDRESS(C9+1,25,,,"Paste cell here")):INDIRECT(ADDRESS(C10+1,25,,,"Paste cell here"))),SUM('Paste cell here'!Y2:INDIRECT(ADDRESS(C10+1,25,,,"Paste cell here")))+SUM(INDIRECT(ADDRESS(C9+1,25,,,"Paste cell here")):'Paste cell here'!Y366)))</f>
        <v>458.29434086669147</v>
      </c>
      <c r="E51" s="23" t="str">
        <f ca="1">IF(ISTEXT(D9),"",IF(D9&lt;D10,SUM(INDIRECT(ADDRESS(D9+1,25,,,"Paste cell here")):INDIRECT(ADDRESS(D10+1,25,,,"Paste cell here"))),SUM('Paste cell here'!Z2:INDIRECT(ADDRESS(D10+1,25,,,"Paste cell here")))+SUM(INDIRECT(ADDRESS(D9+1,25,,,"Paste cell here")):'Paste cell here'!Z366)))</f>
        <v/>
      </c>
      <c r="F51" s="23" t="str">
        <f ca="1">IF(ISTEXT(E9),"",IF(E9&lt;E10,SUM(INDIRECT(ADDRESS(E9+1,25,,,"Paste cell here")):INDIRECT(ADDRESS(E10+1,25,,,"Paste cell here"))),SUM('Paste cell here'!AA2:INDIRECT(ADDRESS(E10+1,25,,,"Paste cell here")))+SUM(INDIRECT(ADDRESS(E9+1,25,,,"Paste cell here")):'Paste cell here'!AA366)))</f>
        <v/>
      </c>
      <c r="G51" s="23" t="str">
        <f ca="1">IF(ISTEXT(F9),"",IF(F9&lt;F10,SUM(INDIRECT(ADDRESS(F9+1,25,,,"Paste cell here")):INDIRECT(ADDRESS(F10+1,25,,,"Paste cell here"))),SUM('Paste cell here'!AB2:INDIRECT(ADDRESS(F10+1,25,,,"Paste cell here")))+SUM(INDIRECT(ADDRESS(F9+1,25,,,"Paste cell here")):'Paste cell here'!AB366)))</f>
        <v/>
      </c>
    </row>
    <row r="52" spans="2:14">
      <c r="B52" s="20" t="s">
        <v>72</v>
      </c>
      <c r="C52" s="23">
        <f>SUM('Paste cell here'!AD2:AD366)</f>
        <v>221.22870565477899</v>
      </c>
      <c r="D52" s="23">
        <f ca="1">IF(ISTEXT(C9),"",IF(C9&lt;C10,SUM(INDIRECT(ADDRESS(C9+1,30,,,"Paste cell here")):INDIRECT(ADDRESS(C10+1,30,,,"Paste cell here"))),SUM('Paste cell here'!AD2:INDIRECT(ADDRESS(C10+1,30,,,"Paste cell here")))+SUM(INDIRECT(ADDRESS(C9+1,30,,,"Paste cell here")):'Paste cell here'!AD366)))</f>
        <v>82.598098353010272</v>
      </c>
      <c r="E52" s="23" t="str">
        <f ca="1">IF(ISTEXT(D9),"",IF(D9&lt;D10,SUM(INDIRECT(ADDRESS(D9+1,30,,,"Paste cell here")):INDIRECT(ADDRESS(D10+1,30,,,"Paste cell here"))),SUM('Paste cell here'!AE2:INDIRECT(ADDRESS(D10+1,30,,,"Paste cell here")))+SUM(INDIRECT(ADDRESS(D9+1,30,,,"Paste cell here")):'Paste cell here'!AE366)))</f>
        <v/>
      </c>
      <c r="F52" s="23" t="str">
        <f ca="1">IF(ISTEXT(E9),"",IF(E9&lt;E10,SUM(INDIRECT(ADDRESS(E9+1,30,,,"Paste cell here")):INDIRECT(ADDRESS(E10+1,30,,,"Paste cell here"))),SUM('Paste cell here'!AF2:INDIRECT(ADDRESS(E10+1,30,,,"Paste cell here")))+SUM(INDIRECT(ADDRESS(E9+1,30,,,"Paste cell here")):'Paste cell here'!AF366)))</f>
        <v/>
      </c>
      <c r="G52" s="23" t="str">
        <f ca="1">IF(ISTEXT(F9),"",IF(F9&lt;F10,SUM(INDIRECT(ADDRESS(F9+1,30,,,"Paste cell here")):INDIRECT(ADDRESS(F10+1,30,,,"Paste cell here"))),SUM('Paste cell here'!AG2:INDIRECT(ADDRESS(F10+1,30,,,"Paste cell here")))+SUM(INDIRECT(ADDRESS(F9+1,30,,,"Paste cell here")):'Paste cell here'!AG366)))</f>
        <v/>
      </c>
    </row>
    <row r="53" spans="2:14">
      <c r="B53" s="20" t="s">
        <v>73</v>
      </c>
      <c r="C53" s="23">
        <f>SUM('Paste cell here'!W2:W366)</f>
        <v>0</v>
      </c>
      <c r="D53" s="23">
        <f ca="1">IF(ISTEXT(C9),"",IF(C9&lt;C10,SUM(INDIRECT(ADDRESS(C9+1,23,,,"Paste cell here")):INDIRECT(ADDRESS(C10+1,23,,,"Paste cell here"))),SUM('Paste cell here'!W2:INDIRECT(ADDRESS(C10+1,23,,,"Paste cell here")))+SUM(INDIRECT(ADDRESS(C9+1,23,,,"Paste cell here")):'Paste cell here'!W366)))</f>
        <v>0</v>
      </c>
      <c r="E53" s="23" t="str">
        <f ca="1">IF(ISTEXT(D9),"",IF(D9&lt;D10,SUM(INDIRECT(ADDRESS(D9+1,23,,,"Paste cell here")):INDIRECT(ADDRESS(D10+1,23,,,"Paste cell here"))),SUM('Paste cell here'!X2:INDIRECT(ADDRESS(D10+1,23,,,"Paste cell here")))+SUM(INDIRECT(ADDRESS(D9+1,23,,,"Paste cell here")):'Paste cell here'!X366)))</f>
        <v/>
      </c>
      <c r="F53" s="23" t="str">
        <f ca="1">IF(ISTEXT(E9),"",IF(E9&lt;E10,SUM(INDIRECT(ADDRESS(E9+1,23,,,"Paste cell here")):INDIRECT(ADDRESS(E10+1,23,,,"Paste cell here"))),SUM('Paste cell here'!Y2:INDIRECT(ADDRESS(E10+1,23,,,"Paste cell here")))+SUM(INDIRECT(ADDRESS(E9+1,23,,,"Paste cell here")):'Paste cell here'!Y366)))</f>
        <v/>
      </c>
      <c r="G53" s="23" t="str">
        <f ca="1">IF(ISTEXT(F9),"",IF(F9&lt;F10,SUM(INDIRECT(ADDRESS(F9+1,23,,,"Paste cell here")):INDIRECT(ADDRESS(F10+1,23,,,"Paste cell here"))),SUM('Paste cell here'!Z2:INDIRECT(ADDRESS(F10+1,23,,,"Paste cell here")))+SUM(INDIRECT(ADDRESS(F9+1,23,,,"Paste cell here")):'Paste cell here'!Z366)))</f>
        <v/>
      </c>
    </row>
    <row r="54" spans="2:14">
      <c r="B54" s="4"/>
      <c r="C54" s="11"/>
      <c r="D54" s="11"/>
      <c r="E54" s="11"/>
      <c r="F54" s="11"/>
    </row>
    <row r="55" spans="2:14">
      <c r="B55" s="35" t="s">
        <v>74</v>
      </c>
      <c r="C55" s="28" t="str">
        <f>IF(C9="","","Prima coltura")</f>
        <v>Prima coltura</v>
      </c>
      <c r="D55" s="28" t="str">
        <f>IF(D9="","","Seconda coltura")</f>
        <v/>
      </c>
      <c r="E55" s="28" t="str">
        <f>IF(E9="","","Terza coltura")</f>
        <v/>
      </c>
      <c r="F55" s="28" t="str">
        <f>IF(F9="","","Quarta coltura")</f>
        <v/>
      </c>
    </row>
    <row r="56" spans="2:14">
      <c r="B56" s="20" t="s">
        <v>75</v>
      </c>
      <c r="C56" s="20">
        <f ca="1">IF(ISTEXT(C9),"",IF(C9&lt;C10,COUNTIF(INDIRECT(ADDRESS(C9+1,9,,,"Paste cell here")):INDIRECT(ADDRESS(C10+1,9,,,"Paste cell here")),"&gt;0"),COUNTIF(INDIRECT(ADDRESS(C9+1,9,,,"Paste cell here")):'Paste cell here'!I366,"&gt;0")+COUNTIF('Paste cell here'!I2:INDIRECT(ADDRESS(C10+1,9,,,"Paste cell here")),"&gt;0")))</f>
        <v>10</v>
      </c>
      <c r="D56" s="20" t="str">
        <f ca="1">IF(ISTEXT(D9),"",IF(D9&lt;D10,COUNTIF(INDIRECT(ADDRESS(D9+1,9,,,"Paste cell here")):INDIRECT(ADDRESS(D10+1,9,,,"Paste cell here")),"&gt;0"),COUNTIF(INDIRECT(ADDRESS(D9+1,9,,,"Paste cell here")):'Paste cell here'!J366,"&gt;0")+COUNTIF('Paste cell here'!J2:INDIRECT(ADDRESS(D10+1,9,,,"Paste cell here")),"&gt;0")))</f>
        <v/>
      </c>
      <c r="E56" s="20" t="str">
        <f ca="1">IF(ISTEXT(E9),"",IF(E9&lt;E10,COUNTIF(INDIRECT(ADDRESS(E9+1,9,,,"Paste cell here")):INDIRECT(ADDRESS(E10+1,9,,,"Paste cell here")),"&gt;0"),COUNTIF(INDIRECT(ADDRESS(E9+1,9,,,"Paste cell here")):'Paste cell here'!K366,"&gt;0")+COUNTIF('Paste cell here'!K2:INDIRECT(ADDRESS(E10+1,9,,,"Paste cell here")),"&gt;0")))</f>
        <v/>
      </c>
      <c r="F56" s="20" t="str">
        <f ca="1">IF(ISTEXT(F9),"",IF(F9&lt;F10,COUNTIF(INDIRECT(ADDRESS(F9+1,9,,,"Paste cell here")):INDIRECT(ADDRESS(F10+1,9,,,"Paste cell here")),"&gt;0"),COUNTIF(INDIRECT(ADDRESS(F9+1,9,,,"Paste cell here")):'Paste cell here'!L366,"&gt;0")+COUNTIF('Paste cell here'!L2:INDIRECT(ADDRESS(F10+1,9,,,"Paste cell here")),"&gt;0")))</f>
        <v/>
      </c>
    </row>
    <row r="57" spans="2:14">
      <c r="B57" s="20" t="s">
        <v>76</v>
      </c>
      <c r="C57" s="21">
        <f ca="1">IF(ISTEXT(C9),"",IF(C9&lt;C10,SUM(INDIRECT(ADDRESS(C9+1,9,,,"Paste cell here")):INDIRECT(ADDRESS(C10+1,9,,,"Paste cell here"))),SUM('Paste cell here'!I2:INDIRECT(ADDRESS(C10+1,9,,,"Paste cell here")))+SUM(INDIRECT(ADDRESS(C9+1,9,,,"Paste cell here")):'Paste cell here'!I366)))</f>
        <v>540</v>
      </c>
      <c r="D57" s="21" t="str">
        <f ca="1">IF(ISTEXT(D9),"",IF(D9&lt;D10,SUM(INDIRECT(ADDRESS(D9+1,9,,,"Paste cell here")):INDIRECT(ADDRESS(D10+1,9,,,"Paste cell here"))),SUM('Paste cell here'!J2:INDIRECT(ADDRESS(D10+1,9,,,"Paste cell here")))+SUM(INDIRECT(ADDRESS(D9+1,9,,,"Paste cell here")):'Paste cell here'!J366)))</f>
        <v/>
      </c>
      <c r="E57" s="21" t="str">
        <f ca="1">IF(ISTEXT(E9),"",IF(E9&lt;E10,SUM(INDIRECT(ADDRESS(E9+1,9,,,"Paste cell here")):INDIRECT(ADDRESS(E10+1,9,,,"Paste cell here"))),SUM('Paste cell here'!K2:INDIRECT(ADDRESS(E10+1,9,,,"Paste cell here")))+SUM(INDIRECT(ADDRESS(E9+1,9,,,"Paste cell here")):'Paste cell here'!K366)))</f>
        <v/>
      </c>
      <c r="F57" s="21" t="str">
        <f ca="1">IF(ISTEXT(F9),"",IF(F9&lt;F10,SUM(INDIRECT(ADDRESS(F9+1,9,,,"Paste cell here")):INDIRECT(ADDRESS(F10+1,9,,,"Paste cell here"))),SUM('Paste cell here'!L2:INDIRECT(ADDRESS(F10+1,9,,,"Paste cell here")))+SUM(INDIRECT(ADDRESS(F9+1,9,,,"Paste cell here")):'Paste cell here'!L366)))</f>
        <v/>
      </c>
    </row>
    <row r="58" spans="2:14">
      <c r="B58" s="20" t="s">
        <v>77</v>
      </c>
      <c r="C58" s="30">
        <f ca="1">IF(ISTEXT(C9),"",IF(C57=0,"Non irriguo",C57/C56))</f>
        <v>54</v>
      </c>
      <c r="D58" s="30" t="str">
        <f>IF(ISTEXT(D9),"",IF(D57=0,"Non irriguo",D57/D56))</f>
        <v/>
      </c>
      <c r="E58" s="30" t="str">
        <f>IF(ISTEXT(E9),"",IF(E57=0,"Non irriguo",E57/E56))</f>
        <v/>
      </c>
      <c r="F58" s="30" t="str">
        <f>IF(ISTEXT(F9),"",IF(F57=0,"Non irriguo",F57/F56))</f>
        <v/>
      </c>
    </row>
    <row r="59" spans="2:14">
      <c r="B59" s="20" t="s">
        <v>78</v>
      </c>
      <c r="C59" s="30">
        <f ca="1">IF(ISTEXT(C9),"",IF(C57=0,"Non irriguo",(C13-C12)/C56))</f>
        <v>15.7</v>
      </c>
      <c r="D59" s="30" t="str">
        <f>IF(ISTEXT(D9),"",IF(D57=0,"Non irriguo",(D13-D12)/D56))</f>
        <v/>
      </c>
      <c r="E59" s="30" t="str">
        <f>IF(ISTEXT(E9),"",IF(E57=0,"Non irriguo",(E13-E12)/E56))</f>
        <v/>
      </c>
      <c r="F59" s="30" t="str">
        <f>IF(ISTEXT(F9),"",IF(F57=0,"Non irriguo",(F13-F12)/F56))</f>
        <v/>
      </c>
    </row>
    <row r="60" spans="2:14" ht="14.4">
      <c r="B60" s="20" t="s">
        <v>79</v>
      </c>
      <c r="C60" s="27">
        <f ca="1">IF(ISTEXT(C9),"",IF(C9&lt;C10,(SUM(INDIRECT(ADDRESS(C9+1,17,,,"Paste cell here")):INDIRECT(ADDRESS(C10+1,17,,,"Paste cell here")))+SUM(INDIRECT(ADDRESS(C9+1,22,,,"Paste cell here")):INDIRECT(ADDRESS(C10+1,22,,,"Paste cell here"))))/(SUM(INDIRECT(ADDRESS(C9+1,2,,,"Paste cell here")):INDIRECT(ADDRESS(C10+1,2,,,"Paste cell here")))+SUM(INDIRECT(ADDRESS(C9+1,9,,,"Paste cell here")):INDIRECT(ADDRESS(C10+1,9,,,"Paste cell here")))),(SUM('Paste cell here'!Q2:INDIRECT(ADDRESS(C10+1,17,,,"Paste cell here")))+SUM(INDIRECT(ADDRESS(C9+1,17,,,"Paste cell here")):'Paste cell here'!Q366)+SUM('Paste cell here'!X2:INDIRECT(ADDRESS(C10+1,22,,,"Paste cell here")))+SUM(INDIRECT(ADDRESS(C9+1,22,,,"Paste cell here")):'Paste cell here'!X366))/(SUM('Paste cell here'!B2:INDIRECT(ADDRESS(C10+1,2,,,"Paste cell here")))+SUM(INDIRECT(ADDRESS(C9+1,2,,,"Paste cell here")):'Paste cell here'!B366)+SUM('Paste cell here'!I2:INDIRECT(ADDRESS(C10+1,9,,,"Paste cell here")))+SUM(INDIRECT(ADDRESS(C9+1,9,,,"Paste cell here")):'Paste cell here'!I366))))</f>
        <v>0.25512602559965281</v>
      </c>
      <c r="D60" s="27" t="str">
        <f ca="1">IF(ISTEXT(D9),"",IF(D9&lt;D10,(SUM(INDIRECT(ADDRESS(D9+1,17,,,"Paste cell here")):INDIRECT(ADDRESS(D10+1,17,,,"Paste cell here")))+SUM(INDIRECT(ADDRESS(D9+1,22,,,"Paste cell here")):INDIRECT(ADDRESS(D10+1,22,,,"Paste cell here"))))/(SUM(INDIRECT(ADDRESS(D9+1,2,,,"Paste cell here")):INDIRECT(ADDRESS(D10+1,2,,,"Paste cell here")))+SUM(INDIRECT(ADDRESS(D9+1,9,,,"Paste cell here")):INDIRECT(ADDRESS(D10+1,9,,,"Paste cell here")))),(SUM('Paste cell here'!T2:INDIRECT(ADDRESS(D10+1,17,,,"Paste cell here")))+SUM(INDIRECT(ADDRESS(D9+1,17,,,"Paste cell here")):'Paste cell here'!T366)+SUM('Paste cell here'!Y2:INDIRECT(ADDRESS(D10+1,22,,,"Paste cell here")))+SUM(INDIRECT(ADDRESS(D9+1,22,,,"Paste cell here")):'Paste cell here'!Y366))/(SUM('Paste cell here'!C2:INDIRECT(ADDRESS(D10+1,2,,,"Paste cell here")))+SUM(INDIRECT(ADDRESS(D9+1,2,,,"Paste cell here")):'Paste cell here'!C366)+SUM('Paste cell here'!J2:INDIRECT(ADDRESS(D10+1,9,,,"Paste cell here")))+SUM(INDIRECT(ADDRESS(D9+1,9,,,"Paste cell here")):'Paste cell here'!J366))))</f>
        <v/>
      </c>
      <c r="E60" s="27" t="str">
        <f ca="1">IF(ISTEXT(E9),"",IF(E9&lt;E10,(SUM(INDIRECT(ADDRESS(E9+1,17,,,"Paste cell here")):INDIRECT(ADDRESS(E10+1,17,,,"Paste cell here")))+SUM(INDIRECT(ADDRESS(E9+1,22,,,"Paste cell here")):INDIRECT(ADDRESS(E10+1,22,,,"Paste cell here"))))/(SUM(INDIRECT(ADDRESS(E9+1,2,,,"Paste cell here")):INDIRECT(ADDRESS(E10+1,2,,,"Paste cell here")))+SUM(INDIRECT(ADDRESS(E9+1,9,,,"Paste cell here")):INDIRECT(ADDRESS(E10+1,9,,,"Paste cell here")))),(SUM('Paste cell here'!U2:INDIRECT(ADDRESS(E10+1,17,,,"Paste cell here")))+SUM(INDIRECT(ADDRESS(E9+1,17,,,"Paste cell here")):'Paste cell here'!U366)+SUM('Paste cell here'!Z2:INDIRECT(ADDRESS(E10+1,22,,,"Paste cell here")))+SUM(INDIRECT(ADDRESS(E9+1,22,,,"Paste cell here")):'Paste cell here'!Z366))/(SUM('Paste cell here'!D2:INDIRECT(ADDRESS(E10+1,2,,,"Paste cell here")))+SUM(INDIRECT(ADDRESS(E9+1,2,,,"Paste cell here")):'Paste cell here'!D366)+SUM('Paste cell here'!K2:INDIRECT(ADDRESS(E10+1,9,,,"Paste cell here")))+SUM(INDIRECT(ADDRESS(E9+1,9,,,"Paste cell here")):'Paste cell here'!K366))))</f>
        <v/>
      </c>
      <c r="F60" s="27" t="str">
        <f ca="1">IF(ISTEXT(F9),"",IF(F9&lt;F10,(SUM(INDIRECT(ADDRESS(F9+1,17,,,"Paste cell here")):INDIRECT(ADDRESS(F10+1,17,,,"Paste cell here")))+SUM(INDIRECT(ADDRESS(F9+1,22,,,"Paste cell here")):INDIRECT(ADDRESS(F10+1,22,,,"Paste cell here"))))/(SUM(INDIRECT(ADDRESS(F9+1,2,,,"Paste cell here")):INDIRECT(ADDRESS(F10+1,2,,,"Paste cell here")))+SUM(INDIRECT(ADDRESS(F9+1,9,,,"Paste cell here")):INDIRECT(ADDRESS(F10+1,9,,,"Paste cell here")))),(SUM('Paste cell here'!V2:INDIRECT(ADDRESS(F10+1,17,,,"Paste cell here")))+SUM(INDIRECT(ADDRESS(F9+1,17,,,"Paste cell here")):'Paste cell here'!V366)+SUM('Paste cell here'!AA2:INDIRECT(ADDRESS(F10+1,22,,,"Paste cell here")))+SUM(INDIRECT(ADDRESS(F9+1,22,,,"Paste cell here")):'Paste cell here'!AA366))/(SUM('Paste cell here'!E2:INDIRECT(ADDRESS(F10+1,2,,,"Paste cell here")))+SUM(INDIRECT(ADDRESS(F9+1,2,,,"Paste cell here")):'Paste cell here'!E366)+SUM('Paste cell here'!L2:INDIRECT(ADDRESS(F10+1,9,,,"Paste cell here")))+SUM(INDIRECT(ADDRESS(F9+1,9,,,"Paste cell here")):'Paste cell here'!L366))))</f>
        <v/>
      </c>
      <c r="H60" s="50"/>
      <c r="I60" s="57"/>
      <c r="J60" s="50" t="s">
        <v>80</v>
      </c>
      <c r="K60" s="51"/>
      <c r="L60" s="51"/>
      <c r="M60" s="52"/>
      <c r="N60" s="17"/>
    </row>
    <row r="61" spans="2:14">
      <c r="H61" s="58"/>
      <c r="I61" s="59"/>
      <c r="J61" s="17">
        <f t="array" ref="J61:M61">_xlfn._xlws.SORT(TRANSPOSE(_xlfn.UNIQUE(_xlfn._xlws.FILTER('(OLD) Verifica produttività'!$D$2:$D$366,'(OLD) Verifica produttività'!$D$2:$D$366&lt;&gt;0))),1,1,TRUE)</f>
        <v>1</v>
      </c>
      <c r="K61" s="17">
        <v>2</v>
      </c>
      <c r="L61" s="17">
        <v>3</v>
      </c>
      <c r="M61" s="17">
        <v>4</v>
      </c>
      <c r="N61" s="17" t="s">
        <v>81</v>
      </c>
    </row>
    <row r="62" spans="2:14">
      <c r="B62" s="16" t="s">
        <v>82</v>
      </c>
      <c r="C62" s="28" t="str">
        <f>IF(C9="","","Prima coltura")</f>
        <v>Prima coltura</v>
      </c>
      <c r="D62" s="28" t="str">
        <f>IF(D9="","","Seconda coltura")</f>
        <v/>
      </c>
      <c r="E62" s="28" t="str">
        <f>IF(E9="","","Terza coltura")</f>
        <v/>
      </c>
      <c r="F62" s="28" t="str">
        <f>IF(F9="","","Quarta coltura")</f>
        <v/>
      </c>
      <c r="H62" s="53" t="s">
        <v>83</v>
      </c>
      <c r="I62" s="17">
        <f t="array" ref="I62">_xlfn.UNIQUE(_xlfn._xlws.FILTER('(OLD) Verifica produttività'!$C$2:$C$366,'(OLD) Verifica produttività'!$C$2:$C$366&lt;&gt;0))</f>
        <v>1</v>
      </c>
      <c r="J62" s="33">
        <f t="array" ref="J62">IF(J$61="","",IF($I62="","",(IFERROR((1-INDEX(_xlfn.ANCHORARRAY($C$20),J$61,$I62)*(1-SUMIFS('(OLD) Verifica produttività'!$J$2:$J$366,'(OLD) Verifica produttività'!$C$2:$C$366,$I62,'(OLD) Verifica produttività'!$D$2:$D$366,J$61)/SUMIFS('(OLD) Verifica produttività'!$I$2:$I$366,'(OLD) Verifica produttività'!$C$2:$C$366,$I62,'(OLD) Verifica produttività'!$D$2:$D$366,J$61)))^(COUNTIFS('(OLD) Verifica produttività'!$C$2:$C$366,$I62,'(OLD) Verifica produttività'!$D$2:$D$366,J$61)/COUNTIF('(OLD) Verifica produttività'!$C$2:$C$366,$I62)),""))))</f>
        <v>1</v>
      </c>
      <c r="K62" s="33">
        <f t="array" ref="K62">IF(K$61="","",IF($I62="","",(IFERROR((1-INDEX(_xlfn.ANCHORARRAY($C$20),K$61,$I62)*(1-SUMIFS('(OLD) Verifica produttività'!$J$2:$J$366,'(OLD) Verifica produttività'!$C$2:$C$366,$I62,'(OLD) Verifica produttività'!$D$2:$D$366,K$61)/SUMIFS('(OLD) Verifica produttività'!$I$2:$I$366,'(OLD) Verifica produttività'!$C$2:$C$366,$I62,'(OLD) Verifica produttività'!$D$2:$D$366,K$61)))^(COUNTIFS('(OLD) Verifica produttività'!$C$2:$C$366,$I62,'(OLD) Verifica produttività'!$D$2:$D$366,K$61)/COUNTIF('(OLD) Verifica produttività'!$C$2:$C$366,$I62)),""))))</f>
        <v>0.99993219291545277</v>
      </c>
      <c r="L62" s="33">
        <f t="array" ref="L62">IF(L$61="","",IF($I62="","",(IFERROR((1-INDEX(_xlfn.ANCHORARRAY($C$20),L$61,$I62)*(1-SUMIFS('(OLD) Verifica produttività'!$J$2:$J$366,'(OLD) Verifica produttività'!$C$2:$C$366,$I62,'(OLD) Verifica produttività'!$D$2:$D$366,L$61)/SUMIFS('(OLD) Verifica produttività'!$I$2:$I$366,'(OLD) Verifica produttività'!$C$2:$C$366,$I62,'(OLD) Verifica produttività'!$D$2:$D$366,L$61)))^(COUNTIFS('(OLD) Verifica produttività'!$C$2:$C$366,$I62,'(OLD) Verifica produttività'!$D$2:$D$366,L$61)/COUNTIF('(OLD) Verifica produttività'!$C$2:$C$366,$I62)),""))))</f>
        <v>1</v>
      </c>
      <c r="M62" s="33">
        <f t="array" ref="M62">IF(M$61="","",IF($I62="","",(IFERROR((1-INDEX(_xlfn.ANCHORARRAY($C$20),M$61,$I62)*(1-SUMIFS('(OLD) Verifica produttività'!$J$2:$J$366,'(OLD) Verifica produttività'!$C$2:$C$366,$I62,'(OLD) Verifica produttività'!$D$2:$D$366,M$61)/SUMIFS('(OLD) Verifica produttività'!$I$2:$I$366,'(OLD) Verifica produttività'!$C$2:$C$366,$I62,'(OLD) Verifica produttività'!$D$2:$D$366,M$61)))^(COUNTIFS('(OLD) Verifica produttività'!$C$2:$C$366,$I62,'(OLD) Verifica produttività'!$D$2:$D$366,M$61)/COUNTIF('(OLD) Verifica produttività'!$C$2:$C$366,$I62)),""))))</f>
        <v>1</v>
      </c>
      <c r="N62" s="33">
        <f>IF(I62="","",PRODUCT(J62:M62))</f>
        <v>0.99993219291545277</v>
      </c>
    </row>
    <row r="63" spans="2:14">
      <c r="B63" s="17" t="s">
        <v>81</v>
      </c>
      <c r="C63" s="26">
        <f t="array" ref="C63:F63">TRANSPOSE((N62:N65))</f>
        <v>0.99993219291545277</v>
      </c>
      <c r="D63" s="26" t="str">
        <v/>
      </c>
      <c r="E63" s="17" t="str">
        <v/>
      </c>
      <c r="F63" s="17" t="str">
        <v/>
      </c>
      <c r="H63" s="54"/>
      <c r="I63" s="17"/>
      <c r="J63" s="33" t="str">
        <f t="array" ref="J63">IF(J$61="","",IF($I63="","",(IFERROR((1-INDEX(_xlfn.ANCHORARRAY($C$20),J$61,$I63)*(1-SUMIFS('(OLD) Verifica produttività'!$J$2:$J$366,'(OLD) Verifica produttività'!$C$2:$C$366,$I63,'(OLD) Verifica produttività'!$D$2:$D$366,J$61)/SUMIFS('(OLD) Verifica produttività'!$I$2:$I$366,'(OLD) Verifica produttività'!$C$2:$C$366,$I63,'(OLD) Verifica produttività'!$D$2:$D$366,J$61)))^(COUNTIFS('(OLD) Verifica produttività'!$C$2:$C$366,$I63,'(OLD) Verifica produttività'!$D$2:$D$366,J$61)/COUNTIF('(OLD) Verifica produttività'!$C$2:$C$366,$I63)),""))))</f>
        <v/>
      </c>
      <c r="K63" s="33" t="str">
        <f t="array" ref="K63">IF(K$61="","",IF($I63="","",(IFERROR((1-INDEX(_xlfn.ANCHORARRAY($C$20),K$61,$I63)*(1-SUMIFS('(OLD) Verifica produttività'!$J$2:$J$366,'(OLD) Verifica produttività'!$C$2:$C$366,$I63,'(OLD) Verifica produttività'!$D$2:$D$366,K$61)/SUMIFS('(OLD) Verifica produttività'!$I$2:$I$366,'(OLD) Verifica produttività'!$C$2:$C$366,$I63,'(OLD) Verifica produttività'!$D$2:$D$366,K$61)))^(COUNTIFS('(OLD) Verifica produttività'!$C$2:$C$366,$I63,'(OLD) Verifica produttività'!$D$2:$D$366,K$61)/COUNTIF('(OLD) Verifica produttività'!$C$2:$C$366,$I63)),""))))</f>
        <v/>
      </c>
      <c r="L63" s="33" t="str">
        <f t="array" ref="L63">IF(L$61="","",IF($I63="","",(IFERROR((1-INDEX(_xlfn.ANCHORARRAY($C$20),L$61,$I63)*(1-SUMIFS('(OLD) Verifica produttività'!$J$2:$J$366,'(OLD) Verifica produttività'!$C$2:$C$366,$I63,'(OLD) Verifica produttività'!$D$2:$D$366,L$61)/SUMIFS('(OLD) Verifica produttività'!$I$2:$I$366,'(OLD) Verifica produttività'!$C$2:$C$366,$I63,'(OLD) Verifica produttività'!$D$2:$D$366,L$61)))^(COUNTIFS('(OLD) Verifica produttività'!$C$2:$C$366,$I63,'(OLD) Verifica produttività'!$D$2:$D$366,L$61)/COUNTIF('(OLD) Verifica produttività'!$C$2:$C$366,$I63)),""))))</f>
        <v/>
      </c>
      <c r="M63" s="33" t="str">
        <f t="array" ref="M63">IF(M$61="","",IF($I63="","",(IFERROR((1-INDEX(_xlfn.ANCHORARRAY($C$20),M$61,$I63)*(1-SUMIFS('(OLD) Verifica produttività'!$J$2:$J$366,'(OLD) Verifica produttività'!$C$2:$C$366,$I63,'(OLD) Verifica produttività'!$D$2:$D$366,M$61)/SUMIFS('(OLD) Verifica produttività'!$I$2:$I$366,'(OLD) Verifica produttività'!$C$2:$C$366,$I63,'(OLD) Verifica produttività'!$D$2:$D$366,M$61)))^(COUNTIFS('(OLD) Verifica produttività'!$C$2:$C$366,$I63,'(OLD) Verifica produttività'!$D$2:$D$366,M$61)/COUNTIF('(OLD) Verifica produttività'!$C$2:$C$366,$I63)),""))))</f>
        <v/>
      </c>
      <c r="N63" s="33" t="str">
        <f>IF(I63="","",PRODUCT(J63:M63))</f>
        <v/>
      </c>
    </row>
    <row r="64" spans="2:14">
      <c r="B64" s="33" t="s">
        <v>84</v>
      </c>
      <c r="C64" s="26">
        <f>IFERROR(1-C19*(1-SUMIF('(OLD) Verifica produttività'!$C$2:$C$366,COLUMN(C64)-COLUMN($C64)+1,'(OLD) Verifica produttività'!$J$2:$J$366)/SUMIF('(OLD) Verifica produttività'!$C$2:$C$366,COLUMN(C64)-COLUMN($C64)+1,'(OLD) Verifica produttività'!$I$2:$I$366)),"")</f>
        <v>0.99990220927929374</v>
      </c>
      <c r="D64" s="26" t="str">
        <f>IFERROR(1-D19*(1-SUMIF('(OLD) Verifica produttività'!$C$2:$C$366,COLUMN(D64)-COLUMN($C64)+1,'(OLD) Verifica produttività'!$J$2:$J$366)/SUMIF('(OLD) Verifica produttività'!$C$2:$C$366,COLUMN(D64)-COLUMN($C64)+1,'(OLD) Verifica produttività'!$I$2:$I$366)),"")</f>
        <v/>
      </c>
      <c r="E64" s="26" t="str">
        <f>IFERROR(1-E19*(1-SUMIF('(OLD) Verifica produttività'!$C$2:$C$366,COLUMN(E64)-COLUMN($C64)+1,'(OLD) Verifica produttività'!$J$2:$J$366)/SUMIF('(OLD) Verifica produttività'!$C$2:$C$366,COLUMN(E64)-COLUMN($C64)+1,'(OLD) Verifica produttività'!$I$2:$I$366)),"")</f>
        <v/>
      </c>
      <c r="F64" s="26" t="str">
        <f>IFERROR(1-F19*(1-SUMIF('(OLD) Verifica produttività'!$C$2:$C$366,COLUMN(F64)-COLUMN($C64)+1,'(OLD) Verifica produttività'!$J$2:$J$366)/SUMIF('(OLD) Verifica produttività'!$C$2:$C$366,COLUMN(F64)-COLUMN($C64)+1,'(OLD) Verifica produttività'!$I$2:$I$366)),"")</f>
        <v/>
      </c>
      <c r="H64" s="54"/>
      <c r="I64" s="17"/>
      <c r="J64" s="33" t="str">
        <f t="array" ref="J64">IF(J$61="","",IF($I64="","",(IFERROR((1-INDEX(_xlfn.ANCHORARRAY($C$20),J$61,$I64)*(1-SUMIFS('(OLD) Verifica produttività'!$J$2:$J$366,'(OLD) Verifica produttività'!$C$2:$C$366,$I64,'(OLD) Verifica produttività'!$D$2:$D$366,J$61)/SUMIFS('(OLD) Verifica produttività'!$I$2:$I$366,'(OLD) Verifica produttività'!$C$2:$C$366,$I64,'(OLD) Verifica produttività'!$D$2:$D$366,J$61)))^(COUNTIFS('(OLD) Verifica produttività'!$C$2:$C$366,$I64,'(OLD) Verifica produttività'!$D$2:$D$366,J$61)/COUNTIF('(OLD) Verifica produttività'!$C$2:$C$366,$I64)),""))))</f>
        <v/>
      </c>
      <c r="K64" s="33" t="str">
        <f t="array" ref="K64">IF(K$61="","",IF($I64="","",(IFERROR((1-INDEX(_xlfn.ANCHORARRAY($C$20),K$61,$I64)*(1-SUMIFS('(OLD) Verifica produttività'!$J$2:$J$366,'(OLD) Verifica produttività'!$C$2:$C$366,$I64,'(OLD) Verifica produttività'!$D$2:$D$366,K$61)/SUMIFS('(OLD) Verifica produttività'!$I$2:$I$366,'(OLD) Verifica produttività'!$C$2:$C$366,$I64,'(OLD) Verifica produttività'!$D$2:$D$366,K$61)))^(COUNTIFS('(OLD) Verifica produttività'!$C$2:$C$366,$I64,'(OLD) Verifica produttività'!$D$2:$D$366,K$61)/COUNTIF('(OLD) Verifica produttività'!$C$2:$C$366,$I64)),""))))</f>
        <v/>
      </c>
      <c r="L64" s="33" t="str">
        <f t="array" ref="L64">IF(L$61="","",IF($I64="","",(IFERROR((1-INDEX(_xlfn.ANCHORARRAY($C$20),L$61,$I64)*(1-SUMIFS('(OLD) Verifica produttività'!$J$2:$J$366,'(OLD) Verifica produttività'!$C$2:$C$366,$I64,'(OLD) Verifica produttività'!$D$2:$D$366,L$61)/SUMIFS('(OLD) Verifica produttività'!$I$2:$I$366,'(OLD) Verifica produttività'!$C$2:$C$366,$I64,'(OLD) Verifica produttività'!$D$2:$D$366,L$61)))^(COUNTIFS('(OLD) Verifica produttività'!$C$2:$C$366,$I64,'(OLD) Verifica produttività'!$D$2:$D$366,L$61)/COUNTIF('(OLD) Verifica produttività'!$C$2:$C$366,$I64)),""))))</f>
        <v/>
      </c>
      <c r="M64" s="33" t="str">
        <f t="array" ref="M64">IF(M$61="","",IF($I64="","",(IFERROR((1-INDEX(_xlfn.ANCHORARRAY($C$20),M$61,$I64)*(1-SUMIFS('(OLD) Verifica produttività'!$J$2:$J$366,'(OLD) Verifica produttività'!$C$2:$C$366,$I64,'(OLD) Verifica produttività'!$D$2:$D$366,M$61)/SUMIFS('(OLD) Verifica produttività'!$I$2:$I$366,'(OLD) Verifica produttività'!$C$2:$C$366,$I64,'(OLD) Verifica produttività'!$D$2:$D$366,M$61)))^(COUNTIFS('(OLD) Verifica produttività'!$C$2:$C$366,$I64,'(OLD) Verifica produttività'!$D$2:$D$366,M$61)/COUNTIF('(OLD) Verifica produttività'!$C$2:$C$366,$I64)),""))))</f>
        <v/>
      </c>
      <c r="N64" s="33" t="str">
        <f>IF(I64="","",PRODUCT(J64:M64))</f>
        <v/>
      </c>
    </row>
    <row r="65" spans="2:14">
      <c r="B65" s="17" t="s">
        <v>85</v>
      </c>
      <c r="C65" s="26">
        <f t="array" ref="C65">IFERROR((SUMIF('(OLD) Verifica produttività'!$C$2:$C$366,COLUMN(C65)-COLUMN($C65)+1,'(OLD) Verifica produttività'!$M$2:$M$366))/(INDEX(IF(ROUND(0.75*_xlfn.ANCHORARRAY($C$11),0)+_xlfn.ANCHORARRAY($C$9)&gt;365,ROUND(0.75*_xlfn.ANCHORARRAY($C$11),0)+_xlfn.ANCHORARRAY($C$9)-365,ROUND(0.75*_xlfn.ANCHORARRAY($C$11),0)+_xlfn.ANCHORARRAY($C$9)+1),1,COLUMN(C65)-COLUMN($C65)+1)-INDEX(IF(ROUND(0.45*_xlfn.ANCHORARRAY($C$11),0)+_xlfn.ANCHORARRAY($C$9)&gt;365,ROUND(0.45*_xlfn.ANCHORARRAY($C$11),0)+_xlfn.ANCHORARRAY($C$9)-365,ROUND(0.45*_xlfn.ANCHORARRAY($C$11),0)+_xlfn.ANCHORARRAY($C$9)+1),1,COLUMN(C65)-COLUMN($C65)+1)),"")</f>
        <v>1</v>
      </c>
      <c r="D65" s="26" t="str">
        <f t="array" ref="D65">IFERROR((SUMIF('(OLD) Verifica produttività'!$C$2:$C$366,COLUMN(D65)-COLUMN($C65)+1,'(OLD) Verifica produttività'!$M$2:$M$366))/(INDEX(IF(ROUND(0.75*_xlfn.ANCHORARRAY($C$11),0)+_xlfn.ANCHORARRAY($C$9)&gt;365,ROUND(0.75*_xlfn.ANCHORARRAY($C$11),0)+_xlfn.ANCHORARRAY($C$9)-365,ROUND(0.75*_xlfn.ANCHORARRAY($C$11),0)+_xlfn.ANCHORARRAY($C$9)+1),1,COLUMN(D65)-COLUMN($C65)+1)-INDEX(IF(ROUND(0.45*_xlfn.ANCHORARRAY($C$11),0)+_xlfn.ANCHORARRAY($C$9)&gt;365,ROUND(0.45*_xlfn.ANCHORARRAY($C$11),0)+_xlfn.ANCHORARRAY($C$9)-365,ROUND(0.45*_xlfn.ANCHORARRAY($C$11),0)+_xlfn.ANCHORARRAY($C$9)+1),1,COLUMN(D65)-COLUMN($C65)+1)),"")</f>
        <v/>
      </c>
      <c r="E65" s="26" t="str">
        <f t="array" ref="E65">IFERROR((SUMIF('(OLD) Verifica produttività'!$C$2:$C$366,COLUMN(E65)-COLUMN($C65)+1,'(OLD) Verifica produttività'!$M$2:$M$366))/(INDEX(IF(ROUND(0.75*_xlfn.ANCHORARRAY($C$11),0)+_xlfn.ANCHORARRAY($C$9)&gt;365,ROUND(0.75*_xlfn.ANCHORARRAY($C$11),0)+_xlfn.ANCHORARRAY($C$9)-365,ROUND(0.75*_xlfn.ANCHORARRAY($C$11),0)+_xlfn.ANCHORARRAY($C$9)+1),1,COLUMN(E65)-COLUMN($C65)+1)-INDEX(IF(ROUND(0.45*_xlfn.ANCHORARRAY($C$11),0)+_xlfn.ANCHORARRAY($C$9)&gt;365,ROUND(0.45*_xlfn.ANCHORARRAY($C$11),0)+_xlfn.ANCHORARRAY($C$9)-365,ROUND(0.45*_xlfn.ANCHORARRAY($C$11),0)+_xlfn.ANCHORARRAY($C$9)+1),1,COLUMN(E65)-COLUMN($C65)+1)),"")</f>
        <v/>
      </c>
      <c r="F65" s="26" t="str">
        <f t="array" ref="F65">IFERROR((SUMIF('(OLD) Verifica produttività'!$C$2:$C$366,COLUMN(F65)-COLUMN($C65)+1,'(OLD) Verifica produttività'!$M$2:$M$366))/(INDEX(IF(ROUND(0.75*_xlfn.ANCHORARRAY($C$11),0)+_xlfn.ANCHORARRAY($C$9)&gt;365,ROUND(0.75*_xlfn.ANCHORARRAY($C$11),0)+_xlfn.ANCHORARRAY($C$9)-365,ROUND(0.75*_xlfn.ANCHORARRAY($C$11),0)+_xlfn.ANCHORARRAY($C$9)+1),1,COLUMN(F65)-COLUMN($C65)+1)-INDEX(IF(ROUND(0.45*_xlfn.ANCHORARRAY($C$11),0)+_xlfn.ANCHORARRAY($C$9)&gt;365,ROUND(0.45*_xlfn.ANCHORARRAY($C$11),0)+_xlfn.ANCHORARRAY($C$9)-365,ROUND(0.45*_xlfn.ANCHORARRAY($C$11),0)+_xlfn.ANCHORARRAY($C$9)+1),1,COLUMN(F65)-COLUMN($C65)+1)),"")</f>
        <v/>
      </c>
      <c r="H65" s="55"/>
      <c r="I65" s="17"/>
      <c r="J65" s="33" t="str">
        <f t="array" ref="J65">IF(J$61="","",IF($I65="","",(IFERROR((1-INDEX(_xlfn.ANCHORARRAY($C$20),J$61,$I65)*(1-SUMIFS('(OLD) Verifica produttività'!$J$2:$J$366,'(OLD) Verifica produttività'!$C$2:$C$366,$I65,'(OLD) Verifica produttività'!$D$2:$D$366,J$61)/SUMIFS('(OLD) Verifica produttività'!$I$2:$I$366,'(OLD) Verifica produttività'!$C$2:$C$366,$I65,'(OLD) Verifica produttività'!$D$2:$D$366,J$61)))^(COUNTIFS('(OLD) Verifica produttività'!$C$2:$C$366,$I65,'(OLD) Verifica produttività'!$D$2:$D$366,J$61)/COUNTIF('(OLD) Verifica produttività'!$C$2:$C$366,$I65)),""))))</f>
        <v/>
      </c>
      <c r="K65" s="33" t="str">
        <f t="array" ref="K65">IF(K$61="","",IF($I65="","",(IFERROR((1-INDEX(_xlfn.ANCHORARRAY($C$20),K$61,$I65)*(1-SUMIFS('(OLD) Verifica produttività'!$J$2:$J$366,'(OLD) Verifica produttività'!$C$2:$C$366,$I65,'(OLD) Verifica produttività'!$D$2:$D$366,K$61)/SUMIFS('(OLD) Verifica produttività'!$I$2:$I$366,'(OLD) Verifica produttività'!$C$2:$C$366,$I65,'(OLD) Verifica produttività'!$D$2:$D$366,K$61)))^(COUNTIFS('(OLD) Verifica produttività'!$C$2:$C$366,$I65,'(OLD) Verifica produttività'!$D$2:$D$366,K$61)/COUNTIF('(OLD) Verifica produttività'!$C$2:$C$366,$I65)),""))))</f>
        <v/>
      </c>
      <c r="L65" s="33" t="str">
        <f t="array" ref="L65">IF(L$61="","",IF($I65="","",(IFERROR((1-INDEX(_xlfn.ANCHORARRAY($C$20),L$61,$I65)*(1-SUMIFS('(OLD) Verifica produttività'!$J$2:$J$366,'(OLD) Verifica produttività'!$C$2:$C$366,$I65,'(OLD) Verifica produttività'!$D$2:$D$366,L$61)/SUMIFS('(OLD) Verifica produttività'!$I$2:$I$366,'(OLD) Verifica produttività'!$C$2:$C$366,$I65,'(OLD) Verifica produttività'!$D$2:$D$366,L$61)))^(COUNTIFS('(OLD) Verifica produttività'!$C$2:$C$366,$I65,'(OLD) Verifica produttività'!$D$2:$D$366,L$61)/COUNTIF('(OLD) Verifica produttività'!$C$2:$C$366,$I65)),""))))</f>
        <v/>
      </c>
      <c r="M65" s="33" t="str">
        <f t="array" ref="M65">IF(M$61="","",IF($I65="","",(IFERROR((1-INDEX(_xlfn.ANCHORARRAY($C$20),M$61,$I65)*(1-SUMIFS('(OLD) Verifica produttività'!$J$2:$J$366,'(OLD) Verifica produttività'!$C$2:$C$366,$I65,'(OLD) Verifica produttività'!$D$2:$D$366,M$61)/SUMIFS('(OLD) Verifica produttività'!$I$2:$I$366,'(OLD) Verifica produttività'!$C$2:$C$366,$I65,'(OLD) Verifica produttività'!$D$2:$D$366,M$61)))^(COUNTIFS('(OLD) Verifica produttività'!$C$2:$C$366,$I65,'(OLD) Verifica produttività'!$D$2:$D$366,M$61)/COUNTIF('(OLD) Verifica produttività'!$C$2:$C$366,$I65)),""))))</f>
        <v/>
      </c>
      <c r="N65" s="33" t="str">
        <f>IF(I65="","",PRODUCT(J65:M65))</f>
        <v/>
      </c>
    </row>
    <row r="66" spans="2:14">
      <c r="B66" s="17" t="s">
        <v>86</v>
      </c>
      <c r="C66" s="26">
        <f t="array" ref="C66">IFERROR(INDEX(_xlfn.ANCHORARRAY($C$24),1,COLUMN(C66)-COLUMN($C66)+1)*SUMIFS('(OLD) Verifica produttività'!$K$2:$K$366,'(OLD) Verifica produttività'!$C$2:$C$366,COLUMN(C66)-COLUMN($C66)+1),"")</f>
        <v>33.36014966265342</v>
      </c>
      <c r="D66" s="26" t="str">
        <f t="array" ref="D66">IFERROR(INDEX(_xlfn.ANCHORARRAY($C$24),1,COLUMN(D66)-COLUMN($C66)+1)*SUMIFS('(OLD) Verifica produttività'!$K$2:$K$366,'(OLD) Verifica produttività'!$C$2:$C$366,COLUMN(D66)-COLUMN($C66)+1),"")</f>
        <v/>
      </c>
      <c r="E66" s="26" t="str">
        <f t="array" ref="E66">IFERROR(INDEX(_xlfn.ANCHORARRAY($C$24),1,COLUMN(E66)-COLUMN($C66)+1)*SUMIFS('(OLD) Verifica produttività'!$K$2:$K$366,'(OLD) Verifica produttività'!$C$2:$C$366,COLUMN(E66)-COLUMN($C66)+1),"")</f>
        <v/>
      </c>
      <c r="F66" s="26" t="str">
        <f t="array" ref="F66">IFERROR(INDEX(_xlfn.ANCHORARRAY($C$24),1,COLUMN(F66)-COLUMN($C66)+1)*SUMIFS('(OLD) Verifica produttività'!$K$2:$K$366,'(OLD) Verifica produttività'!$C$2:$C$366,COLUMN(F66)-COLUMN($C66)+1),"")</f>
        <v/>
      </c>
    </row>
    <row r="67" spans="2:14">
      <c r="B67" s="17" t="s">
        <v>87</v>
      </c>
      <c r="C67" s="26">
        <f>IFERROR(C25*C66,"")</f>
        <v>15.012067348194039</v>
      </c>
      <c r="D67" s="26" t="str">
        <f>IFERROR(D25*D66,"")</f>
        <v/>
      </c>
      <c r="E67" s="26" t="str">
        <f>IFERROR(E25*E66,"")</f>
        <v/>
      </c>
      <c r="F67" s="26" t="str">
        <f>IFERROR(F25*F66,"")</f>
        <v/>
      </c>
    </row>
    <row r="68" spans="2:14">
      <c r="B68" s="17" t="s">
        <v>88</v>
      </c>
      <c r="C68" s="26">
        <f>IFERROR(C67*MIN(C63,C64)*C65,"")</f>
        <v>15.010599307308768</v>
      </c>
      <c r="D68" s="26" t="str">
        <f>IFERROR(D67*MIN(D63,D64)*D65,"")</f>
        <v/>
      </c>
      <c r="E68" s="26" t="str">
        <f>IFERROR(E67*MIN(E63,E64)*E65,"")</f>
        <v/>
      </c>
      <c r="F68" s="26" t="str">
        <f>IFERROR(F67*MIN(F63,F64)*F65,"")</f>
        <v/>
      </c>
    </row>
    <row r="74" spans="2:14">
      <c r="E74" s="12"/>
      <c r="F74" s="12"/>
    </row>
    <row r="75" spans="2:14">
      <c r="E75" s="12"/>
      <c r="F75" s="12"/>
    </row>
    <row r="78" spans="2:14">
      <c r="D78" s="12"/>
      <c r="E78" s="12"/>
      <c r="F78" s="12"/>
    </row>
    <row r="79" spans="2:14">
      <c r="D79" s="12"/>
      <c r="E79" s="12"/>
      <c r="F79" s="12"/>
    </row>
  </sheetData>
  <mergeCells count="10">
    <mergeCell ref="J60:M60"/>
    <mergeCell ref="H62:H65"/>
    <mergeCell ref="B2:C2"/>
    <mergeCell ref="H60:I61"/>
    <mergeCell ref="H2:N2"/>
    <mergeCell ref="I3:N3"/>
    <mergeCell ref="I4:J4"/>
    <mergeCell ref="L4:N4"/>
    <mergeCell ref="I5:N5"/>
    <mergeCell ref="H8:N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cp_load">
              <controlPr defaultSize="0" print="0" autoFill="0" autoPict="0" macro="LoadControlPoint">
                <anchor moveWithCells="1" sizeWithCells="1">
                  <from>
                    <xdr:col>7</xdr:col>
                    <xdr:colOff>0</xdr:colOff>
                    <xdr:row>5</xdr:row>
                    <xdr:rowOff>175260</xdr:rowOff>
                  </from>
                  <to>
                    <xdr:col>9</xdr:col>
                    <xdr:colOff>342900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p_prev">
              <controlPr defaultSize="0" print="0" autoFill="0" autoPict="0" macro="PreviousControlPoint">
                <anchor moveWithCells="1" sizeWithCells="1">
                  <from>
                    <xdr:col>10</xdr:col>
                    <xdr:colOff>7620</xdr:colOff>
                    <xdr:row>5</xdr:row>
                    <xdr:rowOff>175260</xdr:rowOff>
                  </from>
                  <to>
                    <xdr:col>11</xdr:col>
                    <xdr:colOff>525780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p_next">
              <controlPr defaultSize="0" print="0" autoFill="0" autoPict="0" macro="NextControlPoint">
                <anchor moveWithCells="1" sizeWithCells="1">
                  <from>
                    <xdr:col>12</xdr:col>
                    <xdr:colOff>15240</xdr:colOff>
                    <xdr:row>5</xdr:row>
                    <xdr:rowOff>175260</xdr:rowOff>
                  </from>
                  <to>
                    <xdr:col>13</xdr:col>
                    <xdr:colOff>533400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tabColor theme="6" tint="0.59996337778862885"/>
  </sheetPr>
  <dimension ref="A1:BU367"/>
  <sheetViews>
    <sheetView zoomScale="115" zoomScaleNormal="115" workbookViewId="0">
      <pane ySplit="1" topLeftCell="A2" activePane="bottomLeft" state="frozen"/>
      <selection pane="bottomLeft"/>
    </sheetView>
  </sheetViews>
  <sheetFormatPr defaultRowHeight="14.4"/>
  <cols>
    <col min="1" max="1" width="11.5546875" bestFit="1" customWidth="1"/>
    <col min="2" max="2" width="9.6640625" bestFit="1" customWidth="1"/>
    <col min="3" max="4" width="10.6640625" bestFit="1" customWidth="1"/>
    <col min="5" max="5" width="12.6640625" bestFit="1" customWidth="1"/>
    <col min="6" max="6" width="5.6640625" bestFit="1" customWidth="1"/>
    <col min="7" max="7" width="8.6640625" bestFit="1" customWidth="1"/>
    <col min="8" max="8" width="12.6640625" bestFit="1" customWidth="1"/>
    <col min="9" max="9" width="9.109375" bestFit="1" customWidth="1"/>
    <col min="10" max="10" width="14.6640625" bestFit="1" customWidth="1"/>
    <col min="11" max="11" width="18.88671875" bestFit="1" customWidth="1"/>
    <col min="12" max="12" width="17.33203125" bestFit="1" customWidth="1"/>
    <col min="13" max="13" width="16.5546875" bestFit="1" customWidth="1"/>
    <col min="14" max="14" width="14.6640625" bestFit="1" customWidth="1"/>
    <col min="15" max="15" width="15.109375" bestFit="1" customWidth="1"/>
    <col min="16" max="16" width="12.6640625" bestFit="1" customWidth="1"/>
    <col min="17" max="17" width="13.6640625" bestFit="1" customWidth="1"/>
    <col min="18" max="18" width="15" bestFit="1" customWidth="1"/>
    <col min="19" max="20" width="15.6640625" bestFit="1" customWidth="1"/>
    <col min="21" max="21" width="11.6640625" bestFit="1" customWidth="1"/>
    <col min="22" max="22" width="12.88671875" bestFit="1" customWidth="1"/>
    <col min="23" max="23" width="8.88671875" bestFit="1" customWidth="1"/>
    <col min="24" max="24" width="15" bestFit="1" customWidth="1"/>
    <col min="25" max="25" width="14.5546875" bestFit="1" customWidth="1"/>
    <col min="26" max="26" width="12.6640625" bestFit="1" customWidth="1"/>
    <col min="27" max="27" width="14.33203125" bestFit="1" customWidth="1"/>
    <col min="28" max="28" width="30" bestFit="1" customWidth="1"/>
    <col min="29" max="30" width="14.6640625" bestFit="1" customWidth="1"/>
    <col min="31" max="31" width="11.6640625" bestFit="1" customWidth="1"/>
    <col min="32" max="32" width="14.109375" bestFit="1" customWidth="1"/>
    <col min="33" max="34" width="11.6640625" bestFit="1" customWidth="1"/>
    <col min="35" max="35" width="19" bestFit="1" customWidth="1"/>
    <col min="36" max="36" width="12.5546875" bestFit="1" customWidth="1"/>
    <col min="37" max="37" width="16.88671875" bestFit="1" customWidth="1"/>
    <col min="38" max="39" width="11.6640625" bestFit="1" customWidth="1"/>
    <col min="40" max="40" width="12" bestFit="1" customWidth="1"/>
    <col min="41" max="42" width="8.6640625" bestFit="1" customWidth="1"/>
    <col min="43" max="43" width="8" bestFit="1" customWidth="1"/>
    <col min="44" max="45" width="8.6640625" bestFit="1" customWidth="1"/>
    <col min="46" max="47" width="9.6640625" bestFit="1" customWidth="1"/>
    <col min="48" max="48" width="11.5546875" customWidth="1"/>
    <col min="73" max="73" width="11.44140625" bestFit="1" customWidth="1"/>
  </cols>
  <sheetData>
    <row r="1" spans="1:73">
      <c r="A1" t="s">
        <v>139</v>
      </c>
      <c r="B1" t="s">
        <v>140</v>
      </c>
      <c r="C1" t="s">
        <v>141</v>
      </c>
      <c r="D1" t="s">
        <v>142</v>
      </c>
      <c r="E1" t="s">
        <v>143</v>
      </c>
      <c r="F1" t="s">
        <v>144</v>
      </c>
      <c r="G1" t="s">
        <v>145</v>
      </c>
      <c r="H1" t="s">
        <v>146</v>
      </c>
      <c r="I1" t="s">
        <v>147</v>
      </c>
      <c r="J1" t="s">
        <v>148</v>
      </c>
      <c r="K1" t="s">
        <v>149</v>
      </c>
      <c r="L1" t="s">
        <v>150</v>
      </c>
      <c r="M1" t="s">
        <v>151</v>
      </c>
      <c r="N1" t="s">
        <v>152</v>
      </c>
      <c r="O1" t="s">
        <v>153</v>
      </c>
      <c r="P1" t="s">
        <v>154</v>
      </c>
      <c r="Q1" t="s">
        <v>155</v>
      </c>
      <c r="R1" t="s">
        <v>156</v>
      </c>
      <c r="S1" t="s">
        <v>157</v>
      </c>
      <c r="T1" t="s">
        <v>158</v>
      </c>
      <c r="U1" t="s">
        <v>159</v>
      </c>
      <c r="V1" t="s">
        <v>160</v>
      </c>
      <c r="W1" t="s">
        <v>161</v>
      </c>
      <c r="X1" t="s">
        <v>162</v>
      </c>
      <c r="Y1" t="s">
        <v>163</v>
      </c>
      <c r="Z1" t="s">
        <v>164</v>
      </c>
      <c r="AA1" t="s">
        <v>165</v>
      </c>
      <c r="AB1" t="s">
        <v>166</v>
      </c>
      <c r="AC1" t="s">
        <v>167</v>
      </c>
      <c r="AD1" t="s">
        <v>168</v>
      </c>
      <c r="AE1" t="s">
        <v>169</v>
      </c>
      <c r="AF1" t="s">
        <v>170</v>
      </c>
      <c r="AG1" t="s">
        <v>171</v>
      </c>
      <c r="AH1" t="s">
        <v>172</v>
      </c>
      <c r="AI1" t="s">
        <v>173</v>
      </c>
      <c r="AJ1" t="s">
        <v>174</v>
      </c>
      <c r="AK1" t="s">
        <v>175</v>
      </c>
      <c r="AL1" t="s">
        <v>176</v>
      </c>
      <c r="AM1" t="s">
        <v>177</v>
      </c>
      <c r="AN1" t="s">
        <v>178</v>
      </c>
      <c r="AO1" t="s">
        <v>179</v>
      </c>
      <c r="AP1" t="s">
        <v>180</v>
      </c>
      <c r="AQ1" t="s">
        <v>181</v>
      </c>
      <c r="AR1" t="s">
        <v>182</v>
      </c>
      <c r="AS1" t="s">
        <v>183</v>
      </c>
      <c r="AT1" t="s">
        <v>184</v>
      </c>
      <c r="AU1" t="s">
        <v>185</v>
      </c>
      <c r="AV1" t="s">
        <v>186</v>
      </c>
    </row>
    <row r="2" spans="1:73">
      <c r="A2">
        <v>1</v>
      </c>
      <c r="B2" s="15">
        <v>12.279999999999855</v>
      </c>
      <c r="C2">
        <v>2.559999999999961</v>
      </c>
      <c r="D2">
        <v>1.0199999999999931</v>
      </c>
      <c r="E2">
        <v>0.2968442192080108</v>
      </c>
      <c r="F2">
        <v>0</v>
      </c>
      <c r="G2">
        <v>0</v>
      </c>
      <c r="H2">
        <v>0.19999999552965164</v>
      </c>
      <c r="I2">
        <v>0</v>
      </c>
      <c r="J2" s="15">
        <v>12.279999999999855</v>
      </c>
      <c r="K2" s="15">
        <v>12.279999999999855</v>
      </c>
      <c r="L2" s="15">
        <v>11.817302522094456</v>
      </c>
      <c r="M2">
        <v>0</v>
      </c>
      <c r="N2">
        <v>0.46269747790539856</v>
      </c>
      <c r="O2" s="15">
        <v>11.817302874277518</v>
      </c>
      <c r="P2">
        <v>0.35621307224742799</v>
      </c>
      <c r="Q2">
        <v>0.35621307224742799</v>
      </c>
      <c r="R2">
        <v>0</v>
      </c>
      <c r="S2">
        <v>0</v>
      </c>
      <c r="T2">
        <v>0.49087775584777443</v>
      </c>
      <c r="U2">
        <v>30.490212046182318</v>
      </c>
      <c r="V2">
        <v>0</v>
      </c>
      <c r="W2">
        <v>0</v>
      </c>
      <c r="X2">
        <v>0</v>
      </c>
      <c r="Y2">
        <v>0</v>
      </c>
      <c r="Z2">
        <v>0.87943183869329289</v>
      </c>
      <c r="AA2">
        <v>0.9</v>
      </c>
      <c r="AB2">
        <v>1.1000000000000001</v>
      </c>
      <c r="AC2">
        <v>0</v>
      </c>
      <c r="AD2">
        <v>1.6849532340524331E-2</v>
      </c>
      <c r="AE2">
        <v>196.94402822350727</v>
      </c>
      <c r="AF2">
        <v>196.47</v>
      </c>
      <c r="AG2">
        <v>236.58200040273368</v>
      </c>
      <c r="AH2">
        <v>177.38000028766692</v>
      </c>
      <c r="AI2">
        <v>2.1</v>
      </c>
      <c r="AJ2">
        <v>0</v>
      </c>
      <c r="AK2">
        <v>0</v>
      </c>
      <c r="AL2">
        <v>1</v>
      </c>
      <c r="AM2">
        <v>1</v>
      </c>
      <c r="AN2">
        <v>0</v>
      </c>
      <c r="AO2">
        <v>1</v>
      </c>
      <c r="AP2">
        <v>0</v>
      </c>
      <c r="AQ2">
        <v>0</v>
      </c>
      <c r="AR2">
        <v>69.3</v>
      </c>
      <c r="AS2">
        <v>115.2</v>
      </c>
      <c r="AT2">
        <v>231.3</v>
      </c>
      <c r="AU2">
        <v>426.59999999999997</v>
      </c>
      <c r="AV2">
        <v>30</v>
      </c>
    </row>
    <row r="3" spans="1:73">
      <c r="A3">
        <v>2</v>
      </c>
      <c r="B3" s="15">
        <v>23.639999999999752</v>
      </c>
      <c r="C3">
        <v>4.9999999999999414</v>
      </c>
      <c r="D3">
        <v>2.1799999999999784</v>
      </c>
      <c r="E3">
        <v>0.30502590665286067</v>
      </c>
      <c r="F3">
        <v>0</v>
      </c>
      <c r="G3">
        <v>0</v>
      </c>
      <c r="H3">
        <v>0.18575147295823383</v>
      </c>
      <c r="I3">
        <v>0</v>
      </c>
      <c r="J3" s="15">
        <v>23.639999999999752</v>
      </c>
      <c r="K3" s="15">
        <v>23.639999999999752</v>
      </c>
      <c r="L3" s="15">
        <v>11.635190322157975</v>
      </c>
      <c r="M3">
        <v>0</v>
      </c>
      <c r="N3">
        <v>12.004809677841777</v>
      </c>
      <c r="O3" s="15">
        <v>11.635190668913665</v>
      </c>
      <c r="P3">
        <v>0.36603109743470763</v>
      </c>
      <c r="Q3">
        <v>0.36603109743470763</v>
      </c>
      <c r="R3">
        <v>0</v>
      </c>
      <c r="S3">
        <v>0</v>
      </c>
      <c r="T3" s="15">
        <v>6.763115199382332</v>
      </c>
      <c r="U3">
        <v>34.996256418278961</v>
      </c>
      <c r="V3">
        <v>0</v>
      </c>
      <c r="W3">
        <v>0</v>
      </c>
      <c r="X3">
        <v>0</v>
      </c>
      <c r="Y3">
        <v>0</v>
      </c>
      <c r="Z3">
        <v>0.93260973229033051</v>
      </c>
      <c r="AA3">
        <v>0.9</v>
      </c>
      <c r="AB3">
        <v>1.1000000000000001</v>
      </c>
      <c r="AC3">
        <v>0</v>
      </c>
      <c r="AD3">
        <v>2.1240782223899354E-2</v>
      </c>
      <c r="AE3">
        <v>203.68590264066572</v>
      </c>
      <c r="AF3">
        <v>196.9440282235073</v>
      </c>
      <c r="AG3">
        <v>237.86564980119275</v>
      </c>
      <c r="AH3">
        <v>178.29689271513766</v>
      </c>
      <c r="AI3">
        <v>2.1</v>
      </c>
      <c r="AJ3">
        <v>0</v>
      </c>
      <c r="AK3">
        <v>0</v>
      </c>
      <c r="AL3">
        <v>1</v>
      </c>
      <c r="AM3">
        <v>1</v>
      </c>
      <c r="AN3">
        <v>0</v>
      </c>
      <c r="AO3">
        <v>1</v>
      </c>
      <c r="AP3">
        <v>0</v>
      </c>
      <c r="AQ3">
        <v>0</v>
      </c>
      <c r="AR3">
        <v>69.3</v>
      </c>
      <c r="AS3">
        <v>115.2</v>
      </c>
      <c r="AT3">
        <v>231.3</v>
      </c>
      <c r="AU3">
        <v>426.59999999999997</v>
      </c>
      <c r="AV3">
        <v>30</v>
      </c>
    </row>
    <row r="4" spans="1:73">
      <c r="A4">
        <v>3</v>
      </c>
      <c r="B4">
        <v>6.4799999999999125</v>
      </c>
      <c r="C4">
        <v>8.7199999999998852</v>
      </c>
      <c r="D4">
        <v>3.5199999999999703</v>
      </c>
      <c r="E4">
        <v>0.23241082565946319</v>
      </c>
      <c r="F4">
        <v>0</v>
      </c>
      <c r="G4">
        <v>0</v>
      </c>
      <c r="H4">
        <v>0.18535875195952062</v>
      </c>
      <c r="I4">
        <v>0</v>
      </c>
      <c r="J4">
        <v>6.4799999999999125</v>
      </c>
      <c r="K4">
        <v>6.4799999999999125</v>
      </c>
      <c r="L4">
        <v>5.795830241289317</v>
      </c>
      <c r="M4">
        <v>0</v>
      </c>
      <c r="N4" s="15">
        <v>0.68416975871059582</v>
      </c>
      <c r="O4">
        <v>5.7958304140185195</v>
      </c>
      <c r="P4">
        <v>0.27889299799259398</v>
      </c>
      <c r="Q4">
        <v>0.27889299799259398</v>
      </c>
      <c r="R4">
        <v>0</v>
      </c>
      <c r="S4">
        <v>0</v>
      </c>
      <c r="T4" s="15">
        <v>7.1983099561671313</v>
      </c>
      <c r="U4">
        <v>33.314883878137763</v>
      </c>
      <c r="V4">
        <v>0</v>
      </c>
      <c r="W4">
        <v>0</v>
      </c>
      <c r="X4">
        <v>0</v>
      </c>
      <c r="Y4">
        <v>0</v>
      </c>
      <c r="Z4">
        <v>1</v>
      </c>
      <c r="AA4">
        <v>0.9</v>
      </c>
      <c r="AB4">
        <v>1.1000000000000001</v>
      </c>
      <c r="AC4">
        <v>0</v>
      </c>
      <c r="AD4">
        <v>3.7572274649621484E-2</v>
      </c>
      <c r="AE4">
        <v>210.84664032218322</v>
      </c>
      <c r="AF4">
        <v>203.68590264066572</v>
      </c>
      <c r="AG4">
        <v>237.90103003596681</v>
      </c>
      <c r="AH4">
        <v>178.32216431140486</v>
      </c>
      <c r="AI4">
        <v>2.1</v>
      </c>
      <c r="AJ4">
        <v>0</v>
      </c>
      <c r="AK4">
        <v>0</v>
      </c>
      <c r="AL4">
        <v>1</v>
      </c>
      <c r="AM4">
        <v>1</v>
      </c>
      <c r="AN4">
        <v>0</v>
      </c>
      <c r="AO4">
        <v>1</v>
      </c>
      <c r="AP4">
        <v>0</v>
      </c>
      <c r="AQ4">
        <v>0</v>
      </c>
      <c r="AR4">
        <v>69.3</v>
      </c>
      <c r="AS4">
        <v>115.2</v>
      </c>
      <c r="AT4">
        <v>231.3</v>
      </c>
      <c r="AU4">
        <v>426.59999999999997</v>
      </c>
      <c r="AV4">
        <v>30</v>
      </c>
    </row>
    <row r="5" spans="1:73">
      <c r="A5">
        <v>4</v>
      </c>
      <c r="B5">
        <v>7.4399999999999142</v>
      </c>
      <c r="C5">
        <v>6.5599999999999046</v>
      </c>
      <c r="D5">
        <v>4.6999999999999371</v>
      </c>
      <c r="E5">
        <v>0.31225401808139308</v>
      </c>
      <c r="F5">
        <v>0</v>
      </c>
      <c r="G5">
        <v>0</v>
      </c>
      <c r="H5">
        <v>0.18884427585929764</v>
      </c>
      <c r="I5">
        <v>0</v>
      </c>
      <c r="J5">
        <v>7.4399999999999142</v>
      </c>
      <c r="K5">
        <v>7.4399999999999142</v>
      </c>
      <c r="L5">
        <v>6.3929100784333794</v>
      </c>
      <c r="M5">
        <v>0</v>
      </c>
      <c r="N5">
        <v>1.047089921566535</v>
      </c>
      <c r="O5">
        <v>6.3929102689569461</v>
      </c>
      <c r="P5">
        <v>0.37470483137277266</v>
      </c>
      <c r="Q5">
        <v>0.37470483137277266</v>
      </c>
      <c r="R5">
        <v>0</v>
      </c>
      <c r="S5">
        <v>0</v>
      </c>
      <c r="T5" s="15">
        <v>5.9868190061242883</v>
      </c>
      <c r="U5">
        <v>33.346270309597656</v>
      </c>
      <c r="V5">
        <v>0</v>
      </c>
      <c r="W5">
        <v>0</v>
      </c>
      <c r="X5">
        <v>0</v>
      </c>
      <c r="Y5">
        <v>0</v>
      </c>
      <c r="Z5">
        <v>1</v>
      </c>
      <c r="AA5">
        <v>0.9</v>
      </c>
      <c r="AB5">
        <v>1.1000000000000001</v>
      </c>
      <c r="AC5">
        <v>0</v>
      </c>
      <c r="AD5">
        <v>5.7227191802869906E-2</v>
      </c>
      <c r="AE5">
        <v>216.77623213650466</v>
      </c>
      <c r="AF5">
        <v>210.84664032218322</v>
      </c>
      <c r="AG5">
        <v>237.58701918783589</v>
      </c>
      <c r="AH5">
        <v>178.09787084845422</v>
      </c>
      <c r="AI5">
        <v>2.1</v>
      </c>
      <c r="AJ5">
        <v>0</v>
      </c>
      <c r="AK5">
        <v>0</v>
      </c>
      <c r="AL5">
        <v>1</v>
      </c>
      <c r="AM5">
        <v>1</v>
      </c>
      <c r="AN5">
        <v>0</v>
      </c>
      <c r="AO5">
        <v>1</v>
      </c>
      <c r="AP5">
        <v>0</v>
      </c>
      <c r="AQ5">
        <v>0</v>
      </c>
      <c r="AR5">
        <v>69.3</v>
      </c>
      <c r="AS5">
        <v>115.2</v>
      </c>
      <c r="AT5">
        <v>231.3</v>
      </c>
      <c r="AU5">
        <v>426.59999999999997</v>
      </c>
      <c r="AV5">
        <v>30</v>
      </c>
    </row>
    <row r="6" spans="1:73">
      <c r="A6">
        <v>5</v>
      </c>
      <c r="B6">
        <v>3.9999999999998965</v>
      </c>
      <c r="C6">
        <v>6.8999999999999027</v>
      </c>
      <c r="D6" s="15">
        <v>2.9199999999999577</v>
      </c>
      <c r="E6">
        <v>0.37866394554597321</v>
      </c>
      <c r="F6">
        <v>0</v>
      </c>
      <c r="G6">
        <v>0</v>
      </c>
      <c r="H6">
        <v>0.18501180260975295</v>
      </c>
      <c r="I6">
        <v>0</v>
      </c>
      <c r="J6">
        <v>3.9999999999998965</v>
      </c>
      <c r="K6">
        <v>3.9999999999998965</v>
      </c>
      <c r="L6">
        <v>3.9297085015921431</v>
      </c>
      <c r="M6">
        <v>0</v>
      </c>
      <c r="N6">
        <v>7.02914984077532E-2</v>
      </c>
      <c r="O6">
        <v>3.9297086187065799</v>
      </c>
      <c r="P6">
        <v>0.45439674638785482</v>
      </c>
      <c r="Q6">
        <v>0.45439674638785482</v>
      </c>
      <c r="R6">
        <v>0</v>
      </c>
      <c r="S6">
        <v>0</v>
      </c>
      <c r="T6" s="15">
        <v>4.6718650890384401</v>
      </c>
      <c r="U6">
        <v>32.149717092877943</v>
      </c>
      <c r="V6">
        <v>0</v>
      </c>
      <c r="W6">
        <v>0</v>
      </c>
      <c r="X6">
        <v>0</v>
      </c>
      <c r="Y6">
        <v>0</v>
      </c>
      <c r="Z6">
        <v>1</v>
      </c>
      <c r="AA6">
        <v>0.9</v>
      </c>
      <c r="AB6">
        <v>1.1000000000000001</v>
      </c>
      <c r="AC6">
        <v>0</v>
      </c>
      <c r="AD6">
        <v>8.1342504599141455E-2</v>
      </c>
      <c r="AE6">
        <v>221.36675472094399</v>
      </c>
      <c r="AF6">
        <v>216.77623213650466</v>
      </c>
      <c r="AG6">
        <v>237.93228670288735</v>
      </c>
      <c r="AH6">
        <v>178.3444905020624</v>
      </c>
      <c r="AI6">
        <v>2.1</v>
      </c>
      <c r="AJ6">
        <v>0</v>
      </c>
      <c r="AK6">
        <v>0</v>
      </c>
      <c r="AL6">
        <v>1</v>
      </c>
      <c r="AM6">
        <v>1</v>
      </c>
      <c r="AN6">
        <v>0</v>
      </c>
      <c r="AO6">
        <v>1</v>
      </c>
      <c r="AP6">
        <v>0</v>
      </c>
      <c r="AQ6">
        <v>0</v>
      </c>
      <c r="AR6">
        <v>69.3</v>
      </c>
      <c r="AS6">
        <v>115.2</v>
      </c>
      <c r="AT6">
        <v>231.3</v>
      </c>
      <c r="AU6">
        <v>426.59999999999997</v>
      </c>
      <c r="AV6">
        <v>30</v>
      </c>
    </row>
    <row r="7" spans="1:73">
      <c r="A7">
        <v>6</v>
      </c>
      <c r="B7">
        <v>2.3599999999999763</v>
      </c>
      <c r="C7">
        <v>5.1199999999999175</v>
      </c>
      <c r="D7">
        <v>2.4799999999999658</v>
      </c>
      <c r="E7">
        <v>0.33193167567098736</v>
      </c>
      <c r="F7">
        <v>0</v>
      </c>
      <c r="G7">
        <v>0</v>
      </c>
      <c r="H7">
        <v>0.1818241260803998</v>
      </c>
      <c r="I7">
        <v>0</v>
      </c>
      <c r="J7">
        <v>2.3599999999999763</v>
      </c>
      <c r="K7">
        <v>2.3599999999999763</v>
      </c>
      <c r="L7">
        <v>2.3599999999999763</v>
      </c>
      <c r="M7">
        <v>0</v>
      </c>
      <c r="N7">
        <v>0</v>
      </c>
      <c r="O7">
        <v>2.3600000703334567</v>
      </c>
      <c r="P7">
        <v>0.39831802108978898</v>
      </c>
      <c r="Q7">
        <v>0.39831802108978898</v>
      </c>
      <c r="R7">
        <v>0</v>
      </c>
      <c r="S7">
        <v>0</v>
      </c>
      <c r="T7" s="15">
        <v>3.1281223168963908</v>
      </c>
      <c r="U7">
        <v>30.983276825225236</v>
      </c>
      <c r="V7">
        <v>0</v>
      </c>
      <c r="W7">
        <v>0</v>
      </c>
      <c r="X7">
        <v>0</v>
      </c>
      <c r="Y7">
        <v>0</v>
      </c>
      <c r="Z7">
        <v>1</v>
      </c>
      <c r="AA7">
        <v>0.9</v>
      </c>
      <c r="AB7">
        <v>1.1000000000000001</v>
      </c>
      <c r="AC7">
        <v>0</v>
      </c>
      <c r="AD7">
        <v>0.10300552691881741</v>
      </c>
      <c r="AE7">
        <v>224.39187151092156</v>
      </c>
      <c r="AF7">
        <v>221.36675472094399</v>
      </c>
      <c r="AG7">
        <v>238.21946448141679</v>
      </c>
      <c r="AH7">
        <v>178.54961748672625</v>
      </c>
      <c r="AI7">
        <v>2.1</v>
      </c>
      <c r="AJ7">
        <v>0</v>
      </c>
      <c r="AK7">
        <v>0</v>
      </c>
      <c r="AL7">
        <v>1</v>
      </c>
      <c r="AM7">
        <v>1</v>
      </c>
      <c r="AN7">
        <v>0</v>
      </c>
      <c r="AO7">
        <v>1</v>
      </c>
      <c r="AP7">
        <v>0</v>
      </c>
      <c r="AQ7">
        <v>0</v>
      </c>
      <c r="AR7">
        <v>69.3</v>
      </c>
      <c r="AS7">
        <v>115.2</v>
      </c>
      <c r="AT7">
        <v>231.3</v>
      </c>
      <c r="AU7">
        <v>426.59999999999997</v>
      </c>
      <c r="AV7">
        <v>30</v>
      </c>
    </row>
    <row r="8" spans="1:73">
      <c r="A8">
        <v>7</v>
      </c>
      <c r="B8">
        <v>7.9999999999999724E-2</v>
      </c>
      <c r="C8">
        <v>6.5999999999998931</v>
      </c>
      <c r="D8">
        <v>1.8199999999999732</v>
      </c>
      <c r="E8">
        <v>0.38470107276590348</v>
      </c>
      <c r="F8">
        <v>0</v>
      </c>
      <c r="G8">
        <v>0</v>
      </c>
      <c r="H8">
        <v>0.18406727504218415</v>
      </c>
      <c r="I8">
        <v>0</v>
      </c>
      <c r="J8">
        <v>7.9999999999999724E-2</v>
      </c>
      <c r="K8">
        <v>7.9999999999999724E-2</v>
      </c>
      <c r="L8">
        <v>7.9999999999999724E-2</v>
      </c>
      <c r="M8">
        <v>0</v>
      </c>
      <c r="N8">
        <v>0</v>
      </c>
      <c r="O8">
        <v>8.000000238418549E-2</v>
      </c>
      <c r="P8">
        <v>0.46164129923855007</v>
      </c>
      <c r="Q8">
        <v>0.46164129923855007</v>
      </c>
      <c r="R8">
        <v>0</v>
      </c>
      <c r="S8">
        <v>0</v>
      </c>
      <c r="T8" s="15">
        <v>1.721842299820217</v>
      </c>
      <c r="U8">
        <v>28.879793228550653</v>
      </c>
      <c r="V8">
        <v>0</v>
      </c>
      <c r="W8">
        <v>0</v>
      </c>
      <c r="X8">
        <v>0</v>
      </c>
      <c r="Y8">
        <v>0</v>
      </c>
      <c r="Z8">
        <v>1</v>
      </c>
      <c r="AA8">
        <v>0.9</v>
      </c>
      <c r="AB8">
        <v>1.1000000000000001</v>
      </c>
      <c r="AC8">
        <v>0</v>
      </c>
      <c r="AD8">
        <v>0.11888282372134787</v>
      </c>
      <c r="AE8">
        <v>225.99483098702041</v>
      </c>
      <c r="AF8">
        <v>224.39187151092159</v>
      </c>
      <c r="AG8">
        <v>238.01737919144963</v>
      </c>
      <c r="AH8">
        <v>178.40527085103545</v>
      </c>
      <c r="AI8">
        <v>2.1</v>
      </c>
      <c r="AJ8">
        <v>0</v>
      </c>
      <c r="AK8">
        <v>0</v>
      </c>
      <c r="AL8">
        <v>1</v>
      </c>
      <c r="AM8">
        <v>1</v>
      </c>
      <c r="AN8">
        <v>0</v>
      </c>
      <c r="AO8">
        <v>1</v>
      </c>
      <c r="AP8">
        <v>0</v>
      </c>
      <c r="AQ8">
        <v>0</v>
      </c>
      <c r="AR8">
        <v>69.3</v>
      </c>
      <c r="AS8">
        <v>115.2</v>
      </c>
      <c r="AT8">
        <v>231.3</v>
      </c>
      <c r="AU8">
        <v>426.59999999999997</v>
      </c>
      <c r="AV8">
        <v>30</v>
      </c>
    </row>
    <row r="9" spans="1:73">
      <c r="A9">
        <v>8</v>
      </c>
      <c r="B9">
        <v>0</v>
      </c>
      <c r="C9">
        <v>6.6199999999999006</v>
      </c>
      <c r="D9">
        <v>-2.2599999999999612</v>
      </c>
      <c r="E9">
        <v>0.15715295740200816</v>
      </c>
      <c r="F9">
        <v>0</v>
      </c>
      <c r="G9">
        <v>0</v>
      </c>
      <c r="H9">
        <v>0.18153434397284915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0.18858355375151858</v>
      </c>
      <c r="Q9">
        <v>0.18858355375151858</v>
      </c>
      <c r="R9">
        <v>0</v>
      </c>
      <c r="S9">
        <v>0</v>
      </c>
      <c r="T9" s="15">
        <v>0.91463227816850445</v>
      </c>
      <c r="U9">
        <v>27.776577396630621</v>
      </c>
      <c r="V9">
        <v>0</v>
      </c>
      <c r="W9">
        <v>0</v>
      </c>
      <c r="X9">
        <v>0</v>
      </c>
      <c r="Y9">
        <v>0</v>
      </c>
      <c r="Z9">
        <v>1</v>
      </c>
      <c r="AA9">
        <v>0.9</v>
      </c>
      <c r="AB9">
        <v>1.1000000000000001</v>
      </c>
      <c r="AC9">
        <v>0</v>
      </c>
      <c r="AD9">
        <v>0.12723653158731307</v>
      </c>
      <c r="AE9">
        <v>226.78222673360165</v>
      </c>
      <c r="AF9">
        <v>225.99483098702041</v>
      </c>
      <c r="AG9">
        <v>238.24557095148603</v>
      </c>
      <c r="AH9">
        <v>178.56826496534717</v>
      </c>
      <c r="AI9">
        <v>2.1</v>
      </c>
      <c r="AJ9">
        <v>0</v>
      </c>
      <c r="AK9">
        <v>0</v>
      </c>
      <c r="AL9">
        <v>1</v>
      </c>
      <c r="AM9">
        <v>1</v>
      </c>
      <c r="AN9">
        <v>0</v>
      </c>
      <c r="AO9">
        <v>1</v>
      </c>
      <c r="AP9">
        <v>0</v>
      </c>
      <c r="AQ9">
        <v>0</v>
      </c>
      <c r="AR9">
        <v>69.3</v>
      </c>
      <c r="AS9">
        <v>115.2</v>
      </c>
      <c r="AT9">
        <v>231.3</v>
      </c>
      <c r="AU9">
        <v>426.59999999999997</v>
      </c>
      <c r="AV9">
        <v>30</v>
      </c>
    </row>
    <row r="10" spans="1:73">
      <c r="A10">
        <v>9</v>
      </c>
      <c r="B10" s="15">
        <v>0</v>
      </c>
      <c r="C10">
        <v>5.4799999999999267</v>
      </c>
      <c r="D10">
        <v>-1.9399999999999664</v>
      </c>
      <c r="E10">
        <v>0.36296888760609419</v>
      </c>
      <c r="F10">
        <v>0</v>
      </c>
      <c r="G10">
        <v>0</v>
      </c>
      <c r="H10">
        <v>0.19245665354819771</v>
      </c>
      <c r="I10">
        <v>0</v>
      </c>
      <c r="J10" s="15">
        <v>0</v>
      </c>
      <c r="K10" s="15">
        <v>0</v>
      </c>
      <c r="L10" s="15">
        <v>0</v>
      </c>
      <c r="M10">
        <v>0</v>
      </c>
      <c r="N10">
        <v>0</v>
      </c>
      <c r="O10" s="15">
        <v>0</v>
      </c>
      <c r="P10">
        <v>0.43556267637306906</v>
      </c>
      <c r="Q10">
        <v>0.43556267637306906</v>
      </c>
      <c r="R10">
        <v>0</v>
      </c>
      <c r="S10">
        <v>0</v>
      </c>
      <c r="T10" s="15">
        <v>0.58536093865914418</v>
      </c>
      <c r="U10">
        <v>26.755653781598415</v>
      </c>
      <c r="V10">
        <v>0</v>
      </c>
      <c r="W10">
        <v>0</v>
      </c>
      <c r="X10">
        <v>0</v>
      </c>
      <c r="Y10">
        <v>0</v>
      </c>
      <c r="Z10">
        <v>1</v>
      </c>
      <c r="AA10">
        <v>0.9</v>
      </c>
      <c r="AB10">
        <v>1.1000000000000001</v>
      </c>
      <c r="AC10">
        <v>0</v>
      </c>
      <c r="AD10">
        <v>0.13206213968787331</v>
      </c>
      <c r="AE10">
        <v>227.23552553257292</v>
      </c>
      <c r="AF10">
        <v>226.78222673360162</v>
      </c>
      <c r="AG10">
        <v>237.26158008184288</v>
      </c>
      <c r="AH10">
        <v>177.86541434417347</v>
      </c>
      <c r="AI10">
        <v>2.1</v>
      </c>
      <c r="AJ10">
        <v>0</v>
      </c>
      <c r="AK10">
        <v>0</v>
      </c>
      <c r="AL10">
        <v>1</v>
      </c>
      <c r="AM10">
        <v>1</v>
      </c>
      <c r="AN10">
        <v>0</v>
      </c>
      <c r="AO10">
        <v>1</v>
      </c>
      <c r="AP10">
        <v>0</v>
      </c>
      <c r="AQ10">
        <v>0</v>
      </c>
      <c r="AR10">
        <v>69.3</v>
      </c>
      <c r="AS10">
        <v>115.2</v>
      </c>
      <c r="AT10">
        <v>231.3</v>
      </c>
      <c r="AU10">
        <v>426.59999999999997</v>
      </c>
      <c r="AV10">
        <v>30</v>
      </c>
    </row>
    <row r="11" spans="1:73">
      <c r="A11">
        <v>10</v>
      </c>
      <c r="B11">
        <v>0</v>
      </c>
      <c r="C11">
        <v>4.4199999999999315</v>
      </c>
      <c r="D11">
        <v>-3.2399999999999523</v>
      </c>
      <c r="E11">
        <v>0.4237972662065857</v>
      </c>
      <c r="F11">
        <v>0</v>
      </c>
      <c r="G11">
        <v>0</v>
      </c>
      <c r="H11">
        <v>0.18257748886415229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0.50855673257801104</v>
      </c>
      <c r="Q11">
        <v>0.50855673257801104</v>
      </c>
      <c r="R11">
        <v>0</v>
      </c>
      <c r="S11">
        <v>0</v>
      </c>
      <c r="T11" s="15">
        <v>0.38220644755256905</v>
      </c>
      <c r="U11">
        <v>25.864890601467845</v>
      </c>
      <c r="V11">
        <v>0</v>
      </c>
      <c r="W11">
        <v>0</v>
      </c>
      <c r="X11">
        <v>0</v>
      </c>
      <c r="Y11">
        <v>0</v>
      </c>
      <c r="Z11">
        <v>1</v>
      </c>
      <c r="AA11">
        <v>0.9</v>
      </c>
      <c r="AB11">
        <v>1.1000000000000001</v>
      </c>
      <c r="AC11">
        <v>0</v>
      </c>
      <c r="AD11">
        <v>0.13483675485275523</v>
      </c>
      <c r="AE11">
        <v>227.48289522527276</v>
      </c>
      <c r="AF11">
        <v>227.23552553257292</v>
      </c>
      <c r="AG11">
        <v>238.15159402822854</v>
      </c>
      <c r="AH11">
        <v>178.5011385915918</v>
      </c>
      <c r="AI11">
        <v>2.1</v>
      </c>
      <c r="AJ11">
        <v>0</v>
      </c>
      <c r="AK11">
        <v>0</v>
      </c>
      <c r="AL11">
        <v>1</v>
      </c>
      <c r="AM11">
        <v>1</v>
      </c>
      <c r="AN11">
        <v>0</v>
      </c>
      <c r="AO11">
        <v>1</v>
      </c>
      <c r="AP11">
        <v>0</v>
      </c>
      <c r="AQ11">
        <v>0</v>
      </c>
      <c r="AR11">
        <v>69.3</v>
      </c>
      <c r="AS11">
        <v>115.2</v>
      </c>
      <c r="AT11">
        <v>231.3</v>
      </c>
      <c r="AU11">
        <v>426.59999999999997</v>
      </c>
      <c r="AV11">
        <v>30</v>
      </c>
    </row>
    <row r="12" spans="1:73">
      <c r="A12">
        <v>11</v>
      </c>
      <c r="B12" s="15">
        <v>7.9999999999999724E-2</v>
      </c>
      <c r="C12">
        <v>5.399999999999924</v>
      </c>
      <c r="D12">
        <v>-4.6399999999999242</v>
      </c>
      <c r="E12">
        <v>0.1936855334101909</v>
      </c>
      <c r="F12">
        <v>0</v>
      </c>
      <c r="G12">
        <v>0</v>
      </c>
      <c r="H12">
        <v>0.17965772668121635</v>
      </c>
      <c r="I12">
        <v>0</v>
      </c>
      <c r="J12" s="15">
        <v>7.9999999999999724E-2</v>
      </c>
      <c r="K12" s="15">
        <v>7.9999999999999724E-2</v>
      </c>
      <c r="L12" s="15">
        <v>7.9999999999999724E-2</v>
      </c>
      <c r="M12">
        <v>0</v>
      </c>
      <c r="N12">
        <v>0</v>
      </c>
      <c r="O12" s="15">
        <v>8.000000238418549E-2</v>
      </c>
      <c r="P12">
        <v>0.23242264609285479</v>
      </c>
      <c r="Q12">
        <v>0.23242264609285479</v>
      </c>
      <c r="R12">
        <v>0</v>
      </c>
      <c r="S12">
        <v>0</v>
      </c>
      <c r="T12" s="15">
        <v>0.27960225808381328</v>
      </c>
      <c r="U12">
        <v>25.432865699675361</v>
      </c>
      <c r="V12">
        <v>0</v>
      </c>
      <c r="W12">
        <v>0</v>
      </c>
      <c r="X12">
        <v>0</v>
      </c>
      <c r="Y12">
        <v>0</v>
      </c>
      <c r="Z12">
        <v>1</v>
      </c>
      <c r="AA12">
        <v>0.9</v>
      </c>
      <c r="AB12">
        <v>1.1000000000000001</v>
      </c>
      <c r="AC12">
        <v>0</v>
      </c>
      <c r="AD12">
        <v>0.13636402617896043</v>
      </c>
      <c r="AE12">
        <v>227.62613345717762</v>
      </c>
      <c r="AF12">
        <v>227.48289522527273</v>
      </c>
      <c r="AG12">
        <v>238.41463540328925</v>
      </c>
      <c r="AH12">
        <v>178.68902528806373</v>
      </c>
      <c r="AI12">
        <v>2.1</v>
      </c>
      <c r="AJ12">
        <v>0</v>
      </c>
      <c r="AK12">
        <v>0</v>
      </c>
      <c r="AL12">
        <v>1</v>
      </c>
      <c r="AM12">
        <v>1</v>
      </c>
      <c r="AN12">
        <v>0</v>
      </c>
      <c r="AO12">
        <v>1</v>
      </c>
      <c r="AP12">
        <v>0</v>
      </c>
      <c r="AQ12">
        <v>0</v>
      </c>
      <c r="AR12">
        <v>69.3</v>
      </c>
      <c r="AS12">
        <v>115.2</v>
      </c>
      <c r="AT12">
        <v>231.3</v>
      </c>
      <c r="AU12">
        <v>426.59999999999997</v>
      </c>
      <c r="AV12">
        <v>30</v>
      </c>
    </row>
    <row r="13" spans="1:73">
      <c r="A13">
        <v>12</v>
      </c>
      <c r="B13">
        <v>0</v>
      </c>
      <c r="C13">
        <v>5.399999999999924</v>
      </c>
      <c r="D13">
        <v>-4.4999999999999272</v>
      </c>
      <c r="E13">
        <v>0.34309907195468714</v>
      </c>
      <c r="F13">
        <v>0</v>
      </c>
      <c r="G13">
        <v>0</v>
      </c>
      <c r="H13">
        <v>0.19070308989373949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0.41171889697495823</v>
      </c>
      <c r="Q13">
        <v>0.41171889697495823</v>
      </c>
      <c r="R13">
        <v>0</v>
      </c>
      <c r="S13">
        <v>0</v>
      </c>
      <c r="T13" s="15">
        <v>0.21712464927288497</v>
      </c>
      <c r="U13">
        <v>24.80402215342751</v>
      </c>
      <c r="V13">
        <v>0</v>
      </c>
      <c r="W13">
        <v>0</v>
      </c>
      <c r="X13">
        <v>0</v>
      </c>
      <c r="Y13">
        <v>0</v>
      </c>
      <c r="Z13">
        <v>1</v>
      </c>
      <c r="AA13">
        <v>0.9</v>
      </c>
      <c r="AB13">
        <v>1.1000000000000001</v>
      </c>
      <c r="AC13">
        <v>0</v>
      </c>
      <c r="AD13">
        <v>0.13730374418371746</v>
      </c>
      <c r="AE13">
        <v>227.70595436226688</v>
      </c>
      <c r="AF13">
        <v>227.62613345717764</v>
      </c>
      <c r="AG13">
        <v>237.41955863147302</v>
      </c>
      <c r="AH13">
        <v>177.97825616533788</v>
      </c>
      <c r="AI13">
        <v>2.1</v>
      </c>
      <c r="AJ13">
        <v>0</v>
      </c>
      <c r="AK13">
        <v>0</v>
      </c>
      <c r="AL13">
        <v>1</v>
      </c>
      <c r="AM13">
        <v>1</v>
      </c>
      <c r="AN13">
        <v>0</v>
      </c>
      <c r="AO13">
        <v>1</v>
      </c>
      <c r="AP13">
        <v>0</v>
      </c>
      <c r="AQ13">
        <v>0</v>
      </c>
      <c r="AR13">
        <v>69.3</v>
      </c>
      <c r="AS13">
        <v>115.2</v>
      </c>
      <c r="AT13">
        <v>231.3</v>
      </c>
      <c r="AU13">
        <v>426.59999999999997</v>
      </c>
      <c r="AV13">
        <v>30</v>
      </c>
      <c r="BU13" s="37"/>
    </row>
    <row r="14" spans="1:73">
      <c r="A14">
        <v>13</v>
      </c>
      <c r="B14" s="15">
        <v>0</v>
      </c>
      <c r="C14">
        <v>13.279999999999825</v>
      </c>
      <c r="D14">
        <v>-1.8999999999999604</v>
      </c>
      <c r="E14">
        <v>0.6029275548172266</v>
      </c>
      <c r="F14">
        <v>0</v>
      </c>
      <c r="G14">
        <v>0</v>
      </c>
      <c r="H14">
        <v>0.1835312400187587</v>
      </c>
      <c r="I14">
        <v>0</v>
      </c>
      <c r="J14" s="15">
        <v>0</v>
      </c>
      <c r="K14" s="15">
        <v>0</v>
      </c>
      <c r="L14" s="15">
        <v>0</v>
      </c>
      <c r="M14">
        <v>0</v>
      </c>
      <c r="N14">
        <v>0</v>
      </c>
      <c r="O14" s="15">
        <v>0</v>
      </c>
      <c r="P14">
        <v>0.72351308445892648</v>
      </c>
      <c r="Q14">
        <v>0.72351308445892648</v>
      </c>
      <c r="R14">
        <v>0</v>
      </c>
      <c r="S14">
        <v>0</v>
      </c>
      <c r="T14" s="15">
        <v>0.15046367103280231</v>
      </c>
      <c r="U14">
        <v>23.930045397935775</v>
      </c>
      <c r="V14">
        <v>0</v>
      </c>
      <c r="W14">
        <v>0</v>
      </c>
      <c r="X14">
        <v>0</v>
      </c>
      <c r="Y14">
        <v>0</v>
      </c>
      <c r="Z14">
        <v>1</v>
      </c>
      <c r="AA14">
        <v>0.9</v>
      </c>
      <c r="AB14">
        <v>1.1000000000000001</v>
      </c>
      <c r="AC14">
        <v>0</v>
      </c>
      <c r="AD14">
        <v>0.1376979434603961</v>
      </c>
      <c r="AE14">
        <v>227.71872008983931</v>
      </c>
      <c r="AF14">
        <v>227.70595436226691</v>
      </c>
      <c r="AG14">
        <v>238.06567058671004</v>
      </c>
      <c r="AH14">
        <v>178.43976470479288</v>
      </c>
      <c r="AI14">
        <v>2.1</v>
      </c>
      <c r="AJ14">
        <v>0</v>
      </c>
      <c r="AK14">
        <v>0</v>
      </c>
      <c r="AL14">
        <v>1</v>
      </c>
      <c r="AM14">
        <v>1</v>
      </c>
      <c r="AN14">
        <v>0</v>
      </c>
      <c r="AO14">
        <v>1</v>
      </c>
      <c r="AP14">
        <v>0</v>
      </c>
      <c r="AQ14">
        <v>0</v>
      </c>
      <c r="AR14">
        <v>69.3</v>
      </c>
      <c r="AS14">
        <v>115.2</v>
      </c>
      <c r="AT14">
        <v>231.3</v>
      </c>
      <c r="AU14">
        <v>426.59999999999997</v>
      </c>
      <c r="AV14">
        <v>30</v>
      </c>
    </row>
    <row r="15" spans="1:73">
      <c r="A15">
        <v>14</v>
      </c>
      <c r="B15" s="15">
        <v>0</v>
      </c>
      <c r="C15">
        <v>11.059999999999874</v>
      </c>
      <c r="D15">
        <v>-2.1199999999999561</v>
      </c>
      <c r="E15">
        <v>0.68325825495596382</v>
      </c>
      <c r="F15">
        <v>0</v>
      </c>
      <c r="G15">
        <v>0</v>
      </c>
      <c r="H15">
        <v>0.17105947279816569</v>
      </c>
      <c r="I15">
        <v>0</v>
      </c>
      <c r="J15" s="15">
        <v>0</v>
      </c>
      <c r="K15" s="15">
        <v>0</v>
      </c>
      <c r="L15" s="64">
        <v>0</v>
      </c>
      <c r="M15">
        <v>0</v>
      </c>
      <c r="N15">
        <v>0</v>
      </c>
      <c r="O15" s="15">
        <v>0</v>
      </c>
      <c r="P15">
        <v>0.81990992711310429</v>
      </c>
      <c r="Q15">
        <v>0.81990992711310429</v>
      </c>
      <c r="R15">
        <v>0</v>
      </c>
      <c r="S15">
        <v>0</v>
      </c>
      <c r="T15" s="15">
        <v>9.4876686325410242E-2</v>
      </c>
      <c r="U15">
        <v>23.015258784497266</v>
      </c>
      <c r="V15">
        <v>0</v>
      </c>
      <c r="W15">
        <v>0</v>
      </c>
      <c r="X15">
        <v>0</v>
      </c>
      <c r="Y15">
        <v>0</v>
      </c>
      <c r="Z15">
        <v>1</v>
      </c>
      <c r="AA15">
        <v>0.9</v>
      </c>
      <c r="AB15">
        <v>1.1000000000000001</v>
      </c>
      <c r="AC15">
        <v>0</v>
      </c>
      <c r="AD15">
        <v>0.13755914146591505</v>
      </c>
      <c r="AE15">
        <v>227.67603763469884</v>
      </c>
      <c r="AF15">
        <v>227.71872008983934</v>
      </c>
      <c r="AG15">
        <v>239.18925209561328</v>
      </c>
      <c r="AH15">
        <v>179.24232292543803</v>
      </c>
      <c r="AI15">
        <v>2.1</v>
      </c>
      <c r="AJ15">
        <v>0</v>
      </c>
      <c r="AK15">
        <v>0</v>
      </c>
      <c r="AL15">
        <v>1</v>
      </c>
      <c r="AM15">
        <v>1</v>
      </c>
      <c r="AN15">
        <v>0</v>
      </c>
      <c r="AO15">
        <v>1</v>
      </c>
      <c r="AP15">
        <v>0</v>
      </c>
      <c r="AQ15">
        <v>0</v>
      </c>
      <c r="AR15">
        <v>69.3</v>
      </c>
      <c r="AS15">
        <v>115.2</v>
      </c>
      <c r="AT15">
        <v>231.3</v>
      </c>
      <c r="AU15">
        <v>426.59999999999997</v>
      </c>
      <c r="AV15">
        <v>30</v>
      </c>
    </row>
    <row r="16" spans="1:73">
      <c r="A16">
        <v>15</v>
      </c>
      <c r="B16" s="15">
        <v>0</v>
      </c>
      <c r="C16">
        <v>6.5599999999999046</v>
      </c>
      <c r="D16">
        <v>-1.4199999999999704</v>
      </c>
      <c r="E16">
        <v>0.57091823509670481</v>
      </c>
      <c r="F16">
        <v>0</v>
      </c>
      <c r="G16">
        <v>0</v>
      </c>
      <c r="H16">
        <v>0.16720359917818406</v>
      </c>
      <c r="I16">
        <v>0</v>
      </c>
      <c r="J16" s="15">
        <v>0</v>
      </c>
      <c r="K16" s="15">
        <v>0</v>
      </c>
      <c r="L16" s="15">
        <v>0</v>
      </c>
      <c r="M16">
        <v>0</v>
      </c>
      <c r="N16">
        <v>0</v>
      </c>
      <c r="O16" s="15">
        <v>0</v>
      </c>
      <c r="P16">
        <v>0.68510189980103564</v>
      </c>
      <c r="Q16">
        <v>0.68510189980103564</v>
      </c>
      <c r="R16">
        <v>0</v>
      </c>
      <c r="S16">
        <v>0</v>
      </c>
      <c r="T16" s="15">
        <v>5.9835783785630078E-2</v>
      </c>
      <c r="U16">
        <v>22.270321100910603</v>
      </c>
      <c r="V16">
        <v>0</v>
      </c>
      <c r="W16">
        <v>0</v>
      </c>
      <c r="X16">
        <v>0</v>
      </c>
      <c r="Y16">
        <v>0</v>
      </c>
      <c r="Z16">
        <v>1</v>
      </c>
      <c r="AA16">
        <v>0.9</v>
      </c>
      <c r="AB16">
        <v>1.1000000000000001</v>
      </c>
      <c r="AC16">
        <v>0</v>
      </c>
      <c r="AD16">
        <v>0.13704314639833232</v>
      </c>
      <c r="AE16">
        <v>227.59883027208613</v>
      </c>
      <c r="AF16">
        <v>227.67603763469884</v>
      </c>
      <c r="AG16">
        <v>239.53662775003741</v>
      </c>
      <c r="AH16">
        <v>179.49044839288388</v>
      </c>
      <c r="AI16">
        <v>2.1</v>
      </c>
      <c r="AJ16">
        <v>0</v>
      </c>
      <c r="AK16">
        <v>0</v>
      </c>
      <c r="AL16">
        <v>1</v>
      </c>
      <c r="AM16">
        <v>1</v>
      </c>
      <c r="AN16">
        <v>0</v>
      </c>
      <c r="AO16">
        <v>1</v>
      </c>
      <c r="AP16">
        <v>0</v>
      </c>
      <c r="AQ16">
        <v>0</v>
      </c>
      <c r="AR16">
        <v>69.3</v>
      </c>
      <c r="AS16">
        <v>115.2</v>
      </c>
      <c r="AT16">
        <v>231.3</v>
      </c>
      <c r="AU16">
        <v>426.59999999999997</v>
      </c>
      <c r="AV16">
        <v>30</v>
      </c>
    </row>
    <row r="17" spans="1:59">
      <c r="A17">
        <v>16</v>
      </c>
      <c r="B17">
        <v>0</v>
      </c>
      <c r="C17">
        <v>7.0799999999998962</v>
      </c>
      <c r="D17" s="15">
        <v>-2.9399999999999435</v>
      </c>
      <c r="E17">
        <v>0.32786830966952457</v>
      </c>
      <c r="F17">
        <v>0</v>
      </c>
      <c r="G17">
        <v>0</v>
      </c>
      <c r="H17">
        <v>0.17259592015013903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0.39344198175899381</v>
      </c>
      <c r="Q17">
        <v>0.39344198175899381</v>
      </c>
      <c r="R17">
        <v>0</v>
      </c>
      <c r="S17">
        <v>0</v>
      </c>
      <c r="T17" s="15">
        <v>4.2146789858066046E-2</v>
      </c>
      <c r="U17">
        <v>21.834732329293544</v>
      </c>
      <c r="V17">
        <v>0</v>
      </c>
      <c r="W17">
        <v>0</v>
      </c>
      <c r="X17">
        <v>0</v>
      </c>
      <c r="Y17">
        <v>0</v>
      </c>
      <c r="Z17">
        <v>1</v>
      </c>
      <c r="AA17">
        <v>0.9</v>
      </c>
      <c r="AB17">
        <v>1.1000000000000001</v>
      </c>
      <c r="AC17">
        <v>0</v>
      </c>
      <c r="AD17">
        <v>0.13632100882168274</v>
      </c>
      <c r="AE17">
        <v>227.50465605312246</v>
      </c>
      <c r="AF17">
        <v>227.59883027208613</v>
      </c>
      <c r="AG17">
        <v>239.05083355367398</v>
      </c>
      <c r="AH17">
        <v>179.14345253833858</v>
      </c>
      <c r="AI17">
        <v>2.1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1</v>
      </c>
      <c r="AP17">
        <v>0</v>
      </c>
      <c r="AQ17">
        <v>0</v>
      </c>
      <c r="AR17">
        <v>69.3</v>
      </c>
      <c r="AS17">
        <v>115.2</v>
      </c>
      <c r="AT17">
        <v>231.3</v>
      </c>
      <c r="AU17">
        <v>426.59999999999997</v>
      </c>
      <c r="AV17">
        <v>30</v>
      </c>
    </row>
    <row r="18" spans="1:59">
      <c r="A18">
        <v>17</v>
      </c>
      <c r="B18">
        <v>0</v>
      </c>
      <c r="C18">
        <v>5.099999999999941</v>
      </c>
      <c r="D18">
        <v>-2.2199999999999633</v>
      </c>
      <c r="E18">
        <v>0.34358446324240666</v>
      </c>
      <c r="F18">
        <v>0</v>
      </c>
      <c r="G18">
        <v>0</v>
      </c>
      <c r="H18">
        <v>0.18426231661105644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0.41230136653247929</v>
      </c>
      <c r="Q18">
        <v>0.41230136653247929</v>
      </c>
      <c r="R18">
        <v>0</v>
      </c>
      <c r="S18">
        <v>0</v>
      </c>
      <c r="T18" s="15">
        <v>3.2459545023853092E-2</v>
      </c>
      <c r="U18">
        <v>21.389971417737215</v>
      </c>
      <c r="V18">
        <v>0</v>
      </c>
      <c r="W18">
        <v>0</v>
      </c>
      <c r="X18">
        <v>0</v>
      </c>
      <c r="Y18">
        <v>0</v>
      </c>
      <c r="Z18">
        <v>1</v>
      </c>
      <c r="AA18">
        <v>0.9</v>
      </c>
      <c r="AB18">
        <v>1.1000000000000001</v>
      </c>
      <c r="AC18">
        <v>0</v>
      </c>
      <c r="AD18">
        <v>0.13550738890582786</v>
      </c>
      <c r="AE18">
        <v>227.40160820924046</v>
      </c>
      <c r="AF18">
        <v>227.50465605312246</v>
      </c>
      <c r="AG18">
        <v>237.99980789650994</v>
      </c>
      <c r="AH18">
        <v>178.39271992607854</v>
      </c>
      <c r="AI18">
        <v>2.1</v>
      </c>
      <c r="AJ18">
        <v>0</v>
      </c>
      <c r="AK18">
        <v>0</v>
      </c>
      <c r="AL18">
        <v>1</v>
      </c>
      <c r="AM18">
        <v>1</v>
      </c>
      <c r="AN18">
        <v>0</v>
      </c>
      <c r="AO18">
        <v>1</v>
      </c>
      <c r="AP18">
        <v>0</v>
      </c>
      <c r="AQ18">
        <v>0</v>
      </c>
      <c r="AR18">
        <v>69.3</v>
      </c>
      <c r="AS18">
        <v>115.2</v>
      </c>
      <c r="AT18">
        <v>231.3</v>
      </c>
      <c r="AU18">
        <v>426.59999999999997</v>
      </c>
      <c r="AV18">
        <v>30</v>
      </c>
    </row>
    <row r="19" spans="1:59">
      <c r="A19">
        <v>18</v>
      </c>
      <c r="B19">
        <v>0</v>
      </c>
      <c r="C19">
        <v>2.5399999999999876</v>
      </c>
      <c r="D19">
        <v>-3.6799999999999313</v>
      </c>
      <c r="E19">
        <v>0.19495026485432193</v>
      </c>
      <c r="F19">
        <v>0</v>
      </c>
      <c r="G19">
        <v>0</v>
      </c>
      <c r="H19">
        <v>0.18350794123697861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0.23394032386271146</v>
      </c>
      <c r="Q19">
        <v>0.23394032386271146</v>
      </c>
      <c r="R19">
        <v>0</v>
      </c>
      <c r="S19">
        <v>0</v>
      </c>
      <c r="T19" s="15">
        <v>2.604199764852913E-2</v>
      </c>
      <c r="U19">
        <v>21.129989096225977</v>
      </c>
      <c r="V19">
        <v>0</v>
      </c>
      <c r="W19">
        <v>0</v>
      </c>
      <c r="X19">
        <v>0</v>
      </c>
      <c r="Y19">
        <v>0</v>
      </c>
      <c r="Z19">
        <v>1</v>
      </c>
      <c r="AA19">
        <v>0.9</v>
      </c>
      <c r="AB19">
        <v>1.1000000000000001</v>
      </c>
      <c r="AC19">
        <v>0</v>
      </c>
      <c r="AD19">
        <v>0.13463643874745718</v>
      </c>
      <c r="AE19">
        <v>227.29301376814155</v>
      </c>
      <c r="AF19">
        <v>227.40160820924046</v>
      </c>
      <c r="AG19">
        <v>238.06776957396062</v>
      </c>
      <c r="AH19">
        <v>178.44126398140043</v>
      </c>
      <c r="AI19">
        <v>2.1</v>
      </c>
      <c r="AJ19">
        <v>0</v>
      </c>
      <c r="AK19">
        <v>0</v>
      </c>
      <c r="AL19">
        <v>1</v>
      </c>
      <c r="AM19">
        <v>1</v>
      </c>
      <c r="AN19">
        <v>0</v>
      </c>
      <c r="AO19">
        <v>1</v>
      </c>
      <c r="AP19">
        <v>0</v>
      </c>
      <c r="AQ19">
        <v>0</v>
      </c>
      <c r="AR19">
        <v>69.3</v>
      </c>
      <c r="AS19">
        <v>115.2</v>
      </c>
      <c r="AT19">
        <v>231.3</v>
      </c>
      <c r="AU19">
        <v>426.59999999999997</v>
      </c>
      <c r="AV19">
        <v>30</v>
      </c>
    </row>
    <row r="20" spans="1:59">
      <c r="A20">
        <v>19</v>
      </c>
      <c r="B20" s="15">
        <v>0.47999999999999826</v>
      </c>
      <c r="C20">
        <v>2.2399999999999793</v>
      </c>
      <c r="D20">
        <v>-3.7999999999999456</v>
      </c>
      <c r="E20">
        <v>0.2646930488179044</v>
      </c>
      <c r="F20">
        <v>0</v>
      </c>
      <c r="G20">
        <v>0</v>
      </c>
      <c r="H20">
        <v>0.19064238278430215</v>
      </c>
      <c r="I20">
        <v>0</v>
      </c>
      <c r="J20" s="15">
        <v>0.47999999999999826</v>
      </c>
      <c r="K20" s="15">
        <v>0.47999999999999826</v>
      </c>
      <c r="L20" s="15">
        <v>0.47999999999999826</v>
      </c>
      <c r="M20">
        <v>0</v>
      </c>
      <c r="N20">
        <v>0</v>
      </c>
      <c r="O20" s="15">
        <v>0.48000001430511319</v>
      </c>
      <c r="P20">
        <v>0.31763166677805199</v>
      </c>
      <c r="Q20">
        <v>0.31763166677805199</v>
      </c>
      <c r="R20">
        <v>0</v>
      </c>
      <c r="S20">
        <v>0</v>
      </c>
      <c r="T20" s="15">
        <v>2.4971655360990417E-2</v>
      </c>
      <c r="U20">
        <v>21.267385788392044</v>
      </c>
      <c r="V20">
        <v>0</v>
      </c>
      <c r="W20">
        <v>0</v>
      </c>
      <c r="X20">
        <v>0</v>
      </c>
      <c r="Y20">
        <v>0</v>
      </c>
      <c r="Z20">
        <v>1</v>
      </c>
      <c r="AA20">
        <v>0.9</v>
      </c>
      <c r="AB20">
        <v>1.1000000000000001</v>
      </c>
      <c r="AC20">
        <v>0</v>
      </c>
      <c r="AD20">
        <v>0.1337472896465009</v>
      </c>
      <c r="AE20">
        <v>227.18423813385598</v>
      </c>
      <c r="AF20">
        <v>227.29301376814158</v>
      </c>
      <c r="AG20">
        <v>237.42502773496224</v>
      </c>
      <c r="AH20">
        <v>177.98216266783015</v>
      </c>
      <c r="AI20">
        <v>2.1</v>
      </c>
      <c r="AJ20">
        <v>0</v>
      </c>
      <c r="AK20">
        <v>0</v>
      </c>
      <c r="AL20">
        <v>1</v>
      </c>
      <c r="AM20">
        <v>1</v>
      </c>
      <c r="AN20">
        <v>0</v>
      </c>
      <c r="AO20">
        <v>1</v>
      </c>
      <c r="AP20">
        <v>0</v>
      </c>
      <c r="AQ20">
        <v>0</v>
      </c>
      <c r="AR20">
        <v>69.3</v>
      </c>
      <c r="AS20">
        <v>115.2</v>
      </c>
      <c r="AT20">
        <v>231.3</v>
      </c>
      <c r="AU20">
        <v>426.59999999999997</v>
      </c>
      <c r="AV20">
        <v>30</v>
      </c>
    </row>
    <row r="21" spans="1:59">
      <c r="A21">
        <v>20</v>
      </c>
      <c r="B21" s="15">
        <v>5.0399999999999565</v>
      </c>
      <c r="C21">
        <v>2.5399999999999623</v>
      </c>
      <c r="D21">
        <v>1.2399999999999849</v>
      </c>
      <c r="E21">
        <v>0.33095810142260473</v>
      </c>
      <c r="F21">
        <v>0</v>
      </c>
      <c r="G21">
        <v>0</v>
      </c>
      <c r="H21">
        <v>0.18729472914251441</v>
      </c>
      <c r="I21">
        <v>0</v>
      </c>
      <c r="J21" s="15">
        <v>5.0399999999999565</v>
      </c>
      <c r="K21" s="15">
        <v>5.0399999999999565</v>
      </c>
      <c r="L21" s="15">
        <v>5.0259929976106399</v>
      </c>
      <c r="M21">
        <v>0</v>
      </c>
      <c r="N21">
        <v>1.4007002389316618E-2</v>
      </c>
      <c r="O21" s="15">
        <v>5.0259931473969033</v>
      </c>
      <c r="P21">
        <v>0.39714973195437769</v>
      </c>
      <c r="Q21">
        <v>0.39714973195437769</v>
      </c>
      <c r="R21">
        <v>0</v>
      </c>
      <c r="S21">
        <v>0</v>
      </c>
      <c r="T21" s="15">
        <v>0.11560819842387708</v>
      </c>
      <c r="U21">
        <v>25.780621005410687</v>
      </c>
      <c r="V21">
        <v>0</v>
      </c>
      <c r="W21">
        <v>0</v>
      </c>
      <c r="X21">
        <v>0</v>
      </c>
      <c r="Y21">
        <v>0</v>
      </c>
      <c r="Z21">
        <v>1</v>
      </c>
      <c r="AA21">
        <v>0.9</v>
      </c>
      <c r="AB21">
        <v>1.1000000000000001</v>
      </c>
      <c r="AC21">
        <v>0</v>
      </c>
      <c r="AD21">
        <v>0.1330615117625098</v>
      </c>
      <c r="AE21">
        <v>227.16678482051739</v>
      </c>
      <c r="AF21">
        <v>227.18423813385601</v>
      </c>
      <c r="AG21">
        <v>237.72661785155088</v>
      </c>
      <c r="AH21">
        <v>178.19758417967921</v>
      </c>
      <c r="AI21">
        <v>2.1</v>
      </c>
      <c r="AJ21">
        <v>0</v>
      </c>
      <c r="AK21">
        <v>0</v>
      </c>
      <c r="AL21">
        <v>1</v>
      </c>
      <c r="AM21">
        <v>1</v>
      </c>
      <c r="AN21">
        <v>0</v>
      </c>
      <c r="AO21">
        <v>1</v>
      </c>
      <c r="AP21">
        <v>0</v>
      </c>
      <c r="AQ21">
        <v>0</v>
      </c>
      <c r="AR21">
        <v>69.3</v>
      </c>
      <c r="AS21">
        <v>115.2</v>
      </c>
      <c r="AT21">
        <v>231.3</v>
      </c>
      <c r="AU21">
        <v>426.59999999999997</v>
      </c>
      <c r="AV21">
        <v>30</v>
      </c>
    </row>
    <row r="22" spans="1:59">
      <c r="A22">
        <v>21</v>
      </c>
      <c r="B22">
        <v>5.8799999999999724</v>
      </c>
      <c r="C22">
        <v>3.8199999999999443</v>
      </c>
      <c r="D22">
        <v>2.3999999999999657</v>
      </c>
      <c r="E22">
        <v>0.36987974858242656</v>
      </c>
      <c r="F22">
        <v>0</v>
      </c>
      <c r="G22">
        <v>0</v>
      </c>
      <c r="H22">
        <v>0.18411400660655605</v>
      </c>
      <c r="I22">
        <v>0</v>
      </c>
      <c r="J22">
        <v>5.8799999999999724</v>
      </c>
      <c r="K22">
        <v>5.8799999999999724</v>
      </c>
      <c r="L22">
        <v>5.4110354233851083</v>
      </c>
      <c r="M22">
        <v>0</v>
      </c>
      <c r="N22">
        <v>0.46896457661486363</v>
      </c>
      <c r="O22">
        <v>5.4110355846465321</v>
      </c>
      <c r="P22">
        <v>0.44385570974951954</v>
      </c>
      <c r="Q22">
        <v>0.44385570974951954</v>
      </c>
      <c r="R22">
        <v>0</v>
      </c>
      <c r="S22">
        <v>0</v>
      </c>
      <c r="T22" s="15">
        <v>0.86464507934079426</v>
      </c>
      <c r="U22">
        <v>29.883155800966918</v>
      </c>
      <c r="V22">
        <v>0</v>
      </c>
      <c r="W22">
        <v>0</v>
      </c>
      <c r="X22">
        <v>0</v>
      </c>
      <c r="Y22">
        <v>0</v>
      </c>
      <c r="Z22">
        <v>1</v>
      </c>
      <c r="AA22">
        <v>0.9</v>
      </c>
      <c r="AB22">
        <v>1.1000000000000001</v>
      </c>
      <c r="AC22">
        <v>0</v>
      </c>
      <c r="AD22">
        <v>0.13516244624978066</v>
      </c>
      <c r="AE22">
        <v>227.8962674536084</v>
      </c>
      <c r="AF22">
        <v>227.16678482051739</v>
      </c>
      <c r="AG22">
        <v>238.01316914481538</v>
      </c>
      <c r="AH22">
        <v>178.4022636748681</v>
      </c>
      <c r="AI22">
        <v>2.1</v>
      </c>
      <c r="AJ22">
        <v>0</v>
      </c>
      <c r="AK22">
        <v>0</v>
      </c>
      <c r="AL22">
        <v>1</v>
      </c>
      <c r="AM22">
        <v>1</v>
      </c>
      <c r="AN22">
        <v>0</v>
      </c>
      <c r="AO22">
        <v>1</v>
      </c>
      <c r="AP22">
        <v>0</v>
      </c>
      <c r="AQ22">
        <v>0</v>
      </c>
      <c r="AR22">
        <v>69.3</v>
      </c>
      <c r="AS22">
        <v>115.2</v>
      </c>
      <c r="AT22">
        <v>231.3</v>
      </c>
      <c r="AU22">
        <v>426.59999999999997</v>
      </c>
      <c r="AV22">
        <v>30</v>
      </c>
    </row>
    <row r="23" spans="1:59">
      <c r="A23">
        <v>22</v>
      </c>
      <c r="B23">
        <v>24.399999999999679</v>
      </c>
      <c r="C23">
        <v>4.8199999999999301</v>
      </c>
      <c r="D23">
        <v>3.0399999999999552</v>
      </c>
      <c r="E23">
        <v>0.35936796625406647</v>
      </c>
      <c r="F23">
        <v>0</v>
      </c>
      <c r="G23">
        <v>0</v>
      </c>
      <c r="H23">
        <v>0.18224576753650878</v>
      </c>
      <c r="I23">
        <v>0</v>
      </c>
      <c r="J23">
        <v>24.399999999999679</v>
      </c>
      <c r="K23">
        <v>24.399999999999679</v>
      </c>
      <c r="L23">
        <v>11.718502636056915</v>
      </c>
      <c r="M23">
        <v>0</v>
      </c>
      <c r="N23">
        <v>12.681497363942764</v>
      </c>
      <c r="O23">
        <v>11.718502985295505</v>
      </c>
      <c r="P23">
        <v>0.43124157062801294</v>
      </c>
      <c r="Q23">
        <v>0.43124157062801294</v>
      </c>
      <c r="R23">
        <v>0</v>
      </c>
      <c r="S23">
        <v>0</v>
      </c>
      <c r="T23" s="15">
        <v>6.2319447846618559</v>
      </c>
      <c r="U23">
        <v>34.93847243097256</v>
      </c>
      <c r="V23">
        <v>0</v>
      </c>
      <c r="W23">
        <v>0</v>
      </c>
      <c r="X23">
        <v>0</v>
      </c>
      <c r="Y23">
        <v>0</v>
      </c>
      <c r="Z23">
        <v>1</v>
      </c>
      <c r="AA23">
        <v>0.9</v>
      </c>
      <c r="AB23">
        <v>1.1000000000000001</v>
      </c>
      <c r="AC23">
        <v>0</v>
      </c>
      <c r="AD23">
        <v>0.15999935300178827</v>
      </c>
      <c r="AE23">
        <v>233.96821288526846</v>
      </c>
      <c r="AF23">
        <v>227.8962674536084</v>
      </c>
      <c r="AG23">
        <v>238.18147880263592</v>
      </c>
      <c r="AH23">
        <v>178.52248485902567</v>
      </c>
      <c r="AI23">
        <v>2.1</v>
      </c>
      <c r="AJ23">
        <v>0</v>
      </c>
      <c r="AK23">
        <v>0</v>
      </c>
      <c r="AL23">
        <v>1</v>
      </c>
      <c r="AM23">
        <v>1</v>
      </c>
      <c r="AN23">
        <v>0</v>
      </c>
      <c r="AO23">
        <v>1</v>
      </c>
      <c r="AP23">
        <v>0</v>
      </c>
      <c r="AQ23">
        <v>0</v>
      </c>
      <c r="AR23">
        <v>69.3</v>
      </c>
      <c r="AS23">
        <v>115.2</v>
      </c>
      <c r="AT23">
        <v>231.3</v>
      </c>
      <c r="AU23">
        <v>426.59999999999997</v>
      </c>
      <c r="AV23">
        <v>30</v>
      </c>
      <c r="BG23" s="39"/>
    </row>
    <row r="24" spans="1:59">
      <c r="A24">
        <v>23</v>
      </c>
      <c r="B24" s="15">
        <v>10.559999999999839</v>
      </c>
      <c r="C24">
        <v>11.419999999999849</v>
      </c>
      <c r="D24">
        <v>2.3999999999999826</v>
      </c>
      <c r="E24">
        <v>0.6626552809916576</v>
      </c>
      <c r="F24">
        <v>0</v>
      </c>
      <c r="G24">
        <v>0</v>
      </c>
      <c r="H24">
        <v>0.18275033309009112</v>
      </c>
      <c r="I24">
        <v>0</v>
      </c>
      <c r="J24" s="15">
        <v>10.559999999999839</v>
      </c>
      <c r="K24" s="15">
        <v>10.559999999999839</v>
      </c>
      <c r="L24" s="15">
        <v>7.940023347571719</v>
      </c>
      <c r="M24">
        <v>0</v>
      </c>
      <c r="N24">
        <v>2.6199766524281198</v>
      </c>
      <c r="O24" s="15">
        <v>7.9400235842028568</v>
      </c>
      <c r="P24">
        <v>0.79518635769587309</v>
      </c>
      <c r="Q24">
        <v>0.79518635769587309</v>
      </c>
      <c r="R24">
        <v>0</v>
      </c>
      <c r="S24">
        <v>0</v>
      </c>
      <c r="T24" s="15">
        <v>8.1039217051719401</v>
      </c>
      <c r="U24">
        <v>33.97938795230759</v>
      </c>
      <c r="V24">
        <v>0</v>
      </c>
      <c r="W24">
        <v>0</v>
      </c>
      <c r="X24">
        <v>0</v>
      </c>
      <c r="Y24">
        <v>0</v>
      </c>
      <c r="Z24">
        <v>1</v>
      </c>
      <c r="AA24">
        <v>0.9</v>
      </c>
      <c r="AB24">
        <v>1.1000000000000001</v>
      </c>
      <c r="AC24">
        <v>0</v>
      </c>
      <c r="AD24">
        <v>0.2546518393715505</v>
      </c>
      <c r="AE24">
        <v>241.81748275106887</v>
      </c>
      <c r="AF24">
        <v>233.96821288526849</v>
      </c>
      <c r="AG24">
        <v>238.13602249191371</v>
      </c>
      <c r="AH24">
        <v>178.49001606565264</v>
      </c>
      <c r="AI24">
        <v>2.1</v>
      </c>
      <c r="AJ24">
        <v>0</v>
      </c>
      <c r="AK24">
        <v>0</v>
      </c>
      <c r="AL24">
        <v>1</v>
      </c>
      <c r="AM24">
        <v>1</v>
      </c>
      <c r="AN24">
        <v>0</v>
      </c>
      <c r="AO24">
        <v>1</v>
      </c>
      <c r="AP24">
        <v>0</v>
      </c>
      <c r="AQ24">
        <v>0</v>
      </c>
      <c r="AR24">
        <v>69.3</v>
      </c>
      <c r="AS24">
        <v>115.2</v>
      </c>
      <c r="AT24">
        <v>231.3</v>
      </c>
      <c r="AU24">
        <v>426.59999999999997</v>
      </c>
      <c r="AV24">
        <v>30</v>
      </c>
    </row>
    <row r="25" spans="1:59">
      <c r="A25">
        <v>24</v>
      </c>
      <c r="B25" s="15">
        <v>0.15999999999999945</v>
      </c>
      <c r="C25">
        <v>11.119999999999854</v>
      </c>
      <c r="D25">
        <v>-0.41999999999998894</v>
      </c>
      <c r="E25">
        <v>0.76282152260855851</v>
      </c>
      <c r="F25">
        <v>0</v>
      </c>
      <c r="G25">
        <v>0</v>
      </c>
      <c r="H25">
        <v>0.16819254193276872</v>
      </c>
      <c r="I25">
        <v>0</v>
      </c>
      <c r="J25" s="15">
        <v>0.15999999999999945</v>
      </c>
      <c r="K25" s="15">
        <v>0.15999999999999945</v>
      </c>
      <c r="L25" s="15">
        <v>0.15999999999999945</v>
      </c>
      <c r="M25">
        <v>0</v>
      </c>
      <c r="N25">
        <v>0</v>
      </c>
      <c r="O25" s="15">
        <v>0.16000000476837098</v>
      </c>
      <c r="P25">
        <v>0.9153858507294298</v>
      </c>
      <c r="Q25">
        <v>0.9153858507294298</v>
      </c>
      <c r="R25">
        <v>0</v>
      </c>
      <c r="S25">
        <v>0</v>
      </c>
      <c r="T25" s="15">
        <v>3.4192177905670715</v>
      </c>
      <c r="U25">
        <v>29.804784315779461</v>
      </c>
      <c r="V25">
        <v>0</v>
      </c>
      <c r="W25">
        <v>0</v>
      </c>
      <c r="X25">
        <v>0</v>
      </c>
      <c r="Y25">
        <v>0</v>
      </c>
      <c r="Z25">
        <v>1</v>
      </c>
      <c r="AA25">
        <v>0.9</v>
      </c>
      <c r="AB25">
        <v>1.1000000000000001</v>
      </c>
      <c r="AC25">
        <v>0</v>
      </c>
      <c r="AD25">
        <v>0.34795242553720035</v>
      </c>
      <c r="AE25">
        <v>244.88874811609872</v>
      </c>
      <c r="AF25">
        <v>241.81748275106887</v>
      </c>
      <c r="AG25">
        <v>239.44753389727688</v>
      </c>
      <c r="AH25">
        <v>179.42680992662633</v>
      </c>
      <c r="AI25">
        <v>2.1</v>
      </c>
      <c r="AJ25">
        <v>0</v>
      </c>
      <c r="AK25">
        <v>0</v>
      </c>
      <c r="AL25">
        <v>1</v>
      </c>
      <c r="AM25">
        <v>1</v>
      </c>
      <c r="AN25">
        <v>0</v>
      </c>
      <c r="AO25">
        <v>1</v>
      </c>
      <c r="AP25">
        <v>0</v>
      </c>
      <c r="AQ25">
        <v>0</v>
      </c>
      <c r="AR25">
        <v>69.3</v>
      </c>
      <c r="AS25">
        <v>115.2</v>
      </c>
      <c r="AT25">
        <v>231.3</v>
      </c>
      <c r="AU25">
        <v>426.59999999999997</v>
      </c>
      <c r="AV25">
        <v>30</v>
      </c>
    </row>
    <row r="26" spans="1:59">
      <c r="A26">
        <v>25</v>
      </c>
      <c r="B26" s="15">
        <v>0</v>
      </c>
      <c r="C26">
        <v>8.939999999999884</v>
      </c>
      <c r="D26">
        <v>-1.4799999999999756</v>
      </c>
      <c r="E26">
        <v>0.75721445389833442</v>
      </c>
      <c r="F26">
        <v>0</v>
      </c>
      <c r="G26">
        <v>0</v>
      </c>
      <c r="H26">
        <v>0.16338456231889317</v>
      </c>
      <c r="I26">
        <v>0</v>
      </c>
      <c r="J26" s="15">
        <v>0</v>
      </c>
      <c r="K26" s="15">
        <v>0</v>
      </c>
      <c r="L26" s="15">
        <v>0</v>
      </c>
      <c r="M26">
        <v>0</v>
      </c>
      <c r="N26">
        <v>0</v>
      </c>
      <c r="O26" s="15">
        <v>0</v>
      </c>
      <c r="P26">
        <v>0.90865736809604625</v>
      </c>
      <c r="Q26">
        <v>0.90865736809604625</v>
      </c>
      <c r="R26">
        <v>0</v>
      </c>
      <c r="S26">
        <v>0</v>
      </c>
      <c r="T26" s="15">
        <v>1.1161047439332696</v>
      </c>
      <c r="U26">
        <v>27.780022203750143</v>
      </c>
      <c r="V26">
        <v>0</v>
      </c>
      <c r="W26">
        <v>0</v>
      </c>
      <c r="X26">
        <v>0</v>
      </c>
      <c r="Y26">
        <v>0</v>
      </c>
      <c r="Z26">
        <v>1</v>
      </c>
      <c r="AA26">
        <v>0.9</v>
      </c>
      <c r="AB26">
        <v>1.1000000000000001</v>
      </c>
      <c r="AC26">
        <v>0</v>
      </c>
      <c r="AD26">
        <v>0.37866050473078072</v>
      </c>
      <c r="AE26">
        <v>245.62619235530121</v>
      </c>
      <c r="AF26">
        <v>244.88874811609872</v>
      </c>
      <c r="AG26">
        <v>239.88068478069093</v>
      </c>
      <c r="AH26">
        <v>179.73620341477923</v>
      </c>
      <c r="AI26">
        <v>2.1</v>
      </c>
      <c r="AJ26">
        <v>0</v>
      </c>
      <c r="AK26">
        <v>0</v>
      </c>
      <c r="AL26">
        <v>1</v>
      </c>
      <c r="AM26">
        <v>1</v>
      </c>
      <c r="AN26">
        <v>0</v>
      </c>
      <c r="AO26">
        <v>1</v>
      </c>
      <c r="AP26">
        <v>0</v>
      </c>
      <c r="AQ26">
        <v>0</v>
      </c>
      <c r="AR26">
        <v>69.3</v>
      </c>
      <c r="AS26">
        <v>115.2</v>
      </c>
      <c r="AT26">
        <v>231.3</v>
      </c>
      <c r="AU26">
        <v>426.59999999999997</v>
      </c>
      <c r="AV26">
        <v>30</v>
      </c>
    </row>
    <row r="27" spans="1:59">
      <c r="A27">
        <v>26</v>
      </c>
      <c r="B27">
        <v>0</v>
      </c>
      <c r="C27">
        <v>10.339999999999854</v>
      </c>
      <c r="D27">
        <v>0.94000000000000616</v>
      </c>
      <c r="E27">
        <v>1.7906822744917517</v>
      </c>
      <c r="F27">
        <v>0</v>
      </c>
      <c r="G27">
        <v>0</v>
      </c>
      <c r="H27">
        <v>0.1636537016182128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2.1488187847478697</v>
      </c>
      <c r="Q27">
        <v>2.1488187847478697</v>
      </c>
      <c r="R27">
        <v>0</v>
      </c>
      <c r="S27">
        <v>0</v>
      </c>
      <c r="T27" s="15">
        <v>0.44679492131909493</v>
      </c>
      <c r="U27">
        <v>25.184408497683176</v>
      </c>
      <c r="V27">
        <v>0</v>
      </c>
      <c r="W27">
        <v>0</v>
      </c>
      <c r="X27">
        <v>0</v>
      </c>
      <c r="Y27">
        <v>0</v>
      </c>
      <c r="Z27">
        <v>1</v>
      </c>
      <c r="AA27">
        <v>0.9</v>
      </c>
      <c r="AB27">
        <v>1.1000000000000001</v>
      </c>
      <c r="AC27">
        <v>0</v>
      </c>
      <c r="AD27">
        <v>0.38635390430234712</v>
      </c>
      <c r="AE27">
        <v>245.68663337231794</v>
      </c>
      <c r="AF27">
        <v>245.62619235530121</v>
      </c>
      <c r="AG27">
        <v>239.85643802121524</v>
      </c>
      <c r="AH27">
        <v>179.71888430086801</v>
      </c>
      <c r="AI27">
        <v>2.1</v>
      </c>
      <c r="AJ27">
        <v>0</v>
      </c>
      <c r="AK27">
        <v>0</v>
      </c>
      <c r="AL27">
        <v>1</v>
      </c>
      <c r="AM27">
        <v>1</v>
      </c>
      <c r="AN27">
        <v>0</v>
      </c>
      <c r="AO27">
        <v>1</v>
      </c>
      <c r="AP27">
        <v>0</v>
      </c>
      <c r="AQ27">
        <v>0</v>
      </c>
      <c r="AR27">
        <v>69.3</v>
      </c>
      <c r="AS27">
        <v>115.2</v>
      </c>
      <c r="AT27">
        <v>231.3</v>
      </c>
      <c r="AU27">
        <v>426.59999999999997</v>
      </c>
      <c r="AV27">
        <v>30</v>
      </c>
    </row>
    <row r="28" spans="1:59">
      <c r="A28">
        <v>27</v>
      </c>
      <c r="B28">
        <v>0</v>
      </c>
      <c r="C28">
        <v>9.0199999999998752</v>
      </c>
      <c r="D28">
        <v>-3.1199999999999335</v>
      </c>
      <c r="E28">
        <v>0.6914420517582005</v>
      </c>
      <c r="F28">
        <v>0</v>
      </c>
      <c r="G28">
        <v>0</v>
      </c>
      <c r="H28">
        <v>0.11404724606093056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0.82973048347508804</v>
      </c>
      <c r="Q28">
        <v>0.82973048347508804</v>
      </c>
      <c r="R28">
        <v>0</v>
      </c>
      <c r="S28">
        <v>0</v>
      </c>
      <c r="T28" s="15">
        <v>0.17687148172864689</v>
      </c>
      <c r="U28">
        <v>24.177806532479437</v>
      </c>
      <c r="V28">
        <v>0</v>
      </c>
      <c r="W28">
        <v>0</v>
      </c>
      <c r="X28">
        <v>0</v>
      </c>
      <c r="Y28">
        <v>0</v>
      </c>
      <c r="Z28">
        <v>1</v>
      </c>
      <c r="AA28">
        <v>0.9</v>
      </c>
      <c r="AB28">
        <v>1.1000000000000001</v>
      </c>
      <c r="AC28">
        <v>0</v>
      </c>
      <c r="AD28">
        <v>0.38388227780168105</v>
      </c>
      <c r="AE28">
        <v>245.47962257624485</v>
      </c>
      <c r="AF28">
        <v>245.68663337231791</v>
      </c>
      <c r="AG28">
        <v>244.32548360237078</v>
      </c>
      <c r="AH28">
        <v>182.91105971597915</v>
      </c>
      <c r="AI28">
        <v>2.1</v>
      </c>
      <c r="AJ28">
        <v>0</v>
      </c>
      <c r="AK28">
        <v>0</v>
      </c>
      <c r="AL28">
        <v>1</v>
      </c>
      <c r="AM28">
        <v>1</v>
      </c>
      <c r="AN28">
        <v>0</v>
      </c>
      <c r="AO28">
        <v>1</v>
      </c>
      <c r="AP28">
        <v>0</v>
      </c>
      <c r="AQ28">
        <v>0</v>
      </c>
      <c r="AR28">
        <v>69.3</v>
      </c>
      <c r="AS28">
        <v>115.2</v>
      </c>
      <c r="AT28">
        <v>231.3</v>
      </c>
      <c r="AU28">
        <v>426.59999999999997</v>
      </c>
      <c r="AV28">
        <v>30</v>
      </c>
    </row>
    <row r="29" spans="1:59">
      <c r="A29">
        <v>28</v>
      </c>
      <c r="B29">
        <v>0</v>
      </c>
      <c r="C29">
        <v>8.5599999999998797</v>
      </c>
      <c r="D29">
        <v>0.38000000000001677</v>
      </c>
      <c r="E29">
        <v>0.55299839984741894</v>
      </c>
      <c r="F29">
        <v>0</v>
      </c>
      <c r="G29">
        <v>0</v>
      </c>
      <c r="H29">
        <v>0.16681077693248497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0.66359809689440097</v>
      </c>
      <c r="Q29">
        <v>0.66359809689440097</v>
      </c>
      <c r="R29">
        <v>0</v>
      </c>
      <c r="S29">
        <v>0</v>
      </c>
      <c r="T29" s="15">
        <v>0.11163302583085648</v>
      </c>
      <c r="U29">
        <v>23.402575409754178</v>
      </c>
      <c r="V29">
        <v>0</v>
      </c>
      <c r="W29">
        <v>0</v>
      </c>
      <c r="X29">
        <v>0</v>
      </c>
      <c r="Y29">
        <v>0</v>
      </c>
      <c r="Z29">
        <v>1</v>
      </c>
      <c r="AA29">
        <v>0.9</v>
      </c>
      <c r="AB29">
        <v>1.1000000000000001</v>
      </c>
      <c r="AC29">
        <v>0</v>
      </c>
      <c r="AD29">
        <v>0.37887003378732903</v>
      </c>
      <c r="AE29">
        <v>245.21238556828837</v>
      </c>
      <c r="AF29">
        <v>245.47962257624485</v>
      </c>
      <c r="AG29">
        <v>239.57201710615246</v>
      </c>
      <c r="AH29">
        <v>179.51572650439459</v>
      </c>
      <c r="AI29">
        <v>2.1</v>
      </c>
      <c r="AJ29">
        <v>0</v>
      </c>
      <c r="AK29">
        <v>0</v>
      </c>
      <c r="AL29">
        <v>1</v>
      </c>
      <c r="AM29">
        <v>1</v>
      </c>
      <c r="AN29">
        <v>0</v>
      </c>
      <c r="AO29">
        <v>1</v>
      </c>
      <c r="AP29">
        <v>0</v>
      </c>
      <c r="AQ29">
        <v>0</v>
      </c>
      <c r="AR29">
        <v>69.3</v>
      </c>
      <c r="AS29">
        <v>115.2</v>
      </c>
      <c r="AT29">
        <v>231.3</v>
      </c>
      <c r="AU29">
        <v>426.59999999999997</v>
      </c>
      <c r="AV29">
        <v>30</v>
      </c>
    </row>
    <row r="30" spans="1:59">
      <c r="A30">
        <v>29</v>
      </c>
      <c r="B30">
        <v>0</v>
      </c>
      <c r="C30">
        <v>7.6799999999999047</v>
      </c>
      <c r="D30">
        <v>0.10000000000001563</v>
      </c>
      <c r="E30">
        <v>0.53204710525785626</v>
      </c>
      <c r="F30">
        <v>0</v>
      </c>
      <c r="G30">
        <v>0</v>
      </c>
      <c r="H30">
        <v>0.17345607224717852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0.63845654272838515</v>
      </c>
      <c r="Q30">
        <v>0.63845654272838515</v>
      </c>
      <c r="R30">
        <v>0</v>
      </c>
      <c r="S30">
        <v>0</v>
      </c>
      <c r="T30" s="15">
        <v>7.4731987028843441E-2</v>
      </c>
      <c r="U30">
        <v>22.689386879996956</v>
      </c>
      <c r="V30">
        <v>0</v>
      </c>
      <c r="W30">
        <v>0</v>
      </c>
      <c r="X30">
        <v>0</v>
      </c>
      <c r="Y30">
        <v>0</v>
      </c>
      <c r="Z30">
        <v>1</v>
      </c>
      <c r="AA30">
        <v>0.9</v>
      </c>
      <c r="AB30">
        <v>1.1000000000000001</v>
      </c>
      <c r="AC30">
        <v>0</v>
      </c>
      <c r="AD30">
        <v>0.37304346647142334</v>
      </c>
      <c r="AE30">
        <v>244.91407408884581</v>
      </c>
      <c r="AF30">
        <v>245.21238556828837</v>
      </c>
      <c r="AG30">
        <v>238.97334245125168</v>
      </c>
      <c r="AH30">
        <v>179.08810175089405</v>
      </c>
      <c r="AI30">
        <v>2.1</v>
      </c>
      <c r="AJ30">
        <v>0</v>
      </c>
      <c r="AK30">
        <v>0</v>
      </c>
      <c r="AL30">
        <v>1</v>
      </c>
      <c r="AM30">
        <v>1</v>
      </c>
      <c r="AN30">
        <v>0</v>
      </c>
      <c r="AO30">
        <v>1</v>
      </c>
      <c r="AP30">
        <v>0</v>
      </c>
      <c r="AQ30">
        <v>0</v>
      </c>
      <c r="AR30">
        <v>69.3</v>
      </c>
      <c r="AS30">
        <v>115.2</v>
      </c>
      <c r="AT30">
        <v>231.3</v>
      </c>
      <c r="AU30">
        <v>426.59999999999997</v>
      </c>
      <c r="AV30">
        <v>30</v>
      </c>
    </row>
    <row r="31" spans="1:59">
      <c r="A31">
        <v>30</v>
      </c>
      <c r="B31">
        <v>3.0399999999999552</v>
      </c>
      <c r="C31">
        <v>11.619999999999855</v>
      </c>
      <c r="D31" s="15">
        <v>2.4199999999999688</v>
      </c>
      <c r="E31">
        <v>0.7706198029553647</v>
      </c>
      <c r="F31">
        <v>0</v>
      </c>
      <c r="G31">
        <v>0</v>
      </c>
      <c r="H31">
        <v>0.17446173439134086</v>
      </c>
      <c r="I31">
        <v>0</v>
      </c>
      <c r="J31">
        <v>3.0399999999999552</v>
      </c>
      <c r="K31">
        <v>3.0399999999999552</v>
      </c>
      <c r="L31">
        <v>3.0398675871853889</v>
      </c>
      <c r="M31">
        <v>0</v>
      </c>
      <c r="N31">
        <v>1.3241281456620831E-4</v>
      </c>
      <c r="O31">
        <v>3.039867677780502</v>
      </c>
      <c r="P31">
        <v>0.92474378730753393</v>
      </c>
      <c r="Q31">
        <v>0.92474378730753393</v>
      </c>
      <c r="R31">
        <v>0</v>
      </c>
      <c r="S31">
        <v>0</v>
      </c>
      <c r="T31" s="15">
        <v>0.10686762972307939</v>
      </c>
      <c r="U31">
        <v>24.697643140746845</v>
      </c>
      <c r="V31">
        <v>0</v>
      </c>
      <c r="W31">
        <v>0</v>
      </c>
      <c r="X31">
        <v>0</v>
      </c>
      <c r="Y31">
        <v>0</v>
      </c>
      <c r="Z31">
        <v>1</v>
      </c>
      <c r="AA31">
        <v>0.9</v>
      </c>
      <c r="AB31">
        <v>1.1000000000000001</v>
      </c>
      <c r="AC31">
        <v>0</v>
      </c>
      <c r="AD31">
        <v>0.36717276755007738</v>
      </c>
      <c r="AE31">
        <v>244.65376895101886</v>
      </c>
      <c r="AF31">
        <v>244.91407408884584</v>
      </c>
      <c r="AG31">
        <v>238.8827423486841</v>
      </c>
      <c r="AH31">
        <v>179.02338739191723</v>
      </c>
      <c r="AI31">
        <v>2.1</v>
      </c>
      <c r="AJ31">
        <v>0</v>
      </c>
      <c r="AK31">
        <v>0</v>
      </c>
      <c r="AL31">
        <v>1</v>
      </c>
      <c r="AM31">
        <v>1</v>
      </c>
      <c r="AN31">
        <v>0</v>
      </c>
      <c r="AO31">
        <v>1</v>
      </c>
      <c r="AP31">
        <v>0</v>
      </c>
      <c r="AQ31">
        <v>0</v>
      </c>
      <c r="AR31">
        <v>69.3</v>
      </c>
      <c r="AS31">
        <v>115.2</v>
      </c>
      <c r="AT31">
        <v>231.3</v>
      </c>
      <c r="AU31">
        <v>426.59999999999997</v>
      </c>
      <c r="AV31">
        <v>30</v>
      </c>
    </row>
    <row r="32" spans="1:59">
      <c r="A32">
        <v>31</v>
      </c>
      <c r="B32">
        <v>8.1599999999999113</v>
      </c>
      <c r="C32">
        <v>12.759999999999815</v>
      </c>
      <c r="D32">
        <v>4.0999999999999543</v>
      </c>
      <c r="E32">
        <v>0.69056345505615668</v>
      </c>
      <c r="F32">
        <v>0</v>
      </c>
      <c r="G32">
        <v>0</v>
      </c>
      <c r="H32">
        <v>0.16301024486413565</v>
      </c>
      <c r="I32">
        <v>0</v>
      </c>
      <c r="J32">
        <v>8.1599999999999113</v>
      </c>
      <c r="K32">
        <v>8.1599999999999113</v>
      </c>
      <c r="L32">
        <v>6.8257304825191989</v>
      </c>
      <c r="M32">
        <v>0</v>
      </c>
      <c r="N32">
        <v>1.3342695174807122</v>
      </c>
      <c r="O32">
        <v>6.8257306859418216</v>
      </c>
      <c r="P32">
        <v>0.82867616733814331</v>
      </c>
      <c r="Q32">
        <v>0.82867616733814331</v>
      </c>
      <c r="R32">
        <v>0</v>
      </c>
      <c r="S32">
        <v>0</v>
      </c>
      <c r="T32" s="15">
        <v>0.74187495288969996</v>
      </c>
      <c r="U32">
        <v>29.952822706460811</v>
      </c>
      <c r="V32">
        <v>0</v>
      </c>
      <c r="W32">
        <v>0</v>
      </c>
      <c r="X32">
        <v>0</v>
      </c>
      <c r="Y32">
        <v>0</v>
      </c>
      <c r="Z32">
        <v>1</v>
      </c>
      <c r="AA32">
        <v>0.9</v>
      </c>
      <c r="AB32">
        <v>1.1000000000000001</v>
      </c>
      <c r="AC32">
        <v>0</v>
      </c>
      <c r="AD32">
        <v>0.36595938760254698</v>
      </c>
      <c r="AE32">
        <v>245.02968451630602</v>
      </c>
      <c r="AF32">
        <v>244.65376895101886</v>
      </c>
      <c r="AG32">
        <v>239.91440704019004</v>
      </c>
      <c r="AH32">
        <v>179.76029074299288</v>
      </c>
      <c r="AI32">
        <v>2.1</v>
      </c>
      <c r="AJ32">
        <v>0</v>
      </c>
      <c r="AK32">
        <v>0</v>
      </c>
      <c r="AL32">
        <v>1</v>
      </c>
      <c r="AM32">
        <v>1</v>
      </c>
      <c r="AN32">
        <v>0</v>
      </c>
      <c r="AO32">
        <v>1</v>
      </c>
      <c r="AP32">
        <v>0</v>
      </c>
      <c r="AQ32">
        <v>0</v>
      </c>
      <c r="AR32">
        <v>69.3</v>
      </c>
      <c r="AS32">
        <v>115.2</v>
      </c>
      <c r="AT32">
        <v>231.3</v>
      </c>
      <c r="AU32">
        <v>426.59999999999997</v>
      </c>
      <c r="AV32">
        <v>30</v>
      </c>
    </row>
    <row r="33" spans="1:48">
      <c r="A33">
        <v>32</v>
      </c>
      <c r="B33">
        <v>0</v>
      </c>
      <c r="C33">
        <v>8.9999999999998721</v>
      </c>
      <c r="D33">
        <v>2.6799999999999713</v>
      </c>
      <c r="E33">
        <v>0.59861563384682637</v>
      </c>
      <c r="F33">
        <v>0</v>
      </c>
      <c r="G33">
        <v>0</v>
      </c>
      <c r="H33">
        <v>0.16685294957702015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0.71833877903181165</v>
      </c>
      <c r="Q33">
        <v>0.71833877903181165</v>
      </c>
      <c r="R33">
        <v>0</v>
      </c>
      <c r="S33">
        <v>0</v>
      </c>
      <c r="T33" s="15">
        <v>1.2033706811623983</v>
      </c>
      <c r="U33">
        <v>28.031113246266614</v>
      </c>
      <c r="V33">
        <v>0</v>
      </c>
      <c r="W33">
        <v>0</v>
      </c>
      <c r="X33">
        <v>0</v>
      </c>
      <c r="Y33">
        <v>0</v>
      </c>
      <c r="Z33">
        <v>1</v>
      </c>
      <c r="AA33">
        <v>0.9</v>
      </c>
      <c r="AB33">
        <v>1.1000000000000001</v>
      </c>
      <c r="AC33">
        <v>0</v>
      </c>
      <c r="AD33">
        <v>0.38241327547577858</v>
      </c>
      <c r="AE33">
        <v>245.8506419219926</v>
      </c>
      <c r="AF33">
        <v>245.02968451630602</v>
      </c>
      <c r="AG33">
        <v>239.56821777260626</v>
      </c>
      <c r="AH33">
        <v>179.51301269471875</v>
      </c>
      <c r="AI33">
        <v>2.1</v>
      </c>
      <c r="AJ33">
        <v>0</v>
      </c>
      <c r="AK33">
        <v>0</v>
      </c>
      <c r="AL33">
        <v>1</v>
      </c>
      <c r="AM33">
        <v>1</v>
      </c>
      <c r="AN33">
        <v>0</v>
      </c>
      <c r="AO33">
        <v>1</v>
      </c>
      <c r="AP33">
        <v>0</v>
      </c>
      <c r="AQ33">
        <v>0</v>
      </c>
      <c r="AR33">
        <v>69.3</v>
      </c>
      <c r="AS33">
        <v>115.2</v>
      </c>
      <c r="AT33">
        <v>231.3</v>
      </c>
      <c r="AU33">
        <v>426.59999999999997</v>
      </c>
      <c r="AV33">
        <v>30</v>
      </c>
    </row>
    <row r="34" spans="1:48">
      <c r="A34">
        <v>33</v>
      </c>
      <c r="B34" s="15">
        <v>0</v>
      </c>
      <c r="C34">
        <v>8.0799999999999059</v>
      </c>
      <c r="D34" s="15">
        <v>0.6200000000000031</v>
      </c>
      <c r="E34">
        <v>0.44314425730918777</v>
      </c>
      <c r="F34">
        <v>0</v>
      </c>
      <c r="G34">
        <v>0</v>
      </c>
      <c r="H34">
        <v>0.1712664450106241</v>
      </c>
      <c r="I34">
        <v>0</v>
      </c>
      <c r="J34" s="15">
        <v>0</v>
      </c>
      <c r="K34" s="15">
        <v>0</v>
      </c>
      <c r="L34" s="15">
        <v>0</v>
      </c>
      <c r="M34">
        <v>0</v>
      </c>
      <c r="N34">
        <v>0</v>
      </c>
      <c r="O34" s="15">
        <v>0</v>
      </c>
      <c r="P34">
        <v>0.53177312238323859</v>
      </c>
      <c r="Q34">
        <v>0.53177312238323859</v>
      </c>
      <c r="R34">
        <v>0</v>
      </c>
      <c r="S34">
        <v>0</v>
      </c>
      <c r="T34" s="15">
        <v>0.63361501945692345</v>
      </c>
      <c r="U34">
        <v>26.865725104426463</v>
      </c>
      <c r="V34">
        <v>0</v>
      </c>
      <c r="W34">
        <v>0</v>
      </c>
      <c r="X34">
        <v>0</v>
      </c>
      <c r="Y34">
        <v>0</v>
      </c>
      <c r="Z34">
        <v>1</v>
      </c>
      <c r="AA34">
        <v>0.9</v>
      </c>
      <c r="AB34">
        <v>1.1000000000000001</v>
      </c>
      <c r="AC34">
        <v>0</v>
      </c>
      <c r="AD34">
        <v>0.39244698861833266</v>
      </c>
      <c r="AE34">
        <v>246.09180995283126</v>
      </c>
      <c r="AF34">
        <v>245.85064192199263</v>
      </c>
      <c r="AG34">
        <v>239.17060596899287</v>
      </c>
      <c r="AH34">
        <v>179.22900426356634</v>
      </c>
      <c r="AI34">
        <v>2.1</v>
      </c>
      <c r="AJ34">
        <v>0</v>
      </c>
      <c r="AK34">
        <v>0</v>
      </c>
      <c r="AL34">
        <v>1</v>
      </c>
      <c r="AM34">
        <v>1</v>
      </c>
      <c r="AN34">
        <v>0</v>
      </c>
      <c r="AO34">
        <v>1</v>
      </c>
      <c r="AP34">
        <v>0</v>
      </c>
      <c r="AQ34">
        <v>0</v>
      </c>
      <c r="AR34">
        <v>69.3</v>
      </c>
      <c r="AS34">
        <v>115.2</v>
      </c>
      <c r="AT34">
        <v>231.3</v>
      </c>
      <c r="AU34">
        <v>426.59999999999997</v>
      </c>
      <c r="AV34">
        <v>30</v>
      </c>
    </row>
    <row r="35" spans="1:48">
      <c r="A35">
        <v>34</v>
      </c>
      <c r="B35" s="15">
        <v>6.3999999999999257</v>
      </c>
      <c r="C35">
        <v>6.5199999999999063</v>
      </c>
      <c r="D35">
        <v>4.7599999999999341</v>
      </c>
      <c r="E35">
        <v>0.3995895954464021</v>
      </c>
      <c r="F35">
        <v>0</v>
      </c>
      <c r="G35">
        <v>0</v>
      </c>
      <c r="H35">
        <v>0.1787290711097643</v>
      </c>
      <c r="I35">
        <v>0</v>
      </c>
      <c r="J35" s="15">
        <v>6.3999999999999257</v>
      </c>
      <c r="K35" s="15">
        <v>6.3999999999999257</v>
      </c>
      <c r="L35" s="15">
        <v>5.7551032126070059</v>
      </c>
      <c r="M35">
        <v>0</v>
      </c>
      <c r="N35">
        <v>0.64489678739292</v>
      </c>
      <c r="O35" s="15">
        <v>5.7551033841224495</v>
      </c>
      <c r="P35">
        <v>0.47950752678765274</v>
      </c>
      <c r="Q35">
        <v>0.47950752678765274</v>
      </c>
      <c r="R35">
        <v>0</v>
      </c>
      <c r="S35">
        <v>0</v>
      </c>
      <c r="T35" s="15">
        <v>1.3190777337771371</v>
      </c>
      <c r="U35">
        <v>30.822243227984114</v>
      </c>
      <c r="V35">
        <v>0</v>
      </c>
      <c r="W35">
        <v>0</v>
      </c>
      <c r="X35">
        <v>0</v>
      </c>
      <c r="Y35">
        <v>0</v>
      </c>
      <c r="Z35">
        <v>1</v>
      </c>
      <c r="AA35">
        <v>0.9</v>
      </c>
      <c r="AB35">
        <v>1.1000000000000001</v>
      </c>
      <c r="AC35">
        <v>0</v>
      </c>
      <c r="AD35">
        <v>0.4007509021664159</v>
      </c>
      <c r="AE35">
        <v>247.01013678444201</v>
      </c>
      <c r="AF35">
        <v>246.09180995283126</v>
      </c>
      <c r="AG35">
        <v>238.49829798372133</v>
      </c>
      <c r="AH35">
        <v>178.74878427408666</v>
      </c>
      <c r="AI35">
        <v>2.1</v>
      </c>
      <c r="AJ35">
        <v>0</v>
      </c>
      <c r="AK35">
        <v>0</v>
      </c>
      <c r="AL35">
        <v>1</v>
      </c>
      <c r="AM35">
        <v>1</v>
      </c>
      <c r="AN35">
        <v>0</v>
      </c>
      <c r="AO35">
        <v>1</v>
      </c>
      <c r="AP35">
        <v>0</v>
      </c>
      <c r="AQ35">
        <v>0</v>
      </c>
      <c r="AR35">
        <v>69.3</v>
      </c>
      <c r="AS35">
        <v>115.2</v>
      </c>
      <c r="AT35">
        <v>231.3</v>
      </c>
      <c r="AU35">
        <v>426.59999999999997</v>
      </c>
      <c r="AV35">
        <v>30</v>
      </c>
    </row>
    <row r="36" spans="1:48">
      <c r="A36">
        <v>35</v>
      </c>
      <c r="B36">
        <v>1.1199999999999875</v>
      </c>
      <c r="C36">
        <v>10.719999999999855</v>
      </c>
      <c r="D36">
        <v>6.3799999999999146</v>
      </c>
      <c r="E36">
        <v>0.545837983597937</v>
      </c>
      <c r="F36">
        <v>0</v>
      </c>
      <c r="G36">
        <v>0</v>
      </c>
      <c r="H36">
        <v>0.18081969488685867</v>
      </c>
      <c r="I36">
        <v>0</v>
      </c>
      <c r="J36">
        <v>1.1199999999999875</v>
      </c>
      <c r="K36">
        <v>1.1199999999999875</v>
      </c>
      <c r="L36">
        <v>1.1199999999999875</v>
      </c>
      <c r="M36">
        <v>0</v>
      </c>
      <c r="N36">
        <v>0</v>
      </c>
      <c r="O36">
        <v>1.1200000333785891</v>
      </c>
      <c r="P36">
        <v>0.65500559701681871</v>
      </c>
      <c r="Q36">
        <v>0.65500559701681871</v>
      </c>
      <c r="R36">
        <v>0</v>
      </c>
      <c r="S36">
        <v>0</v>
      </c>
      <c r="T36" s="15">
        <v>1.8537134287198969</v>
      </c>
      <c r="U36">
        <v>29.433524235625985</v>
      </c>
      <c r="V36">
        <v>0</v>
      </c>
      <c r="W36">
        <v>0</v>
      </c>
      <c r="X36">
        <v>0</v>
      </c>
      <c r="Y36">
        <v>0</v>
      </c>
      <c r="Z36">
        <v>1</v>
      </c>
      <c r="AA36">
        <v>0.9</v>
      </c>
      <c r="AB36">
        <v>1.1000000000000001</v>
      </c>
      <c r="AC36">
        <v>0</v>
      </c>
      <c r="AD36">
        <v>0.43275902066490707</v>
      </c>
      <c r="AE36">
        <v>248.43109119249706</v>
      </c>
      <c r="AF36">
        <v>247.01013678444204</v>
      </c>
      <c r="AG36">
        <v>238.30995368764292</v>
      </c>
      <c r="AH36">
        <v>178.61425263403066</v>
      </c>
      <c r="AI36">
        <v>2.1</v>
      </c>
      <c r="AJ36">
        <v>0</v>
      </c>
      <c r="AK36">
        <v>0</v>
      </c>
      <c r="AL36">
        <v>1</v>
      </c>
      <c r="AM36">
        <v>1</v>
      </c>
      <c r="AN36">
        <v>0</v>
      </c>
      <c r="AO36">
        <v>1</v>
      </c>
      <c r="AP36">
        <v>0</v>
      </c>
      <c r="AQ36">
        <v>0</v>
      </c>
      <c r="AR36">
        <v>69.3</v>
      </c>
      <c r="AS36">
        <v>115.2</v>
      </c>
      <c r="AT36">
        <v>231.3</v>
      </c>
      <c r="AU36">
        <v>426.59999999999997</v>
      </c>
      <c r="AV36">
        <v>30</v>
      </c>
    </row>
    <row r="37" spans="1:48">
      <c r="A37">
        <v>36</v>
      </c>
      <c r="B37" s="15">
        <v>2.0799999999999925</v>
      </c>
      <c r="C37">
        <v>10.499999999999847</v>
      </c>
      <c r="D37">
        <v>7.3199999999998955</v>
      </c>
      <c r="E37">
        <v>0.47948172329703365</v>
      </c>
      <c r="F37">
        <v>0</v>
      </c>
      <c r="G37">
        <v>0</v>
      </c>
      <c r="H37">
        <v>0.17379977223459953</v>
      </c>
      <c r="I37">
        <v>0</v>
      </c>
      <c r="J37" s="15">
        <v>2.0799999999999925</v>
      </c>
      <c r="K37" s="15">
        <v>2.0799999999999925</v>
      </c>
      <c r="L37" s="15">
        <v>2.0799999999999925</v>
      </c>
      <c r="M37">
        <v>0</v>
      </c>
      <c r="N37">
        <v>0</v>
      </c>
      <c r="O37" s="15">
        <v>2.0800000619888235</v>
      </c>
      <c r="P37">
        <v>0.57537808258661216</v>
      </c>
      <c r="Q37">
        <v>0.57537808258661216</v>
      </c>
      <c r="R37">
        <v>0</v>
      </c>
      <c r="S37">
        <v>0</v>
      </c>
      <c r="T37" s="15">
        <v>1.4538389349290264</v>
      </c>
      <c r="U37">
        <v>29.484307280099181</v>
      </c>
      <c r="V37">
        <v>0</v>
      </c>
      <c r="W37">
        <v>0</v>
      </c>
      <c r="X37">
        <v>0</v>
      </c>
      <c r="Y37">
        <v>0</v>
      </c>
      <c r="Z37">
        <v>1</v>
      </c>
      <c r="AA37">
        <v>0.9</v>
      </c>
      <c r="AB37">
        <v>1.1000000000000001</v>
      </c>
      <c r="AC37">
        <v>0</v>
      </c>
      <c r="AD37">
        <v>0.45950930753828828</v>
      </c>
      <c r="AE37">
        <v>249.42542081988785</v>
      </c>
      <c r="AF37">
        <v>248.43109119249709</v>
      </c>
      <c r="AG37">
        <v>238.94237851938493</v>
      </c>
      <c r="AH37">
        <v>179.06598465670353</v>
      </c>
      <c r="AI37">
        <v>2.1</v>
      </c>
      <c r="AJ37">
        <v>0</v>
      </c>
      <c r="AK37">
        <v>0</v>
      </c>
      <c r="AL37">
        <v>1</v>
      </c>
      <c r="AM37">
        <v>1</v>
      </c>
      <c r="AN37">
        <v>0</v>
      </c>
      <c r="AO37">
        <v>1</v>
      </c>
      <c r="AP37">
        <v>0</v>
      </c>
      <c r="AQ37">
        <v>0</v>
      </c>
      <c r="AR37">
        <v>69.3</v>
      </c>
      <c r="AS37">
        <v>115.2</v>
      </c>
      <c r="AT37">
        <v>231.3</v>
      </c>
      <c r="AU37">
        <v>426.59999999999997</v>
      </c>
      <c r="AV37">
        <v>30</v>
      </c>
    </row>
    <row r="38" spans="1:48">
      <c r="A38">
        <v>37</v>
      </c>
      <c r="B38">
        <v>0</v>
      </c>
      <c r="C38">
        <v>10.519999999999845</v>
      </c>
      <c r="D38">
        <v>8.1799999999998843</v>
      </c>
      <c r="E38">
        <v>0.49881641652180025</v>
      </c>
      <c r="F38">
        <v>0</v>
      </c>
      <c r="G38">
        <v>0</v>
      </c>
      <c r="H38">
        <v>0.17698487274061525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0.59857971499738138</v>
      </c>
      <c r="Q38">
        <v>0.59857971499738138</v>
      </c>
      <c r="R38">
        <v>0</v>
      </c>
      <c r="S38">
        <v>0</v>
      </c>
      <c r="T38" s="15">
        <v>1.0512574369723464</v>
      </c>
      <c r="U38">
        <v>27.834470128129439</v>
      </c>
      <c r="V38">
        <v>0</v>
      </c>
      <c r="W38">
        <v>0</v>
      </c>
      <c r="X38">
        <v>0</v>
      </c>
      <c r="Y38">
        <v>0</v>
      </c>
      <c r="Z38">
        <v>1</v>
      </c>
      <c r="AA38">
        <v>0.9</v>
      </c>
      <c r="AB38">
        <v>1.1000000000000001</v>
      </c>
      <c r="AC38">
        <v>0</v>
      </c>
      <c r="AD38">
        <v>0.48061636260583868</v>
      </c>
      <c r="AE38">
        <v>249.99606189425441</v>
      </c>
      <c r="AF38">
        <v>249.42542081988785</v>
      </c>
      <c r="AG38">
        <v>238.65543281479799</v>
      </c>
      <c r="AH38">
        <v>178.86102343914143</v>
      </c>
      <c r="AI38">
        <v>2.1</v>
      </c>
      <c r="AJ38">
        <v>0</v>
      </c>
      <c r="AK38">
        <v>0</v>
      </c>
      <c r="AL38">
        <v>1</v>
      </c>
      <c r="AM38">
        <v>1</v>
      </c>
      <c r="AN38">
        <v>0</v>
      </c>
      <c r="AO38">
        <v>1</v>
      </c>
      <c r="AP38">
        <v>0</v>
      </c>
      <c r="AQ38">
        <v>0</v>
      </c>
      <c r="AR38">
        <v>69.3</v>
      </c>
      <c r="AS38">
        <v>115.2</v>
      </c>
      <c r="AT38">
        <v>231.3</v>
      </c>
      <c r="AU38">
        <v>426.59999999999997</v>
      </c>
      <c r="AV38">
        <v>30</v>
      </c>
    </row>
    <row r="39" spans="1:48">
      <c r="A39">
        <v>38</v>
      </c>
      <c r="B39">
        <v>31.919999999999625</v>
      </c>
      <c r="C39">
        <v>8.9399999999998716</v>
      </c>
      <c r="D39">
        <v>7.1399999999998958</v>
      </c>
      <c r="E39">
        <v>0.41443166105229717</v>
      </c>
      <c r="F39">
        <v>0</v>
      </c>
      <c r="G39">
        <v>0</v>
      </c>
      <c r="H39">
        <v>0.17605680746492836</v>
      </c>
      <c r="I39">
        <v>0</v>
      </c>
      <c r="J39">
        <v>31.919999999999625</v>
      </c>
      <c r="K39">
        <v>31.919999999999625</v>
      </c>
      <c r="L39">
        <v>12.749568213455916</v>
      </c>
      <c r="M39">
        <v>0</v>
      </c>
      <c r="N39">
        <v>19.170431786543709</v>
      </c>
      <c r="O39">
        <v>12.749568593422666</v>
      </c>
      <c r="P39">
        <v>0.49731800581858365</v>
      </c>
      <c r="Q39">
        <v>0.49731800581858365</v>
      </c>
      <c r="R39">
        <v>0</v>
      </c>
      <c r="S39">
        <v>0</v>
      </c>
      <c r="T39" s="15">
        <v>5.1045981647010192</v>
      </c>
      <c r="U39">
        <v>34.982122551032504</v>
      </c>
      <c r="V39">
        <v>0</v>
      </c>
      <c r="W39">
        <v>0</v>
      </c>
      <c r="X39">
        <v>0</v>
      </c>
      <c r="Y39">
        <v>0</v>
      </c>
      <c r="Z39">
        <v>1</v>
      </c>
      <c r="AA39">
        <v>0.9</v>
      </c>
      <c r="AB39">
        <v>1.1000000000000001</v>
      </c>
      <c r="AC39">
        <v>0</v>
      </c>
      <c r="AD39">
        <v>0.52521829653571128</v>
      </c>
      <c r="AE39">
        <v>254.57544176241967</v>
      </c>
      <c r="AF39">
        <v>249.99606189425441</v>
      </c>
      <c r="AG39">
        <v>238.73904221548463</v>
      </c>
      <c r="AH39">
        <v>178.92074443963187</v>
      </c>
      <c r="AI39">
        <v>2.1</v>
      </c>
      <c r="AJ39">
        <v>0</v>
      </c>
      <c r="AK39">
        <v>0</v>
      </c>
      <c r="AL39">
        <v>1</v>
      </c>
      <c r="AM39">
        <v>1</v>
      </c>
      <c r="AN39">
        <v>0</v>
      </c>
      <c r="AO39">
        <v>1</v>
      </c>
      <c r="AP39">
        <v>0</v>
      </c>
      <c r="AQ39">
        <v>0</v>
      </c>
      <c r="AR39">
        <v>69.3</v>
      </c>
      <c r="AS39">
        <v>115.2</v>
      </c>
      <c r="AT39">
        <v>231.3</v>
      </c>
      <c r="AU39">
        <v>426.59999999999997</v>
      </c>
      <c r="AV39">
        <v>30</v>
      </c>
    </row>
    <row r="40" spans="1:48">
      <c r="A40">
        <v>39</v>
      </c>
      <c r="B40" s="15">
        <v>2.4399999999999893</v>
      </c>
      <c r="C40">
        <v>13.399999999999807</v>
      </c>
      <c r="D40">
        <v>4.3999999999999417</v>
      </c>
      <c r="E40">
        <v>1.061309762865732</v>
      </c>
      <c r="F40">
        <v>0</v>
      </c>
      <c r="G40">
        <v>0</v>
      </c>
      <c r="H40">
        <v>0.18010727574154523</v>
      </c>
      <c r="I40">
        <v>0</v>
      </c>
      <c r="J40" s="15">
        <v>2.4399999999999893</v>
      </c>
      <c r="K40" s="15">
        <v>2.4399999999999893</v>
      </c>
      <c r="L40" s="15">
        <v>2.4399999999999893</v>
      </c>
      <c r="M40">
        <v>0</v>
      </c>
      <c r="N40">
        <v>0</v>
      </c>
      <c r="O40" s="15">
        <v>2.4400000727176554</v>
      </c>
      <c r="P40">
        <v>1.273571747442422</v>
      </c>
      <c r="Q40">
        <v>1.273571747442422</v>
      </c>
      <c r="R40">
        <v>0</v>
      </c>
      <c r="S40">
        <v>0</v>
      </c>
      <c r="T40" s="15">
        <v>4.9281852686485461</v>
      </c>
      <c r="U40">
        <v>31.220365607659204</v>
      </c>
      <c r="V40">
        <v>0</v>
      </c>
      <c r="W40">
        <v>0</v>
      </c>
      <c r="X40">
        <v>0</v>
      </c>
      <c r="Y40">
        <v>0</v>
      </c>
      <c r="Z40">
        <v>1</v>
      </c>
      <c r="AA40">
        <v>0.9</v>
      </c>
      <c r="AB40">
        <v>1.1000000000000001</v>
      </c>
      <c r="AC40">
        <v>0</v>
      </c>
      <c r="AD40">
        <v>0.71056168777704665</v>
      </c>
      <c r="AE40">
        <v>258.79306534329112</v>
      </c>
      <c r="AF40">
        <v>254.57544176241964</v>
      </c>
      <c r="AG40">
        <v>238.37413552844419</v>
      </c>
      <c r="AH40">
        <v>178.66009680603159</v>
      </c>
      <c r="AI40">
        <v>2.1</v>
      </c>
      <c r="AJ40">
        <v>0</v>
      </c>
      <c r="AK40">
        <v>0</v>
      </c>
      <c r="AL40">
        <v>1</v>
      </c>
      <c r="AM40">
        <v>1</v>
      </c>
      <c r="AN40">
        <v>0</v>
      </c>
      <c r="AO40">
        <v>1</v>
      </c>
      <c r="AP40">
        <v>0</v>
      </c>
      <c r="AQ40">
        <v>0</v>
      </c>
      <c r="AR40">
        <v>69.3</v>
      </c>
      <c r="AS40">
        <v>115.2</v>
      </c>
      <c r="AT40">
        <v>231.3</v>
      </c>
      <c r="AU40">
        <v>426.59999999999997</v>
      </c>
      <c r="AV40">
        <v>30</v>
      </c>
    </row>
    <row r="41" spans="1:48">
      <c r="A41">
        <v>40</v>
      </c>
      <c r="B41" s="15">
        <v>2.3599999999999763</v>
      </c>
      <c r="C41">
        <v>11.619999999999834</v>
      </c>
      <c r="D41">
        <v>6.9999999999999005</v>
      </c>
      <c r="E41">
        <v>0.67153261848347401</v>
      </c>
      <c r="F41">
        <v>0</v>
      </c>
      <c r="G41">
        <v>0</v>
      </c>
      <c r="H41">
        <v>0.14905712677061664</v>
      </c>
      <c r="I41">
        <v>0</v>
      </c>
      <c r="J41" s="15">
        <v>2.3599999999999763</v>
      </c>
      <c r="K41" s="15">
        <v>2.3599999999999763</v>
      </c>
      <c r="L41" s="15">
        <v>2.3599999999999763</v>
      </c>
      <c r="M41">
        <v>0</v>
      </c>
      <c r="N41">
        <v>0</v>
      </c>
      <c r="O41" s="15">
        <v>2.3600000703334567</v>
      </c>
      <c r="P41">
        <v>0.8058391623158373</v>
      </c>
      <c r="Q41">
        <v>0.8058391623158373</v>
      </c>
      <c r="R41">
        <v>0</v>
      </c>
      <c r="S41">
        <v>0</v>
      </c>
      <c r="T41" s="15">
        <v>2.3885125499330684</v>
      </c>
      <c r="U41">
        <v>30.386013965743764</v>
      </c>
      <c r="V41">
        <v>0</v>
      </c>
      <c r="W41">
        <v>0</v>
      </c>
      <c r="X41">
        <v>0</v>
      </c>
      <c r="Y41">
        <v>0</v>
      </c>
      <c r="Z41">
        <v>1</v>
      </c>
      <c r="AA41">
        <v>0.9</v>
      </c>
      <c r="AB41">
        <v>1.1000000000000001</v>
      </c>
      <c r="AC41">
        <v>0</v>
      </c>
      <c r="AD41">
        <v>0.80181961024499404</v>
      </c>
      <c r="AE41">
        <v>260.37975828297925</v>
      </c>
      <c r="AF41">
        <v>258.79306534329118</v>
      </c>
      <c r="AG41">
        <v>241.17144344923514</v>
      </c>
      <c r="AH41">
        <v>180.65817389231083</v>
      </c>
      <c r="AI41">
        <v>2.1</v>
      </c>
      <c r="AJ41">
        <v>0</v>
      </c>
      <c r="AK41">
        <v>0</v>
      </c>
      <c r="AL41">
        <v>1</v>
      </c>
      <c r="AM41">
        <v>1</v>
      </c>
      <c r="AN41">
        <v>0</v>
      </c>
      <c r="AO41">
        <v>1</v>
      </c>
      <c r="AP41">
        <v>0</v>
      </c>
      <c r="AQ41">
        <v>0</v>
      </c>
      <c r="AR41">
        <v>69.3</v>
      </c>
      <c r="AS41">
        <v>115.2</v>
      </c>
      <c r="AT41">
        <v>231.3</v>
      </c>
      <c r="AU41">
        <v>426.59999999999997</v>
      </c>
      <c r="AV41">
        <v>30</v>
      </c>
    </row>
    <row r="42" spans="1:48">
      <c r="A42">
        <v>41</v>
      </c>
      <c r="B42">
        <v>15.439999999999788</v>
      </c>
      <c r="C42">
        <v>8.8399999999998773</v>
      </c>
      <c r="D42">
        <v>5.1399999999999419</v>
      </c>
      <c r="E42">
        <v>0.48518582042428582</v>
      </c>
      <c r="F42">
        <v>0</v>
      </c>
      <c r="G42">
        <v>0</v>
      </c>
      <c r="H42">
        <v>0.16776642975749451</v>
      </c>
      <c r="I42">
        <v>0</v>
      </c>
      <c r="J42">
        <v>15.439999999999788</v>
      </c>
      <c r="K42">
        <v>15.439999999999788</v>
      </c>
      <c r="L42">
        <v>9.6856307663302879</v>
      </c>
      <c r="M42">
        <v>0</v>
      </c>
      <c r="N42">
        <v>5.7543692336694994</v>
      </c>
      <c r="O42">
        <v>9.6856310549845812</v>
      </c>
      <c r="P42">
        <v>0.58222299895833163</v>
      </c>
      <c r="Q42">
        <v>0.58222299895833163</v>
      </c>
      <c r="R42">
        <v>0</v>
      </c>
      <c r="S42">
        <v>0</v>
      </c>
      <c r="T42" s="15">
        <v>5.2805694510399741</v>
      </c>
      <c r="U42">
        <v>34.208852570730045</v>
      </c>
      <c r="V42">
        <v>0</v>
      </c>
      <c r="W42">
        <v>0</v>
      </c>
      <c r="X42">
        <v>0</v>
      </c>
      <c r="Y42">
        <v>0</v>
      </c>
      <c r="Z42">
        <v>1</v>
      </c>
      <c r="AA42">
        <v>0.9</v>
      </c>
      <c r="AB42">
        <v>1.1000000000000001</v>
      </c>
      <c r="AC42">
        <v>0</v>
      </c>
      <c r="AD42">
        <v>0.90606014922904177</v>
      </c>
      <c r="AE42">
        <v>264.75426758479023</v>
      </c>
      <c r="AF42">
        <v>260.37975828297925</v>
      </c>
      <c r="AG42">
        <v>239.48592234314734</v>
      </c>
      <c r="AH42">
        <v>179.45423024510524</v>
      </c>
      <c r="AI42">
        <v>2.1</v>
      </c>
      <c r="AJ42">
        <v>0</v>
      </c>
      <c r="AK42">
        <v>0</v>
      </c>
      <c r="AL42">
        <v>1</v>
      </c>
      <c r="AM42">
        <v>1</v>
      </c>
      <c r="AN42">
        <v>0</v>
      </c>
      <c r="AO42">
        <v>1</v>
      </c>
      <c r="AP42">
        <v>0</v>
      </c>
      <c r="AQ42">
        <v>0</v>
      </c>
      <c r="AR42">
        <v>69.3</v>
      </c>
      <c r="AS42">
        <v>115.2</v>
      </c>
      <c r="AT42">
        <v>231.3</v>
      </c>
      <c r="AU42">
        <v>426.59999999999997</v>
      </c>
      <c r="AV42">
        <v>30</v>
      </c>
    </row>
    <row r="43" spans="1:48">
      <c r="A43">
        <v>42</v>
      </c>
      <c r="B43">
        <v>0.15999999999999945</v>
      </c>
      <c r="C43">
        <v>13.519999999999801</v>
      </c>
      <c r="D43">
        <v>1.5399999999999934</v>
      </c>
      <c r="E43">
        <v>0.99177588289371676</v>
      </c>
      <c r="F43">
        <v>0</v>
      </c>
      <c r="G43">
        <v>0</v>
      </c>
      <c r="H43">
        <v>0.17671107609186629</v>
      </c>
      <c r="I43">
        <v>0</v>
      </c>
      <c r="J43">
        <v>0.15999999999999945</v>
      </c>
      <c r="K43">
        <v>0.15999999999999945</v>
      </c>
      <c r="L43">
        <v>0.15999999999999945</v>
      </c>
      <c r="M43">
        <v>0</v>
      </c>
      <c r="N43">
        <v>0</v>
      </c>
      <c r="O43">
        <v>0.16000000476837098</v>
      </c>
      <c r="P43">
        <v>1.1901310887661829</v>
      </c>
      <c r="Q43">
        <v>1.1901310887661829</v>
      </c>
      <c r="R43">
        <v>0</v>
      </c>
      <c r="S43">
        <v>0</v>
      </c>
      <c r="T43" s="15">
        <v>3.4936192727024875</v>
      </c>
      <c r="U43">
        <v>29.685102214029762</v>
      </c>
      <c r="V43">
        <v>0</v>
      </c>
      <c r="W43">
        <v>0</v>
      </c>
      <c r="X43">
        <v>0</v>
      </c>
      <c r="Y43">
        <v>0</v>
      </c>
      <c r="Z43">
        <v>1</v>
      </c>
      <c r="AA43">
        <v>0.9</v>
      </c>
      <c r="AB43">
        <v>1.1000000000000001</v>
      </c>
      <c r="AC43">
        <v>0</v>
      </c>
      <c r="AD43">
        <v>1.1216574983005785</v>
      </c>
      <c r="AE43">
        <v>267.12622935919211</v>
      </c>
      <c r="AF43">
        <v>264.75426758479023</v>
      </c>
      <c r="AG43">
        <v>238.68009915488378</v>
      </c>
      <c r="AH43">
        <v>178.87864225348844</v>
      </c>
      <c r="AI43">
        <v>2.1</v>
      </c>
      <c r="AJ43">
        <v>0</v>
      </c>
      <c r="AK43">
        <v>0</v>
      </c>
      <c r="AL43">
        <v>1</v>
      </c>
      <c r="AM43">
        <v>1</v>
      </c>
      <c r="AN43">
        <v>0</v>
      </c>
      <c r="AO43">
        <v>1</v>
      </c>
      <c r="AP43">
        <v>0</v>
      </c>
      <c r="AQ43">
        <v>0</v>
      </c>
      <c r="AR43">
        <v>69.3</v>
      </c>
      <c r="AS43">
        <v>115.2</v>
      </c>
      <c r="AT43">
        <v>231.3</v>
      </c>
      <c r="AU43">
        <v>426.59999999999997</v>
      </c>
      <c r="AV43">
        <v>30</v>
      </c>
    </row>
    <row r="44" spans="1:48">
      <c r="A44">
        <v>43</v>
      </c>
      <c r="B44" s="15">
        <v>0</v>
      </c>
      <c r="C44">
        <v>5.5399999999999192</v>
      </c>
      <c r="D44">
        <v>-0.79999999999999716</v>
      </c>
      <c r="E44">
        <v>1.0236954938230305</v>
      </c>
      <c r="F44">
        <v>0</v>
      </c>
      <c r="G44">
        <v>0</v>
      </c>
      <c r="H44">
        <v>0.15239475304306443</v>
      </c>
      <c r="I44">
        <v>0</v>
      </c>
      <c r="J44" s="15">
        <v>0</v>
      </c>
      <c r="K44" s="15">
        <v>0</v>
      </c>
      <c r="L44" s="15">
        <v>0</v>
      </c>
      <c r="M44">
        <v>0</v>
      </c>
      <c r="N44">
        <v>0</v>
      </c>
      <c r="O44" s="15">
        <v>0</v>
      </c>
      <c r="P44">
        <v>1.228434622525469</v>
      </c>
      <c r="Q44">
        <v>1.228434622525469</v>
      </c>
      <c r="R44">
        <v>0</v>
      </c>
      <c r="S44">
        <v>0</v>
      </c>
      <c r="T44" s="15">
        <v>1.0256487447430889</v>
      </c>
      <c r="U44">
        <v>27.431018846761209</v>
      </c>
      <c r="V44">
        <v>0</v>
      </c>
      <c r="W44">
        <v>0</v>
      </c>
      <c r="X44">
        <v>0</v>
      </c>
      <c r="Y44">
        <v>0</v>
      </c>
      <c r="Z44">
        <v>1</v>
      </c>
      <c r="AA44">
        <v>0.9</v>
      </c>
      <c r="AB44">
        <v>1.1000000000000001</v>
      </c>
      <c r="AC44">
        <v>0</v>
      </c>
      <c r="AD44">
        <v>1.1607711685760442</v>
      </c>
      <c r="AE44">
        <v>266.99110693535914</v>
      </c>
      <c r="AF44">
        <v>267.12622935919211</v>
      </c>
      <c r="AG44">
        <v>240.87075669835036</v>
      </c>
      <c r="AH44">
        <v>180.44339764167879</v>
      </c>
      <c r="AI44">
        <v>2.1</v>
      </c>
      <c r="AJ44">
        <v>0</v>
      </c>
      <c r="AK44">
        <v>0</v>
      </c>
      <c r="AL44">
        <v>1</v>
      </c>
      <c r="AM44">
        <v>1</v>
      </c>
      <c r="AN44">
        <v>0</v>
      </c>
      <c r="AO44">
        <v>1</v>
      </c>
      <c r="AP44">
        <v>0</v>
      </c>
      <c r="AQ44">
        <v>0</v>
      </c>
      <c r="AR44">
        <v>69.3</v>
      </c>
      <c r="AS44">
        <v>115.2</v>
      </c>
      <c r="AT44">
        <v>231.3</v>
      </c>
      <c r="AU44">
        <v>426.59999999999997</v>
      </c>
      <c r="AV44">
        <v>30</v>
      </c>
    </row>
    <row r="45" spans="1:48">
      <c r="A45">
        <v>44</v>
      </c>
      <c r="B45" s="15">
        <v>0</v>
      </c>
      <c r="C45">
        <v>2.1399999999999637</v>
      </c>
      <c r="D45">
        <v>-2.8399999999999577</v>
      </c>
      <c r="E45">
        <v>0.8646303527460637</v>
      </c>
      <c r="F45">
        <v>0</v>
      </c>
      <c r="G45">
        <v>0</v>
      </c>
      <c r="H45">
        <v>0.15086261172693902</v>
      </c>
      <c r="I45">
        <v>0</v>
      </c>
      <c r="J45" s="15">
        <v>0</v>
      </c>
      <c r="K45" s="15">
        <v>0</v>
      </c>
      <c r="L45" s="15">
        <v>0</v>
      </c>
      <c r="M45">
        <v>0</v>
      </c>
      <c r="N45">
        <v>0</v>
      </c>
      <c r="O45" s="15">
        <v>0</v>
      </c>
      <c r="P45">
        <v>1.0375564482801669</v>
      </c>
      <c r="Q45">
        <v>1.0375564482801669</v>
      </c>
      <c r="R45">
        <v>0</v>
      </c>
      <c r="S45">
        <v>0</v>
      </c>
      <c r="T45" s="15">
        <v>0.45885477902526112</v>
      </c>
      <c r="U45">
        <v>25.934607619455782</v>
      </c>
      <c r="V45">
        <v>0</v>
      </c>
      <c r="W45">
        <v>0</v>
      </c>
      <c r="X45">
        <v>0</v>
      </c>
      <c r="Y45">
        <v>0</v>
      </c>
      <c r="Z45">
        <v>1</v>
      </c>
      <c r="AA45">
        <v>0.9</v>
      </c>
      <c r="AB45">
        <v>1.1000000000000001</v>
      </c>
      <c r="AC45">
        <v>0</v>
      </c>
      <c r="AD45">
        <v>1.1348785501586118</v>
      </c>
      <c r="AE45">
        <v>266.31508316422594</v>
      </c>
      <c r="AF45">
        <v>266.99110693535914</v>
      </c>
      <c r="AG45">
        <v>241.00878730952007</v>
      </c>
      <c r="AH45">
        <v>180.54199093537147</v>
      </c>
      <c r="AI45">
        <v>2.1</v>
      </c>
      <c r="AJ45">
        <v>0</v>
      </c>
      <c r="AK45">
        <v>0</v>
      </c>
      <c r="AL45">
        <v>1</v>
      </c>
      <c r="AM45">
        <v>1</v>
      </c>
      <c r="AN45">
        <v>0</v>
      </c>
      <c r="AO45">
        <v>1</v>
      </c>
      <c r="AP45">
        <v>0</v>
      </c>
      <c r="AQ45">
        <v>0</v>
      </c>
      <c r="AR45">
        <v>69.3</v>
      </c>
      <c r="AS45">
        <v>115.2</v>
      </c>
      <c r="AT45">
        <v>231.3</v>
      </c>
      <c r="AU45">
        <v>426.59999999999997</v>
      </c>
      <c r="AV45">
        <v>30</v>
      </c>
    </row>
    <row r="46" spans="1:48">
      <c r="A46">
        <v>45</v>
      </c>
      <c r="B46">
        <v>0</v>
      </c>
      <c r="C46">
        <v>7.0999999999999037</v>
      </c>
      <c r="D46">
        <v>-5.0999999999999197</v>
      </c>
      <c r="E46">
        <v>0.90977574393249783</v>
      </c>
      <c r="F46">
        <v>0</v>
      </c>
      <c r="G46">
        <v>0</v>
      </c>
      <c r="H46">
        <v>0.1584977385260927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1.0917309186308766</v>
      </c>
      <c r="Q46">
        <v>1.0917309186308766</v>
      </c>
      <c r="R46">
        <v>0</v>
      </c>
      <c r="S46">
        <v>0</v>
      </c>
      <c r="T46" s="15">
        <v>0.23848060513870098</v>
      </c>
      <c r="U46">
        <v>24.604396095686212</v>
      </c>
      <c r="V46">
        <v>0</v>
      </c>
      <c r="W46">
        <v>0</v>
      </c>
      <c r="X46">
        <v>0</v>
      </c>
      <c r="Y46">
        <v>0</v>
      </c>
      <c r="Z46">
        <v>1</v>
      </c>
      <c r="AA46">
        <v>0.9</v>
      </c>
      <c r="AB46">
        <v>1.1000000000000001</v>
      </c>
      <c r="AC46">
        <v>0</v>
      </c>
      <c r="AD46">
        <v>1.0926167249831205</v>
      </c>
      <c r="AE46">
        <v>265.46094704438138</v>
      </c>
      <c r="AF46">
        <v>266.31508316422594</v>
      </c>
      <c r="AG46">
        <v>240.32093873618433</v>
      </c>
      <c r="AH46">
        <v>180.05067052584596</v>
      </c>
      <c r="AI46">
        <v>2.1</v>
      </c>
      <c r="AJ46">
        <v>0</v>
      </c>
      <c r="AK46">
        <v>0</v>
      </c>
      <c r="AL46">
        <v>1</v>
      </c>
      <c r="AM46">
        <v>1</v>
      </c>
      <c r="AN46">
        <v>0</v>
      </c>
      <c r="AO46">
        <v>1</v>
      </c>
      <c r="AP46">
        <v>0</v>
      </c>
      <c r="AQ46">
        <v>0</v>
      </c>
      <c r="AR46">
        <v>69.3</v>
      </c>
      <c r="AS46">
        <v>115.2</v>
      </c>
      <c r="AT46">
        <v>231.3</v>
      </c>
      <c r="AU46">
        <v>426.59999999999997</v>
      </c>
      <c r="AV46">
        <v>30</v>
      </c>
    </row>
    <row r="47" spans="1:48">
      <c r="A47">
        <v>46</v>
      </c>
      <c r="B47">
        <v>0</v>
      </c>
      <c r="C47">
        <v>8.5399999999998766</v>
      </c>
      <c r="D47">
        <v>-4.5999999999999215</v>
      </c>
      <c r="E47">
        <v>0.87351591102135207</v>
      </c>
      <c r="F47">
        <v>0</v>
      </c>
      <c r="G47">
        <v>0</v>
      </c>
      <c r="H47">
        <v>0.15633075976050009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1.0482191176734497</v>
      </c>
      <c r="Q47">
        <v>1.0482191176734497</v>
      </c>
      <c r="R47">
        <v>0</v>
      </c>
      <c r="S47">
        <v>0</v>
      </c>
      <c r="T47" s="15">
        <v>0.12746434274696025</v>
      </c>
      <c r="U47">
        <v>23.428712635265821</v>
      </c>
      <c r="V47">
        <v>0</v>
      </c>
      <c r="W47">
        <v>0</v>
      </c>
      <c r="X47">
        <v>0</v>
      </c>
      <c r="Y47">
        <v>0</v>
      </c>
      <c r="Z47">
        <v>1</v>
      </c>
      <c r="AA47">
        <v>0.9</v>
      </c>
      <c r="AB47">
        <v>1.1000000000000001</v>
      </c>
      <c r="AC47">
        <v>0</v>
      </c>
      <c r="AD47">
        <v>1.0458969263861408</v>
      </c>
      <c r="AE47">
        <v>264.54251446074232</v>
      </c>
      <c r="AF47">
        <v>265.46094704438138</v>
      </c>
      <c r="AG47">
        <v>240.51616185317656</v>
      </c>
      <c r="AH47">
        <v>180.19011560941181</v>
      </c>
      <c r="AI47">
        <v>2.1</v>
      </c>
      <c r="AJ47">
        <v>0</v>
      </c>
      <c r="AK47">
        <v>0</v>
      </c>
      <c r="AL47">
        <v>1</v>
      </c>
      <c r="AM47">
        <v>1</v>
      </c>
      <c r="AN47">
        <v>0</v>
      </c>
      <c r="AO47">
        <v>1</v>
      </c>
      <c r="AP47">
        <v>0</v>
      </c>
      <c r="AQ47">
        <v>0</v>
      </c>
      <c r="AR47">
        <v>69.3</v>
      </c>
      <c r="AS47">
        <v>115.2</v>
      </c>
      <c r="AT47">
        <v>231.3</v>
      </c>
      <c r="AU47">
        <v>426.59999999999997</v>
      </c>
      <c r="AV47">
        <v>30</v>
      </c>
    </row>
    <row r="48" spans="1:48">
      <c r="A48">
        <v>47</v>
      </c>
      <c r="B48">
        <v>0</v>
      </c>
      <c r="C48">
        <v>10.919999999999835</v>
      </c>
      <c r="D48">
        <v>-1.7399999999999607</v>
      </c>
      <c r="E48">
        <v>0.93997007384053555</v>
      </c>
      <c r="F48">
        <v>0</v>
      </c>
      <c r="G48">
        <v>0</v>
      </c>
      <c r="H48">
        <v>0.15807123175989457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1.1279641143650738</v>
      </c>
      <c r="Q48">
        <v>1.1279641143650738</v>
      </c>
      <c r="R48">
        <v>0</v>
      </c>
      <c r="S48">
        <v>0</v>
      </c>
      <c r="T48" s="15">
        <v>6.8093378257767387E-2</v>
      </c>
      <c r="U48">
        <v>22.232655142642976</v>
      </c>
      <c r="V48">
        <v>0</v>
      </c>
      <c r="W48">
        <v>0</v>
      </c>
      <c r="X48">
        <v>0</v>
      </c>
      <c r="Y48">
        <v>0</v>
      </c>
      <c r="Z48">
        <v>1</v>
      </c>
      <c r="AA48">
        <v>0.9</v>
      </c>
      <c r="AB48">
        <v>1.1000000000000001</v>
      </c>
      <c r="AC48">
        <v>0</v>
      </c>
      <c r="AD48">
        <v>0.99928519871781818</v>
      </c>
      <c r="AE48">
        <v>263.61132264028231</v>
      </c>
      <c r="AF48">
        <v>264.54251446074232</v>
      </c>
      <c r="AG48">
        <v>240.35936273075112</v>
      </c>
      <c r="AH48">
        <v>180.07811623625079</v>
      </c>
      <c r="AI48">
        <v>2.1</v>
      </c>
      <c r="AJ48">
        <v>0</v>
      </c>
      <c r="AK48">
        <v>0</v>
      </c>
      <c r="AL48">
        <v>1</v>
      </c>
      <c r="AM48">
        <v>1</v>
      </c>
      <c r="AN48">
        <v>0</v>
      </c>
      <c r="AO48">
        <v>1</v>
      </c>
      <c r="AP48">
        <v>0</v>
      </c>
      <c r="AQ48">
        <v>0</v>
      </c>
      <c r="AR48">
        <v>69.3</v>
      </c>
      <c r="AS48">
        <v>115.2</v>
      </c>
      <c r="AT48">
        <v>231.3</v>
      </c>
      <c r="AU48">
        <v>426.59999999999997</v>
      </c>
      <c r="AV48">
        <v>30</v>
      </c>
    </row>
    <row r="49" spans="1:48">
      <c r="A49">
        <v>48</v>
      </c>
      <c r="B49">
        <v>0.39999999999999858</v>
      </c>
      <c r="C49">
        <v>14.559999999999798</v>
      </c>
      <c r="D49">
        <v>4.7799999999999416</v>
      </c>
      <c r="E49">
        <v>1.0774248254692773</v>
      </c>
      <c r="F49">
        <v>0</v>
      </c>
      <c r="G49">
        <v>0</v>
      </c>
      <c r="H49">
        <v>0.15488143196352719</v>
      </c>
      <c r="I49">
        <v>0</v>
      </c>
      <c r="J49">
        <v>0.39999999999999858</v>
      </c>
      <c r="K49">
        <v>0.39999999999999858</v>
      </c>
      <c r="L49">
        <v>0.39999999999999858</v>
      </c>
      <c r="M49">
        <v>0</v>
      </c>
      <c r="N49">
        <v>0</v>
      </c>
      <c r="O49">
        <v>0.40000001192092777</v>
      </c>
      <c r="P49">
        <v>1.2929098193366544</v>
      </c>
      <c r="Q49">
        <v>1.2929098193366544</v>
      </c>
      <c r="R49">
        <v>0</v>
      </c>
      <c r="S49">
        <v>0</v>
      </c>
      <c r="T49" s="15">
        <v>3.6805580218422639E-2</v>
      </c>
      <c r="U49">
        <v>21.302939755008815</v>
      </c>
      <c r="V49">
        <v>0</v>
      </c>
      <c r="W49">
        <v>0</v>
      </c>
      <c r="X49">
        <v>0</v>
      </c>
      <c r="Y49">
        <v>0</v>
      </c>
      <c r="Z49">
        <v>1</v>
      </c>
      <c r="AA49">
        <v>0.9</v>
      </c>
      <c r="AB49">
        <v>1.1000000000000001</v>
      </c>
      <c r="AC49">
        <v>0</v>
      </c>
      <c r="AD49">
        <v>0.95459901733665853</v>
      </c>
      <c r="AE49">
        <v>262.69352920316413</v>
      </c>
      <c r="AF49">
        <v>263.61132264028231</v>
      </c>
      <c r="AG49">
        <v>240.64673179440584</v>
      </c>
      <c r="AH49">
        <v>180.28337985314704</v>
      </c>
      <c r="AI49">
        <v>2.1</v>
      </c>
      <c r="AJ49">
        <v>0</v>
      </c>
      <c r="AK49">
        <v>0</v>
      </c>
      <c r="AL49">
        <v>1</v>
      </c>
      <c r="AM49">
        <v>1</v>
      </c>
      <c r="AN49">
        <v>0</v>
      </c>
      <c r="AO49">
        <v>1</v>
      </c>
      <c r="AP49">
        <v>0</v>
      </c>
      <c r="AQ49">
        <v>0</v>
      </c>
      <c r="AR49">
        <v>69.3</v>
      </c>
      <c r="AS49">
        <v>115.2</v>
      </c>
      <c r="AT49">
        <v>231.3</v>
      </c>
      <c r="AU49">
        <v>426.59999999999997</v>
      </c>
      <c r="AV49">
        <v>30</v>
      </c>
    </row>
    <row r="50" spans="1:48">
      <c r="A50">
        <v>49</v>
      </c>
      <c r="B50" s="15">
        <v>0.67999999999999106</v>
      </c>
      <c r="C50">
        <v>11.059999999999841</v>
      </c>
      <c r="D50">
        <v>6.3599999999999239</v>
      </c>
      <c r="E50">
        <v>0.88248839435437032</v>
      </c>
      <c r="F50">
        <v>0</v>
      </c>
      <c r="G50">
        <v>0</v>
      </c>
      <c r="H50">
        <v>0.14828360391213694</v>
      </c>
      <c r="I50">
        <v>0</v>
      </c>
      <c r="J50" s="15">
        <v>0.67999999999999106</v>
      </c>
      <c r="K50" s="15">
        <v>0.67999999999999106</v>
      </c>
      <c r="L50" s="15">
        <v>0.67999999999999106</v>
      </c>
      <c r="M50">
        <v>0</v>
      </c>
      <c r="N50">
        <v>0</v>
      </c>
      <c r="O50" s="15">
        <v>0.68000002026557027</v>
      </c>
      <c r="P50">
        <v>1.0589860960662529</v>
      </c>
      <c r="Q50">
        <v>1.0589860960662529</v>
      </c>
      <c r="R50">
        <v>0</v>
      </c>
      <c r="S50">
        <v>0</v>
      </c>
      <c r="T50" s="15">
        <v>2.3939137190709146E-2</v>
      </c>
      <c r="U50">
        <v>20.90001454201742</v>
      </c>
      <c r="V50">
        <v>0</v>
      </c>
      <c r="W50">
        <v>0</v>
      </c>
      <c r="X50">
        <v>0</v>
      </c>
      <c r="Y50">
        <v>0</v>
      </c>
      <c r="Z50">
        <v>1</v>
      </c>
      <c r="AA50">
        <v>0.9</v>
      </c>
      <c r="AB50">
        <v>1.1000000000000001</v>
      </c>
      <c r="AC50">
        <v>0</v>
      </c>
      <c r="AD50">
        <v>0.9127083130930097</v>
      </c>
      <c r="AE50">
        <v>261.80476002726186</v>
      </c>
      <c r="AF50">
        <v>262.69352920316413</v>
      </c>
      <c r="AG50">
        <v>241.24113012355559</v>
      </c>
      <c r="AH50">
        <v>180.70795008825399</v>
      </c>
      <c r="AI50">
        <v>2.1</v>
      </c>
      <c r="AJ50">
        <v>0</v>
      </c>
      <c r="AK50">
        <v>0</v>
      </c>
      <c r="AL50">
        <v>1</v>
      </c>
      <c r="AM50">
        <v>1</v>
      </c>
      <c r="AN50">
        <v>0</v>
      </c>
      <c r="AO50">
        <v>1</v>
      </c>
      <c r="AP50">
        <v>0</v>
      </c>
      <c r="AQ50">
        <v>0</v>
      </c>
      <c r="AR50">
        <v>69.3</v>
      </c>
      <c r="AS50">
        <v>115.2</v>
      </c>
      <c r="AT50">
        <v>231.3</v>
      </c>
      <c r="AU50">
        <v>426.59999999999997</v>
      </c>
      <c r="AV50">
        <v>30</v>
      </c>
    </row>
    <row r="51" spans="1:48">
      <c r="A51">
        <v>50</v>
      </c>
      <c r="B51" s="15">
        <v>0.63999999999999779</v>
      </c>
      <c r="C51">
        <v>11.539999999999834</v>
      </c>
      <c r="D51">
        <v>7.6599999999998971</v>
      </c>
      <c r="E51">
        <v>0.64388003911596869</v>
      </c>
      <c r="F51">
        <v>0</v>
      </c>
      <c r="G51">
        <v>0</v>
      </c>
      <c r="H51">
        <v>0.15764055263380888</v>
      </c>
      <c r="I51">
        <v>0</v>
      </c>
      <c r="J51" s="15">
        <v>0.63999999999999779</v>
      </c>
      <c r="K51" s="15">
        <v>0.63999999999999779</v>
      </c>
      <c r="L51" s="15">
        <v>0.63999999999999779</v>
      </c>
      <c r="M51">
        <v>0</v>
      </c>
      <c r="N51">
        <v>0</v>
      </c>
      <c r="O51" s="15">
        <v>0.64000001907348392</v>
      </c>
      <c r="P51">
        <v>0.77265606297794442</v>
      </c>
      <c r="Q51">
        <v>0.77265606297794442</v>
      </c>
      <c r="R51">
        <v>0</v>
      </c>
      <c r="S51">
        <v>0</v>
      </c>
      <c r="T51" s="15">
        <v>1.9871493299891723E-2</v>
      </c>
      <c r="U51">
        <v>20.747487004813078</v>
      </c>
      <c r="V51">
        <v>0</v>
      </c>
      <c r="W51">
        <v>0</v>
      </c>
      <c r="X51">
        <v>0</v>
      </c>
      <c r="Y51">
        <v>0</v>
      </c>
      <c r="Z51">
        <v>1</v>
      </c>
      <c r="AA51">
        <v>0.9</v>
      </c>
      <c r="AB51">
        <v>1.1000000000000001</v>
      </c>
      <c r="AC51">
        <v>0</v>
      </c>
      <c r="AD51">
        <v>0.87390447935039262</v>
      </c>
      <c r="AE51">
        <v>260.95072704121145</v>
      </c>
      <c r="AF51">
        <v>261.80476002726186</v>
      </c>
      <c r="AG51">
        <v>240.39816261322017</v>
      </c>
      <c r="AH51">
        <v>180.10583043801441</v>
      </c>
      <c r="AI51">
        <v>2.1</v>
      </c>
      <c r="AJ51">
        <v>0</v>
      </c>
      <c r="AK51">
        <v>0</v>
      </c>
      <c r="AL51">
        <v>1</v>
      </c>
      <c r="AM51">
        <v>1</v>
      </c>
      <c r="AN51">
        <v>0</v>
      </c>
      <c r="AO51">
        <v>1</v>
      </c>
      <c r="AP51">
        <v>0</v>
      </c>
      <c r="AQ51">
        <v>0</v>
      </c>
      <c r="AR51">
        <v>69.3</v>
      </c>
      <c r="AS51">
        <v>115.2</v>
      </c>
      <c r="AT51">
        <v>231.3</v>
      </c>
      <c r="AU51">
        <v>426.59999999999997</v>
      </c>
      <c r="AV51">
        <v>30</v>
      </c>
    </row>
    <row r="52" spans="1:48">
      <c r="A52">
        <v>51</v>
      </c>
      <c r="B52" s="15">
        <v>0</v>
      </c>
      <c r="C52">
        <v>12.679999999999819</v>
      </c>
      <c r="D52">
        <v>8.3399999999998879</v>
      </c>
      <c r="E52">
        <v>0.75160935113484528</v>
      </c>
      <c r="F52">
        <v>0</v>
      </c>
      <c r="G52">
        <v>0</v>
      </c>
      <c r="H52">
        <v>0.16909375370134222</v>
      </c>
      <c r="I52">
        <v>0</v>
      </c>
      <c r="J52" s="15">
        <v>0</v>
      </c>
      <c r="K52" s="15">
        <v>0</v>
      </c>
      <c r="L52" s="15">
        <v>0</v>
      </c>
      <c r="M52">
        <v>0</v>
      </c>
      <c r="N52">
        <v>0</v>
      </c>
      <c r="O52" s="15">
        <v>0</v>
      </c>
      <c r="P52">
        <v>0.90193123922150886</v>
      </c>
      <c r="Q52">
        <v>0.90193123922150886</v>
      </c>
      <c r="R52">
        <v>0</v>
      </c>
      <c r="S52">
        <v>0</v>
      </c>
      <c r="T52" s="15">
        <v>1.447396610482999E-2</v>
      </c>
      <c r="U52">
        <v>19.831081799486725</v>
      </c>
      <c r="V52">
        <v>0</v>
      </c>
      <c r="W52">
        <v>0</v>
      </c>
      <c r="X52">
        <v>0</v>
      </c>
      <c r="Y52">
        <v>0</v>
      </c>
      <c r="Z52">
        <v>1</v>
      </c>
      <c r="AA52">
        <v>0.9</v>
      </c>
      <c r="AB52">
        <v>1.1000000000000001</v>
      </c>
      <c r="AC52">
        <v>0</v>
      </c>
      <c r="AD52">
        <v>0.83800041665379055</v>
      </c>
      <c r="AE52">
        <v>260.12720059066237</v>
      </c>
      <c r="AF52">
        <v>260.95072704121145</v>
      </c>
      <c r="AG52">
        <v>239.36634372904609</v>
      </c>
      <c r="AH52">
        <v>179.36881694931861</v>
      </c>
      <c r="AI52">
        <v>2.1</v>
      </c>
      <c r="AJ52">
        <v>0</v>
      </c>
      <c r="AK52">
        <v>0</v>
      </c>
      <c r="AL52">
        <v>1</v>
      </c>
      <c r="AM52">
        <v>1</v>
      </c>
      <c r="AN52">
        <v>0</v>
      </c>
      <c r="AO52">
        <v>1</v>
      </c>
      <c r="AP52">
        <v>0</v>
      </c>
      <c r="AQ52">
        <v>0</v>
      </c>
      <c r="AR52">
        <v>69.3</v>
      </c>
      <c r="AS52">
        <v>115.2</v>
      </c>
      <c r="AT52">
        <v>231.3</v>
      </c>
      <c r="AU52">
        <v>426.59999999999997</v>
      </c>
      <c r="AV52">
        <v>30</v>
      </c>
    </row>
    <row r="53" spans="1:48">
      <c r="A53">
        <v>52</v>
      </c>
      <c r="B53">
        <v>0</v>
      </c>
      <c r="C53">
        <v>15.039999999999793</v>
      </c>
      <c r="D53">
        <v>7.0599999999999152</v>
      </c>
      <c r="E53">
        <v>1.0710829684662369</v>
      </c>
      <c r="F53">
        <v>0</v>
      </c>
      <c r="G53">
        <v>0</v>
      </c>
      <c r="H53">
        <v>0.16392274676718066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1.2852995861631549</v>
      </c>
      <c r="Q53">
        <v>1.2852995861631549</v>
      </c>
      <c r="R53">
        <v>0</v>
      </c>
      <c r="S53">
        <v>0</v>
      </c>
      <c r="T53" s="15">
        <v>7.0657822282763636E-3</v>
      </c>
      <c r="U53">
        <v>18.538716431095299</v>
      </c>
      <c r="V53">
        <v>0</v>
      </c>
      <c r="W53">
        <v>0</v>
      </c>
      <c r="X53">
        <v>0</v>
      </c>
      <c r="Y53">
        <v>0</v>
      </c>
      <c r="Z53">
        <v>1</v>
      </c>
      <c r="AA53">
        <v>0.9</v>
      </c>
      <c r="AB53">
        <v>1.1000000000000001</v>
      </c>
      <c r="AC53">
        <v>0</v>
      </c>
      <c r="AD53">
        <v>0.80453799635620671</v>
      </c>
      <c r="AE53">
        <v>259.32972837653455</v>
      </c>
      <c r="AF53">
        <v>260.12720059066243</v>
      </c>
      <c r="AG53">
        <v>239.8321997437447</v>
      </c>
      <c r="AH53">
        <v>179.70157124553194</v>
      </c>
      <c r="AI53">
        <v>2.1</v>
      </c>
      <c r="AJ53">
        <v>0</v>
      </c>
      <c r="AK53">
        <v>0</v>
      </c>
      <c r="AL53">
        <v>1</v>
      </c>
      <c r="AM53">
        <v>1</v>
      </c>
      <c r="AN53">
        <v>0</v>
      </c>
      <c r="AO53">
        <v>1</v>
      </c>
      <c r="AP53">
        <v>0</v>
      </c>
      <c r="AQ53">
        <v>0</v>
      </c>
      <c r="AR53">
        <v>69.3</v>
      </c>
      <c r="AS53">
        <v>115.2</v>
      </c>
      <c r="AT53">
        <v>231.3</v>
      </c>
      <c r="AU53">
        <v>426.59999999999997</v>
      </c>
      <c r="AV53">
        <v>30</v>
      </c>
    </row>
    <row r="54" spans="1:48">
      <c r="A54">
        <v>53</v>
      </c>
      <c r="B54">
        <v>0</v>
      </c>
      <c r="C54">
        <v>13.819999999999812</v>
      </c>
      <c r="D54">
        <v>5.67999999999995</v>
      </c>
      <c r="E54">
        <v>0.99834408400087793</v>
      </c>
      <c r="F54">
        <v>0</v>
      </c>
      <c r="G54">
        <v>0</v>
      </c>
      <c r="H54">
        <v>0.14858801323227283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1.1980129215891009</v>
      </c>
      <c r="Q54">
        <v>1.1980129215891009</v>
      </c>
      <c r="R54">
        <v>0</v>
      </c>
      <c r="S54">
        <v>0</v>
      </c>
      <c r="T54" s="15">
        <v>2.7578296563447111E-3</v>
      </c>
      <c r="U54">
        <v>17.337945679849842</v>
      </c>
      <c r="V54">
        <v>0</v>
      </c>
      <c r="W54">
        <v>0</v>
      </c>
      <c r="X54">
        <v>0</v>
      </c>
      <c r="Y54">
        <v>0</v>
      </c>
      <c r="Z54">
        <v>1</v>
      </c>
      <c r="AA54">
        <v>0.9</v>
      </c>
      <c r="AB54">
        <v>1.1000000000000001</v>
      </c>
      <c r="AC54">
        <v>0</v>
      </c>
      <c r="AD54">
        <v>0.77330532427672993</v>
      </c>
      <c r="AE54">
        <v>258.55918088191407</v>
      </c>
      <c r="AF54">
        <v>259.32972837653455</v>
      </c>
      <c r="AG54">
        <v>241.21370588790455</v>
      </c>
      <c r="AH54">
        <v>180.68836134850326</v>
      </c>
      <c r="AI54">
        <v>2.1</v>
      </c>
      <c r="AJ54">
        <v>0</v>
      </c>
      <c r="AK54">
        <v>0</v>
      </c>
      <c r="AL54">
        <v>1</v>
      </c>
      <c r="AM54">
        <v>1</v>
      </c>
      <c r="AN54">
        <v>0</v>
      </c>
      <c r="AO54">
        <v>1</v>
      </c>
      <c r="AP54">
        <v>0</v>
      </c>
      <c r="AQ54">
        <v>0</v>
      </c>
      <c r="AR54">
        <v>69.3</v>
      </c>
      <c r="AS54">
        <v>115.2</v>
      </c>
      <c r="AT54">
        <v>231.3</v>
      </c>
      <c r="AU54">
        <v>426.59999999999997</v>
      </c>
      <c r="AV54">
        <v>30</v>
      </c>
    </row>
    <row r="55" spans="1:48">
      <c r="A55">
        <v>54</v>
      </c>
      <c r="B55">
        <v>0</v>
      </c>
      <c r="C55">
        <v>17.679999999999744</v>
      </c>
      <c r="D55">
        <v>4.7199999999999624</v>
      </c>
      <c r="E55">
        <v>1.1982314392734921</v>
      </c>
      <c r="F55">
        <v>0</v>
      </c>
      <c r="G55">
        <v>0</v>
      </c>
      <c r="H55">
        <v>0.15207947973719463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1.43787774984608</v>
      </c>
      <c r="Q55">
        <v>1.4356761032582055</v>
      </c>
      <c r="R55">
        <v>0</v>
      </c>
      <c r="S55">
        <v>0</v>
      </c>
      <c r="T55" s="15">
        <v>9.5828339287131218E-4</v>
      </c>
      <c r="U55">
        <v>15.90131129319877</v>
      </c>
      <c r="V55">
        <v>0</v>
      </c>
      <c r="W55">
        <v>0</v>
      </c>
      <c r="X55">
        <v>0</v>
      </c>
      <c r="Y55">
        <v>0</v>
      </c>
      <c r="Z55">
        <v>1</v>
      </c>
      <c r="AA55">
        <v>0.9</v>
      </c>
      <c r="AB55">
        <v>1.1000000000000001</v>
      </c>
      <c r="AC55">
        <v>0</v>
      </c>
      <c r="AD55">
        <v>0.74419720734329109</v>
      </c>
      <c r="AE55">
        <v>257.81594195796373</v>
      </c>
      <c r="AF55">
        <v>258.55918088191407</v>
      </c>
      <c r="AG55">
        <v>240.89915967047614</v>
      </c>
      <c r="AH55">
        <v>180.46368547891154</v>
      </c>
      <c r="AI55">
        <v>2.1</v>
      </c>
      <c r="AJ55">
        <v>0</v>
      </c>
      <c r="AK55">
        <v>0</v>
      </c>
      <c r="AL55">
        <v>1</v>
      </c>
      <c r="AM55">
        <v>1</v>
      </c>
      <c r="AN55">
        <v>0</v>
      </c>
      <c r="AO55">
        <v>1</v>
      </c>
      <c r="AP55">
        <v>0</v>
      </c>
      <c r="AQ55">
        <v>0</v>
      </c>
      <c r="AR55">
        <v>69.3</v>
      </c>
      <c r="AS55">
        <v>115.2</v>
      </c>
      <c r="AT55">
        <v>231.3</v>
      </c>
      <c r="AU55">
        <v>426.59999999999997</v>
      </c>
      <c r="AV55">
        <v>30</v>
      </c>
    </row>
    <row r="56" spans="1:48">
      <c r="A56">
        <v>55</v>
      </c>
      <c r="B56">
        <v>0</v>
      </c>
      <c r="C56">
        <v>21.179999999999701</v>
      </c>
      <c r="D56">
        <v>4.1399999999999739</v>
      </c>
      <c r="E56">
        <v>1.4657557690772731</v>
      </c>
      <c r="F56">
        <v>0</v>
      </c>
      <c r="G56">
        <v>0</v>
      </c>
      <c r="H56">
        <v>0.14248488682137134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1.7589069474853969</v>
      </c>
      <c r="Q56">
        <v>1.5898796297670659</v>
      </c>
      <c r="R56">
        <v>0</v>
      </c>
      <c r="S56">
        <v>0</v>
      </c>
      <c r="T56" s="15">
        <v>2.338767550735357E-4</v>
      </c>
      <c r="U56">
        <v>14.311197786676631</v>
      </c>
      <c r="V56">
        <v>0</v>
      </c>
      <c r="W56">
        <v>0</v>
      </c>
      <c r="X56">
        <v>0</v>
      </c>
      <c r="Y56">
        <v>0</v>
      </c>
      <c r="Z56">
        <v>1</v>
      </c>
      <c r="AA56">
        <v>0.9</v>
      </c>
      <c r="AB56">
        <v>1.1000000000000001</v>
      </c>
      <c r="AC56">
        <v>0</v>
      </c>
      <c r="AD56">
        <v>0.71705804155165442</v>
      </c>
      <c r="AE56">
        <v>257.09911779316718</v>
      </c>
      <c r="AF56">
        <v>257.81594195796373</v>
      </c>
      <c r="AG56">
        <v>241.76353654626269</v>
      </c>
      <c r="AH56">
        <v>181.08109753304475</v>
      </c>
      <c r="AI56">
        <v>2.1</v>
      </c>
      <c r="AJ56">
        <v>0</v>
      </c>
      <c r="AK56">
        <v>0</v>
      </c>
      <c r="AL56">
        <v>1</v>
      </c>
      <c r="AM56">
        <v>1</v>
      </c>
      <c r="AN56">
        <v>0</v>
      </c>
      <c r="AO56">
        <v>1</v>
      </c>
      <c r="AP56">
        <v>0</v>
      </c>
      <c r="AQ56">
        <v>0</v>
      </c>
      <c r="AR56">
        <v>69.3</v>
      </c>
      <c r="AS56">
        <v>115.2</v>
      </c>
      <c r="AT56">
        <v>231.3</v>
      </c>
      <c r="AU56">
        <v>426.59999999999997</v>
      </c>
      <c r="AV56">
        <v>30</v>
      </c>
    </row>
    <row r="57" spans="1:48">
      <c r="A57">
        <v>56</v>
      </c>
      <c r="B57">
        <v>0</v>
      </c>
      <c r="C57">
        <v>21.159999999999698</v>
      </c>
      <c r="D57">
        <v>3.9199999999999648</v>
      </c>
      <c r="E57">
        <v>1.5073654055460346</v>
      </c>
      <c r="F57">
        <v>0</v>
      </c>
      <c r="G57">
        <v>0</v>
      </c>
      <c r="H57">
        <v>0.12964371920282111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1.8088385081033296</v>
      </c>
      <c r="Q57">
        <v>1.3855078595702361</v>
      </c>
      <c r="R57">
        <v>0</v>
      </c>
      <c r="S57">
        <v>0</v>
      </c>
      <c r="T57" s="15">
        <v>4.187914133128583E-5</v>
      </c>
      <c r="U57">
        <v>12.925648047965062</v>
      </c>
      <c r="V57">
        <v>0</v>
      </c>
      <c r="W57">
        <v>0</v>
      </c>
      <c r="X57">
        <v>0</v>
      </c>
      <c r="Y57">
        <v>0</v>
      </c>
      <c r="Z57">
        <v>1</v>
      </c>
      <c r="AA57">
        <v>0.9</v>
      </c>
      <c r="AB57">
        <v>1.1000000000000001</v>
      </c>
      <c r="AC57">
        <v>0</v>
      </c>
      <c r="AD57">
        <v>0.69172280690680366</v>
      </c>
      <c r="AE57">
        <v>256.40743686540185</v>
      </c>
      <c r="AF57">
        <v>257.09911779316718</v>
      </c>
      <c r="AG57">
        <v>242.92039733701787</v>
      </c>
      <c r="AH57">
        <v>181.9074266692985</v>
      </c>
      <c r="AI57">
        <v>2.1</v>
      </c>
      <c r="AJ57">
        <v>0</v>
      </c>
      <c r="AK57">
        <v>0</v>
      </c>
      <c r="AL57">
        <v>1</v>
      </c>
      <c r="AM57">
        <v>1</v>
      </c>
      <c r="AN57">
        <v>0</v>
      </c>
      <c r="AO57">
        <v>1</v>
      </c>
      <c r="AP57">
        <v>0</v>
      </c>
      <c r="AQ57">
        <v>0</v>
      </c>
      <c r="AR57">
        <v>69.3</v>
      </c>
      <c r="AS57">
        <v>115.2</v>
      </c>
      <c r="AT57">
        <v>231.3</v>
      </c>
      <c r="AU57">
        <v>426.59999999999997</v>
      </c>
      <c r="AV57">
        <v>30</v>
      </c>
    </row>
    <row r="58" spans="1:48">
      <c r="A58">
        <v>57</v>
      </c>
      <c r="B58">
        <v>0</v>
      </c>
      <c r="C58">
        <v>20.739999999999704</v>
      </c>
      <c r="D58">
        <v>4.5799999999999566</v>
      </c>
      <c r="E58">
        <v>1.569098707826925</v>
      </c>
      <c r="F58">
        <v>0</v>
      </c>
      <c r="G58">
        <v>0</v>
      </c>
      <c r="H58">
        <v>0.12764645682274611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1.8829184670529258</v>
      </c>
      <c r="Q58">
        <v>1.2151959024550767</v>
      </c>
      <c r="R58">
        <v>0</v>
      </c>
      <c r="S58">
        <v>0</v>
      </c>
      <c r="T58" s="15">
        <v>6.7670467995387991E-6</v>
      </c>
      <c r="U58">
        <v>11.710445378463184</v>
      </c>
      <c r="V58">
        <v>0</v>
      </c>
      <c r="W58">
        <v>0</v>
      </c>
      <c r="X58">
        <v>0</v>
      </c>
      <c r="Y58">
        <v>0</v>
      </c>
      <c r="Z58">
        <v>1</v>
      </c>
      <c r="AA58">
        <v>0.9</v>
      </c>
      <c r="AB58">
        <v>1.1000000000000001</v>
      </c>
      <c r="AC58">
        <v>0</v>
      </c>
      <c r="AD58">
        <v>0.66803001183186972</v>
      </c>
      <c r="AE58">
        <v>255.73941362061672</v>
      </c>
      <c r="AF58">
        <v>256.40743686540191</v>
      </c>
      <c r="AG58">
        <v>243.10033070483883</v>
      </c>
      <c r="AH58">
        <v>182.03595050345629</v>
      </c>
      <c r="AI58">
        <v>2.1</v>
      </c>
      <c r="AJ58">
        <v>0</v>
      </c>
      <c r="AK58">
        <v>0</v>
      </c>
      <c r="AL58">
        <v>1</v>
      </c>
      <c r="AM58">
        <v>1</v>
      </c>
      <c r="AN58">
        <v>0</v>
      </c>
      <c r="AO58">
        <v>1</v>
      </c>
      <c r="AP58">
        <v>0</v>
      </c>
      <c r="AQ58">
        <v>0</v>
      </c>
      <c r="AR58">
        <v>69.3</v>
      </c>
      <c r="AS58">
        <v>115.2</v>
      </c>
      <c r="AT58">
        <v>231.3</v>
      </c>
      <c r="AU58">
        <v>426.59999999999997</v>
      </c>
      <c r="AV58">
        <v>30</v>
      </c>
    </row>
    <row r="59" spans="1:48">
      <c r="A59">
        <v>58</v>
      </c>
      <c r="B59">
        <v>0</v>
      </c>
      <c r="C59">
        <v>18.879999999999722</v>
      </c>
      <c r="D59">
        <v>6.2399999999999354</v>
      </c>
      <c r="E59">
        <v>1.8222778279345344</v>
      </c>
      <c r="F59">
        <v>0</v>
      </c>
      <c r="G59">
        <v>0</v>
      </c>
      <c r="H59">
        <v>0.12468325853099491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2.1867334077231408</v>
      </c>
      <c r="Q59">
        <v>1.1688281245792382</v>
      </c>
      <c r="R59">
        <v>0</v>
      </c>
      <c r="S59">
        <v>0</v>
      </c>
      <c r="T59" s="15">
        <v>9.1351698844206419E-7</v>
      </c>
      <c r="U59">
        <v>10.541616340366961</v>
      </c>
      <c r="V59">
        <v>0</v>
      </c>
      <c r="W59">
        <v>0</v>
      </c>
      <c r="X59">
        <v>0</v>
      </c>
      <c r="Y59">
        <v>0</v>
      </c>
      <c r="Z59">
        <v>1</v>
      </c>
      <c r="AA59">
        <v>0.9</v>
      </c>
      <c r="AB59">
        <v>1.1000000000000001</v>
      </c>
      <c r="AC59">
        <v>0</v>
      </c>
      <c r="AD59">
        <v>0.64582969168153803</v>
      </c>
      <c r="AE59">
        <v>255.09358484245215</v>
      </c>
      <c r="AF59">
        <v>255.73941362061669</v>
      </c>
      <c r="AG59">
        <v>243.36728523894269</v>
      </c>
      <c r="AH59">
        <v>182.2266323135305</v>
      </c>
      <c r="AI59">
        <v>2.1</v>
      </c>
      <c r="AJ59">
        <v>0</v>
      </c>
      <c r="AK59">
        <v>0</v>
      </c>
      <c r="AL59">
        <v>1</v>
      </c>
      <c r="AM59">
        <v>1</v>
      </c>
      <c r="AN59">
        <v>0</v>
      </c>
      <c r="AO59">
        <v>1</v>
      </c>
      <c r="AP59">
        <v>0</v>
      </c>
      <c r="AQ59">
        <v>0</v>
      </c>
      <c r="AR59">
        <v>69.3</v>
      </c>
      <c r="AS59">
        <v>115.2</v>
      </c>
      <c r="AT59">
        <v>231.3</v>
      </c>
      <c r="AU59">
        <v>426.59999999999997</v>
      </c>
      <c r="AV59">
        <v>30</v>
      </c>
    </row>
    <row r="60" spans="1:48">
      <c r="A60">
        <v>59</v>
      </c>
      <c r="B60">
        <v>0</v>
      </c>
      <c r="C60">
        <v>13.839999999999797</v>
      </c>
      <c r="D60">
        <v>4.6799999999999597</v>
      </c>
      <c r="E60">
        <v>1.7402961185466972</v>
      </c>
      <c r="F60">
        <v>0</v>
      </c>
      <c r="G60">
        <v>0</v>
      </c>
      <c r="H60">
        <v>0.11253066117581803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2.0883553488182978</v>
      </c>
      <c r="Q60">
        <v>0.91514828071598531</v>
      </c>
      <c r="R60">
        <v>0</v>
      </c>
      <c r="S60">
        <v>0</v>
      </c>
      <c r="T60" s="15">
        <v>8.6166061008311923E-8</v>
      </c>
      <c r="U60">
        <v>9.6264679734849192</v>
      </c>
      <c r="V60">
        <v>0</v>
      </c>
      <c r="W60">
        <v>0</v>
      </c>
      <c r="X60">
        <v>0</v>
      </c>
      <c r="Y60">
        <v>0</v>
      </c>
      <c r="Z60">
        <v>1</v>
      </c>
      <c r="AA60">
        <v>0.9</v>
      </c>
      <c r="AB60">
        <v>1.1000000000000001</v>
      </c>
      <c r="AC60">
        <v>0</v>
      </c>
      <c r="AD60">
        <v>0.6249877729878951</v>
      </c>
      <c r="AE60">
        <v>254.46859715563031</v>
      </c>
      <c r="AF60">
        <v>255.0935848424522</v>
      </c>
      <c r="AG60">
        <v>244.46211273467054</v>
      </c>
      <c r="AH60">
        <v>183.00865195333611</v>
      </c>
      <c r="AI60">
        <v>2.1</v>
      </c>
      <c r="AJ60">
        <v>0</v>
      </c>
      <c r="AK60">
        <v>0</v>
      </c>
      <c r="AL60">
        <v>1</v>
      </c>
      <c r="AM60">
        <v>1</v>
      </c>
      <c r="AN60">
        <v>0</v>
      </c>
      <c r="AO60">
        <v>1</v>
      </c>
      <c r="AP60">
        <v>0</v>
      </c>
      <c r="AQ60">
        <v>0</v>
      </c>
      <c r="AR60">
        <v>69.3</v>
      </c>
      <c r="AS60">
        <v>115.2</v>
      </c>
      <c r="AT60">
        <v>231.3</v>
      </c>
      <c r="AU60">
        <v>426.59999999999997</v>
      </c>
      <c r="AV60">
        <v>30</v>
      </c>
    </row>
    <row r="61" spans="1:48">
      <c r="A61">
        <v>60</v>
      </c>
      <c r="B61">
        <v>0</v>
      </c>
      <c r="C61">
        <v>16.739999999999757</v>
      </c>
      <c r="D61">
        <v>1.7799999999999969</v>
      </c>
      <c r="E61">
        <v>1.5949241515435957</v>
      </c>
      <c r="F61">
        <v>0</v>
      </c>
      <c r="G61">
        <v>0</v>
      </c>
      <c r="H61">
        <v>0.11646578344405491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1.9139089804258591</v>
      </c>
      <c r="Q61">
        <v>0.69644486321170107</v>
      </c>
      <c r="R61">
        <v>0</v>
      </c>
      <c r="S61">
        <v>0</v>
      </c>
      <c r="T61" s="15">
        <v>7.8932460838642695E-9</v>
      </c>
      <c r="U61">
        <v>8.930023102379975</v>
      </c>
      <c r="V61">
        <v>0</v>
      </c>
      <c r="W61">
        <v>0</v>
      </c>
      <c r="X61">
        <v>0</v>
      </c>
      <c r="Y61">
        <v>0</v>
      </c>
      <c r="Z61">
        <v>1</v>
      </c>
      <c r="AA61">
        <v>0.9</v>
      </c>
      <c r="AB61">
        <v>1.1000000000000001</v>
      </c>
      <c r="AC61">
        <v>0</v>
      </c>
      <c r="AD61">
        <v>0.6053853468509196</v>
      </c>
      <c r="AE61">
        <v>253.86321181667262</v>
      </c>
      <c r="AF61">
        <v>254.46859715563031</v>
      </c>
      <c r="AG61">
        <v>244.1075975695251</v>
      </c>
      <c r="AH61">
        <v>182.75542683537506</v>
      </c>
      <c r="AI61">
        <v>2.1</v>
      </c>
      <c r="AJ61">
        <v>0</v>
      </c>
      <c r="AK61">
        <v>0</v>
      </c>
      <c r="AL61">
        <v>1</v>
      </c>
      <c r="AM61">
        <v>1</v>
      </c>
      <c r="AN61">
        <v>0</v>
      </c>
      <c r="AO61">
        <v>1</v>
      </c>
      <c r="AP61">
        <v>0</v>
      </c>
      <c r="AQ61">
        <v>0</v>
      </c>
      <c r="AR61">
        <v>69.3</v>
      </c>
      <c r="AS61">
        <v>115.2</v>
      </c>
      <c r="AT61">
        <v>231.3</v>
      </c>
      <c r="AU61">
        <v>426.59999999999997</v>
      </c>
      <c r="AV61">
        <v>30</v>
      </c>
    </row>
    <row r="62" spans="1:48">
      <c r="A62">
        <v>61</v>
      </c>
      <c r="B62">
        <v>0</v>
      </c>
      <c r="C62">
        <v>16.739999999999757</v>
      </c>
      <c r="D62">
        <v>1.4000000000000012</v>
      </c>
      <c r="E62">
        <v>1.5809315456281472</v>
      </c>
      <c r="F62">
        <v>0</v>
      </c>
      <c r="G62">
        <v>0</v>
      </c>
      <c r="H62">
        <v>0.12344363802378526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1.8971178448029946</v>
      </c>
      <c r="Q62">
        <v>0.57834894253412183</v>
      </c>
      <c r="R62">
        <v>0</v>
      </c>
      <c r="S62">
        <v>0</v>
      </c>
      <c r="T62" s="15">
        <v>7.1623606638281297E-10</v>
      </c>
      <c r="U62">
        <v>8.3516741591296118</v>
      </c>
      <c r="V62">
        <v>0</v>
      </c>
      <c r="W62">
        <v>0</v>
      </c>
      <c r="X62">
        <v>0</v>
      </c>
      <c r="Y62">
        <v>0</v>
      </c>
      <c r="Z62">
        <v>1</v>
      </c>
      <c r="AA62">
        <v>0.9</v>
      </c>
      <c r="AB62">
        <v>1.1000000000000001</v>
      </c>
      <c r="AC62">
        <v>0</v>
      </c>
      <c r="AD62">
        <v>0.58691682776272602</v>
      </c>
      <c r="AE62">
        <v>253.27629498962611</v>
      </c>
      <c r="AF62">
        <v>253.86321181667265</v>
      </c>
      <c r="AG62">
        <v>243.47896265043718</v>
      </c>
      <c r="AH62">
        <v>182.30640189316944</v>
      </c>
      <c r="AI62">
        <v>2.1</v>
      </c>
      <c r="AJ62">
        <v>0</v>
      </c>
      <c r="AK62">
        <v>0</v>
      </c>
      <c r="AL62">
        <v>1</v>
      </c>
      <c r="AM62">
        <v>1</v>
      </c>
      <c r="AN62">
        <v>0</v>
      </c>
      <c r="AO62">
        <v>1</v>
      </c>
      <c r="AP62">
        <v>0</v>
      </c>
      <c r="AQ62">
        <v>0</v>
      </c>
      <c r="AR62">
        <v>69.3</v>
      </c>
      <c r="AS62">
        <v>115.2</v>
      </c>
      <c r="AT62">
        <v>231.3</v>
      </c>
      <c r="AU62">
        <v>426.59999999999997</v>
      </c>
      <c r="AV62">
        <v>30</v>
      </c>
    </row>
    <row r="63" spans="1:48">
      <c r="A63">
        <v>62</v>
      </c>
      <c r="B63" s="15">
        <v>0</v>
      </c>
      <c r="C63">
        <v>15.059999999999784</v>
      </c>
      <c r="D63">
        <v>4.0799999999999645</v>
      </c>
      <c r="E63">
        <v>1.2386207486183141</v>
      </c>
      <c r="F63">
        <v>0</v>
      </c>
      <c r="G63">
        <v>0</v>
      </c>
      <c r="H63">
        <v>0.1241152834336874</v>
      </c>
      <c r="I63">
        <v>0</v>
      </c>
      <c r="J63" s="15">
        <v>0</v>
      </c>
      <c r="K63" s="15">
        <v>0</v>
      </c>
      <c r="L63" s="15">
        <v>0</v>
      </c>
      <c r="M63">
        <v>0</v>
      </c>
      <c r="N63">
        <v>0</v>
      </c>
      <c r="O63" s="15">
        <v>0</v>
      </c>
      <c r="P63">
        <v>1.4863448828189356</v>
      </c>
      <c r="Q63">
        <v>0.38702224727296097</v>
      </c>
      <c r="R63">
        <v>0</v>
      </c>
      <c r="S63">
        <v>0</v>
      </c>
      <c r="T63" s="15">
        <v>5.626535909574549E-11</v>
      </c>
      <c r="U63">
        <v>7.9646519118003862</v>
      </c>
      <c r="V63">
        <v>0</v>
      </c>
      <c r="W63">
        <v>0</v>
      </c>
      <c r="X63">
        <v>0</v>
      </c>
      <c r="Y63">
        <v>0</v>
      </c>
      <c r="Z63">
        <v>1</v>
      </c>
      <c r="AA63">
        <v>0.9</v>
      </c>
      <c r="AB63">
        <v>1.1000000000000001</v>
      </c>
      <c r="AC63">
        <v>0</v>
      </c>
      <c r="AD63">
        <v>0.56948818937090073</v>
      </c>
      <c r="AE63">
        <v>252.70680680031148</v>
      </c>
      <c r="AF63">
        <v>253.27629498962611</v>
      </c>
      <c r="AG63">
        <v>243.41845411545913</v>
      </c>
      <c r="AH63">
        <v>182.26318151104223</v>
      </c>
      <c r="AI63">
        <v>2.1</v>
      </c>
      <c r="AJ63">
        <v>0</v>
      </c>
      <c r="AK63">
        <v>0</v>
      </c>
      <c r="AL63">
        <v>1</v>
      </c>
      <c r="AM63">
        <v>1</v>
      </c>
      <c r="AN63">
        <v>0</v>
      </c>
      <c r="AO63">
        <v>1</v>
      </c>
      <c r="AP63">
        <v>0</v>
      </c>
      <c r="AQ63">
        <v>0</v>
      </c>
      <c r="AR63">
        <v>69.3</v>
      </c>
      <c r="AS63">
        <v>115.2</v>
      </c>
      <c r="AT63">
        <v>231.3</v>
      </c>
      <c r="AU63">
        <v>426.59999999999997</v>
      </c>
      <c r="AV63">
        <v>30</v>
      </c>
    </row>
    <row r="64" spans="1:48">
      <c r="A64">
        <v>63</v>
      </c>
      <c r="B64">
        <v>0</v>
      </c>
      <c r="C64">
        <v>14.979999999999784</v>
      </c>
      <c r="D64">
        <v>2.6999999999999917</v>
      </c>
      <c r="E64">
        <v>1.3793333100211262</v>
      </c>
      <c r="F64">
        <v>0</v>
      </c>
      <c r="G64">
        <v>0</v>
      </c>
      <c r="H64">
        <v>0.14054620154579009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1.6551999448173866</v>
      </c>
      <c r="Q64">
        <v>0.37256940149074419</v>
      </c>
      <c r="R64">
        <v>0</v>
      </c>
      <c r="S64">
        <v>0</v>
      </c>
      <c r="T64" s="15">
        <v>5.4130040362763971E-12</v>
      </c>
      <c r="U64">
        <v>7.5920825103042286</v>
      </c>
      <c r="V64">
        <v>0</v>
      </c>
      <c r="W64">
        <v>0</v>
      </c>
      <c r="X64">
        <v>0</v>
      </c>
      <c r="Y64">
        <v>0</v>
      </c>
      <c r="Z64">
        <v>1</v>
      </c>
      <c r="AA64">
        <v>0.9</v>
      </c>
      <c r="AB64">
        <v>1.1000000000000001</v>
      </c>
      <c r="AC64">
        <v>0</v>
      </c>
      <c r="AD64">
        <v>0.55301543776531736</v>
      </c>
      <c r="AE64">
        <v>252.1537913625516</v>
      </c>
      <c r="AF64">
        <v>252.70680680031148</v>
      </c>
      <c r="AG64">
        <v>241.9381927027398</v>
      </c>
      <c r="AH64">
        <v>181.20585193052841</v>
      </c>
      <c r="AI64">
        <v>2.1</v>
      </c>
      <c r="AJ64">
        <v>0</v>
      </c>
      <c r="AK64">
        <v>0</v>
      </c>
      <c r="AL64">
        <v>1</v>
      </c>
      <c r="AM64">
        <v>1</v>
      </c>
      <c r="AN64">
        <v>0</v>
      </c>
      <c r="AO64">
        <v>1</v>
      </c>
      <c r="AP64">
        <v>0</v>
      </c>
      <c r="AQ64">
        <v>0</v>
      </c>
      <c r="AR64">
        <v>69.3</v>
      </c>
      <c r="AS64">
        <v>115.2</v>
      </c>
      <c r="AT64">
        <v>231.3</v>
      </c>
      <c r="AU64">
        <v>426.59999999999997</v>
      </c>
      <c r="AV64">
        <v>30</v>
      </c>
    </row>
    <row r="65" spans="1:48">
      <c r="A65">
        <v>64</v>
      </c>
      <c r="B65" s="15">
        <v>0</v>
      </c>
      <c r="C65">
        <v>17.439999999999749</v>
      </c>
      <c r="D65">
        <v>6.1199999999999157</v>
      </c>
      <c r="E65">
        <v>1.8007681935911806</v>
      </c>
      <c r="F65">
        <v>0</v>
      </c>
      <c r="G65">
        <v>0</v>
      </c>
      <c r="H65">
        <v>0.13379199921682025</v>
      </c>
      <c r="I65">
        <v>0</v>
      </c>
      <c r="J65" s="15">
        <v>0</v>
      </c>
      <c r="K65" s="15">
        <v>0</v>
      </c>
      <c r="L65" s="15">
        <v>0</v>
      </c>
      <c r="M65">
        <v>0</v>
      </c>
      <c r="N65">
        <v>0</v>
      </c>
      <c r="O65" s="15">
        <v>0</v>
      </c>
      <c r="P65">
        <v>2.1609217818822581</v>
      </c>
      <c r="Q65">
        <v>0.40772778314859243</v>
      </c>
      <c r="R65">
        <v>0</v>
      </c>
      <c r="S65">
        <v>0</v>
      </c>
      <c r="T65" s="15">
        <v>2.6670254206175625E-13</v>
      </c>
      <c r="U65">
        <v>7.1843547271553714</v>
      </c>
      <c r="V65">
        <v>0</v>
      </c>
      <c r="W65">
        <v>0</v>
      </c>
      <c r="X65">
        <v>0</v>
      </c>
      <c r="Y65">
        <v>0</v>
      </c>
      <c r="Z65">
        <v>1</v>
      </c>
      <c r="AA65">
        <v>0.9</v>
      </c>
      <c r="AB65">
        <v>1.1000000000000001</v>
      </c>
      <c r="AC65">
        <v>0</v>
      </c>
      <c r="AD65">
        <v>0.53742331498564633</v>
      </c>
      <c r="AE65">
        <v>251.61636804756628</v>
      </c>
      <c r="AF65">
        <v>252.15379136255163</v>
      </c>
      <c r="AG65">
        <v>242.54667879055665</v>
      </c>
      <c r="AH65">
        <v>181.64048485039763</v>
      </c>
      <c r="AI65">
        <v>2.1</v>
      </c>
      <c r="AJ65">
        <v>0</v>
      </c>
      <c r="AK65">
        <v>0</v>
      </c>
      <c r="AL65">
        <v>1</v>
      </c>
      <c r="AM65">
        <v>1</v>
      </c>
      <c r="AN65">
        <v>0</v>
      </c>
      <c r="AO65">
        <v>1</v>
      </c>
      <c r="AP65">
        <v>0</v>
      </c>
      <c r="AQ65">
        <v>0</v>
      </c>
      <c r="AR65">
        <v>69.3</v>
      </c>
      <c r="AS65">
        <v>115.2</v>
      </c>
      <c r="AT65">
        <v>231.3</v>
      </c>
      <c r="AU65">
        <v>426.59999999999997</v>
      </c>
      <c r="AV65">
        <v>30</v>
      </c>
    </row>
    <row r="66" spans="1:48">
      <c r="A66">
        <v>65</v>
      </c>
      <c r="B66">
        <v>0.55999999999999794</v>
      </c>
      <c r="C66">
        <v>9.9599999999998552</v>
      </c>
      <c r="D66" s="15">
        <v>4.3599999999999532</v>
      </c>
      <c r="E66">
        <v>1.2614399722819389</v>
      </c>
      <c r="F66">
        <v>0</v>
      </c>
      <c r="G66">
        <v>0</v>
      </c>
      <c r="H66">
        <v>0.11356312618637594</v>
      </c>
      <c r="I66">
        <v>0</v>
      </c>
      <c r="J66">
        <v>0.55999999999999794</v>
      </c>
      <c r="K66">
        <v>0.55999999999999794</v>
      </c>
      <c r="L66">
        <v>0.55999999999999794</v>
      </c>
      <c r="M66">
        <v>0</v>
      </c>
      <c r="N66">
        <v>0</v>
      </c>
      <c r="O66">
        <v>0.56000001668929855</v>
      </c>
      <c r="P66">
        <v>1.5137279194206124</v>
      </c>
      <c r="Q66">
        <v>0.27760728061370288</v>
      </c>
      <c r="R66">
        <v>0</v>
      </c>
      <c r="S66">
        <v>0</v>
      </c>
      <c r="T66" s="15">
        <v>4.5816679995468157E-14</v>
      </c>
      <c r="U66">
        <v>7.466747463230921</v>
      </c>
      <c r="V66">
        <v>0</v>
      </c>
      <c r="W66">
        <v>0</v>
      </c>
      <c r="X66">
        <v>0</v>
      </c>
      <c r="Y66">
        <v>0</v>
      </c>
      <c r="Z66">
        <v>1</v>
      </c>
      <c r="AA66">
        <v>0.9</v>
      </c>
      <c r="AB66">
        <v>1.1000000000000001</v>
      </c>
      <c r="AC66">
        <v>0</v>
      </c>
      <c r="AD66">
        <v>0.52264419746744684</v>
      </c>
      <c r="AE66">
        <v>251.09372385009885</v>
      </c>
      <c r="AF66">
        <v>251.61636804756625</v>
      </c>
      <c r="AG66">
        <v>244.36909796186941</v>
      </c>
      <c r="AH66">
        <v>182.94221282990674</v>
      </c>
      <c r="AI66">
        <v>2.1</v>
      </c>
      <c r="AJ66">
        <v>0</v>
      </c>
      <c r="AK66">
        <v>0</v>
      </c>
      <c r="AL66">
        <v>1</v>
      </c>
      <c r="AM66">
        <v>1</v>
      </c>
      <c r="AN66">
        <v>0</v>
      </c>
      <c r="AO66">
        <v>1</v>
      </c>
      <c r="AP66">
        <v>0</v>
      </c>
      <c r="AQ66">
        <v>0</v>
      </c>
      <c r="AR66">
        <v>69.3</v>
      </c>
      <c r="AS66">
        <v>115.2</v>
      </c>
      <c r="AT66">
        <v>231.3</v>
      </c>
      <c r="AU66">
        <v>426.59999999999997</v>
      </c>
      <c r="AV66">
        <v>30</v>
      </c>
    </row>
    <row r="67" spans="1:48">
      <c r="A67">
        <v>66</v>
      </c>
      <c r="B67">
        <v>0</v>
      </c>
      <c r="C67">
        <v>12.559999999999814</v>
      </c>
      <c r="D67">
        <v>-0.21999999999997891</v>
      </c>
      <c r="E67">
        <v>1.510018453793835</v>
      </c>
      <c r="F67">
        <v>0</v>
      </c>
      <c r="G67">
        <v>0</v>
      </c>
      <c r="H67">
        <v>0.13945088010620538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1.8120220714518633</v>
      </c>
      <c r="Q67">
        <v>0.32787889684555988</v>
      </c>
      <c r="R67">
        <v>0</v>
      </c>
      <c r="S67">
        <v>0</v>
      </c>
      <c r="T67" s="15">
        <v>7.9901620979828357E-14</v>
      </c>
      <c r="U67">
        <v>7.1388685663852804</v>
      </c>
      <c r="V67">
        <v>0</v>
      </c>
      <c r="W67">
        <v>0</v>
      </c>
      <c r="X67">
        <v>0</v>
      </c>
      <c r="Y67">
        <v>0</v>
      </c>
      <c r="Z67">
        <v>1</v>
      </c>
      <c r="AA67">
        <v>0.9</v>
      </c>
      <c r="AB67">
        <v>1.1000000000000001</v>
      </c>
      <c r="AC67">
        <v>0</v>
      </c>
      <c r="AD67">
        <v>0.50861715651446282</v>
      </c>
      <c r="AE67">
        <v>250.58510669358458</v>
      </c>
      <c r="AF67">
        <v>251.09372385009888</v>
      </c>
      <c r="AG67">
        <v>242.03687021123196</v>
      </c>
      <c r="AH67">
        <v>181.27633586516572</v>
      </c>
      <c r="AI67">
        <v>2.1</v>
      </c>
      <c r="AJ67">
        <v>0</v>
      </c>
      <c r="AK67">
        <v>0</v>
      </c>
      <c r="AL67">
        <v>1</v>
      </c>
      <c r="AM67">
        <v>1</v>
      </c>
      <c r="AN67">
        <v>0</v>
      </c>
      <c r="AO67">
        <v>1</v>
      </c>
      <c r="AP67">
        <v>0</v>
      </c>
      <c r="AQ67">
        <v>0</v>
      </c>
      <c r="AR67">
        <v>69.3</v>
      </c>
      <c r="AS67">
        <v>115.2</v>
      </c>
      <c r="AT67">
        <v>231.3</v>
      </c>
      <c r="AU67">
        <v>426.59999999999997</v>
      </c>
      <c r="AV67">
        <v>30</v>
      </c>
    </row>
    <row r="68" spans="1:48">
      <c r="A68">
        <v>67</v>
      </c>
      <c r="B68">
        <v>0</v>
      </c>
      <c r="C68">
        <v>13.179999999999804</v>
      </c>
      <c r="D68">
        <v>0.90000000000001279</v>
      </c>
      <c r="E68">
        <v>1.5363747360132918</v>
      </c>
      <c r="F68">
        <v>0</v>
      </c>
      <c r="G68">
        <v>0</v>
      </c>
      <c r="H68">
        <v>0.12751911429165108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1.8436495896785565</v>
      </c>
      <c r="Q68">
        <v>0.28152829033323556</v>
      </c>
      <c r="R68">
        <v>0</v>
      </c>
      <c r="S68">
        <v>0</v>
      </c>
      <c r="T68" s="15">
        <v>1.0014197075579005E-15</v>
      </c>
      <c r="U68">
        <v>6.8573402760520441</v>
      </c>
      <c r="V68">
        <v>0</v>
      </c>
      <c r="W68">
        <v>0</v>
      </c>
      <c r="X68">
        <v>0</v>
      </c>
      <c r="Y68">
        <v>0</v>
      </c>
      <c r="Z68">
        <v>1</v>
      </c>
      <c r="AA68">
        <v>0.9</v>
      </c>
      <c r="AB68">
        <v>1.1000000000000001</v>
      </c>
      <c r="AC68">
        <v>0</v>
      </c>
      <c r="AD68">
        <v>0.49528715375346738</v>
      </c>
      <c r="AE68">
        <v>250.08981953983104</v>
      </c>
      <c r="AF68">
        <v>250.58510669358458</v>
      </c>
      <c r="AG68">
        <v>243.11180299346518</v>
      </c>
      <c r="AH68">
        <v>182.04414499533226</v>
      </c>
      <c r="AI68">
        <v>2.1</v>
      </c>
      <c r="AJ68">
        <v>0</v>
      </c>
      <c r="AK68">
        <v>0</v>
      </c>
      <c r="AL68">
        <v>1</v>
      </c>
      <c r="AM68">
        <v>1</v>
      </c>
      <c r="AN68">
        <v>0</v>
      </c>
      <c r="AO68">
        <v>1</v>
      </c>
      <c r="AP68">
        <v>0</v>
      </c>
      <c r="AQ68">
        <v>0</v>
      </c>
      <c r="AR68">
        <v>69.3</v>
      </c>
      <c r="AS68">
        <v>115.2</v>
      </c>
      <c r="AT68">
        <v>231.3</v>
      </c>
      <c r="AU68">
        <v>426.59999999999997</v>
      </c>
      <c r="AV68">
        <v>30</v>
      </c>
    </row>
    <row r="69" spans="1:48">
      <c r="A69">
        <v>68</v>
      </c>
      <c r="B69">
        <v>0</v>
      </c>
      <c r="C69">
        <v>14.11999999999979</v>
      </c>
      <c r="D69" s="15">
        <v>2.0599999999999983</v>
      </c>
      <c r="E69">
        <v>1.6905039714930443</v>
      </c>
      <c r="F69">
        <v>0</v>
      </c>
      <c r="G69">
        <v>0</v>
      </c>
      <c r="H69">
        <v>0.12625401359086055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2.0286046387933014</v>
      </c>
      <c r="Q69">
        <v>0.25886322656361949</v>
      </c>
      <c r="R69">
        <v>0</v>
      </c>
      <c r="S69">
        <v>0</v>
      </c>
      <c r="T69" s="15">
        <v>1.1125007416594486E-18</v>
      </c>
      <c r="U69">
        <v>6.5984770494884266</v>
      </c>
      <c r="V69">
        <v>0</v>
      </c>
      <c r="W69">
        <v>0</v>
      </c>
      <c r="X69">
        <v>0</v>
      </c>
      <c r="Y69">
        <v>0</v>
      </c>
      <c r="Z69">
        <v>1</v>
      </c>
      <c r="AA69">
        <v>0.9</v>
      </c>
      <c r="AB69">
        <v>1.1000000000000001</v>
      </c>
      <c r="AC69">
        <v>0</v>
      </c>
      <c r="AD69">
        <v>0.4826043495272872</v>
      </c>
      <c r="AE69">
        <v>249.6072151903038</v>
      </c>
      <c r="AF69">
        <v>250.08981953983107</v>
      </c>
      <c r="AG69">
        <v>243.22577591559937</v>
      </c>
      <c r="AH69">
        <v>182.12555422542812</v>
      </c>
      <c r="AI69">
        <v>2.1</v>
      </c>
      <c r="AJ69">
        <v>0</v>
      </c>
      <c r="AK69">
        <v>0</v>
      </c>
      <c r="AL69">
        <v>1</v>
      </c>
      <c r="AM69">
        <v>1</v>
      </c>
      <c r="AN69">
        <v>0</v>
      </c>
      <c r="AO69">
        <v>1</v>
      </c>
      <c r="AP69">
        <v>0</v>
      </c>
      <c r="AQ69">
        <v>0</v>
      </c>
      <c r="AR69">
        <v>69.3</v>
      </c>
      <c r="AS69">
        <v>115.2</v>
      </c>
      <c r="AT69">
        <v>231.3</v>
      </c>
      <c r="AU69">
        <v>426.59999999999997</v>
      </c>
      <c r="AV69">
        <v>30</v>
      </c>
    </row>
    <row r="70" spans="1:48">
      <c r="A70">
        <v>69</v>
      </c>
      <c r="B70">
        <v>0</v>
      </c>
      <c r="C70">
        <v>15.059999999999778</v>
      </c>
      <c r="D70">
        <v>2.3999999999999826</v>
      </c>
      <c r="E70">
        <v>1.791521799187165</v>
      </c>
      <c r="F70">
        <v>0</v>
      </c>
      <c r="G70">
        <v>0</v>
      </c>
      <c r="H70">
        <v>0.11885581179163347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2.1498259953525345</v>
      </c>
      <c r="Q70">
        <v>0.2260846140277159</v>
      </c>
      <c r="R70">
        <v>0</v>
      </c>
      <c r="S70">
        <v>0</v>
      </c>
      <c r="T70" s="15">
        <v>0</v>
      </c>
      <c r="U70">
        <v>6.3723924354607124</v>
      </c>
      <c r="V70">
        <v>0</v>
      </c>
      <c r="W70">
        <v>0</v>
      </c>
      <c r="X70">
        <v>0</v>
      </c>
      <c r="Y70">
        <v>0</v>
      </c>
      <c r="Z70">
        <v>1</v>
      </c>
      <c r="AA70">
        <v>0.9</v>
      </c>
      <c r="AB70">
        <v>1.1000000000000001</v>
      </c>
      <c r="AC70">
        <v>0</v>
      </c>
      <c r="AD70">
        <v>0.47052350619302824</v>
      </c>
      <c r="AE70">
        <v>249.13669168411079</v>
      </c>
      <c r="AF70">
        <v>249.60721519030383</v>
      </c>
      <c r="AG70">
        <v>243.89227991569174</v>
      </c>
      <c r="AH70">
        <v>182.60162851120842</v>
      </c>
      <c r="AI70">
        <v>2.1</v>
      </c>
      <c r="AJ70">
        <v>0</v>
      </c>
      <c r="AK70">
        <v>0</v>
      </c>
      <c r="AL70">
        <v>1</v>
      </c>
      <c r="AM70">
        <v>1</v>
      </c>
      <c r="AN70">
        <v>0</v>
      </c>
      <c r="AO70">
        <v>1</v>
      </c>
      <c r="AP70">
        <v>0</v>
      </c>
      <c r="AQ70">
        <v>0</v>
      </c>
      <c r="AR70">
        <v>69.3</v>
      </c>
      <c r="AS70">
        <v>115.2</v>
      </c>
      <c r="AT70">
        <v>231.3</v>
      </c>
      <c r="AU70">
        <v>426.59999999999997</v>
      </c>
      <c r="AV70">
        <v>30</v>
      </c>
    </row>
    <row r="71" spans="1:48">
      <c r="A71">
        <v>70</v>
      </c>
      <c r="B71">
        <v>0</v>
      </c>
      <c r="C71">
        <v>12.179999999999826</v>
      </c>
      <c r="D71">
        <v>3.5999999999999748</v>
      </c>
      <c r="E71">
        <v>1.0907524312571786</v>
      </c>
      <c r="F71">
        <v>0</v>
      </c>
      <c r="G71">
        <v>0</v>
      </c>
      <c r="H71">
        <v>0.11400695763764448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1.3089027977116316</v>
      </c>
      <c r="Q71" s="15">
        <v>0.11721994698789133</v>
      </c>
      <c r="R71">
        <v>0</v>
      </c>
      <c r="S71">
        <v>0</v>
      </c>
      <c r="T71" s="15">
        <v>0</v>
      </c>
      <c r="U71">
        <v>6.2551724884728239</v>
      </c>
      <c r="V71">
        <v>0</v>
      </c>
      <c r="W71">
        <v>0</v>
      </c>
      <c r="X71">
        <v>0</v>
      </c>
      <c r="Y71">
        <v>0</v>
      </c>
      <c r="Z71">
        <v>1</v>
      </c>
      <c r="AA71">
        <v>0.9</v>
      </c>
      <c r="AB71">
        <v>1.1000000000000001</v>
      </c>
      <c r="AC71">
        <v>0</v>
      </c>
      <c r="AD71">
        <v>0.45900347150452381</v>
      </c>
      <c r="AE71">
        <v>248.67768821260626</v>
      </c>
      <c r="AF71">
        <v>249.13669168411079</v>
      </c>
      <c r="AG71">
        <v>244.32911318642462</v>
      </c>
      <c r="AH71">
        <v>182.91365227601759</v>
      </c>
      <c r="AI71">
        <v>2.1</v>
      </c>
      <c r="AJ71">
        <v>0</v>
      </c>
      <c r="AK71">
        <v>0</v>
      </c>
      <c r="AL71">
        <v>1</v>
      </c>
      <c r="AM71">
        <v>1</v>
      </c>
      <c r="AN71">
        <v>0</v>
      </c>
      <c r="AO71">
        <v>1</v>
      </c>
      <c r="AP71">
        <v>0</v>
      </c>
      <c r="AQ71">
        <v>0</v>
      </c>
      <c r="AR71">
        <v>69.3</v>
      </c>
      <c r="AS71">
        <v>115.2</v>
      </c>
      <c r="AT71">
        <v>231.3</v>
      </c>
      <c r="AU71">
        <v>426.59999999999997</v>
      </c>
      <c r="AV71">
        <v>30</v>
      </c>
    </row>
    <row r="72" spans="1:48">
      <c r="A72">
        <v>71</v>
      </c>
      <c r="B72">
        <v>0</v>
      </c>
      <c r="C72">
        <v>17.819999999999752</v>
      </c>
      <c r="D72">
        <v>5.2799999999999381</v>
      </c>
      <c r="E72">
        <v>1.9125106743653995</v>
      </c>
      <c r="F72">
        <v>0</v>
      </c>
      <c r="G72">
        <v>0</v>
      </c>
      <c r="H72">
        <v>0.14764388479143667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2.2950125590737342</v>
      </c>
      <c r="Q72" s="15">
        <v>0.17393812651522969</v>
      </c>
      <c r="R72">
        <v>0</v>
      </c>
      <c r="S72">
        <v>0</v>
      </c>
      <c r="T72" s="15">
        <v>0</v>
      </c>
      <c r="U72">
        <v>6.0812343619575948</v>
      </c>
      <c r="V72">
        <v>0</v>
      </c>
      <c r="W72">
        <v>0</v>
      </c>
      <c r="X72">
        <v>0</v>
      </c>
      <c r="Y72">
        <v>0</v>
      </c>
      <c r="Z72">
        <v>1</v>
      </c>
      <c r="AA72">
        <v>0.9</v>
      </c>
      <c r="AB72">
        <v>1.1000000000000001</v>
      </c>
      <c r="AC72">
        <v>0</v>
      </c>
      <c r="AD72">
        <v>0.44800672984122136</v>
      </c>
      <c r="AE72">
        <v>248.22968148276505</v>
      </c>
      <c r="AF72">
        <v>248.67768821260626</v>
      </c>
      <c r="AG72">
        <v>241.29876241913948</v>
      </c>
      <c r="AH72">
        <v>180.74911601367106</v>
      </c>
      <c r="AI72">
        <v>2.1</v>
      </c>
      <c r="AJ72">
        <v>0</v>
      </c>
      <c r="AK72">
        <v>0</v>
      </c>
      <c r="AL72">
        <v>1</v>
      </c>
      <c r="AM72">
        <v>1</v>
      </c>
      <c r="AN72">
        <v>0</v>
      </c>
      <c r="AO72">
        <v>1</v>
      </c>
      <c r="AP72">
        <v>0</v>
      </c>
      <c r="AQ72">
        <v>0</v>
      </c>
      <c r="AR72">
        <v>69.3</v>
      </c>
      <c r="AS72">
        <v>115.2</v>
      </c>
      <c r="AT72">
        <v>231.3</v>
      </c>
      <c r="AU72">
        <v>426.59999999999997</v>
      </c>
      <c r="AV72">
        <v>30</v>
      </c>
    </row>
    <row r="73" spans="1:48">
      <c r="A73">
        <v>72</v>
      </c>
      <c r="B73">
        <v>0</v>
      </c>
      <c r="C73">
        <v>16.619999999999756</v>
      </c>
      <c r="D73">
        <v>3.3399999999999808</v>
      </c>
      <c r="E73">
        <v>1.9128678610970624</v>
      </c>
      <c r="F73">
        <v>0</v>
      </c>
      <c r="G73">
        <v>0</v>
      </c>
      <c r="H73">
        <v>0.10819949521860339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2.2954411376282997</v>
      </c>
      <c r="Q73" s="15">
        <v>0.14053870941139282</v>
      </c>
      <c r="R73">
        <v>0</v>
      </c>
      <c r="S73">
        <v>0</v>
      </c>
      <c r="T73" s="15">
        <v>0</v>
      </c>
      <c r="U73">
        <v>5.9406956525462018</v>
      </c>
      <c r="V73">
        <v>0</v>
      </c>
      <c r="W73">
        <v>0</v>
      </c>
      <c r="X73">
        <v>0</v>
      </c>
      <c r="Y73">
        <v>0</v>
      </c>
      <c r="Z73">
        <v>1</v>
      </c>
      <c r="AA73">
        <v>0.9</v>
      </c>
      <c r="AB73">
        <v>1.1000000000000001</v>
      </c>
      <c r="AC73">
        <v>0</v>
      </c>
      <c r="AD73">
        <v>0.43749901113383949</v>
      </c>
      <c r="AE73">
        <v>247.79218247163132</v>
      </c>
      <c r="AF73">
        <v>248.22968148276507</v>
      </c>
      <c r="AG73">
        <v>244.85230747575605</v>
      </c>
      <c r="AH73">
        <v>183.28736248268288</v>
      </c>
      <c r="AI73">
        <v>2.1</v>
      </c>
      <c r="AJ73">
        <v>0</v>
      </c>
      <c r="AK73">
        <v>0</v>
      </c>
      <c r="AL73">
        <v>1</v>
      </c>
      <c r="AM73">
        <v>1</v>
      </c>
      <c r="AN73">
        <v>0</v>
      </c>
      <c r="AO73">
        <v>1</v>
      </c>
      <c r="AP73">
        <v>0</v>
      </c>
      <c r="AQ73">
        <v>0</v>
      </c>
      <c r="AR73">
        <v>69.3</v>
      </c>
      <c r="AS73">
        <v>115.2</v>
      </c>
      <c r="AT73">
        <v>231.3</v>
      </c>
      <c r="AU73">
        <v>426.59999999999997</v>
      </c>
      <c r="AV73">
        <v>30</v>
      </c>
    </row>
    <row r="74" spans="1:48">
      <c r="A74">
        <v>73</v>
      </c>
      <c r="B74">
        <v>0</v>
      </c>
      <c r="C74">
        <v>15.37999999999977</v>
      </c>
      <c r="D74">
        <v>4.0799999999999725</v>
      </c>
      <c r="E74">
        <v>3.0969979287906195</v>
      </c>
      <c r="F74">
        <v>0</v>
      </c>
      <c r="G74">
        <v>0</v>
      </c>
      <c r="H74">
        <v>0.10818235207680396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3.7163969525188763</v>
      </c>
      <c r="Q74">
        <v>0.17248432972513794</v>
      </c>
      <c r="R74">
        <v>0</v>
      </c>
      <c r="S74">
        <v>0</v>
      </c>
      <c r="T74" s="15">
        <v>0</v>
      </c>
      <c r="U74">
        <v>5.768211322821065</v>
      </c>
      <c r="V74">
        <v>0</v>
      </c>
      <c r="W74">
        <v>0</v>
      </c>
      <c r="X74">
        <v>0</v>
      </c>
      <c r="Y74">
        <v>0</v>
      </c>
      <c r="Z74">
        <v>1</v>
      </c>
      <c r="AA74">
        <v>0.9</v>
      </c>
      <c r="AB74">
        <v>1.1000000000000001</v>
      </c>
      <c r="AC74">
        <v>0</v>
      </c>
      <c r="AD74">
        <v>0.42744894903332792</v>
      </c>
      <c r="AE74">
        <v>247.36473352259804</v>
      </c>
      <c r="AF74">
        <v>247.79218247163135</v>
      </c>
      <c r="AG74">
        <v>244.85385190140076</v>
      </c>
      <c r="AH74">
        <v>183.28846564385771</v>
      </c>
      <c r="AI74">
        <v>2.1</v>
      </c>
      <c r="AJ74">
        <v>0</v>
      </c>
      <c r="AK74">
        <v>0</v>
      </c>
      <c r="AL74">
        <v>1</v>
      </c>
      <c r="AM74">
        <v>1</v>
      </c>
      <c r="AN74">
        <v>0</v>
      </c>
      <c r="AO74">
        <v>1</v>
      </c>
      <c r="AP74">
        <v>0</v>
      </c>
      <c r="AQ74">
        <v>0</v>
      </c>
      <c r="AR74">
        <v>69.3</v>
      </c>
      <c r="AS74">
        <v>115.2</v>
      </c>
      <c r="AT74">
        <v>231.3</v>
      </c>
      <c r="AU74">
        <v>426.59999999999997</v>
      </c>
      <c r="AV74">
        <v>30</v>
      </c>
    </row>
    <row r="75" spans="1:48">
      <c r="A75">
        <v>74</v>
      </c>
      <c r="B75">
        <v>0</v>
      </c>
      <c r="C75">
        <v>16.679999999999755</v>
      </c>
      <c r="D75">
        <v>0.98000000000001686</v>
      </c>
      <c r="E75">
        <v>2.8312279004221659</v>
      </c>
      <c r="F75">
        <v>0</v>
      </c>
      <c r="G75">
        <v>0</v>
      </c>
      <c r="H75">
        <v>0.10000000149011612</v>
      </c>
      <c r="I75">
        <v>0</v>
      </c>
      <c r="J75">
        <v>0</v>
      </c>
      <c r="K75">
        <v>0</v>
      </c>
      <c r="L75">
        <v>0</v>
      </c>
      <c r="M75">
        <v>0</v>
      </c>
      <c r="N75" s="15">
        <v>0</v>
      </c>
      <c r="O75">
        <v>0</v>
      </c>
      <c r="P75">
        <v>3.3974728807098802</v>
      </c>
      <c r="Q75" s="15">
        <v>0.11334932659060232</v>
      </c>
      <c r="R75">
        <v>0</v>
      </c>
      <c r="S75">
        <v>0</v>
      </c>
      <c r="T75" s="15">
        <v>0</v>
      </c>
      <c r="U75">
        <v>5.6548619962304612</v>
      </c>
      <c r="V75">
        <v>0</v>
      </c>
      <c r="W75">
        <v>0</v>
      </c>
      <c r="X75">
        <v>0</v>
      </c>
      <c r="Y75">
        <v>0</v>
      </c>
      <c r="Z75">
        <v>1</v>
      </c>
      <c r="AA75">
        <v>0.9</v>
      </c>
      <c r="AB75">
        <v>1.1000000000000001</v>
      </c>
      <c r="AC75">
        <v>0</v>
      </c>
      <c r="AD75">
        <v>0.41782778125385367</v>
      </c>
      <c r="AE75">
        <v>246.94690574134424</v>
      </c>
      <c r="AF75">
        <v>247.36473352259804</v>
      </c>
      <c r="AG75">
        <v>245.59099986575546</v>
      </c>
      <c r="AH75">
        <v>183.81499990411103</v>
      </c>
      <c r="AI75">
        <v>2.1</v>
      </c>
      <c r="AJ75">
        <v>0</v>
      </c>
      <c r="AK75">
        <v>0</v>
      </c>
      <c r="AL75">
        <v>1</v>
      </c>
      <c r="AM75">
        <v>1</v>
      </c>
      <c r="AN75">
        <v>0</v>
      </c>
      <c r="AO75">
        <v>1</v>
      </c>
      <c r="AP75">
        <v>0</v>
      </c>
      <c r="AQ75">
        <v>0</v>
      </c>
      <c r="AR75">
        <v>69.3</v>
      </c>
      <c r="AS75">
        <v>115.2</v>
      </c>
      <c r="AT75">
        <v>231.3</v>
      </c>
      <c r="AU75">
        <v>426.59999999999997</v>
      </c>
      <c r="AV75">
        <v>30</v>
      </c>
    </row>
    <row r="76" spans="1:48">
      <c r="A76">
        <v>75</v>
      </c>
      <c r="B76">
        <v>0</v>
      </c>
      <c r="C76">
        <v>15.59999999999976</v>
      </c>
      <c r="D76">
        <v>7.8799999999998969</v>
      </c>
      <c r="E76">
        <v>4.4411512338888759</v>
      </c>
      <c r="F76">
        <v>0</v>
      </c>
      <c r="G76">
        <v>0</v>
      </c>
      <c r="H76">
        <v>0.10000000149011612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5.329380387746169</v>
      </c>
      <c r="Q76" s="15">
        <v>0.11909583407825719</v>
      </c>
      <c r="R76">
        <v>0</v>
      </c>
      <c r="S76">
        <v>0</v>
      </c>
      <c r="T76" s="15">
        <v>0</v>
      </c>
      <c r="U76">
        <v>5.5357661621522016</v>
      </c>
      <c r="V76">
        <v>0</v>
      </c>
      <c r="W76">
        <v>0</v>
      </c>
      <c r="X76">
        <v>0</v>
      </c>
      <c r="Y76">
        <v>0</v>
      </c>
      <c r="Z76">
        <v>1</v>
      </c>
      <c r="AA76">
        <v>0.9</v>
      </c>
      <c r="AB76">
        <v>1.1000000000000001</v>
      </c>
      <c r="AC76">
        <v>0</v>
      </c>
      <c r="AD76">
        <v>0.40860908615515157</v>
      </c>
      <c r="AE76">
        <v>246.53829665518907</v>
      </c>
      <c r="AF76">
        <v>246.94690574134424</v>
      </c>
      <c r="AG76">
        <v>245.59099986575546</v>
      </c>
      <c r="AH76">
        <v>183.81499990411103</v>
      </c>
      <c r="AI76">
        <v>2.1</v>
      </c>
      <c r="AJ76">
        <v>0</v>
      </c>
      <c r="AK76">
        <v>0</v>
      </c>
      <c r="AL76">
        <v>1</v>
      </c>
      <c r="AM76">
        <v>1</v>
      </c>
      <c r="AN76">
        <v>0</v>
      </c>
      <c r="AO76">
        <v>1</v>
      </c>
      <c r="AP76">
        <v>0</v>
      </c>
      <c r="AQ76">
        <v>0</v>
      </c>
      <c r="AR76">
        <v>69.3</v>
      </c>
      <c r="AS76">
        <v>115.2</v>
      </c>
      <c r="AT76">
        <v>231.3</v>
      </c>
      <c r="AU76">
        <v>426.59999999999997</v>
      </c>
      <c r="AV76">
        <v>30</v>
      </c>
    </row>
    <row r="77" spans="1:48">
      <c r="A77">
        <v>76</v>
      </c>
      <c r="B77">
        <v>0</v>
      </c>
      <c r="C77">
        <v>15.91999999999976</v>
      </c>
      <c r="D77">
        <v>4.2799999999999576</v>
      </c>
      <c r="E77">
        <v>3.2630826757556375</v>
      </c>
      <c r="F77">
        <v>0</v>
      </c>
      <c r="G77">
        <v>0</v>
      </c>
      <c r="H77">
        <v>0.10000000149011612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3.9156982821859003</v>
      </c>
      <c r="Q77" s="15">
        <v>5.6823439173375241E-2</v>
      </c>
      <c r="R77">
        <v>0</v>
      </c>
      <c r="S77">
        <v>0</v>
      </c>
      <c r="T77" s="15">
        <v>0</v>
      </c>
      <c r="U77">
        <v>5.4789427229788279</v>
      </c>
      <c r="V77">
        <v>0</v>
      </c>
      <c r="W77">
        <v>0</v>
      </c>
      <c r="X77">
        <v>0</v>
      </c>
      <c r="Y77">
        <v>0</v>
      </c>
      <c r="Z77">
        <v>1</v>
      </c>
      <c r="AA77">
        <v>0.9</v>
      </c>
      <c r="AB77">
        <v>1.1000000000000001</v>
      </c>
      <c r="AC77">
        <v>0</v>
      </c>
      <c r="AD77">
        <v>0.39976855056363153</v>
      </c>
      <c r="AE77">
        <v>246.13852810462555</v>
      </c>
      <c r="AF77">
        <v>246.5382966551891</v>
      </c>
      <c r="AG77">
        <v>245.59099986575546</v>
      </c>
      <c r="AH77">
        <v>183.81499990411103</v>
      </c>
      <c r="AI77">
        <v>2.1</v>
      </c>
      <c r="AJ77">
        <v>0</v>
      </c>
      <c r="AK77">
        <v>0</v>
      </c>
      <c r="AL77">
        <v>1</v>
      </c>
      <c r="AM77">
        <v>1</v>
      </c>
      <c r="AN77">
        <v>0</v>
      </c>
      <c r="AO77">
        <v>1</v>
      </c>
      <c r="AP77">
        <v>0</v>
      </c>
      <c r="AQ77">
        <v>0</v>
      </c>
      <c r="AR77">
        <v>69.3</v>
      </c>
      <c r="AS77">
        <v>115.2</v>
      </c>
      <c r="AT77">
        <v>231.3</v>
      </c>
      <c r="AU77">
        <v>426.59999999999997</v>
      </c>
      <c r="AV77">
        <v>30</v>
      </c>
    </row>
    <row r="78" spans="1:48">
      <c r="A78">
        <v>77</v>
      </c>
      <c r="B78">
        <v>0.63999999999996371</v>
      </c>
      <c r="C78">
        <v>11.459999999999825</v>
      </c>
      <c r="D78">
        <v>2.6799999999999926</v>
      </c>
      <c r="E78">
        <v>1.9527928425403283</v>
      </c>
      <c r="F78">
        <v>0</v>
      </c>
      <c r="G78">
        <v>0</v>
      </c>
      <c r="H78">
        <v>0.10000000149011612</v>
      </c>
      <c r="I78">
        <v>0</v>
      </c>
      <c r="J78">
        <v>0.63999999999996371</v>
      </c>
      <c r="K78">
        <v>0.63999999999996371</v>
      </c>
      <c r="L78">
        <v>0.63999999999996371</v>
      </c>
      <c r="M78">
        <v>0</v>
      </c>
      <c r="N78">
        <v>0</v>
      </c>
      <c r="O78">
        <v>0.64000001907345017</v>
      </c>
      <c r="P78">
        <v>2.3433507707584087</v>
      </c>
      <c r="Q78">
        <v>8.8229474523638288E-2</v>
      </c>
      <c r="R78">
        <v>0</v>
      </c>
      <c r="S78">
        <v>0</v>
      </c>
      <c r="T78" s="15">
        <v>0</v>
      </c>
      <c r="U78">
        <v>6.0307132675286281</v>
      </c>
      <c r="V78">
        <v>0</v>
      </c>
      <c r="W78">
        <v>0</v>
      </c>
      <c r="X78">
        <v>0</v>
      </c>
      <c r="Y78">
        <v>0</v>
      </c>
      <c r="Z78">
        <v>1</v>
      </c>
      <c r="AA78">
        <v>0.9</v>
      </c>
      <c r="AB78">
        <v>1.1000000000000001</v>
      </c>
      <c r="AC78">
        <v>0</v>
      </c>
      <c r="AD78">
        <v>0.39128376460369996</v>
      </c>
      <c r="AE78">
        <v>245.74724434002192</v>
      </c>
      <c r="AF78">
        <v>246.13852810462558</v>
      </c>
      <c r="AG78">
        <v>245.59099986575546</v>
      </c>
      <c r="AH78">
        <v>183.81499990411103</v>
      </c>
      <c r="AI78">
        <v>2.1</v>
      </c>
      <c r="AJ78">
        <v>0</v>
      </c>
      <c r="AK78">
        <v>0</v>
      </c>
      <c r="AL78">
        <v>1</v>
      </c>
      <c r="AM78">
        <v>1</v>
      </c>
      <c r="AN78">
        <v>0</v>
      </c>
      <c r="AO78">
        <v>1</v>
      </c>
      <c r="AP78">
        <v>0</v>
      </c>
      <c r="AQ78">
        <v>0</v>
      </c>
      <c r="AR78">
        <v>69.3</v>
      </c>
      <c r="AS78">
        <v>115.2</v>
      </c>
      <c r="AT78">
        <v>231.3</v>
      </c>
      <c r="AU78">
        <v>426.59999999999997</v>
      </c>
      <c r="AV78">
        <v>30</v>
      </c>
    </row>
    <row r="79" spans="1:48">
      <c r="A79">
        <v>78</v>
      </c>
      <c r="B79">
        <v>0</v>
      </c>
      <c r="C79">
        <v>11.939999999999838</v>
      </c>
      <c r="D79">
        <v>1.7999999999999874</v>
      </c>
      <c r="E79">
        <v>2.0177222615058032</v>
      </c>
      <c r="F79">
        <v>0</v>
      </c>
      <c r="G79">
        <v>0</v>
      </c>
      <c r="H79">
        <v>0.10626596679443415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2.4212659543444444</v>
      </c>
      <c r="Q79">
        <v>0.13724012454627568</v>
      </c>
      <c r="R79">
        <v>0</v>
      </c>
      <c r="S79">
        <v>0</v>
      </c>
      <c r="T79" s="15">
        <v>0</v>
      </c>
      <c r="U79">
        <v>5.8934731429823524</v>
      </c>
      <c r="V79">
        <v>0</v>
      </c>
      <c r="W79">
        <v>0</v>
      </c>
      <c r="X79">
        <v>0</v>
      </c>
      <c r="Y79">
        <v>0</v>
      </c>
      <c r="Z79">
        <v>1</v>
      </c>
      <c r="AA79">
        <v>0.9</v>
      </c>
      <c r="AB79">
        <v>1.1000000000000001</v>
      </c>
      <c r="AC79">
        <v>0</v>
      </c>
      <c r="AD79">
        <v>0.38313403995141332</v>
      </c>
      <c r="AE79">
        <v>245.36411030007048</v>
      </c>
      <c r="AF79">
        <v>245.74724434002195</v>
      </c>
      <c r="AG79">
        <v>245.02649905148945</v>
      </c>
      <c r="AH79">
        <v>183.41178503677816</v>
      </c>
      <c r="AI79">
        <v>2.1</v>
      </c>
      <c r="AJ79">
        <v>0</v>
      </c>
      <c r="AK79">
        <v>0</v>
      </c>
      <c r="AL79">
        <v>1</v>
      </c>
      <c r="AM79">
        <v>1</v>
      </c>
      <c r="AN79">
        <v>0</v>
      </c>
      <c r="AO79">
        <v>1</v>
      </c>
      <c r="AP79">
        <v>0</v>
      </c>
      <c r="AQ79">
        <v>0</v>
      </c>
      <c r="AR79">
        <v>69.3</v>
      </c>
      <c r="AS79">
        <v>115.2</v>
      </c>
      <c r="AT79">
        <v>231.3</v>
      </c>
      <c r="AU79">
        <v>426.59999999999997</v>
      </c>
      <c r="AV79">
        <v>30</v>
      </c>
    </row>
    <row r="80" spans="1:48">
      <c r="A80">
        <v>79</v>
      </c>
      <c r="B80">
        <v>0</v>
      </c>
      <c r="C80">
        <v>12.459999999999816</v>
      </c>
      <c r="D80">
        <v>-1.2199999999999691</v>
      </c>
      <c r="E80">
        <v>2.0594793422068642</v>
      </c>
      <c r="F80">
        <v>0</v>
      </c>
      <c r="G80">
        <v>0</v>
      </c>
      <c r="H80">
        <v>0.10314935952065432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2.471374323654286</v>
      </c>
      <c r="Q80">
        <v>0.11159197257134451</v>
      </c>
      <c r="R80">
        <v>0</v>
      </c>
      <c r="S80">
        <v>0</v>
      </c>
      <c r="T80" s="15">
        <v>0</v>
      </c>
      <c r="U80">
        <v>5.7818811704110074</v>
      </c>
      <c r="V80">
        <v>0</v>
      </c>
      <c r="W80">
        <v>0</v>
      </c>
      <c r="X80">
        <v>0</v>
      </c>
      <c r="Y80">
        <v>0</v>
      </c>
      <c r="Z80">
        <v>1</v>
      </c>
      <c r="AA80">
        <v>0.9</v>
      </c>
      <c r="AB80">
        <v>1.1000000000000001</v>
      </c>
      <c r="AC80">
        <v>0</v>
      </c>
      <c r="AD80">
        <v>0.37530024845620924</v>
      </c>
      <c r="AE80">
        <v>244.98881005161431</v>
      </c>
      <c r="AF80">
        <v>245.36411030007048</v>
      </c>
      <c r="AG80">
        <v>245.30727420078426</v>
      </c>
      <c r="AH80">
        <v>183.61233871484592</v>
      </c>
      <c r="AI80">
        <v>2.1</v>
      </c>
      <c r="AJ80">
        <v>0</v>
      </c>
      <c r="AK80">
        <v>0</v>
      </c>
      <c r="AL80">
        <v>1</v>
      </c>
      <c r="AM80">
        <v>1</v>
      </c>
      <c r="AN80">
        <v>0</v>
      </c>
      <c r="AO80">
        <v>1</v>
      </c>
      <c r="AP80">
        <v>0</v>
      </c>
      <c r="AQ80">
        <v>0</v>
      </c>
      <c r="AR80">
        <v>69.3</v>
      </c>
      <c r="AS80">
        <v>115.2</v>
      </c>
      <c r="AT80">
        <v>231.3</v>
      </c>
      <c r="AU80">
        <v>426.59999999999997</v>
      </c>
      <c r="AV80">
        <v>30</v>
      </c>
    </row>
    <row r="81" spans="1:48">
      <c r="A81">
        <v>80</v>
      </c>
      <c r="B81">
        <v>0</v>
      </c>
      <c r="C81">
        <v>10.679999999999836</v>
      </c>
      <c r="D81">
        <v>-1.2199999999999602</v>
      </c>
      <c r="E81">
        <v>1.9452590269667953</v>
      </c>
      <c r="F81">
        <v>0</v>
      </c>
      <c r="G81">
        <v>0</v>
      </c>
      <c r="H81">
        <v>0.10114502479306103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2.3343098765694417</v>
      </c>
      <c r="Q81">
        <v>8.4424256442456894E-2</v>
      </c>
      <c r="R81">
        <v>0</v>
      </c>
      <c r="S81">
        <v>0</v>
      </c>
      <c r="T81" s="15">
        <v>0</v>
      </c>
      <c r="U81">
        <v>5.6974569139685505</v>
      </c>
      <c r="V81">
        <v>0</v>
      </c>
      <c r="W81">
        <v>0</v>
      </c>
      <c r="X81">
        <v>0</v>
      </c>
      <c r="Y81">
        <v>0</v>
      </c>
      <c r="Z81">
        <v>1</v>
      </c>
      <c r="AA81">
        <v>0.9</v>
      </c>
      <c r="AB81">
        <v>1.1000000000000001</v>
      </c>
      <c r="AC81">
        <v>0</v>
      </c>
      <c r="AD81">
        <v>0.36776467852254024</v>
      </c>
      <c r="AE81">
        <v>244.62104537309176</v>
      </c>
      <c r="AF81">
        <v>244.98881005161431</v>
      </c>
      <c r="AG81">
        <v>245.48784471639314</v>
      </c>
      <c r="AH81">
        <v>183.74131765456653</v>
      </c>
      <c r="AI81">
        <v>2.1</v>
      </c>
      <c r="AJ81">
        <v>0</v>
      </c>
      <c r="AK81">
        <v>0</v>
      </c>
      <c r="AL81">
        <v>1</v>
      </c>
      <c r="AM81">
        <v>1</v>
      </c>
      <c r="AN81">
        <v>0</v>
      </c>
      <c r="AO81">
        <v>1</v>
      </c>
      <c r="AP81">
        <v>0</v>
      </c>
      <c r="AQ81">
        <v>0</v>
      </c>
      <c r="AR81">
        <v>69.3</v>
      </c>
      <c r="AS81">
        <v>115.2</v>
      </c>
      <c r="AT81">
        <v>231.3</v>
      </c>
      <c r="AU81">
        <v>426.59999999999997</v>
      </c>
      <c r="AV81">
        <v>30</v>
      </c>
    </row>
    <row r="82" spans="1:48">
      <c r="A82">
        <v>81</v>
      </c>
      <c r="B82">
        <v>0</v>
      </c>
      <c r="C82">
        <v>16.539999999999758</v>
      </c>
      <c r="D82">
        <v>-0.93999999999995931</v>
      </c>
      <c r="E82">
        <v>2.299485159174576</v>
      </c>
      <c r="F82">
        <v>0</v>
      </c>
      <c r="G82">
        <v>0</v>
      </c>
      <c r="H82">
        <v>0.10662760255390964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2.7593809056222787</v>
      </c>
      <c r="Q82">
        <v>7.8738023189547895E-2</v>
      </c>
      <c r="R82">
        <v>0</v>
      </c>
      <c r="S82">
        <v>0</v>
      </c>
      <c r="T82" s="15">
        <v>0</v>
      </c>
      <c r="U82">
        <v>5.6187188907790029</v>
      </c>
      <c r="V82">
        <v>0</v>
      </c>
      <c r="W82">
        <v>0</v>
      </c>
      <c r="X82">
        <v>0</v>
      </c>
      <c r="Y82">
        <v>0</v>
      </c>
      <c r="Z82">
        <v>1</v>
      </c>
      <c r="AA82">
        <v>0.9</v>
      </c>
      <c r="AB82">
        <v>1.1000000000000001</v>
      </c>
      <c r="AC82">
        <v>0</v>
      </c>
      <c r="AD82">
        <v>0.36051090701744792</v>
      </c>
      <c r="AE82">
        <v>244.26053446607435</v>
      </c>
      <c r="AF82">
        <v>244.62104537309179</v>
      </c>
      <c r="AG82">
        <v>244.99391928591828</v>
      </c>
      <c r="AH82">
        <v>183.38851377565592</v>
      </c>
      <c r="AI82">
        <v>2.1</v>
      </c>
      <c r="AJ82">
        <v>0</v>
      </c>
      <c r="AK82">
        <v>0</v>
      </c>
      <c r="AL82">
        <v>1</v>
      </c>
      <c r="AM82">
        <v>1</v>
      </c>
      <c r="AN82">
        <v>0</v>
      </c>
      <c r="AO82">
        <v>1</v>
      </c>
      <c r="AP82">
        <v>0</v>
      </c>
      <c r="AQ82">
        <v>0</v>
      </c>
      <c r="AR82">
        <v>69.3</v>
      </c>
      <c r="AS82">
        <v>115.2</v>
      </c>
      <c r="AT82">
        <v>231.3</v>
      </c>
      <c r="AU82">
        <v>426.59999999999997</v>
      </c>
      <c r="AV82">
        <v>30</v>
      </c>
    </row>
    <row r="83" spans="1:48">
      <c r="A83">
        <v>82</v>
      </c>
      <c r="B83">
        <v>0</v>
      </c>
      <c r="C83">
        <v>15.139999999999779</v>
      </c>
      <c r="D83">
        <v>3.8399999999999777</v>
      </c>
      <c r="E83">
        <v>2.6211931766354044</v>
      </c>
      <c r="F83">
        <v>0</v>
      </c>
      <c r="G83">
        <v>0</v>
      </c>
      <c r="H83">
        <v>0.10000000149011612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3.1454301493399628</v>
      </c>
      <c r="Q83">
        <v>6.8257303631226646E-2</v>
      </c>
      <c r="R83">
        <v>0</v>
      </c>
      <c r="S83">
        <v>0</v>
      </c>
      <c r="T83" s="15">
        <v>0</v>
      </c>
      <c r="U83">
        <v>5.5504615871477778</v>
      </c>
      <c r="V83">
        <v>0</v>
      </c>
      <c r="W83">
        <v>0</v>
      </c>
      <c r="X83">
        <v>0</v>
      </c>
      <c r="Y83">
        <v>0</v>
      </c>
      <c r="Z83">
        <v>1</v>
      </c>
      <c r="AA83">
        <v>0.9</v>
      </c>
      <c r="AB83">
        <v>1.1000000000000001</v>
      </c>
      <c r="AC83">
        <v>0</v>
      </c>
      <c r="AD83">
        <v>0.35352368478503965</v>
      </c>
      <c r="AE83">
        <v>243.90701078128924</v>
      </c>
      <c r="AF83">
        <v>244.26053446607432</v>
      </c>
      <c r="AG83">
        <v>245.59099986575546</v>
      </c>
      <c r="AH83">
        <v>183.81499990411103</v>
      </c>
      <c r="AI83">
        <v>2.1</v>
      </c>
      <c r="AJ83">
        <v>0</v>
      </c>
      <c r="AK83">
        <v>0</v>
      </c>
      <c r="AL83">
        <v>1</v>
      </c>
      <c r="AM83">
        <v>1</v>
      </c>
      <c r="AN83">
        <v>0</v>
      </c>
      <c r="AO83">
        <v>1</v>
      </c>
      <c r="AP83">
        <v>0</v>
      </c>
      <c r="AQ83">
        <v>0</v>
      </c>
      <c r="AR83">
        <v>69.3</v>
      </c>
      <c r="AS83">
        <v>115.2</v>
      </c>
      <c r="AT83">
        <v>231.3</v>
      </c>
      <c r="AU83">
        <v>426.59999999999997</v>
      </c>
      <c r="AV83">
        <v>30</v>
      </c>
    </row>
    <row r="84" spans="1:48">
      <c r="A84">
        <v>83</v>
      </c>
      <c r="B84">
        <v>0</v>
      </c>
      <c r="C84">
        <v>18.659999999999734</v>
      </c>
      <c r="D84">
        <v>1.6799999999999942</v>
      </c>
      <c r="E84">
        <v>2.5032888752656226</v>
      </c>
      <c r="F84">
        <v>0</v>
      </c>
      <c r="G84">
        <v>0</v>
      </c>
      <c r="H84">
        <v>0.10000000149011612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3.0039448529557915</v>
      </c>
      <c r="Q84" s="15">
        <v>4.9139093870071968E-2</v>
      </c>
      <c r="R84">
        <v>0</v>
      </c>
      <c r="S84">
        <v>0</v>
      </c>
      <c r="T84" s="15">
        <v>0</v>
      </c>
      <c r="U84">
        <v>5.5013224932777067</v>
      </c>
      <c r="V84">
        <v>0</v>
      </c>
      <c r="W84">
        <v>0</v>
      </c>
      <c r="X84">
        <v>0</v>
      </c>
      <c r="Y84">
        <v>0</v>
      </c>
      <c r="Z84">
        <v>1</v>
      </c>
      <c r="AA84">
        <v>0.9</v>
      </c>
      <c r="AB84">
        <v>1.1000000000000001</v>
      </c>
      <c r="AC84">
        <v>0</v>
      </c>
      <c r="AD84">
        <v>0.34678883411476236</v>
      </c>
      <c r="AE84">
        <v>243.56022194717454</v>
      </c>
      <c r="AF84">
        <v>243.90701078128924</v>
      </c>
      <c r="AG84">
        <v>245.59099986575546</v>
      </c>
      <c r="AH84">
        <v>183.81499990411103</v>
      </c>
      <c r="AI84">
        <v>2.1</v>
      </c>
      <c r="AJ84">
        <v>0</v>
      </c>
      <c r="AK84">
        <v>0</v>
      </c>
      <c r="AL84">
        <v>1</v>
      </c>
      <c r="AM84">
        <v>1</v>
      </c>
      <c r="AN84">
        <v>0</v>
      </c>
      <c r="AO84">
        <v>1</v>
      </c>
      <c r="AP84">
        <v>0</v>
      </c>
      <c r="AQ84">
        <v>0</v>
      </c>
      <c r="AR84">
        <v>69.3</v>
      </c>
      <c r="AS84">
        <v>115.2</v>
      </c>
      <c r="AT84">
        <v>231.3</v>
      </c>
      <c r="AU84">
        <v>426.59999999999997</v>
      </c>
      <c r="AV84">
        <v>30</v>
      </c>
    </row>
    <row r="85" spans="1:48">
      <c r="A85">
        <v>84</v>
      </c>
      <c r="B85">
        <v>0</v>
      </c>
      <c r="C85">
        <v>19.439999999999721</v>
      </c>
      <c r="D85">
        <v>3.7999999999999714</v>
      </c>
      <c r="E85">
        <v>2.518138071863377</v>
      </c>
      <c r="F85">
        <v>0</v>
      </c>
      <c r="G85">
        <v>0</v>
      </c>
      <c r="H85">
        <v>0.10000000149011612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3.0217636443593583</v>
      </c>
      <c r="Q85" s="15">
        <v>3.7284403220892236E-2</v>
      </c>
      <c r="R85">
        <v>0</v>
      </c>
      <c r="S85">
        <v>0</v>
      </c>
      <c r="T85" s="15">
        <v>0</v>
      </c>
      <c r="U85">
        <v>5.4640380900568148</v>
      </c>
      <c r="V85">
        <v>0</v>
      </c>
      <c r="W85">
        <v>0</v>
      </c>
      <c r="X85">
        <v>0</v>
      </c>
      <c r="Y85">
        <v>0</v>
      </c>
      <c r="Z85">
        <v>1</v>
      </c>
      <c r="AA85">
        <v>0.9</v>
      </c>
      <c r="AB85">
        <v>1.1000000000000001</v>
      </c>
      <c r="AC85">
        <v>0</v>
      </c>
      <c r="AD85">
        <v>0.34029315673557392</v>
      </c>
      <c r="AE85">
        <v>243.21992879043901</v>
      </c>
      <c r="AF85">
        <v>243.56022194717454</v>
      </c>
      <c r="AG85">
        <v>245.59099986575546</v>
      </c>
      <c r="AH85">
        <v>183.81499990411103</v>
      </c>
      <c r="AI85">
        <v>2.1</v>
      </c>
      <c r="AJ85">
        <v>0</v>
      </c>
      <c r="AK85">
        <v>0</v>
      </c>
      <c r="AL85">
        <v>1</v>
      </c>
      <c r="AM85">
        <v>1</v>
      </c>
      <c r="AN85">
        <v>0</v>
      </c>
      <c r="AO85">
        <v>1</v>
      </c>
      <c r="AP85">
        <v>0</v>
      </c>
      <c r="AQ85">
        <v>0</v>
      </c>
      <c r="AR85">
        <v>69.3</v>
      </c>
      <c r="AS85">
        <v>115.2</v>
      </c>
      <c r="AT85">
        <v>231.3</v>
      </c>
      <c r="AU85">
        <v>426.59999999999997</v>
      </c>
      <c r="AV85">
        <v>30</v>
      </c>
    </row>
    <row r="86" spans="1:48">
      <c r="A86">
        <v>85</v>
      </c>
      <c r="B86">
        <v>0</v>
      </c>
      <c r="C86">
        <v>19.239999999999718</v>
      </c>
      <c r="D86">
        <v>5.1399999999999553</v>
      </c>
      <c r="E86">
        <v>2.4432596103505113</v>
      </c>
      <c r="F86">
        <v>0</v>
      </c>
      <c r="G86">
        <v>0</v>
      </c>
      <c r="H86">
        <v>0.10000000149011612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2.9319092999390768</v>
      </c>
      <c r="Q86" s="15">
        <v>2.7365242499493281E-2</v>
      </c>
      <c r="R86">
        <v>0</v>
      </c>
      <c r="S86">
        <v>0</v>
      </c>
      <c r="T86" s="15">
        <v>0</v>
      </c>
      <c r="U86">
        <v>5.4366728475573192</v>
      </c>
      <c r="V86">
        <v>0</v>
      </c>
      <c r="W86">
        <v>0</v>
      </c>
      <c r="X86">
        <v>0</v>
      </c>
      <c r="Y86">
        <v>0</v>
      </c>
      <c r="Z86">
        <v>1</v>
      </c>
      <c r="AA86">
        <v>0.9</v>
      </c>
      <c r="AB86">
        <v>1.1000000000000001</v>
      </c>
      <c r="AC86">
        <v>0</v>
      </c>
      <c r="AD86">
        <v>0.33402435109945994</v>
      </c>
      <c r="AE86">
        <v>242.8859044393395</v>
      </c>
      <c r="AF86">
        <v>243.21992879043901</v>
      </c>
      <c r="AG86">
        <v>245.59099986575546</v>
      </c>
      <c r="AH86">
        <v>183.81499990411103</v>
      </c>
      <c r="AI86">
        <v>2.1</v>
      </c>
      <c r="AJ86">
        <v>0</v>
      </c>
      <c r="AK86">
        <v>0</v>
      </c>
      <c r="AL86">
        <v>1</v>
      </c>
      <c r="AM86">
        <v>1</v>
      </c>
      <c r="AN86">
        <v>0</v>
      </c>
      <c r="AO86">
        <v>1</v>
      </c>
      <c r="AP86">
        <v>0</v>
      </c>
      <c r="AQ86">
        <v>0</v>
      </c>
      <c r="AR86">
        <v>69.3</v>
      </c>
      <c r="AS86">
        <v>115.2</v>
      </c>
      <c r="AT86">
        <v>231.3</v>
      </c>
      <c r="AU86">
        <v>426.59999999999997</v>
      </c>
      <c r="AV86">
        <v>30</v>
      </c>
    </row>
    <row r="87" spans="1:48">
      <c r="A87">
        <v>86</v>
      </c>
      <c r="B87" s="15">
        <v>0</v>
      </c>
      <c r="C87">
        <v>16.719999999999757</v>
      </c>
      <c r="D87">
        <v>10.199999999999893</v>
      </c>
      <c r="E87">
        <v>1.4881636722314306</v>
      </c>
      <c r="F87">
        <v>0</v>
      </c>
      <c r="G87">
        <v>0</v>
      </c>
      <c r="H87">
        <v>0.10000000149011612</v>
      </c>
      <c r="I87">
        <v>0</v>
      </c>
      <c r="J87" s="15">
        <v>0</v>
      </c>
      <c r="K87" s="15">
        <v>0</v>
      </c>
      <c r="L87" s="15">
        <v>0</v>
      </c>
      <c r="M87">
        <v>0</v>
      </c>
      <c r="N87">
        <v>0</v>
      </c>
      <c r="O87" s="15">
        <v>0</v>
      </c>
      <c r="P87">
        <v>1.7857948776265391</v>
      </c>
      <c r="Q87" s="15">
        <v>1.3301502499777148E-2</v>
      </c>
      <c r="R87">
        <v>0</v>
      </c>
      <c r="S87">
        <v>0</v>
      </c>
      <c r="T87" s="15">
        <v>0</v>
      </c>
      <c r="U87">
        <v>5.4233713450575411</v>
      </c>
      <c r="V87">
        <v>0</v>
      </c>
      <c r="W87">
        <v>0</v>
      </c>
      <c r="X87">
        <v>0</v>
      </c>
      <c r="Y87">
        <v>0</v>
      </c>
      <c r="Z87">
        <v>1</v>
      </c>
      <c r="AA87">
        <v>0.9</v>
      </c>
      <c r="AB87">
        <v>1.1000000000000001</v>
      </c>
      <c r="AC87">
        <v>0</v>
      </c>
      <c r="AD87">
        <v>0.32797093788073828</v>
      </c>
      <c r="AE87">
        <v>242.55793350145876</v>
      </c>
      <c r="AF87">
        <v>242.8859044393395</v>
      </c>
      <c r="AG87">
        <v>245.59099986575546</v>
      </c>
      <c r="AH87">
        <v>183.81499990411103</v>
      </c>
      <c r="AI87">
        <v>2.1</v>
      </c>
      <c r="AJ87">
        <v>0</v>
      </c>
      <c r="AK87">
        <v>0</v>
      </c>
      <c r="AL87">
        <v>1</v>
      </c>
      <c r="AM87">
        <v>1</v>
      </c>
      <c r="AN87">
        <v>0</v>
      </c>
      <c r="AO87">
        <v>1</v>
      </c>
      <c r="AP87">
        <v>0</v>
      </c>
      <c r="AQ87">
        <v>0</v>
      </c>
      <c r="AR87">
        <v>69.3</v>
      </c>
      <c r="AS87">
        <v>115.2</v>
      </c>
      <c r="AT87">
        <v>231.3</v>
      </c>
      <c r="AU87">
        <v>426.59999999999997</v>
      </c>
      <c r="AV87">
        <v>30</v>
      </c>
    </row>
    <row r="88" spans="1:48">
      <c r="A88">
        <v>87</v>
      </c>
      <c r="B88">
        <v>0</v>
      </c>
      <c r="C88">
        <v>20.599999999999703</v>
      </c>
      <c r="D88">
        <v>5.7999999999999226</v>
      </c>
      <c r="E88">
        <v>2.4726428098011146</v>
      </c>
      <c r="F88">
        <v>0</v>
      </c>
      <c r="G88">
        <v>0</v>
      </c>
      <c r="H88">
        <v>0.12856820202121511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2.9671685206986251</v>
      </c>
      <c r="Q88" s="15">
        <v>1.7790732480931451E-2</v>
      </c>
      <c r="R88">
        <v>0</v>
      </c>
      <c r="S88">
        <v>0</v>
      </c>
      <c r="T88" s="15">
        <v>0</v>
      </c>
      <c r="U88">
        <v>5.4055806125766122</v>
      </c>
      <c r="V88">
        <v>0</v>
      </c>
      <c r="W88">
        <v>0</v>
      </c>
      <c r="X88">
        <v>0</v>
      </c>
      <c r="Y88">
        <v>0</v>
      </c>
      <c r="Z88">
        <v>1</v>
      </c>
      <c r="AA88">
        <v>0.9</v>
      </c>
      <c r="AB88">
        <v>1.1000000000000001</v>
      </c>
      <c r="AC88">
        <v>0</v>
      </c>
      <c r="AD88">
        <v>0.32212219275681436</v>
      </c>
      <c r="AE88">
        <v>242.23581130870193</v>
      </c>
      <c r="AF88">
        <v>242.55793350145873</v>
      </c>
      <c r="AG88">
        <v>243.01729067990874</v>
      </c>
      <c r="AH88">
        <v>181.9766361999348</v>
      </c>
      <c r="AI88">
        <v>2.1</v>
      </c>
      <c r="AJ88">
        <v>0</v>
      </c>
      <c r="AK88">
        <v>0</v>
      </c>
      <c r="AL88">
        <v>1</v>
      </c>
      <c r="AM88">
        <v>1</v>
      </c>
      <c r="AN88">
        <v>0</v>
      </c>
      <c r="AO88">
        <v>1</v>
      </c>
      <c r="AP88">
        <v>0</v>
      </c>
      <c r="AQ88">
        <v>0</v>
      </c>
      <c r="AR88">
        <v>69.3</v>
      </c>
      <c r="AS88">
        <v>115.2</v>
      </c>
      <c r="AT88">
        <v>231.3</v>
      </c>
      <c r="AU88">
        <v>426.59999999999997</v>
      </c>
      <c r="AV88">
        <v>30</v>
      </c>
    </row>
    <row r="89" spans="1:48">
      <c r="A89">
        <v>88</v>
      </c>
      <c r="B89">
        <v>0</v>
      </c>
      <c r="C89">
        <v>23.059999999999661</v>
      </c>
      <c r="D89">
        <v>6.6999999999999353</v>
      </c>
      <c r="E89">
        <v>2.865324657388256</v>
      </c>
      <c r="F89">
        <v>0</v>
      </c>
      <c r="G89">
        <v>0</v>
      </c>
      <c r="H89">
        <v>0.10000000149011612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3.4383858884888086</v>
      </c>
      <c r="Q89" s="15">
        <v>1.5309417102701683E-2</v>
      </c>
      <c r="R89">
        <v>0</v>
      </c>
      <c r="S89">
        <v>0</v>
      </c>
      <c r="T89" s="15">
        <v>0</v>
      </c>
      <c r="U89">
        <v>5.390271195473912</v>
      </c>
      <c r="V89">
        <v>0</v>
      </c>
      <c r="W89">
        <v>0</v>
      </c>
      <c r="X89">
        <v>0</v>
      </c>
      <c r="Y89">
        <v>0</v>
      </c>
      <c r="Z89">
        <v>1</v>
      </c>
      <c r="AA89">
        <v>0.9</v>
      </c>
      <c r="AB89">
        <v>1.1000000000000001</v>
      </c>
      <c r="AC89">
        <v>0</v>
      </c>
      <c r="AD89">
        <v>0.31646808565538276</v>
      </c>
      <c r="AE89">
        <v>241.91934322304661</v>
      </c>
      <c r="AF89">
        <v>242.23581130870193</v>
      </c>
      <c r="AG89">
        <v>245.59099986575546</v>
      </c>
      <c r="AH89">
        <v>183.81499990411103</v>
      </c>
      <c r="AI89">
        <v>2.1</v>
      </c>
      <c r="AJ89">
        <v>0</v>
      </c>
      <c r="AK89">
        <v>0</v>
      </c>
      <c r="AL89">
        <v>1</v>
      </c>
      <c r="AM89">
        <v>1</v>
      </c>
      <c r="AN89">
        <v>0</v>
      </c>
      <c r="AO89">
        <v>1</v>
      </c>
      <c r="AP89">
        <v>0</v>
      </c>
      <c r="AQ89">
        <v>0</v>
      </c>
      <c r="AR89">
        <v>69.3</v>
      </c>
      <c r="AS89">
        <v>115.2</v>
      </c>
      <c r="AT89">
        <v>231.3</v>
      </c>
      <c r="AU89">
        <v>426.59999999999997</v>
      </c>
      <c r="AV89">
        <v>30</v>
      </c>
    </row>
    <row r="90" spans="1:48">
      <c r="A90">
        <v>89</v>
      </c>
      <c r="B90">
        <v>0</v>
      </c>
      <c r="C90">
        <v>24.719999999999644</v>
      </c>
      <c r="D90">
        <v>9.9399999999998911</v>
      </c>
      <c r="E90">
        <v>3.1965668426947431</v>
      </c>
      <c r="F90">
        <v>0</v>
      </c>
      <c r="G90">
        <v>0</v>
      </c>
      <c r="H90">
        <v>0.10000000149011612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3.8358755963231208</v>
      </c>
      <c r="Q90" s="15">
        <v>1.216972421644996E-2</v>
      </c>
      <c r="R90">
        <v>0</v>
      </c>
      <c r="S90">
        <v>0</v>
      </c>
      <c r="T90" s="15">
        <v>0</v>
      </c>
      <c r="U90">
        <v>5.3781014712574633</v>
      </c>
      <c r="V90">
        <v>0</v>
      </c>
      <c r="W90">
        <v>0</v>
      </c>
      <c r="X90">
        <v>0</v>
      </c>
      <c r="Y90">
        <v>0</v>
      </c>
      <c r="Z90">
        <v>1</v>
      </c>
      <c r="AA90">
        <v>0.9</v>
      </c>
      <c r="AB90">
        <v>1.1000000000000001</v>
      </c>
      <c r="AC90">
        <v>0</v>
      </c>
      <c r="AD90">
        <v>0.3109992257554583</v>
      </c>
      <c r="AE90">
        <v>241.60834399729123</v>
      </c>
      <c r="AF90">
        <v>241.91934322304661</v>
      </c>
      <c r="AG90">
        <v>245.59099986575546</v>
      </c>
      <c r="AH90">
        <v>183.81499990411103</v>
      </c>
      <c r="AI90">
        <v>2.1</v>
      </c>
      <c r="AJ90">
        <v>0</v>
      </c>
      <c r="AK90">
        <v>0</v>
      </c>
      <c r="AL90">
        <v>1</v>
      </c>
      <c r="AM90">
        <v>1</v>
      </c>
      <c r="AN90">
        <v>0</v>
      </c>
      <c r="AO90">
        <v>1</v>
      </c>
      <c r="AP90">
        <v>0</v>
      </c>
      <c r="AQ90">
        <v>0</v>
      </c>
      <c r="AR90">
        <v>69.3</v>
      </c>
      <c r="AS90">
        <v>115.2</v>
      </c>
      <c r="AT90">
        <v>231.3</v>
      </c>
      <c r="AU90">
        <v>426.59999999999997</v>
      </c>
      <c r="AV90">
        <v>30</v>
      </c>
    </row>
    <row r="91" spans="1:48">
      <c r="A91">
        <v>90</v>
      </c>
      <c r="B91">
        <v>0</v>
      </c>
      <c r="C91">
        <v>25.959999999999624</v>
      </c>
      <c r="D91">
        <v>9.8599999999998822</v>
      </c>
      <c r="E91">
        <v>3.2124604926350795</v>
      </c>
      <c r="F91">
        <v>0</v>
      </c>
      <c r="G91">
        <v>0</v>
      </c>
      <c r="H91">
        <v>0.10000000149011612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3.8549474159289736</v>
      </c>
      <c r="Q91" s="15">
        <v>8.5271991515018433E-3</v>
      </c>
      <c r="R91">
        <v>0</v>
      </c>
      <c r="S91">
        <v>0</v>
      </c>
      <c r="T91" s="15">
        <v>0</v>
      </c>
      <c r="U91">
        <v>5.3695742721059609</v>
      </c>
      <c r="V91">
        <v>0</v>
      </c>
      <c r="W91">
        <v>0</v>
      </c>
      <c r="X91">
        <v>0</v>
      </c>
      <c r="Y91">
        <v>0</v>
      </c>
      <c r="Z91">
        <v>1</v>
      </c>
      <c r="AA91">
        <v>0.9</v>
      </c>
      <c r="AB91">
        <v>1.1000000000000001</v>
      </c>
      <c r="AC91">
        <v>0</v>
      </c>
      <c r="AD91">
        <v>0.30570681161786306</v>
      </c>
      <c r="AE91">
        <v>241.30263718567338</v>
      </c>
      <c r="AF91">
        <v>241.60834399729126</v>
      </c>
      <c r="AG91">
        <v>245.59099986575546</v>
      </c>
      <c r="AH91">
        <v>183.81499990411103</v>
      </c>
      <c r="AI91">
        <v>2.1</v>
      </c>
      <c r="AJ91">
        <v>0</v>
      </c>
      <c r="AK91">
        <v>0</v>
      </c>
      <c r="AL91">
        <v>1</v>
      </c>
      <c r="AM91">
        <v>1</v>
      </c>
      <c r="AN91">
        <v>0</v>
      </c>
      <c r="AO91">
        <v>1</v>
      </c>
      <c r="AP91">
        <v>0</v>
      </c>
      <c r="AQ91">
        <v>0</v>
      </c>
      <c r="AR91">
        <v>69.3</v>
      </c>
      <c r="AS91">
        <v>115.2</v>
      </c>
      <c r="AT91">
        <v>231.3</v>
      </c>
      <c r="AU91">
        <v>426.59999999999997</v>
      </c>
      <c r="AV91">
        <v>30</v>
      </c>
    </row>
    <row r="92" spans="1:48">
      <c r="A92">
        <v>91</v>
      </c>
      <c r="B92">
        <v>0</v>
      </c>
      <c r="C92">
        <v>27.319999999999609</v>
      </c>
      <c r="D92">
        <v>9.9199999999998791</v>
      </c>
      <c r="E92">
        <v>3.5973501558169216</v>
      </c>
      <c r="F92">
        <v>0</v>
      </c>
      <c r="G92">
        <v>0</v>
      </c>
      <c r="H92">
        <v>0.10000000149011612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4.3168137317062421</v>
      </c>
      <c r="Q92" s="15">
        <v>6.5241697900098906E-3</v>
      </c>
      <c r="R92">
        <v>0</v>
      </c>
      <c r="S92">
        <v>0</v>
      </c>
      <c r="T92" s="15">
        <v>0</v>
      </c>
      <c r="U92">
        <v>5.3630501023159516</v>
      </c>
      <c r="V92">
        <v>0</v>
      </c>
      <c r="W92">
        <v>0</v>
      </c>
      <c r="X92">
        <v>0</v>
      </c>
      <c r="Y92">
        <v>0</v>
      </c>
      <c r="Z92">
        <v>1</v>
      </c>
      <c r="AA92">
        <v>0.9</v>
      </c>
      <c r="AB92">
        <v>1.1000000000000001</v>
      </c>
      <c r="AC92">
        <v>0</v>
      </c>
      <c r="AD92">
        <v>0.30058258589688569</v>
      </c>
      <c r="AE92">
        <v>241.00205459977644</v>
      </c>
      <c r="AF92">
        <v>241.30263718567335</v>
      </c>
      <c r="AG92">
        <v>245.59099986575546</v>
      </c>
      <c r="AH92">
        <v>183.81499990411103</v>
      </c>
      <c r="AI92">
        <v>2.1</v>
      </c>
      <c r="AJ92">
        <v>0</v>
      </c>
      <c r="AK92">
        <v>0</v>
      </c>
      <c r="AL92">
        <v>1</v>
      </c>
      <c r="AM92">
        <v>1</v>
      </c>
      <c r="AN92">
        <v>0</v>
      </c>
      <c r="AO92">
        <v>1</v>
      </c>
      <c r="AP92">
        <v>0</v>
      </c>
      <c r="AQ92">
        <v>0</v>
      </c>
      <c r="AR92">
        <v>69.3</v>
      </c>
      <c r="AS92">
        <v>115.2</v>
      </c>
      <c r="AT92">
        <v>231.3</v>
      </c>
      <c r="AU92">
        <v>426.59999999999997</v>
      </c>
      <c r="AV92">
        <v>0</v>
      </c>
    </row>
    <row r="93" spans="1:48">
      <c r="A93">
        <v>92</v>
      </c>
      <c r="B93">
        <v>0</v>
      </c>
      <c r="C93">
        <v>27.619999999999603</v>
      </c>
      <c r="D93">
        <v>10.519999999999886</v>
      </c>
      <c r="E93">
        <v>4.0446167507067505</v>
      </c>
      <c r="F93">
        <v>0</v>
      </c>
      <c r="G93">
        <v>0</v>
      </c>
      <c r="H93">
        <v>0.10000000149011612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4.8535320304295464</v>
      </c>
      <c r="Q93" s="15">
        <v>4.7826451618681034E-3</v>
      </c>
      <c r="R93">
        <v>0</v>
      </c>
      <c r="S93">
        <v>0</v>
      </c>
      <c r="T93" s="15">
        <v>0</v>
      </c>
      <c r="U93">
        <v>5.358267457154084</v>
      </c>
      <c r="V93">
        <v>0</v>
      </c>
      <c r="W93">
        <v>0</v>
      </c>
      <c r="X93">
        <v>0</v>
      </c>
      <c r="Y93">
        <v>0</v>
      </c>
      <c r="Z93">
        <v>1</v>
      </c>
      <c r="AA93">
        <v>0.9</v>
      </c>
      <c r="AB93">
        <v>1.1000000000000001</v>
      </c>
      <c r="AC93">
        <v>0</v>
      </c>
      <c r="AD93">
        <v>0.29561879415070275</v>
      </c>
      <c r="AE93">
        <v>240.70643580562574</v>
      </c>
      <c r="AF93">
        <v>241.00205459977647</v>
      </c>
      <c r="AG93">
        <v>245.59099986575546</v>
      </c>
      <c r="AH93">
        <v>183.81499990411103</v>
      </c>
      <c r="AI93">
        <v>2.1</v>
      </c>
      <c r="AJ93">
        <v>0</v>
      </c>
      <c r="AK93">
        <v>0</v>
      </c>
      <c r="AL93">
        <v>1</v>
      </c>
      <c r="AM93">
        <v>1</v>
      </c>
      <c r="AN93">
        <v>0</v>
      </c>
      <c r="AO93">
        <v>1</v>
      </c>
      <c r="AP93">
        <v>0</v>
      </c>
      <c r="AQ93">
        <v>0</v>
      </c>
      <c r="AR93">
        <v>69.3</v>
      </c>
      <c r="AS93">
        <v>115.2</v>
      </c>
      <c r="AT93">
        <v>231.3</v>
      </c>
      <c r="AU93">
        <v>426.59999999999997</v>
      </c>
      <c r="AV93">
        <v>0</v>
      </c>
    </row>
    <row r="94" spans="1:48">
      <c r="A94">
        <v>93</v>
      </c>
      <c r="B94">
        <v>0</v>
      </c>
      <c r="C94">
        <v>20.179999999999701</v>
      </c>
      <c r="D94">
        <v>11.339999999999838</v>
      </c>
      <c r="E94">
        <v>3.4737220599447554</v>
      </c>
      <c r="F94" s="15">
        <v>0</v>
      </c>
      <c r="G94" s="15">
        <v>0</v>
      </c>
      <c r="H94">
        <v>0.5058587186518656</v>
      </c>
      <c r="I94">
        <v>54</v>
      </c>
      <c r="J94">
        <v>0</v>
      </c>
      <c r="K94">
        <v>54</v>
      </c>
      <c r="L94">
        <v>0</v>
      </c>
      <c r="M94">
        <v>0</v>
      </c>
      <c r="N94">
        <v>0</v>
      </c>
      <c r="O94">
        <v>0</v>
      </c>
      <c r="P94">
        <v>4.1684587777072606</v>
      </c>
      <c r="Q94" s="15">
        <v>2.607505772704398</v>
      </c>
      <c r="R94">
        <v>0</v>
      </c>
      <c r="S94">
        <v>0</v>
      </c>
      <c r="T94">
        <v>29.298734780487361</v>
      </c>
      <c r="U94">
        <v>27.452026903962331</v>
      </c>
      <c r="V94">
        <v>0</v>
      </c>
      <c r="W94">
        <v>0</v>
      </c>
      <c r="X94">
        <v>0</v>
      </c>
      <c r="Y94">
        <v>0</v>
      </c>
      <c r="Z94">
        <v>1</v>
      </c>
      <c r="AA94">
        <v>0.19999999999999998</v>
      </c>
      <c r="AB94">
        <v>1.8</v>
      </c>
      <c r="AC94">
        <v>0</v>
      </c>
      <c r="AD94">
        <v>20.9440640316257</v>
      </c>
      <c r="AE94">
        <v>61.844989816778465</v>
      </c>
      <c r="AF94">
        <v>53.490319067916822</v>
      </c>
      <c r="AG94">
        <v>61.102517642637842</v>
      </c>
      <c r="AH94">
        <v>45.787512601884181</v>
      </c>
      <c r="AI94">
        <v>2.1</v>
      </c>
      <c r="AJ94">
        <v>0</v>
      </c>
      <c r="AK94">
        <v>0</v>
      </c>
      <c r="AL94">
        <v>9</v>
      </c>
      <c r="AM94">
        <v>9</v>
      </c>
      <c r="AN94">
        <v>6</v>
      </c>
      <c r="AO94">
        <v>0</v>
      </c>
      <c r="AP94">
        <v>1</v>
      </c>
      <c r="AQ94">
        <v>0</v>
      </c>
      <c r="AR94">
        <v>15.399999999999997</v>
      </c>
      <c r="AS94">
        <v>25.599999999999998</v>
      </c>
      <c r="AT94">
        <v>51.399999999999991</v>
      </c>
      <c r="AU94">
        <v>94.799999999999983</v>
      </c>
      <c r="AV94">
        <v>0</v>
      </c>
    </row>
    <row r="95" spans="1:48">
      <c r="A95">
        <v>94</v>
      </c>
      <c r="B95">
        <v>0</v>
      </c>
      <c r="C95">
        <v>16.579999999999757</v>
      </c>
      <c r="D95">
        <v>7.63999999999991</v>
      </c>
      <c r="E95">
        <v>3.1194395235593269</v>
      </c>
      <c r="F95">
        <v>0</v>
      </c>
      <c r="G95" s="15">
        <v>0</v>
      </c>
      <c r="H95">
        <v>0.53326164814825383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3.7433197709279109</v>
      </c>
      <c r="Q95" s="15">
        <v>3.7433197709279109</v>
      </c>
      <c r="R95">
        <v>0</v>
      </c>
      <c r="S95">
        <v>0</v>
      </c>
      <c r="T95" s="15">
        <v>1.592999951691511</v>
      </c>
      <c r="U95">
        <v>22.115707181342906</v>
      </c>
      <c r="V95">
        <v>0</v>
      </c>
      <c r="W95">
        <v>0</v>
      </c>
      <c r="X95">
        <v>0</v>
      </c>
      <c r="Y95">
        <v>0</v>
      </c>
      <c r="Z95">
        <v>1</v>
      </c>
      <c r="AA95">
        <v>0.19999999999999998</v>
      </c>
      <c r="AB95">
        <v>1.8</v>
      </c>
      <c r="AC95">
        <v>0</v>
      </c>
      <c r="AD95">
        <v>7.2602528124552723</v>
      </c>
      <c r="AE95">
        <v>56.177736956014705</v>
      </c>
      <c r="AF95">
        <v>61.844989816778465</v>
      </c>
      <c r="AG95">
        <v>58.092952448707813</v>
      </c>
      <c r="AH95">
        <v>45.261376355553523</v>
      </c>
      <c r="AI95">
        <v>2.1</v>
      </c>
      <c r="AJ95">
        <v>0</v>
      </c>
      <c r="AK95">
        <v>0</v>
      </c>
      <c r="AL95">
        <v>6.926545765453743</v>
      </c>
      <c r="AM95">
        <v>6.926545765453743</v>
      </c>
      <c r="AN95">
        <v>0</v>
      </c>
      <c r="AO95">
        <v>0</v>
      </c>
      <c r="AP95">
        <v>1</v>
      </c>
      <c r="AQ95">
        <v>0.111</v>
      </c>
      <c r="AR95">
        <v>15.399999999999997</v>
      </c>
      <c r="AS95">
        <v>25.599999999999998</v>
      </c>
      <c r="AT95">
        <v>51.399999999999991</v>
      </c>
      <c r="AU95">
        <v>94.799999999999983</v>
      </c>
      <c r="AV95">
        <v>0</v>
      </c>
    </row>
    <row r="96" spans="1:48">
      <c r="A96">
        <v>95</v>
      </c>
      <c r="B96">
        <v>0</v>
      </c>
      <c r="C96">
        <v>17.739999999999746</v>
      </c>
      <c r="D96">
        <v>5.9199999999999369</v>
      </c>
      <c r="E96">
        <v>3.012161307604361</v>
      </c>
      <c r="F96">
        <v>0</v>
      </c>
      <c r="G96" s="15">
        <v>0</v>
      </c>
      <c r="H96">
        <v>0.55026720803932383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3.61458538812682</v>
      </c>
      <c r="Q96" s="15">
        <v>3.61458538812682</v>
      </c>
      <c r="R96">
        <v>0</v>
      </c>
      <c r="S96">
        <v>0</v>
      </c>
      <c r="T96" s="15">
        <v>0.11121289339692961</v>
      </c>
      <c r="U96">
        <v>18.389908899819169</v>
      </c>
      <c r="V96">
        <v>0</v>
      </c>
      <c r="W96">
        <v>0</v>
      </c>
      <c r="X96">
        <v>0</v>
      </c>
      <c r="Y96">
        <v>0</v>
      </c>
      <c r="Z96">
        <v>1</v>
      </c>
      <c r="AA96">
        <v>0.19999999999999998</v>
      </c>
      <c r="AB96">
        <v>1.8</v>
      </c>
      <c r="AC96">
        <v>0</v>
      </c>
      <c r="AD96">
        <v>2.3167568870429465</v>
      </c>
      <c r="AE96">
        <v>53.972192962368702</v>
      </c>
      <c r="AF96">
        <v>56.177736956014712</v>
      </c>
      <c r="AG96">
        <v>55.217899552809342</v>
      </c>
      <c r="AH96">
        <v>44.934869605644977</v>
      </c>
      <c r="AI96">
        <v>2.1</v>
      </c>
      <c r="AJ96">
        <v>0</v>
      </c>
      <c r="AK96">
        <v>0</v>
      </c>
      <c r="AL96">
        <v>5.3904930887522111</v>
      </c>
      <c r="AM96">
        <v>5.3904930887522111</v>
      </c>
      <c r="AN96">
        <v>0</v>
      </c>
      <c r="AO96">
        <v>0</v>
      </c>
      <c r="AP96">
        <v>1</v>
      </c>
      <c r="AQ96">
        <v>0.222</v>
      </c>
      <c r="AR96">
        <v>15.399999999999997</v>
      </c>
      <c r="AS96">
        <v>25.599999999999998</v>
      </c>
      <c r="AT96">
        <v>51.399999999999991</v>
      </c>
      <c r="AU96">
        <v>94.799999999999983</v>
      </c>
      <c r="AV96">
        <v>0</v>
      </c>
    </row>
    <row r="97" spans="1:48">
      <c r="A97">
        <v>96</v>
      </c>
      <c r="B97">
        <v>0</v>
      </c>
      <c r="C97">
        <v>14.699999999999767</v>
      </c>
      <c r="D97">
        <v>2.3199999999999918</v>
      </c>
      <c r="E97">
        <v>3.5596909169415603</v>
      </c>
      <c r="F97">
        <v>0</v>
      </c>
      <c r="G97" s="15">
        <v>0</v>
      </c>
      <c r="H97">
        <v>0.55541658323626997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4.2716184202386964</v>
      </c>
      <c r="Q97" s="15">
        <v>4.096535334432077</v>
      </c>
      <c r="R97">
        <v>0</v>
      </c>
      <c r="S97">
        <v>0</v>
      </c>
      <c r="T97" s="15">
        <v>6.5740972991432112E-3</v>
      </c>
      <c r="U97">
        <v>14.286799468087951</v>
      </c>
      <c r="V97">
        <v>0</v>
      </c>
      <c r="W97">
        <v>0</v>
      </c>
      <c r="X97">
        <v>0</v>
      </c>
      <c r="Y97">
        <v>0</v>
      </c>
      <c r="Z97">
        <v>1</v>
      </c>
      <c r="AA97">
        <v>0.19999999999999998</v>
      </c>
      <c r="AB97">
        <v>1.8</v>
      </c>
      <c r="AC97">
        <v>0</v>
      </c>
      <c r="AD97">
        <v>1.2055499783773111</v>
      </c>
      <c r="AE97">
        <v>52.773217081290532</v>
      </c>
      <c r="AF97">
        <v>53.972192962368709</v>
      </c>
      <c r="AG97">
        <v>52.668179309450224</v>
      </c>
      <c r="AH97">
        <v>44.836001601863614</v>
      </c>
      <c r="AI97">
        <v>2.1</v>
      </c>
      <c r="AJ97">
        <v>0</v>
      </c>
      <c r="AK97">
        <v>0</v>
      </c>
      <c r="AL97">
        <v>4.2525572779247938</v>
      </c>
      <c r="AM97">
        <v>4.2525572779247938</v>
      </c>
      <c r="AN97">
        <v>0</v>
      </c>
      <c r="AO97">
        <v>0</v>
      </c>
      <c r="AP97">
        <v>1</v>
      </c>
      <c r="AQ97">
        <v>0.33300000000000002</v>
      </c>
      <c r="AR97">
        <v>15.399999999999997</v>
      </c>
      <c r="AS97">
        <v>25.599999999999998</v>
      </c>
      <c r="AT97">
        <v>51.399999999999991</v>
      </c>
      <c r="AU97">
        <v>94.799999999999983</v>
      </c>
      <c r="AV97">
        <v>0</v>
      </c>
    </row>
    <row r="98" spans="1:48">
      <c r="A98">
        <v>97</v>
      </c>
      <c r="B98">
        <v>0</v>
      </c>
      <c r="C98">
        <v>11.639999999999821</v>
      </c>
      <c r="D98">
        <v>1.0799999999999941</v>
      </c>
      <c r="E98">
        <v>3.2451726675100336</v>
      </c>
      <c r="F98">
        <v>0</v>
      </c>
      <c r="G98" s="15">
        <v>0</v>
      </c>
      <c r="H98">
        <v>0.52913526253922827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3.8941964622268013</v>
      </c>
      <c r="Q98" s="15">
        <v>2.7119964800180933</v>
      </c>
      <c r="R98">
        <v>0</v>
      </c>
      <c r="S98">
        <v>0</v>
      </c>
      <c r="T98" s="15">
        <v>1.0488832939328671E-4</v>
      </c>
      <c r="U98">
        <v>11.574698099740475</v>
      </c>
      <c r="V98">
        <v>0</v>
      </c>
      <c r="W98">
        <v>0</v>
      </c>
      <c r="X98">
        <v>0</v>
      </c>
      <c r="Y98">
        <v>0</v>
      </c>
      <c r="Z98">
        <v>1</v>
      </c>
      <c r="AA98">
        <v>0.19999999999999998</v>
      </c>
      <c r="AB98">
        <v>1.8</v>
      </c>
      <c r="AC98">
        <v>0</v>
      </c>
      <c r="AD98">
        <v>0.75581041250880077</v>
      </c>
      <c r="AE98">
        <v>52.017511557111121</v>
      </c>
      <c r="AF98">
        <v>52.773217081290532</v>
      </c>
      <c r="AG98">
        <v>51.455299570756715</v>
      </c>
      <c r="AH98">
        <v>45.340602959246816</v>
      </c>
      <c r="AI98">
        <v>2.1</v>
      </c>
      <c r="AJ98">
        <v>0</v>
      </c>
      <c r="AK98">
        <v>0</v>
      </c>
      <c r="AL98">
        <v>3.4095536952976171</v>
      </c>
      <c r="AM98">
        <v>3.4095536952976171</v>
      </c>
      <c r="AN98">
        <v>0</v>
      </c>
      <c r="AO98">
        <v>0</v>
      </c>
      <c r="AP98">
        <v>1</v>
      </c>
      <c r="AQ98">
        <v>0.44400000000000001</v>
      </c>
      <c r="AR98">
        <v>15.399999999999997</v>
      </c>
      <c r="AS98">
        <v>25.599999999999998</v>
      </c>
      <c r="AT98">
        <v>51.399999999999991</v>
      </c>
      <c r="AU98">
        <v>94.799999999999983</v>
      </c>
      <c r="AV98">
        <v>0</v>
      </c>
    </row>
    <row r="99" spans="1:48">
      <c r="A99">
        <v>98</v>
      </c>
      <c r="B99">
        <v>0</v>
      </c>
      <c r="C99">
        <v>16.959999999999752</v>
      </c>
      <c r="D99">
        <v>-0.39999999999996461</v>
      </c>
      <c r="E99">
        <v>3.2454601097965292</v>
      </c>
      <c r="F99">
        <v>0</v>
      </c>
      <c r="G99">
        <v>0</v>
      </c>
      <c r="H99">
        <v>0.54423214052226254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3.894540304623809</v>
      </c>
      <c r="Q99" s="15">
        <v>1.8891023782568286</v>
      </c>
      <c r="R99">
        <v>0</v>
      </c>
      <c r="S99">
        <v>0</v>
      </c>
      <c r="T99" s="15">
        <v>1.6174618852960025E-6</v>
      </c>
      <c r="U99">
        <v>9.6855941040217637</v>
      </c>
      <c r="V99">
        <v>0</v>
      </c>
      <c r="W99">
        <v>0</v>
      </c>
      <c r="X99">
        <v>0</v>
      </c>
      <c r="Y99">
        <v>0</v>
      </c>
      <c r="Z99">
        <v>1</v>
      </c>
      <c r="AA99">
        <v>0.19999999999999998</v>
      </c>
      <c r="AB99">
        <v>1.8</v>
      </c>
      <c r="AC99">
        <v>0</v>
      </c>
      <c r="AD99">
        <v>0.52250509788209276</v>
      </c>
      <c r="AE99">
        <v>51.495008076690901</v>
      </c>
      <c r="AF99">
        <v>52.017511557111121</v>
      </c>
      <c r="AG99">
        <v>48.451466169755065</v>
      </c>
      <c r="AH99">
        <v>45.050742901972555</v>
      </c>
      <c r="AI99">
        <v>2.1</v>
      </c>
      <c r="AJ99">
        <v>0</v>
      </c>
      <c r="AK99">
        <v>0</v>
      </c>
      <c r="AL99">
        <v>2.7850412811874383</v>
      </c>
      <c r="AM99">
        <v>2.7850412811874383</v>
      </c>
      <c r="AN99">
        <v>0</v>
      </c>
      <c r="AO99">
        <v>0</v>
      </c>
      <c r="AP99">
        <v>1</v>
      </c>
      <c r="AQ99">
        <v>0.55600000000000005</v>
      </c>
      <c r="AR99">
        <v>15.399999999999997</v>
      </c>
      <c r="AS99">
        <v>25.599999999999998</v>
      </c>
      <c r="AT99">
        <v>51.399999999999991</v>
      </c>
      <c r="AU99">
        <v>94.799999999999983</v>
      </c>
      <c r="AV99">
        <v>0</v>
      </c>
    </row>
    <row r="100" spans="1:48">
      <c r="A100">
        <v>99</v>
      </c>
      <c r="B100">
        <v>0</v>
      </c>
      <c r="C100">
        <v>15.619999999999768</v>
      </c>
      <c r="D100">
        <v>5.7599999999999625</v>
      </c>
      <c r="E100">
        <v>2.0923332210417454</v>
      </c>
      <c r="F100">
        <v>0</v>
      </c>
      <c r="G100" s="15">
        <v>0</v>
      </c>
      <c r="H100">
        <v>0.54421838682668966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2.5107914810590288</v>
      </c>
      <c r="Q100" s="15">
        <v>0.9017309195883727</v>
      </c>
      <c r="R100">
        <v>0</v>
      </c>
      <c r="S100">
        <v>0</v>
      </c>
      <c r="T100" s="15">
        <v>1.9491242920625866E-8</v>
      </c>
      <c r="U100">
        <v>8.783863164942149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0.19999999999999998</v>
      </c>
      <c r="AB100">
        <v>1.8</v>
      </c>
      <c r="AC100">
        <v>0</v>
      </c>
      <c r="AD100" s="15">
        <v>0.38621247804975489</v>
      </c>
      <c r="AE100">
        <v>51.10879561813239</v>
      </c>
      <c r="AF100">
        <v>51.495008076690908</v>
      </c>
      <c r="AG100">
        <v>46.132453063983945</v>
      </c>
      <c r="AH100">
        <v>45.051006972927553</v>
      </c>
      <c r="AI100">
        <v>2.1</v>
      </c>
      <c r="AJ100">
        <v>0</v>
      </c>
      <c r="AK100">
        <v>0</v>
      </c>
      <c r="AL100">
        <v>2.3223911057726925</v>
      </c>
      <c r="AM100">
        <v>2.3223911057726925</v>
      </c>
      <c r="AN100">
        <v>0</v>
      </c>
      <c r="AO100">
        <v>0</v>
      </c>
      <c r="AP100">
        <v>1</v>
      </c>
      <c r="AQ100">
        <v>0.66700000000000004</v>
      </c>
      <c r="AR100">
        <v>15.399999999999997</v>
      </c>
      <c r="AS100">
        <v>25.599999999999998</v>
      </c>
      <c r="AT100">
        <v>51.399999999999991</v>
      </c>
      <c r="AU100">
        <v>94.799999999999983</v>
      </c>
      <c r="AV100">
        <v>0</v>
      </c>
    </row>
    <row r="101" spans="1:48">
      <c r="A101">
        <v>100</v>
      </c>
      <c r="B101">
        <v>2.5999999999999841</v>
      </c>
      <c r="C101">
        <v>14.919999999999774</v>
      </c>
      <c r="D101">
        <v>8.2599999999998968</v>
      </c>
      <c r="E101">
        <v>1.5989842671848917</v>
      </c>
      <c r="F101">
        <v>0</v>
      </c>
      <c r="G101" s="15">
        <v>0</v>
      </c>
      <c r="H101">
        <v>0.599568338532113</v>
      </c>
      <c r="I101">
        <v>0</v>
      </c>
      <c r="J101">
        <v>2.5999999999999841</v>
      </c>
      <c r="K101">
        <v>2.5999999999999841</v>
      </c>
      <c r="L101">
        <v>2.5999999999999841</v>
      </c>
      <c r="M101" s="15">
        <v>0</v>
      </c>
      <c r="N101">
        <v>0</v>
      </c>
      <c r="O101">
        <v>2.6000000774860221</v>
      </c>
      <c r="P101">
        <v>1.9187740858116331</v>
      </c>
      <c r="Q101">
        <v>0.77465021645312804</v>
      </c>
      <c r="R101">
        <v>0</v>
      </c>
      <c r="S101">
        <v>0</v>
      </c>
      <c r="T101" s="15">
        <v>6.9494323154658734E-8</v>
      </c>
      <c r="U101">
        <v>10.60921295648072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0.19999999999999998</v>
      </c>
      <c r="AB101">
        <v>1.8</v>
      </c>
      <c r="AC101">
        <v>0</v>
      </c>
      <c r="AD101" s="15">
        <v>0.3002294506550488</v>
      </c>
      <c r="AE101">
        <v>50.80856623697165</v>
      </c>
      <c r="AF101">
        <v>51.10879561813239</v>
      </c>
      <c r="AG101">
        <v>40.671379032942212</v>
      </c>
      <c r="AH101">
        <v>43.988287900183423</v>
      </c>
      <c r="AI101">
        <v>2.1</v>
      </c>
      <c r="AJ101">
        <v>0</v>
      </c>
      <c r="AK101">
        <v>0</v>
      </c>
      <c r="AL101">
        <v>1.9796514260238554</v>
      </c>
      <c r="AM101">
        <v>1.9796514260238554</v>
      </c>
      <c r="AN101">
        <v>0</v>
      </c>
      <c r="AO101">
        <v>0</v>
      </c>
      <c r="AP101">
        <v>1</v>
      </c>
      <c r="AQ101">
        <v>0.77800000000000002</v>
      </c>
      <c r="AR101">
        <v>15.399999999999997</v>
      </c>
      <c r="AS101">
        <v>25.599999999999998</v>
      </c>
      <c r="AT101">
        <v>51.399999999999991</v>
      </c>
      <c r="AU101">
        <v>94.799999999999983</v>
      </c>
      <c r="AV101">
        <v>0</v>
      </c>
    </row>
    <row r="102" spans="1:48">
      <c r="A102">
        <v>101</v>
      </c>
      <c r="B102">
        <v>22.559999999999793</v>
      </c>
      <c r="C102">
        <v>12.259999999999827</v>
      </c>
      <c r="D102">
        <v>8.399999999999876</v>
      </c>
      <c r="E102">
        <v>1.0526101754501798</v>
      </c>
      <c r="F102">
        <v>0</v>
      </c>
      <c r="G102" s="15">
        <v>0</v>
      </c>
      <c r="H102">
        <v>0.62324903381270402</v>
      </c>
      <c r="I102">
        <v>0</v>
      </c>
      <c r="J102">
        <v>22.559999999999793</v>
      </c>
      <c r="K102">
        <v>22.559999999999793</v>
      </c>
      <c r="L102">
        <v>20.635836607240535</v>
      </c>
      <c r="M102" s="15">
        <v>0</v>
      </c>
      <c r="N102">
        <v>1.9241633927592574</v>
      </c>
      <c r="O102">
        <v>20.635837222236397</v>
      </c>
      <c r="P102">
        <v>1.263127133470924</v>
      </c>
      <c r="Q102">
        <v>1.2615570634211735</v>
      </c>
      <c r="R102">
        <v>0</v>
      </c>
      <c r="S102">
        <v>0</v>
      </c>
      <c r="T102" s="15">
        <v>0.32600479895849266</v>
      </c>
      <c r="U102">
        <v>29.65748831633746</v>
      </c>
      <c r="V102">
        <v>0</v>
      </c>
      <c r="W102">
        <v>0</v>
      </c>
      <c r="X102">
        <v>0</v>
      </c>
      <c r="Y102">
        <v>0</v>
      </c>
      <c r="Z102">
        <v>1</v>
      </c>
      <c r="AA102">
        <v>0.19999999999999998</v>
      </c>
      <c r="AB102">
        <v>1.8</v>
      </c>
      <c r="AC102">
        <v>0</v>
      </c>
      <c r="AD102" s="15">
        <v>0.24525472832402712</v>
      </c>
      <c r="AE102">
        <v>50.889316307606116</v>
      </c>
      <c r="AF102">
        <v>50.80856623697165</v>
      </c>
      <c r="AG102">
        <v>36.670839754429949</v>
      </c>
      <c r="AH102">
        <v>43.533618550796078</v>
      </c>
      <c r="AI102">
        <v>2.1</v>
      </c>
      <c r="AJ102">
        <v>0</v>
      </c>
      <c r="AK102">
        <v>0</v>
      </c>
      <c r="AL102">
        <v>1.7257436263153001</v>
      </c>
      <c r="AM102">
        <v>1.7257436263153001</v>
      </c>
      <c r="AN102">
        <v>0</v>
      </c>
      <c r="AO102">
        <v>0</v>
      </c>
      <c r="AP102">
        <v>1</v>
      </c>
      <c r="AQ102">
        <v>0.88900000000000001</v>
      </c>
      <c r="AR102">
        <v>15.399999999999997</v>
      </c>
      <c r="AS102">
        <v>25.599999999999998</v>
      </c>
      <c r="AT102">
        <v>51.399999999999991</v>
      </c>
      <c r="AU102">
        <v>94.799999999999983</v>
      </c>
      <c r="AV102">
        <v>0</v>
      </c>
    </row>
    <row r="103" spans="1:48">
      <c r="A103">
        <v>102</v>
      </c>
      <c r="B103">
        <v>14.439999999999891</v>
      </c>
      <c r="C103">
        <v>12.199999999999825</v>
      </c>
      <c r="D103">
        <v>8.9399999999998663</v>
      </c>
      <c r="E103">
        <v>1.0063905039212586</v>
      </c>
      <c r="F103">
        <v>0</v>
      </c>
      <c r="G103">
        <v>0</v>
      </c>
      <c r="H103">
        <v>0.64947491132013835</v>
      </c>
      <c r="I103">
        <v>0</v>
      </c>
      <c r="J103">
        <v>14.439999999999891</v>
      </c>
      <c r="K103">
        <v>14.439999999999891</v>
      </c>
      <c r="L103">
        <v>9.4279152972124383</v>
      </c>
      <c r="M103" s="15">
        <v>0</v>
      </c>
      <c r="N103">
        <v>5.0120847027874529</v>
      </c>
      <c r="O103">
        <v>9.4279155781862123</v>
      </c>
      <c r="P103">
        <v>1.2076632907619791</v>
      </c>
      <c r="Q103">
        <v>1.2076632907619791</v>
      </c>
      <c r="R103">
        <v>0</v>
      </c>
      <c r="S103">
        <v>0</v>
      </c>
      <c r="T103" s="15">
        <v>5.1469494562745606</v>
      </c>
      <c r="U103">
        <v>32.73079114748711</v>
      </c>
      <c r="V103">
        <v>0</v>
      </c>
      <c r="W103">
        <v>0</v>
      </c>
      <c r="X103">
        <v>0</v>
      </c>
      <c r="Y103">
        <v>0</v>
      </c>
      <c r="Z103">
        <v>1</v>
      </c>
      <c r="AA103">
        <v>0.19999999999999998</v>
      </c>
      <c r="AB103">
        <v>1.8</v>
      </c>
      <c r="AC103">
        <v>0</v>
      </c>
      <c r="AD103" s="15">
        <v>0.41334329429917493</v>
      </c>
      <c r="AE103">
        <v>55.622922469581496</v>
      </c>
      <c r="AF103">
        <v>50.889316307606116</v>
      </c>
      <c r="AG103">
        <v>32.302277789021375</v>
      </c>
      <c r="AH103">
        <v>43.030081702653341</v>
      </c>
      <c r="AI103">
        <v>2.1</v>
      </c>
      <c r="AJ103">
        <v>0</v>
      </c>
      <c r="AK103">
        <v>0</v>
      </c>
      <c r="AL103">
        <v>1.5376441019179983</v>
      </c>
      <c r="AM103">
        <v>1.5376441019179983</v>
      </c>
      <c r="AN103">
        <v>0</v>
      </c>
      <c r="AO103">
        <v>0</v>
      </c>
      <c r="AP103">
        <v>1</v>
      </c>
      <c r="AQ103">
        <v>1</v>
      </c>
      <c r="AR103">
        <v>15.399999999999997</v>
      </c>
      <c r="AS103">
        <v>25.599999999999998</v>
      </c>
      <c r="AT103">
        <v>51.399999999999991</v>
      </c>
      <c r="AU103">
        <v>94.799999999999983</v>
      </c>
      <c r="AV103">
        <v>0</v>
      </c>
    </row>
    <row r="104" spans="1:48">
      <c r="A104">
        <v>103</v>
      </c>
      <c r="B104">
        <v>0</v>
      </c>
      <c r="C104">
        <v>15.099999999999781</v>
      </c>
      <c r="D104">
        <v>5.7199999999999172</v>
      </c>
      <c r="E104">
        <v>2.6450138601881661</v>
      </c>
      <c r="F104">
        <v>3.6999999999999998E-2</v>
      </c>
      <c r="G104">
        <v>1.2999999999999999E-2</v>
      </c>
      <c r="H104">
        <v>0.65169346497890757</v>
      </c>
      <c r="I104">
        <v>0</v>
      </c>
      <c r="J104">
        <v>0</v>
      </c>
      <c r="K104">
        <v>0</v>
      </c>
      <c r="L104">
        <v>0</v>
      </c>
      <c r="M104" s="15">
        <v>0</v>
      </c>
      <c r="N104">
        <v>0</v>
      </c>
      <c r="O104">
        <v>0</v>
      </c>
      <c r="P104">
        <v>3.0683115684616284</v>
      </c>
      <c r="Q104">
        <v>3.0683115684616284</v>
      </c>
      <c r="R104">
        <v>0</v>
      </c>
      <c r="S104">
        <v>0</v>
      </c>
      <c r="T104" s="15">
        <v>2.5775263975243425</v>
      </c>
      <c r="U104">
        <v>27.084953181501145</v>
      </c>
      <c r="V104">
        <v>0</v>
      </c>
      <c r="W104">
        <v>0</v>
      </c>
      <c r="X104">
        <v>9.7865038200653329E-2</v>
      </c>
      <c r="Y104">
        <v>9.7865038200653329E-2</v>
      </c>
      <c r="Z104">
        <v>1</v>
      </c>
      <c r="AA104">
        <v>0.19999999999999998</v>
      </c>
      <c r="AB104">
        <v>1.8</v>
      </c>
      <c r="AC104">
        <v>0</v>
      </c>
      <c r="AD104" s="15">
        <v>0.94359278627859033</v>
      </c>
      <c r="AE104">
        <v>57.158991042626589</v>
      </c>
      <c r="AF104">
        <v>55.622922469581496</v>
      </c>
      <c r="AG104">
        <v>32.157450606176916</v>
      </c>
      <c r="AH104">
        <v>42.98748547240497</v>
      </c>
      <c r="AI104">
        <v>2.1</v>
      </c>
      <c r="AJ104">
        <v>0</v>
      </c>
      <c r="AK104">
        <v>0</v>
      </c>
      <c r="AL104">
        <v>1.3982965469429116</v>
      </c>
      <c r="AM104">
        <v>1.3982965469429116</v>
      </c>
      <c r="AN104">
        <v>0</v>
      </c>
      <c r="AO104">
        <v>0</v>
      </c>
      <c r="AP104">
        <v>1</v>
      </c>
      <c r="AQ104">
        <v>1</v>
      </c>
      <c r="AR104">
        <v>15.399999999999997</v>
      </c>
      <c r="AS104">
        <v>25.599999999999998</v>
      </c>
      <c r="AT104">
        <v>51.399999999999991</v>
      </c>
      <c r="AU104">
        <v>94.799999999999983</v>
      </c>
      <c r="AV104">
        <v>0</v>
      </c>
    </row>
    <row r="105" spans="1:48">
      <c r="A105">
        <v>104</v>
      </c>
      <c r="B105">
        <v>0</v>
      </c>
      <c r="C105">
        <v>14.83999999999978</v>
      </c>
      <c r="D105">
        <v>3.2799999999999629</v>
      </c>
      <c r="E105">
        <v>2.8815185861065622</v>
      </c>
      <c r="F105">
        <v>7.4999999999999997E-2</v>
      </c>
      <c r="G105">
        <v>2.5000000000000001E-2</v>
      </c>
      <c r="H105">
        <v>0.57335293409394283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3.2633431254523466</v>
      </c>
      <c r="Q105">
        <v>3.2633431254523466</v>
      </c>
      <c r="R105">
        <v>0</v>
      </c>
      <c r="S105">
        <v>0</v>
      </c>
      <c r="T105" s="15">
        <v>0.36496856524757487</v>
      </c>
      <c r="U105">
        <v>23.456641490801214</v>
      </c>
      <c r="V105">
        <v>0</v>
      </c>
      <c r="W105">
        <v>0</v>
      </c>
      <c r="X105">
        <v>0.21611275063691474</v>
      </c>
      <c r="Y105">
        <v>0.21611275063691474</v>
      </c>
      <c r="Z105">
        <v>1</v>
      </c>
      <c r="AA105">
        <v>0.19999999999999998</v>
      </c>
      <c r="AB105">
        <v>1.8</v>
      </c>
      <c r="AC105">
        <v>0</v>
      </c>
      <c r="AD105" s="15">
        <v>0.85732564160696567</v>
      </c>
      <c r="AE105">
        <v>56.450521215630296</v>
      </c>
      <c r="AF105">
        <v>57.158991042626589</v>
      </c>
      <c r="AG105">
        <v>37.271520462347411</v>
      </c>
      <c r="AH105">
        <v>44.49162366539629</v>
      </c>
      <c r="AI105">
        <v>2.1</v>
      </c>
      <c r="AJ105">
        <v>0</v>
      </c>
      <c r="AK105">
        <v>0</v>
      </c>
      <c r="AL105">
        <v>1.2950653392099201</v>
      </c>
      <c r="AM105">
        <v>1.2950653392099201</v>
      </c>
      <c r="AN105">
        <v>0</v>
      </c>
      <c r="AO105">
        <v>0</v>
      </c>
      <c r="AP105">
        <v>1</v>
      </c>
      <c r="AQ105">
        <v>1</v>
      </c>
      <c r="AR105">
        <v>15.399999999999997</v>
      </c>
      <c r="AS105">
        <v>25.599999999999998</v>
      </c>
      <c r="AT105">
        <v>51.399999999999991</v>
      </c>
      <c r="AU105">
        <v>94.799999999999983</v>
      </c>
      <c r="AV105">
        <v>0</v>
      </c>
    </row>
    <row r="106" spans="1:48">
      <c r="A106">
        <v>105</v>
      </c>
      <c r="B106">
        <v>0</v>
      </c>
      <c r="C106">
        <v>11.359999999999831</v>
      </c>
      <c r="D106">
        <v>4.3599999999999532</v>
      </c>
      <c r="E106">
        <v>2.4005129394057105</v>
      </c>
      <c r="F106">
        <v>0.112</v>
      </c>
      <c r="G106">
        <v>3.7999999999999999E-2</v>
      </c>
      <c r="H106">
        <v>0.56082176359695712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2.603730496744161</v>
      </c>
      <c r="Q106" s="15">
        <v>2.603730496744161</v>
      </c>
      <c r="R106">
        <v>0</v>
      </c>
      <c r="S106">
        <v>0</v>
      </c>
      <c r="T106" s="15">
        <v>6.3939268679466699E-2</v>
      </c>
      <c r="U106">
        <v>20.788971725377586</v>
      </c>
      <c r="V106">
        <v>0</v>
      </c>
      <c r="W106">
        <v>0</v>
      </c>
      <c r="X106">
        <v>0.26885589972351065</v>
      </c>
      <c r="Y106">
        <v>0.26885589972351065</v>
      </c>
      <c r="Z106">
        <v>1</v>
      </c>
      <c r="AA106">
        <v>0.19999999999999998</v>
      </c>
      <c r="AB106">
        <v>1.8</v>
      </c>
      <c r="AC106">
        <v>0</v>
      </c>
      <c r="AD106" s="15">
        <v>0.66341538501002806</v>
      </c>
      <c r="AE106">
        <v>55.582189199576241</v>
      </c>
      <c r="AF106">
        <v>56.450521215630296</v>
      </c>
      <c r="AG106">
        <v>38.089555272390641</v>
      </c>
      <c r="AH106">
        <v>44.732222138938425</v>
      </c>
      <c r="AI106">
        <v>2.1</v>
      </c>
      <c r="AJ106">
        <v>0</v>
      </c>
      <c r="AK106">
        <v>0</v>
      </c>
      <c r="AL106">
        <v>1.2185897795783405</v>
      </c>
      <c r="AM106">
        <v>1.2185897795783405</v>
      </c>
      <c r="AN106">
        <v>0</v>
      </c>
      <c r="AO106">
        <v>0</v>
      </c>
      <c r="AP106">
        <v>1</v>
      </c>
      <c r="AQ106">
        <v>1</v>
      </c>
      <c r="AR106">
        <v>15.399999999999997</v>
      </c>
      <c r="AS106">
        <v>25.599999999999998</v>
      </c>
      <c r="AT106">
        <v>51.399999999999991</v>
      </c>
      <c r="AU106">
        <v>94.799999999999983</v>
      </c>
      <c r="AV106">
        <v>0</v>
      </c>
    </row>
    <row r="107" spans="1:48">
      <c r="A107">
        <v>106</v>
      </c>
      <c r="B107">
        <v>0</v>
      </c>
      <c r="C107">
        <v>14.939999999999783</v>
      </c>
      <c r="D107">
        <v>2.7199999999999691</v>
      </c>
      <c r="E107">
        <v>2.9607471572798385</v>
      </c>
      <c r="F107">
        <v>0.15</v>
      </c>
      <c r="G107">
        <v>0.05</v>
      </c>
      <c r="H107">
        <v>0.58509654223923713</v>
      </c>
      <c r="I107">
        <v>0</v>
      </c>
      <c r="J107">
        <v>0</v>
      </c>
      <c r="K107">
        <v>0</v>
      </c>
      <c r="L107">
        <v>0</v>
      </c>
      <c r="M107" s="15">
        <v>0</v>
      </c>
      <c r="N107">
        <v>0</v>
      </c>
      <c r="O107">
        <v>0</v>
      </c>
      <c r="P107">
        <v>3.1260553562493492</v>
      </c>
      <c r="Q107" s="15">
        <v>3.1260553562493492</v>
      </c>
      <c r="R107">
        <v>0</v>
      </c>
      <c r="S107">
        <v>0</v>
      </c>
      <c r="T107" s="15">
        <v>1.1366297312885786E-2</v>
      </c>
      <c r="U107">
        <v>17.65155007181534</v>
      </c>
      <c r="V107">
        <v>0</v>
      </c>
      <c r="W107">
        <v>0</v>
      </c>
      <c r="X107">
        <v>0.44410928900234398</v>
      </c>
      <c r="Y107">
        <v>0.44410928900234398</v>
      </c>
      <c r="Z107">
        <v>1</v>
      </c>
      <c r="AA107">
        <v>0.19999999999999998</v>
      </c>
      <c r="AB107">
        <v>1.8</v>
      </c>
      <c r="AC107">
        <v>0</v>
      </c>
      <c r="AD107" s="15">
        <v>0.50916552874200272</v>
      </c>
      <c r="AE107">
        <v>54.64028067914478</v>
      </c>
      <c r="AF107">
        <v>55.582189199576241</v>
      </c>
      <c r="AG107">
        <v>36.504897722622601</v>
      </c>
      <c r="AH107">
        <v>44.266146389006643</v>
      </c>
      <c r="AI107">
        <v>2.1</v>
      </c>
      <c r="AJ107">
        <v>0</v>
      </c>
      <c r="AK107">
        <v>0</v>
      </c>
      <c r="AL107">
        <v>1.1619352915664352</v>
      </c>
      <c r="AM107">
        <v>1.1619352915664352</v>
      </c>
      <c r="AN107">
        <v>0</v>
      </c>
      <c r="AO107">
        <v>0</v>
      </c>
      <c r="AP107">
        <v>1</v>
      </c>
      <c r="AQ107">
        <v>1</v>
      </c>
      <c r="AR107">
        <v>15.399999999999997</v>
      </c>
      <c r="AS107">
        <v>25.599999999999998</v>
      </c>
      <c r="AT107">
        <v>51.399999999999991</v>
      </c>
      <c r="AU107">
        <v>94.799999999999983</v>
      </c>
      <c r="AV107">
        <v>0</v>
      </c>
    </row>
    <row r="108" spans="1:48">
      <c r="A108">
        <v>107</v>
      </c>
      <c r="B108">
        <v>0</v>
      </c>
      <c r="C108">
        <v>16.219999999999764</v>
      </c>
      <c r="D108">
        <v>1.8799999999999741</v>
      </c>
      <c r="E108">
        <v>2.9732624165173096</v>
      </c>
      <c r="F108">
        <v>0.15</v>
      </c>
      <c r="G108">
        <v>6.6000000000000003E-2</v>
      </c>
      <c r="H108">
        <v>0.55719341291155988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3.1173374425633797</v>
      </c>
      <c r="Q108">
        <v>3.0061691010882745</v>
      </c>
      <c r="R108" s="15">
        <v>0</v>
      </c>
      <c r="S108" s="15">
        <v>0</v>
      </c>
      <c r="T108" s="15">
        <v>1.0394343770732675E-3</v>
      </c>
      <c r="U108">
        <v>14.644341536349978</v>
      </c>
      <c r="V108">
        <v>0</v>
      </c>
      <c r="W108">
        <v>0</v>
      </c>
      <c r="X108">
        <v>0.44598632426044721</v>
      </c>
      <c r="Y108">
        <v>0.44598632426044721</v>
      </c>
      <c r="Z108">
        <v>1</v>
      </c>
      <c r="AA108">
        <v>0.20699999999999999</v>
      </c>
      <c r="AB108">
        <v>1.7930000000000001</v>
      </c>
      <c r="AC108">
        <v>0</v>
      </c>
      <c r="AD108" s="15">
        <v>0.38607639771989627</v>
      </c>
      <c r="AE108">
        <v>55.608257391541535</v>
      </c>
      <c r="AF108">
        <v>56.439280679144794</v>
      </c>
      <c r="AG108">
        <v>39.270066396972837</v>
      </c>
      <c r="AH108">
        <v>45.89781364616848</v>
      </c>
      <c r="AI108">
        <v>2.1</v>
      </c>
      <c r="AJ108">
        <v>0</v>
      </c>
      <c r="AK108">
        <v>0</v>
      </c>
      <c r="AL108">
        <v>1.1199646145638216</v>
      </c>
      <c r="AM108">
        <v>1.1199646145638216</v>
      </c>
      <c r="AN108">
        <v>0</v>
      </c>
      <c r="AO108">
        <v>0</v>
      </c>
      <c r="AP108">
        <v>1</v>
      </c>
      <c r="AQ108">
        <v>1</v>
      </c>
      <c r="AR108">
        <v>15.939</v>
      </c>
      <c r="AS108">
        <v>26.496000000000002</v>
      </c>
      <c r="AT108">
        <v>53.198999999999998</v>
      </c>
      <c r="AU108">
        <v>98.117999999999995</v>
      </c>
      <c r="AV108">
        <v>0</v>
      </c>
    </row>
    <row r="109" spans="1:48">
      <c r="A109">
        <v>108</v>
      </c>
      <c r="B109">
        <v>0</v>
      </c>
      <c r="C109">
        <v>15.979999999999766</v>
      </c>
      <c r="D109">
        <v>7.5999999999998913</v>
      </c>
      <c r="E109">
        <v>2.7277830414154272</v>
      </c>
      <c r="F109">
        <v>0.15</v>
      </c>
      <c r="G109">
        <v>8.2000000000000003E-2</v>
      </c>
      <c r="H109">
        <v>0.55746704804255831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2.8515433760961932</v>
      </c>
      <c r="Q109">
        <v>2.1621373609316623</v>
      </c>
      <c r="R109">
        <v>0</v>
      </c>
      <c r="S109">
        <v>0</v>
      </c>
      <c r="T109" s="15">
        <v>5.5542233019469278E-5</v>
      </c>
      <c r="U109">
        <v>12.482148633185302</v>
      </c>
      <c r="V109">
        <v>0</v>
      </c>
      <c r="W109">
        <v>0</v>
      </c>
      <c r="X109">
        <v>0.40916443175286993</v>
      </c>
      <c r="Y109">
        <v>0.40916443175286993</v>
      </c>
      <c r="Z109">
        <v>1</v>
      </c>
      <c r="AA109">
        <v>0.214</v>
      </c>
      <c r="AB109">
        <v>1.786</v>
      </c>
      <c r="AC109">
        <v>0</v>
      </c>
      <c r="AD109" s="15">
        <v>0.30623755700782218</v>
      </c>
      <c r="AE109">
        <v>56.691910945013859</v>
      </c>
      <c r="AF109">
        <v>57.407257391541535</v>
      </c>
      <c r="AG109">
        <v>40.195015772881533</v>
      </c>
      <c r="AH109">
        <v>46.988239933200447</v>
      </c>
      <c r="AI109">
        <v>2.1</v>
      </c>
      <c r="AJ109">
        <v>0</v>
      </c>
      <c r="AK109">
        <v>0</v>
      </c>
      <c r="AL109">
        <v>1.0888719723059384</v>
      </c>
      <c r="AM109">
        <v>1.0888719723059384</v>
      </c>
      <c r="AN109">
        <v>0</v>
      </c>
      <c r="AO109">
        <v>0</v>
      </c>
      <c r="AP109">
        <v>1</v>
      </c>
      <c r="AQ109">
        <v>1</v>
      </c>
      <c r="AR109">
        <v>16.478000000000002</v>
      </c>
      <c r="AS109">
        <v>27.391999999999999</v>
      </c>
      <c r="AT109">
        <v>54.998000000000005</v>
      </c>
      <c r="AU109">
        <v>101.43599999999999</v>
      </c>
      <c r="AV109">
        <v>0</v>
      </c>
    </row>
    <row r="110" spans="1:48">
      <c r="A110">
        <v>109</v>
      </c>
      <c r="B110">
        <v>0</v>
      </c>
      <c r="C110">
        <v>18.419999999999728</v>
      </c>
      <c r="D110">
        <v>5.7799999999999194</v>
      </c>
      <c r="E110">
        <v>3.0263121274323308</v>
      </c>
      <c r="F110">
        <v>0.15</v>
      </c>
      <c r="G110">
        <v>9.8000000000000004E-2</v>
      </c>
      <c r="H110">
        <v>0.56957168613098907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3.1774708676762362</v>
      </c>
      <c r="Q110">
        <v>1.8223332594392436</v>
      </c>
      <c r="R110">
        <v>0</v>
      </c>
      <c r="S110">
        <v>0</v>
      </c>
      <c r="T110" s="15">
        <v>3.0072203243877499E-6</v>
      </c>
      <c r="U110">
        <v>10.659812366525728</v>
      </c>
      <c r="V110">
        <v>0</v>
      </c>
      <c r="W110">
        <v>0</v>
      </c>
      <c r="X110">
        <v>0.45394318303357944</v>
      </c>
      <c r="Y110">
        <v>0.45394318303357944</v>
      </c>
      <c r="Z110">
        <v>1</v>
      </c>
      <c r="AA110">
        <v>0.221</v>
      </c>
      <c r="AB110">
        <v>1.7790000000000001</v>
      </c>
      <c r="AC110">
        <v>0</v>
      </c>
      <c r="AD110" s="15">
        <v>0.25054906201594307</v>
      </c>
      <c r="AE110">
        <v>57.786421707184672</v>
      </c>
      <c r="AF110">
        <v>58.490910945013866</v>
      </c>
      <c r="AG110">
        <v>40.292311843229989</v>
      </c>
      <c r="AH110">
        <v>47.835238777420585</v>
      </c>
      <c r="AI110">
        <v>2.1</v>
      </c>
      <c r="AJ110">
        <v>0</v>
      </c>
      <c r="AK110">
        <v>0</v>
      </c>
      <c r="AL110">
        <v>1.0658379763921602</v>
      </c>
      <c r="AM110">
        <v>1.0658379763921602</v>
      </c>
      <c r="AN110">
        <v>0</v>
      </c>
      <c r="AO110">
        <v>0</v>
      </c>
      <c r="AP110">
        <v>1</v>
      </c>
      <c r="AQ110">
        <v>1</v>
      </c>
      <c r="AR110">
        <v>17.016999999999999</v>
      </c>
      <c r="AS110">
        <v>28.288</v>
      </c>
      <c r="AT110">
        <v>56.797000000000004</v>
      </c>
      <c r="AU110">
        <v>104.75399999999999</v>
      </c>
      <c r="AV110">
        <v>0</v>
      </c>
    </row>
    <row r="111" spans="1:48">
      <c r="A111">
        <v>110</v>
      </c>
      <c r="B111">
        <v>0.79999999999999716</v>
      </c>
      <c r="C111">
        <v>20.759999999999692</v>
      </c>
      <c r="D111">
        <v>4.7199999999999447</v>
      </c>
      <c r="E111">
        <v>3.6048121508267652</v>
      </c>
      <c r="F111">
        <v>0.15</v>
      </c>
      <c r="G111">
        <v>0.114</v>
      </c>
      <c r="H111">
        <v>0.5547434367479962</v>
      </c>
      <c r="I111">
        <v>0</v>
      </c>
      <c r="J111">
        <v>0.77895384615384333</v>
      </c>
      <c r="K111">
        <v>0.79999999999999716</v>
      </c>
      <c r="L111">
        <v>0.77895384615384333</v>
      </c>
      <c r="M111">
        <v>2.1046153846153798E-2</v>
      </c>
      <c r="N111">
        <v>0</v>
      </c>
      <c r="O111">
        <v>0.77895386936847733</v>
      </c>
      <c r="P111">
        <v>3.8404480512304846</v>
      </c>
      <c r="Q111">
        <v>1.7121790010636173</v>
      </c>
      <c r="R111">
        <v>0</v>
      </c>
      <c r="S111" s="15">
        <v>0</v>
      </c>
      <c r="T111" s="15">
        <v>1.4134352204454894E-7</v>
      </c>
      <c r="U111">
        <v>9.7265870934870691</v>
      </c>
      <c r="V111">
        <v>0</v>
      </c>
      <c r="W111">
        <v>0</v>
      </c>
      <c r="X111">
        <v>0.54071713538851496</v>
      </c>
      <c r="Y111">
        <v>0.54071713538851496</v>
      </c>
      <c r="Z111">
        <v>1</v>
      </c>
      <c r="AA111">
        <v>0.22900000000000001</v>
      </c>
      <c r="AB111">
        <v>1.7710000000000001</v>
      </c>
      <c r="AC111">
        <v>0</v>
      </c>
      <c r="AD111" s="15">
        <v>0.2068619611316371</v>
      </c>
      <c r="AE111">
        <v>59.094842752008027</v>
      </c>
      <c r="AF111">
        <v>59.84242170718467</v>
      </c>
      <c r="AG111">
        <v>42.411346614404579</v>
      </c>
      <c r="AH111">
        <v>49.393778416001346</v>
      </c>
      <c r="AI111">
        <v>2.1</v>
      </c>
      <c r="AJ111">
        <v>0</v>
      </c>
      <c r="AK111">
        <v>0</v>
      </c>
      <c r="AL111">
        <v>1.0487739725241252</v>
      </c>
      <c r="AM111">
        <v>1.0487739725241252</v>
      </c>
      <c r="AN111">
        <v>0</v>
      </c>
      <c r="AO111">
        <v>0</v>
      </c>
      <c r="AP111">
        <v>1</v>
      </c>
      <c r="AQ111">
        <v>1</v>
      </c>
      <c r="AR111">
        <v>17.632999999999999</v>
      </c>
      <c r="AS111">
        <v>29.312000000000001</v>
      </c>
      <c r="AT111">
        <v>58.853000000000002</v>
      </c>
      <c r="AU111">
        <v>108.54599999999999</v>
      </c>
      <c r="AV111">
        <v>0</v>
      </c>
    </row>
    <row r="112" spans="1:48">
      <c r="A112">
        <v>111</v>
      </c>
      <c r="B112">
        <v>0.15999999999999945</v>
      </c>
      <c r="C112">
        <v>19.659999999999705</v>
      </c>
      <c r="D112">
        <v>8.9399999999999089</v>
      </c>
      <c r="E112">
        <v>3.4232575963066063</v>
      </c>
      <c r="F112">
        <v>0.15</v>
      </c>
      <c r="G112">
        <v>0.13</v>
      </c>
      <c r="H112">
        <v>0.52475339198195858</v>
      </c>
      <c r="I112">
        <v>0</v>
      </c>
      <c r="J112">
        <v>0.15363265306122395</v>
      </c>
      <c r="K112">
        <v>0.15999999999999945</v>
      </c>
      <c r="L112">
        <v>0.15363265306122395</v>
      </c>
      <c r="M112">
        <v>6.3673469387754908E-3</v>
      </c>
      <c r="N112">
        <v>0</v>
      </c>
      <c r="O112">
        <v>0.15363265763983386</v>
      </c>
      <c r="P112">
        <v>3.6060643932743073</v>
      </c>
      <c r="Q112">
        <v>1.2677096319043206</v>
      </c>
      <c r="R112">
        <v>0</v>
      </c>
      <c r="S112">
        <v>0</v>
      </c>
      <c r="T112" s="15">
        <v>9.5754992167929526E-9</v>
      </c>
      <c r="U112">
        <v>8.6125101096470811</v>
      </c>
      <c r="V112">
        <v>0</v>
      </c>
      <c r="W112">
        <v>0</v>
      </c>
      <c r="X112">
        <v>0.513483828582317</v>
      </c>
      <c r="Y112">
        <v>0.513483828582317</v>
      </c>
      <c r="Z112">
        <v>1</v>
      </c>
      <c r="AA112">
        <v>0.23600000000000002</v>
      </c>
      <c r="AB112">
        <v>1.764</v>
      </c>
      <c r="AC112">
        <v>0</v>
      </c>
      <c r="AD112" s="15">
        <v>0.17321581636583042</v>
      </c>
      <c r="AE112">
        <v>60.207143116635386</v>
      </c>
      <c r="AF112">
        <v>60.893842752008027</v>
      </c>
      <c r="AG112">
        <v>45.553275492398583</v>
      </c>
      <c r="AH112">
        <v>51.136257497764291</v>
      </c>
      <c r="AI112">
        <v>2.1</v>
      </c>
      <c r="AJ112">
        <v>0</v>
      </c>
      <c r="AK112">
        <v>0</v>
      </c>
      <c r="AL112">
        <v>1.0361326475409014</v>
      </c>
      <c r="AM112">
        <v>1.0361326475409014</v>
      </c>
      <c r="AN112">
        <v>0</v>
      </c>
      <c r="AO112">
        <v>0</v>
      </c>
      <c r="AP112">
        <v>1</v>
      </c>
      <c r="AQ112">
        <v>1</v>
      </c>
      <c r="AR112">
        <v>18.172000000000001</v>
      </c>
      <c r="AS112">
        <v>30.208000000000006</v>
      </c>
      <c r="AT112">
        <v>60.652000000000008</v>
      </c>
      <c r="AU112">
        <v>111.864</v>
      </c>
      <c r="AV112">
        <v>0</v>
      </c>
    </row>
    <row r="113" spans="1:48">
      <c r="A113">
        <v>112</v>
      </c>
      <c r="B113">
        <v>0</v>
      </c>
      <c r="C113">
        <v>20.199999999999704</v>
      </c>
      <c r="D113">
        <v>7.7399999999998927</v>
      </c>
      <c r="E113">
        <v>3.3645928699249965</v>
      </c>
      <c r="F113">
        <v>0.15</v>
      </c>
      <c r="G113">
        <v>0.14599999999999999</v>
      </c>
      <c r="H113">
        <v>0.53521807033854973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3.5002281554643853</v>
      </c>
      <c r="Q113">
        <v>0.90542083805296181</v>
      </c>
      <c r="R113">
        <v>0</v>
      </c>
      <c r="S113">
        <v>0</v>
      </c>
      <c r="T113" s="15">
        <v>1.532107680610592E-10</v>
      </c>
      <c r="U113">
        <v>7.7070892714409078</v>
      </c>
      <c r="V113">
        <v>0</v>
      </c>
      <c r="W113">
        <v>0</v>
      </c>
      <c r="X113">
        <v>0.50468382657881239</v>
      </c>
      <c r="Y113">
        <v>0.50468382657881239</v>
      </c>
      <c r="Z113">
        <v>1</v>
      </c>
      <c r="AA113">
        <v>0.24300000000000002</v>
      </c>
      <c r="AB113">
        <v>1.7570000000000001</v>
      </c>
      <c r="AC113">
        <v>0</v>
      </c>
      <c r="AD113" s="15">
        <v>0.1480664529733304</v>
      </c>
      <c r="AE113">
        <v>61.353392837236463</v>
      </c>
      <c r="AF113">
        <v>62.006143116635378</v>
      </c>
      <c r="AG113">
        <v>45.764911486813986</v>
      </c>
      <c r="AH113">
        <v>52.016885731415883</v>
      </c>
      <c r="AI113">
        <v>2.1</v>
      </c>
      <c r="AJ113">
        <v>0</v>
      </c>
      <c r="AK113">
        <v>0</v>
      </c>
      <c r="AL113">
        <v>1.0267677236597701</v>
      </c>
      <c r="AM113">
        <v>1.0267677236597701</v>
      </c>
      <c r="AN113">
        <v>0</v>
      </c>
      <c r="AO113">
        <v>0</v>
      </c>
      <c r="AP113">
        <v>1</v>
      </c>
      <c r="AQ113">
        <v>1</v>
      </c>
      <c r="AR113">
        <v>18.711000000000002</v>
      </c>
      <c r="AS113">
        <v>31.104000000000003</v>
      </c>
      <c r="AT113">
        <v>62.451000000000008</v>
      </c>
      <c r="AU113">
        <v>115.182</v>
      </c>
      <c r="AV113">
        <v>0</v>
      </c>
    </row>
    <row r="114" spans="1:48">
      <c r="A114">
        <v>113</v>
      </c>
      <c r="B114">
        <v>0</v>
      </c>
      <c r="C114">
        <v>21.67999999999968</v>
      </c>
      <c r="D114">
        <v>8.5199999999998965</v>
      </c>
      <c r="E114">
        <v>3.5583191212471683</v>
      </c>
      <c r="F114">
        <v>0.15</v>
      </c>
      <c r="G114">
        <v>0.16200000000000001</v>
      </c>
      <c r="H114">
        <v>0.53980351982859409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3.7138480684283919</v>
      </c>
      <c r="Q114">
        <v>0.6876800672828568</v>
      </c>
      <c r="R114">
        <v>0</v>
      </c>
      <c r="S114">
        <v>0</v>
      </c>
      <c r="T114" s="15">
        <v>6.2656586511651198E-13</v>
      </c>
      <c r="U114">
        <v>7.0194092041574248</v>
      </c>
      <c r="V114">
        <v>0</v>
      </c>
      <c r="W114">
        <v>0</v>
      </c>
      <c r="X114">
        <v>0.53374204926447755</v>
      </c>
      <c r="Y114">
        <v>0.53374204926447755</v>
      </c>
      <c r="Z114">
        <v>1</v>
      </c>
      <c r="AA114">
        <v>0.24999999999999997</v>
      </c>
      <c r="AB114">
        <v>1.75</v>
      </c>
      <c r="AC114">
        <v>0</v>
      </c>
      <c r="AD114" s="15">
        <v>0.12802529220224737</v>
      </c>
      <c r="AE114">
        <v>62.490625495770338</v>
      </c>
      <c r="AF114">
        <v>63.152392837236434</v>
      </c>
      <c r="AG114">
        <v>46.392680630668849</v>
      </c>
      <c r="AH114">
        <v>53.019906067843777</v>
      </c>
      <c r="AI114">
        <v>2.1</v>
      </c>
      <c r="AJ114">
        <v>0</v>
      </c>
      <c r="AK114">
        <v>0</v>
      </c>
      <c r="AL114">
        <v>1.0198300174133308</v>
      </c>
      <c r="AM114">
        <v>1.0198300174133308</v>
      </c>
      <c r="AN114">
        <v>0</v>
      </c>
      <c r="AO114">
        <v>0</v>
      </c>
      <c r="AP114">
        <v>1</v>
      </c>
      <c r="AQ114">
        <v>1</v>
      </c>
      <c r="AR114">
        <v>19.249999999999996</v>
      </c>
      <c r="AS114">
        <v>31.999999999999996</v>
      </c>
      <c r="AT114">
        <v>64.25</v>
      </c>
      <c r="AU114">
        <v>118.49999999999999</v>
      </c>
      <c r="AV114">
        <v>0</v>
      </c>
    </row>
    <row r="115" spans="1:48">
      <c r="A115">
        <v>114</v>
      </c>
      <c r="B115">
        <v>0</v>
      </c>
      <c r="C115">
        <v>23.339999999999662</v>
      </c>
      <c r="D115">
        <v>9.4199999999998774</v>
      </c>
      <c r="E115">
        <v>3.9204677025066124</v>
      </c>
      <c r="F115">
        <v>0.15</v>
      </c>
      <c r="G115">
        <v>0.17899999999999999</v>
      </c>
      <c r="H115">
        <v>0.53009639461957836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4.1432584684068496</v>
      </c>
      <c r="Q115">
        <v>0.53330321800142055</v>
      </c>
      <c r="R115">
        <v>0</v>
      </c>
      <c r="S115">
        <v>0</v>
      </c>
      <c r="T115" s="15">
        <v>8.0407894470656293E-17</v>
      </c>
      <c r="U115">
        <v>6.4861059861560042</v>
      </c>
      <c r="V115">
        <v>0</v>
      </c>
      <c r="W115">
        <v>0</v>
      </c>
      <c r="X115">
        <v>0.58806325289268113</v>
      </c>
      <c r="Y115">
        <v>0.58806325289268113</v>
      </c>
      <c r="Z115">
        <v>1</v>
      </c>
      <c r="AA115">
        <v>0.25700000000000001</v>
      </c>
      <c r="AB115">
        <v>1.7430000000000001</v>
      </c>
      <c r="AC115">
        <v>0</v>
      </c>
      <c r="AD115" s="15">
        <v>0.10939250238759032</v>
      </c>
      <c r="AE115">
        <v>63.59216974049005</v>
      </c>
      <c r="AF115">
        <v>64.289625495770338</v>
      </c>
      <c r="AG115">
        <v>48.118049416849729</v>
      </c>
      <c r="AH115">
        <v>54.345749828485218</v>
      </c>
      <c r="AI115">
        <v>2.1</v>
      </c>
      <c r="AJ115">
        <v>0</v>
      </c>
      <c r="AK115">
        <v>0</v>
      </c>
      <c r="AL115">
        <v>1</v>
      </c>
      <c r="AM115">
        <v>1</v>
      </c>
      <c r="AN115">
        <v>0</v>
      </c>
      <c r="AO115">
        <v>0</v>
      </c>
      <c r="AP115">
        <v>1</v>
      </c>
      <c r="AQ115">
        <v>1</v>
      </c>
      <c r="AR115">
        <v>19.789000000000001</v>
      </c>
      <c r="AS115">
        <v>32.896000000000001</v>
      </c>
      <c r="AT115">
        <v>66.049000000000007</v>
      </c>
      <c r="AU115">
        <v>121.818</v>
      </c>
      <c r="AV115">
        <v>0</v>
      </c>
    </row>
    <row r="116" spans="1:48">
      <c r="A116">
        <v>115</v>
      </c>
      <c r="B116">
        <v>0</v>
      </c>
      <c r="C116">
        <v>25.299999999999635</v>
      </c>
      <c r="D116">
        <v>9.7999999999998764</v>
      </c>
      <c r="E116">
        <v>4.157394646922385</v>
      </c>
      <c r="F116">
        <v>0.15</v>
      </c>
      <c r="G116">
        <v>0.19500000000000001</v>
      </c>
      <c r="H116">
        <v>0.51074713090780166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4.4150801011868266</v>
      </c>
      <c r="Q116">
        <v>0.38222489590343184</v>
      </c>
      <c r="R116" s="15">
        <v>0</v>
      </c>
      <c r="S116" s="15">
        <v>0</v>
      </c>
      <c r="T116">
        <v>0</v>
      </c>
      <c r="U116">
        <v>6.1038810902525737</v>
      </c>
      <c r="V116">
        <v>0</v>
      </c>
      <c r="W116">
        <v>0</v>
      </c>
      <c r="X116">
        <v>0.62360132651851508</v>
      </c>
      <c r="Y116">
        <v>0.62360132651851508</v>
      </c>
      <c r="Z116">
        <v>1</v>
      </c>
      <c r="AA116">
        <v>0.26400000000000001</v>
      </c>
      <c r="AB116">
        <v>1.7360000000000002</v>
      </c>
      <c r="AC116">
        <v>0</v>
      </c>
      <c r="AD116" s="15">
        <v>9.5251256470886031E-2</v>
      </c>
      <c r="AE116">
        <v>64.672317157500657</v>
      </c>
      <c r="AF116">
        <v>65.391169740490042</v>
      </c>
      <c r="AG116">
        <v>50.63798916262153</v>
      </c>
      <c r="AH116">
        <v>55.905290930182801</v>
      </c>
      <c r="AI116">
        <v>2.1</v>
      </c>
      <c r="AJ116">
        <v>0</v>
      </c>
      <c r="AK116">
        <v>0</v>
      </c>
      <c r="AL116">
        <v>1</v>
      </c>
      <c r="AM116">
        <v>1</v>
      </c>
      <c r="AN116">
        <v>0</v>
      </c>
      <c r="AO116">
        <v>0</v>
      </c>
      <c r="AP116">
        <v>1</v>
      </c>
      <c r="AQ116">
        <v>1</v>
      </c>
      <c r="AR116">
        <v>20.327999999999999</v>
      </c>
      <c r="AS116">
        <v>33.792000000000002</v>
      </c>
      <c r="AT116">
        <v>67.847999999999999</v>
      </c>
      <c r="AU116">
        <v>125.136</v>
      </c>
      <c r="AV116">
        <v>0</v>
      </c>
    </row>
    <row r="117" spans="1:48">
      <c r="A117">
        <v>116</v>
      </c>
      <c r="B117">
        <v>0</v>
      </c>
      <c r="C117">
        <v>17.159999999999755</v>
      </c>
      <c r="D117">
        <v>11.559999999999834</v>
      </c>
      <c r="E117">
        <v>1.7899195284655649</v>
      </c>
      <c r="F117">
        <v>0.15</v>
      </c>
      <c r="G117">
        <v>0.21099999999999999</v>
      </c>
      <c r="H117">
        <v>0.49845274292637021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1.8323602401802721</v>
      </c>
      <c r="Q117" s="15">
        <v>0.11822898235916478</v>
      </c>
      <c r="R117" s="15">
        <v>0</v>
      </c>
      <c r="S117" s="15">
        <v>0</v>
      </c>
      <c r="T117">
        <v>0</v>
      </c>
      <c r="U117">
        <v>5.9856521078934097</v>
      </c>
      <c r="V117">
        <v>0</v>
      </c>
      <c r="W117">
        <v>0</v>
      </c>
      <c r="X117">
        <v>0.26848429030883991</v>
      </c>
      <c r="Y117">
        <v>0.26848429030883991</v>
      </c>
      <c r="Z117">
        <v>1</v>
      </c>
      <c r="AA117">
        <v>0.27100000000000002</v>
      </c>
      <c r="AB117">
        <v>1.7290000000000001</v>
      </c>
      <c r="AC117">
        <v>0</v>
      </c>
      <c r="AD117" s="15">
        <v>8.626627103247457E-2</v>
      </c>
      <c r="AE117">
        <v>66.116566596159359</v>
      </c>
      <c r="AF117">
        <v>66.47131715750065</v>
      </c>
      <c r="AG117">
        <v>52.646946198580096</v>
      </c>
      <c r="AH117">
        <v>57.314542999582386</v>
      </c>
      <c r="AI117">
        <v>2.1</v>
      </c>
      <c r="AJ117">
        <v>0</v>
      </c>
      <c r="AK117">
        <v>0</v>
      </c>
      <c r="AL117">
        <v>1</v>
      </c>
      <c r="AM117">
        <v>1</v>
      </c>
      <c r="AN117">
        <v>0</v>
      </c>
      <c r="AO117">
        <v>0</v>
      </c>
      <c r="AP117">
        <v>1</v>
      </c>
      <c r="AQ117">
        <v>1</v>
      </c>
      <c r="AR117">
        <v>20.867000000000001</v>
      </c>
      <c r="AS117">
        <v>34.688000000000002</v>
      </c>
      <c r="AT117">
        <v>69.647000000000006</v>
      </c>
      <c r="AU117">
        <v>128.45400000000001</v>
      </c>
      <c r="AV117">
        <v>0</v>
      </c>
    </row>
    <row r="118" spans="1:48">
      <c r="A118">
        <v>117</v>
      </c>
      <c r="B118">
        <v>1.1199999999999875</v>
      </c>
      <c r="C118">
        <v>16.219999999999768</v>
      </c>
      <c r="D118">
        <v>9.9199999999998543</v>
      </c>
      <c r="E118">
        <v>1.764787278976329</v>
      </c>
      <c r="F118">
        <v>0.15</v>
      </c>
      <c r="G118">
        <v>0.22700000000000001</v>
      </c>
      <c r="H118">
        <v>0.61596621618838854</v>
      </c>
      <c r="I118">
        <v>0</v>
      </c>
      <c r="J118">
        <v>1.067758904109577</v>
      </c>
      <c r="K118">
        <v>1.1199999999999875</v>
      </c>
      <c r="L118">
        <v>1.067758904109577</v>
      </c>
      <c r="M118" s="15">
        <v>5.2241095890410594E-2</v>
      </c>
      <c r="N118">
        <v>0</v>
      </c>
      <c r="O118">
        <v>1.0677589359312718</v>
      </c>
      <c r="P118">
        <v>1.7635537560980259</v>
      </c>
      <c r="Q118" s="15">
        <v>0.17713167006944369</v>
      </c>
      <c r="R118" s="15">
        <v>0</v>
      </c>
      <c r="S118" s="15">
        <v>0</v>
      </c>
      <c r="T118">
        <v>8.9913681500729389E-20</v>
      </c>
      <c r="U118">
        <v>6.8762793737552332</v>
      </c>
      <c r="V118">
        <v>0</v>
      </c>
      <c r="W118">
        <v>0</v>
      </c>
      <c r="X118" s="15">
        <v>0.26471424374001346</v>
      </c>
      <c r="Y118" s="15">
        <v>0.26471424374001346</v>
      </c>
      <c r="Z118">
        <v>1</v>
      </c>
      <c r="AA118">
        <v>0.27900000000000003</v>
      </c>
      <c r="AB118">
        <v>1.7210000000000001</v>
      </c>
      <c r="AC118">
        <v>0</v>
      </c>
      <c r="AD118" s="15">
        <v>8.1911073319865621E-2</v>
      </c>
      <c r="AE118">
        <v>67.825941279099482</v>
      </c>
      <c r="AF118">
        <v>68.172566596159356</v>
      </c>
      <c r="AG118">
        <v>44.121295501623024</v>
      </c>
      <c r="AH118">
        <v>55.742292794595002</v>
      </c>
      <c r="AI118">
        <v>2.1</v>
      </c>
      <c r="AJ118">
        <v>0</v>
      </c>
      <c r="AK118">
        <v>0</v>
      </c>
      <c r="AL118">
        <v>1</v>
      </c>
      <c r="AM118">
        <v>1</v>
      </c>
      <c r="AN118">
        <v>0</v>
      </c>
      <c r="AO118">
        <v>0</v>
      </c>
      <c r="AP118">
        <v>1</v>
      </c>
      <c r="AQ118">
        <v>1</v>
      </c>
      <c r="AR118">
        <v>21.483000000000001</v>
      </c>
      <c r="AS118">
        <v>35.712000000000003</v>
      </c>
      <c r="AT118">
        <v>71.703000000000003</v>
      </c>
      <c r="AU118">
        <v>132.24599999999998</v>
      </c>
      <c r="AV118">
        <v>0</v>
      </c>
    </row>
    <row r="119" spans="1:48">
      <c r="A119">
        <v>118</v>
      </c>
      <c r="B119">
        <v>0.479999999999977</v>
      </c>
      <c r="C119">
        <v>19.719999999999715</v>
      </c>
      <c r="D119">
        <v>11.619999999999838</v>
      </c>
      <c r="E119">
        <v>2.6618873201285278</v>
      </c>
      <c r="F119">
        <v>0.15</v>
      </c>
      <c r="G119">
        <v>0.24299999999999999</v>
      </c>
      <c r="H119">
        <v>0.618869277349543</v>
      </c>
      <c r="I119">
        <v>0</v>
      </c>
      <c r="J119">
        <v>0.44930526315787289</v>
      </c>
      <c r="K119">
        <v>0.479999999999977</v>
      </c>
      <c r="L119">
        <v>0.44930526315787289</v>
      </c>
      <c r="M119" s="15">
        <v>3.0694736842104095E-2</v>
      </c>
      <c r="N119">
        <v>0</v>
      </c>
      <c r="O119">
        <v>0.44930527654821339</v>
      </c>
      <c r="P119">
        <v>2.7276132644877906</v>
      </c>
      <c r="Q119">
        <v>0.3925677449709758</v>
      </c>
      <c r="R119">
        <v>0</v>
      </c>
      <c r="S119">
        <v>0</v>
      </c>
      <c r="T119" s="15">
        <v>3.5574241637502145E-17</v>
      </c>
      <c r="U119">
        <v>6.9330169053324733</v>
      </c>
      <c r="V119">
        <v>0</v>
      </c>
      <c r="W119">
        <v>0</v>
      </c>
      <c r="X119">
        <v>0.39927688065667288</v>
      </c>
      <c r="Y119">
        <v>0.39927688065667288</v>
      </c>
      <c r="Z119">
        <v>1</v>
      </c>
      <c r="AA119">
        <v>0.28600000000000003</v>
      </c>
      <c r="AB119">
        <v>1.714</v>
      </c>
      <c r="AC119">
        <v>0</v>
      </c>
      <c r="AD119" s="15">
        <v>7.6855150242158249E-2</v>
      </c>
      <c r="AE119">
        <v>69.148809248200635</v>
      </c>
      <c r="AF119">
        <v>69.624941279099474</v>
      </c>
      <c r="AG119">
        <v>44.73046277766494</v>
      </c>
      <c r="AH119">
        <v>56.739841993430865</v>
      </c>
      <c r="AI119">
        <v>2.1</v>
      </c>
      <c r="AJ119">
        <v>0</v>
      </c>
      <c r="AK119">
        <v>0</v>
      </c>
      <c r="AL119">
        <v>1</v>
      </c>
      <c r="AM119">
        <v>1</v>
      </c>
      <c r="AN119">
        <v>0</v>
      </c>
      <c r="AO119">
        <v>0</v>
      </c>
      <c r="AP119">
        <v>1</v>
      </c>
      <c r="AQ119">
        <v>1</v>
      </c>
      <c r="AR119">
        <v>22.022000000000006</v>
      </c>
      <c r="AS119">
        <v>36.608000000000011</v>
      </c>
      <c r="AT119">
        <v>73.50200000000001</v>
      </c>
      <c r="AU119">
        <v>135.56400000000002</v>
      </c>
      <c r="AV119">
        <v>0</v>
      </c>
    </row>
    <row r="120" spans="1:48">
      <c r="A120">
        <v>119</v>
      </c>
      <c r="B120">
        <v>10.239999999999771</v>
      </c>
      <c r="C120">
        <v>15.419999999999771</v>
      </c>
      <c r="D120">
        <v>13.059999999999812</v>
      </c>
      <c r="E120">
        <v>1.0112741340668603</v>
      </c>
      <c r="F120">
        <v>0.15</v>
      </c>
      <c r="G120">
        <v>0.25900000000000001</v>
      </c>
      <c r="H120">
        <v>0.57492439251953076</v>
      </c>
      <c r="I120">
        <v>0</v>
      </c>
      <c r="J120">
        <v>10.107832558139306</v>
      </c>
      <c r="K120">
        <v>10.239999999999771</v>
      </c>
      <c r="L120">
        <v>10.107832558139306</v>
      </c>
      <c r="M120">
        <v>0.1321674418604647</v>
      </c>
      <c r="N120">
        <v>0</v>
      </c>
      <c r="O120">
        <v>10.10783285937619</v>
      </c>
      <c r="P120">
        <v>0.96651962092314536</v>
      </c>
      <c r="Q120">
        <v>0.57195748233982535</v>
      </c>
      <c r="R120">
        <v>0</v>
      </c>
      <c r="S120">
        <v>0</v>
      </c>
      <c r="T120" s="15">
        <v>6.2841667087038105E-5</v>
      </c>
      <c r="U120">
        <v>16.46882944070175</v>
      </c>
      <c r="V120">
        <v>0</v>
      </c>
      <c r="W120">
        <v>0</v>
      </c>
      <c r="X120">
        <v>0.15168859314035515</v>
      </c>
      <c r="Y120">
        <v>0.15168859314035515</v>
      </c>
      <c r="Z120">
        <v>1</v>
      </c>
      <c r="AA120">
        <v>0.29300000000000004</v>
      </c>
      <c r="AB120">
        <v>1.7070000000000001</v>
      </c>
      <c r="AC120">
        <v>0</v>
      </c>
      <c r="AD120" s="15">
        <v>7.3072426742084029E-2</v>
      </c>
      <c r="AE120">
        <v>70.723111069985279</v>
      </c>
      <c r="AF120">
        <v>70.947809248200628</v>
      </c>
      <c r="AG120">
        <v>49.344410163328455</v>
      </c>
      <c r="AH120">
        <v>58.915267695096617</v>
      </c>
      <c r="AI120">
        <v>2.1</v>
      </c>
      <c r="AJ120">
        <v>0</v>
      </c>
      <c r="AK120">
        <v>0</v>
      </c>
      <c r="AL120">
        <v>1</v>
      </c>
      <c r="AM120">
        <v>1</v>
      </c>
      <c r="AN120">
        <v>0</v>
      </c>
      <c r="AO120">
        <v>0</v>
      </c>
      <c r="AP120">
        <v>1</v>
      </c>
      <c r="AQ120">
        <v>1</v>
      </c>
      <c r="AR120">
        <v>22.561000000000003</v>
      </c>
      <c r="AS120">
        <v>37.504000000000005</v>
      </c>
      <c r="AT120">
        <v>75.301000000000016</v>
      </c>
      <c r="AU120">
        <v>138.88200000000003</v>
      </c>
      <c r="AV120">
        <v>0</v>
      </c>
    </row>
    <row r="121" spans="1:48">
      <c r="A121">
        <v>120</v>
      </c>
      <c r="B121">
        <v>1.599999999999913</v>
      </c>
      <c r="C121">
        <v>19.479999999999716</v>
      </c>
      <c r="D121">
        <v>12.199999999999818</v>
      </c>
      <c r="E121">
        <v>2.0248158138445178</v>
      </c>
      <c r="F121">
        <v>0.15</v>
      </c>
      <c r="G121">
        <v>0.27500000000000002</v>
      </c>
      <c r="H121">
        <v>0.65527166796686764</v>
      </c>
      <c r="I121">
        <v>0</v>
      </c>
      <c r="J121">
        <v>1.5223529411763859</v>
      </c>
      <c r="K121">
        <v>1.599999999999913</v>
      </c>
      <c r="L121">
        <v>1.5223529411763859</v>
      </c>
      <c r="M121">
        <v>7.7647058823527182E-2</v>
      </c>
      <c r="N121">
        <v>0</v>
      </c>
      <c r="O121">
        <v>1.5223529865460395</v>
      </c>
      <c r="P121">
        <v>2.0017116245201074</v>
      </c>
      <c r="Q121">
        <v>1.9791577433363097</v>
      </c>
      <c r="R121">
        <v>0</v>
      </c>
      <c r="S121">
        <v>0</v>
      </c>
      <c r="T121" s="15">
        <v>6.2507046452836546E-4</v>
      </c>
      <c r="U121">
        <v>16.011399613446944</v>
      </c>
      <c r="V121">
        <v>0</v>
      </c>
      <c r="W121">
        <v>0</v>
      </c>
      <c r="X121">
        <v>0.30371696595657627</v>
      </c>
      <c r="Y121">
        <v>0.30371696595657627</v>
      </c>
      <c r="Z121">
        <v>1</v>
      </c>
      <c r="AA121">
        <v>0.30000000000000004</v>
      </c>
      <c r="AB121">
        <v>1.7000000000000002</v>
      </c>
      <c r="AC121">
        <v>0</v>
      </c>
      <c r="AD121" s="15">
        <v>7.0425972979128781E-2</v>
      </c>
      <c r="AE121">
        <v>72.148593201514103</v>
      </c>
      <c r="AF121">
        <v>72.522111069985272</v>
      </c>
      <c r="AG121">
        <v>43.253757836609481</v>
      </c>
      <c r="AH121">
        <v>57.942281716649859</v>
      </c>
      <c r="AI121">
        <v>2.1</v>
      </c>
      <c r="AJ121">
        <v>0</v>
      </c>
      <c r="AK121">
        <v>0</v>
      </c>
      <c r="AL121">
        <v>1</v>
      </c>
      <c r="AM121">
        <v>1</v>
      </c>
      <c r="AN121">
        <v>0</v>
      </c>
      <c r="AO121">
        <v>0</v>
      </c>
      <c r="AP121">
        <v>1</v>
      </c>
      <c r="AQ121">
        <v>1</v>
      </c>
      <c r="AR121">
        <v>23.100000000000005</v>
      </c>
      <c r="AS121">
        <v>38.400000000000006</v>
      </c>
      <c r="AT121">
        <v>77.100000000000023</v>
      </c>
      <c r="AU121">
        <v>142.20000000000002</v>
      </c>
      <c r="AV121">
        <v>0</v>
      </c>
    </row>
    <row r="122" spans="1:48">
      <c r="A122">
        <v>121</v>
      </c>
      <c r="B122">
        <v>35.279999999999525</v>
      </c>
      <c r="C122">
        <v>17.539999999999733</v>
      </c>
      <c r="D122">
        <v>11.859999999999838</v>
      </c>
      <c r="E122">
        <v>1.3426490759109151</v>
      </c>
      <c r="F122">
        <v>0.15</v>
      </c>
      <c r="G122">
        <v>0.29099999999999998</v>
      </c>
      <c r="H122">
        <v>0.6077828539717981</v>
      </c>
      <c r="I122">
        <v>0</v>
      </c>
      <c r="J122">
        <v>35.113875728154866</v>
      </c>
      <c r="K122">
        <v>35.279999999999525</v>
      </c>
      <c r="L122">
        <v>30.111561424384128</v>
      </c>
      <c r="M122">
        <v>0.16612427184466005</v>
      </c>
      <c r="N122">
        <v>5.0023143037707394</v>
      </c>
      <c r="O122">
        <v>30.111562321778599</v>
      </c>
      <c r="P122">
        <v>1.2909156734861886</v>
      </c>
      <c r="Q122">
        <v>1.2909156734861886</v>
      </c>
      <c r="R122" s="15">
        <v>0</v>
      </c>
      <c r="S122" s="15">
        <v>0</v>
      </c>
      <c r="T122" s="15">
        <v>6.7942663510829151</v>
      </c>
      <c r="U122">
        <v>38.037779910656454</v>
      </c>
      <c r="V122">
        <v>0</v>
      </c>
      <c r="W122">
        <v>0</v>
      </c>
      <c r="X122">
        <v>0.20139353589137707</v>
      </c>
      <c r="Y122">
        <v>0.20139353589137707</v>
      </c>
      <c r="Z122">
        <v>1</v>
      </c>
      <c r="AA122">
        <v>0.30699999999999994</v>
      </c>
      <c r="AB122">
        <v>1.6930000000000001</v>
      </c>
      <c r="AC122">
        <v>0</v>
      </c>
      <c r="AD122" s="15">
        <v>8.8912447005996945E-2</v>
      </c>
      <c r="AE122">
        <v>80.451553569699598</v>
      </c>
      <c r="AF122">
        <v>73.947593201514067</v>
      </c>
      <c r="AG122">
        <v>48.261249845987372</v>
      </c>
      <c r="AH122">
        <v>60.233455837055104</v>
      </c>
      <c r="AI122">
        <v>2.1</v>
      </c>
      <c r="AJ122">
        <v>0</v>
      </c>
      <c r="AK122">
        <v>0</v>
      </c>
      <c r="AL122">
        <v>1</v>
      </c>
      <c r="AM122">
        <v>1</v>
      </c>
      <c r="AN122">
        <v>0</v>
      </c>
      <c r="AO122">
        <v>0</v>
      </c>
      <c r="AP122">
        <v>1</v>
      </c>
      <c r="AQ122">
        <v>1</v>
      </c>
      <c r="AR122">
        <v>23.638999999999996</v>
      </c>
      <c r="AS122">
        <v>39.295999999999992</v>
      </c>
      <c r="AT122">
        <v>78.898999999999987</v>
      </c>
      <c r="AU122">
        <v>145.51799999999997</v>
      </c>
      <c r="AV122">
        <v>0</v>
      </c>
    </row>
    <row r="123" spans="1:48">
      <c r="A123">
        <v>122</v>
      </c>
      <c r="B123">
        <v>1.8799999999999912</v>
      </c>
      <c r="C123">
        <v>21.939999999999678</v>
      </c>
      <c r="D123">
        <v>10.159999999999849</v>
      </c>
      <c r="E123">
        <v>4.0796765010464213</v>
      </c>
      <c r="F123">
        <v>0.15</v>
      </c>
      <c r="G123" s="15">
        <v>0.307</v>
      </c>
      <c r="H123">
        <v>0.64030762848877742</v>
      </c>
      <c r="I123">
        <v>0</v>
      </c>
      <c r="J123">
        <v>1.785897826086948</v>
      </c>
      <c r="K123">
        <v>1.8799999999999912</v>
      </c>
      <c r="L123">
        <v>1.785897826086948</v>
      </c>
      <c r="M123" s="15">
        <v>9.4102173913043277E-2</v>
      </c>
      <c r="N123">
        <v>0</v>
      </c>
      <c r="O123">
        <v>1.7858978793108504</v>
      </c>
      <c r="P123">
        <v>4.3669204830644306</v>
      </c>
      <c r="Q123">
        <v>4.3669204830644306</v>
      </c>
      <c r="R123">
        <v>0</v>
      </c>
      <c r="S123">
        <v>0</v>
      </c>
      <c r="T123">
        <v>6.1061200097908737</v>
      </c>
      <c r="U123">
        <v>29.350637297112002</v>
      </c>
      <c r="V123">
        <v>0</v>
      </c>
      <c r="W123">
        <v>0</v>
      </c>
      <c r="X123">
        <v>0.61193908624413873</v>
      </c>
      <c r="Y123">
        <v>0.61193908624413873</v>
      </c>
      <c r="Z123">
        <v>1</v>
      </c>
      <c r="AA123">
        <v>0.31399999999999995</v>
      </c>
      <c r="AB123">
        <v>1.6860000000000002</v>
      </c>
      <c r="AC123">
        <v>0</v>
      </c>
      <c r="AD123" s="15">
        <v>0.43078155589796507</v>
      </c>
      <c r="AE123">
        <v>87.313952937348361</v>
      </c>
      <c r="AF123">
        <v>82.250553569699591</v>
      </c>
      <c r="AG123">
        <v>46.19089923850747</v>
      </c>
      <c r="AH123">
        <v>60.442911540737484</v>
      </c>
      <c r="AI123">
        <v>2.1</v>
      </c>
      <c r="AJ123">
        <v>0</v>
      </c>
      <c r="AK123">
        <v>0</v>
      </c>
      <c r="AL123">
        <v>1</v>
      </c>
      <c r="AM123">
        <v>1</v>
      </c>
      <c r="AN123">
        <v>0</v>
      </c>
      <c r="AO123">
        <v>0</v>
      </c>
      <c r="AP123">
        <v>1</v>
      </c>
      <c r="AQ123">
        <v>1</v>
      </c>
      <c r="AR123">
        <v>24.177999999999994</v>
      </c>
      <c r="AS123">
        <v>40.191999999999993</v>
      </c>
      <c r="AT123">
        <v>80.697999999999993</v>
      </c>
      <c r="AU123">
        <v>148.83599999999996</v>
      </c>
      <c r="AV123">
        <v>0</v>
      </c>
    </row>
    <row r="124" spans="1:48">
      <c r="A124">
        <v>123</v>
      </c>
      <c r="B124" s="15">
        <v>0</v>
      </c>
      <c r="C124">
        <v>19.939999999999703</v>
      </c>
      <c r="D124">
        <v>9.8999999999998636</v>
      </c>
      <c r="E124">
        <v>3.8721052271329413</v>
      </c>
      <c r="F124">
        <v>0.15</v>
      </c>
      <c r="G124" s="15">
        <v>0.32300000000000001</v>
      </c>
      <c r="H124">
        <v>0.5008456172087562</v>
      </c>
      <c r="I124">
        <v>0</v>
      </c>
      <c r="J124" s="15">
        <v>0</v>
      </c>
      <c r="K124" s="15">
        <v>0</v>
      </c>
      <c r="L124" s="15">
        <v>0</v>
      </c>
      <c r="M124" s="15">
        <v>0</v>
      </c>
      <c r="N124">
        <v>0</v>
      </c>
      <c r="O124" s="15">
        <v>0</v>
      </c>
      <c r="P124">
        <v>4.0659708144036051</v>
      </c>
      <c r="Q124">
        <v>4.0659708144036051</v>
      </c>
      <c r="R124">
        <v>0</v>
      </c>
      <c r="S124">
        <v>0</v>
      </c>
      <c r="T124" s="15">
        <v>0.65421548286957121</v>
      </c>
      <c r="U124">
        <v>24.630450999838821</v>
      </c>
      <c r="V124">
        <v>0</v>
      </c>
      <c r="W124">
        <v>0</v>
      </c>
      <c r="X124">
        <v>0.58080326720621367</v>
      </c>
      <c r="Y124">
        <v>0.58080326720621367</v>
      </c>
      <c r="Z124">
        <v>1</v>
      </c>
      <c r="AA124">
        <v>0.32099999999999995</v>
      </c>
      <c r="AB124">
        <v>1.6790000000000003</v>
      </c>
      <c r="AC124">
        <v>0</v>
      </c>
      <c r="AD124" s="15">
        <v>0.47769219214457814</v>
      </c>
      <c r="AE124">
        <v>88.708672960867133</v>
      </c>
      <c r="AF124">
        <v>89.112952937348368</v>
      </c>
      <c r="AG124">
        <v>59.811709402292884</v>
      </c>
      <c r="AH124">
        <v>65.267414530086143</v>
      </c>
      <c r="AI124">
        <v>2.1</v>
      </c>
      <c r="AJ124">
        <v>0</v>
      </c>
      <c r="AK124">
        <v>0</v>
      </c>
      <c r="AL124">
        <v>1</v>
      </c>
      <c r="AM124">
        <v>1</v>
      </c>
      <c r="AN124">
        <v>0</v>
      </c>
      <c r="AO124">
        <v>0</v>
      </c>
      <c r="AP124">
        <v>1</v>
      </c>
      <c r="AQ124">
        <v>1</v>
      </c>
      <c r="AR124">
        <v>24.716999999999995</v>
      </c>
      <c r="AS124">
        <v>41.087999999999994</v>
      </c>
      <c r="AT124">
        <v>82.496999999999986</v>
      </c>
      <c r="AU124">
        <v>152.15399999999997</v>
      </c>
      <c r="AV124">
        <v>0</v>
      </c>
    </row>
    <row r="125" spans="1:48">
      <c r="A125">
        <v>124</v>
      </c>
      <c r="B125" s="15">
        <v>0</v>
      </c>
      <c r="C125">
        <v>21.899999999999679</v>
      </c>
      <c r="D125">
        <v>7.5799999999999024</v>
      </c>
      <c r="E125">
        <v>3.969723340899606</v>
      </c>
      <c r="F125">
        <v>0.15</v>
      </c>
      <c r="G125" s="15">
        <v>0.33900000000000002</v>
      </c>
      <c r="H125">
        <v>0.51412903641979868</v>
      </c>
      <c r="I125">
        <v>0</v>
      </c>
      <c r="J125" s="15">
        <v>0</v>
      </c>
      <c r="K125" s="15">
        <v>0</v>
      </c>
      <c r="L125" s="15">
        <v>0</v>
      </c>
      <c r="M125" s="15">
        <v>0</v>
      </c>
      <c r="N125">
        <v>0</v>
      </c>
      <c r="O125" s="15">
        <v>0</v>
      </c>
      <c r="P125">
        <v>4.2067058625945766</v>
      </c>
      <c r="Q125">
        <v>4.2067058625945766</v>
      </c>
      <c r="R125">
        <v>0</v>
      </c>
      <c r="S125">
        <v>0</v>
      </c>
      <c r="T125" s="15">
        <v>8.0636224783350113E-2</v>
      </c>
      <c r="U125">
        <v>20.343108912460888</v>
      </c>
      <c r="V125">
        <v>0</v>
      </c>
      <c r="W125">
        <v>0</v>
      </c>
      <c r="X125">
        <v>0.59544485815571779</v>
      </c>
      <c r="Y125">
        <v>0.59544485815571779</v>
      </c>
      <c r="Z125">
        <v>1</v>
      </c>
      <c r="AA125">
        <v>0.32899999999999996</v>
      </c>
      <c r="AB125">
        <v>1.6710000000000003</v>
      </c>
      <c r="AC125">
        <v>0</v>
      </c>
      <c r="AD125" s="15">
        <v>0.4164741459750253</v>
      </c>
      <c r="AE125">
        <v>89.833390181519746</v>
      </c>
      <c r="AF125">
        <v>90.764672960867145</v>
      </c>
      <c r="AG125">
        <v>59.746100300910356</v>
      </c>
      <c r="AH125">
        <v>66.183411853208924</v>
      </c>
      <c r="AI125">
        <v>2.1</v>
      </c>
      <c r="AJ125">
        <v>0</v>
      </c>
      <c r="AK125">
        <v>0</v>
      </c>
      <c r="AL125">
        <v>1</v>
      </c>
      <c r="AM125">
        <v>1</v>
      </c>
      <c r="AN125">
        <v>0</v>
      </c>
      <c r="AO125">
        <v>0</v>
      </c>
      <c r="AP125">
        <v>1</v>
      </c>
      <c r="AQ125">
        <v>1</v>
      </c>
      <c r="AR125">
        <v>25.332999999999995</v>
      </c>
      <c r="AS125">
        <v>42.111999999999995</v>
      </c>
      <c r="AT125">
        <v>84.552999999999983</v>
      </c>
      <c r="AU125">
        <v>155.94599999999997</v>
      </c>
      <c r="AV125">
        <v>0</v>
      </c>
    </row>
    <row r="126" spans="1:48">
      <c r="A126">
        <v>125</v>
      </c>
      <c r="B126">
        <v>0</v>
      </c>
      <c r="C126">
        <v>21.539999999999694</v>
      </c>
      <c r="D126">
        <v>10.839999999999867</v>
      </c>
      <c r="E126">
        <v>3.015317273444345</v>
      </c>
      <c r="F126">
        <v>0.15</v>
      </c>
      <c r="G126" s="15">
        <v>0.35499999999999998</v>
      </c>
      <c r="H126">
        <v>0.50791397099309721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3.0789990366559743</v>
      </c>
      <c r="Q126">
        <v>3.0789990366559743</v>
      </c>
      <c r="R126">
        <v>0</v>
      </c>
      <c r="S126">
        <v>0</v>
      </c>
      <c r="T126" s="15">
        <v>7.2313618810673896E-3</v>
      </c>
      <c r="U126">
        <v>17.256878513923841</v>
      </c>
      <c r="V126">
        <v>0</v>
      </c>
      <c r="W126">
        <v>0</v>
      </c>
      <c r="X126">
        <v>0.45228658720159221</v>
      </c>
      <c r="Y126">
        <v>0.45228658720159221</v>
      </c>
      <c r="Z126">
        <v>1</v>
      </c>
      <c r="AA126">
        <v>0.33599999999999997</v>
      </c>
      <c r="AB126">
        <v>1.6640000000000001</v>
      </c>
      <c r="AC126">
        <v>0</v>
      </c>
      <c r="AD126" s="15">
        <v>0.35956298896441541</v>
      </c>
      <c r="AE126">
        <v>90.827771967234824</v>
      </c>
      <c r="AF126">
        <v>91.632390181519739</v>
      </c>
      <c r="AG126">
        <v>61.346943371495691</v>
      </c>
      <c r="AH126">
        <v>67.472630403381075</v>
      </c>
      <c r="AI126">
        <v>2.1</v>
      </c>
      <c r="AJ126">
        <v>0</v>
      </c>
      <c r="AK126">
        <v>0</v>
      </c>
      <c r="AL126">
        <v>1</v>
      </c>
      <c r="AM126">
        <v>1</v>
      </c>
      <c r="AN126">
        <v>0</v>
      </c>
      <c r="AO126">
        <v>0</v>
      </c>
      <c r="AP126">
        <v>1</v>
      </c>
      <c r="AQ126">
        <v>1</v>
      </c>
      <c r="AR126">
        <v>25.871999999999996</v>
      </c>
      <c r="AS126">
        <v>43.007999999999996</v>
      </c>
      <c r="AT126">
        <v>86.35199999999999</v>
      </c>
      <c r="AU126">
        <v>159.26399999999995</v>
      </c>
      <c r="AV126">
        <v>0</v>
      </c>
    </row>
    <row r="127" spans="1:48">
      <c r="A127">
        <v>126</v>
      </c>
      <c r="B127">
        <v>0</v>
      </c>
      <c r="C127">
        <v>20.499999999999702</v>
      </c>
      <c r="D127">
        <v>7.1799999999999038</v>
      </c>
      <c r="E127">
        <v>3.2713147263787006</v>
      </c>
      <c r="F127">
        <v>0.15</v>
      </c>
      <c r="G127" s="15">
        <v>0.371</v>
      </c>
      <c r="H127">
        <v>0.55874857373256437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3.3606210532418919</v>
      </c>
      <c r="Q127">
        <v>3.1463375688202384</v>
      </c>
      <c r="R127">
        <v>0</v>
      </c>
      <c r="S127">
        <v>0</v>
      </c>
      <c r="T127" s="15">
        <v>6.3555054306098065E-4</v>
      </c>
      <c r="U127">
        <v>14.109905394560549</v>
      </c>
      <c r="V127">
        <v>0</v>
      </c>
      <c r="W127">
        <v>0</v>
      </c>
      <c r="X127">
        <v>0.49068454832360142</v>
      </c>
      <c r="Y127">
        <v>0.49068454832360142</v>
      </c>
      <c r="Z127">
        <v>1</v>
      </c>
      <c r="AA127">
        <v>0.34299999999999997</v>
      </c>
      <c r="AB127">
        <v>1.657</v>
      </c>
      <c r="AC127">
        <v>0</v>
      </c>
      <c r="AD127" s="15">
        <v>0.31531497903047662</v>
      </c>
      <c r="AE127">
        <v>91.821407990423793</v>
      </c>
      <c r="AF127">
        <v>92.626771967234816</v>
      </c>
      <c r="AG127">
        <v>57.453593709342357</v>
      </c>
      <c r="AH127">
        <v>67.145909914512458</v>
      </c>
      <c r="AI127">
        <v>2.1</v>
      </c>
      <c r="AJ127">
        <v>0</v>
      </c>
      <c r="AK127">
        <v>0</v>
      </c>
      <c r="AL127">
        <v>1</v>
      </c>
      <c r="AM127">
        <v>1</v>
      </c>
      <c r="AN127">
        <v>0</v>
      </c>
      <c r="AO127">
        <v>0</v>
      </c>
      <c r="AP127">
        <v>1</v>
      </c>
      <c r="AQ127">
        <v>1</v>
      </c>
      <c r="AR127">
        <v>26.411000000000001</v>
      </c>
      <c r="AS127">
        <v>43.904000000000003</v>
      </c>
      <c r="AT127">
        <v>88.150999999999996</v>
      </c>
      <c r="AU127">
        <v>162.58199999999999</v>
      </c>
      <c r="AV127">
        <v>0</v>
      </c>
    </row>
    <row r="128" spans="1:48">
      <c r="A128">
        <v>127</v>
      </c>
      <c r="B128">
        <v>0</v>
      </c>
      <c r="C128">
        <v>24.639999999999638</v>
      </c>
      <c r="D128">
        <v>10.939999999999847</v>
      </c>
      <c r="E128">
        <v>4.6124267144576194</v>
      </c>
      <c r="F128">
        <v>0.15</v>
      </c>
      <c r="G128" s="15">
        <v>0.38800000000000001</v>
      </c>
      <c r="H128">
        <v>0.54594777491036739</v>
      </c>
      <c r="I128">
        <v>0</v>
      </c>
      <c r="J128">
        <v>0</v>
      </c>
      <c r="K128">
        <v>0</v>
      </c>
      <c r="L128">
        <v>0</v>
      </c>
      <c r="M128" s="15">
        <v>0</v>
      </c>
      <c r="N128">
        <v>0</v>
      </c>
      <c r="O128">
        <v>0</v>
      </c>
      <c r="P128">
        <v>5.0644245841511664</v>
      </c>
      <c r="Q128">
        <v>3.2867577409020168</v>
      </c>
      <c r="R128">
        <v>0</v>
      </c>
      <c r="S128">
        <v>0</v>
      </c>
      <c r="T128" s="15">
        <v>2.2459307797840068E-5</v>
      </c>
      <c r="U128">
        <v>10.82312519435073</v>
      </c>
      <c r="V128">
        <v>0</v>
      </c>
      <c r="W128">
        <v>0</v>
      </c>
      <c r="X128">
        <v>0.69184509907800962</v>
      </c>
      <c r="Y128">
        <v>0.69184509907800962</v>
      </c>
      <c r="Z128">
        <v>1</v>
      </c>
      <c r="AA128">
        <v>0.35</v>
      </c>
      <c r="AB128">
        <v>1.6500000000000001</v>
      </c>
      <c r="AC128">
        <v>0</v>
      </c>
      <c r="AD128" s="15">
        <v>0.27446615531281315</v>
      </c>
      <c r="AE128">
        <v>92.654119195340755</v>
      </c>
      <c r="AF128">
        <v>93.620407990423786</v>
      </c>
      <c r="AG128">
        <v>59.651577198174685</v>
      </c>
      <c r="AH128">
        <v>68.610757999463146</v>
      </c>
      <c r="AI128">
        <v>2.1</v>
      </c>
      <c r="AJ128">
        <v>0</v>
      </c>
      <c r="AK128">
        <v>0</v>
      </c>
      <c r="AL128">
        <v>1</v>
      </c>
      <c r="AM128">
        <v>1</v>
      </c>
      <c r="AN128">
        <v>0</v>
      </c>
      <c r="AO128">
        <v>0</v>
      </c>
      <c r="AP128">
        <v>1</v>
      </c>
      <c r="AQ128">
        <v>1</v>
      </c>
      <c r="AR128">
        <v>26.95</v>
      </c>
      <c r="AS128">
        <v>44.800000000000004</v>
      </c>
      <c r="AT128">
        <v>89.95</v>
      </c>
      <c r="AU128">
        <v>165.9</v>
      </c>
      <c r="AV128">
        <v>0</v>
      </c>
    </row>
    <row r="129" spans="1:48">
      <c r="A129">
        <v>128</v>
      </c>
      <c r="B129">
        <v>0</v>
      </c>
      <c r="C129">
        <v>21.839999999999684</v>
      </c>
      <c r="D129">
        <v>10.639999999999848</v>
      </c>
      <c r="E129">
        <v>4.0198916298750378</v>
      </c>
      <c r="F129">
        <v>0.15</v>
      </c>
      <c r="G129" s="15">
        <v>0.40400000000000003</v>
      </c>
      <c r="H129">
        <v>0.46974921334699077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4.1862592663004756</v>
      </c>
      <c r="Q129">
        <v>1.7628409207463538</v>
      </c>
      <c r="R129">
        <v>0</v>
      </c>
      <c r="S129">
        <v>0</v>
      </c>
      <c r="T129" s="15">
        <v>1.236646800112897E-7</v>
      </c>
      <c r="U129">
        <v>9.0602841499396956</v>
      </c>
      <c r="V129">
        <v>0</v>
      </c>
      <c r="W129">
        <v>0</v>
      </c>
      <c r="X129">
        <v>0.60296631114498644</v>
      </c>
      <c r="Y129">
        <v>0.60296631114498644</v>
      </c>
      <c r="Z129">
        <v>1</v>
      </c>
      <c r="AA129">
        <v>0.35699999999999998</v>
      </c>
      <c r="AB129">
        <v>1.6430000000000002</v>
      </c>
      <c r="AC129">
        <v>0</v>
      </c>
      <c r="AD129" s="15">
        <v>0.23888560529213493</v>
      </c>
      <c r="AE129">
        <v>93.611267402568302</v>
      </c>
      <c r="AF129">
        <v>94.453119195340747</v>
      </c>
      <c r="AG129">
        <v>68.210258962250222</v>
      </c>
      <c r="AH129">
        <v>71.946399694779473</v>
      </c>
      <c r="AI129">
        <v>2.1</v>
      </c>
      <c r="AJ129">
        <v>0</v>
      </c>
      <c r="AK129">
        <v>0</v>
      </c>
      <c r="AL129">
        <v>1</v>
      </c>
      <c r="AM129">
        <v>1</v>
      </c>
      <c r="AN129">
        <v>0</v>
      </c>
      <c r="AO129">
        <v>0</v>
      </c>
      <c r="AP129">
        <v>1</v>
      </c>
      <c r="AQ129">
        <v>1</v>
      </c>
      <c r="AR129">
        <v>27.489000000000001</v>
      </c>
      <c r="AS129">
        <v>45.695999999999998</v>
      </c>
      <c r="AT129">
        <v>91.748999999999995</v>
      </c>
      <c r="AU129">
        <v>169.21799999999999</v>
      </c>
      <c r="AV129">
        <v>0</v>
      </c>
    </row>
    <row r="130" spans="1:48">
      <c r="A130">
        <v>129</v>
      </c>
      <c r="B130" s="15">
        <v>0</v>
      </c>
      <c r="C130">
        <v>23.89999999999965</v>
      </c>
      <c r="D130">
        <v>9.039999999999873</v>
      </c>
      <c r="E130">
        <v>3.7531687338359405</v>
      </c>
      <c r="F130">
        <v>0.15</v>
      </c>
      <c r="G130" s="15">
        <v>0.42</v>
      </c>
      <c r="H130">
        <v>0.50843097671373449</v>
      </c>
      <c r="I130">
        <v>0</v>
      </c>
      <c r="J130" s="15">
        <v>0</v>
      </c>
      <c r="K130" s="15">
        <v>0</v>
      </c>
      <c r="L130" s="15">
        <v>0</v>
      </c>
      <c r="M130" s="15">
        <v>0</v>
      </c>
      <c r="N130">
        <v>0</v>
      </c>
      <c r="O130" s="15">
        <v>0</v>
      </c>
      <c r="P130">
        <v>3.8605496420298833</v>
      </c>
      <c r="Q130">
        <v>1.1178419004591666</v>
      </c>
      <c r="R130">
        <v>0</v>
      </c>
      <c r="S130">
        <v>0</v>
      </c>
      <c r="T130" s="15">
        <v>9.0195834137321009E-10</v>
      </c>
      <c r="U130">
        <v>7.9424422485785691</v>
      </c>
      <c r="V130">
        <v>0</v>
      </c>
      <c r="W130">
        <v>0</v>
      </c>
      <c r="X130">
        <v>0.56295811216981562</v>
      </c>
      <c r="Y130">
        <v>0.56295811216981562</v>
      </c>
      <c r="Z130">
        <v>1</v>
      </c>
      <c r="AA130">
        <v>0.36399999999999999</v>
      </c>
      <c r="AB130">
        <v>1.6360000000000001</v>
      </c>
      <c r="AC130">
        <v>0</v>
      </c>
      <c r="AD130" s="15">
        <v>0.21155467066669381</v>
      </c>
      <c r="AE130">
        <v>94.635754620633719</v>
      </c>
      <c r="AF130">
        <v>95.410267402568294</v>
      </c>
      <c r="AG130">
        <v>65.371804076422606</v>
      </c>
      <c r="AH130">
        <v>71.92994237541842</v>
      </c>
      <c r="AI130">
        <v>2.1</v>
      </c>
      <c r="AJ130">
        <v>0</v>
      </c>
      <c r="AK130">
        <v>0</v>
      </c>
      <c r="AL130">
        <v>1</v>
      </c>
      <c r="AM130">
        <v>1</v>
      </c>
      <c r="AN130">
        <v>0</v>
      </c>
      <c r="AO130">
        <v>0</v>
      </c>
      <c r="AP130">
        <v>1</v>
      </c>
      <c r="AQ130">
        <v>1</v>
      </c>
      <c r="AR130">
        <v>28.027999999999999</v>
      </c>
      <c r="AS130">
        <v>46.591999999999999</v>
      </c>
      <c r="AT130">
        <v>93.548000000000002</v>
      </c>
      <c r="AU130">
        <v>172.536</v>
      </c>
      <c r="AV130">
        <v>0</v>
      </c>
    </row>
    <row r="131" spans="1:48">
      <c r="A131">
        <v>130</v>
      </c>
      <c r="B131">
        <v>0.43999999999997502</v>
      </c>
      <c r="C131">
        <v>23.999999999999645</v>
      </c>
      <c r="D131">
        <v>13.699999999999815</v>
      </c>
      <c r="E131">
        <v>3.1312716229586774</v>
      </c>
      <c r="F131">
        <v>0.15</v>
      </c>
      <c r="G131" s="15">
        <v>0.436</v>
      </c>
      <c r="H131">
        <v>0.52305968931658775</v>
      </c>
      <c r="I131">
        <v>0</v>
      </c>
      <c r="J131">
        <v>0.3886142857142631</v>
      </c>
      <c r="K131">
        <v>0.43999999999997502</v>
      </c>
      <c r="L131">
        <v>0.3886142857142631</v>
      </c>
      <c r="M131" s="15">
        <v>5.1385714285711939E-2</v>
      </c>
      <c r="N131">
        <v>0</v>
      </c>
      <c r="O131">
        <v>0.38861429729587116</v>
      </c>
      <c r="P131">
        <v>3.2628675121319741</v>
      </c>
      <c r="Q131">
        <v>0.72948775948730182</v>
      </c>
      <c r="R131">
        <v>0</v>
      </c>
      <c r="S131" s="15">
        <v>0</v>
      </c>
      <c r="T131" s="15">
        <v>6.3649727710329218E-12</v>
      </c>
      <c r="U131">
        <v>7.6015687863807742</v>
      </c>
      <c r="V131">
        <v>0</v>
      </c>
      <c r="W131">
        <v>0</v>
      </c>
      <c r="X131">
        <v>0.46967560179325007</v>
      </c>
      <c r="Y131">
        <v>0.46967560179325007</v>
      </c>
      <c r="Z131">
        <v>1</v>
      </c>
      <c r="AA131">
        <v>0.371</v>
      </c>
      <c r="AB131">
        <v>1.629</v>
      </c>
      <c r="AC131">
        <v>0</v>
      </c>
      <c r="AD131" s="15">
        <v>0.19034890250565056</v>
      </c>
      <c r="AE131">
        <v>95.774730116341146</v>
      </c>
      <c r="AF131">
        <v>96.434754620633697</v>
      </c>
      <c r="AG131">
        <v>64.886768214134321</v>
      </c>
      <c r="AH131">
        <v>72.605667121804203</v>
      </c>
      <c r="AI131">
        <v>2.1</v>
      </c>
      <c r="AJ131">
        <v>0</v>
      </c>
      <c r="AK131">
        <v>0</v>
      </c>
      <c r="AL131">
        <v>1</v>
      </c>
      <c r="AM131">
        <v>1</v>
      </c>
      <c r="AN131">
        <v>0</v>
      </c>
      <c r="AO131">
        <v>0</v>
      </c>
      <c r="AP131">
        <v>1</v>
      </c>
      <c r="AQ131">
        <v>1</v>
      </c>
      <c r="AR131">
        <v>28.567</v>
      </c>
      <c r="AS131">
        <v>47.488</v>
      </c>
      <c r="AT131">
        <v>95.347000000000008</v>
      </c>
      <c r="AU131">
        <v>175.85399999999998</v>
      </c>
      <c r="AV131">
        <v>0</v>
      </c>
    </row>
    <row r="132" spans="1:48">
      <c r="A132">
        <v>131</v>
      </c>
      <c r="B132">
        <v>18.919999999999774</v>
      </c>
      <c r="C132">
        <v>17.179999999999755</v>
      </c>
      <c r="D132">
        <v>12.699999999999811</v>
      </c>
      <c r="E132">
        <v>1.3851260207948723</v>
      </c>
      <c r="F132">
        <v>0.15</v>
      </c>
      <c r="G132">
        <v>0.45200000000000001</v>
      </c>
      <c r="H132">
        <v>0.55069827430979623</v>
      </c>
      <c r="I132">
        <v>0</v>
      </c>
      <c r="J132">
        <v>18.672359845559619</v>
      </c>
      <c r="K132">
        <v>18.919999999999774</v>
      </c>
      <c r="L132">
        <v>18.672359845559619</v>
      </c>
      <c r="M132" s="15">
        <v>0.24764015444015419</v>
      </c>
      <c r="N132">
        <v>0</v>
      </c>
      <c r="O132">
        <v>18.672360402039313</v>
      </c>
      <c r="P132" s="15">
        <v>1.3705151044311266</v>
      </c>
      <c r="Q132" s="15">
        <v>1.2891125563825259</v>
      </c>
      <c r="R132">
        <v>0</v>
      </c>
      <c r="S132">
        <v>0</v>
      </c>
      <c r="T132" s="15">
        <v>1.9467169654976926E-2</v>
      </c>
      <c r="U132">
        <v>24.965349462382573</v>
      </c>
      <c r="V132">
        <v>0</v>
      </c>
      <c r="W132">
        <v>0</v>
      </c>
      <c r="X132">
        <v>0.207761843509286</v>
      </c>
      <c r="Y132">
        <v>0.207761843509286</v>
      </c>
      <c r="Z132">
        <v>1</v>
      </c>
      <c r="AA132">
        <v>0.379</v>
      </c>
      <c r="AB132">
        <v>1.621</v>
      </c>
      <c r="AC132">
        <v>0</v>
      </c>
      <c r="AD132" s="15">
        <v>0.17648660946166547</v>
      </c>
      <c r="AE132">
        <v>97.465948833025166</v>
      </c>
      <c r="AF132">
        <v>97.830730116341144</v>
      </c>
      <c r="AG132">
        <v>63.135921104507744</v>
      </c>
      <c r="AH132">
        <v>73.026006207208155</v>
      </c>
      <c r="AI132">
        <v>2.1</v>
      </c>
      <c r="AJ132">
        <v>0</v>
      </c>
      <c r="AK132">
        <v>0</v>
      </c>
      <c r="AL132">
        <v>1</v>
      </c>
      <c r="AM132">
        <v>1</v>
      </c>
      <c r="AN132">
        <v>0</v>
      </c>
      <c r="AO132">
        <v>0</v>
      </c>
      <c r="AP132">
        <v>1</v>
      </c>
      <c r="AQ132">
        <v>1</v>
      </c>
      <c r="AR132">
        <v>29.183</v>
      </c>
      <c r="AS132">
        <v>48.512</v>
      </c>
      <c r="AT132">
        <v>97.403000000000006</v>
      </c>
      <c r="AU132">
        <v>179.64599999999999</v>
      </c>
      <c r="AV132">
        <v>0</v>
      </c>
    </row>
    <row r="133" spans="1:48">
      <c r="A133">
        <v>132</v>
      </c>
      <c r="B133">
        <v>1.8399999999998953</v>
      </c>
      <c r="C133">
        <v>24.019999999999659</v>
      </c>
      <c r="D133">
        <v>10.399999999999842</v>
      </c>
      <c r="E133">
        <v>4.2620710708007863</v>
      </c>
      <c r="F133">
        <v>0.15</v>
      </c>
      <c r="G133">
        <v>0.46800000000000003</v>
      </c>
      <c r="H133">
        <v>0.6368689190231247</v>
      </c>
      <c r="I133">
        <v>0</v>
      </c>
      <c r="J133" s="15">
        <v>1.6980571428570421</v>
      </c>
      <c r="K133">
        <v>1.8399999999998953</v>
      </c>
      <c r="L133" s="15">
        <v>1.6980571428570421</v>
      </c>
      <c r="M133" s="15">
        <v>0.14194285714285312</v>
      </c>
      <c r="N133">
        <v>0</v>
      </c>
      <c r="O133" s="15">
        <v>1.6980571934630879</v>
      </c>
      <c r="P133" s="15">
        <v>4.4721107298784988</v>
      </c>
      <c r="Q133" s="15">
        <v>4.4721107298784988</v>
      </c>
      <c r="R133">
        <v>0</v>
      </c>
      <c r="S133">
        <v>0</v>
      </c>
      <c r="T133" s="15">
        <v>0.12076444894714808</v>
      </c>
      <c r="U133">
        <v>22.070531477020008</v>
      </c>
      <c r="V133">
        <v>0</v>
      </c>
      <c r="W133">
        <v>0</v>
      </c>
      <c r="X133">
        <v>0.63928779330876895</v>
      </c>
      <c r="Y133">
        <v>0.63928779330876895</v>
      </c>
      <c r="Z133">
        <v>1</v>
      </c>
      <c r="AA133">
        <v>0.38600000000000001</v>
      </c>
      <c r="AB133">
        <v>1.6140000000000001</v>
      </c>
      <c r="AC133">
        <v>0</v>
      </c>
      <c r="AD133" s="15">
        <v>0.16488463476706827</v>
      </c>
      <c r="AE133">
        <v>98.58154085389647</v>
      </c>
      <c r="AF133">
        <v>99.264948833025159</v>
      </c>
      <c r="AG133">
        <v>54.94944113300096</v>
      </c>
      <c r="AH133">
        <v>71.436600333235575</v>
      </c>
      <c r="AI133">
        <v>2.1</v>
      </c>
      <c r="AJ133">
        <v>0</v>
      </c>
      <c r="AK133">
        <v>0</v>
      </c>
      <c r="AL133">
        <v>1</v>
      </c>
      <c r="AM133">
        <v>1</v>
      </c>
      <c r="AN133">
        <v>0</v>
      </c>
      <c r="AO133">
        <v>0</v>
      </c>
      <c r="AP133">
        <v>1</v>
      </c>
      <c r="AQ133">
        <v>1</v>
      </c>
      <c r="AR133">
        <v>29.722000000000001</v>
      </c>
      <c r="AS133">
        <v>49.408000000000001</v>
      </c>
      <c r="AT133">
        <v>99.201999999999998</v>
      </c>
      <c r="AU133">
        <v>182.964</v>
      </c>
      <c r="AV133">
        <v>0</v>
      </c>
    </row>
    <row r="134" spans="1:48">
      <c r="A134">
        <v>133</v>
      </c>
      <c r="B134">
        <v>2.5199999999999889</v>
      </c>
      <c r="C134">
        <v>23.819999999999659</v>
      </c>
      <c r="D134">
        <v>12.559999999999826</v>
      </c>
      <c r="E134">
        <v>4.2432082765139105</v>
      </c>
      <c r="F134">
        <v>0.15</v>
      </c>
      <c r="G134">
        <v>0.48399999999999999</v>
      </c>
      <c r="H134">
        <v>0.49554405917210731</v>
      </c>
      <c r="I134">
        <v>0</v>
      </c>
      <c r="J134">
        <v>2.3505999999999894</v>
      </c>
      <c r="K134">
        <v>2.5199999999999889</v>
      </c>
      <c r="L134">
        <v>2.3505999999999894</v>
      </c>
      <c r="M134" s="15">
        <v>0.16939999999999966</v>
      </c>
      <c r="N134">
        <v>0</v>
      </c>
      <c r="O134">
        <v>2.3506000700533285</v>
      </c>
      <c r="P134">
        <v>4.4974745680185002</v>
      </c>
      <c r="Q134">
        <v>4.4974745680185002</v>
      </c>
      <c r="R134">
        <v>0</v>
      </c>
      <c r="S134">
        <v>0</v>
      </c>
      <c r="T134" s="15">
        <v>2.8575355452603434E-2</v>
      </c>
      <c r="U134">
        <v>19.895081623602245</v>
      </c>
      <c r="V134">
        <v>0</v>
      </c>
      <c r="W134">
        <v>0</v>
      </c>
      <c r="X134">
        <v>0.6364573052422956</v>
      </c>
      <c r="Y134">
        <v>0.6364573052422956</v>
      </c>
      <c r="Z134">
        <v>1</v>
      </c>
      <c r="AA134">
        <v>0.39300000000000002</v>
      </c>
      <c r="AB134">
        <v>1.6070000000000002</v>
      </c>
      <c r="AC134">
        <v>0</v>
      </c>
      <c r="AD134" s="15">
        <v>0.14920021499428404</v>
      </c>
      <c r="AE134">
        <v>99.623458689112482</v>
      </c>
      <c r="AF134">
        <v>100.38054085389648</v>
      </c>
      <c r="AG134">
        <v>70.978031067191324</v>
      </c>
      <c r="AH134">
        <v>76.96927384329156</v>
      </c>
      <c r="AI134">
        <v>2.1</v>
      </c>
      <c r="AJ134">
        <v>0</v>
      </c>
      <c r="AK134">
        <v>0</v>
      </c>
      <c r="AL134">
        <v>1</v>
      </c>
      <c r="AM134">
        <v>1</v>
      </c>
      <c r="AN134">
        <v>0</v>
      </c>
      <c r="AO134">
        <v>0</v>
      </c>
      <c r="AP134">
        <v>1</v>
      </c>
      <c r="AQ134">
        <v>1</v>
      </c>
      <c r="AR134">
        <v>30.260999999999999</v>
      </c>
      <c r="AS134">
        <v>50.304000000000002</v>
      </c>
      <c r="AT134">
        <v>101.001</v>
      </c>
      <c r="AU134">
        <v>186.28199999999998</v>
      </c>
      <c r="AV134">
        <v>0</v>
      </c>
    </row>
    <row r="135" spans="1:48">
      <c r="A135">
        <v>134</v>
      </c>
      <c r="B135">
        <v>6.8799999999998436</v>
      </c>
      <c r="C135">
        <v>21.039999999999687</v>
      </c>
      <c r="D135">
        <v>9.0799999999998704</v>
      </c>
      <c r="E135">
        <v>2.9339940462482677</v>
      </c>
      <c r="F135">
        <v>0.15</v>
      </c>
      <c r="G135">
        <v>0.5</v>
      </c>
      <c r="H135">
        <v>0.49464272518931257</v>
      </c>
      <c r="I135">
        <v>0</v>
      </c>
      <c r="J135">
        <v>6.6422119815666649</v>
      </c>
      <c r="K135">
        <v>6.8799999999998436</v>
      </c>
      <c r="L135">
        <v>6.6422119815666649</v>
      </c>
      <c r="M135" s="15">
        <v>0.23778801843317859</v>
      </c>
      <c r="N135">
        <v>0</v>
      </c>
      <c r="O135">
        <v>6.6422121795200084</v>
      </c>
      <c r="P135" s="15">
        <v>3.0232363406156182</v>
      </c>
      <c r="Q135" s="15">
        <v>3.0232363406156182</v>
      </c>
      <c r="R135">
        <v>0</v>
      </c>
      <c r="S135">
        <v>0</v>
      </c>
      <c r="T135" s="15">
        <v>3.6454316569312167E-2</v>
      </c>
      <c r="U135">
        <v>23.477603145937312</v>
      </c>
      <c r="V135">
        <v>0</v>
      </c>
      <c r="W135">
        <v>0</v>
      </c>
      <c r="X135">
        <v>0.4400817268577093</v>
      </c>
      <c r="Y135">
        <v>0.4400817268577093</v>
      </c>
      <c r="Z135">
        <v>1</v>
      </c>
      <c r="AA135">
        <v>0.4</v>
      </c>
      <c r="AB135">
        <v>1.6</v>
      </c>
      <c r="AC135">
        <v>0</v>
      </c>
      <c r="AD135" s="15">
        <v>0.13669958214118283</v>
      </c>
      <c r="AE135">
        <v>100.88213169668289</v>
      </c>
      <c r="AF135">
        <v>101.42245868911247</v>
      </c>
      <c r="AG135">
        <v>72.114692972838441</v>
      </c>
      <c r="AH135">
        <v>78.121968521423057</v>
      </c>
      <c r="AI135">
        <v>2.1</v>
      </c>
      <c r="AJ135">
        <v>0</v>
      </c>
      <c r="AK135">
        <v>0</v>
      </c>
      <c r="AL135">
        <v>1</v>
      </c>
      <c r="AM135">
        <v>1</v>
      </c>
      <c r="AN135">
        <v>0</v>
      </c>
      <c r="AO135">
        <v>0</v>
      </c>
      <c r="AP135">
        <v>1</v>
      </c>
      <c r="AQ135">
        <v>1</v>
      </c>
      <c r="AR135">
        <v>30.8</v>
      </c>
      <c r="AS135">
        <v>51.2</v>
      </c>
      <c r="AT135">
        <v>102.8</v>
      </c>
      <c r="AU135">
        <v>189.6</v>
      </c>
      <c r="AV135">
        <v>0</v>
      </c>
    </row>
    <row r="136" spans="1:48">
      <c r="A136">
        <v>135</v>
      </c>
      <c r="B136">
        <v>0.15999999999999945</v>
      </c>
      <c r="C136">
        <v>20.239999999999711</v>
      </c>
      <c r="D136">
        <v>8.3199999999998688</v>
      </c>
      <c r="E136">
        <v>2.7008141705121487</v>
      </c>
      <c r="F136">
        <v>0.17100000000000001</v>
      </c>
      <c r="G136">
        <v>0.60899999999999999</v>
      </c>
      <c r="H136">
        <v>0.56146727592716617</v>
      </c>
      <c r="I136">
        <v>0</v>
      </c>
      <c r="J136">
        <v>0.1301714285714281</v>
      </c>
      <c r="K136">
        <v>0.15999999999999945</v>
      </c>
      <c r="L136">
        <v>0.1301714285714281</v>
      </c>
      <c r="M136" s="15">
        <v>2.9828571428571329E-2</v>
      </c>
      <c r="N136">
        <v>0</v>
      </c>
      <c r="O136">
        <v>0.13017143245083904</v>
      </c>
      <c r="P136" s="15">
        <v>2.689237211027383</v>
      </c>
      <c r="Q136" s="15">
        <v>2.689237211027383</v>
      </c>
      <c r="R136">
        <v>0</v>
      </c>
      <c r="S136">
        <v>0</v>
      </c>
      <c r="T136" s="15">
        <v>5.3719089044434017E-2</v>
      </c>
      <c r="U136">
        <v>20.864818278316339</v>
      </c>
      <c r="V136">
        <v>0</v>
      </c>
      <c r="W136">
        <v>0</v>
      </c>
      <c r="X136">
        <v>0.46182009439358135</v>
      </c>
      <c r="Y136">
        <v>0.46182009439358135</v>
      </c>
      <c r="Z136">
        <v>1</v>
      </c>
      <c r="AA136">
        <v>0.40800000000000003</v>
      </c>
      <c r="AB136">
        <v>1.5920000000000001</v>
      </c>
      <c r="AC136">
        <v>0</v>
      </c>
      <c r="AD136" s="15">
        <v>0.12796357536910055</v>
      </c>
      <c r="AE136">
        <v>102.40206711596466</v>
      </c>
      <c r="AF136">
        <v>102.9381316966829</v>
      </c>
      <c r="AG136">
        <v>66.734812883317929</v>
      </c>
      <c r="AH136">
        <v>77.227183328359558</v>
      </c>
      <c r="AI136">
        <v>2.1</v>
      </c>
      <c r="AJ136">
        <v>0</v>
      </c>
      <c r="AK136">
        <v>0</v>
      </c>
      <c r="AL136">
        <v>1</v>
      </c>
      <c r="AM136">
        <v>1</v>
      </c>
      <c r="AN136">
        <v>0</v>
      </c>
      <c r="AO136">
        <v>0</v>
      </c>
      <c r="AP136">
        <v>1</v>
      </c>
      <c r="AQ136">
        <v>0.97699999999999998</v>
      </c>
      <c r="AR136">
        <v>31.416000000000004</v>
      </c>
      <c r="AS136">
        <v>52.224000000000011</v>
      </c>
      <c r="AT136">
        <v>104.85600000000002</v>
      </c>
      <c r="AU136">
        <v>193.39200000000002</v>
      </c>
      <c r="AV136">
        <v>0</v>
      </c>
    </row>
    <row r="137" spans="1:48">
      <c r="A137">
        <v>136</v>
      </c>
      <c r="B137">
        <v>1.1999999999999957</v>
      </c>
      <c r="C137">
        <v>18.939999999999728</v>
      </c>
      <c r="D137">
        <v>10.299999999999841</v>
      </c>
      <c r="E137">
        <v>1.7255141599141142</v>
      </c>
      <c r="F137">
        <v>0.192</v>
      </c>
      <c r="G137">
        <v>0.71899999999999997</v>
      </c>
      <c r="H137">
        <v>0.57395770613007779</v>
      </c>
      <c r="I137">
        <v>0</v>
      </c>
      <c r="J137">
        <v>1.0274399999999961</v>
      </c>
      <c r="K137">
        <v>1.1999999999999957</v>
      </c>
      <c r="L137">
        <v>1.0274399999999961</v>
      </c>
      <c r="M137" s="15">
        <v>0.1725599999999996</v>
      </c>
      <c r="N137">
        <v>0</v>
      </c>
      <c r="O137">
        <v>1.0274400306200941</v>
      </c>
      <c r="P137" s="15">
        <v>1.6126287984871239</v>
      </c>
      <c r="Q137" s="15">
        <v>1.6126287984871239</v>
      </c>
      <c r="R137">
        <v>0</v>
      </c>
      <c r="S137">
        <v>0</v>
      </c>
      <c r="T137">
        <v>1.728357649831571E-2</v>
      </c>
      <c r="U137">
        <v>20.262345933950989</v>
      </c>
      <c r="V137">
        <v>0</v>
      </c>
      <c r="W137">
        <v>0</v>
      </c>
      <c r="X137">
        <v>0.33128434481878183</v>
      </c>
      <c r="Y137">
        <v>0.33128434481878183</v>
      </c>
      <c r="Z137">
        <v>1</v>
      </c>
      <c r="AA137">
        <v>0.41600000000000004</v>
      </c>
      <c r="AB137">
        <v>1.5840000000000001</v>
      </c>
      <c r="AC137">
        <v>0</v>
      </c>
      <c r="AD137">
        <v>0.12052979286152882</v>
      </c>
      <c r="AE137">
        <v>104.02353655478262</v>
      </c>
      <c r="AF137">
        <v>104.45806711596464</v>
      </c>
      <c r="AG137">
        <v>67.343891625327259</v>
      </c>
      <c r="AH137">
        <v>78.063633280498266</v>
      </c>
      <c r="AI137">
        <v>2.1</v>
      </c>
      <c r="AJ137">
        <v>0</v>
      </c>
      <c r="AK137">
        <v>0</v>
      </c>
      <c r="AL137">
        <v>1</v>
      </c>
      <c r="AM137">
        <v>1</v>
      </c>
      <c r="AN137">
        <v>0</v>
      </c>
      <c r="AO137">
        <v>0</v>
      </c>
      <c r="AP137">
        <v>1</v>
      </c>
      <c r="AQ137">
        <v>0.95299999999999996</v>
      </c>
      <c r="AR137">
        <v>32.032000000000004</v>
      </c>
      <c r="AS137">
        <v>53.248000000000012</v>
      </c>
      <c r="AT137">
        <v>106.91200000000002</v>
      </c>
      <c r="AU137">
        <v>197.18400000000003</v>
      </c>
      <c r="AV137">
        <v>0</v>
      </c>
    </row>
    <row r="138" spans="1:48">
      <c r="A138">
        <v>137</v>
      </c>
      <c r="B138">
        <v>3.7599999999999696</v>
      </c>
      <c r="C138">
        <v>24.379999999999647</v>
      </c>
      <c r="D138">
        <v>11.239999999999835</v>
      </c>
      <c r="E138">
        <v>4.8214562417718794</v>
      </c>
      <c r="F138">
        <v>0.21299999999999999</v>
      </c>
      <c r="G138">
        <v>0.82799999999999996</v>
      </c>
      <c r="H138">
        <v>0.62224347153540915</v>
      </c>
      <c r="I138">
        <v>0</v>
      </c>
      <c r="J138">
        <v>3.4240345323740713</v>
      </c>
      <c r="K138">
        <v>3.7599999999999696</v>
      </c>
      <c r="L138">
        <v>3.4240345323740713</v>
      </c>
      <c r="M138" s="15">
        <v>0.33596546762589841</v>
      </c>
      <c r="N138">
        <v>0</v>
      </c>
      <c r="O138">
        <v>3.4240346344182524</v>
      </c>
      <c r="P138" s="15">
        <v>4.9378086339216658</v>
      </c>
      <c r="Q138" s="15">
        <v>4.9378086339216658</v>
      </c>
      <c r="R138">
        <v>0</v>
      </c>
      <c r="S138">
        <v>0</v>
      </c>
      <c r="T138">
        <v>1.0830145041357051E-2</v>
      </c>
      <c r="U138">
        <v>18.737741789406211</v>
      </c>
      <c r="V138">
        <v>0</v>
      </c>
      <c r="W138">
        <v>0</v>
      </c>
      <c r="X138">
        <v>1.026923563644333</v>
      </c>
      <c r="Y138">
        <v>1.026923563644333</v>
      </c>
      <c r="Z138">
        <v>1</v>
      </c>
      <c r="AA138">
        <v>0.42400000000000004</v>
      </c>
      <c r="AB138">
        <v>1.5760000000000001</v>
      </c>
      <c r="AC138">
        <v>0</v>
      </c>
      <c r="AD138" s="15">
        <v>0.10981235143020211</v>
      </c>
      <c r="AE138">
        <v>104.95363078474945</v>
      </c>
      <c r="AF138">
        <v>106.07953655478262</v>
      </c>
      <c r="AG138">
        <v>64.012570443471574</v>
      </c>
      <c r="AH138">
        <v>77.682751669776565</v>
      </c>
      <c r="AI138">
        <v>2.1</v>
      </c>
      <c r="AJ138">
        <v>0</v>
      </c>
      <c r="AK138">
        <v>0</v>
      </c>
      <c r="AL138">
        <v>1</v>
      </c>
      <c r="AM138">
        <v>1</v>
      </c>
      <c r="AN138">
        <v>0</v>
      </c>
      <c r="AO138">
        <v>0</v>
      </c>
      <c r="AP138">
        <v>1</v>
      </c>
      <c r="AQ138">
        <v>0.93</v>
      </c>
      <c r="AR138">
        <v>32.648000000000003</v>
      </c>
      <c r="AS138">
        <v>54.272000000000006</v>
      </c>
      <c r="AT138">
        <v>108.96800000000002</v>
      </c>
      <c r="AU138">
        <v>200.97600000000003</v>
      </c>
      <c r="AV138">
        <v>0</v>
      </c>
    </row>
    <row r="139" spans="1:48">
      <c r="A139">
        <v>138</v>
      </c>
      <c r="B139">
        <v>1.2399999999999807</v>
      </c>
      <c r="C139">
        <v>25.159999999999634</v>
      </c>
      <c r="D139">
        <v>7.9999999999998952</v>
      </c>
      <c r="E139">
        <v>4.469992519734153</v>
      </c>
      <c r="F139">
        <v>0.23300000000000001</v>
      </c>
      <c r="G139">
        <v>0.93700000000000006</v>
      </c>
      <c r="H139">
        <v>0.46141071295989783</v>
      </c>
      <c r="I139">
        <v>0</v>
      </c>
      <c r="J139">
        <v>1.0106815789473511</v>
      </c>
      <c r="K139">
        <v>1.2399999999999807</v>
      </c>
      <c r="L139">
        <v>1.0106815789473511</v>
      </c>
      <c r="M139" s="15">
        <v>0.22931842105262948</v>
      </c>
      <c r="N139">
        <v>0</v>
      </c>
      <c r="O139">
        <v>1.0106816090680093</v>
      </c>
      <c r="P139" s="15">
        <v>4.441247224428432</v>
      </c>
      <c r="Q139" s="15">
        <v>4.3811833877563338</v>
      </c>
      <c r="R139">
        <v>0</v>
      </c>
      <c r="S139">
        <v>0</v>
      </c>
      <c r="T139" s="15">
        <v>2.3500119186720373E-3</v>
      </c>
      <c r="U139">
        <v>15.364889998799212</v>
      </c>
      <c r="V139">
        <v>0</v>
      </c>
      <c r="W139">
        <v>0</v>
      </c>
      <c r="X139">
        <v>1.0414588575993857</v>
      </c>
      <c r="Y139">
        <v>1.0414588575993857</v>
      </c>
      <c r="Z139">
        <v>1</v>
      </c>
      <c r="AA139">
        <v>0.43300000000000005</v>
      </c>
      <c r="AB139">
        <v>1.5670000000000002</v>
      </c>
      <c r="AC139">
        <v>0</v>
      </c>
      <c r="AD139" s="15">
        <v>9.5721685538372472E-2</v>
      </c>
      <c r="AE139">
        <v>106.13180025353039</v>
      </c>
      <c r="AF139">
        <v>107.26663078474944</v>
      </c>
      <c r="AG139">
        <v>83.821023364407182</v>
      </c>
      <c r="AH139">
        <v>84.559103411452156</v>
      </c>
      <c r="AI139">
        <v>2.1</v>
      </c>
      <c r="AJ139">
        <v>0</v>
      </c>
      <c r="AK139">
        <v>0</v>
      </c>
      <c r="AL139">
        <v>1</v>
      </c>
      <c r="AM139">
        <v>1</v>
      </c>
      <c r="AN139">
        <v>0</v>
      </c>
      <c r="AO139">
        <v>0</v>
      </c>
      <c r="AP139">
        <v>1</v>
      </c>
      <c r="AQ139">
        <v>0.90700000000000003</v>
      </c>
      <c r="AR139">
        <v>33.341000000000001</v>
      </c>
      <c r="AS139">
        <v>55.424000000000007</v>
      </c>
      <c r="AT139">
        <v>111.28100000000002</v>
      </c>
      <c r="AU139">
        <v>205.24200000000002</v>
      </c>
      <c r="AV139">
        <v>0</v>
      </c>
    </row>
    <row r="140" spans="1:48">
      <c r="A140">
        <v>139</v>
      </c>
      <c r="B140">
        <v>0.15999999999999945</v>
      </c>
      <c r="C140">
        <v>24.199999999999648</v>
      </c>
      <c r="D140">
        <v>8.6799999999998683</v>
      </c>
      <c r="E140">
        <v>4.7408514110558411</v>
      </c>
      <c r="F140">
        <v>0.254</v>
      </c>
      <c r="G140">
        <v>1.0469999999999999</v>
      </c>
      <c r="H140">
        <v>0.48069175715046014</v>
      </c>
      <c r="I140">
        <v>0</v>
      </c>
      <c r="J140">
        <v>0.10871836734693838</v>
      </c>
      <c r="K140">
        <v>0.15999999999999945</v>
      </c>
      <c r="L140">
        <v>0.10871836734693838</v>
      </c>
      <c r="M140" s="15">
        <v>5.1281632653061064E-2</v>
      </c>
      <c r="N140">
        <v>0</v>
      </c>
      <c r="O140">
        <v>0.10871837058699826</v>
      </c>
      <c r="P140">
        <v>4.6215260941194911</v>
      </c>
      <c r="Q140">
        <v>3.5143017958589318</v>
      </c>
      <c r="R140">
        <v>0</v>
      </c>
      <c r="S140">
        <v>0</v>
      </c>
      <c r="T140" s="15">
        <v>9.5370041462229514E-5</v>
      </c>
      <c r="U140">
        <v>11.959211203485808</v>
      </c>
      <c r="V140">
        <v>0</v>
      </c>
      <c r="W140">
        <v>0</v>
      </c>
      <c r="X140">
        <v>1.2041166515865536</v>
      </c>
      <c r="Y140">
        <v>1.2041166515865536</v>
      </c>
      <c r="Z140">
        <v>1</v>
      </c>
      <c r="AA140">
        <v>0.44100000000000006</v>
      </c>
      <c r="AB140">
        <v>1.5590000000000002</v>
      </c>
      <c r="AC140">
        <v>0</v>
      </c>
      <c r="AD140" s="15">
        <v>8.2798930940004456E-2</v>
      </c>
      <c r="AE140">
        <v>106.90098004104532</v>
      </c>
      <c r="AF140">
        <v>108.1878002535304</v>
      </c>
      <c r="AG140">
        <v>83.726981411996746</v>
      </c>
      <c r="AH140">
        <v>85.19110524368584</v>
      </c>
      <c r="AI140">
        <v>2.1</v>
      </c>
      <c r="AJ140">
        <v>0</v>
      </c>
      <c r="AK140">
        <v>0</v>
      </c>
      <c r="AL140">
        <v>1</v>
      </c>
      <c r="AM140">
        <v>1</v>
      </c>
      <c r="AN140">
        <v>0</v>
      </c>
      <c r="AO140">
        <v>0</v>
      </c>
      <c r="AP140">
        <v>1</v>
      </c>
      <c r="AQ140">
        <v>0.88400000000000001</v>
      </c>
      <c r="AR140">
        <v>33.957000000000001</v>
      </c>
      <c r="AS140">
        <v>56.448000000000008</v>
      </c>
      <c r="AT140">
        <v>113.33700000000002</v>
      </c>
      <c r="AU140">
        <v>209.03400000000002</v>
      </c>
      <c r="AV140">
        <v>0</v>
      </c>
    </row>
    <row r="141" spans="1:48">
      <c r="A141">
        <v>140</v>
      </c>
      <c r="B141">
        <v>0</v>
      </c>
      <c r="C141">
        <v>24.859999999999637</v>
      </c>
      <c r="D141">
        <v>8.1199999999998926</v>
      </c>
      <c r="E141">
        <v>4.911114821733408</v>
      </c>
      <c r="F141">
        <v>0.27500000000000002</v>
      </c>
      <c r="G141">
        <v>1.1559999999999999</v>
      </c>
      <c r="H141">
        <v>0.46697429090994036</v>
      </c>
      <c r="I141">
        <v>0</v>
      </c>
      <c r="J141">
        <v>0</v>
      </c>
      <c r="K141">
        <v>0</v>
      </c>
      <c r="L141">
        <v>0</v>
      </c>
      <c r="M141" s="15">
        <v>0</v>
      </c>
      <c r="N141">
        <v>0</v>
      </c>
      <c r="O141">
        <v>0</v>
      </c>
      <c r="P141">
        <v>4.6805894424708949</v>
      </c>
      <c r="Q141">
        <v>2.32983404682928</v>
      </c>
      <c r="R141">
        <v>0</v>
      </c>
      <c r="S141">
        <v>0</v>
      </c>
      <c r="T141" s="15">
        <v>1.0454650583579894E-6</v>
      </c>
      <c r="U141">
        <v>9.6293761111914691</v>
      </c>
      <c r="V141">
        <v>0</v>
      </c>
      <c r="W141">
        <v>0</v>
      </c>
      <c r="X141">
        <v>1.3504868930811267</v>
      </c>
      <c r="Y141">
        <v>1.3504868930811267</v>
      </c>
      <c r="Z141">
        <v>1</v>
      </c>
      <c r="AA141">
        <v>0.44900000000000007</v>
      </c>
      <c r="AB141">
        <v>1.5510000000000002</v>
      </c>
      <c r="AC141">
        <v>0</v>
      </c>
      <c r="AD141" s="15">
        <v>7.0520159297793331E-2</v>
      </c>
      <c r="AE141">
        <v>107.53597403413148</v>
      </c>
      <c r="AF141">
        <v>108.95698004104531</v>
      </c>
      <c r="AG141">
        <v>87.31986940795457</v>
      </c>
      <c r="AH141">
        <v>86.96675301537006</v>
      </c>
      <c r="AI141">
        <v>2.1</v>
      </c>
      <c r="AJ141">
        <v>0</v>
      </c>
      <c r="AK141">
        <v>0</v>
      </c>
      <c r="AL141">
        <v>1</v>
      </c>
      <c r="AM141">
        <v>1</v>
      </c>
      <c r="AN141">
        <v>0</v>
      </c>
      <c r="AO141">
        <v>0</v>
      </c>
      <c r="AP141">
        <v>1</v>
      </c>
      <c r="AQ141">
        <v>0.86</v>
      </c>
      <c r="AR141">
        <v>34.573</v>
      </c>
      <c r="AS141">
        <v>57.472000000000008</v>
      </c>
      <c r="AT141">
        <v>115.39300000000001</v>
      </c>
      <c r="AU141">
        <v>212.82600000000002</v>
      </c>
      <c r="AV141">
        <v>0</v>
      </c>
    </row>
    <row r="142" spans="1:48">
      <c r="A142">
        <v>141</v>
      </c>
      <c r="B142" s="15">
        <v>0.23999999999999491</v>
      </c>
      <c r="C142">
        <v>23.679999999999655</v>
      </c>
      <c r="D142">
        <v>11.49999999999984</v>
      </c>
      <c r="E142">
        <v>4.3311924034876714</v>
      </c>
      <c r="F142">
        <v>0.29599999999999999</v>
      </c>
      <c r="G142">
        <v>1.2649999999999999</v>
      </c>
      <c r="H142">
        <v>0.45875694749977325</v>
      </c>
      <c r="I142">
        <v>0</v>
      </c>
      <c r="J142" s="15">
        <v>0.15070588235293775</v>
      </c>
      <c r="K142" s="15">
        <v>0.23999999999999491</v>
      </c>
      <c r="L142" s="15">
        <v>0.15070588235293775</v>
      </c>
      <c r="M142" s="15">
        <v>8.929411764705715E-2</v>
      </c>
      <c r="N142">
        <v>0</v>
      </c>
      <c r="O142" s="15">
        <v>0.15070588684432298</v>
      </c>
      <c r="P142">
        <v>3.8547176144900095</v>
      </c>
      <c r="Q142">
        <v>1.3109022910068158</v>
      </c>
      <c r="R142">
        <v>0</v>
      </c>
      <c r="S142">
        <v>0</v>
      </c>
      <c r="T142" s="15">
        <v>6.5976735671796016E-9</v>
      </c>
      <c r="U142">
        <v>8.4691797004313081</v>
      </c>
      <c r="V142">
        <v>0</v>
      </c>
      <c r="W142">
        <v>0</v>
      </c>
      <c r="X142">
        <v>1.2819640892456812</v>
      </c>
      <c r="Y142">
        <v>1.2819640892456812</v>
      </c>
      <c r="Z142">
        <v>1</v>
      </c>
      <c r="AA142">
        <v>0.45700000000000007</v>
      </c>
      <c r="AB142">
        <v>1.5430000000000001</v>
      </c>
      <c r="AC142">
        <v>0</v>
      </c>
      <c r="AD142" s="15">
        <v>5.9967099994277955E-2</v>
      </c>
      <c r="AE142">
        <v>108.25004285148921</v>
      </c>
      <c r="AF142">
        <v>109.59197403413148</v>
      </c>
      <c r="AG142">
        <v>90.296305076338399</v>
      </c>
      <c r="AH142">
        <v>88.559782067774378</v>
      </c>
      <c r="AI142">
        <v>2.1</v>
      </c>
      <c r="AJ142">
        <v>0</v>
      </c>
      <c r="AK142">
        <v>0</v>
      </c>
      <c r="AL142">
        <v>1</v>
      </c>
      <c r="AM142">
        <v>1</v>
      </c>
      <c r="AN142">
        <v>0</v>
      </c>
      <c r="AO142">
        <v>0</v>
      </c>
      <c r="AP142">
        <v>1</v>
      </c>
      <c r="AQ142">
        <v>0.83699999999999997</v>
      </c>
      <c r="AR142">
        <v>35.189000000000007</v>
      </c>
      <c r="AS142">
        <v>58.496000000000009</v>
      </c>
      <c r="AT142">
        <v>117.44900000000001</v>
      </c>
      <c r="AU142">
        <v>216.61800000000002</v>
      </c>
      <c r="AV142">
        <v>0</v>
      </c>
    </row>
    <row r="143" spans="1:48">
      <c r="A143">
        <v>142</v>
      </c>
      <c r="B143" s="15">
        <v>3.1199999999999846</v>
      </c>
      <c r="C143">
        <v>21.019999999999701</v>
      </c>
      <c r="D143">
        <v>12.319999999999812</v>
      </c>
      <c r="E143">
        <v>2.9839108418444327</v>
      </c>
      <c r="F143">
        <v>0.317</v>
      </c>
      <c r="G143">
        <v>1.3740000000000001</v>
      </c>
      <c r="H143">
        <v>0.49453273197277536</v>
      </c>
      <c r="I143">
        <v>0</v>
      </c>
      <c r="J143" s="15">
        <v>2.5972097560975467</v>
      </c>
      <c r="K143" s="15">
        <v>3.1199999999999846</v>
      </c>
      <c r="L143" s="15">
        <v>2.5972097560975467</v>
      </c>
      <c r="M143" s="15">
        <v>0.52279024390243811</v>
      </c>
      <c r="N143">
        <v>0</v>
      </c>
      <c r="O143" s="15">
        <v>2.597209833500429</v>
      </c>
      <c r="P143">
        <v>2.3909724215677199</v>
      </c>
      <c r="Q143">
        <v>0.88340868328978772</v>
      </c>
      <c r="R143">
        <v>0</v>
      </c>
      <c r="S143">
        <v>0</v>
      </c>
      <c r="T143" s="15">
        <v>1.1570594961902256E-8</v>
      </c>
      <c r="U143">
        <v>10.182980839071355</v>
      </c>
      <c r="V143">
        <v>0</v>
      </c>
      <c r="W143">
        <v>0</v>
      </c>
      <c r="X143">
        <v>0.94584690999505461</v>
      </c>
      <c r="Y143">
        <v>0.94584690999505461</v>
      </c>
      <c r="Z143">
        <v>1</v>
      </c>
      <c r="AA143">
        <v>0.46499999999999997</v>
      </c>
      <c r="AB143">
        <v>1.5350000000000001</v>
      </c>
      <c r="AC143">
        <v>0</v>
      </c>
      <c r="AD143" s="15">
        <v>5.2505482214405111E-2</v>
      </c>
      <c r="AE143">
        <v>109.30769047085029</v>
      </c>
      <c r="AF143">
        <v>110.30604285148918</v>
      </c>
      <c r="AG143">
        <v>88.458973257730733</v>
      </c>
      <c r="AH143">
        <v>88.56467082487805</v>
      </c>
      <c r="AI143">
        <v>2.1</v>
      </c>
      <c r="AJ143">
        <v>0</v>
      </c>
      <c r="AK143">
        <v>0</v>
      </c>
      <c r="AL143">
        <v>1</v>
      </c>
      <c r="AM143">
        <v>1</v>
      </c>
      <c r="AN143">
        <v>0</v>
      </c>
      <c r="AO143">
        <v>0</v>
      </c>
      <c r="AP143">
        <v>1</v>
      </c>
      <c r="AQ143">
        <v>0.81399999999999995</v>
      </c>
      <c r="AR143">
        <v>35.804999999999993</v>
      </c>
      <c r="AS143">
        <v>59.519999999999996</v>
      </c>
      <c r="AT143">
        <v>119.50499999999998</v>
      </c>
      <c r="AU143">
        <v>220.40999999999997</v>
      </c>
      <c r="AV143">
        <v>0</v>
      </c>
    </row>
    <row r="144" spans="1:48">
      <c r="A144">
        <v>143</v>
      </c>
      <c r="B144">
        <v>0</v>
      </c>
      <c r="C144">
        <v>26.03999999999963</v>
      </c>
      <c r="D144">
        <v>14.539999999999806</v>
      </c>
      <c r="E144">
        <v>4.7201666612896442</v>
      </c>
      <c r="F144">
        <v>0.33800000000000002</v>
      </c>
      <c r="G144">
        <v>1.484</v>
      </c>
      <c r="H144">
        <v>0.5665272252504896</v>
      </c>
      <c r="I144">
        <v>0</v>
      </c>
      <c r="J144" s="15">
        <v>0</v>
      </c>
      <c r="K144">
        <v>0</v>
      </c>
      <c r="L144" s="15">
        <v>0</v>
      </c>
      <c r="M144" s="15">
        <v>0</v>
      </c>
      <c r="N144">
        <v>0</v>
      </c>
      <c r="O144" s="15">
        <v>0</v>
      </c>
      <c r="P144">
        <v>3.9707739275774512</v>
      </c>
      <c r="Q144">
        <v>1.4905179623040796</v>
      </c>
      <c r="R144">
        <v>0</v>
      </c>
      <c r="S144">
        <v>0</v>
      </c>
      <c r="T144" s="15">
        <v>2.7652997369106146E-8</v>
      </c>
      <c r="U144">
        <v>8.6924628491142801</v>
      </c>
      <c r="V144">
        <v>0</v>
      </c>
      <c r="W144">
        <v>0</v>
      </c>
      <c r="X144">
        <v>1.5953238039679087</v>
      </c>
      <c r="Y144">
        <v>1.5953238039679087</v>
      </c>
      <c r="Z144">
        <v>1</v>
      </c>
      <c r="AA144">
        <v>0.47299999999999998</v>
      </c>
      <c r="AB144">
        <v>1.5270000000000001</v>
      </c>
      <c r="AC144">
        <v>0</v>
      </c>
      <c r="AD144" s="15">
        <v>4.5421726713132687E-2</v>
      </c>
      <c r="AE144">
        <v>109.72294496782227</v>
      </c>
      <c r="AF144">
        <v>111.3636904708503</v>
      </c>
      <c r="AG144">
        <v>82.67730220077344</v>
      </c>
      <c r="AH144">
        <v>87.199482629367353</v>
      </c>
      <c r="AI144">
        <v>2.1</v>
      </c>
      <c r="AJ144">
        <v>0</v>
      </c>
      <c r="AK144">
        <v>0</v>
      </c>
      <c r="AL144">
        <v>1</v>
      </c>
      <c r="AM144">
        <v>1</v>
      </c>
      <c r="AN144">
        <v>0</v>
      </c>
      <c r="AO144">
        <v>0</v>
      </c>
      <c r="AP144">
        <v>1</v>
      </c>
      <c r="AQ144">
        <v>0.79100000000000004</v>
      </c>
      <c r="AR144">
        <v>36.420999999999999</v>
      </c>
      <c r="AS144">
        <v>60.544000000000004</v>
      </c>
      <c r="AT144">
        <v>121.56100000000001</v>
      </c>
      <c r="AU144">
        <v>224.202</v>
      </c>
      <c r="AV144">
        <v>0</v>
      </c>
    </row>
    <row r="145" spans="1:48">
      <c r="A145">
        <v>144</v>
      </c>
      <c r="B145" s="15">
        <v>25.999999999999595</v>
      </c>
      <c r="C145">
        <v>15.599999999999774</v>
      </c>
      <c r="D145">
        <v>12.979999999999812</v>
      </c>
      <c r="E145">
        <v>1.1382133872978417</v>
      </c>
      <c r="F145">
        <v>0.35899999999999999</v>
      </c>
      <c r="G145">
        <v>1.593</v>
      </c>
      <c r="H145">
        <v>0.47735609124431638</v>
      </c>
      <c r="I145">
        <v>0</v>
      </c>
      <c r="J145" s="15">
        <v>25.106086330934847</v>
      </c>
      <c r="K145" s="15">
        <v>25.999999999999595</v>
      </c>
      <c r="L145" s="15">
        <v>24.934904937039697</v>
      </c>
      <c r="M145" s="15">
        <v>0.89391366906474723</v>
      </c>
      <c r="N145" s="15">
        <v>0.17118139389514941</v>
      </c>
      <c r="O145" s="15">
        <v>24.93490568015778</v>
      </c>
      <c r="P145">
        <v>0.76570414392115138</v>
      </c>
      <c r="Q145">
        <v>0.7605562585636596</v>
      </c>
      <c r="R145">
        <v>0</v>
      </c>
      <c r="S145">
        <v>0</v>
      </c>
      <c r="T145">
        <v>0.49004057317291472</v>
      </c>
      <c r="U145">
        <v>32.376771697535474</v>
      </c>
      <c r="V145">
        <v>0</v>
      </c>
      <c r="W145">
        <v>0</v>
      </c>
      <c r="X145">
        <v>0.40859402724355981</v>
      </c>
      <c r="Y145">
        <v>0.40859402724355981</v>
      </c>
      <c r="Z145">
        <v>1</v>
      </c>
      <c r="AA145">
        <v>0.48099999999999998</v>
      </c>
      <c r="AB145">
        <v>1.5190000000000001</v>
      </c>
      <c r="AC145">
        <v>0</v>
      </c>
      <c r="AD145" s="15">
        <v>4.0730781377609798E-2</v>
      </c>
      <c r="AE145">
        <v>111.81966073237402</v>
      </c>
      <c r="AF145">
        <v>111.77894496782227</v>
      </c>
      <c r="AG145">
        <v>94.641694827279323</v>
      </c>
      <c r="AH145">
        <v>91.775422572351516</v>
      </c>
      <c r="AI145">
        <v>2.1</v>
      </c>
      <c r="AJ145">
        <v>0</v>
      </c>
      <c r="AK145">
        <v>0</v>
      </c>
      <c r="AL145">
        <v>1</v>
      </c>
      <c r="AM145">
        <v>1</v>
      </c>
      <c r="AN145">
        <v>0</v>
      </c>
      <c r="AO145">
        <v>0</v>
      </c>
      <c r="AP145">
        <v>1</v>
      </c>
      <c r="AQ145">
        <v>0.76700000000000002</v>
      </c>
      <c r="AR145">
        <v>37.036999999999999</v>
      </c>
      <c r="AS145">
        <v>61.567999999999998</v>
      </c>
      <c r="AT145">
        <v>123.617</v>
      </c>
      <c r="AU145">
        <v>227.994</v>
      </c>
      <c r="AV145">
        <v>0</v>
      </c>
    </row>
    <row r="146" spans="1:48">
      <c r="A146">
        <v>145</v>
      </c>
      <c r="B146">
        <v>0</v>
      </c>
      <c r="C146">
        <v>23.979999999999656</v>
      </c>
      <c r="D146">
        <v>10.859999999999852</v>
      </c>
      <c r="E146">
        <v>4.9330708922659738</v>
      </c>
      <c r="F146">
        <v>0.379</v>
      </c>
      <c r="G146">
        <v>1.702</v>
      </c>
      <c r="H146">
        <v>0.65302806973296756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4.0225948482368441</v>
      </c>
      <c r="Q146">
        <v>4.0225948482368441</v>
      </c>
      <c r="R146">
        <v>0</v>
      </c>
      <c r="S146">
        <v>0</v>
      </c>
      <c r="T146">
        <v>1.7350769879234536</v>
      </c>
      <c r="U146">
        <v>26.619099861375165</v>
      </c>
      <c r="V146">
        <v>0</v>
      </c>
      <c r="W146">
        <v>0</v>
      </c>
      <c r="X146">
        <v>1.8695173746516931</v>
      </c>
      <c r="Y146">
        <v>1.8695173746516931</v>
      </c>
      <c r="Z146">
        <v>1</v>
      </c>
      <c r="AA146">
        <v>0.49</v>
      </c>
      <c r="AB146">
        <v>1.5100000000000002</v>
      </c>
      <c r="AC146">
        <v>0</v>
      </c>
      <c r="AD146" s="15">
        <v>4.462608633932811E-2</v>
      </c>
      <c r="AE146">
        <v>113.95359425930643</v>
      </c>
      <c r="AF146">
        <v>114.13266073237401</v>
      </c>
      <c r="AG146">
        <v>77.743252296437149</v>
      </c>
      <c r="AH146">
        <v>86.571971016771869</v>
      </c>
      <c r="AI146">
        <v>2.1</v>
      </c>
      <c r="AJ146">
        <v>0</v>
      </c>
      <c r="AK146">
        <v>0</v>
      </c>
      <c r="AL146">
        <v>1</v>
      </c>
      <c r="AM146">
        <v>1</v>
      </c>
      <c r="AN146">
        <v>0</v>
      </c>
      <c r="AO146">
        <v>0</v>
      </c>
      <c r="AP146">
        <v>1</v>
      </c>
      <c r="AQ146">
        <v>0.74399999999999999</v>
      </c>
      <c r="AR146">
        <v>37.729999999999997</v>
      </c>
      <c r="AS146">
        <v>62.72</v>
      </c>
      <c r="AT146">
        <v>125.93</v>
      </c>
      <c r="AU146">
        <v>232.26</v>
      </c>
      <c r="AV146">
        <v>0</v>
      </c>
    </row>
    <row r="147" spans="1:48">
      <c r="A147">
        <v>146</v>
      </c>
      <c r="B147">
        <v>0</v>
      </c>
      <c r="C147">
        <v>23.519999999999655</v>
      </c>
      <c r="D147">
        <v>9.839999999999872</v>
      </c>
      <c r="E147">
        <v>4.7173076759456825</v>
      </c>
      <c r="F147">
        <v>0.4</v>
      </c>
      <c r="G147">
        <v>1.8120000000000001</v>
      </c>
      <c r="H147">
        <v>0.46431551188206899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3.4137879453130622</v>
      </c>
      <c r="Q147">
        <v>3.4137879453130622</v>
      </c>
      <c r="R147">
        <v>0</v>
      </c>
      <c r="S147">
        <v>0</v>
      </c>
      <c r="T147">
        <v>0.22784811913210823</v>
      </c>
      <c r="U147">
        <v>22.977463796929996</v>
      </c>
      <c r="V147">
        <v>0</v>
      </c>
      <c r="W147">
        <v>0</v>
      </c>
      <c r="X147">
        <v>1.8868014354281177</v>
      </c>
      <c r="Y147">
        <v>1.8868014354281177</v>
      </c>
      <c r="Z147">
        <v>1</v>
      </c>
      <c r="AA147">
        <v>0.498</v>
      </c>
      <c r="AB147">
        <v>1.5020000000000002</v>
      </c>
      <c r="AC147">
        <v>0</v>
      </c>
      <c r="AD147" s="15">
        <v>3.9240759109578659E-2</v>
      </c>
      <c r="AE147">
        <v>114.31140018390083</v>
      </c>
      <c r="AF147">
        <v>116.00959425930643</v>
      </c>
      <c r="AG147">
        <v>100.5862368264964</v>
      </c>
      <c r="AH147">
        <v>95.025533717979016</v>
      </c>
      <c r="AI147">
        <v>2.1</v>
      </c>
      <c r="AJ147">
        <v>0</v>
      </c>
      <c r="AK147">
        <v>0</v>
      </c>
      <c r="AL147">
        <v>1</v>
      </c>
      <c r="AM147">
        <v>1</v>
      </c>
      <c r="AN147">
        <v>0</v>
      </c>
      <c r="AO147">
        <v>0</v>
      </c>
      <c r="AP147">
        <v>1</v>
      </c>
      <c r="AQ147">
        <v>0.72099999999999997</v>
      </c>
      <c r="AR147">
        <v>38.345999999999997</v>
      </c>
      <c r="AS147">
        <v>63.744</v>
      </c>
      <c r="AT147">
        <v>127.986</v>
      </c>
      <c r="AU147">
        <v>236.05199999999999</v>
      </c>
      <c r="AV147">
        <v>0</v>
      </c>
    </row>
    <row r="148" spans="1:48">
      <c r="A148">
        <v>147</v>
      </c>
      <c r="B148" s="15">
        <v>0</v>
      </c>
      <c r="C148">
        <v>26.599999999999618</v>
      </c>
      <c r="D148">
        <v>11.399999999999856</v>
      </c>
      <c r="E148">
        <v>4.9216984784628197</v>
      </c>
      <c r="F148">
        <v>0.42099999999999999</v>
      </c>
      <c r="G148">
        <v>1.921</v>
      </c>
      <c r="H148">
        <v>0.48797642503910066</v>
      </c>
      <c r="I148">
        <v>0</v>
      </c>
      <c r="J148" s="15">
        <v>0</v>
      </c>
      <c r="K148" s="15">
        <v>0</v>
      </c>
      <c r="L148" s="15">
        <v>0</v>
      </c>
      <c r="M148" s="15">
        <v>0</v>
      </c>
      <c r="N148">
        <v>0</v>
      </c>
      <c r="O148" s="15">
        <v>0</v>
      </c>
      <c r="P148">
        <v>3.5192978741657441</v>
      </c>
      <c r="Q148">
        <v>3.5192978741657446</v>
      </c>
      <c r="R148">
        <v>0</v>
      </c>
      <c r="S148">
        <v>0</v>
      </c>
      <c r="T148">
        <v>3.5485515148815046E-2</v>
      </c>
      <c r="U148">
        <v>19.422680407615438</v>
      </c>
      <c r="V148">
        <v>0</v>
      </c>
      <c r="W148">
        <v>0</v>
      </c>
      <c r="X148">
        <v>2.0718970478487657</v>
      </c>
      <c r="Y148">
        <v>2.0718970478487657</v>
      </c>
      <c r="Z148">
        <v>1</v>
      </c>
      <c r="AA148">
        <v>0.50600000000000001</v>
      </c>
      <c r="AB148">
        <v>1.4940000000000002</v>
      </c>
      <c r="AC148">
        <v>0</v>
      </c>
      <c r="AD148" s="15">
        <v>3.1790156130327027E-2</v>
      </c>
      <c r="AE148">
        <v>114.29919849507054</v>
      </c>
      <c r="AF148">
        <v>116.36740018390084</v>
      </c>
      <c r="AG148">
        <v>100.2170547793541</v>
      </c>
      <c r="AH148">
        <v>95.404661938252545</v>
      </c>
      <c r="AI148">
        <v>2.1</v>
      </c>
      <c r="AJ148">
        <v>0</v>
      </c>
      <c r="AK148">
        <v>0</v>
      </c>
      <c r="AL148">
        <v>1</v>
      </c>
      <c r="AM148">
        <v>1</v>
      </c>
      <c r="AN148">
        <v>0</v>
      </c>
      <c r="AO148">
        <v>0</v>
      </c>
      <c r="AP148">
        <v>1</v>
      </c>
      <c r="AQ148">
        <v>0.69799999999999995</v>
      </c>
      <c r="AR148">
        <v>38.961999999999996</v>
      </c>
      <c r="AS148">
        <v>64.768000000000001</v>
      </c>
      <c r="AT148">
        <v>130.042</v>
      </c>
      <c r="AU148">
        <v>239.84399999999999</v>
      </c>
      <c r="AV148">
        <v>0</v>
      </c>
    </row>
    <row r="149" spans="1:48">
      <c r="A149">
        <v>148</v>
      </c>
      <c r="B149">
        <v>0</v>
      </c>
      <c r="C149">
        <v>25.879999999999615</v>
      </c>
      <c r="D149">
        <v>12.699999999999836</v>
      </c>
      <c r="E149">
        <v>4.8381016666454437</v>
      </c>
      <c r="F149">
        <v>0.442</v>
      </c>
      <c r="G149">
        <v>2.0299999999999998</v>
      </c>
      <c r="H149">
        <v>0.47635220364798908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3.1944080143119966</v>
      </c>
      <c r="Q149">
        <v>3.1944080143119966</v>
      </c>
      <c r="R149">
        <v>0</v>
      </c>
      <c r="S149">
        <v>0</v>
      </c>
      <c r="T149" s="15">
        <v>3.6717104382578488E-3</v>
      </c>
      <c r="U149">
        <v>16.224600682865187</v>
      </c>
      <c r="V149">
        <v>0</v>
      </c>
      <c r="W149">
        <v>0</v>
      </c>
      <c r="X149">
        <v>2.1382939478855563</v>
      </c>
      <c r="Y149">
        <v>2.1382939478855563</v>
      </c>
      <c r="Z149">
        <v>1</v>
      </c>
      <c r="AA149">
        <v>0.51400000000000001</v>
      </c>
      <c r="AB149">
        <v>1.4860000000000002</v>
      </c>
      <c r="AC149">
        <v>0</v>
      </c>
      <c r="AD149" s="15">
        <v>2.5118451575973786E-2</v>
      </c>
      <c r="AE149">
        <v>114.19545780604724</v>
      </c>
      <c r="AF149">
        <v>116.35519849507055</v>
      </c>
      <c r="AG149">
        <v>103.75339744803975</v>
      </c>
      <c r="AH149">
        <v>97.151476509475899</v>
      </c>
      <c r="AI149">
        <v>2.1</v>
      </c>
      <c r="AJ149">
        <v>0</v>
      </c>
      <c r="AK149">
        <v>0</v>
      </c>
      <c r="AL149">
        <v>1</v>
      </c>
      <c r="AM149">
        <v>1</v>
      </c>
      <c r="AN149">
        <v>0</v>
      </c>
      <c r="AO149">
        <v>0</v>
      </c>
      <c r="AP149">
        <v>1</v>
      </c>
      <c r="AQ149">
        <v>0.67400000000000004</v>
      </c>
      <c r="AR149">
        <v>39.578000000000003</v>
      </c>
      <c r="AS149">
        <v>65.792000000000002</v>
      </c>
      <c r="AT149">
        <v>132.09800000000001</v>
      </c>
      <c r="AU149">
        <v>243.636</v>
      </c>
      <c r="AV149">
        <v>0</v>
      </c>
    </row>
    <row r="150" spans="1:48">
      <c r="A150">
        <v>149</v>
      </c>
      <c r="B150">
        <v>0</v>
      </c>
      <c r="C150">
        <v>26.859999999999602</v>
      </c>
      <c r="D150">
        <v>15.179999999999811</v>
      </c>
      <c r="E150">
        <v>4.9124672123963355</v>
      </c>
      <c r="F150">
        <v>0.46300000000000002</v>
      </c>
      <c r="G150">
        <v>2.14</v>
      </c>
      <c r="H150">
        <v>0.48669192180955662</v>
      </c>
      <c r="I150">
        <v>0</v>
      </c>
      <c r="J150">
        <v>0</v>
      </c>
      <c r="K150">
        <v>0</v>
      </c>
      <c r="L150">
        <v>0</v>
      </c>
      <c r="M150" s="15">
        <v>0</v>
      </c>
      <c r="N150">
        <v>0</v>
      </c>
      <c r="O150">
        <v>0</v>
      </c>
      <c r="P150">
        <v>3.2496989187475798</v>
      </c>
      <c r="Q150">
        <v>2.8322332760787332</v>
      </c>
      <c r="R150">
        <v>0</v>
      </c>
      <c r="S150">
        <v>0</v>
      </c>
      <c r="T150" s="15">
        <v>2.4455825874124943E-4</v>
      </c>
      <c r="U150">
        <v>13.392122848527714</v>
      </c>
      <c r="V150">
        <v>0</v>
      </c>
      <c r="W150">
        <v>0</v>
      </c>
      <c r="X150">
        <v>2.2743111846126349</v>
      </c>
      <c r="Y150">
        <v>2.2743111846126349</v>
      </c>
      <c r="Z150">
        <v>1</v>
      </c>
      <c r="AA150">
        <v>0.52200000000000002</v>
      </c>
      <c r="AB150">
        <v>1.4780000000000002</v>
      </c>
      <c r="AC150">
        <v>0</v>
      </c>
      <c r="AD150" s="15">
        <v>1.9615609477292392E-2</v>
      </c>
      <c r="AE150">
        <v>113.95777557021603</v>
      </c>
      <c r="AF150">
        <v>116.25145780604724</v>
      </c>
      <c r="AG150">
        <v>104.89310337957774</v>
      </c>
      <c r="AH150">
        <v>98.032410577193829</v>
      </c>
      <c r="AI150">
        <v>2.1</v>
      </c>
      <c r="AJ150">
        <v>0</v>
      </c>
      <c r="AK150">
        <v>0</v>
      </c>
      <c r="AL150">
        <v>1</v>
      </c>
      <c r="AM150">
        <v>1</v>
      </c>
      <c r="AN150">
        <v>0</v>
      </c>
      <c r="AO150">
        <v>0</v>
      </c>
      <c r="AP150">
        <v>1</v>
      </c>
      <c r="AQ150">
        <v>0.65100000000000002</v>
      </c>
      <c r="AR150">
        <v>40.194000000000003</v>
      </c>
      <c r="AS150">
        <v>66.816000000000003</v>
      </c>
      <c r="AT150">
        <v>134.154</v>
      </c>
      <c r="AU150">
        <v>247.428</v>
      </c>
      <c r="AV150">
        <v>0</v>
      </c>
    </row>
    <row r="151" spans="1:48">
      <c r="A151">
        <v>150</v>
      </c>
      <c r="B151">
        <v>0</v>
      </c>
      <c r="C151">
        <v>24.799999999999635</v>
      </c>
      <c r="D151">
        <v>14.719999999999803</v>
      </c>
      <c r="E151">
        <v>5.2860931351341014</v>
      </c>
      <c r="F151">
        <v>0.48399999999999999</v>
      </c>
      <c r="G151">
        <v>2.2490000000000001</v>
      </c>
      <c r="H151">
        <v>0.47903959633409293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3.408076125730918</v>
      </c>
      <c r="Q151">
        <v>2.181726834070099</v>
      </c>
      <c r="R151">
        <v>0</v>
      </c>
      <c r="S151">
        <v>0</v>
      </c>
      <c r="T151" s="15">
        <v>9.9789346621095121E-6</v>
      </c>
      <c r="U151">
        <v>11.210386035522951</v>
      </c>
      <c r="V151">
        <v>0</v>
      </c>
      <c r="W151">
        <v>0</v>
      </c>
      <c r="X151">
        <v>2.5582824986070096</v>
      </c>
      <c r="Y151">
        <v>2.5582824986070096</v>
      </c>
      <c r="Z151">
        <v>1</v>
      </c>
      <c r="AA151">
        <v>0.53</v>
      </c>
      <c r="AB151">
        <v>1.4700000000000002</v>
      </c>
      <c r="AC151">
        <v>0</v>
      </c>
      <c r="AD151" s="15">
        <v>1.4952092554173842E-2</v>
      </c>
      <c r="AE151">
        <v>113.4405509579895</v>
      </c>
      <c r="AF151">
        <v>116.01377557021604</v>
      </c>
      <c r="AG151">
        <v>107.99975363905226</v>
      </c>
      <c r="AH151">
        <v>99.631081942414241</v>
      </c>
      <c r="AI151">
        <v>2.1</v>
      </c>
      <c r="AJ151">
        <v>0</v>
      </c>
      <c r="AK151">
        <v>0</v>
      </c>
      <c r="AL151">
        <v>1</v>
      </c>
      <c r="AM151">
        <v>1</v>
      </c>
      <c r="AN151">
        <v>0</v>
      </c>
      <c r="AO151">
        <v>0</v>
      </c>
      <c r="AP151">
        <v>1</v>
      </c>
      <c r="AQ151">
        <v>0.628</v>
      </c>
      <c r="AR151">
        <v>40.81</v>
      </c>
      <c r="AS151">
        <v>67.84</v>
      </c>
      <c r="AT151">
        <v>136.21</v>
      </c>
      <c r="AU151">
        <v>251.22</v>
      </c>
      <c r="AV151">
        <v>0</v>
      </c>
    </row>
    <row r="152" spans="1:48">
      <c r="A152">
        <v>151</v>
      </c>
      <c r="B152">
        <v>0</v>
      </c>
      <c r="C152">
        <v>24.71999999999964</v>
      </c>
      <c r="D152">
        <v>14.539999999999797</v>
      </c>
      <c r="E152">
        <v>4.8158110579667213</v>
      </c>
      <c r="F152">
        <v>0.505</v>
      </c>
      <c r="G152">
        <v>2.3580000000000001</v>
      </c>
      <c r="H152">
        <v>0.46134565589047483</v>
      </c>
      <c r="I152">
        <v>0</v>
      </c>
      <c r="J152">
        <v>0</v>
      </c>
      <c r="K152">
        <v>0</v>
      </c>
      <c r="L152">
        <v>0</v>
      </c>
      <c r="M152" s="15">
        <v>0</v>
      </c>
      <c r="N152">
        <v>0</v>
      </c>
      <c r="O152">
        <v>0</v>
      </c>
      <c r="P152">
        <v>2.9430948927065228</v>
      </c>
      <c r="Q152">
        <v>1.4014505532217216</v>
      </c>
      <c r="R152">
        <v>0</v>
      </c>
      <c r="S152">
        <v>0</v>
      </c>
      <c r="T152" s="15">
        <v>3.0496264135702671E-7</v>
      </c>
      <c r="U152">
        <v>9.80893517733859</v>
      </c>
      <c r="V152">
        <v>0</v>
      </c>
      <c r="W152">
        <v>0</v>
      </c>
      <c r="X152">
        <v>2.4318022503424679</v>
      </c>
      <c r="Y152">
        <v>2.4318022503424679</v>
      </c>
      <c r="Z152">
        <v>1</v>
      </c>
      <c r="AA152">
        <v>0.53800000000000003</v>
      </c>
      <c r="AB152">
        <v>1.4620000000000002</v>
      </c>
      <c r="AC152">
        <v>0</v>
      </c>
      <c r="AD152" s="15">
        <v>1.1255407627806947E-2</v>
      </c>
      <c r="AE152">
        <v>113.0534936049819</v>
      </c>
      <c r="AF152">
        <v>115.49655095798951</v>
      </c>
      <c r="AG152">
        <v>112.19619725099841</v>
      </c>
      <c r="AH152">
        <v>101.64936676283463</v>
      </c>
      <c r="AI152">
        <v>2.1</v>
      </c>
      <c r="AJ152">
        <v>0</v>
      </c>
      <c r="AK152">
        <v>0</v>
      </c>
      <c r="AL152">
        <v>1</v>
      </c>
      <c r="AM152">
        <v>1</v>
      </c>
      <c r="AN152">
        <v>0</v>
      </c>
      <c r="AO152">
        <v>0</v>
      </c>
      <c r="AP152">
        <v>1</v>
      </c>
      <c r="AQ152">
        <v>0.60499999999999998</v>
      </c>
      <c r="AR152">
        <v>41.426000000000002</v>
      </c>
      <c r="AS152">
        <v>68.864000000000004</v>
      </c>
      <c r="AT152">
        <v>138.26599999999999</v>
      </c>
      <c r="AU152">
        <v>255.012</v>
      </c>
      <c r="AV152">
        <v>0</v>
      </c>
    </row>
    <row r="153" spans="1:48">
      <c r="A153">
        <v>152</v>
      </c>
      <c r="B153">
        <v>0</v>
      </c>
      <c r="C153">
        <v>26.219999999999608</v>
      </c>
      <c r="D153">
        <v>14.759999999999787</v>
      </c>
      <c r="E153">
        <v>4.9639396934729039</v>
      </c>
      <c r="F153">
        <v>0.52500000000000002</v>
      </c>
      <c r="G153">
        <v>2.4670000000000001</v>
      </c>
      <c r="H153">
        <v>0.48500411461322457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2.8709817914137656</v>
      </c>
      <c r="Q153">
        <v>1.0435100724733912</v>
      </c>
      <c r="R153">
        <v>0</v>
      </c>
      <c r="S153">
        <v>0</v>
      </c>
      <c r="T153" s="15">
        <v>1.1108653660677676E-8</v>
      </c>
      <c r="U153">
        <v>8.7654250937565479</v>
      </c>
      <c r="V153">
        <v>0</v>
      </c>
      <c r="W153">
        <v>0</v>
      </c>
      <c r="X153">
        <v>2.6058677224774351</v>
      </c>
      <c r="Y153">
        <v>2.6058677224774351</v>
      </c>
      <c r="Z153">
        <v>1</v>
      </c>
      <c r="AA153">
        <v>0.54700000000000004</v>
      </c>
      <c r="AB153">
        <v>1.4530000000000001</v>
      </c>
      <c r="AC153">
        <v>0</v>
      </c>
      <c r="AD153" s="15">
        <v>8.525654603258926E-3</v>
      </c>
      <c r="AE153">
        <v>112.75210023900986</v>
      </c>
      <c r="AF153">
        <v>115.3664936049819</v>
      </c>
      <c r="AG153">
        <v>112.21063720783455</v>
      </c>
      <c r="AH153">
        <v>102.13030140821022</v>
      </c>
      <c r="AI153">
        <v>2.1</v>
      </c>
      <c r="AJ153">
        <v>0</v>
      </c>
      <c r="AK153">
        <v>0</v>
      </c>
      <c r="AL153">
        <v>1</v>
      </c>
      <c r="AM153">
        <v>1</v>
      </c>
      <c r="AN153">
        <v>0</v>
      </c>
      <c r="AO153">
        <v>0</v>
      </c>
      <c r="AP153">
        <v>1</v>
      </c>
      <c r="AQ153">
        <v>0.58099999999999996</v>
      </c>
      <c r="AR153">
        <v>42.119</v>
      </c>
      <c r="AS153">
        <v>70.016000000000005</v>
      </c>
      <c r="AT153">
        <v>140.57900000000001</v>
      </c>
      <c r="AU153">
        <v>259.27799999999996</v>
      </c>
      <c r="AV153">
        <v>0</v>
      </c>
    </row>
    <row r="154" spans="1:48">
      <c r="A154">
        <v>153</v>
      </c>
      <c r="B154">
        <v>0</v>
      </c>
      <c r="C154">
        <v>25.879999999999622</v>
      </c>
      <c r="D154">
        <v>16.219999999999803</v>
      </c>
      <c r="E154">
        <v>4.5952464567101607</v>
      </c>
      <c r="F154">
        <v>0.54600000000000004</v>
      </c>
      <c r="G154">
        <v>2.577</v>
      </c>
      <c r="H154">
        <v>0.48092601987068861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2.5776844829093708</v>
      </c>
      <c r="Q154">
        <v>0.72720847122099819</v>
      </c>
      <c r="R154">
        <v>0</v>
      </c>
      <c r="S154">
        <v>0</v>
      </c>
      <c r="T154" s="15">
        <v>3.1139728831516922E-10</v>
      </c>
      <c r="U154">
        <v>8.0382166222241498</v>
      </c>
      <c r="V154">
        <v>0</v>
      </c>
      <c r="W154">
        <v>0</v>
      </c>
      <c r="X154">
        <v>2.5088065013385132</v>
      </c>
      <c r="Y154">
        <v>2.5088065013385132</v>
      </c>
      <c r="Z154">
        <v>1</v>
      </c>
      <c r="AA154">
        <v>0.55500000000000005</v>
      </c>
      <c r="AB154">
        <v>1.4450000000000001</v>
      </c>
      <c r="AC154">
        <v>0</v>
      </c>
      <c r="AD154" s="15">
        <v>6.3739268615622211E-3</v>
      </c>
      <c r="AE154">
        <v>112.29291981112118</v>
      </c>
      <c r="AF154">
        <v>114.80810023900987</v>
      </c>
      <c r="AG154">
        <v>114.99660966629011</v>
      </c>
      <c r="AH154">
        <v>103.59171687849368</v>
      </c>
      <c r="AI154">
        <v>2.1</v>
      </c>
      <c r="AJ154">
        <v>0</v>
      </c>
      <c r="AK154">
        <v>0</v>
      </c>
      <c r="AL154">
        <v>1</v>
      </c>
      <c r="AM154">
        <v>1</v>
      </c>
      <c r="AN154">
        <v>0</v>
      </c>
      <c r="AO154">
        <v>0</v>
      </c>
      <c r="AP154">
        <v>1</v>
      </c>
      <c r="AQ154">
        <v>0.55800000000000005</v>
      </c>
      <c r="AR154">
        <v>42.734999999999999</v>
      </c>
      <c r="AS154">
        <v>71.040000000000006</v>
      </c>
      <c r="AT154">
        <v>142.63499999999999</v>
      </c>
      <c r="AU154">
        <v>263.07</v>
      </c>
      <c r="AV154">
        <v>0</v>
      </c>
    </row>
    <row r="155" spans="1:48">
      <c r="A155">
        <v>154</v>
      </c>
      <c r="B155">
        <v>0</v>
      </c>
      <c r="C155">
        <v>29.119999999999575</v>
      </c>
      <c r="D155">
        <v>16.619999999999777</v>
      </c>
      <c r="E155">
        <v>5.46151456792325</v>
      </c>
      <c r="F155">
        <v>0.56699999999999995</v>
      </c>
      <c r="G155">
        <v>2.6859999999999999</v>
      </c>
      <c r="H155">
        <v>0.49654036070741359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3.017217824778947</v>
      </c>
      <c r="Q155">
        <v>0.65697154261628943</v>
      </c>
      <c r="R155">
        <v>0</v>
      </c>
      <c r="S155">
        <v>0</v>
      </c>
      <c r="T155" s="15">
        <v>6.8319011626744655E-12</v>
      </c>
      <c r="U155">
        <v>7.3812450796010269</v>
      </c>
      <c r="V155">
        <v>0</v>
      </c>
      <c r="W155">
        <v>0</v>
      </c>
      <c r="X155">
        <v>3.0964283965157815</v>
      </c>
      <c r="Y155">
        <v>3.0964283965157815</v>
      </c>
      <c r="Z155">
        <v>1</v>
      </c>
      <c r="AA155">
        <v>0.56300000000000006</v>
      </c>
      <c r="AB155">
        <v>1.4370000000000001</v>
      </c>
      <c r="AC155">
        <v>0</v>
      </c>
      <c r="AD155">
        <v>4.6370731817616277E-3</v>
      </c>
      <c r="AE155">
        <v>111.24785434143047</v>
      </c>
      <c r="AF155">
        <v>114.34891981112121</v>
      </c>
      <c r="AG155">
        <v>115.72747302731675</v>
      </c>
      <c r="AH155">
        <v>104.21817733899462</v>
      </c>
      <c r="AI155">
        <v>2.1</v>
      </c>
      <c r="AJ155">
        <v>0</v>
      </c>
      <c r="AK155">
        <v>0</v>
      </c>
      <c r="AL155">
        <v>1</v>
      </c>
      <c r="AM155">
        <v>1</v>
      </c>
      <c r="AN155">
        <v>0</v>
      </c>
      <c r="AO155">
        <v>0</v>
      </c>
      <c r="AP155">
        <v>1</v>
      </c>
      <c r="AQ155">
        <v>0.53500000000000003</v>
      </c>
      <c r="AR155">
        <v>43.350999999999999</v>
      </c>
      <c r="AS155">
        <v>72.064000000000007</v>
      </c>
      <c r="AT155">
        <v>144.691</v>
      </c>
      <c r="AU155">
        <v>266.86199999999997</v>
      </c>
      <c r="AV155">
        <v>0</v>
      </c>
    </row>
    <row r="156" spans="1:48">
      <c r="A156">
        <v>155</v>
      </c>
      <c r="B156">
        <v>0</v>
      </c>
      <c r="C156">
        <v>30.939999999999554</v>
      </c>
      <c r="D156">
        <v>14.999999999999805</v>
      </c>
      <c r="E156">
        <v>5.441882670489294</v>
      </c>
      <c r="F156">
        <v>0.58799999999999997</v>
      </c>
      <c r="G156">
        <v>2.7949999999999999</v>
      </c>
      <c r="H156">
        <v>0.45545415214388818</v>
      </c>
      <c r="I156">
        <v>54</v>
      </c>
      <c r="J156">
        <v>0</v>
      </c>
      <c r="K156">
        <v>54</v>
      </c>
      <c r="L156">
        <v>0</v>
      </c>
      <c r="M156">
        <v>0</v>
      </c>
      <c r="N156">
        <v>0</v>
      </c>
      <c r="O156">
        <v>0</v>
      </c>
      <c r="P156">
        <v>2.8921213765893992</v>
      </c>
      <c r="Q156">
        <v>2.0065303452697423</v>
      </c>
      <c r="R156">
        <v>0</v>
      </c>
      <c r="S156">
        <v>0</v>
      </c>
      <c r="T156" s="15">
        <v>31.926413174131437</v>
      </c>
      <c r="U156">
        <v>27.448301560199845</v>
      </c>
      <c r="V156">
        <v>0</v>
      </c>
      <c r="W156">
        <v>0</v>
      </c>
      <c r="X156">
        <v>3.1995623927365684</v>
      </c>
      <c r="Y156">
        <v>3.1637060404905721</v>
      </c>
      <c r="Z156">
        <v>1</v>
      </c>
      <c r="AA156">
        <v>0.57100000000000006</v>
      </c>
      <c r="AB156">
        <v>1.429</v>
      </c>
      <c r="AC156">
        <v>0</v>
      </c>
      <c r="AD156">
        <v>0.3475263521266132</v>
      </c>
      <c r="AE156">
        <v>141.71903512294475</v>
      </c>
      <c r="AF156">
        <v>113.30385434143048</v>
      </c>
      <c r="AG156">
        <v>122.4311321117471</v>
      </c>
      <c r="AH156">
        <v>107.2739901451102</v>
      </c>
      <c r="AI156">
        <v>2.1</v>
      </c>
      <c r="AJ156">
        <v>0</v>
      </c>
      <c r="AK156">
        <v>0</v>
      </c>
      <c r="AL156">
        <v>9</v>
      </c>
      <c r="AM156">
        <v>9</v>
      </c>
      <c r="AN156">
        <v>6</v>
      </c>
      <c r="AO156">
        <v>0</v>
      </c>
      <c r="AP156">
        <v>1</v>
      </c>
      <c r="AQ156">
        <v>0.51200000000000001</v>
      </c>
      <c r="AR156">
        <v>43.967000000000006</v>
      </c>
      <c r="AS156">
        <v>73.088000000000022</v>
      </c>
      <c r="AT156">
        <v>146.74700000000004</v>
      </c>
      <c r="AU156">
        <v>270.65400000000005</v>
      </c>
      <c r="AV156">
        <v>0</v>
      </c>
    </row>
    <row r="157" spans="1:48">
      <c r="A157">
        <v>156</v>
      </c>
      <c r="B157" s="15">
        <v>7.1199999999999752</v>
      </c>
      <c r="C157">
        <v>28.039999999999594</v>
      </c>
      <c r="D157">
        <v>17.259999999999756</v>
      </c>
      <c r="E157">
        <v>3.6096516292209695</v>
      </c>
      <c r="F157">
        <v>0.60899999999999999</v>
      </c>
      <c r="G157">
        <v>2.9049999999999998</v>
      </c>
      <c r="H157">
        <v>0.45633265020300262</v>
      </c>
      <c r="I157">
        <v>0</v>
      </c>
      <c r="J157" s="15">
        <v>5.7287264573990795</v>
      </c>
      <c r="K157" s="15">
        <v>7.1199999999999752</v>
      </c>
      <c r="L157" s="15">
        <v>5.5437562984496029</v>
      </c>
      <c r="M157" s="15">
        <v>1.3912735426008958</v>
      </c>
      <c r="N157">
        <v>0.18497015894947624</v>
      </c>
      <c r="O157" s="15">
        <v>5.5437564636664138</v>
      </c>
      <c r="P157" s="15">
        <v>1.6779080654755787</v>
      </c>
      <c r="Q157" s="15">
        <v>1.6779080654755787</v>
      </c>
      <c r="R157">
        <v>0</v>
      </c>
      <c r="S157">
        <v>0</v>
      </c>
      <c r="T157" s="15">
        <v>4.0399010541061013</v>
      </c>
      <c r="U157">
        <v>27.274248904284562</v>
      </c>
      <c r="V157">
        <v>0</v>
      </c>
      <c r="W157">
        <v>0</v>
      </c>
      <c r="X157">
        <v>2.1980921313168524</v>
      </c>
      <c r="Y157">
        <v>2.1980921313168524</v>
      </c>
      <c r="Z157">
        <v>1</v>
      </c>
      <c r="AA157">
        <v>0.57900000000000007</v>
      </c>
      <c r="AB157">
        <v>1.421</v>
      </c>
      <c r="AC157">
        <v>0</v>
      </c>
      <c r="AD157">
        <v>0.78284940973631922</v>
      </c>
      <c r="AE157">
        <v>144.83399463599764</v>
      </c>
      <c r="AF157">
        <v>143.77503512294473</v>
      </c>
      <c r="AG157">
        <v>124.7805247577821</v>
      </c>
      <c r="AH157">
        <v>108.54063331556488</v>
      </c>
      <c r="AI157">
        <v>2.1</v>
      </c>
      <c r="AJ157">
        <v>0</v>
      </c>
      <c r="AK157">
        <v>0</v>
      </c>
      <c r="AL157">
        <v>6.926545765453743</v>
      </c>
      <c r="AM157">
        <v>6.926545765453743</v>
      </c>
      <c r="AN157">
        <v>0</v>
      </c>
      <c r="AO157">
        <v>0</v>
      </c>
      <c r="AP157">
        <v>1</v>
      </c>
      <c r="AQ157">
        <v>0.48799999999999999</v>
      </c>
      <c r="AR157">
        <v>44.583000000000006</v>
      </c>
      <c r="AS157">
        <v>74.112000000000023</v>
      </c>
      <c r="AT157">
        <v>148.80300000000003</v>
      </c>
      <c r="AU157">
        <v>274.44600000000003</v>
      </c>
      <c r="AV157">
        <v>0</v>
      </c>
    </row>
    <row r="158" spans="1:48">
      <c r="A158">
        <v>157</v>
      </c>
      <c r="B158">
        <v>26.319999999999805</v>
      </c>
      <c r="C158">
        <v>29.379999999999576</v>
      </c>
      <c r="D158">
        <v>14.919999999999774</v>
      </c>
      <c r="E158">
        <v>5.4244336293991635</v>
      </c>
      <c r="F158">
        <v>0.63</v>
      </c>
      <c r="G158">
        <v>3.0139999999999998</v>
      </c>
      <c r="H158">
        <v>0.54495999112336857</v>
      </c>
      <c r="I158">
        <v>0</v>
      </c>
      <c r="J158">
        <v>24.627863653815879</v>
      </c>
      <c r="K158">
        <v>26.319999999999805</v>
      </c>
      <c r="L158">
        <v>14.629496727841911</v>
      </c>
      <c r="M158">
        <v>1.6921363461839272</v>
      </c>
      <c r="N158">
        <v>9.9983669259739685</v>
      </c>
      <c r="O158">
        <v>14.629497163834886</v>
      </c>
      <c r="P158">
        <v>2.4618154928623897</v>
      </c>
      <c r="Q158">
        <v>2.4618154928623897</v>
      </c>
      <c r="R158">
        <v>0</v>
      </c>
      <c r="S158">
        <v>0</v>
      </c>
      <c r="T158" s="15">
        <v>8.6966804215452349</v>
      </c>
      <c r="U158">
        <v>30.745250153711837</v>
      </c>
      <c r="V158">
        <v>0</v>
      </c>
      <c r="W158">
        <v>0</v>
      </c>
      <c r="X158">
        <v>3.4170986380277339</v>
      </c>
      <c r="Y158">
        <v>3.4170986380277339</v>
      </c>
      <c r="Z158">
        <v>1</v>
      </c>
      <c r="AA158">
        <v>0.58700000000000008</v>
      </c>
      <c r="AB158">
        <v>1.413</v>
      </c>
      <c r="AC158">
        <v>0</v>
      </c>
      <c r="AD158">
        <v>0.74827567002137985</v>
      </c>
      <c r="AE158">
        <v>151.42130074949372</v>
      </c>
      <c r="AF158">
        <v>146.88999463599762</v>
      </c>
      <c r="AG158">
        <v>118.0846359901725</v>
      </c>
      <c r="AH158">
        <v>105.93124935200537</v>
      </c>
      <c r="AI158">
        <v>2.1</v>
      </c>
      <c r="AJ158">
        <v>0</v>
      </c>
      <c r="AK158">
        <v>0</v>
      </c>
      <c r="AL158">
        <v>5.3904930887522111</v>
      </c>
      <c r="AM158">
        <v>5.3904930887522111</v>
      </c>
      <c r="AN158">
        <v>0</v>
      </c>
      <c r="AO158">
        <v>0</v>
      </c>
      <c r="AP158">
        <v>1</v>
      </c>
      <c r="AQ158">
        <v>0.46500000000000002</v>
      </c>
      <c r="AR158">
        <v>45.199000000000005</v>
      </c>
      <c r="AS158">
        <v>75.13600000000001</v>
      </c>
      <c r="AT158">
        <v>150.85900000000004</v>
      </c>
      <c r="AU158">
        <v>278.23800000000006</v>
      </c>
      <c r="AV158">
        <v>0</v>
      </c>
    </row>
    <row r="159" spans="1:48">
      <c r="A159">
        <v>158</v>
      </c>
      <c r="B159" s="15">
        <v>1.6399999999999921</v>
      </c>
      <c r="C159">
        <v>26.159999999999609</v>
      </c>
      <c r="D159">
        <v>17.23999999999976</v>
      </c>
      <c r="E159">
        <v>3.3381307322584735</v>
      </c>
      <c r="F159">
        <v>0.65100000000000002</v>
      </c>
      <c r="G159">
        <v>3.1230000000000002</v>
      </c>
      <c r="H159">
        <v>0.46484343555020552</v>
      </c>
      <c r="I159">
        <v>0</v>
      </c>
      <c r="J159" s="15">
        <v>0.76543912573281925</v>
      </c>
      <c r="K159" s="15">
        <v>1.6399999999999921</v>
      </c>
      <c r="L159" s="15">
        <v>0.76543912573281925</v>
      </c>
      <c r="M159" s="15">
        <v>0.87456087426717288</v>
      </c>
      <c r="N159">
        <v>0</v>
      </c>
      <c r="O159" s="15">
        <v>0.76543914854468287</v>
      </c>
      <c r="P159" s="15">
        <v>1.1893526695187122</v>
      </c>
      <c r="Q159" s="15">
        <v>1.1893526695187122</v>
      </c>
      <c r="R159">
        <v>0</v>
      </c>
      <c r="S159">
        <v>0</v>
      </c>
      <c r="T159" s="15">
        <v>3.8868234679929028</v>
      </c>
      <c r="U159">
        <v>26.43451316474491</v>
      </c>
      <c r="V159">
        <v>0</v>
      </c>
      <c r="W159">
        <v>0</v>
      </c>
      <c r="X159">
        <v>2.1729322547150791</v>
      </c>
      <c r="Y159">
        <v>2.1729322547150791</v>
      </c>
      <c r="Z159">
        <v>1</v>
      </c>
      <c r="AA159">
        <v>0.59499999999999997</v>
      </c>
      <c r="AB159">
        <v>1.4050000000000002</v>
      </c>
      <c r="AC159">
        <v>0</v>
      </c>
      <c r="AD159">
        <v>0.83736049490151854</v>
      </c>
      <c r="AE159">
        <v>154.35383146786998</v>
      </c>
      <c r="AF159">
        <v>153.47730074949368</v>
      </c>
      <c r="AG159">
        <v>128.7807907203418</v>
      </c>
      <c r="AH159">
        <v>110.76945740820568</v>
      </c>
      <c r="AI159">
        <v>2.1</v>
      </c>
      <c r="AJ159">
        <v>0</v>
      </c>
      <c r="AK159">
        <v>0</v>
      </c>
      <c r="AL159">
        <v>4.2525572779247938</v>
      </c>
      <c r="AM159">
        <v>4.2525572779247938</v>
      </c>
      <c r="AN159">
        <v>0</v>
      </c>
      <c r="AO159">
        <v>0</v>
      </c>
      <c r="AP159">
        <v>1</v>
      </c>
      <c r="AQ159">
        <v>0.442</v>
      </c>
      <c r="AR159">
        <v>45.814999999999998</v>
      </c>
      <c r="AS159">
        <v>76.16</v>
      </c>
      <c r="AT159">
        <v>152.91499999999999</v>
      </c>
      <c r="AU159">
        <v>282.02999999999997</v>
      </c>
      <c r="AV159">
        <v>0</v>
      </c>
    </row>
    <row r="160" spans="1:48">
      <c r="A160">
        <v>159</v>
      </c>
      <c r="B160">
        <v>0.47999999999999826</v>
      </c>
      <c r="C160">
        <v>27.759999999999593</v>
      </c>
      <c r="D160">
        <v>17.699999999999754</v>
      </c>
      <c r="E160">
        <v>3.9058429670606456</v>
      </c>
      <c r="F160">
        <v>0.67100000000000004</v>
      </c>
      <c r="G160">
        <v>3.2330000000000001</v>
      </c>
      <c r="H160">
        <v>0.56550860156641691</v>
      </c>
      <c r="I160">
        <v>0</v>
      </c>
      <c r="J160">
        <v>9.5214480535580848E-2</v>
      </c>
      <c r="K160">
        <v>0.47999999999999826</v>
      </c>
      <c r="L160">
        <v>9.5214480535580848E-2</v>
      </c>
      <c r="M160">
        <v>0.38478551946441741</v>
      </c>
      <c r="N160">
        <v>0</v>
      </c>
      <c r="O160">
        <v>9.521448337319352E-2</v>
      </c>
      <c r="P160" s="15">
        <v>1.3609241242165129</v>
      </c>
      <c r="Q160" s="15">
        <v>1.3609241242165129</v>
      </c>
      <c r="R160">
        <v>0</v>
      </c>
      <c r="S160">
        <v>0</v>
      </c>
      <c r="T160">
        <v>0.85171711221070967</v>
      </c>
      <c r="U160">
        <v>24.317086411690884</v>
      </c>
      <c r="V160">
        <v>0</v>
      </c>
      <c r="W160">
        <v>0</v>
      </c>
      <c r="X160">
        <v>2.6205864008689268</v>
      </c>
      <c r="Y160">
        <v>2.6205864008689268</v>
      </c>
      <c r="Z160">
        <v>1</v>
      </c>
      <c r="AA160">
        <v>0.60299999999999998</v>
      </c>
      <c r="AB160">
        <v>1.3970000000000002</v>
      </c>
      <c r="AC160">
        <v>0</v>
      </c>
      <c r="AD160">
        <v>0.60133838811740059</v>
      </c>
      <c r="AE160">
        <v>154.0396237910943</v>
      </c>
      <c r="AF160">
        <v>156.40983146786996</v>
      </c>
      <c r="AG160">
        <v>121.07373353981201</v>
      </c>
      <c r="AH160">
        <v>107.52018701510814</v>
      </c>
      <c r="AI160">
        <v>2.1</v>
      </c>
      <c r="AJ160">
        <v>0</v>
      </c>
      <c r="AK160">
        <v>0</v>
      </c>
      <c r="AL160">
        <v>3.4095536952976171</v>
      </c>
      <c r="AM160">
        <v>3.4095536952976171</v>
      </c>
      <c r="AN160">
        <v>0</v>
      </c>
      <c r="AO160">
        <v>0</v>
      </c>
      <c r="AP160">
        <v>1</v>
      </c>
      <c r="AQ160">
        <v>0.41899999999999998</v>
      </c>
      <c r="AR160">
        <v>46.430999999999997</v>
      </c>
      <c r="AS160">
        <v>77.183999999999997</v>
      </c>
      <c r="AT160">
        <v>154.971</v>
      </c>
      <c r="AU160">
        <v>285.822</v>
      </c>
      <c r="AV160">
        <v>0</v>
      </c>
    </row>
    <row r="161" spans="1:48">
      <c r="A161">
        <v>160</v>
      </c>
      <c r="B161">
        <v>0</v>
      </c>
      <c r="C161">
        <v>30.699999999999562</v>
      </c>
      <c r="D161">
        <v>15.539999999999791</v>
      </c>
      <c r="E161">
        <v>5.3551634926798029</v>
      </c>
      <c r="F161">
        <v>0.69199999999999995</v>
      </c>
      <c r="G161">
        <v>3.3420000000000001</v>
      </c>
      <c r="H161">
        <v>0.54073957808598183</v>
      </c>
      <c r="I161">
        <v>0</v>
      </c>
      <c r="J161" s="15">
        <v>0</v>
      </c>
      <c r="K161">
        <v>0</v>
      </c>
      <c r="L161" s="15">
        <v>0</v>
      </c>
      <c r="M161">
        <v>0</v>
      </c>
      <c r="N161">
        <v>0</v>
      </c>
      <c r="O161" s="15">
        <v>0</v>
      </c>
      <c r="P161" s="15">
        <v>2.0821935086381376</v>
      </c>
      <c r="Q161" s="15">
        <v>2.0821935086381376</v>
      </c>
      <c r="R161">
        <v>0</v>
      </c>
      <c r="S161">
        <v>0</v>
      </c>
      <c r="T161">
        <v>0.24028567500883405</v>
      </c>
      <c r="U161">
        <v>21.994607228043911</v>
      </c>
      <c r="V161">
        <v>0</v>
      </c>
      <c r="W161">
        <v>0</v>
      </c>
      <c r="X161">
        <v>3.7054365335211816</v>
      </c>
      <c r="Y161">
        <v>3.7054365335211816</v>
      </c>
      <c r="Z161">
        <v>1</v>
      </c>
      <c r="AA161">
        <v>0.61199999999999999</v>
      </c>
      <c r="AB161">
        <v>1.3880000000000001</v>
      </c>
      <c r="AC161">
        <v>0</v>
      </c>
      <c r="AD161">
        <v>0.37392745042414333</v>
      </c>
      <c r="AE161">
        <v>152.51354548215775</v>
      </c>
      <c r="AF161">
        <v>156.35262379109429</v>
      </c>
      <c r="AG161">
        <v>126.37752855039606</v>
      </c>
      <c r="AH161">
        <v>110.05818655269226</v>
      </c>
      <c r="AI161">
        <v>2.1</v>
      </c>
      <c r="AJ161">
        <v>0</v>
      </c>
      <c r="AK161">
        <v>0</v>
      </c>
      <c r="AL161">
        <v>2.7850412811874383</v>
      </c>
      <c r="AM161">
        <v>2.7850412811874383</v>
      </c>
      <c r="AN161">
        <v>0</v>
      </c>
      <c r="AO161">
        <v>0</v>
      </c>
      <c r="AP161">
        <v>1</v>
      </c>
      <c r="AQ161">
        <v>0.39500000000000002</v>
      </c>
      <c r="AR161">
        <v>47.124000000000002</v>
      </c>
      <c r="AS161">
        <v>78.335999999999999</v>
      </c>
      <c r="AT161">
        <v>157.28399999999999</v>
      </c>
      <c r="AU161">
        <v>290.08799999999997</v>
      </c>
      <c r="AV161">
        <v>0</v>
      </c>
    </row>
    <row r="162" spans="1:48">
      <c r="A162">
        <v>161</v>
      </c>
      <c r="B162">
        <v>0</v>
      </c>
      <c r="C162">
        <v>29.51999999999957</v>
      </c>
      <c r="D162">
        <v>15.47999999999978</v>
      </c>
      <c r="E162">
        <v>5.3829359290846588</v>
      </c>
      <c r="F162">
        <v>0.71299999999999997</v>
      </c>
      <c r="G162">
        <v>3.4510000000000001</v>
      </c>
      <c r="H162">
        <v>0.46849479901782337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 s="15">
        <v>1.8405126484285488</v>
      </c>
      <c r="Q162" s="15">
        <v>1.8405126484285488</v>
      </c>
      <c r="R162">
        <v>0</v>
      </c>
      <c r="S162">
        <v>0</v>
      </c>
      <c r="T162">
        <v>5.8976930770709063E-2</v>
      </c>
      <c r="U162">
        <v>20.095117648844667</v>
      </c>
      <c r="V162">
        <v>0</v>
      </c>
      <c r="W162">
        <v>0</v>
      </c>
      <c r="X162">
        <v>3.8376794639759688</v>
      </c>
      <c r="Y162">
        <v>3.8376794639759688</v>
      </c>
      <c r="Z162">
        <v>1</v>
      </c>
      <c r="AA162">
        <v>0.62</v>
      </c>
      <c r="AB162">
        <v>1.3800000000000001</v>
      </c>
      <c r="AC162">
        <v>0</v>
      </c>
      <c r="AD162" s="15">
        <v>0.22025934011475215</v>
      </c>
      <c r="AE162">
        <v>150.57058360883775</v>
      </c>
      <c r="AF162">
        <v>154.56954548215776</v>
      </c>
      <c r="AG162">
        <v>136.14387761542886</v>
      </c>
      <c r="AH162">
        <v>114.66337575346496</v>
      </c>
      <c r="AI162">
        <v>2.1</v>
      </c>
      <c r="AJ162">
        <v>0</v>
      </c>
      <c r="AK162">
        <v>0</v>
      </c>
      <c r="AL162">
        <v>2.3223911057726925</v>
      </c>
      <c r="AM162">
        <v>2.3223911057726925</v>
      </c>
      <c r="AN162">
        <v>0</v>
      </c>
      <c r="AO162">
        <v>0</v>
      </c>
      <c r="AP162">
        <v>1</v>
      </c>
      <c r="AQ162">
        <v>0.372</v>
      </c>
      <c r="AR162">
        <v>47.74</v>
      </c>
      <c r="AS162">
        <v>79.36</v>
      </c>
      <c r="AT162">
        <v>159.34</v>
      </c>
      <c r="AU162">
        <v>293.88</v>
      </c>
      <c r="AV162">
        <v>0</v>
      </c>
    </row>
    <row r="163" spans="1:48">
      <c r="A163">
        <v>162</v>
      </c>
      <c r="B163">
        <v>3.8799999999999502</v>
      </c>
      <c r="C163">
        <v>30.199999999999555</v>
      </c>
      <c r="D163">
        <v>17.999999999999744</v>
      </c>
      <c r="E163">
        <v>5.2620400406584444</v>
      </c>
      <c r="F163">
        <v>0.73399999999999999</v>
      </c>
      <c r="G163">
        <v>3.56</v>
      </c>
      <c r="H163">
        <v>0.47287231611017028</v>
      </c>
      <c r="I163">
        <v>0</v>
      </c>
      <c r="J163">
        <v>2.5023936170212329</v>
      </c>
      <c r="K163">
        <v>3.8799999999999502</v>
      </c>
      <c r="L163">
        <v>2.5023936170212329</v>
      </c>
      <c r="M163">
        <v>1.3776063829787171</v>
      </c>
      <c r="N163">
        <v>0</v>
      </c>
      <c r="O163">
        <v>2.5023936915983747</v>
      </c>
      <c r="P163" s="15">
        <v>1.7256608491915069</v>
      </c>
      <c r="Q163" s="15">
        <v>1.7256608491915069</v>
      </c>
      <c r="R163">
        <v>0</v>
      </c>
      <c r="S163">
        <v>0</v>
      </c>
      <c r="T163">
        <v>3.1128014341590363E-2</v>
      </c>
      <c r="U163">
        <v>20.840722476909939</v>
      </c>
      <c r="V163">
        <v>0</v>
      </c>
      <c r="W163">
        <v>0</v>
      </c>
      <c r="X163">
        <v>3.8619764126941969</v>
      </c>
      <c r="Y163">
        <v>3.8619764126941969</v>
      </c>
      <c r="Z163">
        <v>1</v>
      </c>
      <c r="AA163">
        <v>0.628</v>
      </c>
      <c r="AB163">
        <v>1.3720000000000001</v>
      </c>
      <c r="AC163">
        <v>0</v>
      </c>
      <c r="AD163" s="15">
        <v>0.13135987430303797</v>
      </c>
      <c r="AE163">
        <v>148.66437533618205</v>
      </c>
      <c r="AF163">
        <v>152.62658360883773</v>
      </c>
      <c r="AG163">
        <v>138.2604171047652</v>
      </c>
      <c r="AH163">
        <v>115.75673837214738</v>
      </c>
      <c r="AI163">
        <v>2.1</v>
      </c>
      <c r="AJ163">
        <v>0</v>
      </c>
      <c r="AK163">
        <v>0</v>
      </c>
      <c r="AL163">
        <v>1.9796514260238554</v>
      </c>
      <c r="AM163">
        <v>1.9796514260238554</v>
      </c>
      <c r="AN163">
        <v>0</v>
      </c>
      <c r="AO163">
        <v>0</v>
      </c>
      <c r="AP163">
        <v>1</v>
      </c>
      <c r="AQ163">
        <v>0.34899999999999998</v>
      </c>
      <c r="AR163">
        <v>48.356000000000002</v>
      </c>
      <c r="AS163">
        <v>80.384</v>
      </c>
      <c r="AT163">
        <v>161.39600000000002</v>
      </c>
      <c r="AU163">
        <v>297.67199999999997</v>
      </c>
      <c r="AV163">
        <v>0</v>
      </c>
    </row>
    <row r="164" spans="1:48">
      <c r="A164">
        <v>163</v>
      </c>
      <c r="B164">
        <v>0</v>
      </c>
      <c r="C164">
        <v>31.57999999999954</v>
      </c>
      <c r="D164">
        <v>16.319999999999776</v>
      </c>
      <c r="E164">
        <v>5.6788791911606724</v>
      </c>
      <c r="F164">
        <v>0.755</v>
      </c>
      <c r="G164">
        <v>3.67</v>
      </c>
      <c r="H164">
        <v>0.47649451004996052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 s="15">
        <v>1.7908603928258056</v>
      </c>
      <c r="Q164" s="15">
        <v>1.7908603928258053</v>
      </c>
      <c r="R164">
        <v>0</v>
      </c>
      <c r="S164">
        <v>0</v>
      </c>
      <c r="T164">
        <v>2.1457857722149927E-2</v>
      </c>
      <c r="U164">
        <v>19.028404226361982</v>
      </c>
      <c r="V164">
        <v>0</v>
      </c>
      <c r="W164">
        <v>0</v>
      </c>
      <c r="X164">
        <v>4.2871481006604091</v>
      </c>
      <c r="Y164">
        <v>4.2871481006604091</v>
      </c>
      <c r="Z164">
        <v>1</v>
      </c>
      <c r="AA164">
        <v>0.63600000000000001</v>
      </c>
      <c r="AB164">
        <v>1.3640000000000001</v>
      </c>
      <c r="AC164">
        <v>0</v>
      </c>
      <c r="AD164" s="15">
        <v>7.8677509733017292E-2</v>
      </c>
      <c r="AE164">
        <v>146.37600758351078</v>
      </c>
      <c r="AF164">
        <v>150.72037533618203</v>
      </c>
      <c r="AG164">
        <v>140.48212258419318</v>
      </c>
      <c r="AH164">
        <v>116.88132679541577</v>
      </c>
      <c r="AI164">
        <v>2.1</v>
      </c>
      <c r="AJ164">
        <v>0</v>
      </c>
      <c r="AK164">
        <v>0</v>
      </c>
      <c r="AL164">
        <v>1.7257436263153001</v>
      </c>
      <c r="AM164">
        <v>1.7257436263153001</v>
      </c>
      <c r="AN164">
        <v>0</v>
      </c>
      <c r="AO164">
        <v>0</v>
      </c>
      <c r="AP164">
        <v>1</v>
      </c>
      <c r="AQ164">
        <v>0.32600000000000001</v>
      </c>
      <c r="AR164">
        <v>48.972000000000001</v>
      </c>
      <c r="AS164">
        <v>81.408000000000001</v>
      </c>
      <c r="AT164">
        <v>163.452</v>
      </c>
      <c r="AU164">
        <v>301.464</v>
      </c>
      <c r="AV164">
        <v>0</v>
      </c>
    </row>
    <row r="165" spans="1:48">
      <c r="A165">
        <v>164</v>
      </c>
      <c r="B165">
        <v>0</v>
      </c>
      <c r="C165">
        <v>35.219999999999487</v>
      </c>
      <c r="D165">
        <v>18.779999999999735</v>
      </c>
      <c r="E165">
        <v>6.5393862451683455</v>
      </c>
      <c r="F165">
        <v>0.77600000000000002</v>
      </c>
      <c r="G165">
        <v>3.7789999999999999</v>
      </c>
      <c r="H165">
        <v>0.45687966122436613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 s="15">
        <v>2.1604359944677212</v>
      </c>
      <c r="Q165" s="15">
        <v>2.1604359944677212</v>
      </c>
      <c r="R165">
        <v>0</v>
      </c>
      <c r="S165">
        <v>0</v>
      </c>
      <c r="T165">
        <v>4.9232969897831562E-3</v>
      </c>
      <c r="U165">
        <v>16.863044934904465</v>
      </c>
      <c r="V165">
        <v>0</v>
      </c>
      <c r="W165">
        <v>0</v>
      </c>
      <c r="X165">
        <v>5.0740782431977847</v>
      </c>
      <c r="Y165">
        <v>5.0740782431977847</v>
      </c>
      <c r="Z165">
        <v>1</v>
      </c>
      <c r="AA165">
        <v>0.64400000000000002</v>
      </c>
      <c r="AB165">
        <v>1.3560000000000001</v>
      </c>
      <c r="AC165">
        <v>0</v>
      </c>
      <c r="AD165" s="15">
        <v>4.5393444854174063E-2</v>
      </c>
      <c r="AE165">
        <v>143.31745919244861</v>
      </c>
      <c r="AF165">
        <v>148.43200758351077</v>
      </c>
      <c r="AG165">
        <v>145.00815669576295</v>
      </c>
      <c r="AH165">
        <v>119.11379076634877</v>
      </c>
      <c r="AI165">
        <v>2.1</v>
      </c>
      <c r="AJ165">
        <v>0</v>
      </c>
      <c r="AK165">
        <v>0</v>
      </c>
      <c r="AL165">
        <v>1.5376441019179983</v>
      </c>
      <c r="AM165">
        <v>1.5376441019179983</v>
      </c>
      <c r="AN165">
        <v>0</v>
      </c>
      <c r="AO165">
        <v>0</v>
      </c>
      <c r="AP165">
        <v>1</v>
      </c>
      <c r="AQ165">
        <v>0.30199999999999999</v>
      </c>
      <c r="AR165">
        <v>49.588000000000001</v>
      </c>
      <c r="AS165">
        <v>82.432000000000002</v>
      </c>
      <c r="AT165">
        <v>165.50800000000001</v>
      </c>
      <c r="AU165">
        <v>305.25599999999997</v>
      </c>
      <c r="AV165">
        <v>0</v>
      </c>
    </row>
    <row r="166" spans="1:48">
      <c r="A166">
        <v>165</v>
      </c>
      <c r="B166">
        <v>0</v>
      </c>
      <c r="C166">
        <v>31.099999999999547</v>
      </c>
      <c r="D166">
        <v>20.079999999999728</v>
      </c>
      <c r="E166">
        <v>6.1180566066722051</v>
      </c>
      <c r="F166">
        <v>0.79700000000000004</v>
      </c>
      <c r="G166">
        <v>3.8879999999999999</v>
      </c>
      <c r="H166">
        <v>0.41061943249119115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 s="15">
        <v>1.5826480959727238</v>
      </c>
      <c r="Q166" s="15">
        <v>1.5508619931465901</v>
      </c>
      <c r="R166">
        <v>0</v>
      </c>
      <c r="S166">
        <v>0</v>
      </c>
      <c r="T166" s="15">
        <v>8.2963060998309532E-4</v>
      </c>
      <c r="U166">
        <v>15.311353311147903</v>
      </c>
      <c r="V166">
        <v>0</v>
      </c>
      <c r="W166">
        <v>0</v>
      </c>
      <c r="X166">
        <v>4.8756200548168529</v>
      </c>
      <c r="Y166">
        <v>4.8756200548168529</v>
      </c>
      <c r="Z166">
        <v>1</v>
      </c>
      <c r="AA166">
        <v>0.65200000000000002</v>
      </c>
      <c r="AB166">
        <v>1.3480000000000001</v>
      </c>
      <c r="AC166">
        <v>0</v>
      </c>
      <c r="AD166" s="15">
        <v>2.5527562800318131E-2</v>
      </c>
      <c r="AE166">
        <v>140.47314120544144</v>
      </c>
      <c r="AF166">
        <v>145.37345919244862</v>
      </c>
      <c r="AG166">
        <v>151.98772978826639</v>
      </c>
      <c r="AH166">
        <v>122.65490796132094</v>
      </c>
      <c r="AI166">
        <v>2.1</v>
      </c>
      <c r="AJ166">
        <v>0</v>
      </c>
      <c r="AK166">
        <v>0</v>
      </c>
      <c r="AL166">
        <v>1.3982965469429116</v>
      </c>
      <c r="AM166">
        <v>1.3982965469429116</v>
      </c>
      <c r="AN166">
        <v>0</v>
      </c>
      <c r="AO166">
        <v>0</v>
      </c>
      <c r="AP166">
        <v>1</v>
      </c>
      <c r="AQ166">
        <v>0.27900000000000003</v>
      </c>
      <c r="AR166">
        <v>50.204000000000001</v>
      </c>
      <c r="AS166">
        <v>83.456000000000003</v>
      </c>
      <c r="AT166">
        <v>167.56399999999999</v>
      </c>
      <c r="AU166">
        <v>309.048</v>
      </c>
      <c r="AV166">
        <v>0</v>
      </c>
    </row>
    <row r="167" spans="1:48">
      <c r="A167">
        <v>166</v>
      </c>
      <c r="B167">
        <v>0</v>
      </c>
      <c r="C167">
        <v>30.699999999999555</v>
      </c>
      <c r="D167">
        <v>20.719999999999722</v>
      </c>
      <c r="E167">
        <v>6.0501347119393492</v>
      </c>
      <c r="F167">
        <v>0.81699999999999995</v>
      </c>
      <c r="G167">
        <v>3.9980000000000002</v>
      </c>
      <c r="H167">
        <v>0.44166927527221023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 s="15">
        <v>1.5062128341807965</v>
      </c>
      <c r="Q167" s="15">
        <v>1.3003322421048291</v>
      </c>
      <c r="R167">
        <v>0</v>
      </c>
      <c r="S167">
        <v>0</v>
      </c>
      <c r="T167">
        <v>1.7290443888934518E-4</v>
      </c>
      <c r="U167">
        <v>14.010848164604184</v>
      </c>
      <c r="V167">
        <v>0</v>
      </c>
      <c r="W167">
        <v>0</v>
      </c>
      <c r="X167">
        <v>4.9424784902303536</v>
      </c>
      <c r="Y167">
        <v>4.9424784902303536</v>
      </c>
      <c r="Z167">
        <v>1</v>
      </c>
      <c r="AA167">
        <v>0.66</v>
      </c>
      <c r="AB167">
        <v>1.34</v>
      </c>
      <c r="AC167">
        <v>0</v>
      </c>
      <c r="AD167">
        <v>1.4595970198577226E-2</v>
      </c>
      <c r="AE167">
        <v>137.5722396494514</v>
      </c>
      <c r="AF167">
        <v>142.52914120544145</v>
      </c>
      <c r="AG167">
        <v>151.65067025335884</v>
      </c>
      <c r="AH167">
        <v>122.46562251744709</v>
      </c>
      <c r="AI167">
        <v>2.1</v>
      </c>
      <c r="AJ167">
        <v>0</v>
      </c>
      <c r="AK167">
        <v>0</v>
      </c>
      <c r="AL167">
        <v>1.2950653392099201</v>
      </c>
      <c r="AM167">
        <v>1.2950653392099201</v>
      </c>
      <c r="AN167">
        <v>0</v>
      </c>
      <c r="AO167">
        <v>0</v>
      </c>
      <c r="AP167">
        <v>1</v>
      </c>
      <c r="AQ167">
        <v>0.25600000000000001</v>
      </c>
      <c r="AR167">
        <v>50.82</v>
      </c>
      <c r="AS167">
        <v>84.48</v>
      </c>
      <c r="AT167">
        <v>169.62</v>
      </c>
      <c r="AU167">
        <v>312.83999999999997</v>
      </c>
      <c r="AV167">
        <v>0</v>
      </c>
    </row>
    <row r="168" spans="1:48">
      <c r="A168">
        <v>167</v>
      </c>
      <c r="B168">
        <v>0</v>
      </c>
      <c r="C168">
        <v>31.219999999999558</v>
      </c>
      <c r="D168">
        <v>19.139999999999748</v>
      </c>
      <c r="E168">
        <v>4.6045361403043037</v>
      </c>
      <c r="F168">
        <v>0.83799999999999997</v>
      </c>
      <c r="G168">
        <v>4.1070000000000002</v>
      </c>
      <c r="H168">
        <v>0.44205234831878493</v>
      </c>
      <c r="I168">
        <v>54</v>
      </c>
      <c r="J168">
        <v>0</v>
      </c>
      <c r="K168">
        <v>54</v>
      </c>
      <c r="L168">
        <v>0</v>
      </c>
      <c r="M168">
        <v>0</v>
      </c>
      <c r="N168">
        <v>0</v>
      </c>
      <c r="O168">
        <v>0</v>
      </c>
      <c r="P168" s="15">
        <v>0.94782883492271508</v>
      </c>
      <c r="Q168" s="15">
        <v>0.87415405968843862</v>
      </c>
      <c r="R168">
        <v>0</v>
      </c>
      <c r="S168">
        <v>0</v>
      </c>
      <c r="T168">
        <v>39.595113632464951</v>
      </c>
      <c r="U168">
        <v>27.5415804724508</v>
      </c>
      <c r="V168">
        <v>0</v>
      </c>
      <c r="W168">
        <v>0</v>
      </c>
      <c r="X168">
        <v>3.8582226643280872</v>
      </c>
      <c r="Y168">
        <v>3.8582226643280872</v>
      </c>
      <c r="Z168">
        <v>1</v>
      </c>
      <c r="AA168">
        <v>0.66900000000000004</v>
      </c>
      <c r="AB168">
        <v>1.331</v>
      </c>
      <c r="AC168">
        <v>0</v>
      </c>
      <c r="AD168">
        <v>0.7508523310495806</v>
      </c>
      <c r="AE168">
        <v>174.87127828653868</v>
      </c>
      <c r="AF168">
        <v>139.88523964945142</v>
      </c>
      <c r="AG168">
        <v>154.44278179209596</v>
      </c>
      <c r="AH168">
        <v>123.92279034946193</v>
      </c>
      <c r="AI168">
        <v>2.1</v>
      </c>
      <c r="AJ168">
        <v>0</v>
      </c>
      <c r="AK168">
        <v>0</v>
      </c>
      <c r="AL168">
        <v>9</v>
      </c>
      <c r="AM168">
        <v>9</v>
      </c>
      <c r="AN168">
        <v>6</v>
      </c>
      <c r="AO168">
        <v>0</v>
      </c>
      <c r="AP168">
        <v>1</v>
      </c>
      <c r="AQ168">
        <v>0.23300000000000001</v>
      </c>
      <c r="AR168">
        <v>51.512999999999998</v>
      </c>
      <c r="AS168">
        <v>85.632000000000005</v>
      </c>
      <c r="AT168">
        <v>171.93299999999999</v>
      </c>
      <c r="AU168">
        <v>317.10599999999999</v>
      </c>
      <c r="AV168">
        <v>0</v>
      </c>
    </row>
    <row r="169" spans="1:48">
      <c r="A169">
        <v>168</v>
      </c>
      <c r="B169" s="15">
        <v>7.9999999999999724E-2</v>
      </c>
      <c r="C169">
        <v>32.459999999999525</v>
      </c>
      <c r="D169">
        <v>19.639999999999738</v>
      </c>
      <c r="E169">
        <v>5.1041279049905768</v>
      </c>
      <c r="F169">
        <v>0.85899999999999999</v>
      </c>
      <c r="G169">
        <v>4.2160000000000002</v>
      </c>
      <c r="H169">
        <v>0.50775793985656448</v>
      </c>
      <c r="I169">
        <v>0</v>
      </c>
      <c r="J169" s="15">
        <v>2.4524831391783963E-3</v>
      </c>
      <c r="K169" s="15">
        <v>7.9999999999999724E-2</v>
      </c>
      <c r="L169" s="15">
        <v>2.4524831391783963E-3</v>
      </c>
      <c r="M169" s="15">
        <v>7.7547516860821328E-2</v>
      </c>
      <c r="N169">
        <v>0</v>
      </c>
      <c r="O169" s="15">
        <v>2.4524832122680899E-3</v>
      </c>
      <c r="P169" s="15">
        <v>0.88897100536600737</v>
      </c>
      <c r="Q169" s="15">
        <v>0.88897100536600726</v>
      </c>
      <c r="R169">
        <v>0</v>
      </c>
      <c r="S169">
        <v>0</v>
      </c>
      <c r="T169">
        <v>2.1935654633903159</v>
      </c>
      <c r="U169">
        <v>24.461496486906739</v>
      </c>
      <c r="V169">
        <v>0</v>
      </c>
      <c r="W169">
        <v>0</v>
      </c>
      <c r="X169">
        <v>4.3840131282796913</v>
      </c>
      <c r="Y169">
        <v>4.3840131282796913</v>
      </c>
      <c r="Z169">
        <v>1</v>
      </c>
      <c r="AA169">
        <v>0.67700000000000005</v>
      </c>
      <c r="AB169">
        <v>1.323</v>
      </c>
      <c r="AC169">
        <v>0</v>
      </c>
      <c r="AD169">
        <v>1.3299364258926316</v>
      </c>
      <c r="AE169">
        <v>173.40689419575676</v>
      </c>
      <c r="AF169">
        <v>176.92727828653869</v>
      </c>
      <c r="AG169">
        <v>151.1647272488494</v>
      </c>
      <c r="AH169">
        <v>121.95161289815698</v>
      </c>
      <c r="AI169">
        <v>2.1</v>
      </c>
      <c r="AJ169">
        <v>0</v>
      </c>
      <c r="AK169">
        <v>0</v>
      </c>
      <c r="AL169">
        <v>6.926545765453743</v>
      </c>
      <c r="AM169">
        <v>6.926545765453743</v>
      </c>
      <c r="AN169">
        <v>0</v>
      </c>
      <c r="AO169">
        <v>0</v>
      </c>
      <c r="AP169">
        <v>1</v>
      </c>
      <c r="AQ169">
        <v>0.20899999999999999</v>
      </c>
      <c r="AR169">
        <v>52.128999999999998</v>
      </c>
      <c r="AS169">
        <v>86.656000000000006</v>
      </c>
      <c r="AT169">
        <v>173.989</v>
      </c>
      <c r="AU169">
        <v>320.89799999999997</v>
      </c>
      <c r="AV169">
        <v>0</v>
      </c>
    </row>
    <row r="170" spans="1:48">
      <c r="A170">
        <v>169</v>
      </c>
      <c r="B170">
        <v>0</v>
      </c>
      <c r="C170">
        <v>33.179999999999517</v>
      </c>
      <c r="D170">
        <v>21.739999999999704</v>
      </c>
      <c r="E170">
        <v>5.9191844272117828</v>
      </c>
      <c r="F170">
        <v>0.88</v>
      </c>
      <c r="G170">
        <v>4.3259999999999996</v>
      </c>
      <c r="H170">
        <v>0.48908063489823889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 s="15">
        <v>1.1778990475431843</v>
      </c>
      <c r="Q170" s="15">
        <v>1.1778990475431843</v>
      </c>
      <c r="R170">
        <v>0</v>
      </c>
      <c r="S170">
        <v>0</v>
      </c>
      <c r="T170">
        <v>0.54901985427280686</v>
      </c>
      <c r="U170">
        <v>22.734577585090737</v>
      </c>
      <c r="V170">
        <v>0</v>
      </c>
      <c r="W170">
        <v>0</v>
      </c>
      <c r="X170">
        <v>5.2083658390470209</v>
      </c>
      <c r="Y170">
        <v>5.2083658390470209</v>
      </c>
      <c r="Z170">
        <v>1</v>
      </c>
      <c r="AA170">
        <v>0.68500000000000005</v>
      </c>
      <c r="AB170">
        <v>1.3149999999999999</v>
      </c>
      <c r="AC170">
        <v>0</v>
      </c>
      <c r="AD170">
        <v>0.72197375602674629</v>
      </c>
      <c r="AE170">
        <v>170.0815744549557</v>
      </c>
      <c r="AF170">
        <v>175.46289419575675</v>
      </c>
      <c r="AG170">
        <v>155.59429669598441</v>
      </c>
      <c r="AH170">
        <v>124.17248684874967</v>
      </c>
      <c r="AI170">
        <v>2.1</v>
      </c>
      <c r="AJ170">
        <v>0</v>
      </c>
      <c r="AK170">
        <v>0</v>
      </c>
      <c r="AL170">
        <v>5.3904930887522111</v>
      </c>
      <c r="AM170">
        <v>5.3904930887522111</v>
      </c>
      <c r="AN170">
        <v>0</v>
      </c>
      <c r="AO170">
        <v>0</v>
      </c>
      <c r="AP170">
        <v>1</v>
      </c>
      <c r="AQ170">
        <v>0.186</v>
      </c>
      <c r="AR170">
        <v>52.744999999999997</v>
      </c>
      <c r="AS170">
        <v>87.68</v>
      </c>
      <c r="AT170">
        <v>176.04500000000002</v>
      </c>
      <c r="AU170">
        <v>324.69</v>
      </c>
      <c r="AV170">
        <v>0</v>
      </c>
    </row>
    <row r="171" spans="1:48">
      <c r="A171">
        <v>170</v>
      </c>
      <c r="B171">
        <v>0</v>
      </c>
      <c r="C171">
        <v>32.019999999999541</v>
      </c>
      <c r="D171">
        <v>19.819999999999741</v>
      </c>
      <c r="E171">
        <v>5.1100367620308287</v>
      </c>
      <c r="F171">
        <v>0.90100000000000002</v>
      </c>
      <c r="G171">
        <v>4.4349999999999996</v>
      </c>
      <c r="H171">
        <v>0.44454940577580915</v>
      </c>
      <c r="I171">
        <v>0</v>
      </c>
      <c r="J171" s="15">
        <v>0</v>
      </c>
      <c r="K171">
        <v>0</v>
      </c>
      <c r="L171" s="15">
        <v>0</v>
      </c>
      <c r="M171">
        <v>0</v>
      </c>
      <c r="N171">
        <v>0</v>
      </c>
      <c r="O171" s="15">
        <v>0</v>
      </c>
      <c r="P171" s="15">
        <v>0.8759605925166587</v>
      </c>
      <c r="Q171" s="15">
        <v>0.8759605925166587</v>
      </c>
      <c r="R171">
        <v>0</v>
      </c>
      <c r="S171">
        <v>0</v>
      </c>
      <c r="T171">
        <v>0.19795634864302633</v>
      </c>
      <c r="U171">
        <v>21.660660643931045</v>
      </c>
      <c r="V171">
        <v>0</v>
      </c>
      <c r="W171">
        <v>0</v>
      </c>
      <c r="X171">
        <v>4.603685140073118</v>
      </c>
      <c r="Y171">
        <v>4.603685140073118</v>
      </c>
      <c r="Z171">
        <v>1</v>
      </c>
      <c r="AA171">
        <v>0.69300000000000006</v>
      </c>
      <c r="AB171">
        <v>1.3069999999999999</v>
      </c>
      <c r="AC171">
        <v>0</v>
      </c>
      <c r="AD171">
        <v>0.37794932274788634</v>
      </c>
      <c r="AE171">
        <v>167.35389634077774</v>
      </c>
      <c r="AF171">
        <v>172.13757445495571</v>
      </c>
      <c r="AG171">
        <v>162.27024494559018</v>
      </c>
      <c r="AH171">
        <v>127.73114712954242</v>
      </c>
      <c r="AI171">
        <v>2.1</v>
      </c>
      <c r="AJ171">
        <v>0</v>
      </c>
      <c r="AK171">
        <v>0</v>
      </c>
      <c r="AL171">
        <v>4.2525572779247938</v>
      </c>
      <c r="AM171">
        <v>4.2525572779247938</v>
      </c>
      <c r="AN171">
        <v>0</v>
      </c>
      <c r="AO171">
        <v>0</v>
      </c>
      <c r="AP171">
        <v>1</v>
      </c>
      <c r="AQ171">
        <v>0.16300000000000001</v>
      </c>
      <c r="AR171">
        <v>53.361000000000011</v>
      </c>
      <c r="AS171">
        <v>88.704000000000022</v>
      </c>
      <c r="AT171">
        <v>178.10100000000003</v>
      </c>
      <c r="AU171">
        <v>328.48200000000003</v>
      </c>
      <c r="AV171">
        <v>0</v>
      </c>
    </row>
    <row r="172" spans="1:48">
      <c r="A172">
        <v>171</v>
      </c>
      <c r="B172">
        <v>0.15999999999999945</v>
      </c>
      <c r="C172">
        <v>32.159999999999535</v>
      </c>
      <c r="D172">
        <v>20.01999999999973</v>
      </c>
      <c r="E172">
        <v>4.1426492017581671</v>
      </c>
      <c r="F172">
        <v>0.92200000000000004</v>
      </c>
      <c r="G172">
        <v>4.5439999999999996</v>
      </c>
      <c r="H172">
        <v>0.4808141711252456</v>
      </c>
      <c r="I172">
        <v>0</v>
      </c>
      <c r="J172">
        <v>8.8691796008868451E-3</v>
      </c>
      <c r="K172">
        <v>0.15999999999999945</v>
      </c>
      <c r="L172">
        <v>8.8691796008868451E-3</v>
      </c>
      <c r="M172">
        <v>0.1511308203991126</v>
      </c>
      <c r="N172">
        <v>0</v>
      </c>
      <c r="O172">
        <v>8.8691798652089943E-3</v>
      </c>
      <c r="P172" s="15">
        <v>0.55695746096716736</v>
      </c>
      <c r="Q172" s="15">
        <v>0.55695746096716736</v>
      </c>
      <c r="R172">
        <v>0</v>
      </c>
      <c r="S172">
        <v>0</v>
      </c>
      <c r="T172">
        <v>9.411799448031713E-2</v>
      </c>
      <c r="U172">
        <v>21.01845436834877</v>
      </c>
      <c r="V172">
        <v>0</v>
      </c>
      <c r="W172">
        <v>0</v>
      </c>
      <c r="X172">
        <v>3.8191418884993413</v>
      </c>
      <c r="Y172">
        <v>3.8191418884993413</v>
      </c>
      <c r="Z172">
        <v>1</v>
      </c>
      <c r="AA172">
        <v>0.70100000000000007</v>
      </c>
      <c r="AB172">
        <v>1.2989999999999999</v>
      </c>
      <c r="AC172">
        <v>0</v>
      </c>
      <c r="AD172">
        <v>0.21250257348958707</v>
      </c>
      <c r="AE172">
        <v>165.47236987326912</v>
      </c>
      <c r="AF172">
        <v>169.40989634077772</v>
      </c>
      <c r="AG172">
        <v>161.84524528103518</v>
      </c>
      <c r="AH172">
        <v>127.17359838156857</v>
      </c>
      <c r="AI172">
        <v>2.1</v>
      </c>
      <c r="AJ172">
        <v>0</v>
      </c>
      <c r="AK172">
        <v>0</v>
      </c>
      <c r="AL172">
        <v>3.4095536952976171</v>
      </c>
      <c r="AM172">
        <v>3.4095536952976171</v>
      </c>
      <c r="AN172">
        <v>0</v>
      </c>
      <c r="AO172">
        <v>0</v>
      </c>
      <c r="AP172">
        <v>1</v>
      </c>
      <c r="AQ172">
        <v>0.14000000000000001</v>
      </c>
      <c r="AR172">
        <v>53.977000000000011</v>
      </c>
      <c r="AS172">
        <v>89.728000000000023</v>
      </c>
      <c r="AT172">
        <v>180.15700000000004</v>
      </c>
      <c r="AU172">
        <v>332.27400000000006</v>
      </c>
      <c r="AV172">
        <v>0</v>
      </c>
    </row>
    <row r="173" spans="1:48">
      <c r="A173">
        <v>172</v>
      </c>
      <c r="B173">
        <v>0</v>
      </c>
      <c r="C173">
        <v>32.539999999999523</v>
      </c>
      <c r="D173">
        <v>20.119999999999724</v>
      </c>
      <c r="E173">
        <v>5.5067587377850025</v>
      </c>
      <c r="F173">
        <v>0.94299999999999995</v>
      </c>
      <c r="G173">
        <v>4.6529999999999996</v>
      </c>
      <c r="H173">
        <v>0.52495602546352904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 s="15">
        <v>0.70148069343320529</v>
      </c>
      <c r="Q173" s="15">
        <v>0.70148069343320529</v>
      </c>
      <c r="R173">
        <v>0</v>
      </c>
      <c r="S173">
        <v>0</v>
      </c>
      <c r="T173">
        <v>4.9953263625451959E-2</v>
      </c>
      <c r="U173">
        <v>20.267020411290105</v>
      </c>
      <c r="V173">
        <v>0</v>
      </c>
      <c r="W173">
        <v>0</v>
      </c>
      <c r="X173">
        <v>5.1923556033115315</v>
      </c>
      <c r="Y173">
        <v>5.1923556033115315</v>
      </c>
      <c r="Z173">
        <v>1</v>
      </c>
      <c r="AA173">
        <v>0.70900000000000007</v>
      </c>
      <c r="AB173">
        <v>1.2909999999999999</v>
      </c>
      <c r="AC173">
        <v>0</v>
      </c>
      <c r="AD173">
        <v>0.11982149418955163</v>
      </c>
      <c r="AE173">
        <v>162.26614603939342</v>
      </c>
      <c r="AF173">
        <v>167.5283698732691</v>
      </c>
      <c r="AG173">
        <v>160.9370016439396</v>
      </c>
      <c r="AH173">
        <v>126.16877551711987</v>
      </c>
      <c r="AI173">
        <v>2.1</v>
      </c>
      <c r="AJ173">
        <v>0</v>
      </c>
      <c r="AK173">
        <v>0</v>
      </c>
      <c r="AL173">
        <v>2.7850412811874383</v>
      </c>
      <c r="AM173">
        <v>2.7850412811874383</v>
      </c>
      <c r="AN173">
        <v>0</v>
      </c>
      <c r="AO173">
        <v>0</v>
      </c>
      <c r="AP173">
        <v>1</v>
      </c>
      <c r="AQ173">
        <v>0.11600000000000001</v>
      </c>
      <c r="AR173">
        <v>54.593000000000011</v>
      </c>
      <c r="AS173">
        <v>90.75200000000001</v>
      </c>
      <c r="AT173">
        <v>182.21300000000002</v>
      </c>
      <c r="AU173">
        <v>336.06600000000003</v>
      </c>
      <c r="AV173">
        <v>0</v>
      </c>
    </row>
    <row r="174" spans="1:48">
      <c r="A174">
        <v>173</v>
      </c>
      <c r="B174">
        <v>0.19999999999998863</v>
      </c>
      <c r="C174">
        <v>31.799999999999528</v>
      </c>
      <c r="D174">
        <v>19.599999999999731</v>
      </c>
      <c r="E174">
        <v>5.3049912991955663</v>
      </c>
      <c r="F174">
        <v>0.96299999999999997</v>
      </c>
      <c r="G174">
        <v>4.7629999999999999</v>
      </c>
      <c r="H174">
        <v>0.46424654892936246</v>
      </c>
      <c r="I174">
        <v>0</v>
      </c>
      <c r="J174">
        <v>1.3081300281246516E-2</v>
      </c>
      <c r="K174">
        <v>0.19999999999998863</v>
      </c>
      <c r="L174">
        <v>1.3081300281246516E-2</v>
      </c>
      <c r="M174">
        <v>0.18691869971874212</v>
      </c>
      <c r="N174">
        <v>0</v>
      </c>
      <c r="O174">
        <v>1.3081300671099652E-2</v>
      </c>
      <c r="P174">
        <v>0.60812902960964277</v>
      </c>
      <c r="Q174">
        <v>0.60812902960964277</v>
      </c>
      <c r="R174">
        <v>0</v>
      </c>
      <c r="S174">
        <v>0</v>
      </c>
      <c r="T174" s="15">
        <v>2.634488290932754E-2</v>
      </c>
      <c r="U174">
        <v>19.645627799442227</v>
      </c>
      <c r="V174">
        <v>0</v>
      </c>
      <c r="W174">
        <v>0</v>
      </c>
      <c r="X174">
        <v>5.10819746176404</v>
      </c>
      <c r="Y174">
        <v>5.10819746176404</v>
      </c>
      <c r="Z174">
        <v>1</v>
      </c>
      <c r="AA174">
        <v>0.71699999999999997</v>
      </c>
      <c r="AB174">
        <v>1.2830000000000001</v>
      </c>
      <c r="AC174">
        <v>0</v>
      </c>
      <c r="AD174">
        <v>6.4354138622814402E-2</v>
      </c>
      <c r="AE174">
        <v>159.17593932191582</v>
      </c>
      <c r="AF174">
        <v>164.32214603939337</v>
      </c>
      <c r="AG174">
        <v>168.87927338465965</v>
      </c>
      <c r="AH174">
        <v>130.62796871668326</v>
      </c>
      <c r="AI174">
        <v>2.1</v>
      </c>
      <c r="AJ174">
        <v>0</v>
      </c>
      <c r="AK174">
        <v>0</v>
      </c>
      <c r="AL174">
        <v>2.3223911057726925</v>
      </c>
      <c r="AM174">
        <v>2.3223911057726925</v>
      </c>
      <c r="AN174">
        <v>0</v>
      </c>
      <c r="AO174">
        <v>0</v>
      </c>
      <c r="AP174">
        <v>1</v>
      </c>
      <c r="AQ174">
        <v>9.2999999999999999E-2</v>
      </c>
      <c r="AR174">
        <v>55.208999999999996</v>
      </c>
      <c r="AS174">
        <v>91.775999999999996</v>
      </c>
      <c r="AT174">
        <v>184.26900000000001</v>
      </c>
      <c r="AU174">
        <v>339.858</v>
      </c>
      <c r="AV174">
        <v>0</v>
      </c>
    </row>
    <row r="175" spans="1:48">
      <c r="A175">
        <v>174</v>
      </c>
      <c r="B175">
        <v>0.59999999999996589</v>
      </c>
      <c r="C175">
        <v>31.599999999999536</v>
      </c>
      <c r="D175">
        <v>17.519999999999765</v>
      </c>
      <c r="E175">
        <v>5.1541831086207957</v>
      </c>
      <c r="F175">
        <v>0.98399999999999999</v>
      </c>
      <c r="G175">
        <v>4.8719999999999999</v>
      </c>
      <c r="H175">
        <v>0.47134694098549851</v>
      </c>
      <c r="I175">
        <v>0</v>
      </c>
      <c r="J175">
        <v>0.10217983651225099</v>
      </c>
      <c r="K175">
        <v>0.59999999999996589</v>
      </c>
      <c r="L175">
        <v>0.10217983651225099</v>
      </c>
      <c r="M175">
        <v>0.49782016348771491</v>
      </c>
      <c r="N175">
        <v>0</v>
      </c>
      <c r="O175">
        <v>0.10217983955744739</v>
      </c>
      <c r="P175">
        <v>0.46551994813874609</v>
      </c>
      <c r="Q175">
        <v>0.46551994813874609</v>
      </c>
      <c r="R175">
        <v>0</v>
      </c>
      <c r="S175">
        <v>0</v>
      </c>
      <c r="T175" s="15">
        <v>1.5753742168891031E-2</v>
      </c>
      <c r="U175">
        <v>19.266533948692032</v>
      </c>
      <c r="V175">
        <v>0</v>
      </c>
      <c r="W175">
        <v>0</v>
      </c>
      <c r="X175">
        <v>5.0712116932266014</v>
      </c>
      <c r="Y175">
        <v>5.0712116932266014</v>
      </c>
      <c r="Z175">
        <v>1</v>
      </c>
      <c r="AA175">
        <v>0.72599999999999998</v>
      </c>
      <c r="AB175">
        <v>1.274</v>
      </c>
      <c r="AC175">
        <v>0</v>
      </c>
      <c r="AD175" s="15">
        <v>3.5370567971897617E-2</v>
      </c>
      <c r="AE175">
        <v>156.39811080288618</v>
      </c>
      <c r="AF175">
        <v>161.48893932191584</v>
      </c>
      <c r="AG175">
        <v>171.31847664204565</v>
      </c>
      <c r="AH175">
        <v>131.71375106626343</v>
      </c>
      <c r="AI175">
        <v>2.1</v>
      </c>
      <c r="AJ175">
        <v>0</v>
      </c>
      <c r="AK175">
        <v>0</v>
      </c>
      <c r="AL175">
        <v>1.9796514260238554</v>
      </c>
      <c r="AM175">
        <v>1.9796514260238554</v>
      </c>
      <c r="AN175">
        <v>0</v>
      </c>
      <c r="AO175">
        <v>0</v>
      </c>
      <c r="AP175">
        <v>1</v>
      </c>
      <c r="AQ175">
        <v>7.0000000000000007E-2</v>
      </c>
      <c r="AR175">
        <v>55.902000000000001</v>
      </c>
      <c r="AS175">
        <v>92.927999999999997</v>
      </c>
      <c r="AT175">
        <v>186.58199999999999</v>
      </c>
      <c r="AU175">
        <v>344.12399999999997</v>
      </c>
      <c r="AV175">
        <v>0</v>
      </c>
    </row>
    <row r="176" spans="1:48">
      <c r="A176">
        <v>175</v>
      </c>
      <c r="B176">
        <v>0</v>
      </c>
      <c r="C176">
        <v>31.579999999999547</v>
      </c>
      <c r="D176">
        <v>16.059999999999782</v>
      </c>
      <c r="E176">
        <v>5.6141903210342017</v>
      </c>
      <c r="F176">
        <v>1.0049999999999999</v>
      </c>
      <c r="G176">
        <v>4.9809999999999999</v>
      </c>
      <c r="H176">
        <v>0.47853073482526159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 s="15">
        <v>0.52352454483145439</v>
      </c>
      <c r="Q176" s="15">
        <v>0.52352454483145439</v>
      </c>
      <c r="R176">
        <v>0</v>
      </c>
      <c r="S176">
        <v>0</v>
      </c>
      <c r="T176" s="15">
        <v>9.9601758550537413E-3</v>
      </c>
      <c r="U176">
        <v>18.733049228005527</v>
      </c>
      <c r="V176">
        <v>0</v>
      </c>
      <c r="W176">
        <v>0</v>
      </c>
      <c r="X176">
        <v>5.6417018585124801</v>
      </c>
      <c r="Y176">
        <v>5.6417018585124801</v>
      </c>
      <c r="Z176">
        <v>1</v>
      </c>
      <c r="AA176">
        <v>0.73399999999999999</v>
      </c>
      <c r="AB176">
        <v>1.266</v>
      </c>
      <c r="AC176">
        <v>0</v>
      </c>
      <c r="AD176" s="15">
        <v>1.9242656598920226E-2</v>
      </c>
      <c r="AE176">
        <v>152.80312646362981</v>
      </c>
      <c r="AF176">
        <v>158.45411080288616</v>
      </c>
      <c r="AG176">
        <v>173.58728263290214</v>
      </c>
      <c r="AH176">
        <v>132.62517579176847</v>
      </c>
      <c r="AI176">
        <v>2.1</v>
      </c>
      <c r="AJ176">
        <v>0</v>
      </c>
      <c r="AK176">
        <v>0</v>
      </c>
      <c r="AL176">
        <v>1.7257436263153001</v>
      </c>
      <c r="AM176">
        <v>1.7257436263153001</v>
      </c>
      <c r="AN176">
        <v>0</v>
      </c>
      <c r="AO176">
        <v>0</v>
      </c>
      <c r="AP176">
        <v>1</v>
      </c>
      <c r="AQ176">
        <v>4.7E-2</v>
      </c>
      <c r="AR176">
        <v>56.518000000000001</v>
      </c>
      <c r="AS176">
        <v>93.951999999999998</v>
      </c>
      <c r="AT176">
        <v>188.63800000000001</v>
      </c>
      <c r="AU176">
        <v>347.916</v>
      </c>
      <c r="AV176">
        <v>0</v>
      </c>
    </row>
    <row r="177" spans="1:48">
      <c r="A177">
        <v>176</v>
      </c>
      <c r="B177">
        <v>0</v>
      </c>
      <c r="C177">
        <v>30.899999999999551</v>
      </c>
      <c r="D177">
        <v>16.719999999999782</v>
      </c>
      <c r="E177">
        <v>6.1923211281622814</v>
      </c>
      <c r="F177">
        <v>1.026</v>
      </c>
      <c r="G177">
        <v>5.0910000000000002</v>
      </c>
      <c r="H177">
        <v>0.45339094490803622</v>
      </c>
      <c r="I177">
        <v>54</v>
      </c>
      <c r="J177">
        <v>0</v>
      </c>
      <c r="K177">
        <v>54</v>
      </c>
      <c r="L177">
        <v>0</v>
      </c>
      <c r="M177">
        <v>0</v>
      </c>
      <c r="N177">
        <v>0</v>
      </c>
      <c r="O177">
        <v>0</v>
      </c>
      <c r="P177" s="15">
        <v>0.55929753139725402</v>
      </c>
      <c r="Q177" s="15">
        <v>0.55929753139725402</v>
      </c>
      <c r="R177">
        <v>0</v>
      </c>
      <c r="S177">
        <v>0</v>
      </c>
      <c r="T177" s="15">
        <v>44.613764333934924</v>
      </c>
      <c r="U177">
        <v>27.559987362673343</v>
      </c>
      <c r="V177">
        <v>0</v>
      </c>
      <c r="W177">
        <v>0</v>
      </c>
      <c r="X177">
        <v>6.3526944264842715</v>
      </c>
      <c r="Y177">
        <v>6.3526944264842715</v>
      </c>
      <c r="Z177">
        <v>1</v>
      </c>
      <c r="AA177">
        <v>0.74199999999999999</v>
      </c>
      <c r="AB177">
        <v>1.258</v>
      </c>
      <c r="AC177">
        <v>0</v>
      </c>
      <c r="AD177" s="15">
        <v>0.69023361841724828</v>
      </c>
      <c r="AE177">
        <v>192.42996275266316</v>
      </c>
      <c r="AF177">
        <v>154.85912646362982</v>
      </c>
      <c r="AG177">
        <v>178.48718053209333</v>
      </c>
      <c r="AH177">
        <v>135.27979981472566</v>
      </c>
      <c r="AI177">
        <v>2.1</v>
      </c>
      <c r="AJ177">
        <v>0</v>
      </c>
      <c r="AK177">
        <v>0</v>
      </c>
      <c r="AL177">
        <v>9</v>
      </c>
      <c r="AM177">
        <v>9</v>
      </c>
      <c r="AN177">
        <v>6</v>
      </c>
      <c r="AO177">
        <v>0</v>
      </c>
      <c r="AP177">
        <v>1</v>
      </c>
      <c r="AQ177">
        <v>2.3E-2</v>
      </c>
      <c r="AR177">
        <v>57.134</v>
      </c>
      <c r="AS177">
        <v>94.975999999999999</v>
      </c>
      <c r="AT177">
        <v>190.69400000000002</v>
      </c>
      <c r="AU177">
        <v>351.70799999999997</v>
      </c>
      <c r="AV177">
        <v>0</v>
      </c>
    </row>
    <row r="178" spans="1:48">
      <c r="A178">
        <v>177</v>
      </c>
      <c r="B178">
        <v>0</v>
      </c>
      <c r="C178">
        <v>31.839999999999542</v>
      </c>
      <c r="D178">
        <v>17.43999999999977</v>
      </c>
      <c r="E178">
        <v>5.8337585697336172</v>
      </c>
      <c r="F178">
        <v>1.0469999999999999</v>
      </c>
      <c r="G178">
        <v>5.2</v>
      </c>
      <c r="H178">
        <v>0.42352032339419299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 s="15">
        <v>0.34111068927099403</v>
      </c>
      <c r="Q178" s="15">
        <v>0.34111068927099403</v>
      </c>
      <c r="R178">
        <v>0</v>
      </c>
      <c r="S178">
        <v>0</v>
      </c>
      <c r="T178" s="15">
        <v>2.3719181820760911</v>
      </c>
      <c r="U178">
        <v>24.846958491326262</v>
      </c>
      <c r="V178">
        <v>0</v>
      </c>
      <c r="W178">
        <v>0</v>
      </c>
      <c r="X178">
        <v>6.1073459081135404</v>
      </c>
      <c r="Y178">
        <v>6.1073459081135404</v>
      </c>
      <c r="Z178">
        <v>1</v>
      </c>
      <c r="AA178">
        <v>0.75</v>
      </c>
      <c r="AB178">
        <v>1.25</v>
      </c>
      <c r="AC178">
        <v>0</v>
      </c>
      <c r="AD178" s="15">
        <v>1.1534939808404345</v>
      </c>
      <c r="AE178">
        <v>189.59704104578529</v>
      </c>
      <c r="AF178">
        <v>194.48596275266317</v>
      </c>
      <c r="AG178">
        <v>183.63163684579149</v>
      </c>
      <c r="AH178">
        <v>138.21902631842249</v>
      </c>
      <c r="AI178">
        <v>2.1</v>
      </c>
      <c r="AJ178">
        <v>0</v>
      </c>
      <c r="AK178">
        <v>0</v>
      </c>
      <c r="AL178">
        <v>6.926545765453743</v>
      </c>
      <c r="AM178">
        <v>6.926545765453743</v>
      </c>
      <c r="AN178">
        <v>0</v>
      </c>
      <c r="AO178">
        <v>0</v>
      </c>
      <c r="AP178">
        <v>1</v>
      </c>
      <c r="AQ178">
        <v>0</v>
      </c>
      <c r="AR178">
        <v>57.75</v>
      </c>
      <c r="AS178">
        <v>96</v>
      </c>
      <c r="AT178">
        <v>192.75</v>
      </c>
      <c r="AU178">
        <v>355.5</v>
      </c>
      <c r="AV178">
        <v>0</v>
      </c>
    </row>
    <row r="179" spans="1:48">
      <c r="A179">
        <v>178</v>
      </c>
      <c r="B179">
        <v>0</v>
      </c>
      <c r="C179">
        <v>32.959999999999525</v>
      </c>
      <c r="D179">
        <v>18.73999999999975</v>
      </c>
      <c r="E179">
        <v>5.485105473246275</v>
      </c>
      <c r="F179">
        <v>1.0469999999999999</v>
      </c>
      <c r="G179">
        <v>5.19</v>
      </c>
      <c r="H179">
        <v>0.44206173739963978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 s="15">
        <v>0.299969901458918</v>
      </c>
      <c r="Q179" s="15">
        <v>0.299969901458918</v>
      </c>
      <c r="R179">
        <v>0</v>
      </c>
      <c r="S179">
        <v>0</v>
      </c>
      <c r="T179">
        <v>0.77271150905095476</v>
      </c>
      <c r="U179">
        <v>23.77427708081639</v>
      </c>
      <c r="V179">
        <v>0</v>
      </c>
      <c r="W179">
        <v>0</v>
      </c>
      <c r="X179">
        <v>5.7423459500922966</v>
      </c>
      <c r="Y179">
        <v>5.7423459500922966</v>
      </c>
      <c r="Z179">
        <v>1</v>
      </c>
      <c r="AA179">
        <v>0.75</v>
      </c>
      <c r="AB179">
        <v>1.25</v>
      </c>
      <c r="AC179">
        <v>0</v>
      </c>
      <c r="AD179">
        <v>0.60636652294589699</v>
      </c>
      <c r="AE179">
        <v>184.02104008179808</v>
      </c>
      <c r="AF179">
        <v>189.59704104578529</v>
      </c>
      <c r="AG179">
        <v>182.21238431074457</v>
      </c>
      <c r="AH179">
        <v>137.20527450767469</v>
      </c>
      <c r="AI179">
        <v>2.1</v>
      </c>
      <c r="AJ179">
        <v>0</v>
      </c>
      <c r="AK179">
        <v>0</v>
      </c>
      <c r="AL179">
        <v>5.3904930887522111</v>
      </c>
      <c r="AM179">
        <v>5.3904930887522111</v>
      </c>
      <c r="AN179">
        <v>0</v>
      </c>
      <c r="AO179">
        <v>0</v>
      </c>
      <c r="AP179">
        <v>1</v>
      </c>
      <c r="AQ179">
        <v>0</v>
      </c>
      <c r="AR179">
        <v>57.75</v>
      </c>
      <c r="AS179">
        <v>96</v>
      </c>
      <c r="AT179">
        <v>192.75</v>
      </c>
      <c r="AU179">
        <v>355.5</v>
      </c>
      <c r="AV179">
        <v>0</v>
      </c>
    </row>
    <row r="180" spans="1:48">
      <c r="A180">
        <v>179</v>
      </c>
      <c r="B180">
        <v>0</v>
      </c>
      <c r="C180">
        <v>34.139999999999517</v>
      </c>
      <c r="D180">
        <v>21.039999999999729</v>
      </c>
      <c r="E180">
        <v>6.1241134893116751</v>
      </c>
      <c r="F180">
        <v>1.0469999999999999</v>
      </c>
      <c r="G180">
        <v>5.18</v>
      </c>
      <c r="H180">
        <v>0.4583073668698544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 s="15">
        <v>0.40872862421986106</v>
      </c>
      <c r="Q180" s="15">
        <v>0.40872862421986106</v>
      </c>
      <c r="R180">
        <v>0</v>
      </c>
      <c r="S180">
        <v>0</v>
      </c>
      <c r="T180">
        <v>0.37723572711124681</v>
      </c>
      <c r="U180">
        <v>22.98831272948528</v>
      </c>
      <c r="V180">
        <v>0</v>
      </c>
      <c r="W180">
        <v>0</v>
      </c>
      <c r="X180">
        <v>6.4113274203343478</v>
      </c>
      <c r="Y180">
        <v>6.4113274203343478</v>
      </c>
      <c r="Z180">
        <v>1</v>
      </c>
      <c r="AA180">
        <v>0.75</v>
      </c>
      <c r="AB180">
        <v>1.25</v>
      </c>
      <c r="AC180">
        <v>0</v>
      </c>
      <c r="AD180">
        <v>0.30567343847682787</v>
      </c>
      <c r="AE180">
        <v>177.68127495009821</v>
      </c>
      <c r="AF180">
        <v>184.02104008179811</v>
      </c>
      <c r="AG180">
        <v>180.96886260294701</v>
      </c>
      <c r="AH180">
        <v>136.31704471639071</v>
      </c>
      <c r="AI180">
        <v>2.1</v>
      </c>
      <c r="AJ180">
        <v>0</v>
      </c>
      <c r="AK180">
        <v>0</v>
      </c>
      <c r="AL180">
        <v>4.2525572779247938</v>
      </c>
      <c r="AM180">
        <v>4.2525572779247938</v>
      </c>
      <c r="AN180">
        <v>0</v>
      </c>
      <c r="AO180">
        <v>0</v>
      </c>
      <c r="AP180">
        <v>1</v>
      </c>
      <c r="AQ180">
        <v>0</v>
      </c>
      <c r="AR180">
        <v>57.75</v>
      </c>
      <c r="AS180">
        <v>96</v>
      </c>
      <c r="AT180">
        <v>192.75</v>
      </c>
      <c r="AU180">
        <v>355.5</v>
      </c>
      <c r="AV180">
        <v>0</v>
      </c>
    </row>
    <row r="181" spans="1:48">
      <c r="A181">
        <v>180</v>
      </c>
      <c r="B181">
        <v>0</v>
      </c>
      <c r="C181">
        <v>32.999999999999517</v>
      </c>
      <c r="D181">
        <v>20.299999999999734</v>
      </c>
      <c r="E181">
        <v>5.9317323184006074</v>
      </c>
      <c r="F181">
        <v>1.0469999999999999</v>
      </c>
      <c r="G181">
        <v>5.17</v>
      </c>
      <c r="H181">
        <v>0.42719775984508856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 s="15">
        <v>0.40880353754383969</v>
      </c>
      <c r="Q181" s="15">
        <v>0.40880353754383975</v>
      </c>
      <c r="R181">
        <v>0</v>
      </c>
      <c r="S181">
        <v>0</v>
      </c>
      <c r="T181">
        <v>0.20614923063983956</v>
      </c>
      <c r="U181">
        <v>22.373359961301595</v>
      </c>
      <c r="V181">
        <v>0</v>
      </c>
      <c r="W181">
        <v>0</v>
      </c>
      <c r="X181">
        <v>6.2099296110161673</v>
      </c>
      <c r="Y181">
        <v>6.2099296110161673</v>
      </c>
      <c r="Z181">
        <v>1</v>
      </c>
      <c r="AA181">
        <v>0.75</v>
      </c>
      <c r="AB181">
        <v>1.25</v>
      </c>
      <c r="AC181">
        <v>0</v>
      </c>
      <c r="AD181">
        <v>0.14935051088749532</v>
      </c>
      <c r="AE181">
        <v>171.52814405883441</v>
      </c>
      <c r="AF181">
        <v>177.68127495009821</v>
      </c>
      <c r="AG181">
        <v>183.35014747265771</v>
      </c>
      <c r="AH181">
        <v>138.01796248046978</v>
      </c>
      <c r="AI181">
        <v>2.1</v>
      </c>
      <c r="AJ181">
        <v>0</v>
      </c>
      <c r="AK181">
        <v>0</v>
      </c>
      <c r="AL181">
        <v>3.4095536952976171</v>
      </c>
      <c r="AM181">
        <v>3.4095536952976171</v>
      </c>
      <c r="AN181">
        <v>0</v>
      </c>
      <c r="AO181">
        <v>0</v>
      </c>
      <c r="AP181">
        <v>1</v>
      </c>
      <c r="AQ181">
        <v>0</v>
      </c>
      <c r="AR181">
        <v>57.75</v>
      </c>
      <c r="AS181">
        <v>96</v>
      </c>
      <c r="AT181">
        <v>192.75</v>
      </c>
      <c r="AU181">
        <v>355.5</v>
      </c>
      <c r="AV181">
        <v>0</v>
      </c>
    </row>
    <row r="182" spans="1:48">
      <c r="A182">
        <v>181</v>
      </c>
      <c r="B182">
        <v>0</v>
      </c>
      <c r="C182">
        <v>30.839999999999559</v>
      </c>
      <c r="D182">
        <v>18.359999999999761</v>
      </c>
      <c r="E182">
        <v>5.7791653001075112</v>
      </c>
      <c r="F182">
        <v>1.0469999999999999</v>
      </c>
      <c r="G182">
        <v>5.16</v>
      </c>
      <c r="H182">
        <v>0.43525067550485996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 s="15">
        <v>0.40578970584319574</v>
      </c>
      <c r="Q182" s="15">
        <v>0.40578970584319562</v>
      </c>
      <c r="R182">
        <v>0</v>
      </c>
      <c r="S182">
        <v>0</v>
      </c>
      <c r="T182">
        <v>0.12135237989427157</v>
      </c>
      <c r="U182">
        <v>21.846217875564122</v>
      </c>
      <c r="V182">
        <v>0</v>
      </c>
      <c r="W182">
        <v>0</v>
      </c>
      <c r="X182">
        <v>6.0502135801030228</v>
      </c>
      <c r="Y182">
        <v>6.0502135801030228</v>
      </c>
      <c r="Z182">
        <v>1</v>
      </c>
      <c r="AA182">
        <v>0.75</v>
      </c>
      <c r="AB182">
        <v>1.25</v>
      </c>
      <c r="AC182">
        <v>0</v>
      </c>
      <c r="AD182">
        <v>7.3245984434110775E-2</v>
      </c>
      <c r="AE182">
        <v>165.52603687419156</v>
      </c>
      <c r="AF182">
        <v>171.52814405883444</v>
      </c>
      <c r="AG182">
        <v>182.73373704348052</v>
      </c>
      <c r="AH182">
        <v>137.57766931677179</v>
      </c>
      <c r="AI182">
        <v>2.1</v>
      </c>
      <c r="AJ182">
        <v>0</v>
      </c>
      <c r="AK182">
        <v>0</v>
      </c>
      <c r="AL182">
        <v>2.7850412811874383</v>
      </c>
      <c r="AM182">
        <v>2.7850412811874383</v>
      </c>
      <c r="AN182">
        <v>0</v>
      </c>
      <c r="AO182">
        <v>0</v>
      </c>
      <c r="AP182">
        <v>1</v>
      </c>
      <c r="AQ182">
        <v>0</v>
      </c>
      <c r="AR182">
        <v>57.75</v>
      </c>
      <c r="AS182">
        <v>96</v>
      </c>
      <c r="AT182">
        <v>192.75</v>
      </c>
      <c r="AU182">
        <v>355.5</v>
      </c>
      <c r="AV182">
        <v>0</v>
      </c>
    </row>
    <row r="183" spans="1:48">
      <c r="A183">
        <v>182</v>
      </c>
      <c r="B183">
        <v>0</v>
      </c>
      <c r="C183">
        <v>32.159999999999535</v>
      </c>
      <c r="D183">
        <v>18.619999999999774</v>
      </c>
      <c r="E183">
        <v>6.5124986541578309</v>
      </c>
      <c r="F183">
        <v>1.0469999999999999</v>
      </c>
      <c r="G183">
        <v>5.15</v>
      </c>
      <c r="H183">
        <v>0.44175986986391963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 s="15">
        <v>0.63494372660106424</v>
      </c>
      <c r="Q183" s="15">
        <v>0.63494372660106413</v>
      </c>
      <c r="R183">
        <v>0</v>
      </c>
      <c r="S183">
        <v>0</v>
      </c>
      <c r="T183" s="15">
        <v>7.0662749712944409E-2</v>
      </c>
      <c r="U183">
        <v>21.14061139925013</v>
      </c>
      <c r="V183">
        <v>0</v>
      </c>
      <c r="W183">
        <v>0</v>
      </c>
      <c r="X183">
        <v>6.8179488657851834</v>
      </c>
      <c r="Y183">
        <v>6.8179488657851834</v>
      </c>
      <c r="Z183">
        <v>1</v>
      </c>
      <c r="AA183">
        <v>0.75</v>
      </c>
      <c r="AB183">
        <v>1.25</v>
      </c>
      <c r="AC183">
        <v>0</v>
      </c>
      <c r="AD183">
        <v>3.4900894064604601E-2</v>
      </c>
      <c r="AE183">
        <v>158.74384986405468</v>
      </c>
      <c r="AF183">
        <v>165.52603687419153</v>
      </c>
      <c r="AG183">
        <v>182.23549076126628</v>
      </c>
      <c r="AH183">
        <v>137.2217791151902</v>
      </c>
      <c r="AI183">
        <v>2.1</v>
      </c>
      <c r="AJ183">
        <v>0</v>
      </c>
      <c r="AK183">
        <v>0</v>
      </c>
      <c r="AL183">
        <v>2.3223911057726925</v>
      </c>
      <c r="AM183">
        <v>2.3223911057726925</v>
      </c>
      <c r="AN183">
        <v>0</v>
      </c>
      <c r="AO183">
        <v>0</v>
      </c>
      <c r="AP183">
        <v>1</v>
      </c>
      <c r="AQ183">
        <v>0</v>
      </c>
      <c r="AR183">
        <v>57.75</v>
      </c>
      <c r="AS183">
        <v>96</v>
      </c>
      <c r="AT183">
        <v>192.75</v>
      </c>
      <c r="AU183">
        <v>355.5</v>
      </c>
      <c r="AV183">
        <v>0</v>
      </c>
    </row>
    <row r="184" spans="1:48">
      <c r="A184">
        <v>183</v>
      </c>
      <c r="B184">
        <v>0</v>
      </c>
      <c r="C184">
        <v>32.119999999999536</v>
      </c>
      <c r="D184">
        <v>18.399999999999757</v>
      </c>
      <c r="E184">
        <v>5.9420624809616625</v>
      </c>
      <c r="F184">
        <v>1.0469999999999999</v>
      </c>
      <c r="G184">
        <v>5.14</v>
      </c>
      <c r="H184">
        <v>0.40188429849760698</v>
      </c>
      <c r="I184">
        <v>54</v>
      </c>
      <c r="J184">
        <v>0</v>
      </c>
      <c r="K184">
        <v>54</v>
      </c>
      <c r="L184">
        <v>0</v>
      </c>
      <c r="M184">
        <v>0</v>
      </c>
      <c r="N184">
        <v>0</v>
      </c>
      <c r="O184">
        <v>0</v>
      </c>
      <c r="P184" s="15">
        <v>0.44690709928742783</v>
      </c>
      <c r="Q184" s="15">
        <v>0.44690709928742778</v>
      </c>
      <c r="R184">
        <v>0</v>
      </c>
      <c r="S184">
        <v>0</v>
      </c>
      <c r="T184" s="15">
        <v>47.128257319249919</v>
      </c>
      <c r="U184">
        <v>27.565446980712782</v>
      </c>
      <c r="V184">
        <v>0</v>
      </c>
      <c r="W184">
        <v>0</v>
      </c>
      <c r="X184">
        <v>6.2207658764187519</v>
      </c>
      <c r="Y184">
        <v>6.2207658764187519</v>
      </c>
      <c r="Z184">
        <v>1</v>
      </c>
      <c r="AA184">
        <v>0.75</v>
      </c>
      <c r="AB184">
        <v>1.25</v>
      </c>
      <c r="AC184">
        <v>0</v>
      </c>
      <c r="AD184">
        <v>0.9321533400792279</v>
      </c>
      <c r="AE184">
        <v>198.71918796680663</v>
      </c>
      <c r="AF184">
        <v>158.74384986405468</v>
      </c>
      <c r="AG184">
        <v>185.28776637150068</v>
      </c>
      <c r="AH184">
        <v>139.40197597964334</v>
      </c>
      <c r="AI184">
        <v>2.1</v>
      </c>
      <c r="AJ184">
        <v>0</v>
      </c>
      <c r="AK184">
        <v>0</v>
      </c>
      <c r="AL184">
        <v>9</v>
      </c>
      <c r="AM184">
        <v>9</v>
      </c>
      <c r="AN184">
        <v>6</v>
      </c>
      <c r="AO184">
        <v>0</v>
      </c>
      <c r="AP184">
        <v>1</v>
      </c>
      <c r="AQ184">
        <v>0</v>
      </c>
      <c r="AR184">
        <v>57.75</v>
      </c>
      <c r="AS184">
        <v>96</v>
      </c>
      <c r="AT184">
        <v>192.75</v>
      </c>
      <c r="AU184">
        <v>355.5</v>
      </c>
      <c r="AV184">
        <v>0</v>
      </c>
    </row>
    <row r="185" spans="1:48">
      <c r="A185">
        <v>184</v>
      </c>
      <c r="B185">
        <v>0</v>
      </c>
      <c r="C185">
        <v>31.619999999999539</v>
      </c>
      <c r="D185">
        <v>20.339999999999733</v>
      </c>
      <c r="E185">
        <v>4.3888005973098734</v>
      </c>
      <c r="F185">
        <v>1.0469999999999999</v>
      </c>
      <c r="G185">
        <v>5.13</v>
      </c>
      <c r="H185">
        <v>0.43329308246276865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 s="15">
        <v>0.20547620066454611</v>
      </c>
      <c r="Q185" s="15">
        <v>0.20547620066454611</v>
      </c>
      <c r="R185">
        <v>0</v>
      </c>
      <c r="S185">
        <v>0</v>
      </c>
      <c r="T185" s="15">
        <v>2.4203726640333612</v>
      </c>
      <c r="U185">
        <v>24.939598116014878</v>
      </c>
      <c r="V185">
        <v>0</v>
      </c>
      <c r="W185">
        <v>0</v>
      </c>
      <c r="X185">
        <v>4.5946568804727095</v>
      </c>
      <c r="Y185">
        <v>4.5946568804727095</v>
      </c>
      <c r="Z185">
        <v>1</v>
      </c>
      <c r="AA185">
        <v>0.75</v>
      </c>
      <c r="AB185">
        <v>1.25</v>
      </c>
      <c r="AC185">
        <v>0</v>
      </c>
      <c r="AD185">
        <v>1.6039008536637649</v>
      </c>
      <c r="AE185">
        <v>194.94100289670354</v>
      </c>
      <c r="AF185">
        <v>198.71918796680663</v>
      </c>
      <c r="AG185">
        <v>182.88358100288738</v>
      </c>
      <c r="AH185">
        <v>137.68470071634812</v>
      </c>
      <c r="AI185">
        <v>2.1</v>
      </c>
      <c r="AJ185">
        <v>0</v>
      </c>
      <c r="AK185">
        <v>0</v>
      </c>
      <c r="AL185">
        <v>6.926545765453743</v>
      </c>
      <c r="AM185">
        <v>6.926545765453743</v>
      </c>
      <c r="AN185">
        <v>0</v>
      </c>
      <c r="AO185">
        <v>0</v>
      </c>
      <c r="AP185">
        <v>1</v>
      </c>
      <c r="AQ185">
        <v>0</v>
      </c>
      <c r="AR185">
        <v>57.75</v>
      </c>
      <c r="AS185">
        <v>96</v>
      </c>
      <c r="AT185">
        <v>192.75</v>
      </c>
      <c r="AU185">
        <v>355.5</v>
      </c>
      <c r="AV185">
        <v>0</v>
      </c>
    </row>
    <row r="186" spans="1:48">
      <c r="A186">
        <v>185</v>
      </c>
      <c r="B186">
        <v>6.9199999999999227</v>
      </c>
      <c r="C186">
        <v>25.779999999999628</v>
      </c>
      <c r="D186">
        <v>17.619999999999759</v>
      </c>
      <c r="E186">
        <v>2.1938363942991299</v>
      </c>
      <c r="F186">
        <v>1.0469999999999999</v>
      </c>
      <c r="G186">
        <v>5.12</v>
      </c>
      <c r="H186">
        <v>0.50799467657581476</v>
      </c>
      <c r="I186">
        <v>0</v>
      </c>
      <c r="J186">
        <v>4.792473979183276</v>
      </c>
      <c r="K186">
        <v>6.9199999999999227</v>
      </c>
      <c r="L186">
        <v>4.792473979183276</v>
      </c>
      <c r="M186">
        <v>2.1275260208166462</v>
      </c>
      <c r="N186">
        <v>0</v>
      </c>
      <c r="O186">
        <v>4.7924741220101295</v>
      </c>
      <c r="P186" s="15">
        <v>1.4270821785557244E-2</v>
      </c>
      <c r="Q186" s="15">
        <v>1.4270821785557244E-2</v>
      </c>
      <c r="R186">
        <v>0</v>
      </c>
      <c r="S186">
        <v>0</v>
      </c>
      <c r="T186" s="15">
        <v>2.2497595019716936</v>
      </c>
      <c r="U186">
        <v>27.468041914267765</v>
      </c>
      <c r="V186">
        <v>0</v>
      </c>
      <c r="W186">
        <v>0</v>
      </c>
      <c r="X186">
        <v>2.2967414393003662</v>
      </c>
      <c r="Y186">
        <v>2.2967414393003662</v>
      </c>
      <c r="Z186">
        <v>1</v>
      </c>
      <c r="AA186">
        <v>0.75</v>
      </c>
      <c r="AB186">
        <v>1.25</v>
      </c>
      <c r="AC186">
        <v>0</v>
      </c>
      <c r="AD186">
        <v>1.0191228606362457</v>
      </c>
      <c r="AE186">
        <v>193.87489809873867</v>
      </c>
      <c r="AF186">
        <v>194.94100289670354</v>
      </c>
      <c r="AG186">
        <v>177.16554748150426</v>
      </c>
      <c r="AH186">
        <v>133.60039105821733</v>
      </c>
      <c r="AI186">
        <v>2.1</v>
      </c>
      <c r="AJ186">
        <v>0</v>
      </c>
      <c r="AK186">
        <v>0</v>
      </c>
      <c r="AL186">
        <v>5.3904930887522111</v>
      </c>
      <c r="AM186">
        <v>5.3904930887522111</v>
      </c>
      <c r="AN186">
        <v>0</v>
      </c>
      <c r="AO186">
        <v>0</v>
      </c>
      <c r="AP186">
        <v>1</v>
      </c>
      <c r="AQ186">
        <v>0</v>
      </c>
      <c r="AR186">
        <v>57.75</v>
      </c>
      <c r="AS186">
        <v>96</v>
      </c>
      <c r="AT186">
        <v>192.75</v>
      </c>
      <c r="AU186">
        <v>355.5</v>
      </c>
      <c r="AV186">
        <v>0</v>
      </c>
    </row>
    <row r="187" spans="1:48">
      <c r="A187">
        <v>186</v>
      </c>
      <c r="B187">
        <v>0.15999999999999945</v>
      </c>
      <c r="C187">
        <v>31.179999999999559</v>
      </c>
      <c r="D187">
        <v>15.379999999999791</v>
      </c>
      <c r="E187">
        <v>4.9603343514557627</v>
      </c>
      <c r="F187">
        <v>1.0469999999999999</v>
      </c>
      <c r="G187">
        <v>5.1100000000000003</v>
      </c>
      <c r="H187">
        <v>0.60755950715242069</v>
      </c>
      <c r="I187">
        <v>0</v>
      </c>
      <c r="J187" s="15">
        <v>7.9355238685678287E-3</v>
      </c>
      <c r="K187">
        <v>0.15999999999999945</v>
      </c>
      <c r="L187" s="15">
        <v>7.9355238685678287E-3</v>
      </c>
      <c r="M187">
        <v>0.15206447613143162</v>
      </c>
      <c r="N187">
        <v>0</v>
      </c>
      <c r="O187">
        <v>7.9355241050648711E-3</v>
      </c>
      <c r="P187" s="15">
        <v>0.27562051047122005</v>
      </c>
      <c r="Q187" s="15">
        <v>0.27562051047122005</v>
      </c>
      <c r="R187">
        <v>0</v>
      </c>
      <c r="S187">
        <v>0</v>
      </c>
      <c r="T187" s="15">
        <v>1.7024400662054755</v>
      </c>
      <c r="U187">
        <v>25.497916861696119</v>
      </c>
      <c r="V187">
        <v>0</v>
      </c>
      <c r="W187">
        <v>0</v>
      </c>
      <c r="X187">
        <v>5.1930140009617363</v>
      </c>
      <c r="Y187">
        <v>5.1930140009617363</v>
      </c>
      <c r="Z187">
        <v>1</v>
      </c>
      <c r="AA187">
        <v>0.75</v>
      </c>
      <c r="AB187">
        <v>1.25</v>
      </c>
      <c r="AC187">
        <v>0</v>
      </c>
      <c r="AD187">
        <v>0.68832050419937663</v>
      </c>
      <c r="AE187">
        <v>189.69600365978295</v>
      </c>
      <c r="AF187">
        <v>193.87489809873864</v>
      </c>
      <c r="AG187">
        <v>169.54435752501797</v>
      </c>
      <c r="AH187">
        <v>128.1566839464414</v>
      </c>
      <c r="AI187">
        <v>2.1</v>
      </c>
      <c r="AJ187">
        <v>0</v>
      </c>
      <c r="AK187">
        <v>0</v>
      </c>
      <c r="AL187">
        <v>4.2525572779247938</v>
      </c>
      <c r="AM187">
        <v>4.2525572779247938</v>
      </c>
      <c r="AN187">
        <v>0</v>
      </c>
      <c r="AO187">
        <v>0</v>
      </c>
      <c r="AP187">
        <v>1</v>
      </c>
      <c r="AQ187">
        <v>0</v>
      </c>
      <c r="AR187">
        <v>57.75</v>
      </c>
      <c r="AS187">
        <v>96</v>
      </c>
      <c r="AT187">
        <v>192.75</v>
      </c>
      <c r="AU187">
        <v>355.5</v>
      </c>
      <c r="AV187">
        <v>0</v>
      </c>
    </row>
    <row r="188" spans="1:48">
      <c r="A188">
        <v>187</v>
      </c>
      <c r="B188">
        <v>0</v>
      </c>
      <c r="C188">
        <v>32.459999999999532</v>
      </c>
      <c r="D188">
        <v>17.819999999999769</v>
      </c>
      <c r="E188">
        <v>5.6137561354718821</v>
      </c>
      <c r="F188">
        <v>1.0469999999999999</v>
      </c>
      <c r="G188">
        <v>5.0999999999999996</v>
      </c>
      <c r="H188">
        <v>0.48125461996167368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 s="15">
        <v>0.29220890273795552</v>
      </c>
      <c r="Q188" s="15">
        <v>0.29220890273795563</v>
      </c>
      <c r="R188">
        <v>0</v>
      </c>
      <c r="S188">
        <v>0</v>
      </c>
      <c r="T188" s="15">
        <v>0.6939547607951434</v>
      </c>
      <c r="U188">
        <v>24.511753198163014</v>
      </c>
      <c r="V188">
        <v>0</v>
      </c>
      <c r="W188">
        <v>0</v>
      </c>
      <c r="X188">
        <v>5.877096131450454</v>
      </c>
      <c r="Y188">
        <v>5.877096131450454</v>
      </c>
      <c r="Z188">
        <v>1</v>
      </c>
      <c r="AA188">
        <v>0.75</v>
      </c>
      <c r="AB188">
        <v>1.25</v>
      </c>
      <c r="AC188">
        <v>0</v>
      </c>
      <c r="AD188" s="15">
        <v>0.38677367739696206</v>
      </c>
      <c r="AE188">
        <v>184.12608861173072</v>
      </c>
      <c r="AF188">
        <v>189.69600365978295</v>
      </c>
      <c r="AG188">
        <v>179.21236511503369</v>
      </c>
      <c r="AH188">
        <v>135.06240365359548</v>
      </c>
      <c r="AI188">
        <v>2.1</v>
      </c>
      <c r="AJ188">
        <v>0</v>
      </c>
      <c r="AK188">
        <v>0</v>
      </c>
      <c r="AL188">
        <v>3.4095536952976171</v>
      </c>
      <c r="AM188">
        <v>3.4095536952976171</v>
      </c>
      <c r="AN188">
        <v>0</v>
      </c>
      <c r="AO188">
        <v>0</v>
      </c>
      <c r="AP188">
        <v>1</v>
      </c>
      <c r="AQ188">
        <v>0</v>
      </c>
      <c r="AR188">
        <v>57.75</v>
      </c>
      <c r="AS188">
        <v>96</v>
      </c>
      <c r="AT188">
        <v>192.75</v>
      </c>
      <c r="AU188">
        <v>355.5</v>
      </c>
      <c r="AV188">
        <v>0</v>
      </c>
    </row>
    <row r="189" spans="1:48">
      <c r="A189">
        <v>188</v>
      </c>
      <c r="B189">
        <v>1.2399999999999296</v>
      </c>
      <c r="C189">
        <v>33.919999999999511</v>
      </c>
      <c r="D189">
        <v>19.579999999999732</v>
      </c>
      <c r="E189">
        <v>5.4761550976233364</v>
      </c>
      <c r="F189">
        <v>1.0469999999999999</v>
      </c>
      <c r="G189">
        <v>5.09</v>
      </c>
      <c r="H189">
        <v>0.45322779967790378</v>
      </c>
      <c r="I189">
        <v>0</v>
      </c>
      <c r="J189">
        <v>0.35808104331622048</v>
      </c>
      <c r="K189">
        <v>1.2399999999999296</v>
      </c>
      <c r="L189">
        <v>0.35808104331622048</v>
      </c>
      <c r="M189">
        <v>0.88191895668370912</v>
      </c>
      <c r="N189">
        <v>0</v>
      </c>
      <c r="O189">
        <v>0.35808105398786727</v>
      </c>
      <c r="P189" s="15">
        <v>0.31977701557119409</v>
      </c>
      <c r="Q189" s="15">
        <v>0.31977701557119409</v>
      </c>
      <c r="R189">
        <v>0</v>
      </c>
      <c r="S189">
        <v>0</v>
      </c>
      <c r="T189" s="15">
        <v>0.40513946926116051</v>
      </c>
      <c r="U189">
        <v>24.144917767318528</v>
      </c>
      <c r="V189">
        <v>0</v>
      </c>
      <c r="W189">
        <v>0</v>
      </c>
      <c r="X189">
        <v>5.7330500722970683</v>
      </c>
      <c r="Y189">
        <v>5.7330500722970683</v>
      </c>
      <c r="Z189">
        <v>1</v>
      </c>
      <c r="AA189">
        <v>0.75</v>
      </c>
      <c r="AB189">
        <v>1.25</v>
      </c>
      <c r="AC189">
        <v>0</v>
      </c>
      <c r="AD189" s="15">
        <v>0.20752059113991397</v>
      </c>
      <c r="AE189">
        <v>178.59065741755489</v>
      </c>
      <c r="AF189">
        <v>184.12608861173072</v>
      </c>
      <c r="AG189">
        <v>181.35767807365485</v>
      </c>
      <c r="AH189">
        <v>136.59477005261061</v>
      </c>
      <c r="AI189">
        <v>2.1</v>
      </c>
      <c r="AJ189">
        <v>0</v>
      </c>
      <c r="AK189">
        <v>0</v>
      </c>
      <c r="AL189">
        <v>2.7850412811874383</v>
      </c>
      <c r="AM189">
        <v>2.7850412811874383</v>
      </c>
      <c r="AN189">
        <v>0</v>
      </c>
      <c r="AO189">
        <v>0</v>
      </c>
      <c r="AP189">
        <v>1</v>
      </c>
      <c r="AQ189">
        <v>0</v>
      </c>
      <c r="AR189">
        <v>57.75</v>
      </c>
      <c r="AS189">
        <v>96</v>
      </c>
      <c r="AT189">
        <v>192.75</v>
      </c>
      <c r="AU189">
        <v>355.5</v>
      </c>
      <c r="AV189">
        <v>0</v>
      </c>
    </row>
    <row r="190" spans="1:48">
      <c r="A190">
        <v>189</v>
      </c>
      <c r="B190">
        <v>20.479999999999634</v>
      </c>
      <c r="C190">
        <v>31.239999999999547</v>
      </c>
      <c r="D190">
        <v>17.699999999999754</v>
      </c>
      <c r="E190">
        <v>3.7231972479185647</v>
      </c>
      <c r="F190">
        <v>1.0469999999999999</v>
      </c>
      <c r="G190">
        <v>5.08</v>
      </c>
      <c r="H190">
        <v>0.45788691742657028</v>
      </c>
      <c r="I190">
        <v>0</v>
      </c>
      <c r="J190">
        <v>17.826861611696344</v>
      </c>
      <c r="K190">
        <v>20.479999999999634</v>
      </c>
      <c r="L190">
        <v>15.435385981906997</v>
      </c>
      <c r="M190">
        <v>2.653138388303292</v>
      </c>
      <c r="N190">
        <v>2.3914756297893485</v>
      </c>
      <c r="O190">
        <v>15.435386441917345</v>
      </c>
      <c r="P190" s="15">
        <v>0.11458443640513322</v>
      </c>
      <c r="Q190" s="15">
        <v>0.11458443640513322</v>
      </c>
      <c r="R190">
        <v>0</v>
      </c>
      <c r="S190">
        <v>0</v>
      </c>
      <c r="T190" s="15">
        <v>6.185446365286289</v>
      </c>
      <c r="U190">
        <v>33.280273407544435</v>
      </c>
      <c r="V190">
        <v>0</v>
      </c>
      <c r="W190">
        <v>0</v>
      </c>
      <c r="X190">
        <v>3.8978651873160604</v>
      </c>
      <c r="Y190">
        <v>3.8978651873160604</v>
      </c>
      <c r="Z190">
        <v>1</v>
      </c>
      <c r="AA190">
        <v>0.75</v>
      </c>
      <c r="AB190">
        <v>1.25</v>
      </c>
      <c r="AC190">
        <v>0</v>
      </c>
      <c r="AD190" s="15">
        <v>0.13453347569696064</v>
      </c>
      <c r="AE190">
        <v>180.74370511982812</v>
      </c>
      <c r="AF190">
        <v>178.59065741755489</v>
      </c>
      <c r="AG190">
        <v>181.00104590558317</v>
      </c>
      <c r="AH190">
        <v>136.34003278970226</v>
      </c>
      <c r="AI190">
        <v>2.1</v>
      </c>
      <c r="AJ190">
        <v>0</v>
      </c>
      <c r="AK190">
        <v>0</v>
      </c>
      <c r="AL190">
        <v>2.3223911057726925</v>
      </c>
      <c r="AM190">
        <v>2.3223911057726925</v>
      </c>
      <c r="AN190">
        <v>0</v>
      </c>
      <c r="AO190">
        <v>0</v>
      </c>
      <c r="AP190">
        <v>1</v>
      </c>
      <c r="AQ190">
        <v>0</v>
      </c>
      <c r="AR190">
        <v>57.75</v>
      </c>
      <c r="AS190">
        <v>96</v>
      </c>
      <c r="AT190">
        <v>192.75</v>
      </c>
      <c r="AU190">
        <v>355.5</v>
      </c>
      <c r="AV190">
        <v>0</v>
      </c>
    </row>
    <row r="191" spans="1:48">
      <c r="A191">
        <v>190</v>
      </c>
      <c r="B191">
        <v>0</v>
      </c>
      <c r="C191">
        <v>31.43999999999955</v>
      </c>
      <c r="D191">
        <v>15.599999999999792</v>
      </c>
      <c r="E191">
        <v>6.0545996616956863</v>
      </c>
      <c r="F191">
        <v>1.0469999999999999</v>
      </c>
      <c r="G191">
        <v>5.07</v>
      </c>
      <c r="H191">
        <v>0.53950201416821342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 s="15">
        <v>0.47837414654456439</v>
      </c>
      <c r="Q191" s="15">
        <v>0.47837414654456439</v>
      </c>
      <c r="R191">
        <v>0</v>
      </c>
      <c r="S191">
        <v>0</v>
      </c>
      <c r="T191" s="15">
        <v>4.3710015453559636</v>
      </c>
      <c r="U191">
        <v>28.430897715643916</v>
      </c>
      <c r="V191">
        <v>0</v>
      </c>
      <c r="W191">
        <v>0</v>
      </c>
      <c r="X191">
        <v>6.3386533957485982</v>
      </c>
      <c r="Y191">
        <v>6.3386533957485982</v>
      </c>
      <c r="Z191">
        <v>1</v>
      </c>
      <c r="AA191">
        <v>0.75</v>
      </c>
      <c r="AB191">
        <v>1.25</v>
      </c>
      <c r="AC191">
        <v>0</v>
      </c>
      <c r="AD191" s="15">
        <v>0.13529841219719971</v>
      </c>
      <c r="AE191">
        <v>178.64075485723831</v>
      </c>
      <c r="AF191">
        <v>180.74370511982812</v>
      </c>
      <c r="AG191">
        <v>174.75381832549411</v>
      </c>
      <c r="AH191">
        <v>131.87772737535292</v>
      </c>
      <c r="AI191">
        <v>2.1</v>
      </c>
      <c r="AJ191">
        <v>0</v>
      </c>
      <c r="AK191">
        <v>0</v>
      </c>
      <c r="AL191">
        <v>1.9796514260238554</v>
      </c>
      <c r="AM191">
        <v>1.9796514260238554</v>
      </c>
      <c r="AN191">
        <v>0</v>
      </c>
      <c r="AO191">
        <v>0</v>
      </c>
      <c r="AP191">
        <v>1</v>
      </c>
      <c r="AQ191">
        <v>0</v>
      </c>
      <c r="AR191">
        <v>57.75</v>
      </c>
      <c r="AS191">
        <v>96</v>
      </c>
      <c r="AT191">
        <v>192.75</v>
      </c>
      <c r="AU191">
        <v>355.5</v>
      </c>
      <c r="AV191">
        <v>0</v>
      </c>
    </row>
    <row r="192" spans="1:48">
      <c r="A192">
        <v>191</v>
      </c>
      <c r="B192">
        <v>0</v>
      </c>
      <c r="C192">
        <v>32.219999999999537</v>
      </c>
      <c r="D192">
        <v>15.499999999999794</v>
      </c>
      <c r="E192">
        <v>5.7496770758414559</v>
      </c>
      <c r="F192">
        <v>1.0469999999999999</v>
      </c>
      <c r="G192">
        <v>5.0599999999999996</v>
      </c>
      <c r="H192">
        <v>0.42731889993282268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 s="15">
        <v>0.38436343051874261</v>
      </c>
      <c r="Q192" s="15">
        <v>0.38436343051874261</v>
      </c>
      <c r="R192">
        <v>0</v>
      </c>
      <c r="S192">
        <v>0</v>
      </c>
      <c r="T192">
        <v>1.1785856352056876</v>
      </c>
      <c r="U192">
        <v>26.867948649919491</v>
      </c>
      <c r="V192">
        <v>0</v>
      </c>
      <c r="W192">
        <v>0</v>
      </c>
      <c r="X192">
        <v>6.0194367428423226</v>
      </c>
      <c r="Y192">
        <v>6.0194367428423226</v>
      </c>
      <c r="Z192">
        <v>1</v>
      </c>
      <c r="AA192">
        <v>0.75</v>
      </c>
      <c r="AB192">
        <v>1.25</v>
      </c>
      <c r="AC192">
        <v>0</v>
      </c>
      <c r="AD192" s="15">
        <v>8.590397621351481E-2</v>
      </c>
      <c r="AE192">
        <v>173.71399977338822</v>
      </c>
      <c r="AF192">
        <v>178.64075485723833</v>
      </c>
      <c r="AG192">
        <v>183.34087480464208</v>
      </c>
      <c r="AH192">
        <v>138.01133914617293</v>
      </c>
      <c r="AI192">
        <v>2.1</v>
      </c>
      <c r="AJ192">
        <v>0</v>
      </c>
      <c r="AK192">
        <v>0</v>
      </c>
      <c r="AL192">
        <v>1.7257436263153001</v>
      </c>
      <c r="AM192">
        <v>1.7257436263153001</v>
      </c>
      <c r="AN192">
        <v>0</v>
      </c>
      <c r="AO192">
        <v>0</v>
      </c>
      <c r="AP192">
        <v>1</v>
      </c>
      <c r="AQ192">
        <v>0</v>
      </c>
      <c r="AR192">
        <v>57.75</v>
      </c>
      <c r="AS192">
        <v>96</v>
      </c>
      <c r="AT192">
        <v>192.75</v>
      </c>
      <c r="AU192">
        <v>355.5</v>
      </c>
      <c r="AV192">
        <v>0</v>
      </c>
    </row>
    <row r="193" spans="1:48">
      <c r="A193">
        <v>192</v>
      </c>
      <c r="B193">
        <v>0</v>
      </c>
      <c r="C193">
        <v>32.179999999999538</v>
      </c>
      <c r="D193">
        <v>17.839999999999748</v>
      </c>
      <c r="E193">
        <v>5.7982520979096188</v>
      </c>
      <c r="F193">
        <v>1.0469999999999999</v>
      </c>
      <c r="G193">
        <v>5.05</v>
      </c>
      <c r="H193">
        <v>0.44384799432065253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 s="15">
        <v>0.44505726168221144</v>
      </c>
      <c r="Q193" s="15">
        <v>0.44505726168221144</v>
      </c>
      <c r="R193">
        <v>0</v>
      </c>
      <c r="S193">
        <v>0</v>
      </c>
      <c r="T193">
        <v>0.59494368679939624</v>
      </c>
      <c r="U193">
        <v>25.827947701437896</v>
      </c>
      <c r="V193">
        <v>0</v>
      </c>
      <c r="W193">
        <v>0</v>
      </c>
      <c r="X193">
        <v>6.07030268142032</v>
      </c>
      <c r="Y193">
        <v>6.07030268142032</v>
      </c>
      <c r="Z193">
        <v>1</v>
      </c>
      <c r="AA193">
        <v>0.75</v>
      </c>
      <c r="AB193">
        <v>1.25</v>
      </c>
      <c r="AC193">
        <v>0</v>
      </c>
      <c r="AD193" s="15">
        <v>4.9710007004716152E-2</v>
      </c>
      <c r="AE193">
        <v>168.18893077176261</v>
      </c>
      <c r="AF193">
        <v>173.71399977338822</v>
      </c>
      <c r="AG193">
        <v>182.07565527472568</v>
      </c>
      <c r="AH193">
        <v>137.10761091051833</v>
      </c>
      <c r="AI193">
        <v>2.1</v>
      </c>
      <c r="AJ193">
        <v>0</v>
      </c>
      <c r="AK193">
        <v>0</v>
      </c>
      <c r="AL193">
        <v>1.5376441019179983</v>
      </c>
      <c r="AM193">
        <v>1.5376441019179983</v>
      </c>
      <c r="AN193">
        <v>0</v>
      </c>
      <c r="AO193">
        <v>0</v>
      </c>
      <c r="AP193">
        <v>1</v>
      </c>
      <c r="AQ193">
        <v>0</v>
      </c>
      <c r="AR193">
        <v>57.75</v>
      </c>
      <c r="AS193">
        <v>96</v>
      </c>
      <c r="AT193">
        <v>192.75</v>
      </c>
      <c r="AU193">
        <v>355.5</v>
      </c>
      <c r="AV193">
        <v>0</v>
      </c>
    </row>
    <row r="194" spans="1:48">
      <c r="A194">
        <v>193</v>
      </c>
      <c r="B194">
        <v>0</v>
      </c>
      <c r="C194">
        <v>31.839999999999542</v>
      </c>
      <c r="D194">
        <v>19.499999999999744</v>
      </c>
      <c r="E194">
        <v>5.1898732168480164</v>
      </c>
      <c r="F194">
        <v>1.0469999999999999</v>
      </c>
      <c r="G194">
        <v>5.04</v>
      </c>
      <c r="H194">
        <v>0.43938560363073609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 s="15">
        <v>0.1983197814177067</v>
      </c>
      <c r="Q194" s="15">
        <v>0.1983197814177067</v>
      </c>
      <c r="R194">
        <v>0</v>
      </c>
      <c r="S194">
        <v>0</v>
      </c>
      <c r="T194">
        <v>0.37167555784666195</v>
      </c>
      <c r="U194">
        <v>25.257952362173523</v>
      </c>
      <c r="V194">
        <v>0</v>
      </c>
      <c r="W194">
        <v>0</v>
      </c>
      <c r="X194">
        <v>5.4333899287992402</v>
      </c>
      <c r="Y194">
        <v>5.4333899287992402</v>
      </c>
      <c r="Z194">
        <v>1</v>
      </c>
      <c r="AA194">
        <v>0.75</v>
      </c>
      <c r="AB194">
        <v>1.25</v>
      </c>
      <c r="AC194">
        <v>0</v>
      </c>
      <c r="AD194" s="15">
        <v>2.8434501877636492E-2</v>
      </c>
      <c r="AE194">
        <v>163.09878189893237</v>
      </c>
      <c r="AF194">
        <v>168.18893077176261</v>
      </c>
      <c r="AG194">
        <v>182.41722897008529</v>
      </c>
      <c r="AH194">
        <v>137.35159212148949</v>
      </c>
      <c r="AI194">
        <v>2.1</v>
      </c>
      <c r="AJ194">
        <v>0</v>
      </c>
      <c r="AK194">
        <v>0</v>
      </c>
      <c r="AL194">
        <v>1.3982965469429116</v>
      </c>
      <c r="AM194">
        <v>1.3982965469429116</v>
      </c>
      <c r="AN194">
        <v>0</v>
      </c>
      <c r="AO194">
        <v>0</v>
      </c>
      <c r="AP194">
        <v>1</v>
      </c>
      <c r="AQ194">
        <v>0</v>
      </c>
      <c r="AR194">
        <v>57.75</v>
      </c>
      <c r="AS194">
        <v>96</v>
      </c>
      <c r="AT194">
        <v>192.75</v>
      </c>
      <c r="AU194">
        <v>355.5</v>
      </c>
      <c r="AV194">
        <v>0</v>
      </c>
    </row>
    <row r="195" spans="1:48">
      <c r="A195">
        <v>194</v>
      </c>
      <c r="B195" s="15">
        <v>0</v>
      </c>
      <c r="C195">
        <v>28.659999999999584</v>
      </c>
      <c r="D195">
        <v>16.959999999999766</v>
      </c>
      <c r="E195">
        <v>4.7710097428047904</v>
      </c>
      <c r="F195">
        <v>1.0469999999999999</v>
      </c>
      <c r="G195">
        <v>5.03</v>
      </c>
      <c r="H195">
        <v>0.47473161215611459</v>
      </c>
      <c r="I195">
        <v>0</v>
      </c>
      <c r="J195" s="15">
        <v>0</v>
      </c>
      <c r="K195" s="15">
        <v>0</v>
      </c>
      <c r="L195" s="15">
        <v>0</v>
      </c>
      <c r="M195" s="15">
        <v>0</v>
      </c>
      <c r="N195">
        <v>0</v>
      </c>
      <c r="O195" s="15">
        <v>0</v>
      </c>
      <c r="P195" s="15">
        <v>0.33027406573311541</v>
      </c>
      <c r="Q195" s="15">
        <v>0.33027406573311541</v>
      </c>
      <c r="R195">
        <v>0</v>
      </c>
      <c r="S195">
        <v>0</v>
      </c>
      <c r="T195">
        <v>0.2601882013589607</v>
      </c>
      <c r="U195">
        <v>24.667490095081465</v>
      </c>
      <c r="V195">
        <v>0</v>
      </c>
      <c r="W195">
        <v>0</v>
      </c>
      <c r="X195">
        <v>4.9948829741950567</v>
      </c>
      <c r="Y195">
        <v>4.9948829741950567</v>
      </c>
      <c r="Z195">
        <v>1</v>
      </c>
      <c r="AA195">
        <v>0.75</v>
      </c>
      <c r="AB195">
        <v>1.25</v>
      </c>
      <c r="AC195">
        <v>0</v>
      </c>
      <c r="AD195">
        <v>1.681314509745194E-2</v>
      </c>
      <c r="AE195">
        <v>158.34727398099884</v>
      </c>
      <c r="AF195">
        <v>163.09878189893237</v>
      </c>
      <c r="AG195">
        <v>179.7116687475102</v>
      </c>
      <c r="AH195">
        <v>135.41904910536445</v>
      </c>
      <c r="AI195">
        <v>2.1</v>
      </c>
      <c r="AJ195">
        <v>0</v>
      </c>
      <c r="AK195">
        <v>0</v>
      </c>
      <c r="AL195">
        <v>1.2950653392099201</v>
      </c>
      <c r="AM195">
        <v>1.2950653392099201</v>
      </c>
      <c r="AN195">
        <v>0</v>
      </c>
      <c r="AO195">
        <v>0</v>
      </c>
      <c r="AP195">
        <v>1</v>
      </c>
      <c r="AQ195">
        <v>0</v>
      </c>
      <c r="AR195">
        <v>57.75</v>
      </c>
      <c r="AS195">
        <v>96</v>
      </c>
      <c r="AT195">
        <v>192.75</v>
      </c>
      <c r="AU195">
        <v>355.5</v>
      </c>
      <c r="AV195">
        <v>0</v>
      </c>
    </row>
    <row r="196" spans="1:48">
      <c r="A196">
        <v>195</v>
      </c>
      <c r="B196">
        <v>6.0799999999999654</v>
      </c>
      <c r="C196">
        <v>25.219999999999644</v>
      </c>
      <c r="D196">
        <v>15.499999999999794</v>
      </c>
      <c r="E196">
        <v>3.6581549139520657</v>
      </c>
      <c r="F196">
        <v>1.0469999999999999</v>
      </c>
      <c r="G196">
        <v>5.0199999999999996</v>
      </c>
      <c r="H196">
        <v>0.48699371869358615</v>
      </c>
      <c r="I196">
        <v>0</v>
      </c>
      <c r="J196" s="15">
        <v>4.0658161020677213</v>
      </c>
      <c r="K196">
        <v>6.0799999999999654</v>
      </c>
      <c r="L196" s="15">
        <v>4.0658161020677213</v>
      </c>
      <c r="M196">
        <v>2.0141838979322442</v>
      </c>
      <c r="N196">
        <v>0</v>
      </c>
      <c r="O196" s="15">
        <v>4.0658162232384827</v>
      </c>
      <c r="P196" s="15">
        <v>0.11809671125472232</v>
      </c>
      <c r="Q196" s="15">
        <v>0.11809671125472231</v>
      </c>
      <c r="R196">
        <v>0</v>
      </c>
      <c r="S196">
        <v>0</v>
      </c>
      <c r="T196" s="15">
        <v>0.53539332682292529</v>
      </c>
      <c r="U196">
        <v>28.079816280242305</v>
      </c>
      <c r="V196">
        <v>0</v>
      </c>
      <c r="W196">
        <v>0</v>
      </c>
      <c r="X196">
        <v>3.8298168968296964</v>
      </c>
      <c r="Y196">
        <v>3.8298168968296964</v>
      </c>
      <c r="Z196">
        <v>1</v>
      </c>
      <c r="AA196">
        <v>0.75</v>
      </c>
      <c r="AB196">
        <v>1.25</v>
      </c>
      <c r="AC196">
        <v>0</v>
      </c>
      <c r="AD196">
        <v>1.0627829897914534E-2</v>
      </c>
      <c r="AE196">
        <v>155.04222258109417</v>
      </c>
      <c r="AF196">
        <v>158.34727398099881</v>
      </c>
      <c r="AG196">
        <v>178.77306580259946</v>
      </c>
      <c r="AH196">
        <v>134.74861843042817</v>
      </c>
      <c r="AI196">
        <v>2.1</v>
      </c>
      <c r="AJ196">
        <v>0</v>
      </c>
      <c r="AK196">
        <v>0</v>
      </c>
      <c r="AL196">
        <v>1.2185897795783405</v>
      </c>
      <c r="AM196">
        <v>1.2185897795783405</v>
      </c>
      <c r="AN196">
        <v>0</v>
      </c>
      <c r="AO196">
        <v>0</v>
      </c>
      <c r="AP196">
        <v>1</v>
      </c>
      <c r="AQ196">
        <v>0</v>
      </c>
      <c r="AR196">
        <v>57.75</v>
      </c>
      <c r="AS196">
        <v>96</v>
      </c>
      <c r="AT196">
        <v>192.75</v>
      </c>
      <c r="AU196">
        <v>355.5</v>
      </c>
      <c r="AV196">
        <v>0</v>
      </c>
    </row>
    <row r="197" spans="1:48">
      <c r="A197">
        <v>196</v>
      </c>
      <c r="B197">
        <v>0</v>
      </c>
      <c r="C197">
        <v>27.259999999999607</v>
      </c>
      <c r="D197">
        <v>17.059999999999761</v>
      </c>
      <c r="E197">
        <v>3.6058934976361061</v>
      </c>
      <c r="F197">
        <v>1.0469999999999999</v>
      </c>
      <c r="G197">
        <v>5.01</v>
      </c>
      <c r="H197">
        <v>0.54208345473598474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 s="15">
        <v>9.8200488652225429E-2</v>
      </c>
      <c r="Q197" s="15">
        <v>9.8200488652225429E-2</v>
      </c>
      <c r="R197">
        <v>0</v>
      </c>
      <c r="S197">
        <v>0</v>
      </c>
      <c r="T197" s="15">
        <v>0.79318150884169891</v>
      </c>
      <c r="U197">
        <v>27.188434282748375</v>
      </c>
      <c r="V197">
        <v>0</v>
      </c>
      <c r="W197">
        <v>0</v>
      </c>
      <c r="X197">
        <v>3.7751110305253177</v>
      </c>
      <c r="Y197">
        <v>3.7751110305253177</v>
      </c>
      <c r="Z197">
        <v>1</v>
      </c>
      <c r="AA197">
        <v>0.75</v>
      </c>
      <c r="AB197">
        <v>1.25</v>
      </c>
      <c r="AC197">
        <v>0</v>
      </c>
      <c r="AD197">
        <v>7.4926330605434811E-3</v>
      </c>
      <c r="AE197">
        <v>152.05280042634999</v>
      </c>
      <c r="AF197">
        <v>155.04222258109417</v>
      </c>
      <c r="AG197">
        <v>174.55622195723407</v>
      </c>
      <c r="AH197">
        <v>131.73658711231002</v>
      </c>
      <c r="AI197">
        <v>2.1</v>
      </c>
      <c r="AJ197">
        <v>0</v>
      </c>
      <c r="AK197">
        <v>0</v>
      </c>
      <c r="AL197">
        <v>1.1619352915664352</v>
      </c>
      <c r="AM197">
        <v>1.1619352915664352</v>
      </c>
      <c r="AN197">
        <v>0</v>
      </c>
      <c r="AO197">
        <v>0</v>
      </c>
      <c r="AP197">
        <v>1</v>
      </c>
      <c r="AQ197">
        <v>0</v>
      </c>
      <c r="AR197">
        <v>57.75</v>
      </c>
      <c r="AS197">
        <v>96</v>
      </c>
      <c r="AT197">
        <v>192.75</v>
      </c>
      <c r="AU197">
        <v>355.5</v>
      </c>
      <c r="AV197">
        <v>0</v>
      </c>
    </row>
    <row r="198" spans="1:48">
      <c r="A198">
        <v>197</v>
      </c>
      <c r="B198">
        <v>1.3199999999999292</v>
      </c>
      <c r="C198">
        <v>29.979999999999574</v>
      </c>
      <c r="D198">
        <v>16.419999999999771</v>
      </c>
      <c r="E198">
        <v>4.9914828112465441</v>
      </c>
      <c r="F198">
        <v>1.0469999999999999</v>
      </c>
      <c r="G198">
        <v>5</v>
      </c>
      <c r="H198">
        <v>0.54506753822556031</v>
      </c>
      <c r="I198">
        <v>0</v>
      </c>
      <c r="J198">
        <v>0.40333333333329668</v>
      </c>
      <c r="K198">
        <v>1.3199999999999292</v>
      </c>
      <c r="L198">
        <v>0.40333333333329668</v>
      </c>
      <c r="M198">
        <v>0.91666666666663255</v>
      </c>
      <c r="N198" s="15">
        <v>0</v>
      </c>
      <c r="O198">
        <v>0.40333334535356663</v>
      </c>
      <c r="P198" s="15">
        <v>0.21858605345763335</v>
      </c>
      <c r="Q198" s="15">
        <v>0.21858605345763329</v>
      </c>
      <c r="R198">
        <v>0</v>
      </c>
      <c r="S198">
        <v>0</v>
      </c>
      <c r="T198" s="15">
        <v>0.5790612116994347</v>
      </c>
      <c r="U198">
        <v>26.794120362944881</v>
      </c>
      <c r="V198">
        <v>0</v>
      </c>
      <c r="W198">
        <v>0</v>
      </c>
      <c r="X198">
        <v>5.225734472199278</v>
      </c>
      <c r="Y198">
        <v>5.225734472199278</v>
      </c>
      <c r="Z198">
        <v>1</v>
      </c>
      <c r="AA198">
        <v>0.75</v>
      </c>
      <c r="AB198">
        <v>1.25</v>
      </c>
      <c r="AC198">
        <v>2.5304029310896939E-2</v>
      </c>
      <c r="AD198">
        <v>3.3492341698256613E-3</v>
      </c>
      <c r="AE198">
        <v>147.42808196099119</v>
      </c>
      <c r="AF198">
        <v>152.05280042634999</v>
      </c>
      <c r="AG198">
        <v>174.32780528652449</v>
      </c>
      <c r="AH198">
        <v>131.5734323475175</v>
      </c>
      <c r="AI198">
        <v>2.1</v>
      </c>
      <c r="AJ198">
        <v>0</v>
      </c>
      <c r="AK198">
        <v>0</v>
      </c>
      <c r="AL198">
        <v>1.1199646145638216</v>
      </c>
      <c r="AM198">
        <v>1.1199646145638216</v>
      </c>
      <c r="AN198">
        <v>0</v>
      </c>
      <c r="AO198">
        <v>0</v>
      </c>
      <c r="AP198">
        <v>1</v>
      </c>
      <c r="AQ198">
        <v>0</v>
      </c>
      <c r="AR198">
        <v>57.75</v>
      </c>
      <c r="AS198">
        <v>96</v>
      </c>
      <c r="AT198">
        <v>192.75</v>
      </c>
      <c r="AU198">
        <v>355.5</v>
      </c>
      <c r="AV198">
        <v>0</v>
      </c>
    </row>
    <row r="199" spans="1:48">
      <c r="A199">
        <v>198</v>
      </c>
      <c r="B199">
        <v>0</v>
      </c>
      <c r="C199">
        <v>32.879999999999548</v>
      </c>
      <c r="D199">
        <v>18.439999999999756</v>
      </c>
      <c r="E199">
        <v>5.1843390930848985</v>
      </c>
      <c r="F199">
        <v>1.0469999999999999</v>
      </c>
      <c r="G199">
        <v>4.99</v>
      </c>
      <c r="H199">
        <v>0.48222717937097703</v>
      </c>
      <c r="I199">
        <v>54</v>
      </c>
      <c r="J199">
        <v>0</v>
      </c>
      <c r="K199">
        <v>54</v>
      </c>
      <c r="L199">
        <v>0</v>
      </c>
      <c r="M199">
        <v>0</v>
      </c>
      <c r="N199">
        <v>0</v>
      </c>
      <c r="O199">
        <v>0</v>
      </c>
      <c r="P199" s="15">
        <v>0.23583813101506146</v>
      </c>
      <c r="Q199" s="15">
        <v>0.23583813101506146</v>
      </c>
      <c r="R199">
        <v>0</v>
      </c>
      <c r="S199">
        <v>0</v>
      </c>
      <c r="T199" s="15">
        <v>52.923771720783897</v>
      </c>
      <c r="U199">
        <v>27.634510511145912</v>
      </c>
      <c r="V199">
        <v>0</v>
      </c>
      <c r="W199">
        <v>0</v>
      </c>
      <c r="X199">
        <v>5.427653194280885</v>
      </c>
      <c r="Y199">
        <v>5.427653194280885</v>
      </c>
      <c r="Z199">
        <v>1</v>
      </c>
      <c r="AA199">
        <v>0.75</v>
      </c>
      <c r="AB199">
        <v>1.25</v>
      </c>
      <c r="AC199">
        <v>2.1312106568479983E-2</v>
      </c>
      <c r="AD199">
        <v>0.60964651479070298</v>
      </c>
      <c r="AE199">
        <v>194.33586607927202</v>
      </c>
      <c r="AF199">
        <v>147.42808196099119</v>
      </c>
      <c r="AG199">
        <v>179.13792055504857</v>
      </c>
      <c r="AH199">
        <v>135.00922896789183</v>
      </c>
      <c r="AI199">
        <v>2.1</v>
      </c>
      <c r="AJ199">
        <v>0</v>
      </c>
      <c r="AK199">
        <v>0</v>
      </c>
      <c r="AL199">
        <v>9</v>
      </c>
      <c r="AM199">
        <v>9</v>
      </c>
      <c r="AN199">
        <v>6</v>
      </c>
      <c r="AO199">
        <v>0</v>
      </c>
      <c r="AP199">
        <v>1</v>
      </c>
      <c r="AQ199">
        <v>0</v>
      </c>
      <c r="AR199">
        <v>57.75</v>
      </c>
      <c r="AS199">
        <v>96</v>
      </c>
      <c r="AT199">
        <v>192.75</v>
      </c>
      <c r="AU199">
        <v>355.5</v>
      </c>
      <c r="AV199">
        <v>0</v>
      </c>
    </row>
    <row r="200" spans="1:48">
      <c r="A200">
        <v>199</v>
      </c>
      <c r="B200">
        <v>0</v>
      </c>
      <c r="C200">
        <v>33.239999999999526</v>
      </c>
      <c r="D200">
        <v>19.059999999999746</v>
      </c>
      <c r="E200">
        <v>4.772766755824037</v>
      </c>
      <c r="F200">
        <v>1.0469999999999999</v>
      </c>
      <c r="G200">
        <v>4.9800000000000004</v>
      </c>
      <c r="H200">
        <v>0.47346034758136962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 s="15">
        <v>0.19488023142292421</v>
      </c>
      <c r="Q200" s="15">
        <v>0.19488023142292421</v>
      </c>
      <c r="R200">
        <v>0</v>
      </c>
      <c r="S200">
        <v>0</v>
      </c>
      <c r="T200" s="15">
        <v>2.4706474622460921</v>
      </c>
      <c r="U200">
        <v>24.96898281747691</v>
      </c>
      <c r="V200">
        <v>0</v>
      </c>
      <c r="W200">
        <v>0</v>
      </c>
      <c r="X200">
        <v>4.9967754930416328</v>
      </c>
      <c r="Y200">
        <v>4.9967754930416328</v>
      </c>
      <c r="Z200">
        <v>1</v>
      </c>
      <c r="AA200">
        <v>0.75</v>
      </c>
      <c r="AB200">
        <v>1.25</v>
      </c>
      <c r="AC200">
        <v>0</v>
      </c>
      <c r="AD200">
        <v>1.1856271603070347</v>
      </c>
      <c r="AE200">
        <v>190.62411088816938</v>
      </c>
      <c r="AF200">
        <v>194.33586607927202</v>
      </c>
      <c r="AG200">
        <v>179.80897769438405</v>
      </c>
      <c r="AH200">
        <v>135.48855549598861</v>
      </c>
      <c r="AI200">
        <v>2.1</v>
      </c>
      <c r="AJ200">
        <v>0</v>
      </c>
      <c r="AK200">
        <v>0</v>
      </c>
      <c r="AL200">
        <v>6.926545765453743</v>
      </c>
      <c r="AM200">
        <v>6.926545765453743</v>
      </c>
      <c r="AN200">
        <v>0</v>
      </c>
      <c r="AO200">
        <v>0</v>
      </c>
      <c r="AP200">
        <v>1</v>
      </c>
      <c r="AQ200">
        <v>0</v>
      </c>
      <c r="AR200">
        <v>57.75</v>
      </c>
      <c r="AS200">
        <v>96</v>
      </c>
      <c r="AT200">
        <v>192.75</v>
      </c>
      <c r="AU200">
        <v>355.5</v>
      </c>
      <c r="AV200">
        <v>0</v>
      </c>
    </row>
    <row r="201" spans="1:48">
      <c r="A201">
        <v>200</v>
      </c>
      <c r="B201">
        <v>0</v>
      </c>
      <c r="C201">
        <v>33.959999999999511</v>
      </c>
      <c r="D201">
        <v>21.739999999999714</v>
      </c>
      <c r="E201">
        <v>6.107571024267556</v>
      </c>
      <c r="F201">
        <v>1.0469999999999999</v>
      </c>
      <c r="G201">
        <v>4.97</v>
      </c>
      <c r="H201">
        <v>0.49233377119277133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 s="15">
        <v>0.46645038837264913</v>
      </c>
      <c r="Q201" s="15">
        <v>0.46645038837264913</v>
      </c>
      <c r="R201">
        <v>0</v>
      </c>
      <c r="S201">
        <v>0</v>
      </c>
      <c r="T201" s="15">
        <v>0.78687192634819736</v>
      </c>
      <c r="U201">
        <v>23.71566050275608</v>
      </c>
      <c r="V201">
        <v>0</v>
      </c>
      <c r="W201">
        <v>0</v>
      </c>
      <c r="X201">
        <v>6.3942422952764764</v>
      </c>
      <c r="Y201">
        <v>6.3942422952764764</v>
      </c>
      <c r="Z201">
        <v>1</v>
      </c>
      <c r="AA201">
        <v>0.75</v>
      </c>
      <c r="AB201">
        <v>1.25</v>
      </c>
      <c r="AC201">
        <v>0</v>
      </c>
      <c r="AD201" s="15">
        <v>0.64051015866633398</v>
      </c>
      <c r="AE201">
        <v>184.37623036057479</v>
      </c>
      <c r="AF201">
        <v>190.62411088816938</v>
      </c>
      <c r="AG201">
        <v>178.36431148404932</v>
      </c>
      <c r="AH201">
        <v>134.45665106003523</v>
      </c>
      <c r="AI201">
        <v>2.1</v>
      </c>
      <c r="AJ201">
        <v>0</v>
      </c>
      <c r="AK201">
        <v>0</v>
      </c>
      <c r="AL201">
        <v>5.3904930887522111</v>
      </c>
      <c r="AM201">
        <v>5.3904930887522111</v>
      </c>
      <c r="AN201">
        <v>0</v>
      </c>
      <c r="AO201">
        <v>0</v>
      </c>
      <c r="AP201">
        <v>1</v>
      </c>
      <c r="AQ201">
        <v>0</v>
      </c>
      <c r="AR201">
        <v>57.75</v>
      </c>
      <c r="AS201">
        <v>96</v>
      </c>
      <c r="AT201">
        <v>192.75</v>
      </c>
      <c r="AU201">
        <v>355.5</v>
      </c>
      <c r="AV201">
        <v>0</v>
      </c>
    </row>
    <row r="202" spans="1:48">
      <c r="A202">
        <v>201</v>
      </c>
      <c r="B202">
        <v>0</v>
      </c>
      <c r="C202">
        <v>34.679999999999509</v>
      </c>
      <c r="D202">
        <v>20.859999999999719</v>
      </c>
      <c r="E202">
        <v>6.1500022762699462</v>
      </c>
      <c r="F202">
        <v>1.0469999999999999</v>
      </c>
      <c r="G202">
        <v>4.96</v>
      </c>
      <c r="H202">
        <v>0.42557229431762389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 s="15">
        <v>0.38703383932687579</v>
      </c>
      <c r="Q202" s="15">
        <v>0.38703383932687568</v>
      </c>
      <c r="R202">
        <v>0</v>
      </c>
      <c r="S202">
        <v>0</v>
      </c>
      <c r="T202" s="15">
        <v>0.36855198261054317</v>
      </c>
      <c r="U202">
        <v>22.960074680818657</v>
      </c>
      <c r="V202">
        <v>0</v>
      </c>
      <c r="W202">
        <v>0</v>
      </c>
      <c r="X202">
        <v>6.4386790209379265</v>
      </c>
      <c r="Y202">
        <v>6.4386790209379265</v>
      </c>
      <c r="Z202">
        <v>1</v>
      </c>
      <c r="AA202">
        <v>0.75</v>
      </c>
      <c r="AB202">
        <v>1.25</v>
      </c>
      <c r="AC202">
        <v>0</v>
      </c>
      <c r="AD202" s="15">
        <v>0.31375641215115574</v>
      </c>
      <c r="AE202">
        <v>177.9923469100963</v>
      </c>
      <c r="AF202">
        <v>184.37623036057479</v>
      </c>
      <c r="AG202">
        <v>183.47456873145748</v>
      </c>
      <c r="AH202">
        <v>138.10683480818392</v>
      </c>
      <c r="AI202">
        <v>2.1</v>
      </c>
      <c r="AJ202">
        <v>0</v>
      </c>
      <c r="AK202">
        <v>0</v>
      </c>
      <c r="AL202">
        <v>4.2525572779247938</v>
      </c>
      <c r="AM202">
        <v>4.2525572779247938</v>
      </c>
      <c r="AN202">
        <v>0</v>
      </c>
      <c r="AO202">
        <v>0</v>
      </c>
      <c r="AP202">
        <v>1</v>
      </c>
      <c r="AQ202">
        <v>0</v>
      </c>
      <c r="AR202">
        <v>57.75</v>
      </c>
      <c r="AS202">
        <v>96</v>
      </c>
      <c r="AT202">
        <v>192.75</v>
      </c>
      <c r="AU202">
        <v>355.5</v>
      </c>
      <c r="AV202">
        <v>0</v>
      </c>
    </row>
    <row r="203" spans="1:48">
      <c r="A203">
        <v>202</v>
      </c>
      <c r="B203">
        <v>0</v>
      </c>
      <c r="C203">
        <v>33.759999999999515</v>
      </c>
      <c r="D203">
        <v>20.239999999999732</v>
      </c>
      <c r="E203">
        <v>5.6381954659291296</v>
      </c>
      <c r="F203">
        <v>1.0469999999999999</v>
      </c>
      <c r="G203">
        <v>4.95</v>
      </c>
      <c r="H203">
        <v>0.4269714872217224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 s="15">
        <v>0.26842188240284343</v>
      </c>
      <c r="Q203" s="15">
        <v>0.26842188240284343</v>
      </c>
      <c r="R203">
        <v>0</v>
      </c>
      <c r="S203">
        <v>0</v>
      </c>
      <c r="T203" s="15">
        <v>0.21019067148739293</v>
      </c>
      <c r="U203">
        <v>22.481462126928424</v>
      </c>
      <c r="V203">
        <v>0</v>
      </c>
      <c r="W203">
        <v>0</v>
      </c>
      <c r="X203">
        <v>5.9028610392345193</v>
      </c>
      <c r="Y203">
        <v>5.9028610392345193</v>
      </c>
      <c r="Z203">
        <v>1</v>
      </c>
      <c r="AA203">
        <v>0.75</v>
      </c>
      <c r="AB203">
        <v>1.25</v>
      </c>
      <c r="AC203">
        <v>0</v>
      </c>
      <c r="AD203" s="15">
        <v>0.15478777363176066</v>
      </c>
      <c r="AE203">
        <v>172.14488876871738</v>
      </c>
      <c r="AF203">
        <v>177.9923469100963</v>
      </c>
      <c r="AG203">
        <v>183.36746751061327</v>
      </c>
      <c r="AH203">
        <v>138.03033393615232</v>
      </c>
      <c r="AI203">
        <v>2.1</v>
      </c>
      <c r="AJ203">
        <v>0</v>
      </c>
      <c r="AK203">
        <v>0</v>
      </c>
      <c r="AL203">
        <v>3.4095536952976171</v>
      </c>
      <c r="AM203">
        <v>3.4095536952976171</v>
      </c>
      <c r="AN203">
        <v>0</v>
      </c>
      <c r="AO203">
        <v>0</v>
      </c>
      <c r="AP203">
        <v>1</v>
      </c>
      <c r="AQ203">
        <v>0</v>
      </c>
      <c r="AR203">
        <v>57.75</v>
      </c>
      <c r="AS203">
        <v>96</v>
      </c>
      <c r="AT203">
        <v>192.75</v>
      </c>
      <c r="AU203">
        <v>355.5</v>
      </c>
      <c r="AV203">
        <v>0</v>
      </c>
    </row>
    <row r="204" spans="1:48">
      <c r="A204">
        <v>203</v>
      </c>
      <c r="B204">
        <v>0</v>
      </c>
      <c r="C204">
        <v>32.759999999999529</v>
      </c>
      <c r="D204">
        <v>23.079999999999707</v>
      </c>
      <c r="E204">
        <v>5.7715217900079727</v>
      </c>
      <c r="F204">
        <v>1.0469999999999999</v>
      </c>
      <c r="G204">
        <v>4.9400000000000004</v>
      </c>
      <c r="H204">
        <v>0.45314868418171406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 s="15">
        <v>0.28434474622048322</v>
      </c>
      <c r="Q204" s="15">
        <v>0.28434474622048317</v>
      </c>
      <c r="R204">
        <v>0</v>
      </c>
      <c r="S204">
        <v>0</v>
      </c>
      <c r="T204">
        <v>0.13302862759486053</v>
      </c>
      <c r="U204">
        <v>22.064088753113086</v>
      </c>
      <c r="V204">
        <v>0</v>
      </c>
      <c r="W204">
        <v>0</v>
      </c>
      <c r="X204">
        <v>6.0424588070350627</v>
      </c>
      <c r="Y204">
        <v>6.0424588070350627</v>
      </c>
      <c r="Z204">
        <v>1</v>
      </c>
      <c r="AA204">
        <v>0.75</v>
      </c>
      <c r="AB204">
        <v>1.25</v>
      </c>
      <c r="AC204">
        <v>0</v>
      </c>
      <c r="AD204">
        <v>7.7290206099957806E-2</v>
      </c>
      <c r="AE204">
        <v>166.15816838317721</v>
      </c>
      <c r="AF204">
        <v>172.14488876871735</v>
      </c>
      <c r="AG204">
        <v>181.36373396931072</v>
      </c>
      <c r="AH204">
        <v>136.59909569236478</v>
      </c>
      <c r="AI204">
        <v>2.1</v>
      </c>
      <c r="AJ204">
        <v>0</v>
      </c>
      <c r="AK204">
        <v>0</v>
      </c>
      <c r="AL204">
        <v>2.7850412811874383</v>
      </c>
      <c r="AM204">
        <v>2.7850412811874383</v>
      </c>
      <c r="AN204">
        <v>0</v>
      </c>
      <c r="AO204">
        <v>0</v>
      </c>
      <c r="AP204">
        <v>1</v>
      </c>
      <c r="AQ204">
        <v>0</v>
      </c>
      <c r="AR204">
        <v>57.75</v>
      </c>
      <c r="AS204">
        <v>96</v>
      </c>
      <c r="AT204">
        <v>192.75</v>
      </c>
      <c r="AU204">
        <v>355.5</v>
      </c>
      <c r="AV204">
        <v>0</v>
      </c>
    </row>
    <row r="205" spans="1:48">
      <c r="A205">
        <v>204</v>
      </c>
      <c r="B205">
        <v>0</v>
      </c>
      <c r="C205">
        <v>32.739999999999533</v>
      </c>
      <c r="D205">
        <v>20.419999999999725</v>
      </c>
      <c r="E205">
        <v>5.4247144379745382</v>
      </c>
      <c r="F205">
        <v>1.0469999999999999</v>
      </c>
      <c r="G205">
        <v>4.93</v>
      </c>
      <c r="H205">
        <v>0.44692785905603294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 s="15">
        <v>0.20392760609990188</v>
      </c>
      <c r="Q205" s="15">
        <v>0.20392760609990188</v>
      </c>
      <c r="R205">
        <v>0</v>
      </c>
      <c r="S205">
        <v>0</v>
      </c>
      <c r="T205">
        <v>8.994948288744499E-2</v>
      </c>
      <c r="U205">
        <v>21.770211664125732</v>
      </c>
      <c r="V205">
        <v>0</v>
      </c>
      <c r="W205">
        <v>0</v>
      </c>
      <c r="X205">
        <v>5.6793830354818313</v>
      </c>
      <c r="Y205">
        <v>5.6793830354818313</v>
      </c>
      <c r="Z205">
        <v>1</v>
      </c>
      <c r="AA205">
        <v>0.75</v>
      </c>
      <c r="AB205">
        <v>1.25</v>
      </c>
      <c r="AC205">
        <v>0</v>
      </c>
      <c r="AD205" s="15">
        <v>3.8557401197417573E-2</v>
      </c>
      <c r="AE205">
        <v>160.53017742938533</v>
      </c>
      <c r="AF205">
        <v>166.15816838317721</v>
      </c>
      <c r="AG205">
        <v>181.83990702855596</v>
      </c>
      <c r="AH205">
        <v>136.9392193061114</v>
      </c>
      <c r="AI205">
        <v>2.1</v>
      </c>
      <c r="AJ205">
        <v>0</v>
      </c>
      <c r="AK205">
        <v>0</v>
      </c>
      <c r="AL205">
        <v>2.3223911057726925</v>
      </c>
      <c r="AM205">
        <v>2.3223911057726925</v>
      </c>
      <c r="AN205">
        <v>0</v>
      </c>
      <c r="AO205">
        <v>0</v>
      </c>
      <c r="AP205">
        <v>1</v>
      </c>
      <c r="AQ205">
        <v>0</v>
      </c>
      <c r="AR205">
        <v>57.75</v>
      </c>
      <c r="AS205">
        <v>96</v>
      </c>
      <c r="AT205">
        <v>192.75</v>
      </c>
      <c r="AU205">
        <v>355.5</v>
      </c>
      <c r="AV205">
        <v>0</v>
      </c>
    </row>
    <row r="206" spans="1:48">
      <c r="A206">
        <v>205</v>
      </c>
      <c r="B206">
        <v>0.63999999999999779</v>
      </c>
      <c r="C206">
        <v>32.319999999999538</v>
      </c>
      <c r="D206">
        <v>22.999999999999687</v>
      </c>
      <c r="E206">
        <v>4.9948087609776151</v>
      </c>
      <c r="F206">
        <v>1.0469999999999999</v>
      </c>
      <c r="G206">
        <v>4.92</v>
      </c>
      <c r="H206">
        <v>0.46466757512647194</v>
      </c>
      <c r="I206">
        <v>0</v>
      </c>
      <c r="J206">
        <v>0.11403118040089022</v>
      </c>
      <c r="K206">
        <v>0.63999999999999779</v>
      </c>
      <c r="L206">
        <v>0.11403118040089022</v>
      </c>
      <c r="M206">
        <v>0.52596881959910757</v>
      </c>
      <c r="N206">
        <v>0</v>
      </c>
      <c r="O206">
        <v>0.11403118379928423</v>
      </c>
      <c r="P206" s="15">
        <v>0.16915768705815123</v>
      </c>
      <c r="Q206" s="15">
        <v>0.16915768705815118</v>
      </c>
      <c r="R206">
        <v>0</v>
      </c>
      <c r="S206">
        <v>0</v>
      </c>
      <c r="T206">
        <v>6.7596461201564914E-2</v>
      </c>
      <c r="U206">
        <v>21.647488699665292</v>
      </c>
      <c r="V206">
        <v>0</v>
      </c>
      <c r="W206">
        <v>0</v>
      </c>
      <c r="X206">
        <v>5.2293059686782897</v>
      </c>
      <c r="Y206">
        <v>5.2293059686782897</v>
      </c>
      <c r="Z206">
        <v>1</v>
      </c>
      <c r="AA206">
        <v>0.75</v>
      </c>
      <c r="AB206">
        <v>1.25</v>
      </c>
      <c r="AC206">
        <v>0</v>
      </c>
      <c r="AD206" s="15">
        <v>1.9831366764427129E-2</v>
      </c>
      <c r="AE206">
        <v>155.34863655514417</v>
      </c>
      <c r="AF206">
        <v>160.53017742938533</v>
      </c>
      <c r="AG206">
        <v>180.48202046194422</v>
      </c>
      <c r="AH206">
        <v>135.96930032996013</v>
      </c>
      <c r="AI206">
        <v>2.1</v>
      </c>
      <c r="AJ206">
        <v>0</v>
      </c>
      <c r="AK206">
        <v>0</v>
      </c>
      <c r="AL206">
        <v>1.9796514260238554</v>
      </c>
      <c r="AM206">
        <v>1.9796514260238554</v>
      </c>
      <c r="AN206">
        <v>0</v>
      </c>
      <c r="AO206">
        <v>0</v>
      </c>
      <c r="AP206">
        <v>1</v>
      </c>
      <c r="AQ206">
        <v>0</v>
      </c>
      <c r="AR206">
        <v>57.75</v>
      </c>
      <c r="AS206">
        <v>96</v>
      </c>
      <c r="AT206">
        <v>192.75</v>
      </c>
      <c r="AU206">
        <v>355.5</v>
      </c>
      <c r="AV206">
        <v>0</v>
      </c>
    </row>
    <row r="207" spans="1:48">
      <c r="A207">
        <v>206</v>
      </c>
      <c r="B207">
        <v>0</v>
      </c>
      <c r="C207">
        <v>30.859999999999552</v>
      </c>
      <c r="D207">
        <v>21.419999999999703</v>
      </c>
      <c r="E207">
        <v>4.439842415231527</v>
      </c>
      <c r="F207">
        <v>1.0469999999999999</v>
      </c>
      <c r="G207">
        <v>4.91</v>
      </c>
      <c r="H207">
        <v>0.48406145412679663</v>
      </c>
      <c r="I207">
        <v>54</v>
      </c>
      <c r="J207">
        <v>0</v>
      </c>
      <c r="K207">
        <v>54</v>
      </c>
      <c r="L207">
        <v>0</v>
      </c>
      <c r="M207">
        <v>0</v>
      </c>
      <c r="N207">
        <v>0</v>
      </c>
      <c r="O207">
        <v>0</v>
      </c>
      <c r="P207" s="15">
        <v>0.16370467812544037</v>
      </c>
      <c r="Q207" s="15">
        <v>0.16370467812544037</v>
      </c>
      <c r="R207">
        <v>0</v>
      </c>
      <c r="S207">
        <v>0</v>
      </c>
      <c r="T207">
        <v>47.904639805735975</v>
      </c>
      <c r="U207">
        <v>27.579144215803883</v>
      </c>
      <c r="V207">
        <v>0</v>
      </c>
      <c r="W207">
        <v>0</v>
      </c>
      <c r="X207">
        <v>4.6482945787226901</v>
      </c>
      <c r="Y207">
        <v>4.6482945787226901</v>
      </c>
      <c r="Z207">
        <v>1</v>
      </c>
      <c r="AA207">
        <v>0.75</v>
      </c>
      <c r="AB207">
        <v>1.25</v>
      </c>
      <c r="AC207">
        <v>0</v>
      </c>
      <c r="AD207" s="15">
        <v>0.85355164020196927</v>
      </c>
      <c r="AE207">
        <v>197.7514301419555</v>
      </c>
      <c r="AF207">
        <v>155.34863655514417</v>
      </c>
      <c r="AG207">
        <v>178.99751599386434</v>
      </c>
      <c r="AH207">
        <v>134.9089399956174</v>
      </c>
      <c r="AI207">
        <v>2.1</v>
      </c>
      <c r="AJ207">
        <v>0</v>
      </c>
      <c r="AK207">
        <v>0</v>
      </c>
      <c r="AL207">
        <v>9</v>
      </c>
      <c r="AM207">
        <v>9</v>
      </c>
      <c r="AN207">
        <v>6</v>
      </c>
      <c r="AO207">
        <v>0</v>
      </c>
      <c r="AP207">
        <v>1</v>
      </c>
      <c r="AQ207">
        <v>0</v>
      </c>
      <c r="AR207">
        <v>57.75</v>
      </c>
      <c r="AS207">
        <v>96</v>
      </c>
      <c r="AT207">
        <v>192.75</v>
      </c>
      <c r="AU207">
        <v>355.5</v>
      </c>
      <c r="AV207">
        <v>0</v>
      </c>
    </row>
    <row r="208" spans="1:48">
      <c r="A208">
        <v>207</v>
      </c>
      <c r="B208">
        <v>19.43999999999992</v>
      </c>
      <c r="C208">
        <v>29.459999999999575</v>
      </c>
      <c r="D208">
        <v>18.459999999999734</v>
      </c>
      <c r="E208">
        <v>3.4762733477458503</v>
      </c>
      <c r="F208">
        <v>1.0469999999999999</v>
      </c>
      <c r="G208">
        <v>4.9000000000000004</v>
      </c>
      <c r="H208">
        <v>0.50752002955798903</v>
      </c>
      <c r="I208">
        <v>0</v>
      </c>
      <c r="J208">
        <v>16.886219839142012</v>
      </c>
      <c r="K208">
        <v>19.43999999999992</v>
      </c>
      <c r="L208">
        <v>13.716610036293433</v>
      </c>
      <c r="M208">
        <v>2.5537801608579072</v>
      </c>
      <c r="N208">
        <v>3.1696098028485777</v>
      </c>
      <c r="O208">
        <v>13.716610445080265</v>
      </c>
      <c r="P208" s="15">
        <v>8.809051531586623E-2</v>
      </c>
      <c r="Q208" s="15">
        <v>8.809051531586623E-2</v>
      </c>
      <c r="R208">
        <v>0</v>
      </c>
      <c r="S208">
        <v>0</v>
      </c>
      <c r="T208">
        <v>10.995797190367794</v>
      </c>
      <c r="U208">
        <v>30.211866955200495</v>
      </c>
      <c r="V208">
        <v>0</v>
      </c>
      <c r="W208">
        <v>0</v>
      </c>
      <c r="X208">
        <v>3.6394930254813782</v>
      </c>
      <c r="Y208">
        <v>3.6394930254813782</v>
      </c>
      <c r="Z208">
        <v>1</v>
      </c>
      <c r="AA208">
        <v>0.75</v>
      </c>
      <c r="AB208">
        <v>1.25</v>
      </c>
      <c r="AC208">
        <v>0</v>
      </c>
      <c r="AD208" s="15">
        <v>1.9342966701413986</v>
      </c>
      <c r="AE208">
        <v>203.17343763670044</v>
      </c>
      <c r="AF208">
        <v>197.75143014195547</v>
      </c>
      <c r="AG208">
        <v>177.20187933748372</v>
      </c>
      <c r="AH208">
        <v>133.62634238391695</v>
      </c>
      <c r="AI208">
        <v>2.1</v>
      </c>
      <c r="AJ208">
        <v>0</v>
      </c>
      <c r="AK208">
        <v>0</v>
      </c>
      <c r="AL208">
        <v>6.926545765453743</v>
      </c>
      <c r="AM208">
        <v>6.926545765453743</v>
      </c>
      <c r="AN208">
        <v>0</v>
      </c>
      <c r="AO208">
        <v>0</v>
      </c>
      <c r="AP208">
        <v>1</v>
      </c>
      <c r="AQ208">
        <v>0</v>
      </c>
      <c r="AR208">
        <v>57.75</v>
      </c>
      <c r="AS208">
        <v>96</v>
      </c>
      <c r="AT208">
        <v>192.75</v>
      </c>
      <c r="AU208">
        <v>355.5</v>
      </c>
      <c r="AV208">
        <v>0</v>
      </c>
    </row>
    <row r="209" spans="1:48">
      <c r="A209">
        <v>208</v>
      </c>
      <c r="B209">
        <v>0.55999999999999794</v>
      </c>
      <c r="C209">
        <v>29.259999999999565</v>
      </c>
      <c r="D209">
        <v>20.579999999999714</v>
      </c>
      <c r="E209">
        <v>3.387578589872414</v>
      </c>
      <c r="F209">
        <v>1.0469999999999999</v>
      </c>
      <c r="G209">
        <v>4.8899999999999997</v>
      </c>
      <c r="H209">
        <v>0.5508966572304812</v>
      </c>
      <c r="I209">
        <v>0</v>
      </c>
      <c r="J209">
        <v>8.9753863766456166E-2</v>
      </c>
      <c r="K209">
        <v>0.55999999999999794</v>
      </c>
      <c r="L209">
        <v>8.9753863766456166E-2</v>
      </c>
      <c r="M209">
        <v>0.47024613623354178</v>
      </c>
      <c r="N209">
        <v>0</v>
      </c>
      <c r="O209">
        <v>8.9753866441329766E-2</v>
      </c>
      <c r="P209" s="15">
        <v>4.6080602609584534E-2</v>
      </c>
      <c r="Q209" s="15">
        <v>4.6080602609584534E-2</v>
      </c>
      <c r="R209">
        <v>0</v>
      </c>
      <c r="S209">
        <v>0</v>
      </c>
      <c r="T209">
        <v>4.089810555955478</v>
      </c>
      <c r="U209">
        <v>26.165729663076757</v>
      </c>
      <c r="V209">
        <v>0</v>
      </c>
      <c r="W209">
        <v>0</v>
      </c>
      <c r="X209">
        <v>3.5466409393534128</v>
      </c>
      <c r="Y209">
        <v>3.5466409393534128</v>
      </c>
      <c r="Z209">
        <v>1</v>
      </c>
      <c r="AA209">
        <v>0.75</v>
      </c>
      <c r="AB209">
        <v>1.25</v>
      </c>
      <c r="AC209">
        <v>0</v>
      </c>
      <c r="AD209">
        <v>1.8644830161593478</v>
      </c>
      <c r="AE209">
        <v>201.8521242371431</v>
      </c>
      <c r="AF209">
        <v>203.17343763670044</v>
      </c>
      <c r="AG209">
        <v>173.88161537229283</v>
      </c>
      <c r="AH209">
        <v>131.25472526592344</v>
      </c>
      <c r="AI209">
        <v>2.1</v>
      </c>
      <c r="AJ209">
        <v>0</v>
      </c>
      <c r="AK209">
        <v>0</v>
      </c>
      <c r="AL209">
        <v>5.3904930887522111</v>
      </c>
      <c r="AM209">
        <v>5.3904930887522111</v>
      </c>
      <c r="AN209">
        <v>0</v>
      </c>
      <c r="AO209">
        <v>0</v>
      </c>
      <c r="AP209">
        <v>1</v>
      </c>
      <c r="AQ209">
        <v>0</v>
      </c>
      <c r="AR209">
        <v>57.75</v>
      </c>
      <c r="AS209">
        <v>96</v>
      </c>
      <c r="AT209">
        <v>192.75</v>
      </c>
      <c r="AU209">
        <v>355.5</v>
      </c>
      <c r="AV209">
        <v>0</v>
      </c>
    </row>
    <row r="210" spans="1:48">
      <c r="A210">
        <v>209</v>
      </c>
      <c r="B210">
        <v>0</v>
      </c>
      <c r="C210">
        <v>29.559999999999565</v>
      </c>
      <c r="D210">
        <v>19.639999999999731</v>
      </c>
      <c r="E210">
        <v>3.6100465516574158</v>
      </c>
      <c r="F210">
        <v>1.0469999999999999</v>
      </c>
      <c r="G210">
        <v>4.88</v>
      </c>
      <c r="H210">
        <v>0.55629113706327515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 s="15">
        <v>6.17591886513498E-2</v>
      </c>
      <c r="Q210" s="15">
        <v>6.1759188651349793E-2</v>
      </c>
      <c r="R210">
        <v>0</v>
      </c>
      <c r="S210">
        <v>0</v>
      </c>
      <c r="T210">
        <v>1.127973659270723</v>
      </c>
      <c r="U210">
        <v>24.975996815154673</v>
      </c>
      <c r="V210">
        <v>0</v>
      </c>
      <c r="W210">
        <v>0</v>
      </c>
      <c r="X210">
        <v>3.7795622291069364</v>
      </c>
      <c r="Y210">
        <v>3.7795622291069364</v>
      </c>
      <c r="Z210">
        <v>1</v>
      </c>
      <c r="AA210">
        <v>0.75</v>
      </c>
      <c r="AB210">
        <v>1.25</v>
      </c>
      <c r="AC210">
        <v>0</v>
      </c>
      <c r="AD210">
        <v>1.2004217718345975</v>
      </c>
      <c r="AE210">
        <v>198.00011389547231</v>
      </c>
      <c r="AF210">
        <v>201.8521242371431</v>
      </c>
      <c r="AG210">
        <v>173.46869491349162</v>
      </c>
      <c r="AH210">
        <v>130.95978208106544</v>
      </c>
      <c r="AI210">
        <v>2.1</v>
      </c>
      <c r="AJ210">
        <v>0</v>
      </c>
      <c r="AK210">
        <v>0</v>
      </c>
      <c r="AL210">
        <v>4.2525572779247938</v>
      </c>
      <c r="AM210">
        <v>4.2525572779247938</v>
      </c>
      <c r="AN210">
        <v>0</v>
      </c>
      <c r="AO210">
        <v>0</v>
      </c>
      <c r="AP210">
        <v>1</v>
      </c>
      <c r="AQ210">
        <v>0</v>
      </c>
      <c r="AR210">
        <v>57.75</v>
      </c>
      <c r="AS210">
        <v>96</v>
      </c>
      <c r="AT210">
        <v>192.75</v>
      </c>
      <c r="AU210">
        <v>355.5</v>
      </c>
      <c r="AV210">
        <v>0</v>
      </c>
    </row>
    <row r="211" spans="1:48">
      <c r="A211">
        <v>210</v>
      </c>
      <c r="B211">
        <v>0</v>
      </c>
      <c r="C211">
        <v>32.559999999999519</v>
      </c>
      <c r="D211">
        <v>18.279999999999749</v>
      </c>
      <c r="E211">
        <v>5.1117993751683821</v>
      </c>
      <c r="F211">
        <v>1.0469999999999999</v>
      </c>
      <c r="G211">
        <v>4.87</v>
      </c>
      <c r="H211">
        <v>0.54634714225372916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 s="15">
        <v>0.22374846034408322</v>
      </c>
      <c r="Q211" s="15">
        <v>0.22374846034408322</v>
      </c>
      <c r="R211">
        <v>0</v>
      </c>
      <c r="S211">
        <v>0</v>
      </c>
      <c r="T211" s="15">
        <v>0.5635183327596498</v>
      </c>
      <c r="U211">
        <v>24.188730022050926</v>
      </c>
      <c r="V211">
        <v>0</v>
      </c>
      <c r="W211">
        <v>0</v>
      </c>
      <c r="X211">
        <v>5.3518426423213246</v>
      </c>
      <c r="Y211">
        <v>5.3518426423213246</v>
      </c>
      <c r="Z211">
        <v>1</v>
      </c>
      <c r="AA211">
        <v>0.75</v>
      </c>
      <c r="AB211">
        <v>1.25</v>
      </c>
      <c r="AC211">
        <v>0</v>
      </c>
      <c r="AD211">
        <v>0.70182523940659958</v>
      </c>
      <c r="AE211">
        <v>192.50996434650398</v>
      </c>
      <c r="AF211">
        <v>198.00011389547231</v>
      </c>
      <c r="AG211">
        <v>174.22985799618831</v>
      </c>
      <c r="AH211">
        <v>131.50346999727736</v>
      </c>
      <c r="AI211">
        <v>2.1</v>
      </c>
      <c r="AJ211">
        <v>0</v>
      </c>
      <c r="AK211">
        <v>0</v>
      </c>
      <c r="AL211">
        <v>3.4095536952976171</v>
      </c>
      <c r="AM211">
        <v>3.4095536952976171</v>
      </c>
      <c r="AN211">
        <v>0</v>
      </c>
      <c r="AO211">
        <v>0</v>
      </c>
      <c r="AP211">
        <v>1</v>
      </c>
      <c r="AQ211">
        <v>0</v>
      </c>
      <c r="AR211">
        <v>57.75</v>
      </c>
      <c r="AS211">
        <v>96</v>
      </c>
      <c r="AT211">
        <v>192.75</v>
      </c>
      <c r="AU211">
        <v>355.5</v>
      </c>
      <c r="AV211">
        <v>0</v>
      </c>
    </row>
    <row r="212" spans="1:48">
      <c r="A212">
        <v>211</v>
      </c>
      <c r="B212">
        <v>0</v>
      </c>
      <c r="C212">
        <v>31.379999999999544</v>
      </c>
      <c r="D212">
        <v>19.939999999999728</v>
      </c>
      <c r="E212">
        <v>4.4796209148210462</v>
      </c>
      <c r="F212">
        <v>1.0469999999999999</v>
      </c>
      <c r="G212">
        <v>4.8600000000000003</v>
      </c>
      <c r="H212">
        <v>0.47697635640800223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 s="15">
        <v>0.11910627520897279</v>
      </c>
      <c r="Q212" s="15">
        <v>0.11910627520897279</v>
      </c>
      <c r="R212">
        <v>0</v>
      </c>
      <c r="S212">
        <v>0</v>
      </c>
      <c r="T212" s="15">
        <v>0.33550707158284077</v>
      </c>
      <c r="U212">
        <v>23.734116675259127</v>
      </c>
      <c r="V212">
        <v>0</v>
      </c>
      <c r="W212">
        <v>0</v>
      </c>
      <c r="X212">
        <v>4.6899867621669831</v>
      </c>
      <c r="Y212">
        <v>4.6899867621669831</v>
      </c>
      <c r="Z212">
        <v>1</v>
      </c>
      <c r="AA212">
        <v>0.75</v>
      </c>
      <c r="AB212">
        <v>1.25</v>
      </c>
      <c r="AC212">
        <v>0</v>
      </c>
      <c r="AD212">
        <v>0.39768404121640577</v>
      </c>
      <c r="AE212">
        <v>187.7578006147034</v>
      </c>
      <c r="AF212">
        <v>192.50996434650398</v>
      </c>
      <c r="AG212">
        <v>179.53984479874947</v>
      </c>
      <c r="AH212">
        <v>135.29631771339248</v>
      </c>
      <c r="AI212">
        <v>2.1</v>
      </c>
      <c r="AJ212">
        <v>0</v>
      </c>
      <c r="AK212">
        <v>0</v>
      </c>
      <c r="AL212">
        <v>2.7850412811874383</v>
      </c>
      <c r="AM212">
        <v>2.7850412811874383</v>
      </c>
      <c r="AN212">
        <v>0</v>
      </c>
      <c r="AO212">
        <v>0</v>
      </c>
      <c r="AP212">
        <v>1</v>
      </c>
      <c r="AQ212">
        <v>0</v>
      </c>
      <c r="AR212">
        <v>57.75</v>
      </c>
      <c r="AS212">
        <v>96</v>
      </c>
      <c r="AT212">
        <v>192.75</v>
      </c>
      <c r="AU212">
        <v>355.5</v>
      </c>
      <c r="AV212">
        <v>0</v>
      </c>
    </row>
    <row r="213" spans="1:48">
      <c r="A213">
        <v>212</v>
      </c>
      <c r="B213">
        <v>0.43999999999999206</v>
      </c>
      <c r="C213">
        <v>32.099999999999532</v>
      </c>
      <c r="D213">
        <v>20.999999999999709</v>
      </c>
      <c r="E213">
        <v>4.5050390851891455</v>
      </c>
      <c r="F213">
        <v>1.0469999999999999</v>
      </c>
      <c r="G213">
        <v>4.8499999999999996</v>
      </c>
      <c r="H213">
        <v>0.5076362783342776</v>
      </c>
      <c r="I213">
        <v>0</v>
      </c>
      <c r="J213" s="15">
        <v>5.7791044776117462E-2</v>
      </c>
      <c r="K213">
        <v>0.43999999999999206</v>
      </c>
      <c r="L213" s="15">
        <v>5.7791044776117462E-2</v>
      </c>
      <c r="M213">
        <v>0.3822089552238746</v>
      </c>
      <c r="N213">
        <v>0</v>
      </c>
      <c r="O213">
        <v>5.7791046498424814E-2</v>
      </c>
      <c r="P213" s="15">
        <v>0.22139397967742688</v>
      </c>
      <c r="Q213" s="15">
        <v>0.22139397967742688</v>
      </c>
      <c r="R213">
        <v>0</v>
      </c>
      <c r="S213">
        <v>0</v>
      </c>
      <c r="T213" s="15">
        <v>0.22411201669769867</v>
      </c>
      <c r="U213">
        <v>23.346401725382428</v>
      </c>
      <c r="V213">
        <v>0</v>
      </c>
      <c r="W213">
        <v>0</v>
      </c>
      <c r="X213">
        <v>4.7166072562447496</v>
      </c>
      <c r="Y213">
        <v>4.7166072562447496</v>
      </c>
      <c r="Z213">
        <v>1</v>
      </c>
      <c r="AA213">
        <v>0.75</v>
      </c>
      <c r="AB213">
        <v>1.25</v>
      </c>
      <c r="AC213">
        <v>0</v>
      </c>
      <c r="AD213">
        <v>0.23432129582934538</v>
      </c>
      <c r="AE213">
        <v>183.03098407932703</v>
      </c>
      <c r="AF213">
        <v>187.7578006147034</v>
      </c>
      <c r="AG213">
        <v>177.19298107490272</v>
      </c>
      <c r="AH213">
        <v>133.61998648207336</v>
      </c>
      <c r="AI213">
        <v>2.1</v>
      </c>
      <c r="AJ213">
        <v>0</v>
      </c>
      <c r="AK213">
        <v>0</v>
      </c>
      <c r="AL213">
        <v>2.3223911057726925</v>
      </c>
      <c r="AM213">
        <v>2.3223911057726925</v>
      </c>
      <c r="AN213">
        <v>0</v>
      </c>
      <c r="AO213">
        <v>0</v>
      </c>
      <c r="AP213">
        <v>1</v>
      </c>
      <c r="AQ213">
        <v>0</v>
      </c>
      <c r="AR213">
        <v>57.75</v>
      </c>
      <c r="AS213">
        <v>96</v>
      </c>
      <c r="AT213">
        <v>192.75</v>
      </c>
      <c r="AU213">
        <v>355.5</v>
      </c>
      <c r="AV213">
        <v>0</v>
      </c>
    </row>
    <row r="214" spans="1:48">
      <c r="A214">
        <v>213</v>
      </c>
      <c r="B214">
        <v>10.719999999999906</v>
      </c>
      <c r="C214">
        <v>28.239999999999583</v>
      </c>
      <c r="D214">
        <v>17.039999999999765</v>
      </c>
      <c r="E214">
        <v>2.9801605130781663</v>
      </c>
      <c r="F214">
        <v>1.0469999999999999</v>
      </c>
      <c r="G214">
        <v>4.84</v>
      </c>
      <c r="H214">
        <v>0.50247995050768168</v>
      </c>
      <c r="I214">
        <v>0</v>
      </c>
      <c r="J214">
        <v>8.4349970640046088</v>
      </c>
      <c r="K214">
        <v>10.719999999999906</v>
      </c>
      <c r="L214">
        <v>8.3832633924103206</v>
      </c>
      <c r="M214">
        <v>2.2850029359952981</v>
      </c>
      <c r="N214">
        <v>5.1733671594287496E-2</v>
      </c>
      <c r="O214">
        <v>8.3832636422510358</v>
      </c>
      <c r="P214" s="15">
        <v>5.5411760469782197E-2</v>
      </c>
      <c r="Q214" s="15">
        <v>5.541176046978219E-2</v>
      </c>
      <c r="R214">
        <v>0</v>
      </c>
      <c r="S214">
        <v>0</v>
      </c>
      <c r="T214" s="15">
        <v>1.4559018478292847</v>
      </c>
      <c r="U214">
        <v>30.218351759334407</v>
      </c>
      <c r="V214">
        <v>0</v>
      </c>
      <c r="W214">
        <v>0</v>
      </c>
      <c r="X214">
        <v>3.1201220677611516</v>
      </c>
      <c r="Y214">
        <v>3.1201220677611516</v>
      </c>
      <c r="Z214">
        <v>1</v>
      </c>
      <c r="AA214">
        <v>0.75</v>
      </c>
      <c r="AB214">
        <v>1.25</v>
      </c>
      <c r="AC214">
        <v>0</v>
      </c>
      <c r="AD214" s="15">
        <v>0.15087857509940589</v>
      </c>
      <c r="AE214">
        <v>181.21588528429575</v>
      </c>
      <c r="AF214">
        <v>183.03098407932703</v>
      </c>
      <c r="AG214">
        <v>177.58767218838949</v>
      </c>
      <c r="AH214">
        <v>133.90190870599253</v>
      </c>
      <c r="AI214">
        <v>2.1</v>
      </c>
      <c r="AJ214">
        <v>0</v>
      </c>
      <c r="AK214">
        <v>0</v>
      </c>
      <c r="AL214">
        <v>1.9796514260238554</v>
      </c>
      <c r="AM214">
        <v>1.9796514260238554</v>
      </c>
      <c r="AN214">
        <v>0</v>
      </c>
      <c r="AO214">
        <v>0</v>
      </c>
      <c r="AP214">
        <v>1</v>
      </c>
      <c r="AQ214">
        <v>0</v>
      </c>
      <c r="AR214">
        <v>57.75</v>
      </c>
      <c r="AS214">
        <v>96</v>
      </c>
      <c r="AT214">
        <v>192.75</v>
      </c>
      <c r="AU214">
        <v>355.5</v>
      </c>
      <c r="AV214">
        <v>0</v>
      </c>
    </row>
    <row r="215" spans="1:48">
      <c r="A215">
        <v>214</v>
      </c>
      <c r="B215" s="15">
        <v>2.7999999999999901</v>
      </c>
      <c r="C215">
        <v>28.079999999999583</v>
      </c>
      <c r="D215">
        <v>16.519999999999772</v>
      </c>
      <c r="E215">
        <v>4.1367583307627571</v>
      </c>
      <c r="F215">
        <v>1.0469999999999999</v>
      </c>
      <c r="G215">
        <v>4.83</v>
      </c>
      <c r="H215">
        <v>0.57297864523956277</v>
      </c>
      <c r="I215">
        <v>0</v>
      </c>
      <c r="J215" s="15">
        <v>1.3759213759213684</v>
      </c>
      <c r="K215" s="15">
        <v>2.7999999999999901</v>
      </c>
      <c r="L215" s="15">
        <v>1.3759213759213684</v>
      </c>
      <c r="M215" s="15">
        <v>1.4240786240786216</v>
      </c>
      <c r="N215">
        <v>0</v>
      </c>
      <c r="O215" s="15">
        <v>1.3759214169270209</v>
      </c>
      <c r="P215" s="15">
        <v>0.11994028887131468</v>
      </c>
      <c r="Q215" s="15">
        <v>0.11994028887131468</v>
      </c>
      <c r="R215">
        <v>0</v>
      </c>
      <c r="S215">
        <v>0</v>
      </c>
      <c r="T215" s="15">
        <v>2.546281203799778</v>
      </c>
      <c r="U215">
        <v>28.928051683590347</v>
      </c>
      <c r="V215">
        <v>0</v>
      </c>
      <c r="W215">
        <v>0</v>
      </c>
      <c r="X215">
        <v>4.3310463865300202</v>
      </c>
      <c r="Y215">
        <v>4.3310463865300202</v>
      </c>
      <c r="Z215">
        <v>1</v>
      </c>
      <c r="AA215">
        <v>0.75</v>
      </c>
      <c r="AB215">
        <v>1.25</v>
      </c>
      <c r="AC215">
        <v>0</v>
      </c>
      <c r="AD215" s="15">
        <v>0.11772258959480961</v>
      </c>
      <c r="AE215">
        <v>179.31339751197066</v>
      </c>
      <c r="AF215">
        <v>181.21588528429575</v>
      </c>
      <c r="AG215">
        <v>172.19134960013767</v>
      </c>
      <c r="AH215">
        <v>130.04739257152693</v>
      </c>
      <c r="AI215">
        <v>2.1</v>
      </c>
      <c r="AJ215">
        <v>0</v>
      </c>
      <c r="AK215">
        <v>0</v>
      </c>
      <c r="AL215">
        <v>1.7257436263153001</v>
      </c>
      <c r="AM215">
        <v>1.7257436263153001</v>
      </c>
      <c r="AN215">
        <v>0</v>
      </c>
      <c r="AO215">
        <v>0</v>
      </c>
      <c r="AP215">
        <v>1</v>
      </c>
      <c r="AQ215">
        <v>0</v>
      </c>
      <c r="AR215">
        <v>57.75</v>
      </c>
      <c r="AS215">
        <v>96</v>
      </c>
      <c r="AT215">
        <v>192.75</v>
      </c>
      <c r="AU215">
        <v>355.5</v>
      </c>
      <c r="AV215">
        <v>0</v>
      </c>
    </row>
    <row r="216" spans="1:48">
      <c r="A216">
        <v>215</v>
      </c>
      <c r="B216">
        <v>0</v>
      </c>
      <c r="C216">
        <v>27.979999999999581</v>
      </c>
      <c r="D216">
        <v>16.439999999999774</v>
      </c>
      <c r="E216">
        <v>3.6500241846649142</v>
      </c>
      <c r="F216">
        <v>1.0469999999999999</v>
      </c>
      <c r="G216">
        <v>4.82</v>
      </c>
      <c r="H216">
        <v>0.52196053249309038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 s="15">
        <v>0.1061850769025164</v>
      </c>
      <c r="Q216" s="15">
        <v>0.1061850769025164</v>
      </c>
      <c r="R216">
        <v>0</v>
      </c>
      <c r="S216">
        <v>0</v>
      </c>
      <c r="T216" s="15">
        <v>1.3283312337801916</v>
      </c>
      <c r="U216">
        <v>27.493535372907647</v>
      </c>
      <c r="V216">
        <v>0</v>
      </c>
      <c r="W216">
        <v>0</v>
      </c>
      <c r="X216">
        <v>3.8214586138310231</v>
      </c>
      <c r="Y216">
        <v>3.8214586138310231</v>
      </c>
      <c r="Z216">
        <v>1</v>
      </c>
      <c r="AA216">
        <v>0.75</v>
      </c>
      <c r="AB216">
        <v>1.25</v>
      </c>
      <c r="AC216">
        <v>0</v>
      </c>
      <c r="AD216" s="15">
        <v>8.7707795160734986E-2</v>
      </c>
      <c r="AE216">
        <v>176.73256233675909</v>
      </c>
      <c r="AF216">
        <v>179.31339751197066</v>
      </c>
      <c r="AG216">
        <v>176.09653104031639</v>
      </c>
      <c r="AH216">
        <v>132.83680788594029</v>
      </c>
      <c r="AI216">
        <v>2.1</v>
      </c>
      <c r="AJ216">
        <v>0</v>
      </c>
      <c r="AK216">
        <v>0</v>
      </c>
      <c r="AL216">
        <v>1.5376441019179983</v>
      </c>
      <c r="AM216">
        <v>1.5376441019179983</v>
      </c>
      <c r="AN216">
        <v>0</v>
      </c>
      <c r="AO216">
        <v>0</v>
      </c>
      <c r="AP216">
        <v>1</v>
      </c>
      <c r="AQ216">
        <v>0</v>
      </c>
      <c r="AR216">
        <v>57.75</v>
      </c>
      <c r="AS216">
        <v>96</v>
      </c>
      <c r="AT216">
        <v>192.75</v>
      </c>
      <c r="AU216">
        <v>355.5</v>
      </c>
      <c r="AV216">
        <v>0</v>
      </c>
    </row>
    <row r="217" spans="1:48">
      <c r="A217">
        <v>216</v>
      </c>
      <c r="B217">
        <v>7.9199999999999546</v>
      </c>
      <c r="C217">
        <v>24.459999999999646</v>
      </c>
      <c r="D217">
        <v>18.719999999999732</v>
      </c>
      <c r="E217">
        <v>1.9508187694684371</v>
      </c>
      <c r="F217">
        <v>1.0469999999999999</v>
      </c>
      <c r="G217">
        <v>4.8099999999999996</v>
      </c>
      <c r="H217">
        <v>0.54289425141189718</v>
      </c>
      <c r="I217">
        <v>0</v>
      </c>
      <c r="J217">
        <v>5.8047751249305524</v>
      </c>
      <c r="K217">
        <v>7.9199999999999546</v>
      </c>
      <c r="L217">
        <v>5.7981780821033935</v>
      </c>
      <c r="M217">
        <v>2.1152248750694023</v>
      </c>
      <c r="N217">
        <v>6.5970428271584719E-3</v>
      </c>
      <c r="O217">
        <v>5.7981782549025649</v>
      </c>
      <c r="P217" s="15">
        <v>1.2690768762416879E-2</v>
      </c>
      <c r="Q217" s="15">
        <v>1.2690768762416879E-2</v>
      </c>
      <c r="R217">
        <v>0</v>
      </c>
      <c r="S217">
        <v>0</v>
      </c>
      <c r="T217" s="15">
        <v>2.236102720573474</v>
      </c>
      <c r="U217">
        <v>31.042920138474322</v>
      </c>
      <c r="V217">
        <v>0</v>
      </c>
      <c r="W217">
        <v>0</v>
      </c>
      <c r="X217">
        <v>2.0424482171531326</v>
      </c>
      <c r="Y217">
        <v>2.0424482171531326</v>
      </c>
      <c r="Z217">
        <v>1</v>
      </c>
      <c r="AA217">
        <v>0.75</v>
      </c>
      <c r="AB217">
        <v>1.25</v>
      </c>
      <c r="AC217">
        <v>0</v>
      </c>
      <c r="AD217" s="15">
        <v>7.0030908253047724E-2</v>
      </c>
      <c r="AE217">
        <v>176.85618593192646</v>
      </c>
      <c r="AF217">
        <v>176.73256233675912</v>
      </c>
      <c r="AG217">
        <v>174.49415952567631</v>
      </c>
      <c r="AH217">
        <v>131.69225680405452</v>
      </c>
      <c r="AI217">
        <v>2.1</v>
      </c>
      <c r="AJ217">
        <v>0</v>
      </c>
      <c r="AK217">
        <v>0</v>
      </c>
      <c r="AL217">
        <v>1.3982965469429116</v>
      </c>
      <c r="AM217">
        <v>1.3982965469429116</v>
      </c>
      <c r="AN217">
        <v>0</v>
      </c>
      <c r="AO217">
        <v>0</v>
      </c>
      <c r="AP217">
        <v>1</v>
      </c>
      <c r="AQ217">
        <v>0</v>
      </c>
      <c r="AR217">
        <v>57.75</v>
      </c>
      <c r="AS217">
        <v>96</v>
      </c>
      <c r="AT217">
        <v>192.75</v>
      </c>
      <c r="AU217">
        <v>355.5</v>
      </c>
      <c r="AV217">
        <v>0</v>
      </c>
    </row>
    <row r="218" spans="1:48">
      <c r="A218">
        <v>217</v>
      </c>
      <c r="B218">
        <v>0.3199999999999904</v>
      </c>
      <c r="C218">
        <v>30.619999999999553</v>
      </c>
      <c r="D218">
        <v>15.859999999999776</v>
      </c>
      <c r="E218">
        <v>5.4667151379687935</v>
      </c>
      <c r="F218">
        <v>1.0469999999999999</v>
      </c>
      <c r="G218">
        <v>4.8</v>
      </c>
      <c r="H218">
        <v>0.61779443793046707</v>
      </c>
      <c r="I218">
        <v>0</v>
      </c>
      <c r="J218" s="15">
        <v>3.1999999999998197E-2</v>
      </c>
      <c r="K218">
        <v>0.3199999999999904</v>
      </c>
      <c r="L218" s="15">
        <v>3.1999999999998197E-2</v>
      </c>
      <c r="M218">
        <v>0.28799999999999221</v>
      </c>
      <c r="N218">
        <v>0</v>
      </c>
      <c r="O218">
        <v>3.2000000953672524E-2</v>
      </c>
      <c r="P218" s="15">
        <v>0.40302343149360442</v>
      </c>
      <c r="Q218" s="15">
        <v>0.40302343149360442</v>
      </c>
      <c r="R218">
        <v>0</v>
      </c>
      <c r="S218" s="15">
        <v>0</v>
      </c>
      <c r="T218" s="15">
        <v>2.1006805916288931</v>
      </c>
      <c r="U218">
        <v>28.571216116305497</v>
      </c>
      <c r="V218">
        <v>0</v>
      </c>
      <c r="W218">
        <v>0</v>
      </c>
      <c r="X218">
        <v>5.72349437552369</v>
      </c>
      <c r="Y218">
        <v>5.72349437552369</v>
      </c>
      <c r="Z218">
        <v>1</v>
      </c>
      <c r="AA218">
        <v>0.75</v>
      </c>
      <c r="AB218">
        <v>1.25</v>
      </c>
      <c r="AC218">
        <v>0</v>
      </c>
      <c r="AD218" s="15">
        <v>5.8882008685837345E-2</v>
      </c>
      <c r="AE218">
        <v>173.17449013934581</v>
      </c>
      <c r="AF218">
        <v>176.85618593192646</v>
      </c>
      <c r="AG218">
        <v>168.76092474861238</v>
      </c>
      <c r="AH218">
        <v>127.59708910615173</v>
      </c>
      <c r="AI218">
        <v>2.1</v>
      </c>
      <c r="AJ218">
        <v>0</v>
      </c>
      <c r="AK218">
        <v>0</v>
      </c>
      <c r="AL218">
        <v>1.2950653392099201</v>
      </c>
      <c r="AM218">
        <v>1.2950653392099201</v>
      </c>
      <c r="AN218">
        <v>0</v>
      </c>
      <c r="AO218">
        <v>0</v>
      </c>
      <c r="AP218">
        <v>1</v>
      </c>
      <c r="AQ218">
        <v>0</v>
      </c>
      <c r="AR218">
        <v>57.75</v>
      </c>
      <c r="AS218">
        <v>96</v>
      </c>
      <c r="AT218">
        <v>192.75</v>
      </c>
      <c r="AU218">
        <v>355.5</v>
      </c>
      <c r="AV218">
        <v>0</v>
      </c>
    </row>
    <row r="219" spans="1:48">
      <c r="A219">
        <v>218</v>
      </c>
      <c r="B219">
        <v>0</v>
      </c>
      <c r="C219">
        <v>31.019999999999548</v>
      </c>
      <c r="D219">
        <v>17.739999999999768</v>
      </c>
      <c r="E219">
        <v>5.1889269411305641</v>
      </c>
      <c r="F219">
        <v>1.0469999999999999</v>
      </c>
      <c r="G219">
        <v>4.79</v>
      </c>
      <c r="H219">
        <v>0.45493928872649364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 s="15">
        <v>0.29136091215348148</v>
      </c>
      <c r="Q219" s="15">
        <v>0.29136091215348148</v>
      </c>
      <c r="R219">
        <v>0</v>
      </c>
      <c r="S219">
        <v>0</v>
      </c>
      <c r="T219" s="15">
        <v>0.95028186508497059</v>
      </c>
      <c r="U219">
        <v>27.32957333906705</v>
      </c>
      <c r="V219">
        <v>0</v>
      </c>
      <c r="W219">
        <v>0</v>
      </c>
      <c r="X219">
        <v>5.432666378560489</v>
      </c>
      <c r="Y219">
        <v>5.432666378560489</v>
      </c>
      <c r="Z219">
        <v>1</v>
      </c>
      <c r="AA219">
        <v>0.75</v>
      </c>
      <c r="AB219">
        <v>1.25</v>
      </c>
      <c r="AC219">
        <v>0</v>
      </c>
      <c r="AD219">
        <v>3.9109723514343255E-2</v>
      </c>
      <c r="AE219">
        <v>168.65299590235588</v>
      </c>
      <c r="AF219">
        <v>173.17449013934581</v>
      </c>
      <c r="AG219">
        <v>181.22667214443055</v>
      </c>
      <c r="AH219">
        <v>136.50119438887896</v>
      </c>
      <c r="AI219">
        <v>2.1</v>
      </c>
      <c r="AJ219">
        <v>0</v>
      </c>
      <c r="AK219">
        <v>0</v>
      </c>
      <c r="AL219">
        <v>1.2185897795783405</v>
      </c>
      <c r="AM219">
        <v>1.2185897795783405</v>
      </c>
      <c r="AN219">
        <v>0</v>
      </c>
      <c r="AO219">
        <v>0</v>
      </c>
      <c r="AP219">
        <v>1</v>
      </c>
      <c r="AQ219">
        <v>0</v>
      </c>
      <c r="AR219">
        <v>57.75</v>
      </c>
      <c r="AS219">
        <v>96</v>
      </c>
      <c r="AT219">
        <v>192.75</v>
      </c>
      <c r="AU219">
        <v>355.5</v>
      </c>
      <c r="AV219">
        <v>0</v>
      </c>
    </row>
    <row r="220" spans="1:48">
      <c r="A220">
        <v>219</v>
      </c>
      <c r="B220">
        <v>0</v>
      </c>
      <c r="C220">
        <v>28.839999999999577</v>
      </c>
      <c r="D220">
        <v>19.699999999999733</v>
      </c>
      <c r="E220">
        <v>3.3170792423542212</v>
      </c>
      <c r="F220">
        <v>1.0469999999999999</v>
      </c>
      <c r="G220">
        <v>4.78</v>
      </c>
      <c r="H220">
        <v>0.47103890901877199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 s="15">
        <v>6.1801761902187023E-2</v>
      </c>
      <c r="Q220" s="15">
        <v>6.1801761902187037E-2</v>
      </c>
      <c r="R220">
        <v>0</v>
      </c>
      <c r="S220">
        <v>0</v>
      </c>
      <c r="T220" s="15">
        <v>0.60280700385006758</v>
      </c>
      <c r="U220">
        <v>26.664964573314801</v>
      </c>
      <c r="V220">
        <v>0</v>
      </c>
      <c r="W220">
        <v>0</v>
      </c>
      <c r="X220">
        <v>3.4728975011357965</v>
      </c>
      <c r="Y220">
        <v>3.4728975011357965</v>
      </c>
      <c r="Z220">
        <v>1</v>
      </c>
      <c r="AA220">
        <v>0.75</v>
      </c>
      <c r="AB220">
        <v>1.25</v>
      </c>
      <c r="AC220">
        <v>0</v>
      </c>
      <c r="AD220">
        <v>2.6782301213232045E-2</v>
      </c>
      <c r="AE220">
        <v>165.75612310385696</v>
      </c>
      <c r="AF220">
        <v>168.65299590235588</v>
      </c>
      <c r="AG220">
        <v>179.99432670915809</v>
      </c>
      <c r="AH220">
        <v>135.62094764939866</v>
      </c>
      <c r="AI220">
        <v>2.1</v>
      </c>
      <c r="AJ220">
        <v>0</v>
      </c>
      <c r="AK220">
        <v>0</v>
      </c>
      <c r="AL220">
        <v>1.1619352915664352</v>
      </c>
      <c r="AM220">
        <v>1.1619352915664352</v>
      </c>
      <c r="AN220">
        <v>0</v>
      </c>
      <c r="AO220">
        <v>0</v>
      </c>
      <c r="AP220">
        <v>1</v>
      </c>
      <c r="AQ220">
        <v>0</v>
      </c>
      <c r="AR220">
        <v>57.75</v>
      </c>
      <c r="AS220">
        <v>96</v>
      </c>
      <c r="AT220">
        <v>192.75</v>
      </c>
      <c r="AU220">
        <v>355.5</v>
      </c>
      <c r="AV220">
        <v>0</v>
      </c>
    </row>
    <row r="221" spans="1:48">
      <c r="A221">
        <v>220</v>
      </c>
      <c r="B221">
        <v>0</v>
      </c>
      <c r="C221">
        <v>31.579999999999536</v>
      </c>
      <c r="D221">
        <v>19.459999999999738</v>
      </c>
      <c r="E221">
        <v>4.2646810062591181</v>
      </c>
      <c r="F221">
        <v>1.0469999999999999</v>
      </c>
      <c r="G221">
        <v>4.7699999999999996</v>
      </c>
      <c r="H221">
        <v>0.55861202816839972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 s="15">
        <v>0.16930024851101702</v>
      </c>
      <c r="Q221" s="15">
        <v>0.16930024851101705</v>
      </c>
      <c r="R221">
        <v>0</v>
      </c>
      <c r="S221">
        <v>0</v>
      </c>
      <c r="T221" s="15">
        <v>0.43677052977126385</v>
      </c>
      <c r="U221">
        <v>26.058893795032517</v>
      </c>
      <c r="V221">
        <v>0</v>
      </c>
      <c r="W221">
        <v>0</v>
      </c>
      <c r="X221">
        <v>4.4650187439963105</v>
      </c>
      <c r="Y221">
        <v>4.4650187439963105</v>
      </c>
      <c r="Z221">
        <v>1</v>
      </c>
      <c r="AA221">
        <v>0.75</v>
      </c>
      <c r="AB221">
        <v>1.25</v>
      </c>
      <c r="AC221">
        <v>0</v>
      </c>
      <c r="AD221">
        <v>1.9074251986648472E-2</v>
      </c>
      <c r="AE221">
        <v>161.7088006376452</v>
      </c>
      <c r="AF221">
        <v>165.75612310385696</v>
      </c>
      <c r="AG221">
        <v>173.29104230384985</v>
      </c>
      <c r="AH221">
        <v>130.83288735989274</v>
      </c>
      <c r="AI221">
        <v>2.1</v>
      </c>
      <c r="AJ221">
        <v>0</v>
      </c>
      <c r="AK221">
        <v>0</v>
      </c>
      <c r="AL221">
        <v>1.1199646145638216</v>
      </c>
      <c r="AM221">
        <v>1.1199646145638216</v>
      </c>
      <c r="AN221">
        <v>0</v>
      </c>
      <c r="AO221">
        <v>0</v>
      </c>
      <c r="AP221">
        <v>1</v>
      </c>
      <c r="AQ221">
        <v>0</v>
      </c>
      <c r="AR221">
        <v>57.75</v>
      </c>
      <c r="AS221">
        <v>96</v>
      </c>
      <c r="AT221">
        <v>192.75</v>
      </c>
      <c r="AU221">
        <v>355.5</v>
      </c>
      <c r="AV221">
        <v>0</v>
      </c>
    </row>
    <row r="222" spans="1:48">
      <c r="A222">
        <v>221</v>
      </c>
      <c r="B222">
        <v>0</v>
      </c>
      <c r="C222">
        <v>31.859999999999538</v>
      </c>
      <c r="D222">
        <v>18.119999999999756</v>
      </c>
      <c r="E222">
        <v>4.8922116033712317</v>
      </c>
      <c r="F222">
        <v>1.0469999999999999</v>
      </c>
      <c r="G222">
        <v>4.76</v>
      </c>
      <c r="H222">
        <v>0.51462723997276261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 s="15">
        <v>0.22775936497113458</v>
      </c>
      <c r="Q222" s="15">
        <v>0.22775936497113458</v>
      </c>
      <c r="R222">
        <v>0</v>
      </c>
      <c r="S222">
        <v>0</v>
      </c>
      <c r="T222" s="15">
        <v>0.32456377140071846</v>
      </c>
      <c r="U222">
        <v>25.506570658660671</v>
      </c>
      <c r="V222">
        <v>0</v>
      </c>
      <c r="W222">
        <v>0</v>
      </c>
      <c r="X222">
        <v>5.122035201486276</v>
      </c>
      <c r="Y222">
        <v>5.122035201486276</v>
      </c>
      <c r="Z222">
        <v>1</v>
      </c>
      <c r="AA222">
        <v>0.75</v>
      </c>
      <c r="AB222">
        <v>1.25</v>
      </c>
      <c r="AC222">
        <v>0</v>
      </c>
      <c r="AD222">
        <v>1.2395429320390301E-2</v>
      </c>
      <c r="AE222">
        <v>156.89893377823927</v>
      </c>
      <c r="AF222">
        <v>161.7088006376452</v>
      </c>
      <c r="AG222">
        <v>176.65785791628491</v>
      </c>
      <c r="AH222">
        <v>133.23775565448921</v>
      </c>
      <c r="AI222">
        <v>2.1</v>
      </c>
      <c r="AJ222">
        <v>0</v>
      </c>
      <c r="AK222">
        <v>0</v>
      </c>
      <c r="AL222">
        <v>1.0888719723059384</v>
      </c>
      <c r="AM222">
        <v>1.0888719723059384</v>
      </c>
      <c r="AN222">
        <v>0</v>
      </c>
      <c r="AO222">
        <v>0</v>
      </c>
      <c r="AP222">
        <v>1</v>
      </c>
      <c r="AQ222">
        <v>0</v>
      </c>
      <c r="AR222">
        <v>57.75</v>
      </c>
      <c r="AS222">
        <v>96</v>
      </c>
      <c r="AT222">
        <v>192.75</v>
      </c>
      <c r="AU222">
        <v>355.5</v>
      </c>
      <c r="AV222">
        <v>0</v>
      </c>
    </row>
    <row r="223" spans="1:48">
      <c r="A223">
        <v>222</v>
      </c>
      <c r="B223">
        <v>0</v>
      </c>
      <c r="C223">
        <v>32.479999999999528</v>
      </c>
      <c r="D223">
        <v>18.37999999999975</v>
      </c>
      <c r="E223">
        <v>4.8449491054350267</v>
      </c>
      <c r="F223">
        <v>1.0469999999999999</v>
      </c>
      <c r="G223">
        <v>4.75</v>
      </c>
      <c r="H223">
        <v>0.4860082176544443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 s="15">
        <v>0.23172250639945055</v>
      </c>
      <c r="Q223" s="15">
        <v>0.23172250639945058</v>
      </c>
      <c r="R223">
        <v>0</v>
      </c>
      <c r="S223">
        <v>0</v>
      </c>
      <c r="T223" s="15">
        <v>0.24813933687685719</v>
      </c>
      <c r="U223">
        <v>25.026708815384367</v>
      </c>
      <c r="V223">
        <v>0</v>
      </c>
      <c r="W223">
        <v>0</v>
      </c>
      <c r="X223">
        <v>5.0725590533096128</v>
      </c>
      <c r="Y223">
        <v>5.0725590533096128</v>
      </c>
      <c r="Z223">
        <v>1</v>
      </c>
      <c r="AA223">
        <v>0.75</v>
      </c>
      <c r="AB223">
        <v>1.25</v>
      </c>
      <c r="AC223">
        <v>0</v>
      </c>
      <c r="AD223" s="15">
        <v>7.6245397752924297E-3</v>
      </c>
      <c r="AE223">
        <v>152.06688952203118</v>
      </c>
      <c r="AF223">
        <v>156.89893377823927</v>
      </c>
      <c r="AG223">
        <v>178.84850097964059</v>
      </c>
      <c r="AH223">
        <v>134.80250069974326</v>
      </c>
      <c r="AI223">
        <v>2.1</v>
      </c>
      <c r="AJ223">
        <v>0</v>
      </c>
      <c r="AK223">
        <v>0</v>
      </c>
      <c r="AL223">
        <v>1.0658379763921602</v>
      </c>
      <c r="AM223">
        <v>1.0658379763921602</v>
      </c>
      <c r="AN223">
        <v>0</v>
      </c>
      <c r="AO223">
        <v>0</v>
      </c>
      <c r="AP223">
        <v>1</v>
      </c>
      <c r="AQ223">
        <v>0</v>
      </c>
      <c r="AR223">
        <v>57.75</v>
      </c>
      <c r="AS223">
        <v>96</v>
      </c>
      <c r="AT223">
        <v>192.75</v>
      </c>
      <c r="AU223">
        <v>355.5</v>
      </c>
      <c r="AV223">
        <v>0</v>
      </c>
    </row>
    <row r="224" spans="1:48">
      <c r="A224">
        <v>223</v>
      </c>
      <c r="B224">
        <v>0</v>
      </c>
      <c r="C224">
        <v>34.699999999999498</v>
      </c>
      <c r="D224">
        <v>18.599999999999749</v>
      </c>
      <c r="E224">
        <v>5.0669030961562953</v>
      </c>
      <c r="F224">
        <v>1.0469999999999999</v>
      </c>
      <c r="G224">
        <v>4.74</v>
      </c>
      <c r="H224">
        <v>0.48782873788368636</v>
      </c>
      <c r="I224">
        <v>54</v>
      </c>
      <c r="J224">
        <v>0</v>
      </c>
      <c r="K224">
        <v>54</v>
      </c>
      <c r="L224">
        <v>0</v>
      </c>
      <c r="M224">
        <v>0</v>
      </c>
      <c r="N224">
        <v>0</v>
      </c>
      <c r="O224">
        <v>0</v>
      </c>
      <c r="P224" s="15">
        <v>0.23609826820085472</v>
      </c>
      <c r="Q224" s="15">
        <v>0.23609826820085469</v>
      </c>
      <c r="R224">
        <v>0</v>
      </c>
      <c r="S224">
        <v>0</v>
      </c>
      <c r="T224" s="15">
        <v>51.213550086941346</v>
      </c>
      <c r="U224">
        <v>27.577060460242166</v>
      </c>
      <c r="V224">
        <v>0</v>
      </c>
      <c r="W224">
        <v>0</v>
      </c>
      <c r="X224">
        <v>5.3049468091585501</v>
      </c>
      <c r="Y224">
        <v>5.3049468091585501</v>
      </c>
      <c r="Z224">
        <v>1</v>
      </c>
      <c r="AA224">
        <v>0.75</v>
      </c>
      <c r="AB224">
        <v>1.25</v>
      </c>
      <c r="AC224">
        <v>0</v>
      </c>
      <c r="AD224" s="15">
        <v>0.8114208132593923</v>
      </c>
      <c r="AE224">
        <v>197.16407198655449</v>
      </c>
      <c r="AF224">
        <v>152.06688952203118</v>
      </c>
      <c r="AG224">
        <v>178.70914925869323</v>
      </c>
      <c r="AH224">
        <v>134.70296375620944</v>
      </c>
      <c r="AI224">
        <v>2.1</v>
      </c>
      <c r="AJ224">
        <v>0</v>
      </c>
      <c r="AK224">
        <v>0</v>
      </c>
      <c r="AL224">
        <v>9</v>
      </c>
      <c r="AM224">
        <v>9</v>
      </c>
      <c r="AN224">
        <v>6</v>
      </c>
      <c r="AO224">
        <v>0</v>
      </c>
      <c r="AP224">
        <v>1</v>
      </c>
      <c r="AQ224">
        <v>0</v>
      </c>
      <c r="AR224">
        <v>57.75</v>
      </c>
      <c r="AS224">
        <v>96</v>
      </c>
      <c r="AT224">
        <v>192.75</v>
      </c>
      <c r="AU224">
        <v>355.5</v>
      </c>
      <c r="AV224">
        <v>0</v>
      </c>
    </row>
    <row r="225" spans="1:48">
      <c r="A225">
        <v>224</v>
      </c>
      <c r="B225">
        <v>0</v>
      </c>
      <c r="C225">
        <v>35.499999999999488</v>
      </c>
      <c r="D225">
        <v>20.599999999999724</v>
      </c>
      <c r="E225">
        <v>5.3090346091224294</v>
      </c>
      <c r="F225">
        <v>1.0469999999999999</v>
      </c>
      <c r="G225">
        <v>4.7300000000000004</v>
      </c>
      <c r="H225">
        <v>0.47835819738935581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 s="15">
        <v>0.27211907755723569</v>
      </c>
      <c r="Q225" s="15">
        <v>0.27211907755723569</v>
      </c>
      <c r="R225">
        <v>0</v>
      </c>
      <c r="S225">
        <v>0</v>
      </c>
      <c r="T225" s="15">
        <v>2.4060032460358944</v>
      </c>
      <c r="U225">
        <v>24.898938136649033</v>
      </c>
      <c r="V225">
        <v>0</v>
      </c>
      <c r="W225">
        <v>0</v>
      </c>
      <c r="X225">
        <v>5.5584603315645733</v>
      </c>
      <c r="Y225">
        <v>5.5584603315645733</v>
      </c>
      <c r="Z225">
        <v>1</v>
      </c>
      <c r="AA225">
        <v>0.75</v>
      </c>
      <c r="AB225">
        <v>1.25</v>
      </c>
      <c r="AC225">
        <v>0</v>
      </c>
      <c r="AD225" s="15">
        <v>1.406570876967639</v>
      </c>
      <c r="AE225">
        <v>192.60504402405817</v>
      </c>
      <c r="AF225">
        <v>197.16407198655449</v>
      </c>
      <c r="AG225">
        <v>179.43407178083174</v>
      </c>
      <c r="AH225">
        <v>135.22076555773697</v>
      </c>
      <c r="AI225">
        <v>2.1</v>
      </c>
      <c r="AJ225">
        <v>0</v>
      </c>
      <c r="AK225">
        <v>0</v>
      </c>
      <c r="AL225">
        <v>6.926545765453743</v>
      </c>
      <c r="AM225">
        <v>6.926545765453743</v>
      </c>
      <c r="AN225">
        <v>0</v>
      </c>
      <c r="AO225">
        <v>0</v>
      </c>
      <c r="AP225">
        <v>1</v>
      </c>
      <c r="AQ225">
        <v>0</v>
      </c>
      <c r="AR225">
        <v>57.75</v>
      </c>
      <c r="AS225">
        <v>96</v>
      </c>
      <c r="AT225">
        <v>192.75</v>
      </c>
      <c r="AU225">
        <v>355.5</v>
      </c>
      <c r="AV225">
        <v>0</v>
      </c>
    </row>
    <row r="226" spans="1:48">
      <c r="A226">
        <v>225</v>
      </c>
      <c r="B226">
        <v>0</v>
      </c>
      <c r="C226">
        <v>35.819999999999482</v>
      </c>
      <c r="D226">
        <v>23.639999999999681</v>
      </c>
      <c r="E226">
        <v>5.2474879425819276</v>
      </c>
      <c r="F226">
        <v>1.0469999999999999</v>
      </c>
      <c r="G226">
        <v>4.72</v>
      </c>
      <c r="H226">
        <v>0.4667768243777235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 s="15">
        <v>0.24626544596840408</v>
      </c>
      <c r="Q226" s="15">
        <v>0.24626544596840408</v>
      </c>
      <c r="R226">
        <v>0</v>
      </c>
      <c r="S226">
        <v>0</v>
      </c>
      <c r="T226" s="15">
        <v>0.79841466176869247</v>
      </c>
      <c r="U226">
        <v>23.854258028911953</v>
      </c>
      <c r="V226">
        <v>0</v>
      </c>
      <c r="W226">
        <v>0</v>
      </c>
      <c r="X226">
        <v>5.4940283848478781</v>
      </c>
      <c r="Y226">
        <v>5.4940283848478781</v>
      </c>
      <c r="Z226">
        <v>1</v>
      </c>
      <c r="AA226">
        <v>0.75</v>
      </c>
      <c r="AB226">
        <v>1.25</v>
      </c>
      <c r="AC226">
        <v>0</v>
      </c>
      <c r="AD226" s="15">
        <v>0.75840055434061293</v>
      </c>
      <c r="AE226">
        <v>187.15102974663844</v>
      </c>
      <c r="AF226">
        <v>192.60504402405815</v>
      </c>
      <c r="AG226">
        <v>180.32056797800718</v>
      </c>
      <c r="AH226">
        <v>135.85397712714797</v>
      </c>
      <c r="AI226">
        <v>2.1</v>
      </c>
      <c r="AJ226">
        <v>0</v>
      </c>
      <c r="AK226">
        <v>0</v>
      </c>
      <c r="AL226">
        <v>5.3904930887522111</v>
      </c>
      <c r="AM226">
        <v>5.3904930887522111</v>
      </c>
      <c r="AN226">
        <v>0</v>
      </c>
      <c r="AO226">
        <v>0</v>
      </c>
      <c r="AP226">
        <v>1</v>
      </c>
      <c r="AQ226">
        <v>0</v>
      </c>
      <c r="AR226">
        <v>57.75</v>
      </c>
      <c r="AS226">
        <v>96</v>
      </c>
      <c r="AT226">
        <v>192.75</v>
      </c>
      <c r="AU226">
        <v>355.5</v>
      </c>
      <c r="AV226">
        <v>0</v>
      </c>
    </row>
    <row r="227" spans="1:48">
      <c r="A227">
        <v>226</v>
      </c>
      <c r="B227">
        <v>0</v>
      </c>
      <c r="C227">
        <v>36.419999999999469</v>
      </c>
      <c r="D227">
        <v>21.659999999999705</v>
      </c>
      <c r="E227">
        <v>5.1784628695633534</v>
      </c>
      <c r="F227">
        <v>1.0469999999999999</v>
      </c>
      <c r="G227">
        <v>4.71</v>
      </c>
      <c r="H227">
        <v>0.47038824742922297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 s="15">
        <v>0.25105209915339133</v>
      </c>
      <c r="Q227" s="15">
        <v>0.25105209915339133</v>
      </c>
      <c r="R227">
        <v>0</v>
      </c>
      <c r="S227">
        <v>0</v>
      </c>
      <c r="T227" s="15">
        <v>0.40674392765305029</v>
      </c>
      <c r="U227">
        <v>23.196462002105498</v>
      </c>
      <c r="V227">
        <v>0</v>
      </c>
      <c r="W227">
        <v>0</v>
      </c>
      <c r="X227">
        <v>5.4217662306685517</v>
      </c>
      <c r="Y227">
        <v>5.4217662306685517</v>
      </c>
      <c r="Z227">
        <v>1</v>
      </c>
      <c r="AA227">
        <v>0.75</v>
      </c>
      <c r="AB227">
        <v>1.25</v>
      </c>
      <c r="AC227">
        <v>0</v>
      </c>
      <c r="AD227" s="15">
        <v>0.40026122065657782</v>
      </c>
      <c r="AE227">
        <v>181.73574622296638</v>
      </c>
      <c r="AF227">
        <v>187.15102974663844</v>
      </c>
      <c r="AG227">
        <v>180.04413160053014</v>
      </c>
      <c r="AH227">
        <v>135.65652257180724</v>
      </c>
      <c r="AI227">
        <v>2.1</v>
      </c>
      <c r="AJ227">
        <v>0</v>
      </c>
      <c r="AK227">
        <v>0</v>
      </c>
      <c r="AL227">
        <v>4.2525572779247938</v>
      </c>
      <c r="AM227">
        <v>4.2525572779247938</v>
      </c>
      <c r="AN227">
        <v>0</v>
      </c>
      <c r="AO227">
        <v>0</v>
      </c>
      <c r="AP227">
        <v>1</v>
      </c>
      <c r="AQ227">
        <v>0</v>
      </c>
      <c r="AR227">
        <v>57.75</v>
      </c>
      <c r="AS227">
        <v>96</v>
      </c>
      <c r="AT227">
        <v>192.75</v>
      </c>
      <c r="AU227">
        <v>355.5</v>
      </c>
      <c r="AV227">
        <v>0</v>
      </c>
    </row>
    <row r="228" spans="1:48">
      <c r="A228">
        <v>227</v>
      </c>
      <c r="B228">
        <v>0</v>
      </c>
      <c r="C228">
        <v>36.559999999999469</v>
      </c>
      <c r="D228">
        <v>22.179999999999694</v>
      </c>
      <c r="E228">
        <v>5.3600328709583414</v>
      </c>
      <c r="F228">
        <v>1.0469999999999999</v>
      </c>
      <c r="G228">
        <v>4.7</v>
      </c>
      <c r="H228">
        <v>0.47308726740866874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 s="15">
        <v>0.31598320072327024</v>
      </c>
      <c r="Q228" s="15">
        <v>0.31598320072327024</v>
      </c>
      <c r="R228">
        <v>0</v>
      </c>
      <c r="S228">
        <v>0</v>
      </c>
      <c r="T228" s="15">
        <v>0.23527749815689583</v>
      </c>
      <c r="U228">
        <v>22.645201303225335</v>
      </c>
      <c r="V228">
        <v>0</v>
      </c>
      <c r="W228">
        <v>0</v>
      </c>
      <c r="X228">
        <v>5.6118728681181027</v>
      </c>
      <c r="Y228">
        <v>5.6118728681181027</v>
      </c>
      <c r="Z228">
        <v>1</v>
      </c>
      <c r="AA228">
        <v>0.75</v>
      </c>
      <c r="AB228">
        <v>1.25</v>
      </c>
      <c r="AC228">
        <v>0</v>
      </c>
      <c r="AD228" s="15">
        <v>0.21032732480263597</v>
      </c>
      <c r="AE228">
        <v>176.14882352820251</v>
      </c>
      <c r="AF228">
        <v>181.73574622296641</v>
      </c>
      <c r="AG228">
        <v>179.83753511620347</v>
      </c>
      <c r="AH228">
        <v>135.50895365443102</v>
      </c>
      <c r="AI228">
        <v>2.1</v>
      </c>
      <c r="AJ228">
        <v>0</v>
      </c>
      <c r="AK228">
        <v>0</v>
      </c>
      <c r="AL228">
        <v>3.4095536952976171</v>
      </c>
      <c r="AM228">
        <v>3.4095536952976171</v>
      </c>
      <c r="AN228">
        <v>0</v>
      </c>
      <c r="AO228">
        <v>0</v>
      </c>
      <c r="AP228">
        <v>1</v>
      </c>
      <c r="AQ228">
        <v>0</v>
      </c>
      <c r="AR228">
        <v>57.75</v>
      </c>
      <c r="AS228">
        <v>96</v>
      </c>
      <c r="AT228">
        <v>192.75</v>
      </c>
      <c r="AU228">
        <v>355.5</v>
      </c>
      <c r="AV228">
        <v>0</v>
      </c>
    </row>
    <row r="229" spans="1:48">
      <c r="A229">
        <v>228</v>
      </c>
      <c r="B229">
        <v>9.2399999999997284</v>
      </c>
      <c r="C229">
        <v>33.839999999999506</v>
      </c>
      <c r="D229">
        <v>19.479999999999752</v>
      </c>
      <c r="E229">
        <v>5.1603727291750792</v>
      </c>
      <c r="F229">
        <v>1.008</v>
      </c>
      <c r="G229">
        <v>4.657</v>
      </c>
      <c r="H229">
        <v>0.46288575807591303</v>
      </c>
      <c r="I229">
        <v>0</v>
      </c>
      <c r="J229" s="15">
        <v>7.094580445729413</v>
      </c>
      <c r="K229">
        <v>9.2399999999997284</v>
      </c>
      <c r="L229" s="15">
        <v>7.094580445729413</v>
      </c>
      <c r="M229">
        <v>2.1454195542703149</v>
      </c>
      <c r="N229">
        <v>0</v>
      </c>
      <c r="O229">
        <v>7.0945806571643883</v>
      </c>
      <c r="P229" s="15">
        <v>0.51529219853260755</v>
      </c>
      <c r="Q229" s="15">
        <v>0.51529219853260755</v>
      </c>
      <c r="R229">
        <v>0</v>
      </c>
      <c r="S229">
        <v>0</v>
      </c>
      <c r="T229" s="15">
        <v>0.96917012693259219</v>
      </c>
      <c r="U229">
        <v>28.255319634924529</v>
      </c>
      <c r="V229">
        <v>0</v>
      </c>
      <c r="W229">
        <v>0</v>
      </c>
      <c r="X229">
        <v>5.2015852375232461</v>
      </c>
      <c r="Y229">
        <v>5.2015852375232461</v>
      </c>
      <c r="Z229">
        <v>1</v>
      </c>
      <c r="AA229">
        <v>0.75</v>
      </c>
      <c r="AB229">
        <v>1.25</v>
      </c>
      <c r="AC229">
        <v>0</v>
      </c>
      <c r="AD229" s="15">
        <v>0.11311644186728403</v>
      </c>
      <c r="AE229">
        <v>171.8032919757446</v>
      </c>
      <c r="AF229">
        <v>176.14882352820251</v>
      </c>
      <c r="AG229">
        <v>180.61840964807922</v>
      </c>
      <c r="AH229">
        <v>136.06672117719944</v>
      </c>
      <c r="AI229">
        <v>2.1</v>
      </c>
      <c r="AJ229">
        <v>0</v>
      </c>
      <c r="AK229">
        <v>0</v>
      </c>
      <c r="AL229">
        <v>2.7850412811874383</v>
      </c>
      <c r="AM229">
        <v>2.7850412811874383</v>
      </c>
      <c r="AN229">
        <v>0</v>
      </c>
      <c r="AO229">
        <v>0</v>
      </c>
      <c r="AP229">
        <v>1</v>
      </c>
      <c r="AQ229">
        <v>0</v>
      </c>
      <c r="AR229">
        <v>57.75</v>
      </c>
      <c r="AS229">
        <v>96</v>
      </c>
      <c r="AT229">
        <v>192.75</v>
      </c>
      <c r="AU229">
        <v>355.5</v>
      </c>
      <c r="AV229">
        <v>0</v>
      </c>
    </row>
    <row r="230" spans="1:48">
      <c r="A230">
        <v>229</v>
      </c>
      <c r="B230">
        <v>0</v>
      </c>
      <c r="C230">
        <v>30.979999999999549</v>
      </c>
      <c r="D230">
        <v>18.419999999999771</v>
      </c>
      <c r="E230">
        <v>5.1987329977742958</v>
      </c>
      <c r="F230">
        <v>0.96899999999999997</v>
      </c>
      <c r="G230">
        <v>4.6130000000000004</v>
      </c>
      <c r="H230">
        <v>0.47132490319870424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 s="15">
        <v>0.76519986988258382</v>
      </c>
      <c r="Q230" s="15">
        <v>0.76519986988258382</v>
      </c>
      <c r="R230">
        <v>0</v>
      </c>
      <c r="S230">
        <v>0</v>
      </c>
      <c r="T230" s="15">
        <v>1.3155618600244814</v>
      </c>
      <c r="U230">
        <v>26.174557905017465</v>
      </c>
      <c r="V230">
        <v>0</v>
      </c>
      <c r="W230">
        <v>0</v>
      </c>
      <c r="X230">
        <v>5.0375087211670042</v>
      </c>
      <c r="Y230">
        <v>5.0375087211670042</v>
      </c>
      <c r="Z230">
        <v>1</v>
      </c>
      <c r="AA230">
        <v>0.75</v>
      </c>
      <c r="AB230">
        <v>1.25</v>
      </c>
      <c r="AC230">
        <v>0</v>
      </c>
      <c r="AD230" s="15">
        <v>6.858462155626692E-2</v>
      </c>
      <c r="AE230">
        <v>168.01276049304582</v>
      </c>
      <c r="AF230">
        <v>171.80329197574463</v>
      </c>
      <c r="AG230">
        <v>179.97243528465521</v>
      </c>
      <c r="AH230">
        <v>135.60531091761084</v>
      </c>
      <c r="AI230">
        <v>2.1</v>
      </c>
      <c r="AJ230">
        <v>0</v>
      </c>
      <c r="AK230">
        <v>0</v>
      </c>
      <c r="AL230">
        <v>2.3223911057726925</v>
      </c>
      <c r="AM230">
        <v>2.3223911057726925</v>
      </c>
      <c r="AN230">
        <v>0</v>
      </c>
      <c r="AO230">
        <v>0</v>
      </c>
      <c r="AP230">
        <v>1</v>
      </c>
      <c r="AQ230">
        <v>0</v>
      </c>
      <c r="AR230">
        <v>57.75</v>
      </c>
      <c r="AS230">
        <v>96</v>
      </c>
      <c r="AT230">
        <v>192.75</v>
      </c>
      <c r="AU230">
        <v>355.5</v>
      </c>
      <c r="AV230">
        <v>0</v>
      </c>
    </row>
    <row r="231" spans="1:48">
      <c r="A231">
        <v>230</v>
      </c>
      <c r="B231">
        <v>0</v>
      </c>
      <c r="C231">
        <v>29.239999999999583</v>
      </c>
      <c r="D231">
        <v>19.499999999999758</v>
      </c>
      <c r="E231">
        <v>5.0229523846003232</v>
      </c>
      <c r="F231">
        <v>0.93</v>
      </c>
      <c r="G231">
        <v>4.57</v>
      </c>
      <c r="H231">
        <v>0.46789165707569391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 s="15">
        <v>0.74793556593835642</v>
      </c>
      <c r="Q231" s="15">
        <v>0.74793556593835642</v>
      </c>
      <c r="R231">
        <v>0</v>
      </c>
      <c r="S231">
        <v>0</v>
      </c>
      <c r="T231" s="15">
        <v>0.52777937966486566</v>
      </c>
      <c r="U231">
        <v>24.898842959414242</v>
      </c>
      <c r="V231">
        <v>0</v>
      </c>
      <c r="W231">
        <v>0</v>
      </c>
      <c r="X231">
        <v>4.6712909097136217</v>
      </c>
      <c r="Y231">
        <v>4.6712909097136217</v>
      </c>
      <c r="Z231">
        <v>1</v>
      </c>
      <c r="AA231">
        <v>0.75</v>
      </c>
      <c r="AB231">
        <v>1.25</v>
      </c>
      <c r="AC231">
        <v>0</v>
      </c>
      <c r="AD231" s="15">
        <v>4.1115423778809557E-2</v>
      </c>
      <c r="AE231">
        <v>163.82813353921827</v>
      </c>
      <c r="AF231">
        <v>168.01276049304582</v>
      </c>
      <c r="AG231">
        <v>180.23523310914101</v>
      </c>
      <c r="AH231">
        <v>135.79302364938644</v>
      </c>
      <c r="AI231">
        <v>2.1</v>
      </c>
      <c r="AJ231">
        <v>0</v>
      </c>
      <c r="AK231">
        <v>0</v>
      </c>
      <c r="AL231">
        <v>1.9796514260238554</v>
      </c>
      <c r="AM231">
        <v>1.9796514260238554</v>
      </c>
      <c r="AN231">
        <v>0</v>
      </c>
      <c r="AO231">
        <v>0</v>
      </c>
      <c r="AP231">
        <v>1</v>
      </c>
      <c r="AQ231">
        <v>0</v>
      </c>
      <c r="AR231">
        <v>57.75</v>
      </c>
      <c r="AS231">
        <v>96</v>
      </c>
      <c r="AT231">
        <v>192.75</v>
      </c>
      <c r="AU231">
        <v>355.5</v>
      </c>
      <c r="AV231">
        <v>0</v>
      </c>
    </row>
    <row r="232" spans="1:48">
      <c r="A232">
        <v>231</v>
      </c>
      <c r="B232">
        <v>0</v>
      </c>
      <c r="C232">
        <v>29.67999999999957</v>
      </c>
      <c r="D232">
        <v>18.219999999999768</v>
      </c>
      <c r="E232">
        <v>4.4337447087361888</v>
      </c>
      <c r="F232">
        <v>0.89100000000000001</v>
      </c>
      <c r="G232">
        <v>4.5259999999999998</v>
      </c>
      <c r="H232">
        <v>0.48323094134873856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 s="15">
        <v>0.85494590541625604</v>
      </c>
      <c r="Q232" s="15">
        <v>0.85494590541625615</v>
      </c>
      <c r="R232">
        <v>0</v>
      </c>
      <c r="S232">
        <v>0</v>
      </c>
      <c r="T232" s="15">
        <v>0.25696211380467687</v>
      </c>
      <c r="U232">
        <v>23.786934940193316</v>
      </c>
      <c r="V232">
        <v>0</v>
      </c>
      <c r="W232">
        <v>0</v>
      </c>
      <c r="X232">
        <v>3.9504234850831468</v>
      </c>
      <c r="Y232">
        <v>3.9504234850831468</v>
      </c>
      <c r="Z232">
        <v>1</v>
      </c>
      <c r="AA232">
        <v>0.75</v>
      </c>
      <c r="AB232">
        <v>1.25</v>
      </c>
      <c r="AC232">
        <v>0</v>
      </c>
      <c r="AD232" s="15">
        <v>2.4986346299121786E-2</v>
      </c>
      <c r="AE232">
        <v>160.10968582164068</v>
      </c>
      <c r="AF232">
        <v>163.82813353921827</v>
      </c>
      <c r="AG232">
        <v>179.06108759446082</v>
      </c>
      <c r="AH232">
        <v>134.95434828175772</v>
      </c>
      <c r="AI232">
        <v>2.1</v>
      </c>
      <c r="AJ232">
        <v>0</v>
      </c>
      <c r="AK232">
        <v>0</v>
      </c>
      <c r="AL232">
        <v>1.7257436263153001</v>
      </c>
      <c r="AM232">
        <v>1.7257436263153001</v>
      </c>
      <c r="AN232">
        <v>0</v>
      </c>
      <c r="AO232">
        <v>0</v>
      </c>
      <c r="AP232">
        <v>1</v>
      </c>
      <c r="AQ232">
        <v>0</v>
      </c>
      <c r="AR232">
        <v>57.75</v>
      </c>
      <c r="AS232">
        <v>96</v>
      </c>
      <c r="AT232">
        <v>192.75</v>
      </c>
      <c r="AU232">
        <v>355.5</v>
      </c>
      <c r="AV232">
        <v>0</v>
      </c>
    </row>
    <row r="233" spans="1:48">
      <c r="A233">
        <v>232</v>
      </c>
      <c r="B233">
        <v>0</v>
      </c>
      <c r="C233">
        <v>31.499999999999542</v>
      </c>
      <c r="D233">
        <v>19.739999999999739</v>
      </c>
      <c r="E233">
        <v>4.4067127218873035</v>
      </c>
      <c r="F233">
        <v>0.85199999999999998</v>
      </c>
      <c r="G233">
        <v>4.4829999999999997</v>
      </c>
      <c r="H233">
        <v>0.50778522420601058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 s="15">
        <v>1.0070572565060132</v>
      </c>
      <c r="Q233" s="15">
        <v>1.0070572565060132</v>
      </c>
      <c r="R233">
        <v>0</v>
      </c>
      <c r="S233">
        <v>0</v>
      </c>
      <c r="T233" s="15">
        <v>0.12800805377544469</v>
      </c>
      <c r="U233">
        <v>22.651869629911854</v>
      </c>
      <c r="V233">
        <v>0</v>
      </c>
      <c r="W233">
        <v>0</v>
      </c>
      <c r="X233">
        <v>3.754481285456817</v>
      </c>
      <c r="Y233">
        <v>3.754481285456817</v>
      </c>
      <c r="Z233">
        <v>1</v>
      </c>
      <c r="AA233">
        <v>0.75</v>
      </c>
      <c r="AB233">
        <v>1.25</v>
      </c>
      <c r="AC233">
        <v>0</v>
      </c>
      <c r="AD233" s="15">
        <v>1.5763652553703274E-2</v>
      </c>
      <c r="AE233">
        <v>156.46744893740563</v>
      </c>
      <c r="AF233">
        <v>160.10968582164068</v>
      </c>
      <c r="AG233">
        <v>177.18158001315092</v>
      </c>
      <c r="AH233">
        <v>133.61184286653636</v>
      </c>
      <c r="AI233">
        <v>2.1</v>
      </c>
      <c r="AJ233">
        <v>0</v>
      </c>
      <c r="AK233">
        <v>0</v>
      </c>
      <c r="AL233">
        <v>1.5376441019179983</v>
      </c>
      <c r="AM233">
        <v>1.5376441019179983</v>
      </c>
      <c r="AN233">
        <v>0</v>
      </c>
      <c r="AO233">
        <v>0</v>
      </c>
      <c r="AP233">
        <v>1</v>
      </c>
      <c r="AQ233">
        <v>0</v>
      </c>
      <c r="AR233">
        <v>57.75</v>
      </c>
      <c r="AS233">
        <v>96</v>
      </c>
      <c r="AT233">
        <v>192.75</v>
      </c>
      <c r="AU233">
        <v>355.5</v>
      </c>
      <c r="AV233">
        <v>0</v>
      </c>
    </row>
    <row r="234" spans="1:48">
      <c r="A234">
        <v>233</v>
      </c>
      <c r="B234">
        <v>0</v>
      </c>
      <c r="C234">
        <v>33.299999999999521</v>
      </c>
      <c r="D234">
        <v>18.87999999999975</v>
      </c>
      <c r="E234">
        <v>4.6348924186943039</v>
      </c>
      <c r="F234">
        <v>0.81299999999999994</v>
      </c>
      <c r="G234">
        <v>4.4390000000000001</v>
      </c>
      <c r="H234">
        <v>0.50953845810828569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 s="15">
        <v>1.2551234996644547</v>
      </c>
      <c r="Q234" s="15">
        <v>1.2551234996644547</v>
      </c>
      <c r="R234">
        <v>0</v>
      </c>
      <c r="S234">
        <v>0</v>
      </c>
      <c r="T234" s="15">
        <v>5.9543864751793678E-2</v>
      </c>
      <c r="U234">
        <v>21.337202265495602</v>
      </c>
      <c r="V234">
        <v>0</v>
      </c>
      <c r="W234">
        <v>0</v>
      </c>
      <c r="X234">
        <v>3.7681322474553181</v>
      </c>
      <c r="Y234">
        <v>3.7681322474553181</v>
      </c>
      <c r="Z234">
        <v>1</v>
      </c>
      <c r="AA234">
        <v>0.75</v>
      </c>
      <c r="AB234">
        <v>1.25</v>
      </c>
      <c r="AC234">
        <v>0</v>
      </c>
      <c r="AD234" s="15">
        <v>1.0035012638506658E-2</v>
      </c>
      <c r="AE234">
        <v>152.74882554206366</v>
      </c>
      <c r="AF234">
        <v>156.46744893740563</v>
      </c>
      <c r="AG234">
        <v>177.04737872410129</v>
      </c>
      <c r="AH234">
        <v>133.51598480292949</v>
      </c>
      <c r="AI234">
        <v>2.1</v>
      </c>
      <c r="AJ234">
        <v>0</v>
      </c>
      <c r="AK234">
        <v>0</v>
      </c>
      <c r="AL234">
        <v>1.3982965469429116</v>
      </c>
      <c r="AM234">
        <v>1.3982965469429116</v>
      </c>
      <c r="AN234">
        <v>0</v>
      </c>
      <c r="AO234">
        <v>0</v>
      </c>
      <c r="AP234">
        <v>1</v>
      </c>
      <c r="AQ234">
        <v>0</v>
      </c>
      <c r="AR234">
        <v>57.75</v>
      </c>
      <c r="AS234">
        <v>96</v>
      </c>
      <c r="AT234">
        <v>192.75</v>
      </c>
      <c r="AU234">
        <v>355.5</v>
      </c>
      <c r="AV234">
        <v>0</v>
      </c>
    </row>
    <row r="235" spans="1:48">
      <c r="A235">
        <v>234</v>
      </c>
      <c r="B235" s="15">
        <v>0</v>
      </c>
      <c r="C235">
        <v>32.639999999999532</v>
      </c>
      <c r="D235">
        <v>19.47999999999973</v>
      </c>
      <c r="E235">
        <v>4.412774227187291</v>
      </c>
      <c r="F235">
        <v>0.77400000000000002</v>
      </c>
      <c r="G235">
        <v>4.3959999999999999</v>
      </c>
      <c r="H235">
        <v>0.49906977013600134</v>
      </c>
      <c r="I235">
        <v>54</v>
      </c>
      <c r="J235" s="15">
        <v>0</v>
      </c>
      <c r="K235" s="15">
        <v>54</v>
      </c>
      <c r="L235" s="15">
        <v>0</v>
      </c>
      <c r="M235">
        <v>0</v>
      </c>
      <c r="N235">
        <v>0</v>
      </c>
      <c r="O235" s="15">
        <v>0</v>
      </c>
      <c r="P235" s="15">
        <v>1.4235467004728697</v>
      </c>
      <c r="Q235" s="15">
        <v>1.4235467004728695</v>
      </c>
      <c r="R235">
        <v>0</v>
      </c>
      <c r="S235">
        <v>0</v>
      </c>
      <c r="T235" s="15">
        <v>46.378602383607145</v>
      </c>
      <c r="U235">
        <v>27.535053181415609</v>
      </c>
      <c r="V235">
        <v>0</v>
      </c>
      <c r="W235">
        <v>0</v>
      </c>
      <c r="X235">
        <v>3.4154576575009421</v>
      </c>
      <c r="Y235">
        <v>3.4154576575009421</v>
      </c>
      <c r="Z235">
        <v>1</v>
      </c>
      <c r="AA235">
        <v>0.75</v>
      </c>
      <c r="AB235">
        <v>1.25</v>
      </c>
      <c r="AC235">
        <v>0</v>
      </c>
      <c r="AD235" s="15">
        <v>0.69859520147626986</v>
      </c>
      <c r="AE235">
        <v>195.01337506669364</v>
      </c>
      <c r="AF235">
        <v>152.74882554206366</v>
      </c>
      <c r="AG235">
        <v>177.84870444493978</v>
      </c>
      <c r="AH235">
        <v>134.08836031781414</v>
      </c>
      <c r="AI235">
        <v>2.1</v>
      </c>
      <c r="AJ235">
        <v>0</v>
      </c>
      <c r="AK235">
        <v>0</v>
      </c>
      <c r="AL235">
        <v>9</v>
      </c>
      <c r="AM235">
        <v>9</v>
      </c>
      <c r="AN235">
        <v>6</v>
      </c>
      <c r="AO235">
        <v>0</v>
      </c>
      <c r="AP235">
        <v>1</v>
      </c>
      <c r="AQ235">
        <v>0</v>
      </c>
      <c r="AR235">
        <v>57.75</v>
      </c>
      <c r="AS235">
        <v>96</v>
      </c>
      <c r="AT235">
        <v>192.75</v>
      </c>
      <c r="AU235">
        <v>355.5</v>
      </c>
      <c r="AV235">
        <v>0</v>
      </c>
    </row>
    <row r="236" spans="1:48">
      <c r="A236">
        <v>235</v>
      </c>
      <c r="B236">
        <v>6.7199999999999767</v>
      </c>
      <c r="C236">
        <v>29.519999999999573</v>
      </c>
      <c r="D236">
        <v>18.739999999999732</v>
      </c>
      <c r="E236">
        <v>4.5339607249267448</v>
      </c>
      <c r="F236">
        <v>0.73499999999999999</v>
      </c>
      <c r="G236">
        <v>4.3520000000000003</v>
      </c>
      <c r="H236">
        <v>0.5064398255371062</v>
      </c>
      <c r="I236">
        <v>0</v>
      </c>
      <c r="J236">
        <v>4.839506172839485</v>
      </c>
      <c r="K236">
        <v>6.7199999999999767</v>
      </c>
      <c r="L236">
        <v>4.839506172839485</v>
      </c>
      <c r="M236">
        <v>1.8804938271604921</v>
      </c>
      <c r="N236">
        <v>0</v>
      </c>
      <c r="O236">
        <v>4.8395063170680075</v>
      </c>
      <c r="P236" s="15">
        <v>1.5868706748362844</v>
      </c>
      <c r="Q236" s="15">
        <v>1.5868706748362844</v>
      </c>
      <c r="R236">
        <v>0</v>
      </c>
      <c r="S236">
        <v>0</v>
      </c>
      <c r="T236" s="15">
        <v>3.8056963358876432</v>
      </c>
      <c r="U236">
        <v>26.98199248775968</v>
      </c>
      <c r="V236">
        <v>0</v>
      </c>
      <c r="W236">
        <v>0</v>
      </c>
      <c r="X236">
        <v>3.3324344517211313</v>
      </c>
      <c r="Y236">
        <v>3.3324344517211313</v>
      </c>
      <c r="Z236">
        <v>1</v>
      </c>
      <c r="AA236">
        <v>0.75</v>
      </c>
      <c r="AB236">
        <v>1.25</v>
      </c>
      <c r="AC236">
        <v>0</v>
      </c>
      <c r="AD236" s="15">
        <v>1.3590240147324473</v>
      </c>
      <c r="AE236">
        <v>194.12761293612778</v>
      </c>
      <c r="AF236">
        <v>195.01337506669364</v>
      </c>
      <c r="AG236">
        <v>177.28456355426221</v>
      </c>
      <c r="AH236">
        <v>133.68540253875872</v>
      </c>
      <c r="AI236">
        <v>2.1</v>
      </c>
      <c r="AJ236">
        <v>0</v>
      </c>
      <c r="AK236">
        <v>0</v>
      </c>
      <c r="AL236">
        <v>6.926545765453743</v>
      </c>
      <c r="AM236">
        <v>6.926545765453743</v>
      </c>
      <c r="AN236">
        <v>0</v>
      </c>
      <c r="AO236">
        <v>0</v>
      </c>
      <c r="AP236">
        <v>1</v>
      </c>
      <c r="AQ236">
        <v>0</v>
      </c>
      <c r="AR236">
        <v>57.75</v>
      </c>
      <c r="AS236">
        <v>96</v>
      </c>
      <c r="AT236">
        <v>192.75</v>
      </c>
      <c r="AU236">
        <v>355.5</v>
      </c>
      <c r="AV236">
        <v>0</v>
      </c>
    </row>
    <row r="237" spans="1:48">
      <c r="A237">
        <v>236</v>
      </c>
      <c r="B237" s="15">
        <v>7.9999999999999724E-2</v>
      </c>
      <c r="C237">
        <v>29.239999999999583</v>
      </c>
      <c r="D237">
        <v>17.41999999999976</v>
      </c>
      <c r="E237">
        <v>3.8974856756943033</v>
      </c>
      <c r="F237">
        <v>0.69599999999999995</v>
      </c>
      <c r="G237">
        <v>4.3090000000000002</v>
      </c>
      <c r="H237">
        <v>0.50322779486555658</v>
      </c>
      <c r="I237">
        <v>0</v>
      </c>
      <c r="J237" s="15">
        <v>2.4011405417573156E-3</v>
      </c>
      <c r="K237" s="15">
        <v>7.9999999999999724E-2</v>
      </c>
      <c r="L237" s="15">
        <v>2.4011405417573156E-3</v>
      </c>
      <c r="M237">
        <v>7.7598859458242408E-2</v>
      </c>
      <c r="N237">
        <v>0</v>
      </c>
      <c r="O237" s="15">
        <v>2.4011406133168799E-3</v>
      </c>
      <c r="P237" s="15">
        <v>1.546030732114293</v>
      </c>
      <c r="Q237" s="15">
        <v>1.546030732114293</v>
      </c>
      <c r="R237">
        <v>0</v>
      </c>
      <c r="S237">
        <v>0</v>
      </c>
      <c r="T237" s="15">
        <v>1.4244008326237787</v>
      </c>
      <c r="U237">
        <v>24.013962063634924</v>
      </c>
      <c r="V237">
        <v>0</v>
      </c>
      <c r="W237">
        <v>0</v>
      </c>
      <c r="X237">
        <v>2.7126299879924867</v>
      </c>
      <c r="Y237">
        <v>2.7126299879924867</v>
      </c>
      <c r="Z237">
        <v>1</v>
      </c>
      <c r="AA237">
        <v>0.75</v>
      </c>
      <c r="AB237">
        <v>1.25</v>
      </c>
      <c r="AC237">
        <v>0</v>
      </c>
      <c r="AD237" s="15">
        <v>0.95090498661548195</v>
      </c>
      <c r="AE237">
        <v>191.88847879414368</v>
      </c>
      <c r="AF237">
        <v>194.1276129361278</v>
      </c>
      <c r="AG237">
        <v>177.53042844201599</v>
      </c>
      <c r="AH237">
        <v>133.86102031572568</v>
      </c>
      <c r="AI237">
        <v>2.1</v>
      </c>
      <c r="AJ237">
        <v>0</v>
      </c>
      <c r="AK237">
        <v>0</v>
      </c>
      <c r="AL237">
        <v>5.3904930887522111</v>
      </c>
      <c r="AM237">
        <v>5.3904930887522111</v>
      </c>
      <c r="AN237">
        <v>0</v>
      </c>
      <c r="AO237">
        <v>0</v>
      </c>
      <c r="AP237">
        <v>1</v>
      </c>
      <c r="AQ237">
        <v>0</v>
      </c>
      <c r="AR237">
        <v>57.75</v>
      </c>
      <c r="AS237">
        <v>96</v>
      </c>
      <c r="AT237">
        <v>192.75</v>
      </c>
      <c r="AU237">
        <v>355.5</v>
      </c>
      <c r="AV237">
        <v>0</v>
      </c>
    </row>
    <row r="238" spans="1:48">
      <c r="A238">
        <v>237</v>
      </c>
      <c r="B238">
        <v>0</v>
      </c>
      <c r="C238">
        <v>28.979999999999578</v>
      </c>
      <c r="D238">
        <v>17.639999999999759</v>
      </c>
      <c r="E238">
        <v>3.9639931544702751</v>
      </c>
      <c r="F238">
        <v>0.65700000000000003</v>
      </c>
      <c r="G238">
        <v>4.2649999999999997</v>
      </c>
      <c r="H238">
        <v>0.52965357053291984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 s="15">
        <v>1.7543921226615511</v>
      </c>
      <c r="Q238" s="15">
        <v>1.7543921226615511</v>
      </c>
      <c r="R238">
        <v>0</v>
      </c>
      <c r="S238">
        <v>0</v>
      </c>
      <c r="T238" s="15">
        <v>0.32418903038996422</v>
      </c>
      <c r="U238">
        <v>21.935380910583408</v>
      </c>
      <c r="V238">
        <v>0</v>
      </c>
      <c r="W238">
        <v>0</v>
      </c>
      <c r="X238">
        <v>2.6043257689099479</v>
      </c>
      <c r="Y238">
        <v>2.6043257689099479</v>
      </c>
      <c r="Z238">
        <v>1</v>
      </c>
      <c r="AA238">
        <v>0.75</v>
      </c>
      <c r="AB238">
        <v>1.25</v>
      </c>
      <c r="AC238">
        <v>0</v>
      </c>
      <c r="AD238" s="15">
        <v>0.61844261776956422</v>
      </c>
      <c r="AE238">
        <v>188.98989943785418</v>
      </c>
      <c r="AF238">
        <v>191.88847879414368</v>
      </c>
      <c r="AG238">
        <v>175.50766744355766</v>
      </c>
      <c r="AH238">
        <v>132.41619103111262</v>
      </c>
      <c r="AI238">
        <v>2.1</v>
      </c>
      <c r="AJ238">
        <v>0</v>
      </c>
      <c r="AK238">
        <v>0</v>
      </c>
      <c r="AL238">
        <v>4.2525572779247938</v>
      </c>
      <c r="AM238">
        <v>4.2525572779247938</v>
      </c>
      <c r="AN238">
        <v>0</v>
      </c>
      <c r="AO238">
        <v>0</v>
      </c>
      <c r="AP238">
        <v>1</v>
      </c>
      <c r="AQ238">
        <v>0</v>
      </c>
      <c r="AR238">
        <v>57.75</v>
      </c>
      <c r="AS238">
        <v>96</v>
      </c>
      <c r="AT238">
        <v>192.75</v>
      </c>
      <c r="AU238">
        <v>355.5</v>
      </c>
      <c r="AV238">
        <v>0</v>
      </c>
    </row>
    <row r="239" spans="1:48">
      <c r="A239">
        <v>238</v>
      </c>
      <c r="B239">
        <v>0</v>
      </c>
      <c r="C239">
        <v>30.079999999999568</v>
      </c>
      <c r="D239">
        <v>16.079999999999782</v>
      </c>
      <c r="E239">
        <v>4.5060645143158942</v>
      </c>
      <c r="F239">
        <v>0.61799999999999999</v>
      </c>
      <c r="G239">
        <v>4.2220000000000004</v>
      </c>
      <c r="H239">
        <v>0.52565128376378911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 s="15">
        <v>2.3208933714033462</v>
      </c>
      <c r="Q239" s="15">
        <v>2.3208933714033457</v>
      </c>
      <c r="R239">
        <v>0</v>
      </c>
      <c r="S239">
        <v>0</v>
      </c>
      <c r="T239" s="15">
        <v>7.5830459705121825E-2</v>
      </c>
      <c r="U239">
        <v>19.538657079474948</v>
      </c>
      <c r="V239">
        <v>0</v>
      </c>
      <c r="W239">
        <v>0</v>
      </c>
      <c r="X239">
        <v>2.7847304174489222</v>
      </c>
      <c r="Y239">
        <v>2.7847304174489222</v>
      </c>
      <c r="Z239">
        <v>1</v>
      </c>
      <c r="AA239">
        <v>0.75</v>
      </c>
      <c r="AB239">
        <v>1.25</v>
      </c>
      <c r="AC239">
        <v>0</v>
      </c>
      <c r="AD239" s="15">
        <v>0.39791958255085247</v>
      </c>
      <c r="AE239">
        <v>185.88307989755947</v>
      </c>
      <c r="AF239">
        <v>188.98989943785415</v>
      </c>
      <c r="AG239">
        <v>175.81402248430075</v>
      </c>
      <c r="AH239">
        <v>132.63501606021481</v>
      </c>
      <c r="AI239">
        <v>2.1</v>
      </c>
      <c r="AJ239">
        <v>0</v>
      </c>
      <c r="AK239">
        <v>0</v>
      </c>
      <c r="AL239">
        <v>3.4095536952976171</v>
      </c>
      <c r="AM239">
        <v>3.4095536952976171</v>
      </c>
      <c r="AN239">
        <v>0</v>
      </c>
      <c r="AO239">
        <v>0</v>
      </c>
      <c r="AP239">
        <v>1</v>
      </c>
      <c r="AQ239">
        <v>0</v>
      </c>
      <c r="AR239">
        <v>57.75</v>
      </c>
      <c r="AS239">
        <v>96</v>
      </c>
      <c r="AT239">
        <v>192.75</v>
      </c>
      <c r="AU239">
        <v>355.5</v>
      </c>
      <c r="AV239">
        <v>0</v>
      </c>
    </row>
    <row r="240" spans="1:48">
      <c r="A240">
        <v>239</v>
      </c>
      <c r="B240" s="15">
        <v>0</v>
      </c>
      <c r="C240">
        <v>23.43999999999966</v>
      </c>
      <c r="D240">
        <v>17.959999999999752</v>
      </c>
      <c r="E240">
        <v>3.0751152199053431</v>
      </c>
      <c r="F240">
        <v>0.57899999999999996</v>
      </c>
      <c r="G240">
        <v>4.1779999999999999</v>
      </c>
      <c r="H240">
        <v>0.49577504854034427</v>
      </c>
      <c r="I240">
        <v>0</v>
      </c>
      <c r="J240" s="15">
        <v>0</v>
      </c>
      <c r="K240" s="15">
        <v>0</v>
      </c>
      <c r="L240" s="15">
        <v>0</v>
      </c>
      <c r="M240">
        <v>0</v>
      </c>
      <c r="N240">
        <v>0</v>
      </c>
      <c r="O240" s="15">
        <v>0</v>
      </c>
      <c r="P240" s="15">
        <v>1.5512471656907176</v>
      </c>
      <c r="Q240" s="15">
        <v>1.5512471656907176</v>
      </c>
      <c r="R240">
        <v>0</v>
      </c>
      <c r="S240">
        <v>0</v>
      </c>
      <c r="T240" s="15">
        <v>1.4871954203945489E-2</v>
      </c>
      <c r="U240">
        <v>17.972537959580286</v>
      </c>
      <c r="V240">
        <v>0</v>
      </c>
      <c r="W240">
        <v>0</v>
      </c>
      <c r="X240">
        <v>1.7804814557095254</v>
      </c>
      <c r="Y240">
        <v>1.7804814557095254</v>
      </c>
      <c r="Z240">
        <v>1</v>
      </c>
      <c r="AA240">
        <v>0.75</v>
      </c>
      <c r="AB240">
        <v>1.25</v>
      </c>
      <c r="AC240">
        <v>0</v>
      </c>
      <c r="AD240" s="15">
        <v>0.2676754067698599</v>
      </c>
      <c r="AE240">
        <v>183.84979498928396</v>
      </c>
      <c r="AF240">
        <v>185.88307989755947</v>
      </c>
      <c r="AG240">
        <v>178.10089890947935</v>
      </c>
      <c r="AH240">
        <v>134.26849922105669</v>
      </c>
      <c r="AI240">
        <v>2.1</v>
      </c>
      <c r="AJ240">
        <v>0</v>
      </c>
      <c r="AK240">
        <v>0</v>
      </c>
      <c r="AL240">
        <v>2.7850412811874383</v>
      </c>
      <c r="AM240">
        <v>2.7850412811874383</v>
      </c>
      <c r="AN240">
        <v>0</v>
      </c>
      <c r="AO240">
        <v>0</v>
      </c>
      <c r="AP240">
        <v>1</v>
      </c>
      <c r="AQ240">
        <v>0</v>
      </c>
      <c r="AR240">
        <v>57.75</v>
      </c>
      <c r="AS240">
        <v>96</v>
      </c>
      <c r="AT240">
        <v>192.75</v>
      </c>
      <c r="AU240">
        <v>355.5</v>
      </c>
      <c r="AV240">
        <v>0</v>
      </c>
    </row>
    <row r="241" spans="1:48">
      <c r="A241">
        <v>240</v>
      </c>
      <c r="B241">
        <v>0.11999999999999317</v>
      </c>
      <c r="C241">
        <v>26.559999999999611</v>
      </c>
      <c r="D241">
        <v>16.819999999999769</v>
      </c>
      <c r="E241">
        <v>4.0587653794810974</v>
      </c>
      <c r="F241">
        <v>0.54</v>
      </c>
      <c r="G241">
        <v>4.1349999999999998</v>
      </c>
      <c r="H241">
        <v>0.56673085365243947</v>
      </c>
      <c r="I241">
        <v>0</v>
      </c>
      <c r="J241">
        <v>5.536332179930159E-3</v>
      </c>
      <c r="K241">
        <v>0.11999999999999317</v>
      </c>
      <c r="L241">
        <v>5.536332179930159E-3</v>
      </c>
      <c r="M241">
        <v>0.11446366782006301</v>
      </c>
      <c r="N241">
        <v>0</v>
      </c>
      <c r="O241">
        <v>5.536332344925717E-3</v>
      </c>
      <c r="P241" s="15">
        <v>2.4485297485982409</v>
      </c>
      <c r="Q241" s="15">
        <v>2.4325283163936553</v>
      </c>
      <c r="R241">
        <v>0</v>
      </c>
      <c r="S241">
        <v>0</v>
      </c>
      <c r="T241" s="15">
        <v>3.0946983273859936E-3</v>
      </c>
      <c r="U241">
        <v>15.542451277204158</v>
      </c>
      <c r="V241">
        <v>0</v>
      </c>
      <c r="W241">
        <v>0</v>
      </c>
      <c r="X241">
        <v>2.1917217153455573</v>
      </c>
      <c r="Y241">
        <v>2.1917217153455573</v>
      </c>
      <c r="Z241">
        <v>1</v>
      </c>
      <c r="AA241">
        <v>0.75</v>
      </c>
      <c r="AB241">
        <v>1.25</v>
      </c>
      <c r="AC241">
        <v>0</v>
      </c>
      <c r="AD241" s="15">
        <v>0.18892686939037898</v>
      </c>
      <c r="AE241">
        <v>181.47224110287539</v>
      </c>
      <c r="AF241">
        <v>183.84979498928394</v>
      </c>
      <c r="AG241">
        <v>172.669586807174</v>
      </c>
      <c r="AH241">
        <v>130.38899057655286</v>
      </c>
      <c r="AI241">
        <v>2.1</v>
      </c>
      <c r="AJ241">
        <v>0</v>
      </c>
      <c r="AK241">
        <v>0</v>
      </c>
      <c r="AL241">
        <v>2.3223911057726925</v>
      </c>
      <c r="AM241">
        <v>2.3223911057726925</v>
      </c>
      <c r="AN241">
        <v>0</v>
      </c>
      <c r="AO241">
        <v>0</v>
      </c>
      <c r="AP241">
        <v>1</v>
      </c>
      <c r="AQ241">
        <v>0</v>
      </c>
      <c r="AR241">
        <v>57.75</v>
      </c>
      <c r="AS241">
        <v>96</v>
      </c>
      <c r="AT241">
        <v>192.75</v>
      </c>
      <c r="AU241">
        <v>355.5</v>
      </c>
      <c r="AV241">
        <v>0</v>
      </c>
    </row>
    <row r="242" spans="1:48">
      <c r="A242">
        <v>241</v>
      </c>
      <c r="B242">
        <v>0</v>
      </c>
      <c r="C242">
        <v>27.839999999999598</v>
      </c>
      <c r="D242">
        <v>12.739999999999824</v>
      </c>
      <c r="E242">
        <v>4.1111577101575101</v>
      </c>
      <c r="F242">
        <v>0.501</v>
      </c>
      <c r="G242">
        <v>4.0910000000000002</v>
      </c>
      <c r="H242">
        <v>0.51438994112060776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 s="15">
        <v>2.7428297894231966</v>
      </c>
      <c r="Q242" s="15">
        <v>2.2916484073821461</v>
      </c>
      <c r="R242">
        <v>0</v>
      </c>
      <c r="S242">
        <v>0</v>
      </c>
      <c r="T242" s="15">
        <v>2.6956193111495963E-4</v>
      </c>
      <c r="U242">
        <v>13.250533307890894</v>
      </c>
      <c r="V242">
        <v>0</v>
      </c>
      <c r="W242">
        <v>0</v>
      </c>
      <c r="X242">
        <v>2.0596800285482018</v>
      </c>
      <c r="Y242">
        <v>2.0596800285482018</v>
      </c>
      <c r="Z242">
        <v>1</v>
      </c>
      <c r="AA242">
        <v>0.75</v>
      </c>
      <c r="AB242">
        <v>1.25</v>
      </c>
      <c r="AC242">
        <v>0</v>
      </c>
      <c r="AD242" s="15">
        <v>0.1348580259704906</v>
      </c>
      <c r="AE242">
        <v>179.27797261028775</v>
      </c>
      <c r="AF242">
        <v>181.47224110287539</v>
      </c>
      <c r="AG242">
        <v>176.67602195692308</v>
      </c>
      <c r="AH242">
        <v>133.25072996923078</v>
      </c>
      <c r="AI242">
        <v>2.1</v>
      </c>
      <c r="AJ242">
        <v>0</v>
      </c>
      <c r="AK242">
        <v>0</v>
      </c>
      <c r="AL242">
        <v>1.9796514260238554</v>
      </c>
      <c r="AM242">
        <v>1.9796514260238554</v>
      </c>
      <c r="AN242">
        <v>0</v>
      </c>
      <c r="AO242">
        <v>0</v>
      </c>
      <c r="AP242">
        <v>1</v>
      </c>
      <c r="AQ242">
        <v>0</v>
      </c>
      <c r="AR242">
        <v>57.75</v>
      </c>
      <c r="AS242">
        <v>96</v>
      </c>
      <c r="AT242">
        <v>192.75</v>
      </c>
      <c r="AU242">
        <v>355.5</v>
      </c>
      <c r="AV242">
        <v>0</v>
      </c>
    </row>
    <row r="243" spans="1:48">
      <c r="A243">
        <v>242</v>
      </c>
      <c r="B243">
        <v>0</v>
      </c>
      <c r="C243">
        <v>28.679999999999591</v>
      </c>
      <c r="D243">
        <v>15.499999999999805</v>
      </c>
      <c r="E243">
        <v>4.1712590820898168</v>
      </c>
      <c r="F243">
        <v>0.46200000000000002</v>
      </c>
      <c r="G243">
        <v>4.048</v>
      </c>
      <c r="H243">
        <v>0.50789960710457416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 s="15">
        <v>3.0089539083060419</v>
      </c>
      <c r="Q243" s="15">
        <v>1.9258699646521458</v>
      </c>
      <c r="R243">
        <v>0</v>
      </c>
      <c r="S243">
        <v>0</v>
      </c>
      <c r="T243" s="15">
        <v>1.5283155080459937E-5</v>
      </c>
      <c r="U243">
        <v>11.324648060083669</v>
      </c>
      <c r="V243">
        <v>0</v>
      </c>
      <c r="W243">
        <v>0</v>
      </c>
      <c r="X243">
        <v>1.9271131438707265</v>
      </c>
      <c r="Y243">
        <v>1.9271131438707265</v>
      </c>
      <c r="Z243">
        <v>1</v>
      </c>
      <c r="AA243">
        <v>0.75</v>
      </c>
      <c r="AB243">
        <v>1.25</v>
      </c>
      <c r="AC243">
        <v>0</v>
      </c>
      <c r="AD243" s="15">
        <v>9.9501248947915538E-2</v>
      </c>
      <c r="AE243">
        <v>177.2513735006242</v>
      </c>
      <c r="AF243">
        <v>179.27797261028775</v>
      </c>
      <c r="AG243">
        <v>177.17282457418037</v>
      </c>
      <c r="AH243">
        <v>133.60558898155739</v>
      </c>
      <c r="AI243">
        <v>2.1</v>
      </c>
      <c r="AJ243">
        <v>0</v>
      </c>
      <c r="AK243">
        <v>0</v>
      </c>
      <c r="AL243">
        <v>1.7257436263153001</v>
      </c>
      <c r="AM243">
        <v>1.7257436263153001</v>
      </c>
      <c r="AN243">
        <v>0</v>
      </c>
      <c r="AO243">
        <v>0</v>
      </c>
      <c r="AP243">
        <v>1</v>
      </c>
      <c r="AQ243">
        <v>0</v>
      </c>
      <c r="AR243">
        <v>57.75</v>
      </c>
      <c r="AS243">
        <v>96</v>
      </c>
      <c r="AT243">
        <v>192.75</v>
      </c>
      <c r="AU243">
        <v>355.5</v>
      </c>
      <c r="AV243">
        <v>0</v>
      </c>
    </row>
    <row r="244" spans="1:48">
      <c r="A244">
        <v>243</v>
      </c>
      <c r="B244">
        <v>0</v>
      </c>
      <c r="C244">
        <v>28.259999999999597</v>
      </c>
      <c r="D244">
        <v>17.659999999999762</v>
      </c>
      <c r="E244">
        <v>3.8726058209623724</v>
      </c>
      <c r="F244">
        <v>0.42299999999999999</v>
      </c>
      <c r="G244">
        <v>4.0039999999999996</v>
      </c>
      <c r="H244">
        <v>0.50255731785576874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 s="15">
        <v>2.8695407463054319</v>
      </c>
      <c r="Q244" s="15">
        <v>1.3975312820756962</v>
      </c>
      <c r="R244">
        <v>0</v>
      </c>
      <c r="S244">
        <v>0</v>
      </c>
      <c r="T244" s="15">
        <v>6.090170379609002E-7</v>
      </c>
      <c r="U244">
        <v>9.9271161689909349</v>
      </c>
      <c r="V244">
        <v>0</v>
      </c>
      <c r="W244">
        <v>0</v>
      </c>
      <c r="X244">
        <v>1.6381056161971941</v>
      </c>
      <c r="Y244">
        <v>1.6381056161971941</v>
      </c>
      <c r="Z244">
        <v>1</v>
      </c>
      <c r="AA244">
        <v>0.75</v>
      </c>
      <c r="AB244">
        <v>1.25</v>
      </c>
      <c r="AC244">
        <v>0</v>
      </c>
      <c r="AD244" s="15">
        <v>7.625036814681678E-2</v>
      </c>
      <c r="AE244">
        <v>175.53701812529721</v>
      </c>
      <c r="AF244">
        <v>177.2513735006242</v>
      </c>
      <c r="AG244">
        <v>177.58175010473019</v>
      </c>
      <c r="AH244">
        <v>133.89767864623585</v>
      </c>
      <c r="AI244">
        <v>2.1</v>
      </c>
      <c r="AJ244">
        <v>0</v>
      </c>
      <c r="AK244">
        <v>0</v>
      </c>
      <c r="AL244">
        <v>1.5376441019179983</v>
      </c>
      <c r="AM244">
        <v>1.5376441019179983</v>
      </c>
      <c r="AN244">
        <v>0</v>
      </c>
      <c r="AO244">
        <v>0</v>
      </c>
      <c r="AP244">
        <v>1</v>
      </c>
      <c r="AQ244">
        <v>0</v>
      </c>
      <c r="AR244">
        <v>57.75</v>
      </c>
      <c r="AS244">
        <v>96</v>
      </c>
      <c r="AT244">
        <v>192.75</v>
      </c>
      <c r="AU244">
        <v>355.5</v>
      </c>
      <c r="AV244">
        <v>0</v>
      </c>
    </row>
    <row r="245" spans="1:48">
      <c r="A245">
        <v>244</v>
      </c>
      <c r="B245" s="15">
        <v>0</v>
      </c>
      <c r="C245">
        <v>29.579999999999572</v>
      </c>
      <c r="D245">
        <v>15.039999999999798</v>
      </c>
      <c r="E245">
        <v>3.9938316246782026</v>
      </c>
      <c r="F245">
        <v>0.38400000000000001</v>
      </c>
      <c r="G245">
        <v>3.9609999999999999</v>
      </c>
      <c r="H245">
        <v>0.51969414505969647</v>
      </c>
      <c r="I245">
        <v>0</v>
      </c>
      <c r="J245" s="15">
        <v>0</v>
      </c>
      <c r="K245" s="15">
        <v>0</v>
      </c>
      <c r="L245" s="15">
        <v>0</v>
      </c>
      <c r="M245">
        <v>0</v>
      </c>
      <c r="N245">
        <v>0</v>
      </c>
      <c r="O245" s="15">
        <v>0</v>
      </c>
      <c r="P245" s="15">
        <v>3.176437899582004</v>
      </c>
      <c r="Q245" s="15">
        <v>1.1692473868671587</v>
      </c>
      <c r="R245">
        <v>0</v>
      </c>
      <c r="S245">
        <v>0</v>
      </c>
      <c r="T245" s="15">
        <v>2.1696230077560373E-8</v>
      </c>
      <c r="U245">
        <v>8.7578687604275416</v>
      </c>
      <c r="V245">
        <v>0</v>
      </c>
      <c r="W245">
        <v>0</v>
      </c>
      <c r="X245">
        <v>1.533625663057584</v>
      </c>
      <c r="Y245">
        <v>1.533625663057584</v>
      </c>
      <c r="Z245">
        <v>1</v>
      </c>
      <c r="AA245">
        <v>0.75</v>
      </c>
      <c r="AB245">
        <v>1.25</v>
      </c>
      <c r="AC245">
        <v>0</v>
      </c>
      <c r="AD245" s="15">
        <v>6.0590996252469345E-2</v>
      </c>
      <c r="AE245">
        <v>173.94280148768345</v>
      </c>
      <c r="AF245">
        <v>175.53701812529721</v>
      </c>
      <c r="AG245">
        <v>176.27001166640554</v>
      </c>
      <c r="AH245">
        <v>132.9607226188611</v>
      </c>
      <c r="AI245">
        <v>2.1</v>
      </c>
      <c r="AJ245">
        <v>0</v>
      </c>
      <c r="AK245">
        <v>0</v>
      </c>
      <c r="AL245">
        <v>1.3982965469429116</v>
      </c>
      <c r="AM245">
        <v>1.3982965469429116</v>
      </c>
      <c r="AN245">
        <v>0</v>
      </c>
      <c r="AO245">
        <v>0</v>
      </c>
      <c r="AP245">
        <v>1</v>
      </c>
      <c r="AQ245">
        <v>0</v>
      </c>
      <c r="AR245">
        <v>57.75</v>
      </c>
      <c r="AS245">
        <v>96</v>
      </c>
      <c r="AT245">
        <v>192.75</v>
      </c>
      <c r="AU245">
        <v>355.5</v>
      </c>
      <c r="AV245">
        <v>0</v>
      </c>
    </row>
    <row r="246" spans="1:48">
      <c r="A246">
        <v>245</v>
      </c>
      <c r="B246">
        <v>0</v>
      </c>
      <c r="C246">
        <v>29.159999999999584</v>
      </c>
      <c r="D246">
        <v>17.419999999999771</v>
      </c>
      <c r="E246">
        <v>4.3671860786871441</v>
      </c>
      <c r="F246">
        <v>0.34499999999999997</v>
      </c>
      <c r="G246">
        <v>3.9169999999999998</v>
      </c>
      <c r="H246">
        <v>0.51159745723519312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 s="15">
        <v>3.7611324103512445</v>
      </c>
      <c r="Q246" s="15">
        <v>1.0046827822136355</v>
      </c>
      <c r="R246">
        <v>0</v>
      </c>
      <c r="S246">
        <v>0</v>
      </c>
      <c r="T246" s="15">
        <v>3.6542940330984004E-10</v>
      </c>
      <c r="U246">
        <v>7.7531859778484806</v>
      </c>
      <c r="V246">
        <v>0</v>
      </c>
      <c r="W246">
        <v>0</v>
      </c>
      <c r="X246">
        <v>1.5066741086981124</v>
      </c>
      <c r="Y246">
        <v>1.5066741086981124</v>
      </c>
      <c r="Z246">
        <v>1</v>
      </c>
      <c r="AA246">
        <v>0.75</v>
      </c>
      <c r="AB246">
        <v>1.25</v>
      </c>
      <c r="AC246">
        <v>0</v>
      </c>
      <c r="AD246" s="15">
        <v>4.9276112154421556E-2</v>
      </c>
      <c r="AE246">
        <v>172.38685126719642</v>
      </c>
      <c r="AF246">
        <v>173.94280148768345</v>
      </c>
      <c r="AG246">
        <v>176.88977263593213</v>
      </c>
      <c r="AH246">
        <v>133.40340902566581</v>
      </c>
      <c r="AI246">
        <v>2.1</v>
      </c>
      <c r="AJ246">
        <v>0</v>
      </c>
      <c r="AK246">
        <v>0</v>
      </c>
      <c r="AL246">
        <v>1.2950653392099201</v>
      </c>
      <c r="AM246">
        <v>1.2950653392099201</v>
      </c>
      <c r="AN246">
        <v>0</v>
      </c>
      <c r="AO246">
        <v>0</v>
      </c>
      <c r="AP246">
        <v>1</v>
      </c>
      <c r="AQ246">
        <v>0</v>
      </c>
      <c r="AR246">
        <v>57.75</v>
      </c>
      <c r="AS246">
        <v>96</v>
      </c>
      <c r="AT246">
        <v>192.75</v>
      </c>
      <c r="AU246">
        <v>355.5</v>
      </c>
      <c r="AV246">
        <v>0</v>
      </c>
    </row>
    <row r="247" spans="1:48">
      <c r="A247">
        <v>246</v>
      </c>
      <c r="B247">
        <v>0</v>
      </c>
      <c r="C247">
        <v>28.719999999999587</v>
      </c>
      <c r="D247">
        <v>17.579999999999764</v>
      </c>
      <c r="E247">
        <v>3.9850469570502196</v>
      </c>
      <c r="F247">
        <v>0.30599999999999999</v>
      </c>
      <c r="G247">
        <v>3.8740000000000001</v>
      </c>
      <c r="H247">
        <v>0.4892877394774634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 s="15">
        <v>3.5928550995411856</v>
      </c>
      <c r="Q247" s="15">
        <v>0.68184499675451227</v>
      </c>
      <c r="R247">
        <v>0</v>
      </c>
      <c r="S247">
        <v>0</v>
      </c>
      <c r="T247" s="15">
        <v>1.1189089280224238E-12</v>
      </c>
      <c r="U247">
        <v>7.0713409810928498</v>
      </c>
      <c r="V247">
        <v>0</v>
      </c>
      <c r="W247">
        <v>0</v>
      </c>
      <c r="X247">
        <v>1.2194206191501853</v>
      </c>
      <c r="Y247">
        <v>1.2194206191501853</v>
      </c>
      <c r="Z247">
        <v>1</v>
      </c>
      <c r="AA247">
        <v>0.75</v>
      </c>
      <c r="AB247">
        <v>1.25</v>
      </c>
      <c r="AC247">
        <v>0</v>
      </c>
      <c r="AD247" s="15">
        <v>4.118870575518007E-2</v>
      </c>
      <c r="AE247">
        <v>171.12624194229221</v>
      </c>
      <c r="AF247">
        <v>172.38685126719642</v>
      </c>
      <c r="AG247">
        <v>178.59746998169757</v>
      </c>
      <c r="AH247">
        <v>134.62319284406971</v>
      </c>
      <c r="AI247">
        <v>2.1</v>
      </c>
      <c r="AJ247">
        <v>0</v>
      </c>
      <c r="AK247">
        <v>0</v>
      </c>
      <c r="AL247">
        <v>1.2185897795783405</v>
      </c>
      <c r="AM247">
        <v>1.2185897795783405</v>
      </c>
      <c r="AN247">
        <v>0</v>
      </c>
      <c r="AO247">
        <v>0</v>
      </c>
      <c r="AP247">
        <v>1</v>
      </c>
      <c r="AQ247">
        <v>0</v>
      </c>
      <c r="AR247">
        <v>57.75</v>
      </c>
      <c r="AS247">
        <v>96</v>
      </c>
      <c r="AT247">
        <v>192.75</v>
      </c>
      <c r="AU247">
        <v>355.5</v>
      </c>
      <c r="AV247">
        <v>0</v>
      </c>
    </row>
    <row r="248" spans="1:48">
      <c r="A248">
        <v>247</v>
      </c>
      <c r="B248" s="15">
        <v>0</v>
      </c>
      <c r="C248">
        <v>29.139999999999581</v>
      </c>
      <c r="D248">
        <v>16.379999999999768</v>
      </c>
      <c r="E248">
        <v>3.7978010694439641</v>
      </c>
      <c r="F248">
        <v>0.26700000000000002</v>
      </c>
      <c r="G248">
        <v>3.83</v>
      </c>
      <c r="H248">
        <v>0.50750897108450654</v>
      </c>
      <c r="I248">
        <v>0</v>
      </c>
      <c r="J248" s="15">
        <v>0</v>
      </c>
      <c r="K248" s="15">
        <v>0</v>
      </c>
      <c r="L248" s="15">
        <v>0</v>
      </c>
      <c r="M248">
        <v>0</v>
      </c>
      <c r="N248">
        <v>0</v>
      </c>
      <c r="O248" s="15">
        <v>0</v>
      </c>
      <c r="P248" s="15">
        <v>3.540275330679389</v>
      </c>
      <c r="Q248" s="15">
        <v>0.4823487448605277</v>
      </c>
      <c r="R248">
        <v>0</v>
      </c>
      <c r="S248">
        <v>0</v>
      </c>
      <c r="T248" s="15">
        <v>2.9036338360119271E-16</v>
      </c>
      <c r="U248">
        <v>6.5889922362323219</v>
      </c>
      <c r="V248">
        <v>0</v>
      </c>
      <c r="W248">
        <v>0</v>
      </c>
      <c r="X248">
        <v>1.0140100504675049</v>
      </c>
      <c r="Y248">
        <v>1.0140100504675049</v>
      </c>
      <c r="Z248">
        <v>1</v>
      </c>
      <c r="AA248">
        <v>0.75</v>
      </c>
      <c r="AB248">
        <v>1.25</v>
      </c>
      <c r="AC248">
        <v>0</v>
      </c>
      <c r="AD248" s="15">
        <v>3.560410890652637E-2</v>
      </c>
      <c r="AE248">
        <v>170.07662778291825</v>
      </c>
      <c r="AF248">
        <v>171.12624194229221</v>
      </c>
      <c r="AG248">
        <v>177.20272580833645</v>
      </c>
      <c r="AH248">
        <v>133.62694700595461</v>
      </c>
      <c r="AI248">
        <v>2.1</v>
      </c>
      <c r="AJ248">
        <v>0</v>
      </c>
      <c r="AK248">
        <v>0</v>
      </c>
      <c r="AL248">
        <v>1.1619352915664352</v>
      </c>
      <c r="AM248">
        <v>1.1619352915664352</v>
      </c>
      <c r="AN248">
        <v>0</v>
      </c>
      <c r="AO248">
        <v>0</v>
      </c>
      <c r="AP248">
        <v>1</v>
      </c>
      <c r="AQ248">
        <v>0</v>
      </c>
      <c r="AR248">
        <v>57.75</v>
      </c>
      <c r="AS248">
        <v>96</v>
      </c>
      <c r="AT248">
        <v>192.75</v>
      </c>
      <c r="AU248">
        <v>355.5</v>
      </c>
      <c r="AV248">
        <v>0</v>
      </c>
    </row>
    <row r="249" spans="1:48">
      <c r="A249">
        <v>248</v>
      </c>
      <c r="B249">
        <v>0</v>
      </c>
      <c r="C249">
        <v>29.699999999999569</v>
      </c>
      <c r="D249">
        <v>16.019999999999779</v>
      </c>
      <c r="E249">
        <v>3.762765136596685</v>
      </c>
      <c r="F249">
        <v>0.22800000000000001</v>
      </c>
      <c r="G249">
        <v>3.7869999999999999</v>
      </c>
      <c r="H249">
        <v>0.51782858435562429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 s="15">
        <v>3.6364430031973383</v>
      </c>
      <c r="Q249" s="15">
        <v>0.35521267516457911</v>
      </c>
      <c r="R249">
        <v>0</v>
      </c>
      <c r="S249">
        <v>0</v>
      </c>
      <c r="T249" s="15">
        <v>0</v>
      </c>
      <c r="U249">
        <v>6.2337795610677436</v>
      </c>
      <c r="V249">
        <v>0</v>
      </c>
      <c r="W249">
        <v>0</v>
      </c>
      <c r="X249">
        <v>0.85790827323604224</v>
      </c>
      <c r="Y249">
        <v>0.85790827323604224</v>
      </c>
      <c r="Z249">
        <v>1</v>
      </c>
      <c r="AA249">
        <v>0.75</v>
      </c>
      <c r="AB249">
        <v>1.25</v>
      </c>
      <c r="AC249">
        <v>0</v>
      </c>
      <c r="AD249" s="15">
        <v>3.1583021905009799E-2</v>
      </c>
      <c r="AE249">
        <v>169.18713648777725</v>
      </c>
      <c r="AF249">
        <v>170.07662778291828</v>
      </c>
      <c r="AG249">
        <v>176.41281101049873</v>
      </c>
      <c r="AH249">
        <v>133.06272215035625</v>
      </c>
      <c r="AI249">
        <v>2.1</v>
      </c>
      <c r="AJ249">
        <v>0</v>
      </c>
      <c r="AK249">
        <v>0</v>
      </c>
      <c r="AL249">
        <v>1.1199646145638216</v>
      </c>
      <c r="AM249">
        <v>1.1199646145638216</v>
      </c>
      <c r="AN249">
        <v>0</v>
      </c>
      <c r="AO249">
        <v>0</v>
      </c>
      <c r="AP249">
        <v>1</v>
      </c>
      <c r="AQ249">
        <v>0</v>
      </c>
      <c r="AR249">
        <v>57.75</v>
      </c>
      <c r="AS249">
        <v>96</v>
      </c>
      <c r="AT249">
        <v>192.75</v>
      </c>
      <c r="AU249">
        <v>355.5</v>
      </c>
      <c r="AV249">
        <v>0</v>
      </c>
    </row>
    <row r="250" spans="1:48">
      <c r="A250">
        <v>249</v>
      </c>
      <c r="B250" s="15">
        <v>0</v>
      </c>
      <c r="C250">
        <v>29.559999999999569</v>
      </c>
      <c r="D250">
        <v>18.479999999999752</v>
      </c>
      <c r="E250">
        <v>4.0224274401057887</v>
      </c>
      <c r="F250">
        <v>0.189</v>
      </c>
      <c r="G250">
        <v>3.7429999999999999</v>
      </c>
      <c r="H250">
        <v>0.52022594849057957</v>
      </c>
      <c r="I250">
        <v>54</v>
      </c>
      <c r="J250" s="15">
        <v>0</v>
      </c>
      <c r="K250" s="15">
        <v>54</v>
      </c>
      <c r="L250" s="15">
        <v>0</v>
      </c>
      <c r="M250">
        <v>0</v>
      </c>
      <c r="N250">
        <v>0</v>
      </c>
      <c r="O250" s="15">
        <v>0</v>
      </c>
      <c r="P250" s="15">
        <v>4.1737665168722229</v>
      </c>
      <c r="Q250" s="15">
        <v>2.7609635141894069</v>
      </c>
      <c r="R250">
        <v>0</v>
      </c>
      <c r="S250">
        <v>0</v>
      </c>
      <c r="T250" s="15">
        <v>30.023759968386731</v>
      </c>
      <c r="U250">
        <v>27.449056078491594</v>
      </c>
      <c r="V250">
        <v>0</v>
      </c>
      <c r="W250">
        <v>0</v>
      </c>
      <c r="X250">
        <v>0.7602370362515195</v>
      </c>
      <c r="Y250">
        <v>0.7602370362515195</v>
      </c>
      <c r="Z250">
        <v>1</v>
      </c>
      <c r="AA250">
        <v>0.75</v>
      </c>
      <c r="AB250">
        <v>1.25</v>
      </c>
      <c r="AC250">
        <v>0</v>
      </c>
      <c r="AD250" s="15">
        <v>0.93503286850568124</v>
      </c>
      <c r="AE250">
        <v>197.5156265514068</v>
      </c>
      <c r="AF250">
        <v>169.18713648777725</v>
      </c>
      <c r="AG250">
        <v>176.22930477278859</v>
      </c>
      <c r="AH250">
        <v>132.93164626627757</v>
      </c>
      <c r="AI250">
        <v>2.1</v>
      </c>
      <c r="AJ250">
        <v>0</v>
      </c>
      <c r="AK250">
        <v>0</v>
      </c>
      <c r="AL250">
        <v>9</v>
      </c>
      <c r="AM250">
        <v>9</v>
      </c>
      <c r="AN250">
        <v>6</v>
      </c>
      <c r="AO250">
        <v>0</v>
      </c>
      <c r="AP250">
        <v>1</v>
      </c>
      <c r="AQ250">
        <v>0</v>
      </c>
      <c r="AR250">
        <v>57.75</v>
      </c>
      <c r="AS250">
        <v>96</v>
      </c>
      <c r="AT250">
        <v>192.75</v>
      </c>
      <c r="AU250">
        <v>355.5</v>
      </c>
      <c r="AV250">
        <v>0</v>
      </c>
    </row>
    <row r="251" spans="1:48">
      <c r="A251">
        <v>250</v>
      </c>
      <c r="B251">
        <v>0</v>
      </c>
      <c r="C251">
        <v>29.879999999999569</v>
      </c>
      <c r="D251">
        <v>16.979999999999773</v>
      </c>
      <c r="E251">
        <v>3.7072173256444021</v>
      </c>
      <c r="F251">
        <v>0.15</v>
      </c>
      <c r="G251">
        <v>3.7</v>
      </c>
      <c r="H251">
        <v>0.50263985781604492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 s="15">
        <v>3.9912401297669438</v>
      </c>
      <c r="Q251" s="15">
        <v>3.9912401297669438</v>
      </c>
      <c r="R251">
        <v>0</v>
      </c>
      <c r="S251">
        <v>0</v>
      </c>
      <c r="T251" s="15">
        <v>1.5629588736119253</v>
      </c>
      <c r="U251">
        <v>21.894857075112728</v>
      </c>
      <c r="V251">
        <v>0</v>
      </c>
      <c r="W251">
        <v>0</v>
      </c>
      <c r="X251">
        <v>0.55608143986507952</v>
      </c>
      <c r="Y251">
        <v>0.55608143986507952</v>
      </c>
      <c r="Z251">
        <v>1</v>
      </c>
      <c r="AA251">
        <v>0.75</v>
      </c>
      <c r="AB251">
        <v>1.25</v>
      </c>
      <c r="AC251">
        <v>0</v>
      </c>
      <c r="AD251" s="15">
        <v>1.6539712183133841</v>
      </c>
      <c r="AE251">
        <v>196.86853276684027</v>
      </c>
      <c r="AF251">
        <v>197.5156265514068</v>
      </c>
      <c r="AG251">
        <v>177.57543208347084</v>
      </c>
      <c r="AH251">
        <v>133.89316577390775</v>
      </c>
      <c r="AI251">
        <v>2.1</v>
      </c>
      <c r="AJ251">
        <v>0</v>
      </c>
      <c r="AK251">
        <v>0</v>
      </c>
      <c r="AL251">
        <v>6.926545765453743</v>
      </c>
      <c r="AM251">
        <v>6.926545765453743</v>
      </c>
      <c r="AN251">
        <v>0</v>
      </c>
      <c r="AO251">
        <v>0</v>
      </c>
      <c r="AP251">
        <v>1</v>
      </c>
      <c r="AQ251">
        <v>0</v>
      </c>
      <c r="AR251">
        <v>57.75</v>
      </c>
      <c r="AS251">
        <v>96</v>
      </c>
      <c r="AT251">
        <v>192.75</v>
      </c>
      <c r="AU251">
        <v>355.5</v>
      </c>
      <c r="AV251">
        <v>0</v>
      </c>
    </row>
    <row r="252" spans="1:48">
      <c r="A252">
        <v>251</v>
      </c>
      <c r="B252">
        <v>0</v>
      </c>
      <c r="C252">
        <v>29.359999999999577</v>
      </c>
      <c r="D252">
        <v>18.519999999999762</v>
      </c>
      <c r="E252">
        <v>3.8441337844122296</v>
      </c>
      <c r="F252">
        <v>0</v>
      </c>
      <c r="G252">
        <v>0</v>
      </c>
      <c r="H252">
        <v>0.10000000149011612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 s="15">
        <v>4.6129520314551753</v>
      </c>
      <c r="Q252" s="15">
        <v>4.6129520314551753</v>
      </c>
      <c r="R252">
        <v>0</v>
      </c>
      <c r="S252">
        <v>0</v>
      </c>
      <c r="T252" s="15">
        <v>8.9476411533271807E-2</v>
      </c>
      <c r="U252">
        <v>17.192428632124265</v>
      </c>
      <c r="V252">
        <v>0</v>
      </c>
      <c r="W252">
        <v>0</v>
      </c>
      <c r="X252">
        <v>0</v>
      </c>
      <c r="Y252">
        <v>0</v>
      </c>
      <c r="Z252">
        <v>1</v>
      </c>
      <c r="AA252">
        <v>0.9</v>
      </c>
      <c r="AB252">
        <v>1.1000000000000001</v>
      </c>
      <c r="AC252">
        <v>0</v>
      </c>
      <c r="AD252" s="15">
        <v>1.1371105567571465</v>
      </c>
      <c r="AE252">
        <v>234.37089862161633</v>
      </c>
      <c r="AF252">
        <v>235.41853276684026</v>
      </c>
      <c r="AG252">
        <v>245.59099986575546</v>
      </c>
      <c r="AH252">
        <v>183.81499990411103</v>
      </c>
      <c r="AI252">
        <v>2.1</v>
      </c>
      <c r="AJ252">
        <v>0</v>
      </c>
      <c r="AK252">
        <v>0</v>
      </c>
      <c r="AL252">
        <v>5.3904930887522111</v>
      </c>
      <c r="AM252">
        <v>5.3904930887522111</v>
      </c>
      <c r="AN252">
        <v>0</v>
      </c>
      <c r="AO252">
        <v>1</v>
      </c>
      <c r="AP252">
        <v>0</v>
      </c>
      <c r="AQ252">
        <v>0</v>
      </c>
      <c r="AR252">
        <v>69.3</v>
      </c>
      <c r="AS252">
        <v>115.2</v>
      </c>
      <c r="AT252">
        <v>231.3</v>
      </c>
      <c r="AU252">
        <v>426.59999999999997</v>
      </c>
      <c r="AV252">
        <v>0</v>
      </c>
    </row>
    <row r="253" spans="1:48">
      <c r="A253">
        <v>252</v>
      </c>
      <c r="B253">
        <v>0</v>
      </c>
      <c r="C253">
        <v>29.159999999999577</v>
      </c>
      <c r="D253">
        <v>17.679999999999765</v>
      </c>
      <c r="E253">
        <v>3.552449567261883</v>
      </c>
      <c r="F253">
        <v>0</v>
      </c>
      <c r="G253">
        <v>0</v>
      </c>
      <c r="H253">
        <v>0.10000000149011612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 s="15">
        <v>4.2629323964363603</v>
      </c>
      <c r="Q253" s="15">
        <v>3.8393255734664673</v>
      </c>
      <c r="R253">
        <v>0</v>
      </c>
      <c r="S253">
        <v>0</v>
      </c>
      <c r="T253" s="15">
        <v>2.4390672040336316E-3</v>
      </c>
      <c r="U253">
        <v>13.350663991453763</v>
      </c>
      <c r="V253">
        <v>0</v>
      </c>
      <c r="W253">
        <v>0</v>
      </c>
      <c r="X253">
        <v>0</v>
      </c>
      <c r="Y253">
        <v>0</v>
      </c>
      <c r="Z253">
        <v>1</v>
      </c>
      <c r="AA253">
        <v>0.9</v>
      </c>
      <c r="AB253">
        <v>1.1000000000000001</v>
      </c>
      <c r="AC253">
        <v>0</v>
      </c>
      <c r="AD253" s="15">
        <v>0.84795686767868128</v>
      </c>
      <c r="AE253">
        <v>233.52538082114174</v>
      </c>
      <c r="AF253">
        <v>234.37089862161636</v>
      </c>
      <c r="AG253">
        <v>245.59099986575546</v>
      </c>
      <c r="AH253">
        <v>183.81499990411103</v>
      </c>
      <c r="AI253">
        <v>2.1</v>
      </c>
      <c r="AJ253">
        <v>0</v>
      </c>
      <c r="AK253">
        <v>0</v>
      </c>
      <c r="AL253">
        <v>4.2525572779247938</v>
      </c>
      <c r="AM253">
        <v>4.2525572779247938</v>
      </c>
      <c r="AN253">
        <v>0</v>
      </c>
      <c r="AO253">
        <v>1</v>
      </c>
      <c r="AP253">
        <v>0</v>
      </c>
      <c r="AQ253">
        <v>0</v>
      </c>
      <c r="AR253">
        <v>69.3</v>
      </c>
      <c r="AS253">
        <v>115.2</v>
      </c>
      <c r="AT253">
        <v>231.3</v>
      </c>
      <c r="AU253">
        <v>426.59999999999997</v>
      </c>
      <c r="AV253">
        <v>0</v>
      </c>
    </row>
    <row r="254" spans="1:48">
      <c r="A254">
        <v>253</v>
      </c>
      <c r="B254" s="15">
        <v>0</v>
      </c>
      <c r="C254">
        <v>29.539999999999573</v>
      </c>
      <c r="D254">
        <v>17.899999999999768</v>
      </c>
      <c r="E254">
        <v>3.0051568761967986</v>
      </c>
      <c r="F254">
        <v>0</v>
      </c>
      <c r="G254">
        <v>0</v>
      </c>
      <c r="H254">
        <v>0.10000000149011612</v>
      </c>
      <c r="I254">
        <v>0</v>
      </c>
      <c r="J254" s="15">
        <v>0</v>
      </c>
      <c r="K254" s="15">
        <v>0</v>
      </c>
      <c r="L254" s="15">
        <v>0</v>
      </c>
      <c r="M254">
        <v>0</v>
      </c>
      <c r="N254">
        <v>0</v>
      </c>
      <c r="O254" s="15">
        <v>0</v>
      </c>
      <c r="P254" s="15">
        <v>3.6061828619914524</v>
      </c>
      <c r="Q254" s="15">
        <v>2.2767895525806341</v>
      </c>
      <c r="R254">
        <v>0</v>
      </c>
      <c r="S254">
        <v>0</v>
      </c>
      <c r="T254" s="15">
        <v>3.2987898078357206E-5</v>
      </c>
      <c r="U254">
        <v>11.073841450975051</v>
      </c>
      <c r="V254">
        <v>0</v>
      </c>
      <c r="W254">
        <v>0</v>
      </c>
      <c r="X254">
        <v>0</v>
      </c>
      <c r="Y254">
        <v>0</v>
      </c>
      <c r="Z254">
        <v>1</v>
      </c>
      <c r="AA254">
        <v>0.9</v>
      </c>
      <c r="AB254">
        <v>1.1000000000000001</v>
      </c>
      <c r="AC254">
        <v>0</v>
      </c>
      <c r="AD254" s="15">
        <v>0.65073855757727572</v>
      </c>
      <c r="AE254">
        <v>232.87467525146261</v>
      </c>
      <c r="AF254">
        <v>233.52538082114171</v>
      </c>
      <c r="AG254">
        <v>245.59099986575546</v>
      </c>
      <c r="AH254">
        <v>183.81499990411103</v>
      </c>
      <c r="AI254">
        <v>2.1</v>
      </c>
      <c r="AJ254">
        <v>0</v>
      </c>
      <c r="AK254">
        <v>0</v>
      </c>
      <c r="AL254">
        <v>3.4095536952976171</v>
      </c>
      <c r="AM254">
        <v>3.4095536952976171</v>
      </c>
      <c r="AN254">
        <v>0</v>
      </c>
      <c r="AO254">
        <v>1</v>
      </c>
      <c r="AP254">
        <v>0</v>
      </c>
      <c r="AQ254">
        <v>0</v>
      </c>
      <c r="AR254">
        <v>69.3</v>
      </c>
      <c r="AS254">
        <v>115.2</v>
      </c>
      <c r="AT254">
        <v>231.3</v>
      </c>
      <c r="AU254">
        <v>426.59999999999997</v>
      </c>
      <c r="AV254">
        <v>0</v>
      </c>
    </row>
    <row r="255" spans="1:48">
      <c r="A255">
        <v>254</v>
      </c>
      <c r="B255" s="15">
        <v>0</v>
      </c>
      <c r="C255">
        <v>30.079999999999558</v>
      </c>
      <c r="D255">
        <v>18.619999999999738</v>
      </c>
      <c r="E255">
        <v>3.4991492987545385</v>
      </c>
      <c r="F255">
        <v>0</v>
      </c>
      <c r="G255">
        <v>0</v>
      </c>
      <c r="H255">
        <v>0.10000000149011612</v>
      </c>
      <c r="I255">
        <v>0</v>
      </c>
      <c r="J255" s="15">
        <v>0</v>
      </c>
      <c r="K255" s="15">
        <v>0</v>
      </c>
      <c r="L255" s="15">
        <v>0</v>
      </c>
      <c r="M255">
        <v>0</v>
      </c>
      <c r="N255">
        <v>0</v>
      </c>
      <c r="O255" s="15">
        <v>0</v>
      </c>
      <c r="P255" s="15">
        <v>4.1989735247848037</v>
      </c>
      <c r="Q255" s="15">
        <v>1.8482575078499781</v>
      </c>
      <c r="R255">
        <v>0</v>
      </c>
      <c r="S255">
        <v>0</v>
      </c>
      <c r="T255" s="15">
        <v>6.075535060484304E-7</v>
      </c>
      <c r="U255">
        <v>9.225583335571562</v>
      </c>
      <c r="V255">
        <v>0</v>
      </c>
      <c r="W255">
        <v>0</v>
      </c>
      <c r="X255">
        <v>0</v>
      </c>
      <c r="Y255">
        <v>0</v>
      </c>
      <c r="Z255">
        <v>1</v>
      </c>
      <c r="AA255">
        <v>0.9</v>
      </c>
      <c r="AB255">
        <v>1.1000000000000001</v>
      </c>
      <c r="AC255">
        <v>0</v>
      </c>
      <c r="AD255" s="15">
        <v>0.51368264730959035</v>
      </c>
      <c r="AE255">
        <v>232.3609932117065</v>
      </c>
      <c r="AF255">
        <v>232.87467525146263</v>
      </c>
      <c r="AG255">
        <v>245.59099986575546</v>
      </c>
      <c r="AH255">
        <v>183.81499990411103</v>
      </c>
      <c r="AI255">
        <v>2.1</v>
      </c>
      <c r="AJ255">
        <v>0</v>
      </c>
      <c r="AK255">
        <v>0</v>
      </c>
      <c r="AL255">
        <v>2.7850412811874383</v>
      </c>
      <c r="AM255">
        <v>2.7850412811874383</v>
      </c>
      <c r="AN255">
        <v>0</v>
      </c>
      <c r="AO255">
        <v>1</v>
      </c>
      <c r="AP255">
        <v>0</v>
      </c>
      <c r="AQ255">
        <v>0</v>
      </c>
      <c r="AR255">
        <v>69.3</v>
      </c>
      <c r="AS255">
        <v>115.2</v>
      </c>
      <c r="AT255">
        <v>231.3</v>
      </c>
      <c r="AU255">
        <v>426.59999999999997</v>
      </c>
      <c r="AV255">
        <v>0</v>
      </c>
    </row>
    <row r="256" spans="1:48">
      <c r="A256">
        <v>255</v>
      </c>
      <c r="B256">
        <v>0</v>
      </c>
      <c r="C256">
        <v>30.899999999999558</v>
      </c>
      <c r="D256">
        <v>16.179999999999776</v>
      </c>
      <c r="E256">
        <v>3.5734279500803248</v>
      </c>
      <c r="F256">
        <v>0</v>
      </c>
      <c r="G256">
        <v>0</v>
      </c>
      <c r="H256">
        <v>0.10000000149011612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 s="15">
        <v>4.2881083842384742</v>
      </c>
      <c r="Q256" s="15">
        <v>1.2730439495155024</v>
      </c>
      <c r="R256">
        <v>0</v>
      </c>
      <c r="S256">
        <v>0</v>
      </c>
      <c r="T256" s="15">
        <v>3.8820741713835445E-9</v>
      </c>
      <c r="U256">
        <v>7.9525393821739874</v>
      </c>
      <c r="V256">
        <v>0</v>
      </c>
      <c r="W256">
        <v>0</v>
      </c>
      <c r="X256">
        <v>0</v>
      </c>
      <c r="Y256">
        <v>0</v>
      </c>
      <c r="Z256">
        <v>1</v>
      </c>
      <c r="AA256">
        <v>0.9</v>
      </c>
      <c r="AB256">
        <v>1.1000000000000001</v>
      </c>
      <c r="AC256">
        <v>0</v>
      </c>
      <c r="AD256" s="15">
        <v>0.41677179723938945</v>
      </c>
      <c r="AE256">
        <v>231.94422141834926</v>
      </c>
      <c r="AF256">
        <v>232.3609932117065</v>
      </c>
      <c r="AG256">
        <v>245.59099986575546</v>
      </c>
      <c r="AH256">
        <v>183.81499990411103</v>
      </c>
      <c r="AI256">
        <v>2.1</v>
      </c>
      <c r="AJ256">
        <v>0</v>
      </c>
      <c r="AK256">
        <v>0</v>
      </c>
      <c r="AL256">
        <v>2.3223911057726925</v>
      </c>
      <c r="AM256">
        <v>2.3223911057726925</v>
      </c>
      <c r="AN256">
        <v>0</v>
      </c>
      <c r="AO256">
        <v>1</v>
      </c>
      <c r="AP256">
        <v>0</v>
      </c>
      <c r="AQ256">
        <v>0</v>
      </c>
      <c r="AR256">
        <v>69.3</v>
      </c>
      <c r="AS256">
        <v>115.2</v>
      </c>
      <c r="AT256">
        <v>231.3</v>
      </c>
      <c r="AU256">
        <v>426.59999999999997</v>
      </c>
      <c r="AV256">
        <v>0</v>
      </c>
    </row>
    <row r="257" spans="1:48">
      <c r="A257">
        <v>256</v>
      </c>
      <c r="B257">
        <v>0</v>
      </c>
      <c r="C257">
        <v>31.59999999999954</v>
      </c>
      <c r="D257">
        <v>15.499999999999794</v>
      </c>
      <c r="E257">
        <v>3.536911504806918</v>
      </c>
      <c r="F257">
        <v>0</v>
      </c>
      <c r="G257">
        <v>0</v>
      </c>
      <c r="H257">
        <v>0.10000000149011612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 s="15">
        <v>4.2442892408992519</v>
      </c>
      <c r="Q257" s="15">
        <v>0.84785331489235038</v>
      </c>
      <c r="R257">
        <v>0</v>
      </c>
      <c r="S257">
        <v>0</v>
      </c>
      <c r="T257">
        <v>7.7167291640715045E-12</v>
      </c>
      <c r="U257">
        <v>7.1046860672739216</v>
      </c>
      <c r="V257">
        <v>0</v>
      </c>
      <c r="W257">
        <v>0</v>
      </c>
      <c r="X257">
        <v>0</v>
      </c>
      <c r="Y257">
        <v>0</v>
      </c>
      <c r="Z257">
        <v>1</v>
      </c>
      <c r="AA257">
        <v>0.9</v>
      </c>
      <c r="AB257">
        <v>1.1000000000000001</v>
      </c>
      <c r="AC257">
        <v>0</v>
      </c>
      <c r="AD257" s="15">
        <v>0.34733988856872294</v>
      </c>
      <c r="AE257">
        <v>231.59688152978816</v>
      </c>
      <c r="AF257">
        <v>231.94422141834926</v>
      </c>
      <c r="AG257">
        <v>245.59099986575546</v>
      </c>
      <c r="AH257">
        <v>183.81499990411103</v>
      </c>
      <c r="AI257">
        <v>2.1</v>
      </c>
      <c r="AJ257">
        <v>0</v>
      </c>
      <c r="AK257">
        <v>0</v>
      </c>
      <c r="AL257">
        <v>1.9796514260238554</v>
      </c>
      <c r="AM257">
        <v>1.9796514260238554</v>
      </c>
      <c r="AN257">
        <v>0</v>
      </c>
      <c r="AO257">
        <v>1</v>
      </c>
      <c r="AP257">
        <v>0</v>
      </c>
      <c r="AQ257">
        <v>0</v>
      </c>
      <c r="AR257">
        <v>69.3</v>
      </c>
      <c r="AS257">
        <v>115.2</v>
      </c>
      <c r="AT257">
        <v>231.3</v>
      </c>
      <c r="AU257">
        <v>426.59999999999997</v>
      </c>
      <c r="AV257">
        <v>0</v>
      </c>
    </row>
    <row r="258" spans="1:48">
      <c r="A258">
        <v>257</v>
      </c>
      <c r="B258">
        <v>0</v>
      </c>
      <c r="C258">
        <v>28.519999999999584</v>
      </c>
      <c r="D258">
        <v>16.979999999999773</v>
      </c>
      <c r="E258">
        <v>2.5542768696882243</v>
      </c>
      <c r="F258">
        <v>0</v>
      </c>
      <c r="G258">
        <v>0</v>
      </c>
      <c r="H258">
        <v>0.10000000149011612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 s="15">
        <v>3.0651293002836049</v>
      </c>
      <c r="Q258" s="15">
        <v>0.4347736364011347</v>
      </c>
      <c r="R258">
        <v>0</v>
      </c>
      <c r="S258">
        <v>0</v>
      </c>
      <c r="T258">
        <v>8.4203966166636644E-16</v>
      </c>
      <c r="U258">
        <v>6.6699124308727882</v>
      </c>
      <c r="V258">
        <v>0</v>
      </c>
      <c r="W258">
        <v>0</v>
      </c>
      <c r="X258">
        <v>0</v>
      </c>
      <c r="Y258">
        <v>0</v>
      </c>
      <c r="Z258">
        <v>1</v>
      </c>
      <c r="AA258">
        <v>0.9</v>
      </c>
      <c r="AB258">
        <v>1.1000000000000001</v>
      </c>
      <c r="AC258">
        <v>0</v>
      </c>
      <c r="AD258" s="15">
        <v>0.29707308815772709</v>
      </c>
      <c r="AE258">
        <v>231.2998084416304</v>
      </c>
      <c r="AF258">
        <v>231.59688152978816</v>
      </c>
      <c r="AG258">
        <v>245.59099986575546</v>
      </c>
      <c r="AH258">
        <v>183.81499990411103</v>
      </c>
      <c r="AI258">
        <v>2.1</v>
      </c>
      <c r="AJ258">
        <v>0</v>
      </c>
      <c r="AK258">
        <v>0</v>
      </c>
      <c r="AL258">
        <v>1.7257436263153001</v>
      </c>
      <c r="AM258">
        <v>1.7257436263153001</v>
      </c>
      <c r="AN258">
        <v>0</v>
      </c>
      <c r="AO258">
        <v>1</v>
      </c>
      <c r="AP258">
        <v>0</v>
      </c>
      <c r="AQ258">
        <v>0</v>
      </c>
      <c r="AR258">
        <v>69.3</v>
      </c>
      <c r="AS258">
        <v>115.2</v>
      </c>
      <c r="AT258">
        <v>231.3</v>
      </c>
      <c r="AU258">
        <v>426.59999999999997</v>
      </c>
      <c r="AV258">
        <v>0</v>
      </c>
    </row>
    <row r="259" spans="1:48">
      <c r="A259">
        <v>258</v>
      </c>
      <c r="B259">
        <v>0</v>
      </c>
      <c r="C259">
        <v>28.819999999999581</v>
      </c>
      <c r="D259">
        <v>20.059999999999732</v>
      </c>
      <c r="E259">
        <v>2.4799139851498668</v>
      </c>
      <c r="F259">
        <v>0</v>
      </c>
      <c r="G259">
        <v>0</v>
      </c>
      <c r="H259">
        <v>0.10000000149011612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 s="15">
        <v>2.9758942357564515</v>
      </c>
      <c r="Q259" s="15">
        <v>0.3188429051388964</v>
      </c>
      <c r="R259">
        <v>0</v>
      </c>
      <c r="S259">
        <v>0</v>
      </c>
      <c r="T259">
        <v>9.7371598032198031E-24</v>
      </c>
      <c r="U259">
        <v>6.3510695257338909</v>
      </c>
      <c r="V259">
        <v>0</v>
      </c>
      <c r="W259">
        <v>0</v>
      </c>
      <c r="X259">
        <v>0</v>
      </c>
      <c r="Y259">
        <v>0</v>
      </c>
      <c r="Z259">
        <v>1</v>
      </c>
      <c r="AA259">
        <v>0.9</v>
      </c>
      <c r="AB259">
        <v>1.1000000000000001</v>
      </c>
      <c r="AC259">
        <v>0</v>
      </c>
      <c r="AD259" s="15">
        <v>0.26035710598662398</v>
      </c>
      <c r="AE259">
        <v>231.03945133564372</v>
      </c>
      <c r="AF259">
        <v>231.2998084416304</v>
      </c>
      <c r="AG259">
        <v>245.59099986575546</v>
      </c>
      <c r="AH259">
        <v>183.81499990411103</v>
      </c>
      <c r="AI259">
        <v>2.1</v>
      </c>
      <c r="AJ259">
        <v>0</v>
      </c>
      <c r="AK259">
        <v>0</v>
      </c>
      <c r="AL259">
        <v>1.5376441019179983</v>
      </c>
      <c r="AM259">
        <v>1.5376441019179983</v>
      </c>
      <c r="AN259">
        <v>0</v>
      </c>
      <c r="AO259">
        <v>1</v>
      </c>
      <c r="AP259">
        <v>0</v>
      </c>
      <c r="AQ259">
        <v>0</v>
      </c>
      <c r="AR259">
        <v>69.3</v>
      </c>
      <c r="AS259">
        <v>115.2</v>
      </c>
      <c r="AT259">
        <v>231.3</v>
      </c>
      <c r="AU259">
        <v>426.59999999999997</v>
      </c>
      <c r="AV259">
        <v>0</v>
      </c>
    </row>
    <row r="260" spans="1:48">
      <c r="A260">
        <v>259</v>
      </c>
      <c r="B260">
        <v>52.359999999999332</v>
      </c>
      <c r="C260">
        <v>27.359999999999587</v>
      </c>
      <c r="D260">
        <v>17.939999999999742</v>
      </c>
      <c r="E260">
        <v>2.0677910837118043</v>
      </c>
      <c r="F260">
        <v>0</v>
      </c>
      <c r="G260">
        <v>0</v>
      </c>
      <c r="H260">
        <v>0.10000000149011612</v>
      </c>
      <c r="I260">
        <v>0</v>
      </c>
      <c r="J260">
        <v>52.359999999999332</v>
      </c>
      <c r="K260">
        <v>52.359999999999332</v>
      </c>
      <c r="L260">
        <v>38.664964356051073</v>
      </c>
      <c r="M260">
        <v>0</v>
      </c>
      <c r="N260">
        <v>13.695035643948263</v>
      </c>
      <c r="O260">
        <v>38.664965508356822</v>
      </c>
      <c r="P260" s="15">
        <v>2.4813474122773047</v>
      </c>
      <c r="Q260" s="15">
        <v>2.4789104975770293</v>
      </c>
      <c r="R260">
        <v>0</v>
      </c>
      <c r="S260">
        <v>0</v>
      </c>
      <c r="T260" s="15">
        <v>5.0830568854680944</v>
      </c>
      <c r="U260">
        <v>37.45406765104557</v>
      </c>
      <c r="V260">
        <v>0</v>
      </c>
      <c r="W260">
        <v>0</v>
      </c>
      <c r="X260">
        <v>0</v>
      </c>
      <c r="Y260">
        <v>0</v>
      </c>
      <c r="Z260">
        <v>1</v>
      </c>
      <c r="AA260">
        <v>0.9</v>
      </c>
      <c r="AB260">
        <v>1.1000000000000001</v>
      </c>
      <c r="AC260">
        <v>0</v>
      </c>
      <c r="AD260" s="15">
        <v>0.24197656865380662</v>
      </c>
      <c r="AE260">
        <v>235.88053165245807</v>
      </c>
      <c r="AF260">
        <v>231.03945133564372</v>
      </c>
      <c r="AG260">
        <v>245.59099986575546</v>
      </c>
      <c r="AH260">
        <v>183.81499990411103</v>
      </c>
      <c r="AI260">
        <v>2.1</v>
      </c>
      <c r="AJ260">
        <v>0</v>
      </c>
      <c r="AK260">
        <v>0</v>
      </c>
      <c r="AL260">
        <v>1.3982965469429116</v>
      </c>
      <c r="AM260">
        <v>1.3982965469429116</v>
      </c>
      <c r="AN260">
        <v>0</v>
      </c>
      <c r="AO260">
        <v>1</v>
      </c>
      <c r="AP260">
        <v>0</v>
      </c>
      <c r="AQ260">
        <v>0</v>
      </c>
      <c r="AR260">
        <v>69.3</v>
      </c>
      <c r="AS260">
        <v>115.2</v>
      </c>
      <c r="AT260">
        <v>231.3</v>
      </c>
      <c r="AU260">
        <v>426.59999999999997</v>
      </c>
      <c r="AV260">
        <v>0</v>
      </c>
    </row>
    <row r="261" spans="1:48">
      <c r="A261">
        <v>260</v>
      </c>
      <c r="B261">
        <v>7.9999999999999724E-2</v>
      </c>
      <c r="C261">
        <v>27.839999999999598</v>
      </c>
      <c r="D261">
        <v>18.019999999999744</v>
      </c>
      <c r="E261">
        <v>2.83381125295714</v>
      </c>
      <c r="F261">
        <v>0</v>
      </c>
      <c r="G261">
        <v>0</v>
      </c>
      <c r="H261">
        <v>0.10074610125705692</v>
      </c>
      <c r="I261">
        <v>0</v>
      </c>
      <c r="J261">
        <v>7.9999999999999724E-2</v>
      </c>
      <c r="K261">
        <v>7.9999999999999724E-2</v>
      </c>
      <c r="L261">
        <v>7.9999999999999724E-2</v>
      </c>
      <c r="M261">
        <v>0</v>
      </c>
      <c r="N261">
        <v>0</v>
      </c>
      <c r="O261">
        <v>8.000000238418549E-2</v>
      </c>
      <c r="P261" s="15">
        <v>3.4005712072227348</v>
      </c>
      <c r="Q261" s="15">
        <v>3.4005712072227348</v>
      </c>
      <c r="R261">
        <v>0</v>
      </c>
      <c r="S261">
        <v>0</v>
      </c>
      <c r="T261">
        <v>5.9531344147676091</v>
      </c>
      <c r="U261">
        <v>28.180362031439405</v>
      </c>
      <c r="V261">
        <v>0</v>
      </c>
      <c r="W261">
        <v>0</v>
      </c>
      <c r="X261">
        <v>0</v>
      </c>
      <c r="Y261">
        <v>0</v>
      </c>
      <c r="Z261">
        <v>1</v>
      </c>
      <c r="AA261">
        <v>0.9</v>
      </c>
      <c r="AB261">
        <v>1.1000000000000001</v>
      </c>
      <c r="AC261">
        <v>0</v>
      </c>
      <c r="AD261" s="15">
        <v>0.37021259854059252</v>
      </c>
      <c r="AE261">
        <v>241.46345346868515</v>
      </c>
      <c r="AF261">
        <v>235.8805316524581</v>
      </c>
      <c r="AG261">
        <v>245.52378373775176</v>
      </c>
      <c r="AH261">
        <v>183.76698838410837</v>
      </c>
      <c r="AI261">
        <v>2.1</v>
      </c>
      <c r="AJ261">
        <v>0</v>
      </c>
      <c r="AK261">
        <v>0</v>
      </c>
      <c r="AL261">
        <v>1.2950653392099201</v>
      </c>
      <c r="AM261">
        <v>1.2950653392099201</v>
      </c>
      <c r="AN261">
        <v>0</v>
      </c>
      <c r="AO261">
        <v>1</v>
      </c>
      <c r="AP261">
        <v>0</v>
      </c>
      <c r="AQ261">
        <v>0</v>
      </c>
      <c r="AR261">
        <v>69.3</v>
      </c>
      <c r="AS261">
        <v>115.2</v>
      </c>
      <c r="AT261">
        <v>231.3</v>
      </c>
      <c r="AU261">
        <v>426.59999999999997</v>
      </c>
      <c r="AV261">
        <v>0</v>
      </c>
    </row>
    <row r="262" spans="1:48">
      <c r="A262">
        <v>261</v>
      </c>
      <c r="B262" s="15">
        <v>0.959999999999954</v>
      </c>
      <c r="C262">
        <v>27.219999999999608</v>
      </c>
      <c r="D262">
        <v>19.239999999999732</v>
      </c>
      <c r="E262">
        <v>2.8498860025444861</v>
      </c>
      <c r="F262">
        <v>0</v>
      </c>
      <c r="G262">
        <v>0</v>
      </c>
      <c r="H262">
        <v>0.10000000149011612</v>
      </c>
      <c r="I262">
        <v>0</v>
      </c>
      <c r="J262" s="15">
        <v>0.959999999999954</v>
      </c>
      <c r="K262" s="15">
        <v>0.959999999999954</v>
      </c>
      <c r="L262" s="15">
        <v>0.959999999999954</v>
      </c>
      <c r="M262">
        <v>0</v>
      </c>
      <c r="N262">
        <v>0</v>
      </c>
      <c r="O262" s="15">
        <v>0.96000002861018385</v>
      </c>
      <c r="P262" s="15">
        <v>3.4198611582123895</v>
      </c>
      <c r="Q262" s="15">
        <v>3.4198611582123895</v>
      </c>
      <c r="R262">
        <v>0</v>
      </c>
      <c r="S262">
        <v>0</v>
      </c>
      <c r="T262" s="15">
        <v>0.61248695510338647</v>
      </c>
      <c r="U262">
        <v>25.108013946733799</v>
      </c>
      <c r="V262">
        <v>0</v>
      </c>
      <c r="W262">
        <v>0</v>
      </c>
      <c r="X262">
        <v>0</v>
      </c>
      <c r="Y262">
        <v>0</v>
      </c>
      <c r="Z262">
        <v>1</v>
      </c>
      <c r="AA262">
        <v>0.9</v>
      </c>
      <c r="AB262">
        <v>1.1000000000000001</v>
      </c>
      <c r="AC262">
        <v>0</v>
      </c>
      <c r="AD262" s="15">
        <v>0.37704588962007118</v>
      </c>
      <c r="AE262">
        <v>241.69889453416843</v>
      </c>
      <c r="AF262">
        <v>241.46345346868515</v>
      </c>
      <c r="AG262">
        <v>245.59099986575546</v>
      </c>
      <c r="AH262">
        <v>183.81499990411103</v>
      </c>
      <c r="AI262">
        <v>2.1</v>
      </c>
      <c r="AJ262">
        <v>0</v>
      </c>
      <c r="AK262">
        <v>0</v>
      </c>
      <c r="AL262">
        <v>1.2185897795783405</v>
      </c>
      <c r="AM262">
        <v>1.2185897795783405</v>
      </c>
      <c r="AN262">
        <v>0</v>
      </c>
      <c r="AO262">
        <v>1</v>
      </c>
      <c r="AP262">
        <v>0</v>
      </c>
      <c r="AQ262">
        <v>0</v>
      </c>
      <c r="AR262">
        <v>69.3</v>
      </c>
      <c r="AS262">
        <v>115.2</v>
      </c>
      <c r="AT262">
        <v>231.3</v>
      </c>
      <c r="AU262">
        <v>426.59999999999997</v>
      </c>
      <c r="AV262">
        <v>0</v>
      </c>
    </row>
    <row r="263" spans="1:48">
      <c r="A263">
        <v>262</v>
      </c>
      <c r="B263">
        <v>9.9599999999998872</v>
      </c>
      <c r="C263">
        <v>22.839999999999669</v>
      </c>
      <c r="D263">
        <v>14.459999999999802</v>
      </c>
      <c r="E263">
        <v>2.4139505273802579</v>
      </c>
      <c r="F263">
        <v>0</v>
      </c>
      <c r="G263">
        <v>0</v>
      </c>
      <c r="H263">
        <v>0.10000000149011612</v>
      </c>
      <c r="I263">
        <v>0</v>
      </c>
      <c r="J263">
        <v>9.9599999999998872</v>
      </c>
      <c r="K263">
        <v>9.9599999999998872</v>
      </c>
      <c r="L263">
        <v>7.735415221310971</v>
      </c>
      <c r="M263">
        <v>0</v>
      </c>
      <c r="N263">
        <v>2.2245847786889157</v>
      </c>
      <c r="O263">
        <v>7.7354154518443128</v>
      </c>
      <c r="P263" s="15">
        <v>2.8967391027395628</v>
      </c>
      <c r="Q263" s="15">
        <v>2.8967391027395628</v>
      </c>
      <c r="R263">
        <v>0</v>
      </c>
      <c r="S263">
        <v>0</v>
      </c>
      <c r="T263" s="15">
        <v>0.72094103489265904</v>
      </c>
      <c r="U263">
        <v>29.225749260945889</v>
      </c>
      <c r="V263">
        <v>0</v>
      </c>
      <c r="W263">
        <v>0</v>
      </c>
      <c r="X263">
        <v>0</v>
      </c>
      <c r="Y263">
        <v>0</v>
      </c>
      <c r="Z263">
        <v>1</v>
      </c>
      <c r="AA263">
        <v>0.9</v>
      </c>
      <c r="AB263">
        <v>1.1000000000000001</v>
      </c>
      <c r="AC263">
        <v>0</v>
      </c>
      <c r="AD263" s="15">
        <v>0.36206898012623173</v>
      </c>
      <c r="AE263">
        <v>242.0577665889349</v>
      </c>
      <c r="AF263">
        <v>241.69889453416843</v>
      </c>
      <c r="AG263">
        <v>245.59099986575546</v>
      </c>
      <c r="AH263">
        <v>183.81499990411103</v>
      </c>
      <c r="AI263">
        <v>2.1</v>
      </c>
      <c r="AJ263">
        <v>0</v>
      </c>
      <c r="AK263">
        <v>0</v>
      </c>
      <c r="AL263">
        <v>1.1619352915664352</v>
      </c>
      <c r="AM263">
        <v>1.1619352915664352</v>
      </c>
      <c r="AN263">
        <v>0</v>
      </c>
      <c r="AO263">
        <v>1</v>
      </c>
      <c r="AP263">
        <v>0</v>
      </c>
      <c r="AQ263">
        <v>0</v>
      </c>
      <c r="AR263">
        <v>69.3</v>
      </c>
      <c r="AS263">
        <v>115.2</v>
      </c>
      <c r="AT263">
        <v>231.3</v>
      </c>
      <c r="AU263">
        <v>426.59999999999997</v>
      </c>
      <c r="AV263">
        <v>0</v>
      </c>
    </row>
    <row r="264" spans="1:48">
      <c r="A264">
        <v>263</v>
      </c>
      <c r="B264">
        <v>10.359999999999808</v>
      </c>
      <c r="C264">
        <v>24.199999999999655</v>
      </c>
      <c r="D264">
        <v>11.579999999999838</v>
      </c>
      <c r="E264">
        <v>2.6239799749897634</v>
      </c>
      <c r="F264">
        <v>0</v>
      </c>
      <c r="G264">
        <v>0</v>
      </c>
      <c r="H264">
        <v>0.10000000149011612</v>
      </c>
      <c r="I264">
        <v>0</v>
      </c>
      <c r="J264">
        <v>10.359999999999808</v>
      </c>
      <c r="K264">
        <v>10.359999999999808</v>
      </c>
      <c r="L264">
        <v>7.8878754518523078</v>
      </c>
      <c r="M264">
        <v>0</v>
      </c>
      <c r="N264" s="15">
        <v>2.4721245481474994</v>
      </c>
      <c r="O264">
        <v>7.8878756869293181</v>
      </c>
      <c r="P264" s="15">
        <v>3.1487745042392254</v>
      </c>
      <c r="Q264" s="15">
        <v>3.1487745042392254</v>
      </c>
      <c r="R264">
        <v>0</v>
      </c>
      <c r="S264">
        <v>0</v>
      </c>
      <c r="T264" s="15">
        <v>2.4394203213157772</v>
      </c>
      <c r="U264">
        <v>31.525430122320202</v>
      </c>
      <c r="V264">
        <v>0</v>
      </c>
      <c r="W264">
        <v>0</v>
      </c>
      <c r="X264">
        <v>0</v>
      </c>
      <c r="Y264">
        <v>0</v>
      </c>
      <c r="Z264">
        <v>1</v>
      </c>
      <c r="AA264">
        <v>0.9</v>
      </c>
      <c r="AB264">
        <v>1.1000000000000001</v>
      </c>
      <c r="AC264">
        <v>0</v>
      </c>
      <c r="AD264" s="15">
        <v>0.37315584412178771</v>
      </c>
      <c r="AE264">
        <v>244.12403106612888</v>
      </c>
      <c r="AF264">
        <v>242.0577665889349</v>
      </c>
      <c r="AG264">
        <v>245.59099986575546</v>
      </c>
      <c r="AH264">
        <v>183.81499990411103</v>
      </c>
      <c r="AI264">
        <v>2.1</v>
      </c>
      <c r="AJ264">
        <v>0</v>
      </c>
      <c r="AK264">
        <v>0</v>
      </c>
      <c r="AL264">
        <v>1.1199646145638216</v>
      </c>
      <c r="AM264">
        <v>1.1199646145638216</v>
      </c>
      <c r="AN264">
        <v>0</v>
      </c>
      <c r="AO264">
        <v>1</v>
      </c>
      <c r="AP264">
        <v>0</v>
      </c>
      <c r="AQ264">
        <v>0</v>
      </c>
      <c r="AR264">
        <v>69.3</v>
      </c>
      <c r="AS264">
        <v>115.2</v>
      </c>
      <c r="AT264">
        <v>231.3</v>
      </c>
      <c r="AU264">
        <v>426.59999999999997</v>
      </c>
      <c r="AV264">
        <v>0</v>
      </c>
    </row>
    <row r="265" spans="1:48">
      <c r="A265">
        <v>264</v>
      </c>
      <c r="B265">
        <v>0.15999999999999945</v>
      </c>
      <c r="C265">
        <v>24.499999999999645</v>
      </c>
      <c r="D265">
        <v>14.739999999999794</v>
      </c>
      <c r="E265">
        <v>2.5508120319515046</v>
      </c>
      <c r="F265">
        <v>0</v>
      </c>
      <c r="G265">
        <v>0</v>
      </c>
      <c r="H265">
        <v>0.10000000149011612</v>
      </c>
      <c r="I265">
        <v>0</v>
      </c>
      <c r="J265">
        <v>0.15999999999999945</v>
      </c>
      <c r="K265">
        <v>0.15999999999999945</v>
      </c>
      <c r="L265">
        <v>0.15999999999999945</v>
      </c>
      <c r="M265">
        <v>0</v>
      </c>
      <c r="N265">
        <v>0</v>
      </c>
      <c r="O265">
        <v>0.16000000476837098</v>
      </c>
      <c r="P265" s="15">
        <v>3.0609731859131073</v>
      </c>
      <c r="Q265" s="15">
        <v>3.0609731859131073</v>
      </c>
      <c r="R265">
        <v>0</v>
      </c>
      <c r="S265">
        <v>0</v>
      </c>
      <c r="T265" s="15">
        <v>1.610668089340302</v>
      </c>
      <c r="U265">
        <v>27.013788851835166</v>
      </c>
      <c r="V265">
        <v>0</v>
      </c>
      <c r="W265">
        <v>0</v>
      </c>
      <c r="X265">
        <v>0</v>
      </c>
      <c r="Y265">
        <v>0</v>
      </c>
      <c r="Z265">
        <v>1</v>
      </c>
      <c r="AA265">
        <v>0.9</v>
      </c>
      <c r="AB265">
        <v>1.1000000000000001</v>
      </c>
      <c r="AC265">
        <v>0</v>
      </c>
      <c r="AD265" s="15">
        <v>0.40474886562524637</v>
      </c>
      <c r="AE265">
        <v>245.32995028984394</v>
      </c>
      <c r="AF265">
        <v>244.12403106612888</v>
      </c>
      <c r="AG265">
        <v>245.59099986575546</v>
      </c>
      <c r="AH265">
        <v>183.81499990411103</v>
      </c>
      <c r="AI265">
        <v>2.1</v>
      </c>
      <c r="AJ265">
        <v>0</v>
      </c>
      <c r="AK265">
        <v>0</v>
      </c>
      <c r="AL265">
        <v>1.0888719723059384</v>
      </c>
      <c r="AM265">
        <v>1.0888719723059384</v>
      </c>
      <c r="AN265">
        <v>0</v>
      </c>
      <c r="AO265">
        <v>1</v>
      </c>
      <c r="AP265">
        <v>0</v>
      </c>
      <c r="AQ265">
        <v>0</v>
      </c>
      <c r="AR265">
        <v>69.3</v>
      </c>
      <c r="AS265">
        <v>115.2</v>
      </c>
      <c r="AT265">
        <v>231.3</v>
      </c>
      <c r="AU265">
        <v>426.59999999999997</v>
      </c>
      <c r="AV265">
        <v>0</v>
      </c>
    </row>
    <row r="266" spans="1:48">
      <c r="A266">
        <v>265</v>
      </c>
      <c r="B266">
        <v>0</v>
      </c>
      <c r="C266">
        <v>25.23999999999964</v>
      </c>
      <c r="D266">
        <v>13.719999999999812</v>
      </c>
      <c r="E266">
        <v>2.6664117110237902</v>
      </c>
      <c r="F266">
        <v>0</v>
      </c>
      <c r="G266">
        <v>0</v>
      </c>
      <c r="H266">
        <v>0.10000000149011612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 s="15">
        <v>3.1996929056755219</v>
      </c>
      <c r="Q266" s="15">
        <v>3.1996929056755219</v>
      </c>
      <c r="R266">
        <v>0</v>
      </c>
      <c r="S266">
        <v>0</v>
      </c>
      <c r="T266" s="15">
        <v>0.29939649355227904</v>
      </c>
      <c r="U266">
        <v>23.514699452607367</v>
      </c>
      <c r="V266">
        <v>0</v>
      </c>
      <c r="W266">
        <v>0</v>
      </c>
      <c r="X266">
        <v>0</v>
      </c>
      <c r="Y266">
        <v>0</v>
      </c>
      <c r="Z266">
        <v>1</v>
      </c>
      <c r="AA266">
        <v>0.9</v>
      </c>
      <c r="AB266">
        <v>1.1000000000000001</v>
      </c>
      <c r="AC266">
        <v>0</v>
      </c>
      <c r="AD266" s="15">
        <v>0.40331439084750526</v>
      </c>
      <c r="AE266">
        <v>245.22603239254872</v>
      </c>
      <c r="AF266">
        <v>245.32995028984394</v>
      </c>
      <c r="AG266">
        <v>245.59099986575546</v>
      </c>
      <c r="AH266">
        <v>183.81499990411103</v>
      </c>
      <c r="AI266">
        <v>2.1</v>
      </c>
      <c r="AJ266">
        <v>0</v>
      </c>
      <c r="AK266">
        <v>0</v>
      </c>
      <c r="AL266">
        <v>1.0658379763921602</v>
      </c>
      <c r="AM266">
        <v>1.0658379763921602</v>
      </c>
      <c r="AN266">
        <v>0</v>
      </c>
      <c r="AO266">
        <v>1</v>
      </c>
      <c r="AP266">
        <v>0</v>
      </c>
      <c r="AQ266">
        <v>0</v>
      </c>
      <c r="AR266">
        <v>69.3</v>
      </c>
      <c r="AS266">
        <v>115.2</v>
      </c>
      <c r="AT266">
        <v>231.3</v>
      </c>
      <c r="AU266">
        <v>426.59999999999997</v>
      </c>
      <c r="AV266">
        <v>0</v>
      </c>
    </row>
    <row r="267" spans="1:48">
      <c r="A267">
        <v>266</v>
      </c>
      <c r="B267">
        <v>0</v>
      </c>
      <c r="C267">
        <v>25.039999999999644</v>
      </c>
      <c r="D267">
        <v>14.519999999999801</v>
      </c>
      <c r="E267">
        <v>2.4815401512940327</v>
      </c>
      <c r="F267">
        <v>0</v>
      </c>
      <c r="G267">
        <v>0</v>
      </c>
      <c r="H267">
        <v>0.10000000149011612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 s="15">
        <v>2.9778472482099954</v>
      </c>
      <c r="Q267" s="15">
        <v>2.9778472482099954</v>
      </c>
      <c r="R267">
        <v>0</v>
      </c>
      <c r="S267">
        <v>0</v>
      </c>
      <c r="T267" s="15">
        <v>5.4408609029219041E-2</v>
      </c>
      <c r="U267">
        <v>20.482443595368153</v>
      </c>
      <c r="V267">
        <v>0</v>
      </c>
      <c r="W267">
        <v>0</v>
      </c>
      <c r="X267">
        <v>0</v>
      </c>
      <c r="Y267">
        <v>0</v>
      </c>
      <c r="Z267">
        <v>1</v>
      </c>
      <c r="AA267">
        <v>0.9</v>
      </c>
      <c r="AB267">
        <v>1.1000000000000001</v>
      </c>
      <c r="AC267">
        <v>0</v>
      </c>
      <c r="AD267" s="15">
        <v>0.39126271640640575</v>
      </c>
      <c r="AE267">
        <v>244.88917828517145</v>
      </c>
      <c r="AF267">
        <v>245.22603239254869</v>
      </c>
      <c r="AG267">
        <v>245.59099986575546</v>
      </c>
      <c r="AH267">
        <v>183.81499990411103</v>
      </c>
      <c r="AI267">
        <v>2.1</v>
      </c>
      <c r="AJ267">
        <v>0</v>
      </c>
      <c r="AK267">
        <v>0</v>
      </c>
      <c r="AL267">
        <v>1.0487739725241252</v>
      </c>
      <c r="AM267">
        <v>1.0487739725241252</v>
      </c>
      <c r="AN267">
        <v>0</v>
      </c>
      <c r="AO267">
        <v>1</v>
      </c>
      <c r="AP267">
        <v>0</v>
      </c>
      <c r="AQ267">
        <v>0</v>
      </c>
      <c r="AR267">
        <v>69.3</v>
      </c>
      <c r="AS267">
        <v>115.2</v>
      </c>
      <c r="AT267">
        <v>231.3</v>
      </c>
      <c r="AU267">
        <v>426.59999999999997</v>
      </c>
      <c r="AV267">
        <v>0</v>
      </c>
    </row>
    <row r="268" spans="1:48">
      <c r="A268">
        <v>267</v>
      </c>
      <c r="B268" s="15">
        <v>3.9999999999997732E-2</v>
      </c>
      <c r="C268">
        <v>26.379999999999619</v>
      </c>
      <c r="D268">
        <v>12.459999999999832</v>
      </c>
      <c r="E268">
        <v>2.5985303321962019</v>
      </c>
      <c r="F268">
        <v>0</v>
      </c>
      <c r="G268">
        <v>0</v>
      </c>
      <c r="H268">
        <v>0.10000000149011612</v>
      </c>
      <c r="I268">
        <v>0</v>
      </c>
      <c r="J268" s="15">
        <v>3.9999999999997732E-2</v>
      </c>
      <c r="K268" s="15">
        <v>3.9999999999997732E-2</v>
      </c>
      <c r="L268" s="15">
        <v>3.9999999999997732E-2</v>
      </c>
      <c r="M268">
        <v>0</v>
      </c>
      <c r="N268">
        <v>0</v>
      </c>
      <c r="O268" s="15">
        <v>4.0000001192090635E-2</v>
      </c>
      <c r="P268" s="15">
        <v>3.1182355472716097</v>
      </c>
      <c r="Q268" s="15">
        <v>3.1182355472716097</v>
      </c>
      <c r="R268">
        <v>0</v>
      </c>
      <c r="S268">
        <v>0</v>
      </c>
      <c r="T268" s="15">
        <v>8.4284678452357358E-3</v>
      </c>
      <c r="U268">
        <v>17.395779581443406</v>
      </c>
      <c r="V268">
        <v>0</v>
      </c>
      <c r="W268">
        <v>0</v>
      </c>
      <c r="X268">
        <v>0</v>
      </c>
      <c r="Y268">
        <v>0</v>
      </c>
      <c r="Z268">
        <v>1</v>
      </c>
      <c r="AA268">
        <v>0.9</v>
      </c>
      <c r="AB268">
        <v>1.1000000000000001</v>
      </c>
      <c r="AC268">
        <v>0</v>
      </c>
      <c r="AD268" s="15">
        <v>0.3789914438162203</v>
      </c>
      <c r="AE268">
        <v>244.51861530920044</v>
      </c>
      <c r="AF268">
        <v>244.88917828517148</v>
      </c>
      <c r="AG268">
        <v>245.59099986575546</v>
      </c>
      <c r="AH268">
        <v>183.81499990411103</v>
      </c>
      <c r="AI268">
        <v>2.1</v>
      </c>
      <c r="AJ268">
        <v>0</v>
      </c>
      <c r="AK268">
        <v>0</v>
      </c>
      <c r="AL268">
        <v>1.0361326475409014</v>
      </c>
      <c r="AM268">
        <v>1.0361326475409014</v>
      </c>
      <c r="AN268">
        <v>0</v>
      </c>
      <c r="AO268">
        <v>1</v>
      </c>
      <c r="AP268">
        <v>0</v>
      </c>
      <c r="AQ268">
        <v>0</v>
      </c>
      <c r="AR268">
        <v>69.3</v>
      </c>
      <c r="AS268">
        <v>115.2</v>
      </c>
      <c r="AT268">
        <v>231.3</v>
      </c>
      <c r="AU268">
        <v>426.59999999999997</v>
      </c>
      <c r="AV268">
        <v>0</v>
      </c>
    </row>
    <row r="269" spans="1:48">
      <c r="A269">
        <v>268</v>
      </c>
      <c r="B269">
        <v>0</v>
      </c>
      <c r="C269">
        <v>24.779999999999642</v>
      </c>
      <c r="D269">
        <v>15.739999999999787</v>
      </c>
      <c r="E269">
        <v>1.7462636075284175</v>
      </c>
      <c r="F269">
        <v>0</v>
      </c>
      <c r="G269">
        <v>0</v>
      </c>
      <c r="H269">
        <v>0.10000000149011612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 s="15">
        <v>2.0955158324132688</v>
      </c>
      <c r="Q269" s="15">
        <v>2.0657586689190475</v>
      </c>
      <c r="R269">
        <v>0</v>
      </c>
      <c r="S269">
        <v>0</v>
      </c>
      <c r="T269" s="15">
        <v>8.9750543719854705E-4</v>
      </c>
      <c r="U269">
        <v>15.329123407087161</v>
      </c>
      <c r="V269">
        <v>0</v>
      </c>
      <c r="W269">
        <v>0</v>
      </c>
      <c r="X269">
        <v>0</v>
      </c>
      <c r="Y269">
        <v>0</v>
      </c>
      <c r="Z269">
        <v>1</v>
      </c>
      <c r="AA269">
        <v>0.9</v>
      </c>
      <c r="AB269">
        <v>1.1000000000000001</v>
      </c>
      <c r="AC269">
        <v>0</v>
      </c>
      <c r="AD269" s="15">
        <v>0.368027911687205</v>
      </c>
      <c r="AE269">
        <v>244.15148490295047</v>
      </c>
      <c r="AF269">
        <v>244.51861530920047</v>
      </c>
      <c r="AG269">
        <v>245.59099986575546</v>
      </c>
      <c r="AH269">
        <v>183.81499990411103</v>
      </c>
      <c r="AI269">
        <v>2.1</v>
      </c>
      <c r="AJ269">
        <v>0</v>
      </c>
      <c r="AK269">
        <v>0</v>
      </c>
      <c r="AL269">
        <v>1.0267677236597701</v>
      </c>
      <c r="AM269">
        <v>1.0267677236597701</v>
      </c>
      <c r="AN269">
        <v>0</v>
      </c>
      <c r="AO269">
        <v>1</v>
      </c>
      <c r="AP269">
        <v>0</v>
      </c>
      <c r="AQ269">
        <v>0</v>
      </c>
      <c r="AR269">
        <v>69.3</v>
      </c>
      <c r="AS269">
        <v>115.2</v>
      </c>
      <c r="AT269">
        <v>231.3</v>
      </c>
      <c r="AU269">
        <v>426.59999999999997</v>
      </c>
      <c r="AV269">
        <v>0</v>
      </c>
    </row>
    <row r="270" spans="1:48">
      <c r="A270">
        <v>269</v>
      </c>
      <c r="B270">
        <v>26.079999999999686</v>
      </c>
      <c r="C270">
        <v>20.09999999999971</v>
      </c>
      <c r="D270">
        <v>15.959999999999782</v>
      </c>
      <c r="E270">
        <v>0.81944069542835274</v>
      </c>
      <c r="F270">
        <v>0</v>
      </c>
      <c r="G270">
        <v>0</v>
      </c>
      <c r="H270">
        <v>0.11617936410665804</v>
      </c>
      <c r="I270">
        <v>0</v>
      </c>
      <c r="J270">
        <v>26.079999999999686</v>
      </c>
      <c r="K270">
        <v>26.079999999999686</v>
      </c>
      <c r="L270">
        <v>19.40777309224589</v>
      </c>
      <c r="M270">
        <v>0</v>
      </c>
      <c r="N270">
        <v>6.672226907753795</v>
      </c>
      <c r="O270">
        <v>19.407773670642598</v>
      </c>
      <c r="P270" s="15">
        <v>0.983328633021615</v>
      </c>
      <c r="Q270" s="15">
        <v>0.98332858230993958</v>
      </c>
      <c r="R270">
        <v>0</v>
      </c>
      <c r="S270">
        <v>0</v>
      </c>
      <c r="T270" s="15">
        <v>0.84994186236356939</v>
      </c>
      <c r="U270">
        <v>32.903626633056255</v>
      </c>
      <c r="V270">
        <v>0</v>
      </c>
      <c r="W270">
        <v>0</v>
      </c>
      <c r="X270">
        <v>0</v>
      </c>
      <c r="Y270">
        <v>0</v>
      </c>
      <c r="Z270">
        <v>1</v>
      </c>
      <c r="AA270">
        <v>0.9</v>
      </c>
      <c r="AB270">
        <v>1.1000000000000001</v>
      </c>
      <c r="AC270">
        <v>0</v>
      </c>
      <c r="AD270" s="15">
        <v>0.3605195280565594</v>
      </c>
      <c r="AE270">
        <v>244.64090723725744</v>
      </c>
      <c r="AF270">
        <v>244.15148490295047</v>
      </c>
      <c r="AG270">
        <v>244.1334010876312</v>
      </c>
      <c r="AH270">
        <v>182.77385791973657</v>
      </c>
      <c r="AI270">
        <v>2.1</v>
      </c>
      <c r="AJ270">
        <v>0</v>
      </c>
      <c r="AK270">
        <v>0</v>
      </c>
      <c r="AL270">
        <v>1.0198300174133308</v>
      </c>
      <c r="AM270">
        <v>1.0198300174133308</v>
      </c>
      <c r="AN270">
        <v>0</v>
      </c>
      <c r="AO270">
        <v>1</v>
      </c>
      <c r="AP270">
        <v>0</v>
      </c>
      <c r="AQ270">
        <v>0</v>
      </c>
      <c r="AR270">
        <v>69.3</v>
      </c>
      <c r="AS270">
        <v>115.2</v>
      </c>
      <c r="AT270">
        <v>231.3</v>
      </c>
      <c r="AU270">
        <v>426.59999999999997</v>
      </c>
      <c r="AV270">
        <v>0</v>
      </c>
    </row>
    <row r="271" spans="1:48">
      <c r="A271">
        <v>270</v>
      </c>
      <c r="B271" s="15">
        <v>0.11999999999999746</v>
      </c>
      <c r="C271">
        <v>24.039999999999658</v>
      </c>
      <c r="D271">
        <v>15.679999999999783</v>
      </c>
      <c r="E271">
        <v>1.7843152218674501</v>
      </c>
      <c r="F271">
        <v>0</v>
      </c>
      <c r="G271">
        <v>0</v>
      </c>
      <c r="H271">
        <v>0.16066685108795137</v>
      </c>
      <c r="I271">
        <v>0</v>
      </c>
      <c r="J271" s="15">
        <v>0.11999999999999746</v>
      </c>
      <c r="K271" s="15">
        <v>0.11999999999999746</v>
      </c>
      <c r="L271" s="15">
        <v>0.11999999999999746</v>
      </c>
      <c r="M271">
        <v>0</v>
      </c>
      <c r="N271">
        <v>0</v>
      </c>
      <c r="O271" s="15">
        <v>0.12000000357627612</v>
      </c>
      <c r="P271" s="15">
        <v>2.1411778885488135</v>
      </c>
      <c r="Q271" s="15">
        <v>2.1411778885488135</v>
      </c>
      <c r="R271">
        <v>0</v>
      </c>
      <c r="S271">
        <v>0</v>
      </c>
      <c r="T271" s="15">
        <v>2.3771708647110654</v>
      </c>
      <c r="U271">
        <v>28.505277883372674</v>
      </c>
      <c r="V271">
        <v>0</v>
      </c>
      <c r="W271">
        <v>0</v>
      </c>
      <c r="X271">
        <v>0</v>
      </c>
      <c r="Y271">
        <v>0</v>
      </c>
      <c r="Z271">
        <v>1</v>
      </c>
      <c r="AA271">
        <v>0.9</v>
      </c>
      <c r="AB271">
        <v>1.1000000000000001</v>
      </c>
      <c r="AC271">
        <v>0</v>
      </c>
      <c r="AD271">
        <v>0.39238357415411068</v>
      </c>
      <c r="AE271">
        <v>246.62569452781437</v>
      </c>
      <c r="AF271">
        <v>244.64090723725747</v>
      </c>
      <c r="AG271">
        <v>240.12552338548647</v>
      </c>
      <c r="AH271">
        <v>179.91108813249036</v>
      </c>
      <c r="AI271">
        <v>2.1</v>
      </c>
      <c r="AJ271">
        <v>0</v>
      </c>
      <c r="AK271">
        <v>0</v>
      </c>
      <c r="AL271">
        <v>1</v>
      </c>
      <c r="AM271">
        <v>1</v>
      </c>
      <c r="AN271">
        <v>0</v>
      </c>
      <c r="AO271">
        <v>1</v>
      </c>
      <c r="AP271">
        <v>0</v>
      </c>
      <c r="AQ271">
        <v>0</v>
      </c>
      <c r="AR271">
        <v>69.3</v>
      </c>
      <c r="AS271">
        <v>115.2</v>
      </c>
      <c r="AT271">
        <v>231.3</v>
      </c>
      <c r="AU271">
        <v>426.59999999999997</v>
      </c>
      <c r="AV271">
        <v>0</v>
      </c>
    </row>
    <row r="272" spans="1:48">
      <c r="A272">
        <v>271</v>
      </c>
      <c r="B272" s="15">
        <v>0</v>
      </c>
      <c r="C272">
        <v>26.419999999999618</v>
      </c>
      <c r="D272">
        <v>14.959999999999795</v>
      </c>
      <c r="E272">
        <v>2.3788667913534391</v>
      </c>
      <c r="F272">
        <v>0</v>
      </c>
      <c r="G272">
        <v>0</v>
      </c>
      <c r="H272">
        <v>0.11435288190206132</v>
      </c>
      <c r="I272">
        <v>0</v>
      </c>
      <c r="J272" s="15">
        <v>0</v>
      </c>
      <c r="K272" s="15">
        <v>0</v>
      </c>
      <c r="L272" s="15">
        <v>0</v>
      </c>
      <c r="M272">
        <v>0</v>
      </c>
      <c r="N272">
        <v>0</v>
      </c>
      <c r="O272" s="15">
        <v>0</v>
      </c>
      <c r="P272" s="15">
        <v>2.8546397182906973</v>
      </c>
      <c r="Q272" s="15">
        <v>2.8546397182906973</v>
      </c>
      <c r="R272">
        <v>0</v>
      </c>
      <c r="S272">
        <v>0</v>
      </c>
      <c r="T272" s="15">
        <v>0.54256373762408938</v>
      </c>
      <c r="U272">
        <v>25.108074427457883</v>
      </c>
      <c r="V272">
        <v>0</v>
      </c>
      <c r="W272">
        <v>0</v>
      </c>
      <c r="X272">
        <v>0</v>
      </c>
      <c r="Y272">
        <v>0</v>
      </c>
      <c r="Z272">
        <v>1</v>
      </c>
      <c r="AA272">
        <v>0.9</v>
      </c>
      <c r="AB272">
        <v>1.1000000000000001</v>
      </c>
      <c r="AC272">
        <v>0</v>
      </c>
      <c r="AD272">
        <v>0.40928165618478363</v>
      </c>
      <c r="AE272">
        <v>246.75897660925375</v>
      </c>
      <c r="AF272">
        <v>246.6256945278144</v>
      </c>
      <c r="AG272">
        <v>244.2979488694433</v>
      </c>
      <c r="AH272">
        <v>182.89139204960236</v>
      </c>
      <c r="AI272">
        <v>2.1</v>
      </c>
      <c r="AJ272">
        <v>0</v>
      </c>
      <c r="AK272">
        <v>0</v>
      </c>
      <c r="AL272">
        <v>1</v>
      </c>
      <c r="AM272">
        <v>1</v>
      </c>
      <c r="AN272">
        <v>0</v>
      </c>
      <c r="AO272">
        <v>1</v>
      </c>
      <c r="AP272">
        <v>0</v>
      </c>
      <c r="AQ272">
        <v>0</v>
      </c>
      <c r="AR272">
        <v>69.3</v>
      </c>
      <c r="AS272">
        <v>115.2</v>
      </c>
      <c r="AT272">
        <v>231.3</v>
      </c>
      <c r="AU272">
        <v>426.59999999999997</v>
      </c>
      <c r="AV272">
        <v>0</v>
      </c>
    </row>
    <row r="273" spans="1:48">
      <c r="A273">
        <v>272</v>
      </c>
      <c r="B273" s="15">
        <v>0</v>
      </c>
      <c r="C273">
        <v>27.259999999999607</v>
      </c>
      <c r="D273">
        <v>15.699999999999775</v>
      </c>
      <c r="E273">
        <v>2.6160052618647942</v>
      </c>
      <c r="F273">
        <v>0</v>
      </c>
      <c r="G273">
        <v>0</v>
      </c>
      <c r="H273">
        <v>0.10000000149011612</v>
      </c>
      <c r="I273">
        <v>0</v>
      </c>
      <c r="J273" s="15">
        <v>0</v>
      </c>
      <c r="K273" s="15">
        <v>0</v>
      </c>
      <c r="L273" s="15">
        <v>0</v>
      </c>
      <c r="M273">
        <v>0</v>
      </c>
      <c r="N273">
        <v>0</v>
      </c>
      <c r="O273" s="15">
        <v>0</v>
      </c>
      <c r="P273" s="15">
        <v>3.1392059102226439</v>
      </c>
      <c r="Q273" s="15">
        <v>3.1392059102226439</v>
      </c>
      <c r="R273">
        <v>0</v>
      </c>
      <c r="S273">
        <v>0</v>
      </c>
      <c r="T273" s="15">
        <v>0.11714134746310634</v>
      </c>
      <c r="U273">
        <v>21.851727169772126</v>
      </c>
      <c r="V273">
        <v>0</v>
      </c>
      <c r="W273">
        <v>0</v>
      </c>
      <c r="X273">
        <v>0</v>
      </c>
      <c r="Y273">
        <v>0</v>
      </c>
      <c r="Z273">
        <v>1</v>
      </c>
      <c r="AA273">
        <v>0.9</v>
      </c>
      <c r="AB273">
        <v>1.1000000000000001</v>
      </c>
      <c r="AC273">
        <v>0</v>
      </c>
      <c r="AD273">
        <v>0.40622025538697515</v>
      </c>
      <c r="AE273">
        <v>246.46989770132984</v>
      </c>
      <c r="AF273">
        <v>246.75897660925378</v>
      </c>
      <c r="AG273">
        <v>245.59099986575546</v>
      </c>
      <c r="AH273">
        <v>183.81499990411103</v>
      </c>
      <c r="AI273">
        <v>2.1</v>
      </c>
      <c r="AJ273">
        <v>0</v>
      </c>
      <c r="AK273">
        <v>0</v>
      </c>
      <c r="AL273">
        <v>1</v>
      </c>
      <c r="AM273">
        <v>1</v>
      </c>
      <c r="AN273">
        <v>0</v>
      </c>
      <c r="AO273">
        <v>1</v>
      </c>
      <c r="AP273">
        <v>0</v>
      </c>
      <c r="AQ273">
        <v>0</v>
      </c>
      <c r="AR273">
        <v>69.3</v>
      </c>
      <c r="AS273">
        <v>115.2</v>
      </c>
      <c r="AT273">
        <v>231.3</v>
      </c>
      <c r="AU273">
        <v>426.59999999999997</v>
      </c>
      <c r="AV273">
        <v>0</v>
      </c>
    </row>
    <row r="274" spans="1:48">
      <c r="A274">
        <v>273</v>
      </c>
      <c r="B274">
        <v>0</v>
      </c>
      <c r="C274">
        <v>24.319999999999645</v>
      </c>
      <c r="D274">
        <v>14.199999999999793</v>
      </c>
      <c r="E274">
        <v>2.3713397527819033</v>
      </c>
      <c r="F274">
        <v>0</v>
      </c>
      <c r="G274">
        <v>0</v>
      </c>
      <c r="H274">
        <v>0.10000000149011612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 s="15">
        <v>2.8456073934472328</v>
      </c>
      <c r="Q274" s="15">
        <v>2.8456073934472328</v>
      </c>
      <c r="R274">
        <v>0</v>
      </c>
      <c r="S274">
        <v>0</v>
      </c>
      <c r="T274" s="15">
        <v>2.0276997226560366E-2</v>
      </c>
      <c r="U274">
        <v>18.985842779098345</v>
      </c>
      <c r="V274">
        <v>0</v>
      </c>
      <c r="W274">
        <v>0</v>
      </c>
      <c r="X274">
        <v>0</v>
      </c>
      <c r="Y274">
        <v>0</v>
      </c>
      <c r="Z274">
        <v>1</v>
      </c>
      <c r="AA274">
        <v>0.9</v>
      </c>
      <c r="AB274">
        <v>1.1000000000000001</v>
      </c>
      <c r="AC274">
        <v>0</v>
      </c>
      <c r="AD274">
        <v>0.39859819464961588</v>
      </c>
      <c r="AE274">
        <v>246.09157650390677</v>
      </c>
      <c r="AF274">
        <v>246.46989770132984</v>
      </c>
      <c r="AG274">
        <v>245.59099986575546</v>
      </c>
      <c r="AH274">
        <v>183.81499990411103</v>
      </c>
      <c r="AI274">
        <v>2.1</v>
      </c>
      <c r="AJ274">
        <v>0</v>
      </c>
      <c r="AK274">
        <v>0</v>
      </c>
      <c r="AL274">
        <v>1</v>
      </c>
      <c r="AM274">
        <v>1</v>
      </c>
      <c r="AN274">
        <v>0</v>
      </c>
      <c r="AO274">
        <v>1</v>
      </c>
      <c r="AP274">
        <v>0</v>
      </c>
      <c r="AQ274">
        <v>0</v>
      </c>
      <c r="AR274">
        <v>69.3</v>
      </c>
      <c r="AS274">
        <v>115.2</v>
      </c>
      <c r="AT274">
        <v>231.3</v>
      </c>
      <c r="AU274">
        <v>426.59999999999997</v>
      </c>
      <c r="AV274">
        <v>0</v>
      </c>
    </row>
    <row r="275" spans="1:48">
      <c r="A275">
        <v>274</v>
      </c>
      <c r="B275">
        <v>0</v>
      </c>
      <c r="C275">
        <v>23.619999999999653</v>
      </c>
      <c r="D275">
        <v>13.159999999999833</v>
      </c>
      <c r="E275">
        <v>2.4427177127189794</v>
      </c>
      <c r="F275">
        <v>0</v>
      </c>
      <c r="G275">
        <v>0</v>
      </c>
      <c r="H275">
        <v>0.10000000149011612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 s="15">
        <v>2.9312609872436792</v>
      </c>
      <c r="Q275" s="15">
        <v>2.9311029553846546</v>
      </c>
      <c r="R275">
        <v>0</v>
      </c>
      <c r="S275">
        <v>0</v>
      </c>
      <c r="T275" s="15">
        <v>2.8275617819059247E-3</v>
      </c>
      <c r="U275">
        <v>16.051912261931779</v>
      </c>
      <c r="V275">
        <v>0</v>
      </c>
      <c r="W275">
        <v>0</v>
      </c>
      <c r="X275">
        <v>0</v>
      </c>
      <c r="Y275">
        <v>0</v>
      </c>
      <c r="Z275">
        <v>1</v>
      </c>
      <c r="AA275">
        <v>0.9</v>
      </c>
      <c r="AB275">
        <v>1.1000000000000001</v>
      </c>
      <c r="AC275">
        <v>0</v>
      </c>
      <c r="AD275">
        <v>0.39033978988639662</v>
      </c>
      <c r="AE275">
        <v>245.7040642758023</v>
      </c>
      <c r="AF275">
        <v>246.09157650390677</v>
      </c>
      <c r="AG275">
        <v>245.59099986575546</v>
      </c>
      <c r="AH275">
        <v>183.81499990411103</v>
      </c>
      <c r="AI275">
        <v>2.1</v>
      </c>
      <c r="AJ275">
        <v>0</v>
      </c>
      <c r="AK275">
        <v>0</v>
      </c>
      <c r="AL275">
        <v>1</v>
      </c>
      <c r="AM275">
        <v>1</v>
      </c>
      <c r="AN275">
        <v>0</v>
      </c>
      <c r="AO275">
        <v>1</v>
      </c>
      <c r="AP275">
        <v>0</v>
      </c>
      <c r="AQ275">
        <v>0</v>
      </c>
      <c r="AR275">
        <v>69.3</v>
      </c>
      <c r="AS275">
        <v>115.2</v>
      </c>
      <c r="AT275">
        <v>231.3</v>
      </c>
      <c r="AU275">
        <v>426.59999999999997</v>
      </c>
      <c r="AV275">
        <v>0</v>
      </c>
    </row>
    <row r="276" spans="1:48">
      <c r="A276">
        <v>275</v>
      </c>
      <c r="B276">
        <v>0</v>
      </c>
      <c r="C276">
        <v>23.45999999999966</v>
      </c>
      <c r="D276">
        <v>15.359999999999793</v>
      </c>
      <c r="E276">
        <v>2.3521358664450509</v>
      </c>
      <c r="F276">
        <v>0</v>
      </c>
      <c r="G276">
        <v>0</v>
      </c>
      <c r="H276">
        <v>0.10000000149011612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 s="15">
        <v>2.8225628250681924</v>
      </c>
      <c r="Q276" s="15">
        <v>2.467523552173152</v>
      </c>
      <c r="R276">
        <v>0</v>
      </c>
      <c r="S276">
        <v>0</v>
      </c>
      <c r="T276" s="15">
        <v>2.2793838666088523E-4</v>
      </c>
      <c r="U276">
        <v>13.58416077137197</v>
      </c>
      <c r="V276">
        <v>0</v>
      </c>
      <c r="W276">
        <v>0</v>
      </c>
      <c r="X276">
        <v>0</v>
      </c>
      <c r="Y276">
        <v>0</v>
      </c>
      <c r="Z276">
        <v>1</v>
      </c>
      <c r="AA276">
        <v>0.9</v>
      </c>
      <c r="AB276">
        <v>1.1000000000000001</v>
      </c>
      <c r="AC276">
        <v>0</v>
      </c>
      <c r="AD276">
        <v>0.38224737476319454</v>
      </c>
      <c r="AE276">
        <v>245.32204483942576</v>
      </c>
      <c r="AF276">
        <v>245.70406427580227</v>
      </c>
      <c r="AG276">
        <v>245.59099986575546</v>
      </c>
      <c r="AH276">
        <v>183.81499990411103</v>
      </c>
      <c r="AI276">
        <v>2.1</v>
      </c>
      <c r="AJ276">
        <v>0</v>
      </c>
      <c r="AK276">
        <v>0</v>
      </c>
      <c r="AL276">
        <v>1</v>
      </c>
      <c r="AM276">
        <v>1</v>
      </c>
      <c r="AN276">
        <v>0</v>
      </c>
      <c r="AO276">
        <v>1</v>
      </c>
      <c r="AP276">
        <v>0</v>
      </c>
      <c r="AQ276">
        <v>0</v>
      </c>
      <c r="AR276">
        <v>69.3</v>
      </c>
      <c r="AS276">
        <v>115.2</v>
      </c>
      <c r="AT276">
        <v>231.3</v>
      </c>
      <c r="AU276">
        <v>426.59999999999997</v>
      </c>
      <c r="AV276">
        <v>30</v>
      </c>
    </row>
    <row r="277" spans="1:48">
      <c r="A277">
        <v>276</v>
      </c>
      <c r="B277">
        <v>2.6799999999999375</v>
      </c>
      <c r="C277">
        <v>18.619999999999738</v>
      </c>
      <c r="D277">
        <v>15.919999999999773</v>
      </c>
      <c r="E277">
        <v>1.0205312024564035</v>
      </c>
      <c r="F277">
        <v>0</v>
      </c>
      <c r="G277">
        <v>0</v>
      </c>
      <c r="H277">
        <v>0.10000000149011612</v>
      </c>
      <c r="I277">
        <v>0</v>
      </c>
      <c r="J277">
        <v>2.6799999999999375</v>
      </c>
      <c r="K277">
        <v>2.6799999999999375</v>
      </c>
      <c r="L277">
        <v>2.6799999999999375</v>
      </c>
      <c r="M277">
        <v>0</v>
      </c>
      <c r="N277">
        <v>0</v>
      </c>
      <c r="O277">
        <v>2.6800000798701613</v>
      </c>
      <c r="P277" s="15">
        <v>1.2246373663658743</v>
      </c>
      <c r="Q277" s="15">
        <v>1.0295053373119767</v>
      </c>
      <c r="R277">
        <v>0</v>
      </c>
      <c r="S277">
        <v>0</v>
      </c>
      <c r="T277" s="15">
        <v>9.1087333115115791E-5</v>
      </c>
      <c r="U277">
        <v>15.234564426597046</v>
      </c>
      <c r="V277">
        <v>0</v>
      </c>
      <c r="W277">
        <v>0</v>
      </c>
      <c r="X277">
        <v>0</v>
      </c>
      <c r="Y277">
        <v>0</v>
      </c>
      <c r="Z277">
        <v>1</v>
      </c>
      <c r="AA277">
        <v>0.9</v>
      </c>
      <c r="AB277">
        <v>1.1000000000000001</v>
      </c>
      <c r="AC277">
        <v>0</v>
      </c>
      <c r="AD277">
        <v>0.37444956341957192</v>
      </c>
      <c r="AE277">
        <v>244.94768636333924</v>
      </c>
      <c r="AF277">
        <v>245.32204483942576</v>
      </c>
      <c r="AG277">
        <v>245.59099986575546</v>
      </c>
      <c r="AH277">
        <v>183.81499990411103</v>
      </c>
      <c r="AI277">
        <v>2.1</v>
      </c>
      <c r="AJ277">
        <v>0</v>
      </c>
      <c r="AK277">
        <v>0</v>
      </c>
      <c r="AL277">
        <v>1</v>
      </c>
      <c r="AM277">
        <v>1</v>
      </c>
      <c r="AN277">
        <v>0</v>
      </c>
      <c r="AO277">
        <v>1</v>
      </c>
      <c r="AP277">
        <v>0</v>
      </c>
      <c r="AQ277">
        <v>0</v>
      </c>
      <c r="AR277">
        <v>69.3</v>
      </c>
      <c r="AS277">
        <v>115.2</v>
      </c>
      <c r="AT277">
        <v>231.3</v>
      </c>
      <c r="AU277">
        <v>426.59999999999997</v>
      </c>
      <c r="AV277">
        <v>30</v>
      </c>
    </row>
    <row r="278" spans="1:48">
      <c r="A278">
        <v>277</v>
      </c>
      <c r="B278">
        <v>44.599999999999369</v>
      </c>
      <c r="C278">
        <v>19.959999999999702</v>
      </c>
      <c r="D278">
        <v>17.119999999999752</v>
      </c>
      <c r="E278">
        <v>0.86569674503845206</v>
      </c>
      <c r="F278">
        <v>0</v>
      </c>
      <c r="G278">
        <v>0</v>
      </c>
      <c r="H278">
        <v>0.1510145019699278</v>
      </c>
      <c r="I278">
        <v>0</v>
      </c>
      <c r="J278">
        <v>44.599999999999369</v>
      </c>
      <c r="K278">
        <v>44.599999999999369</v>
      </c>
      <c r="L278">
        <v>25.239434399851636</v>
      </c>
      <c r="M278">
        <v>0</v>
      </c>
      <c r="N278">
        <v>19.360565600147734</v>
      </c>
      <c r="O278">
        <v>25.239435152045409</v>
      </c>
      <c r="P278" s="15">
        <v>1.0388360414041888</v>
      </c>
      <c r="Q278" s="15">
        <v>1.038836018700837</v>
      </c>
      <c r="R278">
        <v>0</v>
      </c>
      <c r="S278">
        <v>0</v>
      </c>
      <c r="T278">
        <v>3.0636509959914555</v>
      </c>
      <c r="U278">
        <v>36.371512563950148</v>
      </c>
      <c r="V278">
        <v>0</v>
      </c>
      <c r="W278">
        <v>0</v>
      </c>
      <c r="X278">
        <v>0</v>
      </c>
      <c r="Y278">
        <v>0</v>
      </c>
      <c r="Z278">
        <v>1</v>
      </c>
      <c r="AA278">
        <v>0.9</v>
      </c>
      <c r="AB278">
        <v>1.1000000000000001</v>
      </c>
      <c r="AC278">
        <v>0</v>
      </c>
      <c r="AD278">
        <v>0.3759501185674371</v>
      </c>
      <c r="AE278">
        <v>247.63538724076327</v>
      </c>
      <c r="AF278">
        <v>244.94768636333924</v>
      </c>
      <c r="AG278">
        <v>240.99510351752923</v>
      </c>
      <c r="AH278">
        <v>180.53221679823514</v>
      </c>
      <c r="AI278">
        <v>2.1</v>
      </c>
      <c r="AJ278">
        <v>0</v>
      </c>
      <c r="AK278">
        <v>0</v>
      </c>
      <c r="AL278">
        <v>1</v>
      </c>
      <c r="AM278">
        <v>1</v>
      </c>
      <c r="AN278">
        <v>0</v>
      </c>
      <c r="AO278">
        <v>1</v>
      </c>
      <c r="AP278">
        <v>0</v>
      </c>
      <c r="AQ278">
        <v>0</v>
      </c>
      <c r="AR278">
        <v>69.3</v>
      </c>
      <c r="AS278">
        <v>115.2</v>
      </c>
      <c r="AT278">
        <v>231.3</v>
      </c>
      <c r="AU278">
        <v>426.59999999999997</v>
      </c>
      <c r="AV278">
        <v>30</v>
      </c>
    </row>
    <row r="279" spans="1:48">
      <c r="A279">
        <v>278</v>
      </c>
      <c r="B279">
        <v>2.0399999999999268</v>
      </c>
      <c r="C279">
        <v>19.959999999999702</v>
      </c>
      <c r="D279">
        <v>15.679999999999783</v>
      </c>
      <c r="E279">
        <v>1.3733951684428034</v>
      </c>
      <c r="F279">
        <v>0</v>
      </c>
      <c r="G279">
        <v>0</v>
      </c>
      <c r="H279">
        <v>0.15844655480227587</v>
      </c>
      <c r="I279">
        <v>0</v>
      </c>
      <c r="J279">
        <v>2.0399999999999268</v>
      </c>
      <c r="K279">
        <v>2.0399999999999268</v>
      </c>
      <c r="L279">
        <v>2.0399999999999268</v>
      </c>
      <c r="M279">
        <v>0</v>
      </c>
      <c r="N279">
        <v>0</v>
      </c>
      <c r="O279">
        <v>2.0400000607966642</v>
      </c>
      <c r="P279" s="15">
        <v>1.6480741357324709</v>
      </c>
      <c r="Q279" s="15">
        <v>1.6480741357324709</v>
      </c>
      <c r="R279">
        <v>0</v>
      </c>
      <c r="S279">
        <v>0</v>
      </c>
      <c r="T279">
        <v>5.7553337228927344</v>
      </c>
      <c r="U279">
        <v>31.008104766121605</v>
      </c>
      <c r="V279">
        <v>0</v>
      </c>
      <c r="W279">
        <v>0</v>
      </c>
      <c r="X279">
        <v>0</v>
      </c>
      <c r="Y279">
        <v>0</v>
      </c>
      <c r="Z279">
        <v>1</v>
      </c>
      <c r="AA279">
        <v>0.9</v>
      </c>
      <c r="AB279">
        <v>1.1000000000000001</v>
      </c>
      <c r="AC279">
        <v>0</v>
      </c>
      <c r="AD279">
        <v>0.51830758943427935</v>
      </c>
      <c r="AE279">
        <v>252.87241337422179</v>
      </c>
      <c r="AF279">
        <v>247.63538724076327</v>
      </c>
      <c r="AG279">
        <v>240.32554987786298</v>
      </c>
      <c r="AH279">
        <v>180.05396419847355</v>
      </c>
      <c r="AI279">
        <v>2.1</v>
      </c>
      <c r="AJ279">
        <v>0</v>
      </c>
      <c r="AK279">
        <v>0</v>
      </c>
      <c r="AL279">
        <v>1</v>
      </c>
      <c r="AM279">
        <v>1</v>
      </c>
      <c r="AN279">
        <v>0</v>
      </c>
      <c r="AO279">
        <v>1</v>
      </c>
      <c r="AP279">
        <v>0</v>
      </c>
      <c r="AQ279">
        <v>0</v>
      </c>
      <c r="AR279">
        <v>69.3</v>
      </c>
      <c r="AS279">
        <v>115.2</v>
      </c>
      <c r="AT279">
        <v>231.3</v>
      </c>
      <c r="AU279">
        <v>426.59999999999997</v>
      </c>
      <c r="AV279">
        <v>30</v>
      </c>
    </row>
    <row r="280" spans="1:48">
      <c r="A280">
        <v>279</v>
      </c>
      <c r="B280">
        <v>14.759999999999616</v>
      </c>
      <c r="C280">
        <v>16.359999999999779</v>
      </c>
      <c r="D280">
        <v>9.8799999999998604</v>
      </c>
      <c r="E280">
        <v>1.3118488938401367</v>
      </c>
      <c r="F280">
        <v>0</v>
      </c>
      <c r="G280">
        <v>0</v>
      </c>
      <c r="H280">
        <v>0.1340770315738459</v>
      </c>
      <c r="I280">
        <v>0</v>
      </c>
      <c r="J280">
        <v>14.759999999999616</v>
      </c>
      <c r="K280">
        <v>14.759999999999616</v>
      </c>
      <c r="L280">
        <v>9.484680003927588</v>
      </c>
      <c r="M280">
        <v>0</v>
      </c>
      <c r="N280">
        <v>5.2753199960720281</v>
      </c>
      <c r="O280">
        <v>9.4846802865930844</v>
      </c>
      <c r="P280" s="15">
        <v>1.5742186234728288</v>
      </c>
      <c r="Q280" s="15">
        <v>1.5742186234728288</v>
      </c>
      <c r="R280">
        <v>0</v>
      </c>
      <c r="S280">
        <v>0</v>
      </c>
      <c r="T280">
        <v>5.0407229011408035</v>
      </c>
      <c r="U280">
        <v>33.877843528101032</v>
      </c>
      <c r="V280">
        <v>0</v>
      </c>
      <c r="W280">
        <v>0</v>
      </c>
      <c r="X280">
        <v>0</v>
      </c>
      <c r="Y280">
        <v>0</v>
      </c>
      <c r="Z280">
        <v>1</v>
      </c>
      <c r="AA280">
        <v>0.9</v>
      </c>
      <c r="AB280">
        <v>1.1000000000000001</v>
      </c>
      <c r="AC280">
        <v>0</v>
      </c>
      <c r="AD280">
        <v>0.62505782848941926</v>
      </c>
      <c r="AE280">
        <v>257.28807844687316</v>
      </c>
      <c r="AF280">
        <v>252.87241337422179</v>
      </c>
      <c r="AG280">
        <v>242.52100022551224</v>
      </c>
      <c r="AH280">
        <v>181.62214301822303</v>
      </c>
      <c r="AI280">
        <v>2.1</v>
      </c>
      <c r="AJ280">
        <v>0</v>
      </c>
      <c r="AK280">
        <v>0</v>
      </c>
      <c r="AL280">
        <v>1</v>
      </c>
      <c r="AM280">
        <v>1</v>
      </c>
      <c r="AN280">
        <v>0</v>
      </c>
      <c r="AO280">
        <v>1</v>
      </c>
      <c r="AP280">
        <v>0</v>
      </c>
      <c r="AQ280">
        <v>0</v>
      </c>
      <c r="AR280">
        <v>69.3</v>
      </c>
      <c r="AS280">
        <v>115.2</v>
      </c>
      <c r="AT280">
        <v>231.3</v>
      </c>
      <c r="AU280">
        <v>426.59999999999997</v>
      </c>
      <c r="AV280">
        <v>30</v>
      </c>
    </row>
    <row r="281" spans="1:48">
      <c r="A281">
        <v>280</v>
      </c>
      <c r="B281" s="15">
        <v>3.9999999999997732E-2</v>
      </c>
      <c r="C281">
        <v>21.519999999999705</v>
      </c>
      <c r="D281">
        <v>7.8799999999998844</v>
      </c>
      <c r="E281">
        <v>1.672178517425005</v>
      </c>
      <c r="F281">
        <v>0</v>
      </c>
      <c r="G281">
        <v>0</v>
      </c>
      <c r="H281">
        <v>0.1370312519981996</v>
      </c>
      <c r="I281">
        <v>0</v>
      </c>
      <c r="J281" s="15">
        <v>3.9999999999997732E-2</v>
      </c>
      <c r="K281" s="15">
        <v>3.9999999999997732E-2</v>
      </c>
      <c r="L281" s="15">
        <v>3.9999999999997732E-2</v>
      </c>
      <c r="M281">
        <v>0</v>
      </c>
      <c r="N281">
        <v>0</v>
      </c>
      <c r="O281" s="15">
        <v>4.0000001192090635E-2</v>
      </c>
      <c r="P281" s="15">
        <v>2.0066141741651409</v>
      </c>
      <c r="Q281" s="15">
        <v>2.0066141741651409</v>
      </c>
      <c r="R281">
        <v>0</v>
      </c>
      <c r="S281">
        <v>0</v>
      </c>
      <c r="T281">
        <v>2.9962562023999761</v>
      </c>
      <c r="U281">
        <v>28.914973152728017</v>
      </c>
      <c r="V281">
        <v>0</v>
      </c>
      <c r="W281">
        <v>0</v>
      </c>
      <c r="X281">
        <v>0</v>
      </c>
      <c r="Y281">
        <v>0</v>
      </c>
      <c r="Z281">
        <v>1</v>
      </c>
      <c r="AA281">
        <v>0.9</v>
      </c>
      <c r="AB281">
        <v>1.1000000000000001</v>
      </c>
      <c r="AC281">
        <v>0</v>
      </c>
      <c r="AD281">
        <v>0.77109209837756654</v>
      </c>
      <c r="AE281">
        <v>259.51324255089548</v>
      </c>
      <c r="AF281">
        <v>257.2880784468731</v>
      </c>
      <c r="AG281">
        <v>242.25485450748221</v>
      </c>
      <c r="AH281">
        <v>181.43203893391586</v>
      </c>
      <c r="AI281">
        <v>2.1</v>
      </c>
      <c r="AJ281">
        <v>0</v>
      </c>
      <c r="AK281">
        <v>0</v>
      </c>
      <c r="AL281">
        <v>1</v>
      </c>
      <c r="AM281">
        <v>1</v>
      </c>
      <c r="AN281">
        <v>0</v>
      </c>
      <c r="AO281">
        <v>1</v>
      </c>
      <c r="AP281">
        <v>0</v>
      </c>
      <c r="AQ281">
        <v>0</v>
      </c>
      <c r="AR281">
        <v>69.3</v>
      </c>
      <c r="AS281">
        <v>115.2</v>
      </c>
      <c r="AT281">
        <v>231.3</v>
      </c>
      <c r="AU281">
        <v>426.59999999999997</v>
      </c>
      <c r="AV281">
        <v>30</v>
      </c>
    </row>
    <row r="282" spans="1:48">
      <c r="A282">
        <v>281</v>
      </c>
      <c r="B282" s="15">
        <v>0</v>
      </c>
      <c r="C282">
        <v>21.35999999999969</v>
      </c>
      <c r="D282">
        <v>11.319999999999833</v>
      </c>
      <c r="E282">
        <v>1.6398916237222796</v>
      </c>
      <c r="F282">
        <v>0</v>
      </c>
      <c r="G282">
        <v>0</v>
      </c>
      <c r="H282">
        <v>0.11973543035709888</v>
      </c>
      <c r="I282">
        <v>0</v>
      </c>
      <c r="J282" s="15">
        <v>0</v>
      </c>
      <c r="K282" s="15">
        <v>0</v>
      </c>
      <c r="L282" s="15">
        <v>0</v>
      </c>
      <c r="M282">
        <v>0</v>
      </c>
      <c r="N282">
        <v>0</v>
      </c>
      <c r="O282" s="15">
        <v>0</v>
      </c>
      <c r="P282" s="15">
        <v>1.9678699161885558</v>
      </c>
      <c r="Q282" s="15">
        <v>1.9678699161885558</v>
      </c>
      <c r="R282">
        <v>0</v>
      </c>
      <c r="S282">
        <v>0</v>
      </c>
      <c r="T282">
        <v>0.70718967986057091</v>
      </c>
      <c r="U282">
        <v>26.239913556678889</v>
      </c>
      <c r="V282">
        <v>0</v>
      </c>
      <c r="W282">
        <v>0</v>
      </c>
      <c r="X282">
        <v>0</v>
      </c>
      <c r="Y282">
        <v>0</v>
      </c>
      <c r="Z282">
        <v>1</v>
      </c>
      <c r="AA282">
        <v>0.9</v>
      </c>
      <c r="AB282">
        <v>1.1000000000000001</v>
      </c>
      <c r="AC282">
        <v>0</v>
      </c>
      <c r="AD282">
        <v>0.79723193606721332</v>
      </c>
      <c r="AE282">
        <v>259.4232002946888</v>
      </c>
      <c r="AF282">
        <v>259.51324255089554</v>
      </c>
      <c r="AG282">
        <v>243.81303507912895</v>
      </c>
      <c r="AH282">
        <v>182.5450250565207</v>
      </c>
      <c r="AI282">
        <v>2.1</v>
      </c>
      <c r="AJ282">
        <v>0</v>
      </c>
      <c r="AK282">
        <v>0</v>
      </c>
      <c r="AL282">
        <v>1</v>
      </c>
      <c r="AM282">
        <v>1</v>
      </c>
      <c r="AN282">
        <v>0</v>
      </c>
      <c r="AO282">
        <v>1</v>
      </c>
      <c r="AP282">
        <v>0</v>
      </c>
      <c r="AQ282">
        <v>0</v>
      </c>
      <c r="AR282">
        <v>69.3</v>
      </c>
      <c r="AS282">
        <v>115.2</v>
      </c>
      <c r="AT282">
        <v>231.3</v>
      </c>
      <c r="AU282">
        <v>426.59999999999997</v>
      </c>
      <c r="AV282">
        <v>30</v>
      </c>
    </row>
    <row r="283" spans="1:48">
      <c r="A283">
        <v>282</v>
      </c>
      <c r="B283">
        <v>0</v>
      </c>
      <c r="C283">
        <v>18.879999999999722</v>
      </c>
      <c r="D283">
        <v>10.919999999999831</v>
      </c>
      <c r="E283">
        <v>1.7553370398505515</v>
      </c>
      <c r="F283">
        <v>0</v>
      </c>
      <c r="G283">
        <v>0</v>
      </c>
      <c r="H283">
        <v>0.12128520064152223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 s="15">
        <v>2.1064044258863621</v>
      </c>
      <c r="Q283" s="15">
        <v>2.1064044258863621</v>
      </c>
      <c r="R283">
        <v>0</v>
      </c>
      <c r="S283">
        <v>0</v>
      </c>
      <c r="T283">
        <v>0.23104244672650096</v>
      </c>
      <c r="U283">
        <v>23.902466684066031</v>
      </c>
      <c r="V283">
        <v>0</v>
      </c>
      <c r="W283">
        <v>0</v>
      </c>
      <c r="X283">
        <v>0</v>
      </c>
      <c r="Y283">
        <v>0</v>
      </c>
      <c r="Z283">
        <v>1</v>
      </c>
      <c r="AA283">
        <v>0.9</v>
      </c>
      <c r="AB283">
        <v>1.1000000000000001</v>
      </c>
      <c r="AC283">
        <v>0</v>
      </c>
      <c r="AD283">
        <v>0.78233574981501752</v>
      </c>
      <c r="AE283">
        <v>258.87190699160027</v>
      </c>
      <c r="AF283">
        <v>259.4232002946888</v>
      </c>
      <c r="AG283">
        <v>243.67341627420527</v>
      </c>
      <c r="AH283">
        <v>182.44529733871804</v>
      </c>
      <c r="AI283">
        <v>2.1</v>
      </c>
      <c r="AJ283">
        <v>0</v>
      </c>
      <c r="AK283">
        <v>0</v>
      </c>
      <c r="AL283">
        <v>1</v>
      </c>
      <c r="AM283">
        <v>1</v>
      </c>
      <c r="AN283">
        <v>0</v>
      </c>
      <c r="AO283">
        <v>1</v>
      </c>
      <c r="AP283">
        <v>0</v>
      </c>
      <c r="AQ283">
        <v>0</v>
      </c>
      <c r="AR283">
        <v>69.3</v>
      </c>
      <c r="AS283">
        <v>115.2</v>
      </c>
      <c r="AT283">
        <v>231.3</v>
      </c>
      <c r="AU283">
        <v>426.59999999999997</v>
      </c>
      <c r="AV283">
        <v>30</v>
      </c>
    </row>
    <row r="284" spans="1:48">
      <c r="A284">
        <v>283</v>
      </c>
      <c r="B284">
        <v>0</v>
      </c>
      <c r="C284">
        <v>18.31999999999973</v>
      </c>
      <c r="D284">
        <v>7.9399999999998894</v>
      </c>
      <c r="E284">
        <v>1.638273530805533</v>
      </c>
      <c r="F284">
        <v>0</v>
      </c>
      <c r="G284">
        <v>0</v>
      </c>
      <c r="H284">
        <v>0.11574382037746947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 s="15">
        <v>1.9659282267070894</v>
      </c>
      <c r="Q284" s="15">
        <v>1.9659282267070894</v>
      </c>
      <c r="R284">
        <v>0</v>
      </c>
      <c r="S284">
        <v>0</v>
      </c>
      <c r="T284" s="15">
        <v>7.4667897075451364E-2</v>
      </c>
      <c r="U284">
        <v>21.861870560283489</v>
      </c>
      <c r="V284">
        <v>0</v>
      </c>
      <c r="W284">
        <v>0</v>
      </c>
      <c r="X284">
        <v>0</v>
      </c>
      <c r="Y284">
        <v>0</v>
      </c>
      <c r="Z284">
        <v>1</v>
      </c>
      <c r="AA284">
        <v>0.9</v>
      </c>
      <c r="AB284">
        <v>1.1000000000000001</v>
      </c>
      <c r="AC284">
        <v>0</v>
      </c>
      <c r="AD284">
        <v>0.75758527947439402</v>
      </c>
      <c r="AE284">
        <v>258.18898960920126</v>
      </c>
      <c r="AF284">
        <v>258.87190699160021</v>
      </c>
      <c r="AG284">
        <v>244.17263922219379</v>
      </c>
      <c r="AH284">
        <v>182.80188515870987</v>
      </c>
      <c r="AI284">
        <v>2.1</v>
      </c>
      <c r="AJ284">
        <v>0</v>
      </c>
      <c r="AK284">
        <v>0</v>
      </c>
      <c r="AL284">
        <v>1</v>
      </c>
      <c r="AM284">
        <v>1</v>
      </c>
      <c r="AN284">
        <v>0</v>
      </c>
      <c r="AO284">
        <v>1</v>
      </c>
      <c r="AP284">
        <v>0</v>
      </c>
      <c r="AQ284">
        <v>0</v>
      </c>
      <c r="AR284">
        <v>69.3</v>
      </c>
      <c r="AS284">
        <v>115.2</v>
      </c>
      <c r="AT284">
        <v>231.3</v>
      </c>
      <c r="AU284">
        <v>426.59999999999997</v>
      </c>
      <c r="AV284">
        <v>30</v>
      </c>
    </row>
    <row r="285" spans="1:48">
      <c r="A285">
        <v>284</v>
      </c>
      <c r="B285">
        <v>0</v>
      </c>
      <c r="C285">
        <v>20.499999999999709</v>
      </c>
      <c r="D285">
        <v>5.979999999999924</v>
      </c>
      <c r="E285">
        <v>1.6177079564786925</v>
      </c>
      <c r="F285">
        <v>0</v>
      </c>
      <c r="G285">
        <v>0</v>
      </c>
      <c r="H285">
        <v>0.12136286821904486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 s="15">
        <v>1.9412495463721349</v>
      </c>
      <c r="Q285" s="15">
        <v>1.9412495463721349</v>
      </c>
      <c r="R285">
        <v>0</v>
      </c>
      <c r="S285">
        <v>0</v>
      </c>
      <c r="T285" s="15">
        <v>2.3500487915324227E-2</v>
      </c>
      <c r="U285">
        <v>19.897120525996023</v>
      </c>
      <c r="V285">
        <v>0</v>
      </c>
      <c r="W285">
        <v>0</v>
      </c>
      <c r="X285">
        <v>0</v>
      </c>
      <c r="Y285">
        <v>0</v>
      </c>
      <c r="Z285">
        <v>1</v>
      </c>
      <c r="AA285">
        <v>0.9</v>
      </c>
      <c r="AB285">
        <v>1.1000000000000001</v>
      </c>
      <c r="AC285">
        <v>0</v>
      </c>
      <c r="AD285">
        <v>0.73109231870034297</v>
      </c>
      <c r="AE285">
        <v>257.48139777841629</v>
      </c>
      <c r="AF285">
        <v>258.18898960920126</v>
      </c>
      <c r="AG285">
        <v>243.66641920214624</v>
      </c>
      <c r="AH285">
        <v>182.44029943010446</v>
      </c>
      <c r="AI285">
        <v>2.1</v>
      </c>
      <c r="AJ285">
        <v>0</v>
      </c>
      <c r="AK285">
        <v>0</v>
      </c>
      <c r="AL285">
        <v>1</v>
      </c>
      <c r="AM285">
        <v>1</v>
      </c>
      <c r="AN285">
        <v>0</v>
      </c>
      <c r="AO285">
        <v>1</v>
      </c>
      <c r="AP285">
        <v>0</v>
      </c>
      <c r="AQ285">
        <v>0</v>
      </c>
      <c r="AR285">
        <v>69.3</v>
      </c>
      <c r="AS285">
        <v>115.2</v>
      </c>
      <c r="AT285">
        <v>231.3</v>
      </c>
      <c r="AU285">
        <v>426.59999999999997</v>
      </c>
      <c r="AV285">
        <v>30</v>
      </c>
    </row>
    <row r="286" spans="1:48">
      <c r="A286">
        <v>285</v>
      </c>
      <c r="B286">
        <v>0</v>
      </c>
      <c r="C286">
        <v>18.699999999999733</v>
      </c>
      <c r="D286">
        <v>8.1999999999998927</v>
      </c>
      <c r="E286">
        <v>1.5596876461080476</v>
      </c>
      <c r="F286">
        <v>0</v>
      </c>
      <c r="G286">
        <v>0</v>
      </c>
      <c r="H286">
        <v>0.12235001541037858</v>
      </c>
      <c r="I286">
        <v>0</v>
      </c>
      <c r="J286" s="15">
        <v>0</v>
      </c>
      <c r="K286">
        <v>0</v>
      </c>
      <c r="L286" s="15">
        <v>0</v>
      </c>
      <c r="M286">
        <v>0</v>
      </c>
      <c r="N286">
        <v>0</v>
      </c>
      <c r="O286">
        <v>0</v>
      </c>
      <c r="P286" s="15">
        <v>1.8716251812479439</v>
      </c>
      <c r="Q286" s="15">
        <v>1.8716251812479439</v>
      </c>
      <c r="R286">
        <v>0</v>
      </c>
      <c r="S286">
        <v>0</v>
      </c>
      <c r="T286" s="15">
        <v>6.5308285799573285E-3</v>
      </c>
      <c r="U286">
        <v>18.018964516168122</v>
      </c>
      <c r="V286">
        <v>0</v>
      </c>
      <c r="W286">
        <v>0</v>
      </c>
      <c r="X286">
        <v>0</v>
      </c>
      <c r="Y286">
        <v>0</v>
      </c>
      <c r="Z286">
        <v>1</v>
      </c>
      <c r="AA286">
        <v>0.9</v>
      </c>
      <c r="AB286">
        <v>1.1000000000000001</v>
      </c>
      <c r="AC286">
        <v>0</v>
      </c>
      <c r="AD286">
        <v>0.7052781646423445</v>
      </c>
      <c r="AE286">
        <v>256.78265044235405</v>
      </c>
      <c r="AF286">
        <v>257.48139777841635</v>
      </c>
      <c r="AG286">
        <v>243.57748711167901</v>
      </c>
      <c r="AH286">
        <v>182.37677650834218</v>
      </c>
      <c r="AI286">
        <v>2.1</v>
      </c>
      <c r="AJ286">
        <v>0</v>
      </c>
      <c r="AK286">
        <v>0</v>
      </c>
      <c r="AL286">
        <v>1</v>
      </c>
      <c r="AM286">
        <v>1</v>
      </c>
      <c r="AN286">
        <v>0</v>
      </c>
      <c r="AO286">
        <v>1</v>
      </c>
      <c r="AP286">
        <v>0</v>
      </c>
      <c r="AQ286">
        <v>0</v>
      </c>
      <c r="AR286">
        <v>69.3</v>
      </c>
      <c r="AS286">
        <v>115.2</v>
      </c>
      <c r="AT286">
        <v>231.3</v>
      </c>
      <c r="AU286">
        <v>426.59999999999997</v>
      </c>
      <c r="AV286">
        <v>30</v>
      </c>
    </row>
    <row r="287" spans="1:48">
      <c r="A287">
        <v>286</v>
      </c>
      <c r="B287" s="15">
        <v>0</v>
      </c>
      <c r="C287">
        <v>18.959999999999724</v>
      </c>
      <c r="D287">
        <v>7.2599999999999074</v>
      </c>
      <c r="E287">
        <v>1.6214527549929159</v>
      </c>
      <c r="F287">
        <v>0</v>
      </c>
      <c r="G287">
        <v>0</v>
      </c>
      <c r="H287">
        <v>0.12513498995309721</v>
      </c>
      <c r="I287">
        <v>0</v>
      </c>
      <c r="J287" s="15">
        <v>0</v>
      </c>
      <c r="K287" s="15">
        <v>0</v>
      </c>
      <c r="L287" s="15">
        <v>0</v>
      </c>
      <c r="M287">
        <v>0</v>
      </c>
      <c r="N287">
        <v>0</v>
      </c>
      <c r="O287" s="15">
        <v>0</v>
      </c>
      <c r="P287" s="15">
        <v>1.9457433186612814</v>
      </c>
      <c r="Q287" s="15">
        <v>1.9456808185071224</v>
      </c>
      <c r="R287">
        <v>0</v>
      </c>
      <c r="S287">
        <v>0</v>
      </c>
      <c r="T287" s="15">
        <v>1.5336083356018609E-3</v>
      </c>
      <c r="U287">
        <v>16.071750089325395</v>
      </c>
      <c r="V287">
        <v>0</v>
      </c>
      <c r="W287">
        <v>0</v>
      </c>
      <c r="X287">
        <v>0</v>
      </c>
      <c r="Y287">
        <v>0</v>
      </c>
      <c r="Z287">
        <v>1</v>
      </c>
      <c r="AA287">
        <v>0.9</v>
      </c>
      <c r="AB287">
        <v>1.1000000000000001</v>
      </c>
      <c r="AC287">
        <v>0</v>
      </c>
      <c r="AD287">
        <v>0.68082656315942969</v>
      </c>
      <c r="AE287">
        <v>256.10335748753022</v>
      </c>
      <c r="AF287">
        <v>256.78265044235405</v>
      </c>
      <c r="AG287">
        <v>243.3265887551255</v>
      </c>
      <c r="AH287">
        <v>182.19756339651821</v>
      </c>
      <c r="AI287">
        <v>2.1</v>
      </c>
      <c r="AJ287">
        <v>0</v>
      </c>
      <c r="AK287">
        <v>0</v>
      </c>
      <c r="AL287">
        <v>1</v>
      </c>
      <c r="AM287">
        <v>1</v>
      </c>
      <c r="AN287">
        <v>0</v>
      </c>
      <c r="AO287">
        <v>1</v>
      </c>
      <c r="AP287">
        <v>0</v>
      </c>
      <c r="AQ287">
        <v>0</v>
      </c>
      <c r="AR287">
        <v>69.3</v>
      </c>
      <c r="AS287">
        <v>115.2</v>
      </c>
      <c r="AT287">
        <v>231.3</v>
      </c>
      <c r="AU287">
        <v>426.59999999999997</v>
      </c>
      <c r="AV287">
        <v>30</v>
      </c>
    </row>
    <row r="288" spans="1:48">
      <c r="A288">
        <v>287</v>
      </c>
      <c r="B288">
        <v>0</v>
      </c>
      <c r="C288">
        <v>17.839999999999748</v>
      </c>
      <c r="D288">
        <v>6.7199999999999083</v>
      </c>
      <c r="E288">
        <v>1.5604602084882226</v>
      </c>
      <c r="F288">
        <v>0</v>
      </c>
      <c r="G288">
        <v>0</v>
      </c>
      <c r="H288">
        <v>0.12217026452283047</v>
      </c>
      <c r="I288">
        <v>0</v>
      </c>
      <c r="J288">
        <v>0</v>
      </c>
      <c r="K288">
        <v>0</v>
      </c>
      <c r="L288">
        <v>0</v>
      </c>
      <c r="M288">
        <v>0</v>
      </c>
      <c r="N288" s="15">
        <v>0</v>
      </c>
      <c r="O288">
        <v>0</v>
      </c>
      <c r="P288" s="15">
        <v>1.8725522677767141</v>
      </c>
      <c r="Q288" s="15">
        <v>1.7111533606231284</v>
      </c>
      <c r="R288">
        <v>0</v>
      </c>
      <c r="S288">
        <v>0</v>
      </c>
      <c r="T288" s="15">
        <v>2.6967600827683489E-4</v>
      </c>
      <c r="U288">
        <v>14.360327052693995</v>
      </c>
      <c r="V288">
        <v>0</v>
      </c>
      <c r="W288">
        <v>0</v>
      </c>
      <c r="X288">
        <v>0</v>
      </c>
      <c r="Y288">
        <v>0</v>
      </c>
      <c r="Z288">
        <v>1</v>
      </c>
      <c r="AA288">
        <v>0.9</v>
      </c>
      <c r="AB288">
        <v>1.1000000000000001</v>
      </c>
      <c r="AC288">
        <v>0</v>
      </c>
      <c r="AD288">
        <v>0.65784854982596874</v>
      </c>
      <c r="AE288">
        <v>255.44577861371258</v>
      </c>
      <c r="AF288">
        <v>256.10335748753022</v>
      </c>
      <c r="AG288">
        <v>243.59368086913821</v>
      </c>
      <c r="AH288">
        <v>182.38834347795586</v>
      </c>
      <c r="AI288">
        <v>2.1</v>
      </c>
      <c r="AJ288">
        <v>0</v>
      </c>
      <c r="AK288">
        <v>0</v>
      </c>
      <c r="AL288">
        <v>1</v>
      </c>
      <c r="AM288">
        <v>1</v>
      </c>
      <c r="AN288">
        <v>0</v>
      </c>
      <c r="AO288">
        <v>1</v>
      </c>
      <c r="AP288">
        <v>0</v>
      </c>
      <c r="AQ288">
        <v>0</v>
      </c>
      <c r="AR288">
        <v>69.3</v>
      </c>
      <c r="AS288">
        <v>115.2</v>
      </c>
      <c r="AT288">
        <v>231.3</v>
      </c>
      <c r="AU288">
        <v>426.59999999999997</v>
      </c>
      <c r="AV288">
        <v>30</v>
      </c>
    </row>
    <row r="289" spans="1:48">
      <c r="A289">
        <v>288</v>
      </c>
      <c r="B289">
        <v>0</v>
      </c>
      <c r="C289">
        <v>18.059999999999736</v>
      </c>
      <c r="D289">
        <v>5.2399999999999363</v>
      </c>
      <c r="E289">
        <v>1.3721520821718844</v>
      </c>
      <c r="F289">
        <v>0</v>
      </c>
      <c r="G289">
        <v>0</v>
      </c>
      <c r="H289">
        <v>0.12509790649277525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 s="15">
        <v>1.6465825181511378</v>
      </c>
      <c r="Q289" s="15">
        <v>1.2774649104031521</v>
      </c>
      <c r="R289">
        <v>0</v>
      </c>
      <c r="S289">
        <v>0</v>
      </c>
      <c r="T289" s="15">
        <v>4.5905910513970008E-5</v>
      </c>
      <c r="U289">
        <v>13.082816236380332</v>
      </c>
      <c r="V289">
        <v>0</v>
      </c>
      <c r="W289">
        <v>0</v>
      </c>
      <c r="X289">
        <v>0</v>
      </c>
      <c r="Y289">
        <v>0</v>
      </c>
      <c r="Z289">
        <v>1</v>
      </c>
      <c r="AA289">
        <v>0.9</v>
      </c>
      <c r="AB289">
        <v>1.1000000000000001</v>
      </c>
      <c r="AC289">
        <v>0</v>
      </c>
      <c r="AD289">
        <v>0.63627985901665352</v>
      </c>
      <c r="AE289">
        <v>254.80954466060649</v>
      </c>
      <c r="AF289">
        <v>255.4457786137126</v>
      </c>
      <c r="AG289">
        <v>243.32992960406591</v>
      </c>
      <c r="AH289">
        <v>182.19994971718992</v>
      </c>
      <c r="AI289">
        <v>2.1</v>
      </c>
      <c r="AJ289">
        <v>0</v>
      </c>
      <c r="AK289">
        <v>0</v>
      </c>
      <c r="AL289">
        <v>1</v>
      </c>
      <c r="AM289">
        <v>1</v>
      </c>
      <c r="AN289">
        <v>0</v>
      </c>
      <c r="AO289">
        <v>1</v>
      </c>
      <c r="AP289">
        <v>0</v>
      </c>
      <c r="AQ289">
        <v>0</v>
      </c>
      <c r="AR289">
        <v>69.3</v>
      </c>
      <c r="AS289">
        <v>115.2</v>
      </c>
      <c r="AT289">
        <v>231.3</v>
      </c>
      <c r="AU289">
        <v>426.59999999999997</v>
      </c>
      <c r="AV289">
        <v>30</v>
      </c>
    </row>
    <row r="290" spans="1:48">
      <c r="A290">
        <v>289</v>
      </c>
      <c r="B290">
        <v>7.9999999999999724E-2</v>
      </c>
      <c r="C290">
        <v>19.439999999999721</v>
      </c>
      <c r="D290">
        <v>5.5999999999999375</v>
      </c>
      <c r="E290">
        <v>1.3868122812200658</v>
      </c>
      <c r="F290">
        <v>0</v>
      </c>
      <c r="G290">
        <v>0</v>
      </c>
      <c r="H290">
        <v>0.13413669627576563</v>
      </c>
      <c r="I290">
        <v>0</v>
      </c>
      <c r="J290">
        <v>7.9999999999999724E-2</v>
      </c>
      <c r="K290">
        <v>7.9999999999999724E-2</v>
      </c>
      <c r="L290">
        <v>7.9999999999999724E-2</v>
      </c>
      <c r="M290">
        <v>0</v>
      </c>
      <c r="N290" s="15">
        <v>0</v>
      </c>
      <c r="O290">
        <v>8.000000238418549E-2</v>
      </c>
      <c r="P290" s="15">
        <v>1.6641747607501582</v>
      </c>
      <c r="Q290" s="15">
        <v>1.1130284333100391</v>
      </c>
      <c r="R290">
        <v>0</v>
      </c>
      <c r="S290">
        <v>0</v>
      </c>
      <c r="T290" s="15">
        <v>9.1950266218723558E-6</v>
      </c>
      <c r="U290">
        <v>12.049778610427856</v>
      </c>
      <c r="V290">
        <v>0</v>
      </c>
      <c r="W290">
        <v>0</v>
      </c>
      <c r="X290">
        <v>0</v>
      </c>
      <c r="Y290">
        <v>0</v>
      </c>
      <c r="Z290">
        <v>1</v>
      </c>
      <c r="AA290">
        <v>0.9</v>
      </c>
      <c r="AB290">
        <v>1.1000000000000001</v>
      </c>
      <c r="AC290">
        <v>0</v>
      </c>
      <c r="AD290">
        <v>0.61601087611989314</v>
      </c>
      <c r="AE290">
        <v>254.19354297951315</v>
      </c>
      <c r="AF290">
        <v>254.80954466060652</v>
      </c>
      <c r="AG290">
        <v>242.51562503251628</v>
      </c>
      <c r="AH290">
        <v>181.61830359465446</v>
      </c>
      <c r="AI290">
        <v>2.1</v>
      </c>
      <c r="AJ290">
        <v>0</v>
      </c>
      <c r="AK290">
        <v>0</v>
      </c>
      <c r="AL290">
        <v>1</v>
      </c>
      <c r="AM290">
        <v>1</v>
      </c>
      <c r="AN290">
        <v>0</v>
      </c>
      <c r="AO290">
        <v>1</v>
      </c>
      <c r="AP290">
        <v>0</v>
      </c>
      <c r="AQ290">
        <v>0</v>
      </c>
      <c r="AR290">
        <v>69.3</v>
      </c>
      <c r="AS290">
        <v>115.2</v>
      </c>
      <c r="AT290">
        <v>231.3</v>
      </c>
      <c r="AU290">
        <v>426.59999999999997</v>
      </c>
      <c r="AV290">
        <v>30</v>
      </c>
    </row>
    <row r="291" spans="1:48">
      <c r="A291">
        <v>290</v>
      </c>
      <c r="B291">
        <v>0</v>
      </c>
      <c r="C291">
        <v>20.079999999999711</v>
      </c>
      <c r="D291">
        <v>5.6799999999999251</v>
      </c>
      <c r="E291">
        <v>1.3581528043713897</v>
      </c>
      <c r="F291">
        <v>0</v>
      </c>
      <c r="G291">
        <v>0</v>
      </c>
      <c r="H291">
        <v>0.13343300658753351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 s="15">
        <v>1.6297833910106039</v>
      </c>
      <c r="Q291" s="15">
        <v>0.94105673682198165</v>
      </c>
      <c r="R291">
        <v>0</v>
      </c>
      <c r="S291">
        <v>0</v>
      </c>
      <c r="T291" s="15">
        <v>1.8308070084707999E-6</v>
      </c>
      <c r="U291">
        <v>11.108720042798863</v>
      </c>
      <c r="V291">
        <v>0</v>
      </c>
      <c r="W291">
        <v>0</v>
      </c>
      <c r="X291">
        <v>0</v>
      </c>
      <c r="Y291">
        <v>0</v>
      </c>
      <c r="Z291">
        <v>1</v>
      </c>
      <c r="AA291">
        <v>0.9</v>
      </c>
      <c r="AB291">
        <v>1.1000000000000001</v>
      </c>
      <c r="AC291">
        <v>0</v>
      </c>
      <c r="AD291">
        <v>0.59693169990252415</v>
      </c>
      <c r="AE291">
        <v>253.59661311041768</v>
      </c>
      <c r="AF291">
        <v>254.19354297951318</v>
      </c>
      <c r="AG291">
        <v>242.57902043652913</v>
      </c>
      <c r="AH291">
        <v>181.66358602609222</v>
      </c>
      <c r="AI291">
        <v>2.1</v>
      </c>
      <c r="AJ291">
        <v>0</v>
      </c>
      <c r="AK291">
        <v>0</v>
      </c>
      <c r="AL291">
        <v>1</v>
      </c>
      <c r="AM291">
        <v>1</v>
      </c>
      <c r="AN291">
        <v>0</v>
      </c>
      <c r="AO291">
        <v>1</v>
      </c>
      <c r="AP291">
        <v>0</v>
      </c>
      <c r="AQ291">
        <v>0</v>
      </c>
      <c r="AR291">
        <v>69.3</v>
      </c>
      <c r="AS291">
        <v>115.2</v>
      </c>
      <c r="AT291">
        <v>231.3</v>
      </c>
      <c r="AU291">
        <v>426.59999999999997</v>
      </c>
      <c r="AV291">
        <v>30</v>
      </c>
    </row>
    <row r="292" spans="1:48">
      <c r="A292">
        <v>291</v>
      </c>
      <c r="B292">
        <v>7.9999999999999724E-2</v>
      </c>
      <c r="C292">
        <v>20.059999999999707</v>
      </c>
      <c r="D292">
        <v>6.5199999999999241</v>
      </c>
      <c r="E292">
        <v>1.3227835409476787</v>
      </c>
      <c r="F292">
        <v>0</v>
      </c>
      <c r="G292">
        <v>0</v>
      </c>
      <c r="H292">
        <v>0.13480866134636738</v>
      </c>
      <c r="I292">
        <v>0</v>
      </c>
      <c r="J292">
        <v>7.9999999999999724E-2</v>
      </c>
      <c r="K292">
        <v>7.9999999999999724E-2</v>
      </c>
      <c r="L292">
        <v>7.9999999999999724E-2</v>
      </c>
      <c r="M292">
        <v>0</v>
      </c>
      <c r="N292">
        <v>0</v>
      </c>
      <c r="O292">
        <v>8.000000238418549E-2</v>
      </c>
      <c r="P292" s="15">
        <v>1.5873402766933893</v>
      </c>
      <c r="Q292" s="15">
        <v>0.79482393463656831</v>
      </c>
      <c r="R292">
        <v>0</v>
      </c>
      <c r="S292">
        <v>0</v>
      </c>
      <c r="T292" s="15">
        <v>3.4425015727329641E-7</v>
      </c>
      <c r="U292">
        <v>10.393895766296328</v>
      </c>
      <c r="V292">
        <v>0</v>
      </c>
      <c r="W292">
        <v>0</v>
      </c>
      <c r="X292">
        <v>0</v>
      </c>
      <c r="Y292">
        <v>0</v>
      </c>
      <c r="Z292">
        <v>1</v>
      </c>
      <c r="AA292">
        <v>0.9</v>
      </c>
      <c r="AB292">
        <v>1.1000000000000001</v>
      </c>
      <c r="AC292">
        <v>0</v>
      </c>
      <c r="AD292">
        <v>0.5789426266063985</v>
      </c>
      <c r="AE292">
        <v>253.01767082806157</v>
      </c>
      <c r="AF292">
        <v>253.59661311041771</v>
      </c>
      <c r="AG292">
        <v>242.45508769930578</v>
      </c>
      <c r="AH292">
        <v>181.57506264236127</v>
      </c>
      <c r="AI292">
        <v>2.1</v>
      </c>
      <c r="AJ292">
        <v>0</v>
      </c>
      <c r="AK292">
        <v>0</v>
      </c>
      <c r="AL292">
        <v>1</v>
      </c>
      <c r="AM292">
        <v>1</v>
      </c>
      <c r="AN292">
        <v>0</v>
      </c>
      <c r="AO292">
        <v>1</v>
      </c>
      <c r="AP292">
        <v>0</v>
      </c>
      <c r="AQ292">
        <v>0</v>
      </c>
      <c r="AR292">
        <v>69.3</v>
      </c>
      <c r="AS292">
        <v>115.2</v>
      </c>
      <c r="AT292">
        <v>231.3</v>
      </c>
      <c r="AU292">
        <v>426.59999999999997</v>
      </c>
      <c r="AV292">
        <v>30</v>
      </c>
    </row>
    <row r="293" spans="1:48">
      <c r="A293">
        <v>292</v>
      </c>
      <c r="B293" s="15">
        <v>0</v>
      </c>
      <c r="C293">
        <v>19.659999999999719</v>
      </c>
      <c r="D293">
        <v>8.2999999999998941</v>
      </c>
      <c r="E293">
        <v>1.1548589289559832</v>
      </c>
      <c r="F293">
        <v>0</v>
      </c>
      <c r="G293">
        <v>0</v>
      </c>
      <c r="H293">
        <v>0.13650638588110886</v>
      </c>
      <c r="I293">
        <v>0</v>
      </c>
      <c r="J293" s="15">
        <v>0</v>
      </c>
      <c r="K293" s="15">
        <v>0</v>
      </c>
      <c r="L293" s="15">
        <v>0</v>
      </c>
      <c r="M293">
        <v>0</v>
      </c>
      <c r="N293">
        <v>0</v>
      </c>
      <c r="O293" s="15">
        <v>0</v>
      </c>
      <c r="P293" s="15">
        <v>1.385830740637602</v>
      </c>
      <c r="Q293" s="15">
        <v>0.60910227934223293</v>
      </c>
      <c r="R293">
        <v>0</v>
      </c>
      <c r="S293">
        <v>0</v>
      </c>
      <c r="T293" s="15">
        <v>7.055860673880943E-8</v>
      </c>
      <c r="U293">
        <v>9.7847934163954875</v>
      </c>
      <c r="V293">
        <v>0</v>
      </c>
      <c r="W293">
        <v>0</v>
      </c>
      <c r="X293">
        <v>0</v>
      </c>
      <c r="Y293">
        <v>0</v>
      </c>
      <c r="Z293">
        <v>1</v>
      </c>
      <c r="AA293">
        <v>0.9</v>
      </c>
      <c r="AB293">
        <v>1.1000000000000001</v>
      </c>
      <c r="AC293">
        <v>0</v>
      </c>
      <c r="AD293">
        <v>0.56195441814955882</v>
      </c>
      <c r="AE293">
        <v>252.45571648047064</v>
      </c>
      <c r="AF293">
        <v>253.0176708280616</v>
      </c>
      <c r="AG293">
        <v>242.30213969597094</v>
      </c>
      <c r="AH293">
        <v>181.46581406855069</v>
      </c>
      <c r="AI293">
        <v>2.1</v>
      </c>
      <c r="AJ293">
        <v>0</v>
      </c>
      <c r="AK293">
        <v>0</v>
      </c>
      <c r="AL293">
        <v>1</v>
      </c>
      <c r="AM293">
        <v>1</v>
      </c>
      <c r="AN293">
        <v>0</v>
      </c>
      <c r="AO293">
        <v>1</v>
      </c>
      <c r="AP293">
        <v>0</v>
      </c>
      <c r="AQ293">
        <v>0</v>
      </c>
      <c r="AR293">
        <v>69.3</v>
      </c>
      <c r="AS293">
        <v>115.2</v>
      </c>
      <c r="AT293">
        <v>231.3</v>
      </c>
      <c r="AU293">
        <v>426.59999999999997</v>
      </c>
      <c r="AV293">
        <v>30</v>
      </c>
    </row>
    <row r="294" spans="1:48">
      <c r="A294">
        <v>293</v>
      </c>
      <c r="B294" s="15">
        <v>0</v>
      </c>
      <c r="C294">
        <v>18.919999999999732</v>
      </c>
      <c r="D294">
        <v>8.8199999999998866</v>
      </c>
      <c r="E294">
        <v>0.9552325225764271</v>
      </c>
      <c r="F294">
        <v>0</v>
      </c>
      <c r="G294">
        <v>0</v>
      </c>
      <c r="H294">
        <v>0.14456676714317679</v>
      </c>
      <c r="I294">
        <v>0</v>
      </c>
      <c r="J294" s="15">
        <v>0</v>
      </c>
      <c r="K294" s="15">
        <v>0</v>
      </c>
      <c r="L294" s="15">
        <v>0</v>
      </c>
      <c r="M294">
        <v>0</v>
      </c>
      <c r="N294">
        <v>0</v>
      </c>
      <c r="O294" s="15">
        <v>0</v>
      </c>
      <c r="P294" s="15">
        <v>1.1462790497964113</v>
      </c>
      <c r="Q294" s="15">
        <v>0.44791434411004516</v>
      </c>
      <c r="R294">
        <v>0</v>
      </c>
      <c r="S294">
        <v>0</v>
      </c>
      <c r="T294" s="15">
        <v>1.5181993126899496E-8</v>
      </c>
      <c r="U294">
        <v>9.3368790571034523</v>
      </c>
      <c r="V294">
        <v>0</v>
      </c>
      <c r="W294">
        <v>0</v>
      </c>
      <c r="X294">
        <v>0</v>
      </c>
      <c r="Y294">
        <v>0</v>
      </c>
      <c r="Z294">
        <v>1</v>
      </c>
      <c r="AA294">
        <v>0.9</v>
      </c>
      <c r="AB294">
        <v>1.1000000000000001</v>
      </c>
      <c r="AC294">
        <v>0</v>
      </c>
      <c r="AD294">
        <v>0.54588718123685098</v>
      </c>
      <c r="AE294">
        <v>251.90982931441587</v>
      </c>
      <c r="AF294">
        <v>252.45571648047067</v>
      </c>
      <c r="AG294">
        <v>241.57597994807122</v>
      </c>
      <c r="AH294">
        <v>180.94712853433657</v>
      </c>
      <c r="AI294">
        <v>2.1</v>
      </c>
      <c r="AJ294">
        <v>0</v>
      </c>
      <c r="AK294">
        <v>0</v>
      </c>
      <c r="AL294">
        <v>1</v>
      </c>
      <c r="AM294">
        <v>1</v>
      </c>
      <c r="AN294">
        <v>0</v>
      </c>
      <c r="AO294">
        <v>1</v>
      </c>
      <c r="AP294">
        <v>0</v>
      </c>
      <c r="AQ294">
        <v>0</v>
      </c>
      <c r="AR294">
        <v>69.3</v>
      </c>
      <c r="AS294">
        <v>115.2</v>
      </c>
      <c r="AT294">
        <v>231.3</v>
      </c>
      <c r="AU294">
        <v>426.59999999999997</v>
      </c>
      <c r="AV294">
        <v>30</v>
      </c>
    </row>
    <row r="295" spans="1:48">
      <c r="A295">
        <v>294</v>
      </c>
      <c r="B295" s="15">
        <v>5.0399999999999734</v>
      </c>
      <c r="C295">
        <v>15.639999999999777</v>
      </c>
      <c r="D295">
        <v>12.539999999999841</v>
      </c>
      <c r="E295">
        <v>0.5830090579225139</v>
      </c>
      <c r="F295">
        <v>0</v>
      </c>
      <c r="G295">
        <v>0</v>
      </c>
      <c r="H295">
        <v>0.15414883456264852</v>
      </c>
      <c r="I295">
        <v>0</v>
      </c>
      <c r="J295" s="15">
        <v>5.0399999999999734</v>
      </c>
      <c r="K295" s="15">
        <v>5.0399999999999734</v>
      </c>
      <c r="L295" s="15">
        <v>5.0399999999999734</v>
      </c>
      <c r="M295">
        <v>0</v>
      </c>
      <c r="N295">
        <v>0</v>
      </c>
      <c r="O295" s="15">
        <v>5.0400001502036762</v>
      </c>
      <c r="P295">
        <v>0.69961088403290628</v>
      </c>
      <c r="Q295">
        <v>0.40958580318250443</v>
      </c>
      <c r="R295">
        <v>0</v>
      </c>
      <c r="S295">
        <v>0</v>
      </c>
      <c r="T295" s="15">
        <v>7.0138269441219143E-6</v>
      </c>
      <c r="U295">
        <v>13.967286390297682</v>
      </c>
      <c r="V295">
        <v>0</v>
      </c>
      <c r="W295">
        <v>0</v>
      </c>
      <c r="X295">
        <v>0</v>
      </c>
      <c r="Y295">
        <v>0</v>
      </c>
      <c r="Z295">
        <v>1</v>
      </c>
      <c r="AA295">
        <v>0.9</v>
      </c>
      <c r="AB295">
        <v>1.1000000000000001</v>
      </c>
      <c r="AC295">
        <v>0</v>
      </c>
      <c r="AD295">
        <v>0.53066925167614798</v>
      </c>
      <c r="AE295">
        <v>251.37916707656669</v>
      </c>
      <c r="AF295">
        <v>251.90982931441584</v>
      </c>
      <c r="AG295">
        <v>240.71273149425099</v>
      </c>
      <c r="AH295">
        <v>180.33052249589358</v>
      </c>
      <c r="AI295">
        <v>2.1</v>
      </c>
      <c r="AJ295">
        <v>0</v>
      </c>
      <c r="AK295">
        <v>0</v>
      </c>
      <c r="AL295">
        <v>1</v>
      </c>
      <c r="AM295">
        <v>1</v>
      </c>
      <c r="AN295">
        <v>0</v>
      </c>
      <c r="AO295">
        <v>1</v>
      </c>
      <c r="AP295">
        <v>0</v>
      </c>
      <c r="AQ295">
        <v>0</v>
      </c>
      <c r="AR295">
        <v>69.3</v>
      </c>
      <c r="AS295">
        <v>115.2</v>
      </c>
      <c r="AT295">
        <v>231.3</v>
      </c>
      <c r="AU295">
        <v>426.59999999999997</v>
      </c>
      <c r="AV295">
        <v>30</v>
      </c>
    </row>
    <row r="296" spans="1:48">
      <c r="A296">
        <v>295</v>
      </c>
      <c r="B296" s="15">
        <v>3.9999999999997732E-2</v>
      </c>
      <c r="C296">
        <v>20.019999999999712</v>
      </c>
      <c r="D296">
        <v>10.539999999999862</v>
      </c>
      <c r="E296">
        <v>1.1459451795967293</v>
      </c>
      <c r="F296">
        <v>0</v>
      </c>
      <c r="G296">
        <v>0</v>
      </c>
      <c r="H296">
        <v>0.17201556079383626</v>
      </c>
      <c r="I296">
        <v>0</v>
      </c>
      <c r="J296" s="15">
        <v>3.9999999999997732E-2</v>
      </c>
      <c r="K296" s="15">
        <v>3.9999999999997732E-2</v>
      </c>
      <c r="L296" s="15">
        <v>3.9999999999997732E-2</v>
      </c>
      <c r="M296">
        <v>0</v>
      </c>
      <c r="N296" s="15">
        <v>0</v>
      </c>
      <c r="O296" s="15">
        <v>4.0000001192090635E-2</v>
      </c>
      <c r="P296">
        <v>1.3751342451816289</v>
      </c>
      <c r="Q296">
        <v>1.0354877044841306</v>
      </c>
      <c r="R296">
        <v>0</v>
      </c>
      <c r="S296">
        <v>0</v>
      </c>
      <c r="T296" s="15">
        <v>3.1080484622758916E-5</v>
      </c>
      <c r="U296">
        <v>12.971767606521018</v>
      </c>
      <c r="V296">
        <v>0</v>
      </c>
      <c r="W296">
        <v>0</v>
      </c>
      <c r="X296">
        <v>0</v>
      </c>
      <c r="Y296">
        <v>0</v>
      </c>
      <c r="Z296">
        <v>1</v>
      </c>
      <c r="AA296">
        <v>0.9</v>
      </c>
      <c r="AB296">
        <v>1.1000000000000001</v>
      </c>
      <c r="AC296">
        <v>0</v>
      </c>
      <c r="AD296">
        <v>0.5162367715001257</v>
      </c>
      <c r="AE296">
        <v>250.86296138555124</v>
      </c>
      <c r="AF296">
        <v>251.37916707656672</v>
      </c>
      <c r="AG296">
        <v>239.10311812808331</v>
      </c>
      <c r="AH296">
        <v>179.18079866291663</v>
      </c>
      <c r="AI296">
        <v>2.1</v>
      </c>
      <c r="AJ296">
        <v>0</v>
      </c>
      <c r="AK296">
        <v>0</v>
      </c>
      <c r="AL296">
        <v>1</v>
      </c>
      <c r="AM296">
        <v>1</v>
      </c>
      <c r="AN296">
        <v>0</v>
      </c>
      <c r="AO296">
        <v>1</v>
      </c>
      <c r="AP296">
        <v>0</v>
      </c>
      <c r="AQ296">
        <v>0</v>
      </c>
      <c r="AR296">
        <v>69.3</v>
      </c>
      <c r="AS296">
        <v>115.2</v>
      </c>
      <c r="AT296">
        <v>231.3</v>
      </c>
      <c r="AU296">
        <v>426.59999999999997</v>
      </c>
      <c r="AV296">
        <v>30</v>
      </c>
    </row>
    <row r="297" spans="1:48">
      <c r="A297">
        <v>296</v>
      </c>
      <c r="B297">
        <v>0</v>
      </c>
      <c r="C297">
        <v>18.679999999999726</v>
      </c>
      <c r="D297">
        <v>9.9799999999998636</v>
      </c>
      <c r="E297">
        <v>0.99688039399971518</v>
      </c>
      <c r="F297">
        <v>0</v>
      </c>
      <c r="G297">
        <v>0</v>
      </c>
      <c r="H297">
        <v>0.14499462695185231</v>
      </c>
      <c r="I297">
        <v>0</v>
      </c>
      <c r="J297">
        <v>0</v>
      </c>
      <c r="K297">
        <v>0</v>
      </c>
      <c r="L297">
        <v>0</v>
      </c>
      <c r="M297">
        <v>0</v>
      </c>
      <c r="N297" s="15">
        <v>0</v>
      </c>
      <c r="O297">
        <v>0</v>
      </c>
      <c r="P297">
        <v>1.1962564994263105</v>
      </c>
      <c r="Q297">
        <v>0.80135538414108831</v>
      </c>
      <c r="R297">
        <v>0</v>
      </c>
      <c r="S297">
        <v>0</v>
      </c>
      <c r="T297" s="15">
        <v>8.5177283904760101E-6</v>
      </c>
      <c r="U297">
        <v>12.170403704651541</v>
      </c>
      <c r="V297">
        <v>0</v>
      </c>
      <c r="W297">
        <v>0</v>
      </c>
      <c r="X297">
        <v>0</v>
      </c>
      <c r="Y297">
        <v>0</v>
      </c>
      <c r="Z297">
        <v>1</v>
      </c>
      <c r="AA297">
        <v>0.9</v>
      </c>
      <c r="AB297">
        <v>1.1000000000000001</v>
      </c>
      <c r="AC297">
        <v>0</v>
      </c>
      <c r="AD297">
        <v>0.50253059867550609</v>
      </c>
      <c r="AE297">
        <v>250.36043930460414</v>
      </c>
      <c r="AF297">
        <v>250.86296138555124</v>
      </c>
      <c r="AG297">
        <v>241.53743405790763</v>
      </c>
      <c r="AH297">
        <v>180.91959575564832</v>
      </c>
      <c r="AI297">
        <v>2.1</v>
      </c>
      <c r="AJ297">
        <v>0</v>
      </c>
      <c r="AK297">
        <v>0</v>
      </c>
      <c r="AL297">
        <v>1</v>
      </c>
      <c r="AM297">
        <v>1</v>
      </c>
      <c r="AN297">
        <v>0</v>
      </c>
      <c r="AO297">
        <v>1</v>
      </c>
      <c r="AP297">
        <v>0</v>
      </c>
      <c r="AQ297">
        <v>0</v>
      </c>
      <c r="AR297">
        <v>69.3</v>
      </c>
      <c r="AS297">
        <v>115.2</v>
      </c>
      <c r="AT297">
        <v>231.3</v>
      </c>
      <c r="AU297">
        <v>426.59999999999997</v>
      </c>
      <c r="AV297">
        <v>30</v>
      </c>
    </row>
    <row r="298" spans="1:48">
      <c r="A298">
        <v>297</v>
      </c>
      <c r="B298" s="15">
        <v>3.9999999999997732E-2</v>
      </c>
      <c r="C298">
        <v>17.179999999999751</v>
      </c>
      <c r="D298">
        <v>9.2199999999998816</v>
      </c>
      <c r="E298">
        <v>1.0935239508535008</v>
      </c>
      <c r="F298">
        <v>0</v>
      </c>
      <c r="G298">
        <v>0</v>
      </c>
      <c r="H298">
        <v>0.15214973662213588</v>
      </c>
      <c r="I298">
        <v>0</v>
      </c>
      <c r="J298" s="15">
        <v>3.9999999999997732E-2</v>
      </c>
      <c r="K298" s="15">
        <v>3.9999999999997732E-2</v>
      </c>
      <c r="L298" s="15">
        <v>3.9999999999997732E-2</v>
      </c>
      <c r="M298">
        <v>0</v>
      </c>
      <c r="N298">
        <v>0</v>
      </c>
      <c r="O298" s="15">
        <v>4.0000001192090635E-2</v>
      </c>
      <c r="P298">
        <v>1.3122287709920424</v>
      </c>
      <c r="Q298">
        <v>0.78478703777034187</v>
      </c>
      <c r="R298">
        <v>0</v>
      </c>
      <c r="S298">
        <v>0</v>
      </c>
      <c r="T298" s="15">
        <v>2.4752529287732527E-6</v>
      </c>
      <c r="U298">
        <v>11.425614192820362</v>
      </c>
      <c r="V298">
        <v>0</v>
      </c>
      <c r="W298">
        <v>0</v>
      </c>
      <c r="X298">
        <v>0</v>
      </c>
      <c r="Y298">
        <v>0</v>
      </c>
      <c r="Z298">
        <v>1</v>
      </c>
      <c r="AA298">
        <v>0.9</v>
      </c>
      <c r="AB298">
        <v>1.1000000000000001</v>
      </c>
      <c r="AC298">
        <v>0</v>
      </c>
      <c r="AD298">
        <v>0.48949807463781725</v>
      </c>
      <c r="AE298">
        <v>249.8709437052193</v>
      </c>
      <c r="AF298">
        <v>250.36043930460417</v>
      </c>
      <c r="AG298">
        <v>240.89283022771178</v>
      </c>
      <c r="AH298">
        <v>180.45916444836558</v>
      </c>
      <c r="AI298">
        <v>2.1</v>
      </c>
      <c r="AJ298">
        <v>0</v>
      </c>
      <c r="AK298">
        <v>0</v>
      </c>
      <c r="AL298">
        <v>1</v>
      </c>
      <c r="AM298">
        <v>1</v>
      </c>
      <c r="AN298">
        <v>0</v>
      </c>
      <c r="AO298">
        <v>1</v>
      </c>
      <c r="AP298">
        <v>0</v>
      </c>
      <c r="AQ298">
        <v>0</v>
      </c>
      <c r="AR298">
        <v>69.3</v>
      </c>
      <c r="AS298">
        <v>115.2</v>
      </c>
      <c r="AT298">
        <v>231.3</v>
      </c>
      <c r="AU298">
        <v>426.59999999999997</v>
      </c>
      <c r="AV298">
        <v>30</v>
      </c>
    </row>
    <row r="299" spans="1:48">
      <c r="A299">
        <v>298</v>
      </c>
      <c r="B299" s="15">
        <v>0</v>
      </c>
      <c r="C299">
        <v>15.399999999999778</v>
      </c>
      <c r="D299">
        <v>6.3399999999999128</v>
      </c>
      <c r="E299">
        <v>0.94107921078092227</v>
      </c>
      <c r="F299">
        <v>0</v>
      </c>
      <c r="G299">
        <v>0</v>
      </c>
      <c r="H299">
        <v>0.14751084586319391</v>
      </c>
      <c r="I299">
        <v>0</v>
      </c>
      <c r="J299" s="15">
        <v>0</v>
      </c>
      <c r="K299" s="15">
        <v>0</v>
      </c>
      <c r="L299" s="15">
        <v>0</v>
      </c>
      <c r="M299">
        <v>0</v>
      </c>
      <c r="N299">
        <v>0</v>
      </c>
      <c r="O299" s="15">
        <v>0</v>
      </c>
      <c r="P299">
        <v>1.1292950792786616</v>
      </c>
      <c r="Q299">
        <v>0.60487212384631117</v>
      </c>
      <c r="R299">
        <v>0</v>
      </c>
      <c r="S299">
        <v>0</v>
      </c>
      <c r="T299" s="15">
        <v>6.8580786281197595E-7</v>
      </c>
      <c r="U299">
        <v>10.820741383166192</v>
      </c>
      <c r="V299">
        <v>0</v>
      </c>
      <c r="W299">
        <v>0</v>
      </c>
      <c r="X299">
        <v>0</v>
      </c>
      <c r="Y299">
        <v>0</v>
      </c>
      <c r="Z299">
        <v>1</v>
      </c>
      <c r="AA299">
        <v>0.9</v>
      </c>
      <c r="AB299">
        <v>1.1000000000000001</v>
      </c>
      <c r="AC299">
        <v>0</v>
      </c>
      <c r="AD299">
        <v>0.47709174419531286</v>
      </c>
      <c r="AE299">
        <v>249.3938526468319</v>
      </c>
      <c r="AF299">
        <v>249.87094370521933</v>
      </c>
      <c r="AG299">
        <v>241.31074789618486</v>
      </c>
      <c r="AH299">
        <v>180.75767706870346</v>
      </c>
      <c r="AI299">
        <v>2.1</v>
      </c>
      <c r="AJ299">
        <v>0</v>
      </c>
      <c r="AK299">
        <v>0</v>
      </c>
      <c r="AL299">
        <v>1</v>
      </c>
      <c r="AM299">
        <v>1</v>
      </c>
      <c r="AN299">
        <v>0</v>
      </c>
      <c r="AO299">
        <v>1</v>
      </c>
      <c r="AP299">
        <v>0</v>
      </c>
      <c r="AQ299">
        <v>0</v>
      </c>
      <c r="AR299">
        <v>69.3</v>
      </c>
      <c r="AS299">
        <v>115.2</v>
      </c>
      <c r="AT299">
        <v>231.3</v>
      </c>
      <c r="AU299">
        <v>426.59999999999997</v>
      </c>
      <c r="AV299">
        <v>30</v>
      </c>
    </row>
    <row r="300" spans="1:48">
      <c r="A300">
        <v>299</v>
      </c>
      <c r="B300" s="15">
        <v>7.9999999999999724E-2</v>
      </c>
      <c r="C300">
        <v>17.099999999999753</v>
      </c>
      <c r="D300">
        <v>4.4799999999999542</v>
      </c>
      <c r="E300">
        <v>1.0087676198651931</v>
      </c>
      <c r="F300">
        <v>0</v>
      </c>
      <c r="G300">
        <v>0</v>
      </c>
      <c r="H300">
        <v>0.15482819336817366</v>
      </c>
      <c r="I300">
        <v>0</v>
      </c>
      <c r="J300" s="15">
        <v>7.9999999999999724E-2</v>
      </c>
      <c r="K300" s="15">
        <v>7.9999999999999724E-2</v>
      </c>
      <c r="L300" s="15">
        <v>7.9999999999999724E-2</v>
      </c>
      <c r="M300">
        <v>0</v>
      </c>
      <c r="N300" s="15">
        <v>0</v>
      </c>
      <c r="O300" s="15">
        <v>8.000000238418549E-2</v>
      </c>
      <c r="P300">
        <v>1.2105211725720622</v>
      </c>
      <c r="Q300">
        <v>0.58593713152475202</v>
      </c>
      <c r="R300">
        <v>0</v>
      </c>
      <c r="S300">
        <v>0</v>
      </c>
      <c r="T300" s="15">
        <v>2.0939959982646798E-7</v>
      </c>
      <c r="U300">
        <v>10.314804044626026</v>
      </c>
      <c r="V300">
        <v>0</v>
      </c>
      <c r="W300">
        <v>0</v>
      </c>
      <c r="X300">
        <v>0</v>
      </c>
      <c r="Y300">
        <v>0</v>
      </c>
      <c r="Z300">
        <v>1</v>
      </c>
      <c r="AA300">
        <v>0.9</v>
      </c>
      <c r="AB300">
        <v>1.1000000000000001</v>
      </c>
      <c r="AC300">
        <v>0</v>
      </c>
      <c r="AD300">
        <v>0.46526833868848333</v>
      </c>
      <c r="AE300">
        <v>248.92858451754302</v>
      </c>
      <c r="AF300">
        <v>249.39385264683193</v>
      </c>
      <c r="AG300">
        <v>240.65152805946124</v>
      </c>
      <c r="AH300">
        <v>180.28680575675801</v>
      </c>
      <c r="AI300">
        <v>2.1</v>
      </c>
      <c r="AJ300">
        <v>0</v>
      </c>
      <c r="AK300">
        <v>0</v>
      </c>
      <c r="AL300">
        <v>1</v>
      </c>
      <c r="AM300">
        <v>1</v>
      </c>
      <c r="AN300">
        <v>0</v>
      </c>
      <c r="AO300">
        <v>1</v>
      </c>
      <c r="AP300">
        <v>0</v>
      </c>
      <c r="AQ300">
        <v>0</v>
      </c>
      <c r="AR300">
        <v>69.3</v>
      </c>
      <c r="AS300">
        <v>115.2</v>
      </c>
      <c r="AT300">
        <v>231.3</v>
      </c>
      <c r="AU300">
        <v>426.59999999999997</v>
      </c>
      <c r="AV300">
        <v>30</v>
      </c>
    </row>
    <row r="301" spans="1:48">
      <c r="A301">
        <v>300</v>
      </c>
      <c r="B301">
        <v>7.9999999999999724E-2</v>
      </c>
      <c r="C301">
        <v>19.47999999999972</v>
      </c>
      <c r="D301">
        <v>5.3999999999999364</v>
      </c>
      <c r="E301">
        <v>1.0716120998060237</v>
      </c>
      <c r="F301">
        <v>0</v>
      </c>
      <c r="G301">
        <v>0</v>
      </c>
      <c r="H301">
        <v>0.15157914970905942</v>
      </c>
      <c r="I301">
        <v>0</v>
      </c>
      <c r="J301">
        <v>7.9999999999999724E-2</v>
      </c>
      <c r="K301">
        <v>7.9999999999999724E-2</v>
      </c>
      <c r="L301">
        <v>7.9999999999999724E-2</v>
      </c>
      <c r="M301">
        <v>0</v>
      </c>
      <c r="N301">
        <v>0</v>
      </c>
      <c r="O301">
        <v>8.000000238418549E-2</v>
      </c>
      <c r="P301">
        <v>1.2859345507354238</v>
      </c>
      <c r="Q301">
        <v>0.56336209972822293</v>
      </c>
      <c r="R301">
        <v>0</v>
      </c>
      <c r="S301">
        <v>0</v>
      </c>
      <c r="T301" s="15">
        <v>6.4094627590308063E-8</v>
      </c>
      <c r="U301">
        <v>9.8314418831873613</v>
      </c>
      <c r="V301">
        <v>0</v>
      </c>
      <c r="W301">
        <v>0</v>
      </c>
      <c r="X301">
        <v>0</v>
      </c>
      <c r="Y301">
        <v>0</v>
      </c>
      <c r="Z301">
        <v>1</v>
      </c>
      <c r="AA301">
        <v>0.9</v>
      </c>
      <c r="AB301">
        <v>1.1000000000000001</v>
      </c>
      <c r="AC301">
        <v>0</v>
      </c>
      <c r="AD301">
        <v>0.45398841398304085</v>
      </c>
      <c r="AE301">
        <v>248.47459616765465</v>
      </c>
      <c r="AF301">
        <v>248.92858451754302</v>
      </c>
      <c r="AG301">
        <v>240.94423440271086</v>
      </c>
      <c r="AH301">
        <v>180.49588171622202</v>
      </c>
      <c r="AI301">
        <v>2.1</v>
      </c>
      <c r="AJ301">
        <v>0</v>
      </c>
      <c r="AK301">
        <v>0</v>
      </c>
      <c r="AL301">
        <v>1</v>
      </c>
      <c r="AM301">
        <v>1</v>
      </c>
      <c r="AN301">
        <v>0</v>
      </c>
      <c r="AO301">
        <v>1</v>
      </c>
      <c r="AP301">
        <v>0</v>
      </c>
      <c r="AQ301">
        <v>0</v>
      </c>
      <c r="AR301">
        <v>69.3</v>
      </c>
      <c r="AS301">
        <v>115.2</v>
      </c>
      <c r="AT301">
        <v>231.3</v>
      </c>
      <c r="AU301">
        <v>426.59999999999997</v>
      </c>
      <c r="AV301">
        <v>30</v>
      </c>
    </row>
    <row r="302" spans="1:48">
      <c r="A302">
        <v>301</v>
      </c>
      <c r="B302">
        <v>0</v>
      </c>
      <c r="C302">
        <v>18.279999999999735</v>
      </c>
      <c r="D302">
        <v>4.8999999999999435</v>
      </c>
      <c r="E302">
        <v>0.95390464921732965</v>
      </c>
      <c r="F302">
        <v>0</v>
      </c>
      <c r="G302">
        <v>0</v>
      </c>
      <c r="H302">
        <v>0.14856261464994977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1.1446856069592712</v>
      </c>
      <c r="Q302">
        <v>0.45201644933898194</v>
      </c>
      <c r="R302">
        <v>0</v>
      </c>
      <c r="S302">
        <v>0</v>
      </c>
      <c r="T302" s="15">
        <v>1.7377884544891515E-8</v>
      </c>
      <c r="U302">
        <v>9.3794254164704913</v>
      </c>
      <c r="V302">
        <v>0</v>
      </c>
      <c r="W302">
        <v>0</v>
      </c>
      <c r="X302">
        <v>0</v>
      </c>
      <c r="Y302">
        <v>0</v>
      </c>
      <c r="Z302">
        <v>1</v>
      </c>
      <c r="AA302">
        <v>0.9</v>
      </c>
      <c r="AB302">
        <v>1.1000000000000001</v>
      </c>
      <c r="AC302">
        <v>0</v>
      </c>
      <c r="AD302">
        <v>0.44321596631150967</v>
      </c>
      <c r="AE302">
        <v>248.03138021872104</v>
      </c>
      <c r="AF302">
        <v>248.47459616765465</v>
      </c>
      <c r="AG302">
        <v>241.21599404618604</v>
      </c>
      <c r="AH302">
        <v>180.68999574727573</v>
      </c>
      <c r="AI302">
        <v>2.1</v>
      </c>
      <c r="AJ302">
        <v>0</v>
      </c>
      <c r="AK302">
        <v>0</v>
      </c>
      <c r="AL302">
        <v>1</v>
      </c>
      <c r="AM302">
        <v>1</v>
      </c>
      <c r="AN302">
        <v>0</v>
      </c>
      <c r="AO302">
        <v>1</v>
      </c>
      <c r="AP302">
        <v>0</v>
      </c>
      <c r="AQ302">
        <v>0</v>
      </c>
      <c r="AR302">
        <v>69.3</v>
      </c>
      <c r="AS302">
        <v>115.2</v>
      </c>
      <c r="AT302">
        <v>231.3</v>
      </c>
      <c r="AU302">
        <v>426.59999999999997</v>
      </c>
      <c r="AV302">
        <v>30</v>
      </c>
    </row>
    <row r="303" spans="1:48">
      <c r="A303">
        <v>302</v>
      </c>
      <c r="B303">
        <v>0.15999999999999945</v>
      </c>
      <c r="C303">
        <v>17.639999999999748</v>
      </c>
      <c r="D303">
        <v>5.5599999999999312</v>
      </c>
      <c r="E303">
        <v>0.91110279798970273</v>
      </c>
      <c r="F303">
        <v>0</v>
      </c>
      <c r="G303">
        <v>0</v>
      </c>
      <c r="H303">
        <v>0.15421257227470947</v>
      </c>
      <c r="I303">
        <v>0</v>
      </c>
      <c r="J303">
        <v>0.15999999999999945</v>
      </c>
      <c r="K303">
        <v>0.15999999999999945</v>
      </c>
      <c r="L303">
        <v>0.15999999999999945</v>
      </c>
      <c r="M303">
        <v>0</v>
      </c>
      <c r="N303">
        <v>0</v>
      </c>
      <c r="O303">
        <v>0.16000000476837098</v>
      </c>
      <c r="P303">
        <v>1.0933233844998878</v>
      </c>
      <c r="Q303">
        <v>0.39688337183532524</v>
      </c>
      <c r="R303">
        <v>0</v>
      </c>
      <c r="S303">
        <v>0</v>
      </c>
      <c r="T303" s="15">
        <v>5.3870322682395005E-9</v>
      </c>
      <c r="U303">
        <v>9.1425420440165048</v>
      </c>
      <c r="V303">
        <v>0</v>
      </c>
      <c r="W303">
        <v>0</v>
      </c>
      <c r="X303">
        <v>0</v>
      </c>
      <c r="Y303">
        <v>0</v>
      </c>
      <c r="Z303">
        <v>1</v>
      </c>
      <c r="AA303">
        <v>0.9</v>
      </c>
      <c r="AB303">
        <v>1.1000000000000001</v>
      </c>
      <c r="AC303">
        <v>0</v>
      </c>
      <c r="AD303">
        <v>0.43291807449810688</v>
      </c>
      <c r="AE303">
        <v>247.59846214960999</v>
      </c>
      <c r="AF303">
        <v>248.03138021872107</v>
      </c>
      <c r="AG303">
        <v>240.70698936377144</v>
      </c>
      <c r="AH303">
        <v>180.32642097412247</v>
      </c>
      <c r="AI303">
        <v>2.1</v>
      </c>
      <c r="AJ303">
        <v>0</v>
      </c>
      <c r="AK303">
        <v>0</v>
      </c>
      <c r="AL303">
        <v>1</v>
      </c>
      <c r="AM303">
        <v>1</v>
      </c>
      <c r="AN303">
        <v>0</v>
      </c>
      <c r="AO303">
        <v>1</v>
      </c>
      <c r="AP303">
        <v>0</v>
      </c>
      <c r="AQ303">
        <v>0</v>
      </c>
      <c r="AR303">
        <v>69.3</v>
      </c>
      <c r="AS303">
        <v>115.2</v>
      </c>
      <c r="AT303">
        <v>231.3</v>
      </c>
      <c r="AU303">
        <v>426.59999999999997</v>
      </c>
      <c r="AV303">
        <v>30</v>
      </c>
    </row>
    <row r="304" spans="1:48">
      <c r="A304">
        <v>303</v>
      </c>
      <c r="B304" s="15">
        <v>1.1999999999999913</v>
      </c>
      <c r="C304">
        <v>13.3999999999998</v>
      </c>
      <c r="D304">
        <v>9.0399999999998943</v>
      </c>
      <c r="E304">
        <v>0.66598490152933809</v>
      </c>
      <c r="F304">
        <v>0</v>
      </c>
      <c r="G304">
        <v>0</v>
      </c>
      <c r="H304">
        <v>0.1562670611271634</v>
      </c>
      <c r="I304">
        <v>0</v>
      </c>
      <c r="J304" s="15">
        <v>1.1999999999999913</v>
      </c>
      <c r="K304" s="15">
        <v>1.1999999999999913</v>
      </c>
      <c r="L304" s="15">
        <v>1.1999999999999913</v>
      </c>
      <c r="M304">
        <v>0</v>
      </c>
      <c r="N304">
        <v>0</v>
      </c>
      <c r="O304" s="15">
        <v>1.2000000357627785</v>
      </c>
      <c r="P304">
        <v>0.79918190166953784</v>
      </c>
      <c r="Q304">
        <v>0.31420157432739215</v>
      </c>
      <c r="R304">
        <v>0</v>
      </c>
      <c r="S304">
        <v>0</v>
      </c>
      <c r="T304" s="15">
        <v>1.64191374994581E-8</v>
      </c>
      <c r="U304">
        <v>10.028340489032756</v>
      </c>
      <c r="V304">
        <v>0</v>
      </c>
      <c r="W304">
        <v>0</v>
      </c>
      <c r="X304">
        <v>0</v>
      </c>
      <c r="Y304">
        <v>0</v>
      </c>
      <c r="Z304">
        <v>1</v>
      </c>
      <c r="AA304">
        <v>0.9</v>
      </c>
      <c r="AB304">
        <v>1.1000000000000001</v>
      </c>
      <c r="AC304">
        <v>0</v>
      </c>
      <c r="AD304">
        <v>0.42306458029991367</v>
      </c>
      <c r="AE304">
        <v>247.17539758572926</v>
      </c>
      <c r="AF304">
        <v>247.59846214961001</v>
      </c>
      <c r="AG304">
        <v>240.52190046305387</v>
      </c>
      <c r="AH304">
        <v>180.19421461646704</v>
      </c>
      <c r="AI304">
        <v>2.1</v>
      </c>
      <c r="AJ304">
        <v>0</v>
      </c>
      <c r="AK304">
        <v>0</v>
      </c>
      <c r="AL304">
        <v>1</v>
      </c>
      <c r="AM304">
        <v>1</v>
      </c>
      <c r="AN304">
        <v>0</v>
      </c>
      <c r="AO304">
        <v>1</v>
      </c>
      <c r="AP304">
        <v>0</v>
      </c>
      <c r="AQ304">
        <v>0</v>
      </c>
      <c r="AR304">
        <v>69.3</v>
      </c>
      <c r="AS304">
        <v>115.2</v>
      </c>
      <c r="AT304">
        <v>231.3</v>
      </c>
      <c r="AU304">
        <v>426.59999999999997</v>
      </c>
      <c r="AV304">
        <v>30</v>
      </c>
    </row>
    <row r="305" spans="1:48">
      <c r="A305">
        <v>304</v>
      </c>
      <c r="B305" s="15">
        <v>0.3199999999999989</v>
      </c>
      <c r="C305">
        <v>13.619999999999806</v>
      </c>
      <c r="D305">
        <v>10.159999999999856</v>
      </c>
      <c r="E305">
        <v>0.61870670104474679</v>
      </c>
      <c r="F305">
        <v>0</v>
      </c>
      <c r="G305">
        <v>0</v>
      </c>
      <c r="H305">
        <v>0.16803272017739443</v>
      </c>
      <c r="I305">
        <v>0</v>
      </c>
      <c r="J305" s="15">
        <v>0.3199999999999989</v>
      </c>
      <c r="K305" s="15">
        <v>0.3199999999999989</v>
      </c>
      <c r="L305" s="15">
        <v>0.3199999999999989</v>
      </c>
      <c r="M305">
        <v>0</v>
      </c>
      <c r="N305">
        <v>0</v>
      </c>
      <c r="O305" s="15">
        <v>0.32000000953674196</v>
      </c>
      <c r="P305">
        <v>0.74244805980602957</v>
      </c>
      <c r="Q305">
        <v>0.32255837610644705</v>
      </c>
      <c r="R305">
        <v>0</v>
      </c>
      <c r="S305">
        <v>0</v>
      </c>
      <c r="T305" s="15">
        <v>4.9386010682356838E-8</v>
      </c>
      <c r="U305">
        <v>10.025782073077041</v>
      </c>
      <c r="V305">
        <v>0</v>
      </c>
      <c r="W305">
        <v>0</v>
      </c>
      <c r="X305">
        <v>0</v>
      </c>
      <c r="Y305">
        <v>0</v>
      </c>
      <c r="Z305">
        <v>1</v>
      </c>
      <c r="AA305">
        <v>0.9</v>
      </c>
      <c r="AB305">
        <v>1.1000000000000001</v>
      </c>
      <c r="AC305">
        <v>0</v>
      </c>
      <c r="AD305">
        <v>0.41362780688224382</v>
      </c>
      <c r="AE305">
        <v>246.76176982823316</v>
      </c>
      <c r="AF305">
        <v>247.17539758572929</v>
      </c>
      <c r="AG305">
        <v>239.46193223921856</v>
      </c>
      <c r="AH305">
        <v>179.4370944565847</v>
      </c>
      <c r="AI305">
        <v>2.1</v>
      </c>
      <c r="AJ305">
        <v>0</v>
      </c>
      <c r="AK305">
        <v>0</v>
      </c>
      <c r="AL305">
        <v>1</v>
      </c>
      <c r="AM305">
        <v>1</v>
      </c>
      <c r="AN305">
        <v>0</v>
      </c>
      <c r="AO305">
        <v>1</v>
      </c>
      <c r="AP305">
        <v>0</v>
      </c>
      <c r="AQ305">
        <v>0</v>
      </c>
      <c r="AR305">
        <v>69.3</v>
      </c>
      <c r="AS305">
        <v>115.2</v>
      </c>
      <c r="AT305">
        <v>231.3</v>
      </c>
      <c r="AU305">
        <v>426.59999999999997</v>
      </c>
      <c r="AV305">
        <v>30</v>
      </c>
    </row>
    <row r="306" spans="1:48">
      <c r="A306">
        <v>305</v>
      </c>
      <c r="B306" s="15">
        <v>30.079999999999878</v>
      </c>
      <c r="C306">
        <v>11.299999999999841</v>
      </c>
      <c r="D306">
        <v>8.3199999999998759</v>
      </c>
      <c r="E306">
        <v>0.44967780771226434</v>
      </c>
      <c r="F306">
        <v>0</v>
      </c>
      <c r="G306">
        <v>0</v>
      </c>
      <c r="H306">
        <v>0.17030207380121073</v>
      </c>
      <c r="I306">
        <v>0</v>
      </c>
      <c r="J306" s="15">
        <v>30.079999999999878</v>
      </c>
      <c r="K306" s="15">
        <v>30.079999999999878</v>
      </c>
      <c r="L306" s="15">
        <v>24.556994084221742</v>
      </c>
      <c r="M306">
        <v>0</v>
      </c>
      <c r="N306">
        <v>5.5230059157781346</v>
      </c>
      <c r="O306" s="15">
        <v>24.556994816077211</v>
      </c>
      <c r="P306">
        <v>0.53961338281502713</v>
      </c>
      <c r="Q306">
        <v>0.53956735374915565</v>
      </c>
      <c r="R306">
        <v>0</v>
      </c>
      <c r="S306">
        <v>0</v>
      </c>
      <c r="T306" s="15">
        <v>0.74073925041507782</v>
      </c>
      <c r="U306">
        <v>33.302470284990008</v>
      </c>
      <c r="V306">
        <v>0</v>
      </c>
      <c r="W306">
        <v>0</v>
      </c>
      <c r="X306">
        <v>0</v>
      </c>
      <c r="Y306">
        <v>0</v>
      </c>
      <c r="Z306">
        <v>1</v>
      </c>
      <c r="AA306">
        <v>0.9</v>
      </c>
      <c r="AB306">
        <v>1.1000000000000001</v>
      </c>
      <c r="AC306">
        <v>0</v>
      </c>
      <c r="AD306">
        <v>0.4061736218593659</v>
      </c>
      <c r="AE306">
        <v>247.09633545678878</v>
      </c>
      <c r="AF306">
        <v>246.76176982823313</v>
      </c>
      <c r="AG306">
        <v>239.25748617124896</v>
      </c>
      <c r="AH306">
        <v>179.2910615508921</v>
      </c>
      <c r="AI306">
        <v>2.1</v>
      </c>
      <c r="AJ306">
        <v>0</v>
      </c>
      <c r="AK306">
        <v>0</v>
      </c>
      <c r="AL306">
        <v>1</v>
      </c>
      <c r="AM306">
        <v>1</v>
      </c>
      <c r="AN306">
        <v>0</v>
      </c>
      <c r="AO306">
        <v>1</v>
      </c>
      <c r="AP306">
        <v>0</v>
      </c>
      <c r="AQ306">
        <v>0</v>
      </c>
      <c r="AR306">
        <v>69.3</v>
      </c>
      <c r="AS306">
        <v>115.2</v>
      </c>
      <c r="AT306">
        <v>231.3</v>
      </c>
      <c r="AU306">
        <v>426.59999999999997</v>
      </c>
      <c r="AV306">
        <v>30</v>
      </c>
    </row>
    <row r="307" spans="1:48">
      <c r="A307">
        <v>306</v>
      </c>
      <c r="B307" s="15">
        <v>0.15999999999999945</v>
      </c>
      <c r="C307">
        <v>13.699999999999811</v>
      </c>
      <c r="D307">
        <v>4.9999999999999254</v>
      </c>
      <c r="E307">
        <v>0.68827212359583534</v>
      </c>
      <c r="F307">
        <v>0</v>
      </c>
      <c r="G307">
        <v>0</v>
      </c>
      <c r="H307">
        <v>0.17841546069950254</v>
      </c>
      <c r="I307">
        <v>0</v>
      </c>
      <c r="J307" s="15">
        <v>0.15999999999999945</v>
      </c>
      <c r="K307" s="15">
        <v>0.15999999999999945</v>
      </c>
      <c r="L307" s="15">
        <v>0.15999999999999945</v>
      </c>
      <c r="M307">
        <v>0</v>
      </c>
      <c r="N307">
        <v>0</v>
      </c>
      <c r="O307" s="15">
        <v>0.16000000476837098</v>
      </c>
      <c r="P307">
        <v>0.82592656916772389</v>
      </c>
      <c r="Q307">
        <v>0.82592656916772389</v>
      </c>
      <c r="R307">
        <v>0</v>
      </c>
      <c r="S307">
        <v>0</v>
      </c>
      <c r="T307" s="15">
        <v>2.9842183111960239</v>
      </c>
      <c r="U307">
        <v>29.652325409394606</v>
      </c>
      <c r="V307">
        <v>0</v>
      </c>
      <c r="W307">
        <v>0</v>
      </c>
      <c r="X307">
        <v>0</v>
      </c>
      <c r="Y307">
        <v>0</v>
      </c>
      <c r="Z307">
        <v>1</v>
      </c>
      <c r="AA307">
        <v>0.9</v>
      </c>
      <c r="AB307">
        <v>1.1000000000000001</v>
      </c>
      <c r="AC307">
        <v>0</v>
      </c>
      <c r="AD307">
        <v>0.45402655242052004</v>
      </c>
      <c r="AE307">
        <v>249.62652721556427</v>
      </c>
      <c r="AF307">
        <v>247.09633545678878</v>
      </c>
      <c r="AG307">
        <v>238.52655114558183</v>
      </c>
      <c r="AH307">
        <v>178.768965103987</v>
      </c>
      <c r="AI307">
        <v>2.1</v>
      </c>
      <c r="AJ307">
        <v>0</v>
      </c>
      <c r="AK307">
        <v>0</v>
      </c>
      <c r="AL307">
        <v>1</v>
      </c>
      <c r="AM307">
        <v>1</v>
      </c>
      <c r="AN307">
        <v>0</v>
      </c>
      <c r="AO307">
        <v>1</v>
      </c>
      <c r="AP307">
        <v>0</v>
      </c>
      <c r="AQ307">
        <v>0</v>
      </c>
      <c r="AR307">
        <v>69.3</v>
      </c>
      <c r="AS307">
        <v>115.2</v>
      </c>
      <c r="AT307">
        <v>231.3</v>
      </c>
      <c r="AU307">
        <v>426.59999999999997</v>
      </c>
      <c r="AV307">
        <v>30</v>
      </c>
    </row>
    <row r="308" spans="1:48">
      <c r="A308">
        <v>307</v>
      </c>
      <c r="B308">
        <v>28.03999999999975</v>
      </c>
      <c r="C308">
        <v>11.959999999999818</v>
      </c>
      <c r="D308">
        <v>7.6599999999998971</v>
      </c>
      <c r="E308">
        <v>0.5180207366245192</v>
      </c>
      <c r="F308">
        <v>0</v>
      </c>
      <c r="G308">
        <v>0</v>
      </c>
      <c r="H308">
        <v>0.16696293350137859</v>
      </c>
      <c r="I308">
        <v>0</v>
      </c>
      <c r="J308">
        <v>28.03999999999975</v>
      </c>
      <c r="K308">
        <v>28.03999999999975</v>
      </c>
      <c r="L308">
        <v>12.230225948550308</v>
      </c>
      <c r="M308">
        <v>0</v>
      </c>
      <c r="N308">
        <v>15.809774051449443</v>
      </c>
      <c r="O308">
        <v>12.23022631303944</v>
      </c>
      <c r="P308">
        <v>0.62162489970503798</v>
      </c>
      <c r="Q308">
        <v>0.62162489970503798</v>
      </c>
      <c r="R308">
        <v>0</v>
      </c>
      <c r="S308">
        <v>0</v>
      </c>
      <c r="T308" s="15">
        <v>6.2252009683563063</v>
      </c>
      <c r="U308">
        <v>35.035725854372714</v>
      </c>
      <c r="V308">
        <v>0</v>
      </c>
      <c r="W308">
        <v>0</v>
      </c>
      <c r="X308">
        <v>0</v>
      </c>
      <c r="Y308">
        <v>0</v>
      </c>
      <c r="Z308">
        <v>1</v>
      </c>
      <c r="AA308">
        <v>0.9</v>
      </c>
      <c r="AB308">
        <v>1.1000000000000001</v>
      </c>
      <c r="AC308">
        <v>0</v>
      </c>
      <c r="AD308">
        <v>0.53334654086905053</v>
      </c>
      <c r="AE308">
        <v>255.31838164305148</v>
      </c>
      <c r="AF308">
        <v>249.62652721556427</v>
      </c>
      <c r="AG308">
        <v>239.55830932086081</v>
      </c>
      <c r="AH308">
        <v>179.50593522918629</v>
      </c>
      <c r="AI308">
        <v>2.1</v>
      </c>
      <c r="AJ308">
        <v>0</v>
      </c>
      <c r="AK308">
        <v>0</v>
      </c>
      <c r="AL308">
        <v>1</v>
      </c>
      <c r="AM308">
        <v>1</v>
      </c>
      <c r="AN308">
        <v>0</v>
      </c>
      <c r="AO308">
        <v>1</v>
      </c>
      <c r="AP308">
        <v>0</v>
      </c>
      <c r="AQ308">
        <v>0</v>
      </c>
      <c r="AR308">
        <v>69.3</v>
      </c>
      <c r="AS308">
        <v>115.2</v>
      </c>
      <c r="AT308">
        <v>231.3</v>
      </c>
      <c r="AU308">
        <v>426.59999999999997</v>
      </c>
      <c r="AV308">
        <v>30</v>
      </c>
    </row>
    <row r="309" spans="1:48">
      <c r="A309">
        <v>308</v>
      </c>
      <c r="B309">
        <v>6.8399999999998879</v>
      </c>
      <c r="C309">
        <v>16.519999999999769</v>
      </c>
      <c r="D309">
        <v>6.0799999999999237</v>
      </c>
      <c r="E309">
        <v>0.97438567009289467</v>
      </c>
      <c r="F309">
        <v>0</v>
      </c>
      <c r="G309">
        <v>0</v>
      </c>
      <c r="H309">
        <v>0.17513500009722607</v>
      </c>
      <c r="I309">
        <v>0</v>
      </c>
      <c r="J309">
        <v>6.8399999999998879</v>
      </c>
      <c r="K309">
        <v>6.8399999999998879</v>
      </c>
      <c r="L309">
        <v>6.0030015011344009</v>
      </c>
      <c r="M309">
        <v>0</v>
      </c>
      <c r="N309">
        <v>0.83699849886548716</v>
      </c>
      <c r="O309">
        <v>6.0030016800377908</v>
      </c>
      <c r="P309">
        <v>1.1692628338428641</v>
      </c>
      <c r="Q309">
        <v>1.1692628338428641</v>
      </c>
      <c r="R309">
        <v>0</v>
      </c>
      <c r="S309">
        <v>0</v>
      </c>
      <c r="T309" s="15">
        <v>6.7984568766290998</v>
      </c>
      <c r="U309">
        <v>33.071007823938551</v>
      </c>
      <c r="V309">
        <v>0</v>
      </c>
      <c r="W309">
        <v>0</v>
      </c>
      <c r="X309">
        <v>0</v>
      </c>
      <c r="Y309">
        <v>0</v>
      </c>
      <c r="Z309">
        <v>1</v>
      </c>
      <c r="AA309">
        <v>0.9</v>
      </c>
      <c r="AB309">
        <v>1.1000000000000001</v>
      </c>
      <c r="AC309">
        <v>0</v>
      </c>
      <c r="AD309">
        <v>0.76851262119563479</v>
      </c>
      <c r="AE309">
        <v>261.34832589848503</v>
      </c>
      <c r="AF309">
        <v>255.31838164305148</v>
      </c>
      <c r="AG309">
        <v>238.82208784124094</v>
      </c>
      <c r="AH309">
        <v>178.98006274374353</v>
      </c>
      <c r="AI309">
        <v>2.1</v>
      </c>
      <c r="AJ309">
        <v>0</v>
      </c>
      <c r="AK309">
        <v>0</v>
      </c>
      <c r="AL309">
        <v>1</v>
      </c>
      <c r="AM309">
        <v>1</v>
      </c>
      <c r="AN309">
        <v>0</v>
      </c>
      <c r="AO309">
        <v>1</v>
      </c>
      <c r="AP309">
        <v>0</v>
      </c>
      <c r="AQ309">
        <v>0</v>
      </c>
      <c r="AR309">
        <v>69.3</v>
      </c>
      <c r="AS309">
        <v>115.2</v>
      </c>
      <c r="AT309">
        <v>231.3</v>
      </c>
      <c r="AU309">
        <v>426.59999999999997</v>
      </c>
      <c r="AV309">
        <v>30</v>
      </c>
    </row>
    <row r="310" spans="1:48">
      <c r="A310">
        <v>309</v>
      </c>
      <c r="B310">
        <v>0</v>
      </c>
      <c r="C310">
        <v>15.119999999999784</v>
      </c>
      <c r="D310">
        <v>2.7799999999999656</v>
      </c>
      <c r="E310">
        <v>0.73938881367765141</v>
      </c>
      <c r="F310">
        <v>0</v>
      </c>
      <c r="G310">
        <v>0</v>
      </c>
      <c r="H310">
        <v>0.15322948322133953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0.88726659903424476</v>
      </c>
      <c r="Q310">
        <v>0.88726659903424476</v>
      </c>
      <c r="R310">
        <v>0</v>
      </c>
      <c r="S310">
        <v>0</v>
      </c>
      <c r="T310" s="15">
        <v>2.7660090531322887</v>
      </c>
      <c r="U310">
        <v>29.41773217177202</v>
      </c>
      <c r="V310">
        <v>0</v>
      </c>
      <c r="W310">
        <v>0</v>
      </c>
      <c r="X310">
        <v>0</v>
      </c>
      <c r="Y310">
        <v>0</v>
      </c>
      <c r="Z310">
        <v>1</v>
      </c>
      <c r="AA310">
        <v>0.9</v>
      </c>
      <c r="AB310">
        <v>1.1000000000000001</v>
      </c>
      <c r="AC310">
        <v>0</v>
      </c>
      <c r="AD310">
        <v>0.92814722468287381</v>
      </c>
      <c r="AE310">
        <v>263.18618772693435</v>
      </c>
      <c r="AF310">
        <v>261.34832589848497</v>
      </c>
      <c r="AG310">
        <v>240.79555585658952</v>
      </c>
      <c r="AH310">
        <v>180.38968275470683</v>
      </c>
      <c r="AI310">
        <v>2.1</v>
      </c>
      <c r="AJ310">
        <v>0</v>
      </c>
      <c r="AK310">
        <v>0</v>
      </c>
      <c r="AL310">
        <v>1</v>
      </c>
      <c r="AM310">
        <v>1</v>
      </c>
      <c r="AN310">
        <v>0</v>
      </c>
      <c r="AO310">
        <v>1</v>
      </c>
      <c r="AP310">
        <v>0</v>
      </c>
      <c r="AQ310">
        <v>0</v>
      </c>
      <c r="AR310">
        <v>69.3</v>
      </c>
      <c r="AS310">
        <v>115.2</v>
      </c>
      <c r="AT310">
        <v>231.3</v>
      </c>
      <c r="AU310">
        <v>426.59999999999997</v>
      </c>
      <c r="AV310">
        <v>30</v>
      </c>
    </row>
    <row r="311" spans="1:48">
      <c r="A311">
        <v>310</v>
      </c>
      <c r="B311">
        <v>0</v>
      </c>
      <c r="C311">
        <v>15.699999999999775</v>
      </c>
      <c r="D311">
        <v>1.8399999999999852</v>
      </c>
      <c r="E311">
        <v>0.71510087589365023</v>
      </c>
      <c r="F311">
        <v>0</v>
      </c>
      <c r="G311">
        <v>0</v>
      </c>
      <c r="H311">
        <v>0.16450933236156001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0.85812107299860385</v>
      </c>
      <c r="Q311">
        <v>0.85812107299860385</v>
      </c>
      <c r="R311">
        <v>0</v>
      </c>
      <c r="S311">
        <v>0</v>
      </c>
      <c r="T311" s="15">
        <v>0.98887888376326283</v>
      </c>
      <c r="U311">
        <v>27.570732215010153</v>
      </c>
      <c r="V311">
        <v>0</v>
      </c>
      <c r="W311">
        <v>0</v>
      </c>
      <c r="X311">
        <v>0</v>
      </c>
      <c r="Y311">
        <v>0</v>
      </c>
      <c r="Z311">
        <v>1</v>
      </c>
      <c r="AA311">
        <v>0.9</v>
      </c>
      <c r="AB311">
        <v>1.1000000000000001</v>
      </c>
      <c r="AC311">
        <v>0</v>
      </c>
      <c r="AD311">
        <v>0.95994812361082005</v>
      </c>
      <c r="AE311">
        <v>263.21511848708661</v>
      </c>
      <c r="AF311">
        <v>263.18618772693435</v>
      </c>
      <c r="AG311">
        <v>239.77935424754708</v>
      </c>
      <c r="AH311">
        <v>179.66382446253363</v>
      </c>
      <c r="AI311">
        <v>2.1</v>
      </c>
      <c r="AJ311">
        <v>0</v>
      </c>
      <c r="AK311">
        <v>0</v>
      </c>
      <c r="AL311">
        <v>1</v>
      </c>
      <c r="AM311">
        <v>1</v>
      </c>
      <c r="AN311">
        <v>0</v>
      </c>
      <c r="AO311">
        <v>1</v>
      </c>
      <c r="AP311">
        <v>0</v>
      </c>
      <c r="AQ311">
        <v>0</v>
      </c>
      <c r="AR311">
        <v>69.3</v>
      </c>
      <c r="AS311">
        <v>115.2</v>
      </c>
      <c r="AT311">
        <v>231.3</v>
      </c>
      <c r="AU311">
        <v>426.59999999999997</v>
      </c>
      <c r="AV311">
        <v>30</v>
      </c>
    </row>
    <row r="312" spans="1:48">
      <c r="A312">
        <v>311</v>
      </c>
      <c r="B312">
        <v>0</v>
      </c>
      <c r="C312">
        <v>15.059999999999791</v>
      </c>
      <c r="D312">
        <v>1.6999999999999802</v>
      </c>
      <c r="E312">
        <v>0.73606247658042057</v>
      </c>
      <c r="F312">
        <v>0</v>
      </c>
      <c r="G312">
        <v>0</v>
      </c>
      <c r="H312">
        <v>0.16567515337692751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0.88327499450659219</v>
      </c>
      <c r="Q312">
        <v>0.88327499450659219</v>
      </c>
      <c r="R312">
        <v>0</v>
      </c>
      <c r="S312">
        <v>0</v>
      </c>
      <c r="T312" s="15">
        <v>0.4986088201717726</v>
      </c>
      <c r="U312">
        <v>26.1888484003318</v>
      </c>
      <c r="V312">
        <v>0</v>
      </c>
      <c r="W312">
        <v>0</v>
      </c>
      <c r="X312">
        <v>0</v>
      </c>
      <c r="Y312">
        <v>0</v>
      </c>
      <c r="Z312">
        <v>1</v>
      </c>
      <c r="AA312">
        <v>0.9</v>
      </c>
      <c r="AB312">
        <v>1.1000000000000001</v>
      </c>
      <c r="AC312">
        <v>0</v>
      </c>
      <c r="AD312">
        <v>0.9481885030389261</v>
      </c>
      <c r="AE312">
        <v>262.76553880421943</v>
      </c>
      <c r="AF312">
        <v>263.21511848708661</v>
      </c>
      <c r="AG312">
        <v>239.67432543227261</v>
      </c>
      <c r="AH312">
        <v>179.58880388019472</v>
      </c>
      <c r="AI312">
        <v>2.1</v>
      </c>
      <c r="AJ312">
        <v>0</v>
      </c>
      <c r="AK312">
        <v>0</v>
      </c>
      <c r="AL312">
        <v>1</v>
      </c>
      <c r="AM312">
        <v>1</v>
      </c>
      <c r="AN312">
        <v>0</v>
      </c>
      <c r="AO312">
        <v>1</v>
      </c>
      <c r="AP312">
        <v>0</v>
      </c>
      <c r="AQ312">
        <v>0</v>
      </c>
      <c r="AR312">
        <v>69.3</v>
      </c>
      <c r="AS312">
        <v>115.2</v>
      </c>
      <c r="AT312">
        <v>231.3</v>
      </c>
      <c r="AU312">
        <v>426.59999999999997</v>
      </c>
      <c r="AV312">
        <v>30</v>
      </c>
    </row>
    <row r="313" spans="1:48">
      <c r="A313">
        <v>312</v>
      </c>
      <c r="B313" s="15">
        <v>0.839999999999965</v>
      </c>
      <c r="C313">
        <v>9.7399999999998634</v>
      </c>
      <c r="D313">
        <v>4.2799999999999443</v>
      </c>
      <c r="E313">
        <v>0.48775621548595083</v>
      </c>
      <c r="F313">
        <v>0</v>
      </c>
      <c r="G313">
        <v>0</v>
      </c>
      <c r="H313">
        <v>0.16466899653909736</v>
      </c>
      <c r="I313">
        <v>0</v>
      </c>
      <c r="J313" s="15">
        <v>0.839999999999965</v>
      </c>
      <c r="K313" s="15">
        <v>0.839999999999965</v>
      </c>
      <c r="L313" s="15">
        <v>0.839999999999965</v>
      </c>
      <c r="M313">
        <v>0</v>
      </c>
      <c r="N313">
        <v>0</v>
      </c>
      <c r="O313" s="15">
        <v>0.84000002503391624</v>
      </c>
      <c r="P313">
        <v>0.58530747358843016</v>
      </c>
      <c r="Q313">
        <v>0.58530747358843016</v>
      </c>
      <c r="R313">
        <v>0</v>
      </c>
      <c r="S313">
        <v>0</v>
      </c>
      <c r="T313" s="15">
        <v>0.35111782429427224</v>
      </c>
      <c r="U313">
        <v>26.09242312748302</v>
      </c>
      <c r="V313">
        <v>0</v>
      </c>
      <c r="W313">
        <v>0</v>
      </c>
      <c r="X313">
        <v>0</v>
      </c>
      <c r="Y313">
        <v>0</v>
      </c>
      <c r="Z313">
        <v>1</v>
      </c>
      <c r="AA313">
        <v>0.9</v>
      </c>
      <c r="AB313">
        <v>1.1000000000000001</v>
      </c>
      <c r="AC313">
        <v>0</v>
      </c>
      <c r="AD313">
        <v>0.92325189790799234</v>
      </c>
      <c r="AE313">
        <v>262.19340473060572</v>
      </c>
      <c r="AF313">
        <v>262.76553880421943</v>
      </c>
      <c r="AG313">
        <v>239.76497010179273</v>
      </c>
      <c r="AH313">
        <v>179.65355007270909</v>
      </c>
      <c r="AI313">
        <v>2.1</v>
      </c>
      <c r="AJ313">
        <v>0</v>
      </c>
      <c r="AK313">
        <v>0</v>
      </c>
      <c r="AL313">
        <v>1</v>
      </c>
      <c r="AM313">
        <v>1</v>
      </c>
      <c r="AN313">
        <v>0</v>
      </c>
      <c r="AO313">
        <v>1</v>
      </c>
      <c r="AP313">
        <v>0</v>
      </c>
      <c r="AQ313">
        <v>0</v>
      </c>
      <c r="AR313">
        <v>69.3</v>
      </c>
      <c r="AS313">
        <v>115.2</v>
      </c>
      <c r="AT313">
        <v>231.3</v>
      </c>
      <c r="AU313">
        <v>426.59999999999997</v>
      </c>
      <c r="AV313">
        <v>30</v>
      </c>
    </row>
    <row r="314" spans="1:48">
      <c r="A314">
        <v>313</v>
      </c>
      <c r="B314">
        <v>0</v>
      </c>
      <c r="C314">
        <v>13.199999999999807</v>
      </c>
      <c r="D314">
        <v>4.0799999999999557</v>
      </c>
      <c r="E314">
        <v>0.6070358941905436</v>
      </c>
      <c r="F314">
        <v>0</v>
      </c>
      <c r="G314">
        <v>0</v>
      </c>
      <c r="H314">
        <v>0.1765876971094201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0.72844309172670574</v>
      </c>
      <c r="Q314">
        <v>0.72844309172670574</v>
      </c>
      <c r="R314">
        <v>0</v>
      </c>
      <c r="S314">
        <v>0</v>
      </c>
      <c r="T314" s="15">
        <v>0.27456117935151614</v>
      </c>
      <c r="U314">
        <v>25.089418856404787</v>
      </c>
      <c r="V314">
        <v>0</v>
      </c>
      <c r="W314">
        <v>0</v>
      </c>
      <c r="X314">
        <v>0</v>
      </c>
      <c r="Y314">
        <v>0</v>
      </c>
      <c r="Z314">
        <v>1</v>
      </c>
      <c r="AA314">
        <v>0.9</v>
      </c>
      <c r="AB314">
        <v>1.1000000000000001</v>
      </c>
      <c r="AC314">
        <v>0</v>
      </c>
      <c r="AD314">
        <v>0.89669248287822456</v>
      </c>
      <c r="AE314">
        <v>261.57127342707906</v>
      </c>
      <c r="AF314">
        <v>262.19340473060578</v>
      </c>
      <c r="AG314">
        <v>238.69121436741236</v>
      </c>
      <c r="AH314">
        <v>178.88658169100884</v>
      </c>
      <c r="AI314">
        <v>2.1</v>
      </c>
      <c r="AJ314">
        <v>0</v>
      </c>
      <c r="AK314">
        <v>0</v>
      </c>
      <c r="AL314">
        <v>1</v>
      </c>
      <c r="AM314">
        <v>1</v>
      </c>
      <c r="AN314">
        <v>0</v>
      </c>
      <c r="AO314">
        <v>1</v>
      </c>
      <c r="AP314">
        <v>0</v>
      </c>
      <c r="AQ314">
        <v>0</v>
      </c>
      <c r="AR314">
        <v>69.3</v>
      </c>
      <c r="AS314">
        <v>115.2</v>
      </c>
      <c r="AT314">
        <v>231.3</v>
      </c>
      <c r="AU314">
        <v>426.59999999999997</v>
      </c>
      <c r="AV314">
        <v>30</v>
      </c>
    </row>
    <row r="315" spans="1:48">
      <c r="A315">
        <v>314</v>
      </c>
      <c r="B315" s="15">
        <v>0</v>
      </c>
      <c r="C315">
        <v>14.519999999999788</v>
      </c>
      <c r="D315">
        <v>9.6599999999998651</v>
      </c>
      <c r="E315">
        <v>0.6920637356660474</v>
      </c>
      <c r="F315">
        <v>0</v>
      </c>
      <c r="G315">
        <v>0</v>
      </c>
      <c r="H315">
        <v>0.17086227251186228</v>
      </c>
      <c r="I315">
        <v>0</v>
      </c>
      <c r="J315" s="15">
        <v>0</v>
      </c>
      <c r="K315" s="15">
        <v>0</v>
      </c>
      <c r="L315" s="15">
        <v>0</v>
      </c>
      <c r="M315">
        <v>0</v>
      </c>
      <c r="N315">
        <v>0</v>
      </c>
      <c r="O315" s="15">
        <v>0</v>
      </c>
      <c r="P315">
        <v>0.83047650413828455</v>
      </c>
      <c r="Q315">
        <v>0.83047650413828455</v>
      </c>
      <c r="R315">
        <v>0</v>
      </c>
      <c r="S315">
        <v>0</v>
      </c>
      <c r="T315" s="15">
        <v>0.16895768287994012</v>
      </c>
      <c r="U315">
        <v>24.089984669386567</v>
      </c>
      <c r="V315">
        <v>0</v>
      </c>
      <c r="W315">
        <v>0</v>
      </c>
      <c r="X315">
        <v>0</v>
      </c>
      <c r="Y315">
        <v>0</v>
      </c>
      <c r="Z315">
        <v>1</v>
      </c>
      <c r="AA315">
        <v>0.9</v>
      </c>
      <c r="AB315">
        <v>1.1000000000000001</v>
      </c>
      <c r="AC315">
        <v>0</v>
      </c>
      <c r="AD315">
        <v>0.86746653423518527</v>
      </c>
      <c r="AE315">
        <v>260.87276457572386</v>
      </c>
      <c r="AF315">
        <v>261.57127342707906</v>
      </c>
      <c r="AG315">
        <v>239.20701786940634</v>
      </c>
      <c r="AH315">
        <v>179.25501276386169</v>
      </c>
      <c r="AI315">
        <v>2.1</v>
      </c>
      <c r="AJ315">
        <v>0</v>
      </c>
      <c r="AK315">
        <v>0</v>
      </c>
      <c r="AL315">
        <v>1</v>
      </c>
      <c r="AM315">
        <v>1</v>
      </c>
      <c r="AN315">
        <v>0</v>
      </c>
      <c r="AO315">
        <v>1</v>
      </c>
      <c r="AP315">
        <v>0</v>
      </c>
      <c r="AQ315">
        <v>0</v>
      </c>
      <c r="AR315">
        <v>69.3</v>
      </c>
      <c r="AS315">
        <v>115.2</v>
      </c>
      <c r="AT315">
        <v>231.3</v>
      </c>
      <c r="AU315">
        <v>426.59999999999997</v>
      </c>
      <c r="AV315">
        <v>30</v>
      </c>
    </row>
    <row r="316" spans="1:48">
      <c r="A316">
        <v>315</v>
      </c>
      <c r="B316" s="15">
        <v>7.9999999999999724E-2</v>
      </c>
      <c r="C316">
        <v>15.979999999999778</v>
      </c>
      <c r="D316">
        <v>8.5799999999998953</v>
      </c>
      <c r="E316">
        <v>0.6629232213677575</v>
      </c>
      <c r="F316">
        <v>0</v>
      </c>
      <c r="G316">
        <v>0</v>
      </c>
      <c r="H316">
        <v>0.16678093610662409</v>
      </c>
      <c r="I316">
        <v>0</v>
      </c>
      <c r="J316" s="15">
        <v>7.9999999999999724E-2</v>
      </c>
      <c r="K316" s="15">
        <v>7.9999999999999724E-2</v>
      </c>
      <c r="L316" s="15">
        <v>7.9999999999999724E-2</v>
      </c>
      <c r="M316">
        <v>0</v>
      </c>
      <c r="N316">
        <v>0</v>
      </c>
      <c r="O316" s="15">
        <v>8.000000238418549E-2</v>
      </c>
      <c r="P316">
        <v>0.79550788609918599</v>
      </c>
      <c r="Q316">
        <v>0.79550788609918599</v>
      </c>
      <c r="R316">
        <v>0</v>
      </c>
      <c r="S316">
        <v>0</v>
      </c>
      <c r="T316" s="15">
        <v>0.10554266699306809</v>
      </c>
      <c r="U316">
        <v>23.268934118678512</v>
      </c>
      <c r="V316">
        <v>0</v>
      </c>
      <c r="W316">
        <v>0</v>
      </c>
      <c r="X316">
        <v>0</v>
      </c>
      <c r="Y316">
        <v>0</v>
      </c>
      <c r="Z316">
        <v>1</v>
      </c>
      <c r="AA316">
        <v>0.9</v>
      </c>
      <c r="AB316">
        <v>1.1000000000000001</v>
      </c>
      <c r="AC316">
        <v>0</v>
      </c>
      <c r="AD316">
        <v>0.83681229733237783</v>
      </c>
      <c r="AE316">
        <v>260.14149494538464</v>
      </c>
      <c r="AF316">
        <v>260.87276457572392</v>
      </c>
      <c r="AG316">
        <v>239.57470546615426</v>
      </c>
      <c r="AH316">
        <v>179.51764676153874</v>
      </c>
      <c r="AI316">
        <v>2.1</v>
      </c>
      <c r="AJ316">
        <v>0</v>
      </c>
      <c r="AK316">
        <v>0</v>
      </c>
      <c r="AL316">
        <v>1</v>
      </c>
      <c r="AM316">
        <v>1</v>
      </c>
      <c r="AN316">
        <v>0</v>
      </c>
      <c r="AO316">
        <v>1</v>
      </c>
      <c r="AP316">
        <v>0</v>
      </c>
      <c r="AQ316">
        <v>0</v>
      </c>
      <c r="AR316">
        <v>69.3</v>
      </c>
      <c r="AS316">
        <v>115.2</v>
      </c>
      <c r="AT316">
        <v>231.3</v>
      </c>
      <c r="AU316">
        <v>426.59999999999997</v>
      </c>
      <c r="AV316">
        <v>30</v>
      </c>
    </row>
    <row r="317" spans="1:48">
      <c r="A317">
        <v>316</v>
      </c>
      <c r="B317">
        <v>7.9999999999999724E-2</v>
      </c>
      <c r="C317">
        <v>16.799999999999766</v>
      </c>
      <c r="D317">
        <v>6.9199999999999129</v>
      </c>
      <c r="E317">
        <v>0.59926110867481819</v>
      </c>
      <c r="F317">
        <v>0</v>
      </c>
      <c r="G317">
        <v>0</v>
      </c>
      <c r="H317">
        <v>0.16817968079692369</v>
      </c>
      <c r="I317">
        <v>0</v>
      </c>
      <c r="J317">
        <v>7.9999999999999724E-2</v>
      </c>
      <c r="K317">
        <v>7.9999999999999724E-2</v>
      </c>
      <c r="L317">
        <v>7.9999999999999724E-2</v>
      </c>
      <c r="M317">
        <v>0</v>
      </c>
      <c r="N317">
        <v>0</v>
      </c>
      <c r="O317">
        <v>8.000000238418549E-2</v>
      </c>
      <c r="P317">
        <v>0.7191133489160132</v>
      </c>
      <c r="Q317">
        <v>0.7191133489160132</v>
      </c>
      <c r="R317">
        <v>0</v>
      </c>
      <c r="S317">
        <v>0</v>
      </c>
      <c r="T317" s="15">
        <v>6.9587427343663605E-2</v>
      </c>
      <c r="U317">
        <v>22.560233344803027</v>
      </c>
      <c r="V317">
        <v>0</v>
      </c>
      <c r="W317">
        <v>0</v>
      </c>
      <c r="X317">
        <v>0</v>
      </c>
      <c r="Y317">
        <v>0</v>
      </c>
      <c r="Z317">
        <v>1</v>
      </c>
      <c r="AA317">
        <v>0.9</v>
      </c>
      <c r="AB317">
        <v>1.1000000000000001</v>
      </c>
      <c r="AC317">
        <v>0</v>
      </c>
      <c r="AD317">
        <v>0.80642664058041569</v>
      </c>
      <c r="AE317">
        <v>259.40465573214789</v>
      </c>
      <c r="AF317">
        <v>260.14149494538464</v>
      </c>
      <c r="AG317">
        <v>239.44869255700516</v>
      </c>
      <c r="AH317">
        <v>179.42763754071797</v>
      </c>
      <c r="AI317">
        <v>2.1</v>
      </c>
      <c r="AJ317">
        <v>0</v>
      </c>
      <c r="AK317">
        <v>0</v>
      </c>
      <c r="AL317">
        <v>1</v>
      </c>
      <c r="AM317">
        <v>1</v>
      </c>
      <c r="AN317">
        <v>0</v>
      </c>
      <c r="AO317">
        <v>1</v>
      </c>
      <c r="AP317">
        <v>0</v>
      </c>
      <c r="AQ317">
        <v>0</v>
      </c>
      <c r="AR317">
        <v>69.3</v>
      </c>
      <c r="AS317">
        <v>115.2</v>
      </c>
      <c r="AT317">
        <v>231.3</v>
      </c>
      <c r="AU317">
        <v>426.59999999999997</v>
      </c>
      <c r="AV317">
        <v>30</v>
      </c>
    </row>
    <row r="318" spans="1:48">
      <c r="A318">
        <v>317</v>
      </c>
      <c r="B318" s="15">
        <v>18.159999999999762</v>
      </c>
      <c r="C318">
        <v>14.219999999999825</v>
      </c>
      <c r="D318">
        <v>7.6599999999998927</v>
      </c>
      <c r="E318">
        <v>0.54458657207211547</v>
      </c>
      <c r="F318">
        <v>0</v>
      </c>
      <c r="G318">
        <v>0</v>
      </c>
      <c r="H318">
        <v>0.17123546221594854</v>
      </c>
      <c r="I318">
        <v>0</v>
      </c>
      <c r="J318" s="15">
        <v>18.159999999999762</v>
      </c>
      <c r="K318" s="15">
        <v>18.159999999999762</v>
      </c>
      <c r="L318" s="15">
        <v>10.511095256743127</v>
      </c>
      <c r="M318">
        <v>0</v>
      </c>
      <c r="N318">
        <v>7.6489047432566348</v>
      </c>
      <c r="O318" s="15">
        <v>10.511095569998178</v>
      </c>
      <c r="P318">
        <v>0.65350390331406649</v>
      </c>
      <c r="Q318">
        <v>0.65350390331406649</v>
      </c>
      <c r="R318">
        <v>0</v>
      </c>
      <c r="S318">
        <v>0</v>
      </c>
      <c r="T318" s="15">
        <v>0.92433266339249587</v>
      </c>
      <c r="U318">
        <v>31.493492348094644</v>
      </c>
      <c r="V318">
        <v>0</v>
      </c>
      <c r="W318">
        <v>0</v>
      </c>
      <c r="X318">
        <v>0</v>
      </c>
      <c r="Y318">
        <v>0</v>
      </c>
      <c r="Z318">
        <v>1</v>
      </c>
      <c r="AA318">
        <v>0.9</v>
      </c>
      <c r="AB318">
        <v>1.1000000000000001</v>
      </c>
      <c r="AC318">
        <v>0</v>
      </c>
      <c r="AD318">
        <v>0.7847808960700946</v>
      </c>
      <c r="AE318">
        <v>259.54420749947036</v>
      </c>
      <c r="AF318">
        <v>259.40465573214789</v>
      </c>
      <c r="AG318">
        <v>239.17339720896521</v>
      </c>
      <c r="AH318">
        <v>179.23099800640372</v>
      </c>
      <c r="AI318">
        <v>2.1</v>
      </c>
      <c r="AJ318">
        <v>0</v>
      </c>
      <c r="AK318">
        <v>0</v>
      </c>
      <c r="AL318">
        <v>1</v>
      </c>
      <c r="AM318">
        <v>1</v>
      </c>
      <c r="AN318">
        <v>0</v>
      </c>
      <c r="AO318">
        <v>1</v>
      </c>
      <c r="AP318">
        <v>0</v>
      </c>
      <c r="AQ318">
        <v>0</v>
      </c>
      <c r="AR318">
        <v>69.3</v>
      </c>
      <c r="AS318">
        <v>115.2</v>
      </c>
      <c r="AT318">
        <v>231.3</v>
      </c>
      <c r="AU318">
        <v>426.59999999999997</v>
      </c>
      <c r="AV318">
        <v>30</v>
      </c>
    </row>
    <row r="319" spans="1:48">
      <c r="A319">
        <v>318</v>
      </c>
      <c r="B319">
        <v>36.439999999999529</v>
      </c>
      <c r="C319">
        <v>11.119999999999838</v>
      </c>
      <c r="D319">
        <v>10.19999999999985</v>
      </c>
      <c r="E319">
        <v>0.41721719341670743</v>
      </c>
      <c r="F319">
        <v>0</v>
      </c>
      <c r="G319">
        <v>0</v>
      </c>
      <c r="H319">
        <v>0.17385983998136698</v>
      </c>
      <c r="I319">
        <v>0</v>
      </c>
      <c r="J319">
        <v>36.439999999999529</v>
      </c>
      <c r="K319">
        <v>36.439999999999529</v>
      </c>
      <c r="L319">
        <v>13.116350031473036</v>
      </c>
      <c r="M319">
        <v>0</v>
      </c>
      <c r="N319">
        <v>23.323649968526492</v>
      </c>
      <c r="O319">
        <v>13.116350422370726</v>
      </c>
      <c r="P319">
        <v>0.5006606449980755</v>
      </c>
      <c r="Q319">
        <v>0.5006606449980755</v>
      </c>
      <c r="R319">
        <v>0</v>
      </c>
      <c r="S319">
        <v>0</v>
      </c>
      <c r="T319" s="15">
        <v>8.609617285147257</v>
      </c>
      <c r="U319">
        <v>35.499564840320048</v>
      </c>
      <c r="V319">
        <v>0</v>
      </c>
      <c r="W319">
        <v>0</v>
      </c>
      <c r="X319">
        <v>0</v>
      </c>
      <c r="Y319">
        <v>0</v>
      </c>
      <c r="Z319">
        <v>1</v>
      </c>
      <c r="AA319">
        <v>0.9</v>
      </c>
      <c r="AB319">
        <v>1.1000000000000001</v>
      </c>
      <c r="AC319">
        <v>0</v>
      </c>
      <c r="AD319">
        <v>0.93634418103230321</v>
      </c>
      <c r="AE319">
        <v>267.21748060358516</v>
      </c>
      <c r="AF319">
        <v>259.5442074994703</v>
      </c>
      <c r="AG319">
        <v>238.93696701607865</v>
      </c>
      <c r="AH319">
        <v>179.06211929719905</v>
      </c>
      <c r="AI319">
        <v>2.1</v>
      </c>
      <c r="AJ319">
        <v>0</v>
      </c>
      <c r="AK319">
        <v>0</v>
      </c>
      <c r="AL319">
        <v>1</v>
      </c>
      <c r="AM319">
        <v>1</v>
      </c>
      <c r="AN319">
        <v>0</v>
      </c>
      <c r="AO319">
        <v>1</v>
      </c>
      <c r="AP319">
        <v>0</v>
      </c>
      <c r="AQ319">
        <v>0</v>
      </c>
      <c r="AR319">
        <v>69.3</v>
      </c>
      <c r="AS319">
        <v>115.2</v>
      </c>
      <c r="AT319">
        <v>231.3</v>
      </c>
      <c r="AU319">
        <v>426.59999999999997</v>
      </c>
      <c r="AV319">
        <v>30</v>
      </c>
    </row>
    <row r="320" spans="1:48">
      <c r="A320">
        <v>319</v>
      </c>
      <c r="B320" s="15">
        <v>4.2799999999999274</v>
      </c>
      <c r="C320">
        <v>12.359999999999816</v>
      </c>
      <c r="D320">
        <v>9.6599999999998598</v>
      </c>
      <c r="E320">
        <v>0.46532337718157685</v>
      </c>
      <c r="F320">
        <v>0</v>
      </c>
      <c r="G320">
        <v>0</v>
      </c>
      <c r="H320">
        <v>0.17997357017735413</v>
      </c>
      <c r="I320">
        <v>0</v>
      </c>
      <c r="J320" s="15">
        <v>4.2799999999999274</v>
      </c>
      <c r="K320" s="15">
        <v>4.2799999999999274</v>
      </c>
      <c r="L320" s="15">
        <v>4.1593435485459693</v>
      </c>
      <c r="M320">
        <v>0</v>
      </c>
      <c r="N320">
        <v>0.12065645145395799</v>
      </c>
      <c r="O320" s="15">
        <v>4.1593436725040656</v>
      </c>
      <c r="P320">
        <v>0.55838806700877608</v>
      </c>
      <c r="Q320">
        <v>0.55838806700877608</v>
      </c>
      <c r="R320">
        <v>0</v>
      </c>
      <c r="S320">
        <v>0</v>
      </c>
      <c r="T320" s="15">
        <v>6.5626368752723803</v>
      </c>
      <c r="U320">
        <v>32.537883570542981</v>
      </c>
      <c r="V320">
        <v>0</v>
      </c>
      <c r="W320">
        <v>0</v>
      </c>
      <c r="X320">
        <v>0</v>
      </c>
      <c r="Y320">
        <v>0</v>
      </c>
      <c r="Z320">
        <v>1</v>
      </c>
      <c r="AA320">
        <v>0.9</v>
      </c>
      <c r="AB320">
        <v>1.1000000000000001</v>
      </c>
      <c r="AC320">
        <v>0</v>
      </c>
      <c r="AD320">
        <v>1.3589069685123745</v>
      </c>
      <c r="AE320">
        <v>272.42121051034536</v>
      </c>
      <c r="AF320">
        <v>267.21748060358522</v>
      </c>
      <c r="AG320">
        <v>238.38618106272216</v>
      </c>
      <c r="AH320">
        <v>178.66870075908724</v>
      </c>
      <c r="AI320">
        <v>2.1</v>
      </c>
      <c r="AJ320">
        <v>0</v>
      </c>
      <c r="AK320">
        <v>0</v>
      </c>
      <c r="AL320">
        <v>1</v>
      </c>
      <c r="AM320">
        <v>1</v>
      </c>
      <c r="AN320">
        <v>0</v>
      </c>
      <c r="AO320">
        <v>1</v>
      </c>
      <c r="AP320">
        <v>0</v>
      </c>
      <c r="AQ320">
        <v>0</v>
      </c>
      <c r="AR320">
        <v>69.3</v>
      </c>
      <c r="AS320">
        <v>115.2</v>
      </c>
      <c r="AT320">
        <v>231.3</v>
      </c>
      <c r="AU320">
        <v>426.59999999999997</v>
      </c>
      <c r="AV320">
        <v>30</v>
      </c>
    </row>
    <row r="321" spans="1:48">
      <c r="A321">
        <v>320</v>
      </c>
      <c r="B321" s="15">
        <v>2.9199999999999449</v>
      </c>
      <c r="C321">
        <v>13.619999999999806</v>
      </c>
      <c r="D321">
        <v>8.1799999999998896</v>
      </c>
      <c r="E321">
        <v>0.5534663715220387</v>
      </c>
      <c r="F321">
        <v>0</v>
      </c>
      <c r="G321">
        <v>0</v>
      </c>
      <c r="H321">
        <v>0.17766447334853844</v>
      </c>
      <c r="I321">
        <v>0</v>
      </c>
      <c r="J321" s="15">
        <v>2.9199999999999449</v>
      </c>
      <c r="K321" s="15">
        <v>2.9199999999999449</v>
      </c>
      <c r="L321" s="15">
        <v>2.9199954141345912</v>
      </c>
      <c r="M321">
        <v>0</v>
      </c>
      <c r="N321">
        <v>4.5858653534773306E-6</v>
      </c>
      <c r="O321" s="15">
        <v>2.9199955011572376</v>
      </c>
      <c r="P321">
        <v>0.66415966294888218</v>
      </c>
      <c r="Q321">
        <v>0.66415966294888218</v>
      </c>
      <c r="R321">
        <v>0</v>
      </c>
      <c r="S321">
        <v>0</v>
      </c>
      <c r="T321" s="15">
        <v>3.5104673689312604</v>
      </c>
      <c r="U321">
        <v>31.283252039820045</v>
      </c>
      <c r="V321">
        <v>0</v>
      </c>
      <c r="W321">
        <v>0</v>
      </c>
      <c r="X321">
        <v>0</v>
      </c>
      <c r="Y321">
        <v>0</v>
      </c>
      <c r="Z321">
        <v>1</v>
      </c>
      <c r="AA321">
        <v>0.9</v>
      </c>
      <c r="AB321">
        <v>1.1000000000000001</v>
      </c>
      <c r="AC321">
        <v>0</v>
      </c>
      <c r="AD321">
        <v>1.5745662787922217</v>
      </c>
      <c r="AE321">
        <v>274.35711160048459</v>
      </c>
      <c r="AF321">
        <v>272.42121051034542</v>
      </c>
      <c r="AG321">
        <v>238.59420759603017</v>
      </c>
      <c r="AH321">
        <v>178.81729114002155</v>
      </c>
      <c r="AI321">
        <v>2.1</v>
      </c>
      <c r="AJ321">
        <v>0</v>
      </c>
      <c r="AK321">
        <v>0</v>
      </c>
      <c r="AL321">
        <v>1</v>
      </c>
      <c r="AM321">
        <v>1</v>
      </c>
      <c r="AN321">
        <v>0</v>
      </c>
      <c r="AO321">
        <v>1</v>
      </c>
      <c r="AP321">
        <v>0</v>
      </c>
      <c r="AQ321">
        <v>0</v>
      </c>
      <c r="AR321">
        <v>69.3</v>
      </c>
      <c r="AS321">
        <v>115.2</v>
      </c>
      <c r="AT321">
        <v>231.3</v>
      </c>
      <c r="AU321">
        <v>426.59999999999997</v>
      </c>
      <c r="AV321">
        <v>30</v>
      </c>
    </row>
    <row r="322" spans="1:48">
      <c r="A322">
        <v>321</v>
      </c>
      <c r="B322">
        <v>2.3599999999999639</v>
      </c>
      <c r="C322">
        <v>13.339999999999812</v>
      </c>
      <c r="D322">
        <v>8.4199999999998809</v>
      </c>
      <c r="E322">
        <v>0.51151567477169002</v>
      </c>
      <c r="F322">
        <v>0</v>
      </c>
      <c r="G322">
        <v>0</v>
      </c>
      <c r="H322">
        <v>0.17343360960550136</v>
      </c>
      <c r="I322">
        <v>0</v>
      </c>
      <c r="J322">
        <v>2.3599999999999639</v>
      </c>
      <c r="K322">
        <v>2.3599999999999639</v>
      </c>
      <c r="L322">
        <v>2.3599999999999639</v>
      </c>
      <c r="M322">
        <v>0</v>
      </c>
      <c r="N322">
        <v>0</v>
      </c>
      <c r="O322">
        <v>2.3600000703334452</v>
      </c>
      <c r="P322">
        <v>0.61381882555491452</v>
      </c>
      <c r="Q322">
        <v>0.61381882555491452</v>
      </c>
      <c r="R322">
        <v>0</v>
      </c>
      <c r="S322">
        <v>0</v>
      </c>
      <c r="T322" s="15">
        <v>2.4904255221599212</v>
      </c>
      <c r="U322">
        <v>30.539007762438658</v>
      </c>
      <c r="V322">
        <v>0</v>
      </c>
      <c r="W322">
        <v>0</v>
      </c>
      <c r="X322">
        <v>0</v>
      </c>
      <c r="Y322">
        <v>0</v>
      </c>
      <c r="Z322">
        <v>1</v>
      </c>
      <c r="AA322">
        <v>0.9</v>
      </c>
      <c r="AB322">
        <v>1.1000000000000001</v>
      </c>
      <c r="AC322">
        <v>0</v>
      </c>
      <c r="AD322">
        <v>1.6729475753193628</v>
      </c>
      <c r="AE322">
        <v>275.17458954732513</v>
      </c>
      <c r="AF322">
        <v>274.35711160048459</v>
      </c>
      <c r="AG322">
        <v>238.97536611064038</v>
      </c>
      <c r="AH322">
        <v>179.08954722188599</v>
      </c>
      <c r="AI322">
        <v>2.1</v>
      </c>
      <c r="AJ322">
        <v>0</v>
      </c>
      <c r="AK322">
        <v>0</v>
      </c>
      <c r="AL322">
        <v>1</v>
      </c>
      <c r="AM322">
        <v>1</v>
      </c>
      <c r="AN322">
        <v>0</v>
      </c>
      <c r="AO322">
        <v>1</v>
      </c>
      <c r="AP322">
        <v>0</v>
      </c>
      <c r="AQ322">
        <v>0</v>
      </c>
      <c r="AR322">
        <v>69.3</v>
      </c>
      <c r="AS322">
        <v>115.2</v>
      </c>
      <c r="AT322">
        <v>231.3</v>
      </c>
      <c r="AU322">
        <v>426.59999999999997</v>
      </c>
      <c r="AV322">
        <v>30</v>
      </c>
    </row>
    <row r="323" spans="1:48">
      <c r="A323">
        <v>322</v>
      </c>
      <c r="B323" s="15">
        <v>0.15999999999999945</v>
      </c>
      <c r="C323">
        <v>16.179999999999779</v>
      </c>
      <c r="D323">
        <v>7.1799999999998985</v>
      </c>
      <c r="E323">
        <v>0.48779467147831507</v>
      </c>
      <c r="F323">
        <v>0</v>
      </c>
      <c r="G323">
        <v>0</v>
      </c>
      <c r="H323">
        <v>0.17544724305625187</v>
      </c>
      <c r="I323">
        <v>0</v>
      </c>
      <c r="J323" s="15">
        <v>0.15999999999999945</v>
      </c>
      <c r="K323" s="15">
        <v>0.15999999999999945</v>
      </c>
      <c r="L323" s="15">
        <v>0.15999999999999945</v>
      </c>
      <c r="M323">
        <v>0</v>
      </c>
      <c r="N323">
        <v>0</v>
      </c>
      <c r="O323" s="15">
        <v>0.16000000476837098</v>
      </c>
      <c r="P323">
        <v>0.58535362087218279</v>
      </c>
      <c r="Q323">
        <v>0.58535362087218279</v>
      </c>
      <c r="R323">
        <v>0</v>
      </c>
      <c r="S323">
        <v>0</v>
      </c>
      <c r="T323" s="15">
        <v>1.5048149155440194</v>
      </c>
      <c r="U323">
        <v>28.608839230790817</v>
      </c>
      <c r="V323">
        <v>0</v>
      </c>
      <c r="W323">
        <v>0</v>
      </c>
      <c r="X323">
        <v>0</v>
      </c>
      <c r="Y323">
        <v>0</v>
      </c>
      <c r="Z323">
        <v>1</v>
      </c>
      <c r="AA323">
        <v>0.9</v>
      </c>
      <c r="AB323">
        <v>1.1000000000000001</v>
      </c>
      <c r="AC323">
        <v>0</v>
      </c>
      <c r="AD323">
        <v>1.6999083156674537</v>
      </c>
      <c r="AE323">
        <v>274.97949614720193</v>
      </c>
      <c r="AF323">
        <v>275.17458954732513</v>
      </c>
      <c r="AG323">
        <v>238.79395787306228</v>
      </c>
      <c r="AH323">
        <v>178.95996990933017</v>
      </c>
      <c r="AI323">
        <v>2.1</v>
      </c>
      <c r="AJ323">
        <v>0</v>
      </c>
      <c r="AK323">
        <v>0</v>
      </c>
      <c r="AL323">
        <v>1</v>
      </c>
      <c r="AM323">
        <v>1</v>
      </c>
      <c r="AN323">
        <v>0</v>
      </c>
      <c r="AO323">
        <v>1</v>
      </c>
      <c r="AP323">
        <v>0</v>
      </c>
      <c r="AQ323">
        <v>0</v>
      </c>
      <c r="AR323">
        <v>69.3</v>
      </c>
      <c r="AS323">
        <v>115.2</v>
      </c>
      <c r="AT323">
        <v>231.3</v>
      </c>
      <c r="AU323">
        <v>426.59999999999997</v>
      </c>
      <c r="AV323">
        <v>30</v>
      </c>
    </row>
    <row r="324" spans="1:48">
      <c r="A324">
        <v>323</v>
      </c>
      <c r="B324">
        <v>0</v>
      </c>
      <c r="C324">
        <v>12.799999999999812</v>
      </c>
      <c r="D324">
        <v>9.7399999999998688</v>
      </c>
      <c r="E324">
        <v>0.55088075739514009</v>
      </c>
      <c r="F324">
        <v>0</v>
      </c>
      <c r="G324">
        <v>0</v>
      </c>
      <c r="H324">
        <v>0.17658585121811127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0.66105692592815724</v>
      </c>
      <c r="Q324">
        <v>0.66105692592815724</v>
      </c>
      <c r="R324">
        <v>0</v>
      </c>
      <c r="S324">
        <v>0</v>
      </c>
      <c r="T324" s="15">
        <v>0.76817193103106385</v>
      </c>
      <c r="U324">
        <v>27.179610373831608</v>
      </c>
      <c r="V324">
        <v>0</v>
      </c>
      <c r="W324">
        <v>0</v>
      </c>
      <c r="X324">
        <v>0</v>
      </c>
      <c r="Y324">
        <v>0</v>
      </c>
      <c r="Z324">
        <v>1</v>
      </c>
      <c r="AA324">
        <v>0.9</v>
      </c>
      <c r="AB324">
        <v>1.1000000000000001</v>
      </c>
      <c r="AC324">
        <v>0</v>
      </c>
      <c r="AD324">
        <v>1.6532162047442009</v>
      </c>
      <c r="AE324">
        <v>274.09445187348882</v>
      </c>
      <c r="AF324">
        <v>274.97949614720193</v>
      </c>
      <c r="AG324">
        <v>238.69138066376038</v>
      </c>
      <c r="AH324">
        <v>178.88670047411455</v>
      </c>
      <c r="AI324">
        <v>2.1</v>
      </c>
      <c r="AJ324">
        <v>0</v>
      </c>
      <c r="AK324">
        <v>0</v>
      </c>
      <c r="AL324">
        <v>1</v>
      </c>
      <c r="AM324">
        <v>1</v>
      </c>
      <c r="AN324">
        <v>0</v>
      </c>
      <c r="AO324">
        <v>1</v>
      </c>
      <c r="AP324">
        <v>0</v>
      </c>
      <c r="AQ324">
        <v>0</v>
      </c>
      <c r="AR324">
        <v>69.3</v>
      </c>
      <c r="AS324">
        <v>115.2</v>
      </c>
      <c r="AT324">
        <v>231.3</v>
      </c>
      <c r="AU324">
        <v>426.59999999999997</v>
      </c>
      <c r="AV324">
        <v>30</v>
      </c>
    </row>
    <row r="325" spans="1:48">
      <c r="A325">
        <v>324</v>
      </c>
      <c r="B325">
        <v>0</v>
      </c>
      <c r="C325">
        <v>9.5799999999998633</v>
      </c>
      <c r="D325">
        <v>6.9399999999999036</v>
      </c>
      <c r="E325">
        <v>0.45485848873273865</v>
      </c>
      <c r="F325">
        <v>0</v>
      </c>
      <c r="G325">
        <v>0</v>
      </c>
      <c r="H325">
        <v>0.1735577190835563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0.5458302005628004</v>
      </c>
      <c r="Q325">
        <v>0.5458302005628004</v>
      </c>
      <c r="R325">
        <v>0</v>
      </c>
      <c r="S325">
        <v>0</v>
      </c>
      <c r="T325" s="15">
        <v>0.4524411709485418</v>
      </c>
      <c r="U325">
        <v>26.181339002320271</v>
      </c>
      <c r="V325">
        <v>0</v>
      </c>
      <c r="W325">
        <v>0</v>
      </c>
      <c r="X325">
        <v>0</v>
      </c>
      <c r="Y325">
        <v>0</v>
      </c>
      <c r="Z325">
        <v>1</v>
      </c>
      <c r="AA325">
        <v>0.9</v>
      </c>
      <c r="AB325">
        <v>1.1000000000000001</v>
      </c>
      <c r="AC325">
        <v>0</v>
      </c>
      <c r="AD325">
        <v>1.5755535102634632</v>
      </c>
      <c r="AE325">
        <v>272.97133953417381</v>
      </c>
      <c r="AF325">
        <v>274.09445187348882</v>
      </c>
      <c r="AG325">
        <v>238.96418508776244</v>
      </c>
      <c r="AH325">
        <v>179.08156077697316</v>
      </c>
      <c r="AI325">
        <v>2.1</v>
      </c>
      <c r="AJ325">
        <v>0</v>
      </c>
      <c r="AK325">
        <v>0</v>
      </c>
      <c r="AL325">
        <v>1</v>
      </c>
      <c r="AM325">
        <v>1</v>
      </c>
      <c r="AN325">
        <v>0</v>
      </c>
      <c r="AO325">
        <v>1</v>
      </c>
      <c r="AP325">
        <v>0</v>
      </c>
      <c r="AQ325">
        <v>0</v>
      </c>
      <c r="AR325">
        <v>69.3</v>
      </c>
      <c r="AS325">
        <v>115.2</v>
      </c>
      <c r="AT325">
        <v>231.3</v>
      </c>
      <c r="AU325">
        <v>426.59999999999997</v>
      </c>
      <c r="AV325">
        <v>30</v>
      </c>
    </row>
    <row r="326" spans="1:48">
      <c r="A326">
        <v>325</v>
      </c>
      <c r="B326">
        <v>1.9199999999999762</v>
      </c>
      <c r="C326">
        <v>9.3399999999998702</v>
      </c>
      <c r="D326">
        <v>6.4199999999999084</v>
      </c>
      <c r="E326">
        <v>0.44686172059728674</v>
      </c>
      <c r="F326">
        <v>0</v>
      </c>
      <c r="G326">
        <v>0</v>
      </c>
      <c r="H326">
        <v>0.17816678799514984</v>
      </c>
      <c r="I326">
        <v>0</v>
      </c>
      <c r="J326">
        <v>1.9199999999999762</v>
      </c>
      <c r="K326">
        <v>1.9199999999999762</v>
      </c>
      <c r="L326">
        <v>1.9199999999999762</v>
      </c>
      <c r="M326">
        <v>0</v>
      </c>
      <c r="N326">
        <v>0</v>
      </c>
      <c r="O326">
        <v>1.9200000572204341</v>
      </c>
      <c r="P326">
        <v>0.53623407855441108</v>
      </c>
      <c r="Q326">
        <v>0.53623407855441108</v>
      </c>
      <c r="R326">
        <v>0</v>
      </c>
      <c r="S326">
        <v>0</v>
      </c>
      <c r="T326" s="15">
        <v>0.44802296305918055</v>
      </c>
      <c r="U326">
        <v>27.117082017927114</v>
      </c>
      <c r="V326">
        <v>0</v>
      </c>
      <c r="W326">
        <v>0</v>
      </c>
      <c r="X326">
        <v>0</v>
      </c>
      <c r="Y326">
        <v>0</v>
      </c>
      <c r="Z326">
        <v>1</v>
      </c>
      <c r="AA326">
        <v>0.9</v>
      </c>
      <c r="AB326">
        <v>1.1000000000000001</v>
      </c>
      <c r="AC326">
        <v>0</v>
      </c>
      <c r="AD326">
        <v>1.4947708070111014</v>
      </c>
      <c r="AE326">
        <v>271.92459169022203</v>
      </c>
      <c r="AF326">
        <v>272.97133953417381</v>
      </c>
      <c r="AG326">
        <v>238.54895406951698</v>
      </c>
      <c r="AH326">
        <v>178.78496719251211</v>
      </c>
      <c r="AI326">
        <v>2.1</v>
      </c>
      <c r="AJ326">
        <v>0</v>
      </c>
      <c r="AK326">
        <v>0</v>
      </c>
      <c r="AL326">
        <v>1</v>
      </c>
      <c r="AM326">
        <v>1</v>
      </c>
      <c r="AN326">
        <v>0</v>
      </c>
      <c r="AO326">
        <v>1</v>
      </c>
      <c r="AP326">
        <v>0</v>
      </c>
      <c r="AQ326">
        <v>0</v>
      </c>
      <c r="AR326">
        <v>69.3</v>
      </c>
      <c r="AS326">
        <v>115.2</v>
      </c>
      <c r="AT326">
        <v>231.3</v>
      </c>
      <c r="AU326">
        <v>426.59999999999997</v>
      </c>
      <c r="AV326">
        <v>30</v>
      </c>
    </row>
    <row r="327" spans="1:48">
      <c r="A327">
        <v>326</v>
      </c>
      <c r="B327">
        <v>12.039999999999832</v>
      </c>
      <c r="C327">
        <v>10.159999999999854</v>
      </c>
      <c r="D327">
        <v>7.0799999999998962</v>
      </c>
      <c r="E327">
        <v>0.40826890583569242</v>
      </c>
      <c r="F327">
        <v>0</v>
      </c>
      <c r="G327">
        <v>0</v>
      </c>
      <c r="H327">
        <v>0.17855063286690581</v>
      </c>
      <c r="I327">
        <v>0</v>
      </c>
      <c r="J327">
        <v>12.039999999999832</v>
      </c>
      <c r="K327">
        <v>12.039999999999832</v>
      </c>
      <c r="L327">
        <v>8.5703693803993843</v>
      </c>
      <c r="M327">
        <v>0</v>
      </c>
      <c r="N327">
        <v>3.4696306196004478</v>
      </c>
      <c r="O327">
        <v>8.5703696358162968</v>
      </c>
      <c r="P327">
        <v>0.48992269964674845</v>
      </c>
      <c r="Q327">
        <v>0.48992269964674845</v>
      </c>
      <c r="R327">
        <v>0</v>
      </c>
      <c r="S327">
        <v>0</v>
      </c>
      <c r="T327" s="15">
        <v>2.3907927748065014</v>
      </c>
      <c r="U327">
        <v>32.806736179290162</v>
      </c>
      <c r="V327">
        <v>0</v>
      </c>
      <c r="W327">
        <v>0</v>
      </c>
      <c r="X327">
        <v>0</v>
      </c>
      <c r="Y327">
        <v>0</v>
      </c>
      <c r="Z327">
        <v>1</v>
      </c>
      <c r="AA327">
        <v>0.9</v>
      </c>
      <c r="AB327">
        <v>1.1000000000000001</v>
      </c>
      <c r="AC327">
        <v>0</v>
      </c>
      <c r="AD327">
        <v>1.4647616748022938</v>
      </c>
      <c r="AE327">
        <v>272.85062279022634</v>
      </c>
      <c r="AF327">
        <v>271.92459169022203</v>
      </c>
      <c r="AG327">
        <v>238.51437348502046</v>
      </c>
      <c r="AH327">
        <v>178.7602667750146</v>
      </c>
      <c r="AI327">
        <v>2.1</v>
      </c>
      <c r="AJ327">
        <v>0</v>
      </c>
      <c r="AK327">
        <v>0</v>
      </c>
      <c r="AL327">
        <v>1</v>
      </c>
      <c r="AM327">
        <v>1</v>
      </c>
      <c r="AN327">
        <v>0</v>
      </c>
      <c r="AO327">
        <v>1</v>
      </c>
      <c r="AP327">
        <v>0</v>
      </c>
      <c r="AQ327">
        <v>0</v>
      </c>
      <c r="AR327">
        <v>69.3</v>
      </c>
      <c r="AS327">
        <v>115.2</v>
      </c>
      <c r="AT327">
        <v>231.3</v>
      </c>
      <c r="AU327">
        <v>426.59999999999997</v>
      </c>
      <c r="AV327">
        <v>30</v>
      </c>
    </row>
    <row r="328" spans="1:48">
      <c r="A328">
        <v>327</v>
      </c>
      <c r="B328">
        <v>2.5199999999999756</v>
      </c>
      <c r="C328">
        <v>14.43999999999979</v>
      </c>
      <c r="D328">
        <v>6.6199999999998971</v>
      </c>
      <c r="E328">
        <v>0.55393521174209848</v>
      </c>
      <c r="F328">
        <v>0</v>
      </c>
      <c r="G328">
        <v>0</v>
      </c>
      <c r="H328">
        <v>0.18040308798180674</v>
      </c>
      <c r="I328">
        <v>0</v>
      </c>
      <c r="J328">
        <v>2.5199999999999756</v>
      </c>
      <c r="K328">
        <v>2.5199999999999756</v>
      </c>
      <c r="L328">
        <v>2.5199999999999756</v>
      </c>
      <c r="M328">
        <v>0</v>
      </c>
      <c r="N328">
        <v>0</v>
      </c>
      <c r="O328">
        <v>2.520000075101827</v>
      </c>
      <c r="P328">
        <v>0.66472227124715755</v>
      </c>
      <c r="Q328">
        <v>0.66472227124715755</v>
      </c>
      <c r="R328">
        <v>0</v>
      </c>
      <c r="S328">
        <v>0</v>
      </c>
      <c r="T328" s="15">
        <v>3.5429670317793129</v>
      </c>
      <c r="U328">
        <v>31.119046951365512</v>
      </c>
      <c r="V328">
        <v>0</v>
      </c>
      <c r="W328">
        <v>0</v>
      </c>
      <c r="X328">
        <v>0</v>
      </c>
      <c r="Y328">
        <v>0</v>
      </c>
      <c r="Z328">
        <v>1</v>
      </c>
      <c r="AA328">
        <v>0.9</v>
      </c>
      <c r="AB328">
        <v>1.1000000000000001</v>
      </c>
      <c r="AC328">
        <v>0</v>
      </c>
      <c r="AD328">
        <v>1.6101841759846982</v>
      </c>
      <c r="AE328">
        <v>274.78340564602104</v>
      </c>
      <c r="AF328">
        <v>272.85062279022634</v>
      </c>
      <c r="AG328">
        <v>238.34748580371905</v>
      </c>
      <c r="AH328">
        <v>178.64106128837074</v>
      </c>
      <c r="AI328">
        <v>2.1</v>
      </c>
      <c r="AJ328">
        <v>0</v>
      </c>
      <c r="AK328">
        <v>0</v>
      </c>
      <c r="AL328">
        <v>1</v>
      </c>
      <c r="AM328">
        <v>1</v>
      </c>
      <c r="AN328">
        <v>0</v>
      </c>
      <c r="AO328">
        <v>1</v>
      </c>
      <c r="AP328">
        <v>0</v>
      </c>
      <c r="AQ328">
        <v>0</v>
      </c>
      <c r="AR328">
        <v>69.3</v>
      </c>
      <c r="AS328">
        <v>115.2</v>
      </c>
      <c r="AT328">
        <v>231.3</v>
      </c>
      <c r="AU328">
        <v>426.59999999999997</v>
      </c>
      <c r="AV328">
        <v>30</v>
      </c>
    </row>
    <row r="329" spans="1:48">
      <c r="A329">
        <v>328</v>
      </c>
      <c r="B329" s="15">
        <v>7.9999999999999724E-2</v>
      </c>
      <c r="C329">
        <v>12.719999999999818</v>
      </c>
      <c r="D329">
        <v>3.5399999999999654</v>
      </c>
      <c r="E329">
        <v>0.36013645557667601</v>
      </c>
      <c r="F329">
        <v>0</v>
      </c>
      <c r="G329">
        <v>0</v>
      </c>
      <c r="H329">
        <v>0.17341110527407336</v>
      </c>
      <c r="I329">
        <v>0</v>
      </c>
      <c r="J329" s="15">
        <v>7.9999999999999724E-2</v>
      </c>
      <c r="K329" s="15">
        <v>7.9999999999999724E-2</v>
      </c>
      <c r="L329" s="15">
        <v>7.9999999999999724E-2</v>
      </c>
      <c r="M329">
        <v>0</v>
      </c>
      <c r="N329">
        <v>0</v>
      </c>
      <c r="O329" s="15">
        <v>8.000000238418549E-2</v>
      </c>
      <c r="P329">
        <v>0.43216375784706984</v>
      </c>
      <c r="Q329">
        <v>0.43216375784706984</v>
      </c>
      <c r="R329">
        <v>0</v>
      </c>
      <c r="S329">
        <v>0</v>
      </c>
      <c r="T329" s="15">
        <v>1.7958911971757743</v>
      </c>
      <c r="U329">
        <v>28.970991998726866</v>
      </c>
      <c r="V329">
        <v>0</v>
      </c>
      <c r="W329">
        <v>0</v>
      </c>
      <c r="X329">
        <v>0</v>
      </c>
      <c r="Y329">
        <v>0</v>
      </c>
      <c r="Z329">
        <v>1</v>
      </c>
      <c r="AA329">
        <v>0.9</v>
      </c>
      <c r="AB329">
        <v>1.1000000000000001</v>
      </c>
      <c r="AC329">
        <v>0</v>
      </c>
      <c r="AD329">
        <v>1.6832023471023725</v>
      </c>
      <c r="AE329">
        <v>274.89609449609429</v>
      </c>
      <c r="AF329">
        <v>274.78340564602104</v>
      </c>
      <c r="AG329">
        <v>238.97739352585876</v>
      </c>
      <c r="AH329">
        <v>179.0909953756134</v>
      </c>
      <c r="AI329">
        <v>2.1</v>
      </c>
      <c r="AJ329">
        <v>0</v>
      </c>
      <c r="AK329">
        <v>0</v>
      </c>
      <c r="AL329">
        <v>1</v>
      </c>
      <c r="AM329">
        <v>1</v>
      </c>
      <c r="AN329">
        <v>0</v>
      </c>
      <c r="AO329">
        <v>1</v>
      </c>
      <c r="AP329">
        <v>0</v>
      </c>
      <c r="AQ329">
        <v>0</v>
      </c>
      <c r="AR329">
        <v>69.3</v>
      </c>
      <c r="AS329">
        <v>115.2</v>
      </c>
      <c r="AT329">
        <v>231.3</v>
      </c>
      <c r="AU329">
        <v>426.59999999999997</v>
      </c>
      <c r="AV329">
        <v>30</v>
      </c>
    </row>
    <row r="330" spans="1:48">
      <c r="A330">
        <v>329</v>
      </c>
      <c r="B330">
        <v>11.039999999999857</v>
      </c>
      <c r="C330">
        <v>6.7199999999999127</v>
      </c>
      <c r="D330">
        <v>5.4199999999999307</v>
      </c>
      <c r="E330">
        <v>0.46264220636049391</v>
      </c>
      <c r="F330">
        <v>0</v>
      </c>
      <c r="G330">
        <v>0</v>
      </c>
      <c r="H330">
        <v>0.18271344560215336</v>
      </c>
      <c r="I330">
        <v>0</v>
      </c>
      <c r="J330">
        <v>11.039999999999857</v>
      </c>
      <c r="K330">
        <v>11.039999999999857</v>
      </c>
      <c r="L330">
        <v>8.153995762103925</v>
      </c>
      <c r="M330">
        <v>0</v>
      </c>
      <c r="N330">
        <v>2.886004237895933</v>
      </c>
      <c r="O330">
        <v>8.1539960051119369</v>
      </c>
      <c r="P330">
        <v>0.55517066196358567</v>
      </c>
      <c r="Q330">
        <v>0.55517066196358567</v>
      </c>
      <c r="R330">
        <v>0</v>
      </c>
      <c r="S330">
        <v>0</v>
      </c>
      <c r="T330" s="15">
        <v>3.3684994789388831</v>
      </c>
      <c r="U330">
        <v>33.201317862936335</v>
      </c>
      <c r="V330">
        <v>0</v>
      </c>
      <c r="W330">
        <v>0</v>
      </c>
      <c r="X330">
        <v>0</v>
      </c>
      <c r="Y330">
        <v>0</v>
      </c>
      <c r="Z330">
        <v>1</v>
      </c>
      <c r="AA330">
        <v>0.9</v>
      </c>
      <c r="AB330">
        <v>1.1000000000000001</v>
      </c>
      <c r="AC330">
        <v>0</v>
      </c>
      <c r="AD330">
        <v>1.7133835738063887</v>
      </c>
      <c r="AE330">
        <v>276.55121040122663</v>
      </c>
      <c r="AF330">
        <v>274.89609449609429</v>
      </c>
      <c r="AG330">
        <v>238.13934568570201</v>
      </c>
      <c r="AH330">
        <v>178.49238977550144</v>
      </c>
      <c r="AI330">
        <v>2.1</v>
      </c>
      <c r="AJ330">
        <v>0</v>
      </c>
      <c r="AK330">
        <v>0</v>
      </c>
      <c r="AL330">
        <v>1</v>
      </c>
      <c r="AM330">
        <v>1</v>
      </c>
      <c r="AN330">
        <v>0</v>
      </c>
      <c r="AO330">
        <v>1</v>
      </c>
      <c r="AP330">
        <v>0</v>
      </c>
      <c r="AQ330">
        <v>0</v>
      </c>
      <c r="AR330">
        <v>69.3</v>
      </c>
      <c r="AS330">
        <v>115.2</v>
      </c>
      <c r="AT330">
        <v>231.3</v>
      </c>
      <c r="AU330">
        <v>426.59999999999997</v>
      </c>
      <c r="AV330">
        <v>30</v>
      </c>
    </row>
    <row r="331" spans="1:48">
      <c r="A331">
        <v>330</v>
      </c>
      <c r="B331" s="15">
        <v>0</v>
      </c>
      <c r="C331">
        <v>11.479999999999837</v>
      </c>
      <c r="D331">
        <v>5.5999999999999286</v>
      </c>
      <c r="E331">
        <v>0.37731528837611156</v>
      </c>
      <c r="F331">
        <v>0</v>
      </c>
      <c r="G331">
        <v>0</v>
      </c>
      <c r="H331">
        <v>0.17779316954746946</v>
      </c>
      <c r="I331">
        <v>0</v>
      </c>
      <c r="J331" s="15">
        <v>0</v>
      </c>
      <c r="K331" s="15">
        <v>0</v>
      </c>
      <c r="L331" s="15">
        <v>0</v>
      </c>
      <c r="M331">
        <v>0</v>
      </c>
      <c r="N331">
        <v>0</v>
      </c>
      <c r="O331" s="15">
        <v>0</v>
      </c>
      <c r="P331">
        <v>0.45277835773979519</v>
      </c>
      <c r="Q331">
        <v>0.45277835773979519</v>
      </c>
      <c r="R331">
        <v>0</v>
      </c>
      <c r="S331">
        <v>0</v>
      </c>
      <c r="T331" s="15">
        <v>2.9829605596194342</v>
      </c>
      <c r="U331">
        <v>29.765578945577104</v>
      </c>
      <c r="V331">
        <v>0</v>
      </c>
      <c r="W331">
        <v>0</v>
      </c>
      <c r="X331">
        <v>0</v>
      </c>
      <c r="Y331">
        <v>0</v>
      </c>
      <c r="Z331">
        <v>1</v>
      </c>
      <c r="AA331">
        <v>0.9</v>
      </c>
      <c r="AB331">
        <v>1.1000000000000001</v>
      </c>
      <c r="AC331">
        <v>0</v>
      </c>
      <c r="AD331">
        <v>1.8857244246373379</v>
      </c>
      <c r="AE331">
        <v>277.64844653620878</v>
      </c>
      <c r="AF331">
        <v>276.55121040122663</v>
      </c>
      <c r="AG331">
        <v>238.58261335546848</v>
      </c>
      <c r="AH331">
        <v>178.80900953962035</v>
      </c>
      <c r="AI331">
        <v>2.1</v>
      </c>
      <c r="AJ331">
        <v>0</v>
      </c>
      <c r="AK331">
        <v>0</v>
      </c>
      <c r="AL331">
        <v>1</v>
      </c>
      <c r="AM331">
        <v>1</v>
      </c>
      <c r="AN331">
        <v>0</v>
      </c>
      <c r="AO331">
        <v>1</v>
      </c>
      <c r="AP331">
        <v>0</v>
      </c>
      <c r="AQ331">
        <v>0</v>
      </c>
      <c r="AR331">
        <v>69.3</v>
      </c>
      <c r="AS331">
        <v>115.2</v>
      </c>
      <c r="AT331">
        <v>231.3</v>
      </c>
      <c r="AU331">
        <v>426.59999999999997</v>
      </c>
      <c r="AV331">
        <v>30</v>
      </c>
    </row>
    <row r="332" spans="1:48">
      <c r="A332">
        <v>331</v>
      </c>
      <c r="B332">
        <v>2.1999999999998749</v>
      </c>
      <c r="C332">
        <v>10.319999999999837</v>
      </c>
      <c r="D332">
        <v>5.7199999999999092</v>
      </c>
      <c r="E332">
        <v>0.40950043585545132</v>
      </c>
      <c r="F332">
        <v>0</v>
      </c>
      <c r="G332">
        <v>0</v>
      </c>
      <c r="H332">
        <v>0.18188886162487522</v>
      </c>
      <c r="I332">
        <v>0</v>
      </c>
      <c r="J332">
        <v>2.1999999999998749</v>
      </c>
      <c r="K332">
        <v>2.1999999999998749</v>
      </c>
      <c r="L332">
        <v>2.1999999999998749</v>
      </c>
      <c r="M332">
        <v>0</v>
      </c>
      <c r="N332">
        <v>0</v>
      </c>
      <c r="O332">
        <v>2.2000000655649852</v>
      </c>
      <c r="P332">
        <v>0.49140053571256809</v>
      </c>
      <c r="Q332">
        <v>0.49140053571256809</v>
      </c>
      <c r="R332">
        <v>0</v>
      </c>
      <c r="S332">
        <v>0</v>
      </c>
      <c r="T332" s="15">
        <v>1.6574320495858728</v>
      </c>
      <c r="U332">
        <v>29.816746425843633</v>
      </c>
      <c r="V332">
        <v>0</v>
      </c>
      <c r="W332">
        <v>0</v>
      </c>
      <c r="X332">
        <v>0</v>
      </c>
      <c r="Y332">
        <v>0</v>
      </c>
      <c r="Z332">
        <v>1</v>
      </c>
      <c r="AA332">
        <v>0.9</v>
      </c>
      <c r="AB332">
        <v>1.1000000000000001</v>
      </c>
      <c r="AC332">
        <v>0</v>
      </c>
      <c r="AD332">
        <v>1.8957276555884965</v>
      </c>
      <c r="AE332">
        <v>277.41015093020633</v>
      </c>
      <c r="AF332">
        <v>277.64844653620878</v>
      </c>
      <c r="AG332">
        <v>238.21363245621501</v>
      </c>
      <c r="AH332">
        <v>178.54545175443928</v>
      </c>
      <c r="AI332">
        <v>2.1</v>
      </c>
      <c r="AJ332">
        <v>0</v>
      </c>
      <c r="AK332">
        <v>0</v>
      </c>
      <c r="AL332">
        <v>1</v>
      </c>
      <c r="AM332">
        <v>1</v>
      </c>
      <c r="AN332">
        <v>0</v>
      </c>
      <c r="AO332">
        <v>1</v>
      </c>
      <c r="AP332">
        <v>0</v>
      </c>
      <c r="AQ332">
        <v>0</v>
      </c>
      <c r="AR332">
        <v>69.3</v>
      </c>
      <c r="AS332">
        <v>115.2</v>
      </c>
      <c r="AT332">
        <v>231.3</v>
      </c>
      <c r="AU332">
        <v>426.59999999999997</v>
      </c>
      <c r="AV332">
        <v>30</v>
      </c>
    </row>
    <row r="333" spans="1:48">
      <c r="A333">
        <v>332</v>
      </c>
      <c r="B333">
        <v>0.71999999999998465</v>
      </c>
      <c r="C333">
        <v>7.4199999999998978</v>
      </c>
      <c r="D333">
        <v>1.4800000000000011</v>
      </c>
      <c r="E333">
        <v>0.44710322208031128</v>
      </c>
      <c r="F333">
        <v>0</v>
      </c>
      <c r="G333">
        <v>0</v>
      </c>
      <c r="H333">
        <v>0.18034397454049522</v>
      </c>
      <c r="I333">
        <v>0</v>
      </c>
      <c r="J333">
        <v>0.71999999999998465</v>
      </c>
      <c r="K333">
        <v>0.71999999999998465</v>
      </c>
      <c r="L333">
        <v>0.71999999999998465</v>
      </c>
      <c r="M333">
        <v>0</v>
      </c>
      <c r="N333">
        <v>0</v>
      </c>
      <c r="O333">
        <v>0.72000002145765696</v>
      </c>
      <c r="P333">
        <v>0.53652388034779597</v>
      </c>
      <c r="Q333">
        <v>0.53652388034779597</v>
      </c>
      <c r="R333">
        <v>0</v>
      </c>
      <c r="S333">
        <v>0</v>
      </c>
      <c r="T333" s="15">
        <v>1.3240769050382699</v>
      </c>
      <c r="U333">
        <v>28.676145661915243</v>
      </c>
      <c r="V333">
        <v>0</v>
      </c>
      <c r="W333">
        <v>0</v>
      </c>
      <c r="X333">
        <v>0</v>
      </c>
      <c r="Y333">
        <v>0</v>
      </c>
      <c r="Z333">
        <v>1</v>
      </c>
      <c r="AA333">
        <v>0.9</v>
      </c>
      <c r="AB333">
        <v>1.1000000000000001</v>
      </c>
      <c r="AC333">
        <v>0</v>
      </c>
      <c r="AD333">
        <v>1.866462662824804</v>
      </c>
      <c r="AE333">
        <v>276.86776517241975</v>
      </c>
      <c r="AF333">
        <v>277.41015093020633</v>
      </c>
      <c r="AG333">
        <v>238.3528113336468</v>
      </c>
      <c r="AH333">
        <v>178.64486523831917</v>
      </c>
      <c r="AI333">
        <v>2.1</v>
      </c>
      <c r="AJ333">
        <v>0</v>
      </c>
      <c r="AK333">
        <v>0</v>
      </c>
      <c r="AL333">
        <v>1</v>
      </c>
      <c r="AM333">
        <v>1</v>
      </c>
      <c r="AN333">
        <v>0</v>
      </c>
      <c r="AO333">
        <v>1</v>
      </c>
      <c r="AP333">
        <v>0</v>
      </c>
      <c r="AQ333">
        <v>0</v>
      </c>
      <c r="AR333">
        <v>69.3</v>
      </c>
      <c r="AS333">
        <v>115.2</v>
      </c>
      <c r="AT333">
        <v>231.3</v>
      </c>
      <c r="AU333">
        <v>426.59999999999997</v>
      </c>
      <c r="AV333">
        <v>30</v>
      </c>
    </row>
    <row r="334" spans="1:48">
      <c r="A334">
        <v>333</v>
      </c>
      <c r="B334">
        <v>0</v>
      </c>
      <c r="C334">
        <v>10.399999999999864</v>
      </c>
      <c r="D334">
        <v>-1.2599999999999669</v>
      </c>
      <c r="E334">
        <v>0.97059699943131372</v>
      </c>
      <c r="F334">
        <v>0</v>
      </c>
      <c r="G334">
        <v>0</v>
      </c>
      <c r="H334">
        <v>0.17853904079542951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1.164716429387918</v>
      </c>
      <c r="Q334">
        <v>1.164716429387918</v>
      </c>
      <c r="R334">
        <v>0</v>
      </c>
      <c r="S334">
        <v>0</v>
      </c>
      <c r="T334" s="15">
        <v>0.72707498245829749</v>
      </c>
      <c r="U334">
        <v>26.784354250069029</v>
      </c>
      <c r="V334">
        <v>0</v>
      </c>
      <c r="W334">
        <v>0</v>
      </c>
      <c r="X334">
        <v>0</v>
      </c>
      <c r="Y334">
        <v>0</v>
      </c>
      <c r="Z334">
        <v>1</v>
      </c>
      <c r="AA334">
        <v>0.9</v>
      </c>
      <c r="AB334">
        <v>1.1000000000000001</v>
      </c>
      <c r="AC334">
        <v>0</v>
      </c>
      <c r="AD334">
        <v>1.7985011160345525</v>
      </c>
      <c r="AE334">
        <v>275.79633903884354</v>
      </c>
      <c r="AF334">
        <v>276.86776517241975</v>
      </c>
      <c r="AG334">
        <v>238.51541781473978</v>
      </c>
      <c r="AH334">
        <v>178.76101272481412</v>
      </c>
      <c r="AI334">
        <v>2.1</v>
      </c>
      <c r="AJ334">
        <v>0</v>
      </c>
      <c r="AK334">
        <v>0</v>
      </c>
      <c r="AL334">
        <v>1</v>
      </c>
      <c r="AM334">
        <v>1</v>
      </c>
      <c r="AN334">
        <v>0</v>
      </c>
      <c r="AO334">
        <v>1</v>
      </c>
      <c r="AP334">
        <v>0</v>
      </c>
      <c r="AQ334">
        <v>0</v>
      </c>
      <c r="AR334">
        <v>69.3</v>
      </c>
      <c r="AS334">
        <v>115.2</v>
      </c>
      <c r="AT334">
        <v>231.3</v>
      </c>
      <c r="AU334">
        <v>426.59999999999997</v>
      </c>
      <c r="AV334">
        <v>30</v>
      </c>
    </row>
    <row r="335" spans="1:48">
      <c r="A335">
        <v>334</v>
      </c>
      <c r="B335">
        <v>0</v>
      </c>
      <c r="C335">
        <v>11.059999999999841</v>
      </c>
      <c r="D335">
        <v>1.7999999999999998</v>
      </c>
      <c r="E335">
        <v>1.1913153681305217</v>
      </c>
      <c r="F335">
        <v>0</v>
      </c>
      <c r="G335">
        <v>0</v>
      </c>
      <c r="H335">
        <v>0.15341133939547255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1.4295784786660237</v>
      </c>
      <c r="Q335">
        <v>1.4295784786660237</v>
      </c>
      <c r="R335">
        <v>0</v>
      </c>
      <c r="S335">
        <v>0</v>
      </c>
      <c r="T335" s="15">
        <v>0.3280101283336096</v>
      </c>
      <c r="U335">
        <v>25.026765643069393</v>
      </c>
      <c r="V335">
        <v>0</v>
      </c>
      <c r="W335">
        <v>0</v>
      </c>
      <c r="X335">
        <v>0</v>
      </c>
      <c r="Y335">
        <v>0</v>
      </c>
      <c r="Z335">
        <v>1</v>
      </c>
      <c r="AA335">
        <v>0.9</v>
      </c>
      <c r="AB335">
        <v>1.1000000000000001</v>
      </c>
      <c r="AC335">
        <v>0</v>
      </c>
      <c r="AD335" s="15">
        <v>1.6971293690419571</v>
      </c>
      <c r="AE335">
        <v>274.4272197981353</v>
      </c>
      <c r="AF335">
        <v>275.79633903884354</v>
      </c>
      <c r="AG335">
        <v>240.7791724338619</v>
      </c>
      <c r="AH335">
        <v>180.37798030990135</v>
      </c>
      <c r="AI335">
        <v>2.1</v>
      </c>
      <c r="AJ335">
        <v>0</v>
      </c>
      <c r="AK335">
        <v>0</v>
      </c>
      <c r="AL335">
        <v>1</v>
      </c>
      <c r="AM335">
        <v>1</v>
      </c>
      <c r="AN335">
        <v>0</v>
      </c>
      <c r="AO335">
        <v>1</v>
      </c>
      <c r="AP335">
        <v>0</v>
      </c>
      <c r="AQ335">
        <v>0</v>
      </c>
      <c r="AR335">
        <v>69.3</v>
      </c>
      <c r="AS335">
        <v>115.2</v>
      </c>
      <c r="AT335">
        <v>231.3</v>
      </c>
      <c r="AU335">
        <v>426.59999999999997</v>
      </c>
      <c r="AV335">
        <v>30</v>
      </c>
    </row>
    <row r="336" spans="1:48">
      <c r="A336">
        <v>335</v>
      </c>
      <c r="B336" s="15">
        <v>0.47999999999999404</v>
      </c>
      <c r="C336">
        <v>8.2199999999998923</v>
      </c>
      <c r="D336">
        <v>1.6800000000000068</v>
      </c>
      <c r="E336">
        <v>0.56080187476484189</v>
      </c>
      <c r="F336">
        <v>0</v>
      </c>
      <c r="G336">
        <v>0</v>
      </c>
      <c r="H336">
        <v>0.14281685766115346</v>
      </c>
      <c r="I336">
        <v>0</v>
      </c>
      <c r="J336" s="15">
        <v>0.47999999999999404</v>
      </c>
      <c r="K336" s="15">
        <v>0.47999999999999404</v>
      </c>
      <c r="L336" s="15">
        <v>0.47999999999999404</v>
      </c>
      <c r="M336">
        <v>0</v>
      </c>
      <c r="N336">
        <v>0</v>
      </c>
      <c r="O336" s="15">
        <v>0.48000001430510852</v>
      </c>
      <c r="P336">
        <v>0.67296226709296814</v>
      </c>
      <c r="Q336">
        <v>0.67296226709296814</v>
      </c>
      <c r="R336">
        <v>0</v>
      </c>
      <c r="S336">
        <v>0</v>
      </c>
      <c r="T336" s="15">
        <v>0.18850978279098926</v>
      </c>
      <c r="U336">
        <v>24.64529360749054</v>
      </c>
      <c r="V336">
        <v>0</v>
      </c>
      <c r="W336">
        <v>0</v>
      </c>
      <c r="X336">
        <v>0</v>
      </c>
      <c r="Y336">
        <v>0</v>
      </c>
      <c r="Z336">
        <v>1</v>
      </c>
      <c r="AA336">
        <v>0.9</v>
      </c>
      <c r="AB336">
        <v>1.1000000000000001</v>
      </c>
      <c r="AC336">
        <v>0</v>
      </c>
      <c r="AD336" s="15">
        <v>1.5889654748457274</v>
      </c>
      <c r="AE336">
        <v>273.02676410608075</v>
      </c>
      <c r="AF336">
        <v>274.42721979813535</v>
      </c>
      <c r="AG336">
        <v>241.73362929330671</v>
      </c>
      <c r="AH336">
        <v>181.05973520950479</v>
      </c>
      <c r="AI336">
        <v>2.1</v>
      </c>
      <c r="AJ336">
        <v>0</v>
      </c>
      <c r="AK336">
        <v>0</v>
      </c>
      <c r="AL336">
        <v>1</v>
      </c>
      <c r="AM336">
        <v>1</v>
      </c>
      <c r="AN336">
        <v>0</v>
      </c>
      <c r="AO336">
        <v>1</v>
      </c>
      <c r="AP336">
        <v>0</v>
      </c>
      <c r="AQ336">
        <v>0</v>
      </c>
      <c r="AR336">
        <v>69.3</v>
      </c>
      <c r="AS336">
        <v>115.2</v>
      </c>
      <c r="AT336">
        <v>231.3</v>
      </c>
      <c r="AU336">
        <v>426.59999999999997</v>
      </c>
      <c r="AV336">
        <v>30</v>
      </c>
    </row>
    <row r="337" spans="1:48">
      <c r="A337">
        <v>336</v>
      </c>
      <c r="B337" s="15">
        <v>0.39999999999999436</v>
      </c>
      <c r="C337">
        <v>9.6799999999998683</v>
      </c>
      <c r="D337">
        <v>2.69999999999997</v>
      </c>
      <c r="E337">
        <v>0.29014923813877219</v>
      </c>
      <c r="F337">
        <v>0</v>
      </c>
      <c r="G337">
        <v>0</v>
      </c>
      <c r="H337">
        <v>0.17308150544760806</v>
      </c>
      <c r="I337">
        <v>0</v>
      </c>
      <c r="J337" s="15">
        <v>0.39999999999999436</v>
      </c>
      <c r="K337" s="15">
        <v>0.39999999999999436</v>
      </c>
      <c r="L337" s="15">
        <v>0.39999999999999436</v>
      </c>
      <c r="M337">
        <v>0</v>
      </c>
      <c r="N337">
        <v>0</v>
      </c>
      <c r="O337" s="15">
        <v>0.40000001192092322</v>
      </c>
      <c r="P337">
        <v>0.34817909475629277</v>
      </c>
      <c r="Q337">
        <v>0.34817909475629277</v>
      </c>
      <c r="R337">
        <v>0</v>
      </c>
      <c r="S337">
        <v>0</v>
      </c>
      <c r="T337" s="15">
        <v>0.16609348296257967</v>
      </c>
      <c r="U337">
        <v>24.531021041692597</v>
      </c>
      <c r="V337">
        <v>0</v>
      </c>
      <c r="W337">
        <v>0</v>
      </c>
      <c r="X337">
        <v>0</v>
      </c>
      <c r="Y337">
        <v>0</v>
      </c>
      <c r="Z337">
        <v>1</v>
      </c>
      <c r="AA337">
        <v>0.9</v>
      </c>
      <c r="AB337">
        <v>1.1000000000000001</v>
      </c>
      <c r="AC337">
        <v>0</v>
      </c>
      <c r="AD337" s="15">
        <v>1.4900312199816665</v>
      </c>
      <c r="AE337">
        <v>271.70282636906177</v>
      </c>
      <c r="AF337">
        <v>273.02676410608075</v>
      </c>
      <c r="AG337">
        <v>239.00708717422498</v>
      </c>
      <c r="AH337">
        <v>179.11220512444643</v>
      </c>
      <c r="AI337">
        <v>2.1</v>
      </c>
      <c r="AJ337">
        <v>0</v>
      </c>
      <c r="AK337">
        <v>0</v>
      </c>
      <c r="AL337">
        <v>1</v>
      </c>
      <c r="AM337">
        <v>1</v>
      </c>
      <c r="AN337">
        <v>0</v>
      </c>
      <c r="AO337">
        <v>1</v>
      </c>
      <c r="AP337">
        <v>0</v>
      </c>
      <c r="AQ337">
        <v>0</v>
      </c>
      <c r="AR337">
        <v>69.3</v>
      </c>
      <c r="AS337">
        <v>115.2</v>
      </c>
      <c r="AT337">
        <v>231.3</v>
      </c>
      <c r="AU337">
        <v>426.59999999999997</v>
      </c>
      <c r="AV337">
        <v>30</v>
      </c>
    </row>
    <row r="338" spans="1:48">
      <c r="A338">
        <v>337</v>
      </c>
      <c r="B338">
        <v>7.9999999999999724E-2</v>
      </c>
      <c r="C338">
        <v>11.33999999999984</v>
      </c>
      <c r="D338">
        <v>0.80000000000000138</v>
      </c>
      <c r="E338">
        <v>0.29059996370734542</v>
      </c>
      <c r="F338">
        <v>0</v>
      </c>
      <c r="G338">
        <v>0</v>
      </c>
      <c r="H338">
        <v>0.1860728320506963</v>
      </c>
      <c r="I338">
        <v>0</v>
      </c>
      <c r="J338">
        <v>7.9999999999999724E-2</v>
      </c>
      <c r="K338">
        <v>7.9999999999999724E-2</v>
      </c>
      <c r="L338">
        <v>7.9999999999999724E-2</v>
      </c>
      <c r="M338">
        <v>0</v>
      </c>
      <c r="N338">
        <v>0</v>
      </c>
      <c r="O338">
        <v>8.000000238418549E-2</v>
      </c>
      <c r="P338">
        <v>0.3487199654526798</v>
      </c>
      <c r="Q338">
        <v>0.3487199654526798</v>
      </c>
      <c r="R338">
        <v>0</v>
      </c>
      <c r="S338">
        <v>0</v>
      </c>
      <c r="T338" s="15">
        <v>0.14569948656334161</v>
      </c>
      <c r="U338">
        <v>24.116601592060761</v>
      </c>
      <c r="V338">
        <v>0</v>
      </c>
      <c r="W338">
        <v>0</v>
      </c>
      <c r="X338">
        <v>0</v>
      </c>
      <c r="Y338">
        <v>0</v>
      </c>
      <c r="Z338">
        <v>1</v>
      </c>
      <c r="AA338">
        <v>0.9</v>
      </c>
      <c r="AB338">
        <v>1.1000000000000001</v>
      </c>
      <c r="AC338">
        <v>0</v>
      </c>
      <c r="AD338" s="15">
        <v>1.4017923406765873</v>
      </c>
      <c r="AE338">
        <v>270.44673351494839</v>
      </c>
      <c r="AF338">
        <v>271.70282636906177</v>
      </c>
      <c r="AG338">
        <v>237.8366985605528</v>
      </c>
      <c r="AH338">
        <v>178.27621325753771</v>
      </c>
      <c r="AI338">
        <v>2.1</v>
      </c>
      <c r="AJ338">
        <v>0</v>
      </c>
      <c r="AK338">
        <v>0</v>
      </c>
      <c r="AL338">
        <v>1</v>
      </c>
      <c r="AM338">
        <v>1</v>
      </c>
      <c r="AN338">
        <v>0</v>
      </c>
      <c r="AO338">
        <v>1</v>
      </c>
      <c r="AP338">
        <v>0</v>
      </c>
      <c r="AQ338">
        <v>0</v>
      </c>
      <c r="AR338">
        <v>69.3</v>
      </c>
      <c r="AS338">
        <v>115.2</v>
      </c>
      <c r="AT338">
        <v>231.3</v>
      </c>
      <c r="AU338">
        <v>426.59999999999997</v>
      </c>
      <c r="AV338">
        <v>30</v>
      </c>
    </row>
    <row r="339" spans="1:48">
      <c r="A339">
        <v>338</v>
      </c>
      <c r="B339" s="15">
        <v>0</v>
      </c>
      <c r="C339">
        <v>5.6599999999999344</v>
      </c>
      <c r="D339">
        <v>-0.65999999999997949</v>
      </c>
      <c r="E339">
        <v>0.42780709337369316</v>
      </c>
      <c r="F339">
        <v>0</v>
      </c>
      <c r="G339">
        <v>0</v>
      </c>
      <c r="H339">
        <v>0.18605119722332442</v>
      </c>
      <c r="I339">
        <v>0</v>
      </c>
      <c r="J339" s="15">
        <v>0</v>
      </c>
      <c r="K339" s="15">
        <v>0</v>
      </c>
      <c r="L339" s="15">
        <v>0</v>
      </c>
      <c r="M339">
        <v>0</v>
      </c>
      <c r="N339">
        <v>0</v>
      </c>
      <c r="O339" s="15">
        <v>0</v>
      </c>
      <c r="P339">
        <v>0.51336852530365029</v>
      </c>
      <c r="Q339">
        <v>0.51336852530365029</v>
      </c>
      <c r="R339">
        <v>0</v>
      </c>
      <c r="S339">
        <v>0</v>
      </c>
      <c r="T339" s="15">
        <v>0.11187219135675264</v>
      </c>
      <c r="U339">
        <v>23.491360875400343</v>
      </c>
      <c r="V339">
        <v>0</v>
      </c>
      <c r="W339">
        <v>0</v>
      </c>
      <c r="X339">
        <v>0</v>
      </c>
      <c r="Y339">
        <v>0</v>
      </c>
      <c r="Z339">
        <v>1</v>
      </c>
      <c r="AA339">
        <v>0.9</v>
      </c>
      <c r="AB339">
        <v>1.1000000000000001</v>
      </c>
      <c r="AC339">
        <v>0</v>
      </c>
      <c r="AD339" s="15">
        <v>1.3218076001456893</v>
      </c>
      <c r="AE339">
        <v>269.23679810615948</v>
      </c>
      <c r="AF339">
        <v>270.44673351494839</v>
      </c>
      <c r="AG339">
        <v>237.83864764215073</v>
      </c>
      <c r="AH339">
        <v>178.27760545867909</v>
      </c>
      <c r="AI339">
        <v>2.1</v>
      </c>
      <c r="AJ339">
        <v>0</v>
      </c>
      <c r="AK339">
        <v>0</v>
      </c>
      <c r="AL339">
        <v>1</v>
      </c>
      <c r="AM339">
        <v>1</v>
      </c>
      <c r="AN339">
        <v>0</v>
      </c>
      <c r="AO339">
        <v>1</v>
      </c>
      <c r="AP339">
        <v>0</v>
      </c>
      <c r="AQ339">
        <v>0</v>
      </c>
      <c r="AR339">
        <v>69.3</v>
      </c>
      <c r="AS339">
        <v>115.2</v>
      </c>
      <c r="AT339">
        <v>231.3</v>
      </c>
      <c r="AU339">
        <v>426.59999999999997</v>
      </c>
      <c r="AV339">
        <v>30</v>
      </c>
    </row>
    <row r="340" spans="1:48">
      <c r="A340">
        <v>339</v>
      </c>
      <c r="B340" s="15">
        <v>0</v>
      </c>
      <c r="C340">
        <v>8.1999999999998838</v>
      </c>
      <c r="D340">
        <v>-0.35999999999998378</v>
      </c>
      <c r="E340">
        <v>0.25487536019655127</v>
      </c>
      <c r="F340">
        <v>0</v>
      </c>
      <c r="G340">
        <v>0</v>
      </c>
      <c r="H340">
        <v>0.17946525497649288</v>
      </c>
      <c r="I340">
        <v>0</v>
      </c>
      <c r="J340" s="15">
        <v>0</v>
      </c>
      <c r="K340" s="15">
        <v>0</v>
      </c>
      <c r="L340" s="15">
        <v>0</v>
      </c>
      <c r="M340">
        <v>0</v>
      </c>
      <c r="N340">
        <v>0</v>
      </c>
      <c r="O340" s="15">
        <v>0</v>
      </c>
      <c r="P340">
        <v>0.30585044013302998</v>
      </c>
      <c r="Q340">
        <v>0.30585044013302998</v>
      </c>
      <c r="R340">
        <v>0</v>
      </c>
      <c r="S340">
        <v>0</v>
      </c>
      <c r="T340" s="15">
        <v>8.479807672290475E-2</v>
      </c>
      <c r="U340">
        <v>23.100712358544392</v>
      </c>
      <c r="V340">
        <v>0</v>
      </c>
      <c r="W340">
        <v>0</v>
      </c>
      <c r="X340">
        <v>0</v>
      </c>
      <c r="Y340">
        <v>0</v>
      </c>
      <c r="Z340">
        <v>1</v>
      </c>
      <c r="AA340">
        <v>0.9</v>
      </c>
      <c r="AB340">
        <v>1.1000000000000001</v>
      </c>
      <c r="AC340">
        <v>0</v>
      </c>
      <c r="AD340" s="15">
        <v>1.2485339205782033</v>
      </c>
      <c r="AE340">
        <v>268.07306226230429</v>
      </c>
      <c r="AF340">
        <v>269.23679810615954</v>
      </c>
      <c r="AG340">
        <v>238.43197517916778</v>
      </c>
      <c r="AH340">
        <v>178.7014108422627</v>
      </c>
      <c r="AI340">
        <v>2.1</v>
      </c>
      <c r="AJ340">
        <v>0</v>
      </c>
      <c r="AK340">
        <v>0</v>
      </c>
      <c r="AL340">
        <v>1</v>
      </c>
      <c r="AM340">
        <v>1</v>
      </c>
      <c r="AN340">
        <v>0</v>
      </c>
      <c r="AO340">
        <v>1</v>
      </c>
      <c r="AP340">
        <v>0</v>
      </c>
      <c r="AQ340">
        <v>0</v>
      </c>
      <c r="AR340">
        <v>69.3</v>
      </c>
      <c r="AS340">
        <v>115.2</v>
      </c>
      <c r="AT340">
        <v>231.3</v>
      </c>
      <c r="AU340">
        <v>426.59999999999997</v>
      </c>
      <c r="AV340">
        <v>30</v>
      </c>
    </row>
    <row r="341" spans="1:48">
      <c r="A341">
        <v>340</v>
      </c>
      <c r="B341" s="15">
        <v>0.15999999999999945</v>
      </c>
      <c r="C341">
        <v>6.2999999999999279</v>
      </c>
      <c r="D341">
        <v>-1.2199999999999647</v>
      </c>
      <c r="E341">
        <v>0.15912271310551335</v>
      </c>
      <c r="F341">
        <v>0</v>
      </c>
      <c r="G341">
        <v>0</v>
      </c>
      <c r="H341">
        <v>0.18776597819778204</v>
      </c>
      <c r="I341">
        <v>0</v>
      </c>
      <c r="J341" s="15">
        <v>0.15999999999999945</v>
      </c>
      <c r="K341" s="15">
        <v>0.15999999999999945</v>
      </c>
      <c r="L341" s="15">
        <v>0.15999999999999945</v>
      </c>
      <c r="M341">
        <v>0</v>
      </c>
      <c r="N341">
        <v>0</v>
      </c>
      <c r="O341" s="15">
        <v>0.16000000476837098</v>
      </c>
      <c r="P341">
        <v>0.19094726065698778</v>
      </c>
      <c r="Q341">
        <v>0.19094726065698778</v>
      </c>
      <c r="R341">
        <v>0</v>
      </c>
      <c r="S341">
        <v>0</v>
      </c>
      <c r="T341" s="15">
        <v>7.37701085505367E-2</v>
      </c>
      <c r="U341">
        <v>22.995994994105235</v>
      </c>
      <c r="V341">
        <v>0</v>
      </c>
      <c r="W341">
        <v>0</v>
      </c>
      <c r="X341">
        <v>0</v>
      </c>
      <c r="Y341">
        <v>0</v>
      </c>
      <c r="Z341">
        <v>1</v>
      </c>
      <c r="AA341">
        <v>0.9</v>
      </c>
      <c r="AB341">
        <v>1.1000000000000001</v>
      </c>
      <c r="AC341">
        <v>0</v>
      </c>
      <c r="AD341" s="15">
        <v>1.1818657147946625</v>
      </c>
      <c r="AE341">
        <v>266.96496665606026</v>
      </c>
      <c r="AF341">
        <v>268.07306226230429</v>
      </c>
      <c r="AG341">
        <v>237.68416302416182</v>
      </c>
      <c r="AH341">
        <v>178.16725930297272</v>
      </c>
      <c r="AI341">
        <v>2.1</v>
      </c>
      <c r="AJ341">
        <v>0</v>
      </c>
      <c r="AK341">
        <v>0</v>
      </c>
      <c r="AL341">
        <v>1</v>
      </c>
      <c r="AM341">
        <v>1</v>
      </c>
      <c r="AN341">
        <v>0</v>
      </c>
      <c r="AO341">
        <v>1</v>
      </c>
      <c r="AP341">
        <v>0</v>
      </c>
      <c r="AQ341">
        <v>0</v>
      </c>
      <c r="AR341">
        <v>69.3</v>
      </c>
      <c r="AS341">
        <v>115.2</v>
      </c>
      <c r="AT341">
        <v>231.3</v>
      </c>
      <c r="AU341">
        <v>426.59999999999997</v>
      </c>
      <c r="AV341">
        <v>30</v>
      </c>
    </row>
    <row r="342" spans="1:48">
      <c r="A342">
        <v>341</v>
      </c>
      <c r="B342">
        <v>7.9999999999999724E-2</v>
      </c>
      <c r="C342">
        <v>8.8799999999998871</v>
      </c>
      <c r="D342">
        <v>-2.359999999999947</v>
      </c>
      <c r="E342">
        <v>0.28617791296096129</v>
      </c>
      <c r="F342">
        <v>0</v>
      </c>
      <c r="G342">
        <v>0</v>
      </c>
      <c r="H342">
        <v>0.19236210527409228</v>
      </c>
      <c r="I342">
        <v>0</v>
      </c>
      <c r="J342">
        <v>7.9999999999999724E-2</v>
      </c>
      <c r="K342">
        <v>7.9999999999999724E-2</v>
      </c>
      <c r="L342">
        <v>7.9999999999999724E-2</v>
      </c>
      <c r="M342">
        <v>0</v>
      </c>
      <c r="N342" s="15">
        <v>0</v>
      </c>
      <c r="O342">
        <v>8.000000238418549E-2</v>
      </c>
      <c r="P342">
        <v>0.34341350442036273</v>
      </c>
      <c r="Q342">
        <v>0.34341350442036273</v>
      </c>
      <c r="R342">
        <v>0</v>
      </c>
      <c r="S342">
        <v>0</v>
      </c>
      <c r="T342" s="15">
        <v>6.5633485553651741E-2</v>
      </c>
      <c r="U342">
        <v>22.666948006515415</v>
      </c>
      <c r="V342">
        <v>0</v>
      </c>
      <c r="W342">
        <v>0</v>
      </c>
      <c r="X342">
        <v>0</v>
      </c>
      <c r="Y342">
        <v>0</v>
      </c>
      <c r="Z342">
        <v>1</v>
      </c>
      <c r="AA342">
        <v>0.9</v>
      </c>
      <c r="AB342">
        <v>1.1000000000000001</v>
      </c>
      <c r="AC342">
        <v>0</v>
      </c>
      <c r="AD342" s="15">
        <v>1.1214641399950729</v>
      </c>
      <c r="AE342">
        <v>265.90913600161872</v>
      </c>
      <c r="AF342">
        <v>266.96496665606026</v>
      </c>
      <c r="AG342">
        <v>237.27009793585705</v>
      </c>
      <c r="AH342">
        <v>177.87149852561217</v>
      </c>
      <c r="AI342">
        <v>2.1</v>
      </c>
      <c r="AJ342">
        <v>0</v>
      </c>
      <c r="AK342">
        <v>0</v>
      </c>
      <c r="AL342">
        <v>1</v>
      </c>
      <c r="AM342">
        <v>1</v>
      </c>
      <c r="AN342">
        <v>0</v>
      </c>
      <c r="AO342">
        <v>1</v>
      </c>
      <c r="AP342">
        <v>0</v>
      </c>
      <c r="AQ342">
        <v>0</v>
      </c>
      <c r="AR342">
        <v>69.3</v>
      </c>
      <c r="AS342">
        <v>115.2</v>
      </c>
      <c r="AT342">
        <v>231.3</v>
      </c>
      <c r="AU342">
        <v>426.59999999999997</v>
      </c>
      <c r="AV342">
        <v>30</v>
      </c>
    </row>
    <row r="343" spans="1:48">
      <c r="A343">
        <v>342</v>
      </c>
      <c r="B343" s="15">
        <v>17.919999999999789</v>
      </c>
      <c r="C343">
        <v>2.7799999999999656</v>
      </c>
      <c r="D343">
        <v>0.28000000000000114</v>
      </c>
      <c r="E343">
        <v>0.41143059270970356</v>
      </c>
      <c r="F343">
        <v>0</v>
      </c>
      <c r="G343">
        <v>0</v>
      </c>
      <c r="H343">
        <v>0.18626345565987273</v>
      </c>
      <c r="I343">
        <v>0</v>
      </c>
      <c r="J343" s="15">
        <v>17.919999999999789</v>
      </c>
      <c r="K343" s="15">
        <v>17.919999999999789</v>
      </c>
      <c r="L343" s="15">
        <v>10.440827866737056</v>
      </c>
      <c r="M343">
        <v>0</v>
      </c>
      <c r="N343">
        <v>7.4791721332627334</v>
      </c>
      <c r="O343" s="15">
        <v>10.440828177897979</v>
      </c>
      <c r="P343">
        <v>0.4937167239998852</v>
      </c>
      <c r="Q343">
        <v>0.4937167239998852</v>
      </c>
      <c r="R343">
        <v>0</v>
      </c>
      <c r="S343">
        <v>0</v>
      </c>
      <c r="T343" s="15">
        <v>0.98439861267784567</v>
      </c>
      <c r="U343">
        <v>31.629660847735661</v>
      </c>
      <c r="V343">
        <v>0</v>
      </c>
      <c r="W343">
        <v>0</v>
      </c>
      <c r="X343">
        <v>0</v>
      </c>
      <c r="Y343">
        <v>0</v>
      </c>
      <c r="Z343">
        <v>1</v>
      </c>
      <c r="AA343">
        <v>0.9</v>
      </c>
      <c r="AB343">
        <v>1.1000000000000001</v>
      </c>
      <c r="AC343">
        <v>0</v>
      </c>
      <c r="AD343" s="15">
        <v>1.0770512024418271</v>
      </c>
      <c r="AE343">
        <v>265.81648341185485</v>
      </c>
      <c r="AF343">
        <v>265.90913600161878</v>
      </c>
      <c r="AG343">
        <v>237.81952527960209</v>
      </c>
      <c r="AH343">
        <v>178.26394662828721</v>
      </c>
      <c r="AI343">
        <v>2.1</v>
      </c>
      <c r="AJ343">
        <v>0</v>
      </c>
      <c r="AK343">
        <v>0</v>
      </c>
      <c r="AL343">
        <v>1</v>
      </c>
      <c r="AM343">
        <v>1</v>
      </c>
      <c r="AN343">
        <v>0</v>
      </c>
      <c r="AO343">
        <v>1</v>
      </c>
      <c r="AP343">
        <v>0</v>
      </c>
      <c r="AQ343">
        <v>0</v>
      </c>
      <c r="AR343">
        <v>69.3</v>
      </c>
      <c r="AS343">
        <v>115.2</v>
      </c>
      <c r="AT343">
        <v>231.3</v>
      </c>
      <c r="AU343">
        <v>426.59999999999997</v>
      </c>
      <c r="AV343">
        <v>30</v>
      </c>
    </row>
    <row r="344" spans="1:48">
      <c r="A344">
        <v>343</v>
      </c>
      <c r="B344" s="15">
        <v>1.5999999999999943</v>
      </c>
      <c r="C344">
        <v>3.1199999999999593</v>
      </c>
      <c r="D344">
        <v>0.75999999999999512</v>
      </c>
      <c r="E344">
        <v>0.19909728887266517</v>
      </c>
      <c r="F344">
        <v>0</v>
      </c>
      <c r="G344">
        <v>0</v>
      </c>
      <c r="H344">
        <v>0.18025132701107338</v>
      </c>
      <c r="I344">
        <v>0</v>
      </c>
      <c r="J344" s="15">
        <v>1.5999999999999943</v>
      </c>
      <c r="K344" s="15">
        <v>1.5999999999999943</v>
      </c>
      <c r="L344" s="15">
        <v>1.5999999999999943</v>
      </c>
      <c r="M344">
        <v>0</v>
      </c>
      <c r="N344">
        <v>0</v>
      </c>
      <c r="O344" s="15">
        <v>1.6000000476837111</v>
      </c>
      <c r="P344">
        <v>0.23891675281629296</v>
      </c>
      <c r="Q344">
        <v>0.23891675281629296</v>
      </c>
      <c r="R344">
        <v>0</v>
      </c>
      <c r="S344">
        <v>0</v>
      </c>
      <c r="T344" s="15">
        <v>2.57800008838539</v>
      </c>
      <c r="U344">
        <v>30.412744054217701</v>
      </c>
      <c r="V344">
        <v>0</v>
      </c>
      <c r="W344">
        <v>0</v>
      </c>
      <c r="X344">
        <v>0</v>
      </c>
      <c r="Y344">
        <v>0</v>
      </c>
      <c r="Z344">
        <v>1</v>
      </c>
      <c r="AA344">
        <v>0.9</v>
      </c>
      <c r="AB344">
        <v>1.1000000000000001</v>
      </c>
      <c r="AC344">
        <v>0</v>
      </c>
      <c r="AD344" s="15">
        <v>1.1320267476351442</v>
      </c>
      <c r="AE344">
        <v>267.2624567526052</v>
      </c>
      <c r="AF344">
        <v>265.8164834118549</v>
      </c>
      <c r="AG344">
        <v>238.3611579495724</v>
      </c>
      <c r="AH344">
        <v>178.65082710683743</v>
      </c>
      <c r="AI344">
        <v>2.1</v>
      </c>
      <c r="AJ344">
        <v>0</v>
      </c>
      <c r="AK344">
        <v>0</v>
      </c>
      <c r="AL344">
        <v>1</v>
      </c>
      <c r="AM344">
        <v>1</v>
      </c>
      <c r="AN344">
        <v>0</v>
      </c>
      <c r="AO344">
        <v>1</v>
      </c>
      <c r="AP344">
        <v>0</v>
      </c>
      <c r="AQ344">
        <v>0</v>
      </c>
      <c r="AR344">
        <v>69.3</v>
      </c>
      <c r="AS344">
        <v>115.2</v>
      </c>
      <c r="AT344">
        <v>231.3</v>
      </c>
      <c r="AU344">
        <v>426.59999999999997</v>
      </c>
      <c r="AV344">
        <v>30</v>
      </c>
    </row>
    <row r="345" spans="1:48">
      <c r="A345">
        <v>344</v>
      </c>
      <c r="B345" s="15">
        <v>4.199999999999978</v>
      </c>
      <c r="C345">
        <v>2.8599999999999568</v>
      </c>
      <c r="D345">
        <v>-0.45999999999998242</v>
      </c>
      <c r="E345">
        <v>0.30407391997444871</v>
      </c>
      <c r="F345">
        <v>0</v>
      </c>
      <c r="G345">
        <v>0</v>
      </c>
      <c r="H345">
        <v>0.19044332563060817</v>
      </c>
      <c r="I345">
        <v>0</v>
      </c>
      <c r="J345" s="15">
        <v>4.199999999999978</v>
      </c>
      <c r="K345" s="15">
        <v>4.199999999999978</v>
      </c>
      <c r="L345" s="15">
        <v>4.0985539579489867</v>
      </c>
      <c r="M345">
        <v>0</v>
      </c>
      <c r="N345">
        <v>0.10144604205099166</v>
      </c>
      <c r="O345" s="15">
        <v>4.0985540800954139</v>
      </c>
      <c r="P345">
        <v>0.36488871339121304</v>
      </c>
      <c r="Q345">
        <v>0.36488871339121304</v>
      </c>
      <c r="R345">
        <v>0</v>
      </c>
      <c r="S345">
        <v>0</v>
      </c>
      <c r="T345" s="15">
        <v>2.6660473565370171</v>
      </c>
      <c r="U345">
        <v>31.480362064384902</v>
      </c>
      <c r="V345">
        <v>0</v>
      </c>
      <c r="W345">
        <v>0</v>
      </c>
      <c r="X345">
        <v>0</v>
      </c>
      <c r="Y345">
        <v>0</v>
      </c>
      <c r="Z345">
        <v>1</v>
      </c>
      <c r="AA345">
        <v>0.9</v>
      </c>
      <c r="AB345">
        <v>1.1000000000000001</v>
      </c>
      <c r="AC345">
        <v>0</v>
      </c>
      <c r="AD345" s="15">
        <v>1.204264459268527</v>
      </c>
      <c r="AE345">
        <v>268.72423964987382</v>
      </c>
      <c r="AF345">
        <v>267.26245675260526</v>
      </c>
      <c r="AG345">
        <v>237.44296079393851</v>
      </c>
      <c r="AH345">
        <v>177.99497199567037</v>
      </c>
      <c r="AI345">
        <v>2.1</v>
      </c>
      <c r="AJ345">
        <v>0</v>
      </c>
      <c r="AK345">
        <v>0</v>
      </c>
      <c r="AL345">
        <v>1</v>
      </c>
      <c r="AM345">
        <v>1</v>
      </c>
      <c r="AN345">
        <v>0</v>
      </c>
      <c r="AO345">
        <v>1</v>
      </c>
      <c r="AP345">
        <v>0</v>
      </c>
      <c r="AQ345">
        <v>0</v>
      </c>
      <c r="AR345">
        <v>69.3</v>
      </c>
      <c r="AS345">
        <v>115.2</v>
      </c>
      <c r="AT345">
        <v>231.3</v>
      </c>
      <c r="AU345">
        <v>426.59999999999997</v>
      </c>
      <c r="AV345">
        <v>30</v>
      </c>
    </row>
    <row r="346" spans="1:48">
      <c r="A346">
        <v>345</v>
      </c>
      <c r="B346" s="15">
        <v>7.9999999999999724E-2</v>
      </c>
      <c r="C346">
        <v>7.0599999999999055</v>
      </c>
      <c r="D346">
        <v>-1.9999999999999629</v>
      </c>
      <c r="E346">
        <v>0.12257329672774979</v>
      </c>
      <c r="F346">
        <v>0</v>
      </c>
      <c r="G346">
        <v>0</v>
      </c>
      <c r="H346">
        <v>0.18540444732023903</v>
      </c>
      <c r="I346">
        <v>0</v>
      </c>
      <c r="J346" s="15">
        <v>7.9999999999999724E-2</v>
      </c>
      <c r="K346" s="15">
        <v>7.9999999999999724E-2</v>
      </c>
      <c r="L346" s="15">
        <v>7.9999999999999724E-2</v>
      </c>
      <c r="M346">
        <v>0</v>
      </c>
      <c r="N346">
        <v>0</v>
      </c>
      <c r="O346" s="15">
        <v>8.000000238418549E-2</v>
      </c>
      <c r="P346">
        <v>0.1470879598713066</v>
      </c>
      <c r="Q346">
        <v>0.1470879598713066</v>
      </c>
      <c r="R346">
        <v>0</v>
      </c>
      <c r="S346">
        <v>0</v>
      </c>
      <c r="T346" s="15">
        <v>2.0577755461848173</v>
      </c>
      <c r="U346">
        <v>29.355498560712967</v>
      </c>
      <c r="V346">
        <v>0</v>
      </c>
      <c r="W346">
        <v>0</v>
      </c>
      <c r="X346">
        <v>0</v>
      </c>
      <c r="Y346">
        <v>0</v>
      </c>
      <c r="Z346">
        <v>1</v>
      </c>
      <c r="AA346">
        <v>0.9</v>
      </c>
      <c r="AB346">
        <v>1.1000000000000001</v>
      </c>
      <c r="AC346">
        <v>0</v>
      </c>
      <c r="AD346" s="15">
        <v>1.2840548700952592</v>
      </c>
      <c r="AE346">
        <v>269.49796032596339</v>
      </c>
      <c r="AF346">
        <v>268.72423964987388</v>
      </c>
      <c r="AG346">
        <v>237.89691334091967</v>
      </c>
      <c r="AH346">
        <v>178.31922381494263</v>
      </c>
      <c r="AI346">
        <v>2.1</v>
      </c>
      <c r="AJ346">
        <v>0</v>
      </c>
      <c r="AK346">
        <v>0</v>
      </c>
      <c r="AL346">
        <v>1</v>
      </c>
      <c r="AM346">
        <v>1</v>
      </c>
      <c r="AN346">
        <v>0</v>
      </c>
      <c r="AO346">
        <v>1</v>
      </c>
      <c r="AP346">
        <v>0</v>
      </c>
      <c r="AQ346">
        <v>0</v>
      </c>
      <c r="AR346">
        <v>69.3</v>
      </c>
      <c r="AS346">
        <v>115.2</v>
      </c>
      <c r="AT346">
        <v>231.3</v>
      </c>
      <c r="AU346">
        <v>426.59999999999997</v>
      </c>
      <c r="AV346">
        <v>30</v>
      </c>
    </row>
    <row r="347" spans="1:48">
      <c r="A347">
        <v>346</v>
      </c>
      <c r="B347" s="15">
        <v>0.15999999999999945</v>
      </c>
      <c r="C347">
        <v>10.099999999999877</v>
      </c>
      <c r="D347">
        <v>-3.1599999999999393</v>
      </c>
      <c r="E347">
        <v>0.21639432654770674</v>
      </c>
      <c r="F347">
        <v>0</v>
      </c>
      <c r="G347">
        <v>0</v>
      </c>
      <c r="H347">
        <v>0.19411647726630626</v>
      </c>
      <c r="I347">
        <v>0</v>
      </c>
      <c r="J347" s="15">
        <v>0.15999999999999945</v>
      </c>
      <c r="K347" s="15">
        <v>0.15999999999999945</v>
      </c>
      <c r="L347" s="15">
        <v>0.15999999999999945</v>
      </c>
      <c r="M347">
        <v>0</v>
      </c>
      <c r="N347">
        <v>0</v>
      </c>
      <c r="O347" s="15">
        <v>0.16000000476837098</v>
      </c>
      <c r="P347">
        <v>0.25967319856237819</v>
      </c>
      <c r="Q347">
        <v>0.25967319856237819</v>
      </c>
      <c r="R347">
        <v>0</v>
      </c>
      <c r="S347">
        <v>0</v>
      </c>
      <c r="T347" s="15">
        <v>1.0906977159164888</v>
      </c>
      <c r="U347">
        <v>28.165127651002461</v>
      </c>
      <c r="V347">
        <v>0</v>
      </c>
      <c r="W347">
        <v>0</v>
      </c>
      <c r="X347">
        <v>0</v>
      </c>
      <c r="Y347">
        <v>0</v>
      </c>
      <c r="Z347">
        <v>1</v>
      </c>
      <c r="AA347">
        <v>0.9</v>
      </c>
      <c r="AB347">
        <v>1.1000000000000001</v>
      </c>
      <c r="AC347">
        <v>0</v>
      </c>
      <c r="AD347" s="15">
        <v>1.2961273333471706</v>
      </c>
      <c r="AE347">
        <v>269.29253070853275</v>
      </c>
      <c r="AF347">
        <v>269.49796032596339</v>
      </c>
      <c r="AG347">
        <v>237.11204656307848</v>
      </c>
      <c r="AH347">
        <v>177.75860468791322</v>
      </c>
      <c r="AI347">
        <v>2.1</v>
      </c>
      <c r="AJ347">
        <v>0</v>
      </c>
      <c r="AK347">
        <v>0</v>
      </c>
      <c r="AL347">
        <v>1</v>
      </c>
      <c r="AM347">
        <v>1</v>
      </c>
      <c r="AN347">
        <v>0</v>
      </c>
      <c r="AO347">
        <v>1</v>
      </c>
      <c r="AP347">
        <v>0</v>
      </c>
      <c r="AQ347">
        <v>0</v>
      </c>
      <c r="AR347">
        <v>69.3</v>
      </c>
      <c r="AS347">
        <v>115.2</v>
      </c>
      <c r="AT347">
        <v>231.3</v>
      </c>
      <c r="AU347">
        <v>426.59999999999997</v>
      </c>
      <c r="AV347">
        <v>30</v>
      </c>
    </row>
    <row r="348" spans="1:48">
      <c r="A348">
        <v>347</v>
      </c>
      <c r="B348">
        <v>0</v>
      </c>
      <c r="C348">
        <v>11.859999999999838</v>
      </c>
      <c r="D348">
        <v>-0.5199999999999747</v>
      </c>
      <c r="E348">
        <v>0.27645265575645983</v>
      </c>
      <c r="F348">
        <v>0</v>
      </c>
      <c r="G348">
        <v>0</v>
      </c>
      <c r="H348">
        <v>0.18961306781932244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0.33174319547385583</v>
      </c>
      <c r="Q348">
        <v>0.33174319547385583</v>
      </c>
      <c r="R348">
        <v>0</v>
      </c>
      <c r="S348">
        <v>0</v>
      </c>
      <c r="T348" s="15">
        <v>0.69050749392377841</v>
      </c>
      <c r="U348">
        <v>27.142876961604824</v>
      </c>
      <c r="V348">
        <v>0</v>
      </c>
      <c r="W348">
        <v>0</v>
      </c>
      <c r="X348">
        <v>0</v>
      </c>
      <c r="Y348">
        <v>0</v>
      </c>
      <c r="Z348">
        <v>1</v>
      </c>
      <c r="AA348">
        <v>0.9</v>
      </c>
      <c r="AB348">
        <v>1.1000000000000001</v>
      </c>
      <c r="AC348">
        <v>0</v>
      </c>
      <c r="AD348" s="15">
        <v>1.2708831445986597</v>
      </c>
      <c r="AE348">
        <v>268.71215505785779</v>
      </c>
      <c r="AF348">
        <v>269.29253070853275</v>
      </c>
      <c r="AG348">
        <v>237.51775872015727</v>
      </c>
      <c r="AH348">
        <v>178.04839908582659</v>
      </c>
      <c r="AI348">
        <v>2.1</v>
      </c>
      <c r="AJ348">
        <v>0</v>
      </c>
      <c r="AK348">
        <v>0</v>
      </c>
      <c r="AL348">
        <v>1</v>
      </c>
      <c r="AM348">
        <v>1</v>
      </c>
      <c r="AN348">
        <v>0</v>
      </c>
      <c r="AO348">
        <v>1</v>
      </c>
      <c r="AP348">
        <v>0</v>
      </c>
      <c r="AQ348">
        <v>0</v>
      </c>
      <c r="AR348">
        <v>69.3</v>
      </c>
      <c r="AS348">
        <v>115.2</v>
      </c>
      <c r="AT348">
        <v>231.3</v>
      </c>
      <c r="AU348">
        <v>426.59999999999997</v>
      </c>
      <c r="AV348">
        <v>30</v>
      </c>
    </row>
    <row r="349" spans="1:48">
      <c r="A349">
        <v>348</v>
      </c>
      <c r="B349">
        <v>7.9999999999999724E-2</v>
      </c>
      <c r="C349">
        <v>10.519999999999865</v>
      </c>
      <c r="D349">
        <v>-0.71999999999996755</v>
      </c>
      <c r="E349">
        <v>0.20562638605605066</v>
      </c>
      <c r="F349">
        <v>0</v>
      </c>
      <c r="G349">
        <v>0</v>
      </c>
      <c r="H349">
        <v>0.18673026800729892</v>
      </c>
      <c r="I349">
        <v>0</v>
      </c>
      <c r="J349">
        <v>7.9999999999999724E-2</v>
      </c>
      <c r="K349">
        <v>7.9999999999999724E-2</v>
      </c>
      <c r="L349">
        <v>7.9999999999999724E-2</v>
      </c>
      <c r="M349">
        <v>0</v>
      </c>
      <c r="N349">
        <v>0</v>
      </c>
      <c r="O349">
        <v>8.000000238418549E-2</v>
      </c>
      <c r="P349">
        <v>0.24675166963877179</v>
      </c>
      <c r="Q349">
        <v>0.24675166963877179</v>
      </c>
      <c r="R349">
        <v>0</v>
      </c>
      <c r="S349">
        <v>0</v>
      </c>
      <c r="T349" s="15">
        <v>0.47948370681694102</v>
      </c>
      <c r="U349">
        <v>26.496641587533276</v>
      </c>
      <c r="V349">
        <v>0</v>
      </c>
      <c r="W349">
        <v>0</v>
      </c>
      <c r="X349">
        <v>0</v>
      </c>
      <c r="Y349">
        <v>0</v>
      </c>
      <c r="Z349">
        <v>1</v>
      </c>
      <c r="AA349">
        <v>0.9</v>
      </c>
      <c r="AB349">
        <v>1.1000000000000001</v>
      </c>
      <c r="AC349">
        <v>0</v>
      </c>
      <c r="AD349" s="15">
        <v>1.2300367877459517</v>
      </c>
      <c r="AE349">
        <v>267.96160197692876</v>
      </c>
      <c r="AF349">
        <v>268.71215505785779</v>
      </c>
      <c r="AG349">
        <v>237.77747015522243</v>
      </c>
      <c r="AH349">
        <v>178.23390725373031</v>
      </c>
      <c r="AI349">
        <v>2.1</v>
      </c>
      <c r="AJ349">
        <v>0</v>
      </c>
      <c r="AK349">
        <v>0</v>
      </c>
      <c r="AL349">
        <v>1</v>
      </c>
      <c r="AM349">
        <v>1</v>
      </c>
      <c r="AN349">
        <v>0</v>
      </c>
      <c r="AO349">
        <v>1</v>
      </c>
      <c r="AP349">
        <v>0</v>
      </c>
      <c r="AQ349">
        <v>0</v>
      </c>
      <c r="AR349">
        <v>69.3</v>
      </c>
      <c r="AS349">
        <v>115.2</v>
      </c>
      <c r="AT349">
        <v>231.3</v>
      </c>
      <c r="AU349">
        <v>426.59999999999997</v>
      </c>
      <c r="AV349">
        <v>30</v>
      </c>
    </row>
    <row r="350" spans="1:48">
      <c r="A350">
        <v>349</v>
      </c>
      <c r="B350">
        <v>0</v>
      </c>
      <c r="C350">
        <v>10.319999999999862</v>
      </c>
      <c r="D350">
        <v>-0.57999999999997565</v>
      </c>
      <c r="E350">
        <v>0.21022882267066159</v>
      </c>
      <c r="F350">
        <v>0</v>
      </c>
      <c r="G350">
        <v>0</v>
      </c>
      <c r="H350">
        <v>0.19012992896471395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0.25227459371892791</v>
      </c>
      <c r="Q350">
        <v>0.25227459371892791</v>
      </c>
      <c r="R350">
        <v>0</v>
      </c>
      <c r="S350">
        <v>0</v>
      </c>
      <c r="T350" s="15">
        <v>0.3604549245600161</v>
      </c>
      <c r="U350">
        <v>25.883912069254325</v>
      </c>
      <c r="V350">
        <v>0</v>
      </c>
      <c r="W350">
        <v>0</v>
      </c>
      <c r="X350">
        <v>0</v>
      </c>
      <c r="Y350">
        <v>0</v>
      </c>
      <c r="Z350">
        <v>1</v>
      </c>
      <c r="AA350">
        <v>0.9</v>
      </c>
      <c r="AB350">
        <v>1.1000000000000001</v>
      </c>
      <c r="AC350">
        <v>0</v>
      </c>
      <c r="AD350" s="15">
        <v>1.1840221171743179</v>
      </c>
      <c r="AE350">
        <v>267.13803478431458</v>
      </c>
      <c r="AF350">
        <v>267.96160197692882</v>
      </c>
      <c r="AG350">
        <v>237.47119469956894</v>
      </c>
      <c r="AH350">
        <v>178.01513907112064</v>
      </c>
      <c r="AI350">
        <v>2.1</v>
      </c>
      <c r="AJ350">
        <v>0</v>
      </c>
      <c r="AK350">
        <v>0</v>
      </c>
      <c r="AL350">
        <v>1</v>
      </c>
      <c r="AM350">
        <v>1</v>
      </c>
      <c r="AN350">
        <v>0</v>
      </c>
      <c r="AO350">
        <v>1</v>
      </c>
      <c r="AP350">
        <v>0</v>
      </c>
      <c r="AQ350">
        <v>0</v>
      </c>
      <c r="AR350">
        <v>69.3</v>
      </c>
      <c r="AS350">
        <v>115.2</v>
      </c>
      <c r="AT350">
        <v>231.3</v>
      </c>
      <c r="AU350">
        <v>426.59999999999997</v>
      </c>
      <c r="AV350">
        <v>30</v>
      </c>
    </row>
    <row r="351" spans="1:48">
      <c r="A351">
        <v>350</v>
      </c>
      <c r="B351">
        <v>0.15999999999999945</v>
      </c>
      <c r="C351">
        <v>7.4199999999999156</v>
      </c>
      <c r="D351">
        <v>-1.7599999999999596</v>
      </c>
      <c r="E351">
        <v>0.16323124863082705</v>
      </c>
      <c r="F351">
        <v>0</v>
      </c>
      <c r="G351">
        <v>0</v>
      </c>
      <c r="H351">
        <v>0.18990901200644558</v>
      </c>
      <c r="I351">
        <v>0</v>
      </c>
      <c r="J351">
        <v>0.15999999999999945</v>
      </c>
      <c r="K351">
        <v>0.15999999999999945</v>
      </c>
      <c r="L351">
        <v>0.15999999999999945</v>
      </c>
      <c r="M351">
        <v>0</v>
      </c>
      <c r="N351">
        <v>0</v>
      </c>
      <c r="O351">
        <v>0.16000000476837098</v>
      </c>
      <c r="P351">
        <v>0.19587750341487112</v>
      </c>
      <c r="Q351">
        <v>0.19587750341487112</v>
      </c>
      <c r="R351">
        <v>0</v>
      </c>
      <c r="S351">
        <v>0</v>
      </c>
      <c r="T351" s="15">
        <v>0.28912161595619046</v>
      </c>
      <c r="U351">
        <v>25.558912954651646</v>
      </c>
      <c r="V351">
        <v>0</v>
      </c>
      <c r="W351">
        <v>0</v>
      </c>
      <c r="X351">
        <v>0</v>
      </c>
      <c r="Y351">
        <v>0</v>
      </c>
      <c r="Z351">
        <v>1</v>
      </c>
      <c r="AA351">
        <v>0.9</v>
      </c>
      <c r="AB351">
        <v>1.1000000000000001</v>
      </c>
      <c r="AC351">
        <v>0</v>
      </c>
      <c r="AD351" s="15">
        <v>1.1367467089191208</v>
      </c>
      <c r="AE351">
        <v>266.29040969135178</v>
      </c>
      <c r="AF351">
        <v>267.13803478431464</v>
      </c>
      <c r="AG351">
        <v>237.49109710833935</v>
      </c>
      <c r="AH351">
        <v>178.02935507738525</v>
      </c>
      <c r="AI351">
        <v>2.1</v>
      </c>
      <c r="AJ351">
        <v>0</v>
      </c>
      <c r="AK351">
        <v>0</v>
      </c>
      <c r="AL351">
        <v>1</v>
      </c>
      <c r="AM351">
        <v>1</v>
      </c>
      <c r="AN351">
        <v>0</v>
      </c>
      <c r="AO351">
        <v>1</v>
      </c>
      <c r="AP351">
        <v>0</v>
      </c>
      <c r="AQ351">
        <v>0</v>
      </c>
      <c r="AR351">
        <v>69.3</v>
      </c>
      <c r="AS351">
        <v>115.2</v>
      </c>
      <c r="AT351">
        <v>231.3</v>
      </c>
      <c r="AU351">
        <v>426.59999999999997</v>
      </c>
      <c r="AV351">
        <v>30</v>
      </c>
    </row>
    <row r="352" spans="1:48">
      <c r="A352">
        <v>351</v>
      </c>
      <c r="B352">
        <v>7.9999999999999724E-2</v>
      </c>
      <c r="C352">
        <v>7.9999999999999289</v>
      </c>
      <c r="D352">
        <v>-1.3999999999999759</v>
      </c>
      <c r="E352">
        <v>0.2725549945318258</v>
      </c>
      <c r="F352">
        <v>0</v>
      </c>
      <c r="G352">
        <v>0</v>
      </c>
      <c r="H352">
        <v>0.19216489556818495</v>
      </c>
      <c r="I352">
        <v>0</v>
      </c>
      <c r="J352">
        <v>7.9999999999999724E-2</v>
      </c>
      <c r="K352">
        <v>7.9999999999999724E-2</v>
      </c>
      <c r="L352">
        <v>7.9999999999999724E-2</v>
      </c>
      <c r="M352">
        <v>0</v>
      </c>
      <c r="N352">
        <v>0</v>
      </c>
      <c r="O352">
        <v>8.000000238418549E-2</v>
      </c>
      <c r="P352">
        <v>0.32706600188358209</v>
      </c>
      <c r="Q352" s="15">
        <v>0.32706600188358209</v>
      </c>
      <c r="R352">
        <v>0</v>
      </c>
      <c r="S352">
        <v>0</v>
      </c>
      <c r="T352" s="15">
        <v>0.23863882882910598</v>
      </c>
      <c r="U352">
        <v>25.073208126323149</v>
      </c>
      <c r="V352">
        <v>0</v>
      </c>
      <c r="W352">
        <v>0</v>
      </c>
      <c r="X352">
        <v>0</v>
      </c>
      <c r="Y352">
        <v>0</v>
      </c>
      <c r="Z352">
        <v>1</v>
      </c>
      <c r="AA352">
        <v>0.9</v>
      </c>
      <c r="AB352">
        <v>1.1000000000000001</v>
      </c>
      <c r="AC352">
        <v>0</v>
      </c>
      <c r="AD352" s="15">
        <v>1.090760285114994</v>
      </c>
      <c r="AE352">
        <v>265.4382882350659</v>
      </c>
      <c r="AF352">
        <v>266.29040969135178</v>
      </c>
      <c r="AG352">
        <v>237.28786455826221</v>
      </c>
      <c r="AH352">
        <v>177.88418897018732</v>
      </c>
      <c r="AI352">
        <v>2.1</v>
      </c>
      <c r="AJ352">
        <v>0</v>
      </c>
      <c r="AK352">
        <v>0</v>
      </c>
      <c r="AL352">
        <v>1</v>
      </c>
      <c r="AM352">
        <v>1</v>
      </c>
      <c r="AN352">
        <v>0</v>
      </c>
      <c r="AO352">
        <v>1</v>
      </c>
      <c r="AP352">
        <v>0</v>
      </c>
      <c r="AQ352">
        <v>0</v>
      </c>
      <c r="AR352">
        <v>69.3</v>
      </c>
      <c r="AS352">
        <v>115.2</v>
      </c>
      <c r="AT352">
        <v>231.3</v>
      </c>
      <c r="AU352">
        <v>426.59999999999997</v>
      </c>
      <c r="AV352">
        <v>30</v>
      </c>
    </row>
    <row r="353" spans="1:48">
      <c r="A353">
        <v>352</v>
      </c>
      <c r="B353" s="15">
        <v>0.23999999999999913</v>
      </c>
      <c r="C353">
        <v>3.6799999999999615</v>
      </c>
      <c r="D353">
        <v>-1.8399999999999808</v>
      </c>
      <c r="E353">
        <v>0.14473504365417336</v>
      </c>
      <c r="F353">
        <v>0</v>
      </c>
      <c r="G353">
        <v>0</v>
      </c>
      <c r="H353">
        <v>0.18691735574672813</v>
      </c>
      <c r="I353">
        <v>0</v>
      </c>
      <c r="J353" s="15">
        <v>0.23999999999999913</v>
      </c>
      <c r="K353" s="15">
        <v>0.23999999999999913</v>
      </c>
      <c r="L353" s="15">
        <v>0.23999999999999913</v>
      </c>
      <c r="M353">
        <v>0</v>
      </c>
      <c r="N353">
        <v>0</v>
      </c>
      <c r="O353" s="15">
        <v>0.24000000715255659</v>
      </c>
      <c r="P353">
        <v>0.17368205686977312</v>
      </c>
      <c r="Q353">
        <v>0.17368205686977312</v>
      </c>
      <c r="R353">
        <v>0</v>
      </c>
      <c r="S353">
        <v>0</v>
      </c>
      <c r="T353" s="15">
        <v>0.20428892311770508</v>
      </c>
      <c r="U353">
        <v>24.935237153488224</v>
      </c>
      <c r="V353">
        <v>0</v>
      </c>
      <c r="W353">
        <v>0</v>
      </c>
      <c r="X353">
        <v>0</v>
      </c>
      <c r="Y353">
        <v>0</v>
      </c>
      <c r="Z353">
        <v>1</v>
      </c>
      <c r="AA353">
        <v>0.9</v>
      </c>
      <c r="AB353">
        <v>1.1000000000000001</v>
      </c>
      <c r="AC353">
        <v>0</v>
      </c>
      <c r="AD353" s="15">
        <v>1.0462930758945481</v>
      </c>
      <c r="AE353">
        <v>264.59628408228906</v>
      </c>
      <c r="AF353">
        <v>265.4382882350659</v>
      </c>
      <c r="AG353">
        <v>237.76061542077727</v>
      </c>
      <c r="AH353">
        <v>178.22186815769805</v>
      </c>
      <c r="AI353">
        <v>2.1</v>
      </c>
      <c r="AJ353">
        <v>0</v>
      </c>
      <c r="AK353">
        <v>0</v>
      </c>
      <c r="AL353">
        <v>1</v>
      </c>
      <c r="AM353">
        <v>1</v>
      </c>
      <c r="AN353">
        <v>0</v>
      </c>
      <c r="AO353">
        <v>1</v>
      </c>
      <c r="AP353">
        <v>0</v>
      </c>
      <c r="AQ353">
        <v>0</v>
      </c>
      <c r="AR353">
        <v>69.3</v>
      </c>
      <c r="AS353">
        <v>115.2</v>
      </c>
      <c r="AT353">
        <v>231.3</v>
      </c>
      <c r="AU353">
        <v>426.59999999999997</v>
      </c>
      <c r="AV353">
        <v>30</v>
      </c>
    </row>
    <row r="354" spans="1:48">
      <c r="A354">
        <v>353</v>
      </c>
      <c r="B354">
        <v>0</v>
      </c>
      <c r="C354">
        <v>8.4999999999999396</v>
      </c>
      <c r="D354">
        <v>-0.91999999999998605</v>
      </c>
      <c r="E354">
        <v>0.25864764149453817</v>
      </c>
      <c r="F354">
        <v>0</v>
      </c>
      <c r="G354">
        <v>0</v>
      </c>
      <c r="H354">
        <v>0.19305271341014457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0.31037717780791535</v>
      </c>
      <c r="Q354" s="15">
        <v>0.31037717780791535</v>
      </c>
      <c r="R354">
        <v>0</v>
      </c>
      <c r="S354">
        <v>0</v>
      </c>
      <c r="T354" s="15">
        <v>0.1756298311673152</v>
      </c>
      <c r="U354">
        <v>24.449230144512999</v>
      </c>
      <c r="V354">
        <v>0</v>
      </c>
      <c r="W354">
        <v>0</v>
      </c>
      <c r="X354">
        <v>0</v>
      </c>
      <c r="Y354">
        <v>0</v>
      </c>
      <c r="Z354">
        <v>1</v>
      </c>
      <c r="AA354">
        <v>0.9</v>
      </c>
      <c r="AB354">
        <v>1.1000000000000001</v>
      </c>
      <c r="AC354">
        <v>0</v>
      </c>
      <c r="AD354" s="15">
        <v>1.004381515020859</v>
      </c>
      <c r="AE354">
        <v>263.76753239843555</v>
      </c>
      <c r="AF354">
        <v>264.59628408228906</v>
      </c>
      <c r="AG354">
        <v>237.2078810488801</v>
      </c>
      <c r="AH354">
        <v>177.82705789205721</v>
      </c>
      <c r="AI354">
        <v>2.1</v>
      </c>
      <c r="AJ354">
        <v>0</v>
      </c>
      <c r="AK354">
        <v>0</v>
      </c>
      <c r="AL354">
        <v>1</v>
      </c>
      <c r="AM354">
        <v>1</v>
      </c>
      <c r="AN354">
        <v>0</v>
      </c>
      <c r="AO354">
        <v>1</v>
      </c>
      <c r="AP354">
        <v>0</v>
      </c>
      <c r="AQ354">
        <v>0</v>
      </c>
      <c r="AR354">
        <v>69.3</v>
      </c>
      <c r="AS354">
        <v>115.2</v>
      </c>
      <c r="AT354">
        <v>231.3</v>
      </c>
      <c r="AU354">
        <v>426.59999999999997</v>
      </c>
      <c r="AV354">
        <v>30</v>
      </c>
    </row>
    <row r="355" spans="1:48">
      <c r="A355">
        <v>354</v>
      </c>
      <c r="B355" s="15">
        <v>0</v>
      </c>
      <c r="C355">
        <v>12.139999999999851</v>
      </c>
      <c r="D355">
        <v>0.32000000000001161</v>
      </c>
      <c r="E355">
        <v>0.40596351482805909</v>
      </c>
      <c r="F355">
        <v>0</v>
      </c>
      <c r="G355">
        <v>0</v>
      </c>
      <c r="H355">
        <v>0.18758490869483385</v>
      </c>
      <c r="I355">
        <v>0</v>
      </c>
      <c r="J355" s="15">
        <v>0</v>
      </c>
      <c r="K355" s="15">
        <v>0</v>
      </c>
      <c r="L355" s="15">
        <v>0</v>
      </c>
      <c r="M355">
        <v>0</v>
      </c>
      <c r="N355">
        <v>0</v>
      </c>
      <c r="O355" s="15">
        <v>0</v>
      </c>
      <c r="P355">
        <v>0.48715623037288136</v>
      </c>
      <c r="Q355" s="15">
        <v>0.48715623037288136</v>
      </c>
      <c r="R355">
        <v>0</v>
      </c>
      <c r="S355">
        <v>0</v>
      </c>
      <c r="T355" s="15">
        <v>0.13312401981531816</v>
      </c>
      <c r="U355">
        <v>23.82894989432479</v>
      </c>
      <c r="V355">
        <v>0</v>
      </c>
      <c r="W355">
        <v>0</v>
      </c>
      <c r="X355">
        <v>0</v>
      </c>
      <c r="Y355">
        <v>0</v>
      </c>
      <c r="Z355">
        <v>1</v>
      </c>
      <c r="AA355">
        <v>0.9</v>
      </c>
      <c r="AB355">
        <v>1.1000000000000001</v>
      </c>
      <c r="AC355">
        <v>0</v>
      </c>
      <c r="AD355" s="15">
        <v>0.96412679040542237</v>
      </c>
      <c r="AE355">
        <v>262.93652962784552</v>
      </c>
      <c r="AF355">
        <v>263.76753239843561</v>
      </c>
      <c r="AG355">
        <v>237.70047557568245</v>
      </c>
      <c r="AH355">
        <v>178.17891112548745</v>
      </c>
      <c r="AI355">
        <v>2.1</v>
      </c>
      <c r="AJ355">
        <v>0</v>
      </c>
      <c r="AK355">
        <v>0</v>
      </c>
      <c r="AL355">
        <v>1</v>
      </c>
      <c r="AM355">
        <v>1</v>
      </c>
      <c r="AN355">
        <v>0</v>
      </c>
      <c r="AO355">
        <v>1</v>
      </c>
      <c r="AP355">
        <v>0</v>
      </c>
      <c r="AQ355">
        <v>0</v>
      </c>
      <c r="AR355">
        <v>69.3</v>
      </c>
      <c r="AS355">
        <v>115.2</v>
      </c>
      <c r="AT355">
        <v>231.3</v>
      </c>
      <c r="AU355">
        <v>426.59999999999997</v>
      </c>
      <c r="AV355">
        <v>30</v>
      </c>
    </row>
    <row r="356" spans="1:48">
      <c r="A356">
        <v>355</v>
      </c>
      <c r="B356">
        <v>0</v>
      </c>
      <c r="C356">
        <v>7.3399999999999022</v>
      </c>
      <c r="D356">
        <v>1.7199999999999831</v>
      </c>
      <c r="E356">
        <v>0.34986314129101681</v>
      </c>
      <c r="F356">
        <v>0</v>
      </c>
      <c r="G356">
        <v>0</v>
      </c>
      <c r="H356">
        <v>0.180513746750288</v>
      </c>
      <c r="I356">
        <v>0</v>
      </c>
      <c r="J356">
        <v>0</v>
      </c>
      <c r="K356">
        <v>0</v>
      </c>
      <c r="L356">
        <v>0</v>
      </c>
      <c r="M356">
        <v>0</v>
      </c>
      <c r="N356" s="15">
        <v>0</v>
      </c>
      <c r="O356">
        <v>0</v>
      </c>
      <c r="P356">
        <v>0.41983578039010094</v>
      </c>
      <c r="Q356">
        <v>0.41983578039010094</v>
      </c>
      <c r="R356">
        <v>0</v>
      </c>
      <c r="S356">
        <v>0</v>
      </c>
      <c r="T356" s="15">
        <v>9.8541023646745218E-2</v>
      </c>
      <c r="U356">
        <v>23.310573090287946</v>
      </c>
      <c r="V356">
        <v>0</v>
      </c>
      <c r="W356">
        <v>0</v>
      </c>
      <c r="X356">
        <v>0</v>
      </c>
      <c r="Y356">
        <v>0</v>
      </c>
      <c r="Z356">
        <v>1</v>
      </c>
      <c r="AA356">
        <v>0.9</v>
      </c>
      <c r="AB356">
        <v>1.1000000000000001</v>
      </c>
      <c r="AC356">
        <v>0</v>
      </c>
      <c r="AD356" s="15">
        <v>0.92527784494378817</v>
      </c>
      <c r="AE356">
        <v>262.10979280654846</v>
      </c>
      <c r="AF356">
        <v>262.93652962784552</v>
      </c>
      <c r="AG356">
        <v>238.33751655526657</v>
      </c>
      <c r="AH356">
        <v>178.63394039661898</v>
      </c>
      <c r="AI356">
        <v>2.1</v>
      </c>
      <c r="AJ356">
        <v>0</v>
      </c>
      <c r="AK356">
        <v>0</v>
      </c>
      <c r="AL356">
        <v>1</v>
      </c>
      <c r="AM356">
        <v>1</v>
      </c>
      <c r="AN356">
        <v>0</v>
      </c>
      <c r="AO356">
        <v>1</v>
      </c>
      <c r="AP356">
        <v>0</v>
      </c>
      <c r="AQ356">
        <v>0</v>
      </c>
      <c r="AR356">
        <v>69.3</v>
      </c>
      <c r="AS356">
        <v>115.2</v>
      </c>
      <c r="AT356">
        <v>231.3</v>
      </c>
      <c r="AU356">
        <v>426.59999999999997</v>
      </c>
      <c r="AV356">
        <v>30</v>
      </c>
    </row>
    <row r="357" spans="1:48">
      <c r="A357">
        <v>356</v>
      </c>
      <c r="B357" s="15">
        <v>0</v>
      </c>
      <c r="C357">
        <v>8.6799999999998825</v>
      </c>
      <c r="D357">
        <v>-0.3399999999999721</v>
      </c>
      <c r="E357">
        <v>0.21200316624124096</v>
      </c>
      <c r="F357">
        <v>0</v>
      </c>
      <c r="G357">
        <v>0</v>
      </c>
      <c r="H357">
        <v>0.18320656468941005</v>
      </c>
      <c r="I357">
        <v>0</v>
      </c>
      <c r="J357" s="15">
        <v>0</v>
      </c>
      <c r="K357" s="15">
        <v>0</v>
      </c>
      <c r="L357" s="15">
        <v>0</v>
      </c>
      <c r="M357">
        <v>0</v>
      </c>
      <c r="N357">
        <v>0</v>
      </c>
      <c r="O357" s="15">
        <v>0</v>
      </c>
      <c r="P357">
        <v>0.25440380605863039</v>
      </c>
      <c r="Q357">
        <v>0.25440380605863039</v>
      </c>
      <c r="R357">
        <v>0</v>
      </c>
      <c r="S357">
        <v>0</v>
      </c>
      <c r="T357" s="15">
        <v>7.7982544822942201E-2</v>
      </c>
      <c r="U357">
        <v>22.978186739406372</v>
      </c>
      <c r="V357">
        <v>0</v>
      </c>
      <c r="W357">
        <v>0</v>
      </c>
      <c r="X357">
        <v>0</v>
      </c>
      <c r="Y357">
        <v>0</v>
      </c>
      <c r="Z357">
        <v>1</v>
      </c>
      <c r="AA357">
        <v>0.9</v>
      </c>
      <c r="AB357">
        <v>1.1000000000000001</v>
      </c>
      <c r="AC357">
        <v>0</v>
      </c>
      <c r="AD357" s="15">
        <v>0.88829805693093955</v>
      </c>
      <c r="AE357">
        <v>261.29947729444046</v>
      </c>
      <c r="AF357">
        <v>262.10979280654846</v>
      </c>
      <c r="AG357">
        <v>238.09492058713107</v>
      </c>
      <c r="AH357">
        <v>178.46065756223646</v>
      </c>
      <c r="AI357">
        <v>2.1</v>
      </c>
      <c r="AJ357">
        <v>0</v>
      </c>
      <c r="AK357">
        <v>0</v>
      </c>
      <c r="AL357">
        <v>1</v>
      </c>
      <c r="AM357">
        <v>1</v>
      </c>
      <c r="AN357">
        <v>0</v>
      </c>
      <c r="AO357">
        <v>1</v>
      </c>
      <c r="AP357">
        <v>0</v>
      </c>
      <c r="AQ357">
        <v>0</v>
      </c>
      <c r="AR357">
        <v>69.3</v>
      </c>
      <c r="AS357">
        <v>115.2</v>
      </c>
      <c r="AT357">
        <v>231.3</v>
      </c>
      <c r="AU357">
        <v>426.59999999999997</v>
      </c>
      <c r="AV357">
        <v>30</v>
      </c>
    </row>
    <row r="358" spans="1:48">
      <c r="A358">
        <v>357</v>
      </c>
      <c r="B358">
        <v>0</v>
      </c>
      <c r="C358">
        <v>4.9399999999999409</v>
      </c>
      <c r="D358">
        <v>0.79999999999998428</v>
      </c>
      <c r="E358">
        <v>0.29201648801849794</v>
      </c>
      <c r="F358">
        <v>0</v>
      </c>
      <c r="G358">
        <v>0</v>
      </c>
      <c r="H358">
        <v>0.18982384351476114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0.35041979467063067</v>
      </c>
      <c r="Q358">
        <v>0.35041979467063067</v>
      </c>
      <c r="R358">
        <v>0</v>
      </c>
      <c r="S358">
        <v>0</v>
      </c>
      <c r="T358" s="15">
        <v>6.3552573206584001E-2</v>
      </c>
      <c r="U358">
        <v>22.564214371529179</v>
      </c>
      <c r="V358">
        <v>0</v>
      </c>
      <c r="W358">
        <v>0</v>
      </c>
      <c r="X358">
        <v>0</v>
      </c>
      <c r="Y358">
        <v>0</v>
      </c>
      <c r="Z358">
        <v>1</v>
      </c>
      <c r="AA358">
        <v>0.9</v>
      </c>
      <c r="AB358">
        <v>1.1000000000000001</v>
      </c>
      <c r="AC358">
        <v>0</v>
      </c>
      <c r="AD358" s="15">
        <v>0.85350021062472892</v>
      </c>
      <c r="AE358">
        <v>260.50952965702237</v>
      </c>
      <c r="AF358">
        <v>261.29947729444046</v>
      </c>
      <c r="AG358">
        <v>237.49876993775518</v>
      </c>
      <c r="AH358">
        <v>178.03483566982513</v>
      </c>
      <c r="AI358">
        <v>2.1</v>
      </c>
      <c r="AJ358">
        <v>0</v>
      </c>
      <c r="AK358">
        <v>0</v>
      </c>
      <c r="AL358">
        <v>1</v>
      </c>
      <c r="AM358">
        <v>1</v>
      </c>
      <c r="AN358">
        <v>0</v>
      </c>
      <c r="AO358">
        <v>1</v>
      </c>
      <c r="AP358">
        <v>0</v>
      </c>
      <c r="AQ358">
        <v>0</v>
      </c>
      <c r="AR358">
        <v>69.3</v>
      </c>
      <c r="AS358">
        <v>115.2</v>
      </c>
      <c r="AT358">
        <v>231.3</v>
      </c>
      <c r="AU358">
        <v>426.59999999999997</v>
      </c>
      <c r="AV358">
        <v>30</v>
      </c>
    </row>
    <row r="359" spans="1:48">
      <c r="A359">
        <v>358</v>
      </c>
      <c r="B359" s="15">
        <v>0</v>
      </c>
      <c r="C359">
        <v>5.19999999999993</v>
      </c>
      <c r="D359">
        <v>4.1799999999999455</v>
      </c>
      <c r="E359">
        <v>0.47499113010154653</v>
      </c>
      <c r="F359">
        <v>0</v>
      </c>
      <c r="G359">
        <v>0</v>
      </c>
      <c r="H359">
        <v>0.18598320405612614</v>
      </c>
      <c r="I359">
        <v>0</v>
      </c>
      <c r="J359" s="15">
        <v>0</v>
      </c>
      <c r="K359" s="15">
        <v>0</v>
      </c>
      <c r="L359" s="15">
        <v>0</v>
      </c>
      <c r="M359">
        <v>0</v>
      </c>
      <c r="N359">
        <v>0</v>
      </c>
      <c r="O359" s="15">
        <v>0</v>
      </c>
      <c r="P359">
        <v>0.56998937083993462</v>
      </c>
      <c r="Q359">
        <v>0.56998937083993462</v>
      </c>
      <c r="R359">
        <v>0</v>
      </c>
      <c r="S359">
        <v>0</v>
      </c>
      <c r="T359" s="15">
        <v>4.7733445920516974E-2</v>
      </c>
      <c r="U359">
        <v>21.946491554768723</v>
      </c>
      <c r="V359">
        <v>0</v>
      </c>
      <c r="W359">
        <v>0</v>
      </c>
      <c r="X359">
        <v>0</v>
      </c>
      <c r="Y359">
        <v>0</v>
      </c>
      <c r="Z359">
        <v>1</v>
      </c>
      <c r="AA359">
        <v>0.9</v>
      </c>
      <c r="AB359">
        <v>1.1000000000000001</v>
      </c>
      <c r="AC359">
        <v>0</v>
      </c>
      <c r="AD359" s="15">
        <v>0.82070748507764013</v>
      </c>
      <c r="AE359">
        <v>259.73655561786524</v>
      </c>
      <c r="AF359">
        <v>260.50952965702237</v>
      </c>
      <c r="AG359">
        <v>237.84477314658363</v>
      </c>
      <c r="AH359">
        <v>178.28198081898827</v>
      </c>
      <c r="AI359">
        <v>2.1</v>
      </c>
      <c r="AJ359">
        <v>0</v>
      </c>
      <c r="AK359">
        <v>0</v>
      </c>
      <c r="AL359">
        <v>1</v>
      </c>
      <c r="AM359">
        <v>1</v>
      </c>
      <c r="AN359">
        <v>0</v>
      </c>
      <c r="AO359">
        <v>1</v>
      </c>
      <c r="AP359">
        <v>0</v>
      </c>
      <c r="AQ359">
        <v>0</v>
      </c>
      <c r="AR359">
        <v>69.3</v>
      </c>
      <c r="AS359">
        <v>115.2</v>
      </c>
      <c r="AT359">
        <v>231.3</v>
      </c>
      <c r="AU359">
        <v>426.59999999999997</v>
      </c>
      <c r="AV359">
        <v>30</v>
      </c>
    </row>
    <row r="360" spans="1:48">
      <c r="A360">
        <v>359</v>
      </c>
      <c r="B360" s="15">
        <v>1.6799999999999473</v>
      </c>
      <c r="C360">
        <v>5.7399999999999167</v>
      </c>
      <c r="D360">
        <v>3.8399999999999483</v>
      </c>
      <c r="E360">
        <v>0.39323744451429832</v>
      </c>
      <c r="F360">
        <v>0</v>
      </c>
      <c r="G360">
        <v>0</v>
      </c>
      <c r="H360">
        <v>0.17720042120566448</v>
      </c>
      <c r="I360">
        <v>0</v>
      </c>
      <c r="J360" s="15">
        <v>1.6799999999999473</v>
      </c>
      <c r="K360" s="15">
        <v>1.6799999999999473</v>
      </c>
      <c r="L360" s="15">
        <v>1.6799999999999473</v>
      </c>
      <c r="M360">
        <v>0</v>
      </c>
      <c r="N360">
        <v>0</v>
      </c>
      <c r="O360" s="15">
        <v>1.6800000500678496</v>
      </c>
      <c r="P360">
        <v>0.47188494560200184</v>
      </c>
      <c r="Q360">
        <v>0.47188494560200184</v>
      </c>
      <c r="R360">
        <v>0</v>
      </c>
      <c r="S360">
        <v>0</v>
      </c>
      <c r="T360" s="15">
        <v>5.5232556855255091E-2</v>
      </c>
      <c r="U360">
        <v>23.099374102379318</v>
      </c>
      <c r="V360">
        <v>0</v>
      </c>
      <c r="W360">
        <v>0</v>
      </c>
      <c r="X360">
        <v>0</v>
      </c>
      <c r="Y360">
        <v>0</v>
      </c>
      <c r="Z360">
        <v>1</v>
      </c>
      <c r="AA360">
        <v>0.9</v>
      </c>
      <c r="AB360">
        <v>1.1000000000000001</v>
      </c>
      <c r="AC360">
        <v>0</v>
      </c>
      <c r="AD360" s="15">
        <v>0.78995005663099938</v>
      </c>
      <c r="AE360">
        <v>259.00183811808944</v>
      </c>
      <c r="AF360">
        <v>259.73655561786524</v>
      </c>
      <c r="AG360">
        <v>238.63601405358168</v>
      </c>
      <c r="AH360">
        <v>178.84715289541549</v>
      </c>
      <c r="AI360">
        <v>2.1</v>
      </c>
      <c r="AJ360">
        <v>0</v>
      </c>
      <c r="AK360">
        <v>0</v>
      </c>
      <c r="AL360">
        <v>1</v>
      </c>
      <c r="AM360">
        <v>1</v>
      </c>
      <c r="AN360">
        <v>0</v>
      </c>
      <c r="AO360">
        <v>1</v>
      </c>
      <c r="AP360">
        <v>0</v>
      </c>
      <c r="AQ360">
        <v>0</v>
      </c>
      <c r="AR360">
        <v>69.3</v>
      </c>
      <c r="AS360">
        <v>115.2</v>
      </c>
      <c r="AT360">
        <v>231.3</v>
      </c>
      <c r="AU360">
        <v>426.59999999999997</v>
      </c>
      <c r="AV360">
        <v>30</v>
      </c>
    </row>
    <row r="361" spans="1:48">
      <c r="A361">
        <v>360</v>
      </c>
      <c r="B361" s="15">
        <v>7.9999999999999724E-2</v>
      </c>
      <c r="C361">
        <v>6.4399999999999142</v>
      </c>
      <c r="D361">
        <v>-8.5209617139980764E-15</v>
      </c>
      <c r="E361">
        <v>0.24419693934519973</v>
      </c>
      <c r="F361">
        <v>0</v>
      </c>
      <c r="G361">
        <v>0</v>
      </c>
      <c r="H361">
        <v>0.18112459812746956</v>
      </c>
      <c r="I361">
        <v>0</v>
      </c>
      <c r="J361" s="15">
        <v>7.9999999999999724E-2</v>
      </c>
      <c r="K361" s="15">
        <v>7.9999999999999724E-2</v>
      </c>
      <c r="L361" s="15">
        <v>7.9999999999999724E-2</v>
      </c>
      <c r="M361">
        <v>0</v>
      </c>
      <c r="N361">
        <v>0</v>
      </c>
      <c r="O361" s="15">
        <v>8.000000238418549E-2</v>
      </c>
      <c r="P361">
        <v>0.29303633478090724</v>
      </c>
      <c r="Q361">
        <v>0.29303633478090724</v>
      </c>
      <c r="R361">
        <v>0</v>
      </c>
      <c r="S361">
        <v>0</v>
      </c>
      <c r="T361" s="15">
        <v>7.03338485199069E-2</v>
      </c>
      <c r="U361">
        <v>22.816003921462706</v>
      </c>
      <c r="V361">
        <v>0</v>
      </c>
      <c r="W361">
        <v>0</v>
      </c>
      <c r="X361">
        <v>0</v>
      </c>
      <c r="Y361">
        <v>0</v>
      </c>
      <c r="Z361">
        <v>1</v>
      </c>
      <c r="AA361">
        <v>0.9</v>
      </c>
      <c r="AB361">
        <v>1.1000000000000001</v>
      </c>
      <c r="AC361">
        <v>0</v>
      </c>
      <c r="AD361" s="15">
        <v>0.76210929341791267</v>
      </c>
      <c r="AE361">
        <v>258.3100626731914</v>
      </c>
      <c r="AF361">
        <v>259.00183811808949</v>
      </c>
      <c r="AG361">
        <v>238.28248495469626</v>
      </c>
      <c r="AH361">
        <v>178.59463211049734</v>
      </c>
      <c r="AI361">
        <v>2.1</v>
      </c>
      <c r="AJ361">
        <v>0</v>
      </c>
      <c r="AK361">
        <v>0</v>
      </c>
      <c r="AL361">
        <v>1</v>
      </c>
      <c r="AM361">
        <v>1</v>
      </c>
      <c r="AN361">
        <v>0</v>
      </c>
      <c r="AO361">
        <v>1</v>
      </c>
      <c r="AP361">
        <v>0</v>
      </c>
      <c r="AQ361">
        <v>0</v>
      </c>
      <c r="AR361">
        <v>69.3</v>
      </c>
      <c r="AS361">
        <v>115.2</v>
      </c>
      <c r="AT361">
        <v>231.3</v>
      </c>
      <c r="AU361">
        <v>426.59999999999997</v>
      </c>
      <c r="AV361">
        <v>30</v>
      </c>
    </row>
    <row r="362" spans="1:48">
      <c r="A362">
        <v>361</v>
      </c>
      <c r="B362">
        <v>3.3199999999999692</v>
      </c>
      <c r="C362">
        <v>6.0999999999999091</v>
      </c>
      <c r="D362">
        <v>2.69999999999997</v>
      </c>
      <c r="E362">
        <v>0.33194515855643142</v>
      </c>
      <c r="F362">
        <v>0</v>
      </c>
      <c r="G362">
        <v>0</v>
      </c>
      <c r="H362">
        <v>0.18827854240041025</v>
      </c>
      <c r="I362">
        <v>0</v>
      </c>
      <c r="J362">
        <v>3.3199999999999692</v>
      </c>
      <c r="K362">
        <v>3.3199999999999692</v>
      </c>
      <c r="L362">
        <v>3.3126424821990192</v>
      </c>
      <c r="M362">
        <v>0</v>
      </c>
      <c r="N362">
        <v>7.3575178009501153E-3</v>
      </c>
      <c r="O362">
        <v>3.3126425809234581</v>
      </c>
      <c r="P362">
        <v>0.39833420055332491</v>
      </c>
      <c r="Q362" s="15">
        <v>0.39833420055332491</v>
      </c>
      <c r="R362">
        <v>0</v>
      </c>
      <c r="S362">
        <v>0</v>
      </c>
      <c r="T362" s="15">
        <v>0.14548169683484496</v>
      </c>
      <c r="U362">
        <v>25.584830604998011</v>
      </c>
      <c r="V362">
        <v>0</v>
      </c>
      <c r="W362">
        <v>0</v>
      </c>
      <c r="X362">
        <v>0</v>
      </c>
      <c r="Y362">
        <v>0</v>
      </c>
      <c r="Z362">
        <v>1</v>
      </c>
      <c r="AA362">
        <v>0.9</v>
      </c>
      <c r="AB362">
        <v>1.1000000000000001</v>
      </c>
      <c r="AC362">
        <v>0</v>
      </c>
      <c r="AD362" s="15">
        <v>0.73702233114910332</v>
      </c>
      <c r="AE362">
        <v>257.7185220388771</v>
      </c>
      <c r="AF362">
        <v>258.3100626731914</v>
      </c>
      <c r="AG362">
        <v>237.63798611514704</v>
      </c>
      <c r="AH362">
        <v>178.13427579653359</v>
      </c>
      <c r="AI362">
        <v>2.1</v>
      </c>
      <c r="AJ362">
        <v>0</v>
      </c>
      <c r="AK362">
        <v>0</v>
      </c>
      <c r="AL362">
        <v>1</v>
      </c>
      <c r="AM362">
        <v>1</v>
      </c>
      <c r="AN362">
        <v>0</v>
      </c>
      <c r="AO362">
        <v>1</v>
      </c>
      <c r="AP362">
        <v>0</v>
      </c>
      <c r="AQ362">
        <v>0</v>
      </c>
      <c r="AR362">
        <v>69.3</v>
      </c>
      <c r="AS362">
        <v>115.2</v>
      </c>
      <c r="AT362">
        <v>231.3</v>
      </c>
      <c r="AU362">
        <v>426.59999999999997</v>
      </c>
      <c r="AV362">
        <v>30</v>
      </c>
    </row>
    <row r="363" spans="1:48">
      <c r="A363">
        <v>362</v>
      </c>
      <c r="B363">
        <v>0</v>
      </c>
      <c r="C363">
        <v>8.7999999999998799</v>
      </c>
      <c r="D363">
        <v>3.7799999999999727</v>
      </c>
      <c r="E363">
        <v>0.34088655035367321</v>
      </c>
      <c r="F363">
        <v>0</v>
      </c>
      <c r="G363">
        <v>0</v>
      </c>
      <c r="H363">
        <v>0.18406662786365716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0.40906387098704677</v>
      </c>
      <c r="Q363">
        <v>0.40906387098704677</v>
      </c>
      <c r="R363">
        <v>0</v>
      </c>
      <c r="S363">
        <v>0</v>
      </c>
      <c r="T363" s="15">
        <v>0.23304466755662534</v>
      </c>
      <c r="U363">
        <v>24.942722066454337</v>
      </c>
      <c r="V363">
        <v>0</v>
      </c>
      <c r="W363">
        <v>0</v>
      </c>
      <c r="X363">
        <v>0</v>
      </c>
      <c r="Y363">
        <v>0</v>
      </c>
      <c r="Z363">
        <v>1</v>
      </c>
      <c r="AA363">
        <v>0.9</v>
      </c>
      <c r="AB363">
        <v>1.1000000000000001</v>
      </c>
      <c r="AC363">
        <v>0</v>
      </c>
      <c r="AD363" s="15">
        <v>0.71793926268263364</v>
      </c>
      <c r="AE363">
        <v>257.23362744375112</v>
      </c>
      <c r="AF363">
        <v>257.7185220388771</v>
      </c>
      <c r="AG363">
        <v>238.01743749576315</v>
      </c>
      <c r="AH363">
        <v>178.40531249697369</v>
      </c>
      <c r="AI363">
        <v>2.1</v>
      </c>
      <c r="AJ363">
        <v>0</v>
      </c>
      <c r="AK363">
        <v>0</v>
      </c>
      <c r="AL363">
        <v>1</v>
      </c>
      <c r="AM363">
        <v>1</v>
      </c>
      <c r="AN363">
        <v>0</v>
      </c>
      <c r="AO363">
        <v>1</v>
      </c>
      <c r="AP363">
        <v>0</v>
      </c>
      <c r="AQ363">
        <v>0</v>
      </c>
      <c r="AR363">
        <v>69.3</v>
      </c>
      <c r="AS363">
        <v>115.2</v>
      </c>
      <c r="AT363">
        <v>231.3</v>
      </c>
      <c r="AU363">
        <v>426.59999999999997</v>
      </c>
      <c r="AV363">
        <v>30</v>
      </c>
    </row>
    <row r="364" spans="1:48">
      <c r="A364">
        <v>363</v>
      </c>
      <c r="B364">
        <v>7.9999999999999724E-2</v>
      </c>
      <c r="C364">
        <v>7.6799999999999127</v>
      </c>
      <c r="D364">
        <v>2.2199999999999633</v>
      </c>
      <c r="E364">
        <v>0.20446976830782462</v>
      </c>
      <c r="F364">
        <v>0</v>
      </c>
      <c r="G364">
        <v>0</v>
      </c>
      <c r="H364">
        <v>0.18363744105590138</v>
      </c>
      <c r="I364">
        <v>0</v>
      </c>
      <c r="J364">
        <v>7.9999999999999724E-2</v>
      </c>
      <c r="K364">
        <v>7.9999999999999724E-2</v>
      </c>
      <c r="L364">
        <v>7.9999999999999724E-2</v>
      </c>
      <c r="M364">
        <v>0</v>
      </c>
      <c r="N364">
        <v>0</v>
      </c>
      <c r="O364">
        <v>8.000000238418549E-2</v>
      </c>
      <c r="P364">
        <v>0.24536372830502884</v>
      </c>
      <c r="Q364" s="15">
        <v>0.24536372830502884</v>
      </c>
      <c r="R364">
        <v>0</v>
      </c>
      <c r="S364">
        <v>0</v>
      </c>
      <c r="T364" s="15">
        <v>0.18213544847142868</v>
      </c>
      <c r="U364">
        <v>24.595222892062065</v>
      </c>
      <c r="V364">
        <v>0</v>
      </c>
      <c r="W364">
        <v>0</v>
      </c>
      <c r="X364">
        <v>0</v>
      </c>
      <c r="Y364">
        <v>0</v>
      </c>
      <c r="Z364">
        <v>1</v>
      </c>
      <c r="AA364">
        <v>0.9</v>
      </c>
      <c r="AB364">
        <v>1.1000000000000001</v>
      </c>
      <c r="AC364">
        <v>0</v>
      </c>
      <c r="AD364" s="15">
        <v>0.69966722217861332</v>
      </c>
      <c r="AE364">
        <v>256.71609567004396</v>
      </c>
      <c r="AF364">
        <v>257.23362744375117</v>
      </c>
      <c r="AG364">
        <v>238.05610293527386</v>
      </c>
      <c r="AH364">
        <v>178.43293066805276</v>
      </c>
      <c r="AI364">
        <v>2.1</v>
      </c>
      <c r="AJ364">
        <v>0</v>
      </c>
      <c r="AK364">
        <v>0</v>
      </c>
      <c r="AL364">
        <v>1</v>
      </c>
      <c r="AM364">
        <v>1</v>
      </c>
      <c r="AN364">
        <v>0</v>
      </c>
      <c r="AO364">
        <v>1</v>
      </c>
      <c r="AP364">
        <v>0</v>
      </c>
      <c r="AQ364">
        <v>0</v>
      </c>
      <c r="AR364">
        <v>69.3</v>
      </c>
      <c r="AS364">
        <v>115.2</v>
      </c>
      <c r="AT364">
        <v>231.3</v>
      </c>
      <c r="AU364">
        <v>426.59999999999997</v>
      </c>
      <c r="AV364">
        <v>30</v>
      </c>
    </row>
    <row r="365" spans="1:48">
      <c r="A365">
        <v>364</v>
      </c>
      <c r="B365" s="15">
        <v>0</v>
      </c>
      <c r="C365">
        <v>7.2799999999999141</v>
      </c>
      <c r="D365">
        <v>3.4199999999999506</v>
      </c>
      <c r="E365">
        <v>0.25649944999979191</v>
      </c>
      <c r="F365">
        <v>0</v>
      </c>
      <c r="G365">
        <v>0</v>
      </c>
      <c r="H365">
        <v>0.19018544661682274</v>
      </c>
      <c r="I365">
        <v>0</v>
      </c>
      <c r="J365" s="15">
        <v>0</v>
      </c>
      <c r="K365" s="15">
        <v>0</v>
      </c>
      <c r="L365" s="15">
        <v>0</v>
      </c>
      <c r="M365">
        <v>0</v>
      </c>
      <c r="N365">
        <v>0</v>
      </c>
      <c r="O365" s="15">
        <v>0</v>
      </c>
      <c r="P365">
        <v>0.30779934794753899</v>
      </c>
      <c r="Q365">
        <v>0.30779934794753899</v>
      </c>
      <c r="R365">
        <v>0</v>
      </c>
      <c r="S365">
        <v>0</v>
      </c>
      <c r="T365" s="15">
        <v>0.14897978896383232</v>
      </c>
      <c r="U365">
        <v>24.138443755150714</v>
      </c>
      <c r="V365">
        <v>0</v>
      </c>
      <c r="W365">
        <v>0</v>
      </c>
      <c r="X365">
        <v>0</v>
      </c>
      <c r="Y365">
        <v>0</v>
      </c>
      <c r="Z365">
        <v>1</v>
      </c>
      <c r="AA365">
        <v>0.9</v>
      </c>
      <c r="AB365">
        <v>1.1000000000000001</v>
      </c>
      <c r="AC365">
        <v>0</v>
      </c>
      <c r="AD365" s="15">
        <v>0.68114386384207581</v>
      </c>
      <c r="AE365">
        <v>256.18393159516569</v>
      </c>
      <c r="AF365">
        <v>256.71609567004396</v>
      </c>
      <c r="AG365">
        <v>237.46619311429043</v>
      </c>
      <c r="AH365">
        <v>178.01156651020747</v>
      </c>
      <c r="AI365">
        <v>2.1</v>
      </c>
      <c r="AJ365">
        <v>0</v>
      </c>
      <c r="AK365">
        <v>0</v>
      </c>
      <c r="AL365">
        <v>1</v>
      </c>
      <c r="AM365">
        <v>1</v>
      </c>
      <c r="AN365">
        <v>0</v>
      </c>
      <c r="AO365">
        <v>1</v>
      </c>
      <c r="AP365">
        <v>0</v>
      </c>
      <c r="AQ365">
        <v>0</v>
      </c>
      <c r="AR365">
        <v>69.3</v>
      </c>
      <c r="AS365">
        <v>115.2</v>
      </c>
      <c r="AT365">
        <v>231.3</v>
      </c>
      <c r="AU365">
        <v>426.59999999999997</v>
      </c>
      <c r="AV365">
        <v>30</v>
      </c>
    </row>
    <row r="366" spans="1:48">
      <c r="A366">
        <v>365</v>
      </c>
      <c r="B366">
        <v>0</v>
      </c>
      <c r="C366">
        <v>7.8199999999999177</v>
      </c>
      <c r="D366">
        <v>0.1399999999999878</v>
      </c>
      <c r="E366">
        <v>0.21087794879971472</v>
      </c>
      <c r="F366">
        <v>0</v>
      </c>
      <c r="G366">
        <v>0</v>
      </c>
      <c r="H366">
        <v>0.18768802188694414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0.25305354509381067</v>
      </c>
      <c r="Q366">
        <v>0.25305354509381067</v>
      </c>
      <c r="R366">
        <v>0</v>
      </c>
      <c r="S366">
        <v>0</v>
      </c>
      <c r="T366" s="15">
        <v>0.12012329964593556</v>
      </c>
      <c r="U366">
        <v>23.765266910410968</v>
      </c>
      <c r="V366">
        <v>0</v>
      </c>
      <c r="W366">
        <v>0</v>
      </c>
      <c r="X366">
        <v>0</v>
      </c>
      <c r="Y366">
        <v>0</v>
      </c>
      <c r="Z366">
        <v>1</v>
      </c>
      <c r="AA366">
        <v>0.9</v>
      </c>
      <c r="AB366">
        <v>1.1000000000000001</v>
      </c>
      <c r="AC366">
        <v>0</v>
      </c>
      <c r="AD366" s="15">
        <v>0.66258309922198688</v>
      </c>
      <c r="AE366">
        <v>255.64147179558969</v>
      </c>
      <c r="AF366">
        <v>256.18393159516575</v>
      </c>
      <c r="AG366">
        <v>237.69118610820522</v>
      </c>
      <c r="AH366">
        <v>178.17227579157515</v>
      </c>
      <c r="AI366">
        <v>2.1</v>
      </c>
      <c r="AJ366">
        <v>0</v>
      </c>
      <c r="AK366">
        <v>0</v>
      </c>
      <c r="AL366">
        <v>1</v>
      </c>
      <c r="AM366">
        <v>1</v>
      </c>
      <c r="AN366">
        <v>0</v>
      </c>
      <c r="AO366">
        <v>1</v>
      </c>
      <c r="AP366">
        <v>0</v>
      </c>
      <c r="AQ366">
        <v>0</v>
      </c>
      <c r="AR366">
        <v>69.3</v>
      </c>
      <c r="AS366">
        <v>115.2</v>
      </c>
      <c r="AT366">
        <v>231.3</v>
      </c>
      <c r="AU366">
        <v>426.59999999999997</v>
      </c>
      <c r="AV366">
        <v>30</v>
      </c>
    </row>
    <row r="367" spans="1:48">
      <c r="AT367" s="3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>
    <tabColor theme="6" tint="0.59996337778862885"/>
  </sheetPr>
  <dimension ref="A1:F27"/>
  <sheetViews>
    <sheetView zoomScale="85" zoomScaleNormal="85" workbookViewId="0">
      <selection sqref="A1:A18"/>
    </sheetView>
  </sheetViews>
  <sheetFormatPr defaultColWidth="9.109375" defaultRowHeight="14.4"/>
  <cols>
    <col min="1" max="1" width="8" bestFit="1" customWidth="1"/>
    <col min="2" max="2" width="12.6640625" customWidth="1"/>
    <col min="3" max="3" width="5.109375" customWidth="1"/>
  </cols>
  <sheetData>
    <row r="1" spans="1:2">
      <c r="A1" t="s">
        <v>89</v>
      </c>
    </row>
    <row r="2" spans="1:2">
      <c r="A2" t="s">
        <v>38</v>
      </c>
      <c r="B2">
        <v>0.34599999999999997</v>
      </c>
    </row>
    <row r="3" spans="1:2">
      <c r="A3" t="s">
        <v>39</v>
      </c>
      <c r="B3">
        <v>0.45</v>
      </c>
    </row>
    <row r="4" spans="1:2">
      <c r="A4" t="s">
        <v>33</v>
      </c>
      <c r="B4">
        <v>1.25</v>
      </c>
    </row>
    <row r="5" spans="1:2">
      <c r="A5" t="s">
        <v>34</v>
      </c>
      <c r="B5">
        <v>0.4</v>
      </c>
    </row>
    <row r="6" spans="1:2">
      <c r="A6" t="s">
        <v>35</v>
      </c>
      <c r="B6">
        <v>0.9</v>
      </c>
    </row>
    <row r="7" spans="1:2">
      <c r="A7" t="s">
        <v>36</v>
      </c>
      <c r="B7">
        <v>1.5</v>
      </c>
    </row>
    <row r="8" spans="1:2">
      <c r="A8" t="s">
        <v>37</v>
      </c>
      <c r="B8">
        <v>0.5</v>
      </c>
    </row>
    <row r="9" spans="1:2">
      <c r="A9" t="s">
        <v>31</v>
      </c>
      <c r="B9">
        <v>32</v>
      </c>
    </row>
    <row r="10" spans="1:2">
      <c r="A10" t="s">
        <v>32</v>
      </c>
      <c r="B10">
        <v>40</v>
      </c>
    </row>
    <row r="11" spans="1:2">
      <c r="A11" t="s">
        <v>187</v>
      </c>
      <c r="B11">
        <v>0</v>
      </c>
    </row>
    <row r="12" spans="1:2">
      <c r="A12" t="s">
        <v>188</v>
      </c>
      <c r="B12">
        <v>0.15</v>
      </c>
    </row>
    <row r="13" spans="1:2">
      <c r="A13" t="s">
        <v>189</v>
      </c>
      <c r="B13">
        <v>1.0469999999999999</v>
      </c>
    </row>
    <row r="14" spans="1:2">
      <c r="A14" t="s">
        <v>190</v>
      </c>
      <c r="B14">
        <v>91</v>
      </c>
    </row>
    <row r="15" spans="1:2">
      <c r="A15" t="s">
        <v>191</v>
      </c>
      <c r="B15">
        <v>248</v>
      </c>
    </row>
    <row r="16" spans="1:2">
      <c r="A16" t="s">
        <v>192</v>
      </c>
      <c r="B16">
        <v>158.19999999999999</v>
      </c>
    </row>
    <row r="17" spans="1:6">
      <c r="A17" t="s">
        <v>193</v>
      </c>
      <c r="B17">
        <v>0.99873577749683951</v>
      </c>
    </row>
    <row r="18" spans="1:6">
      <c r="A18" t="s">
        <v>194</v>
      </c>
      <c r="B18">
        <v>2</v>
      </c>
    </row>
    <row r="27" spans="1:6">
      <c r="F27" s="4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>
    <tabColor theme="6" tint="0.59996337778862885"/>
  </sheetPr>
  <dimension ref="A1:E38"/>
  <sheetViews>
    <sheetView zoomScale="85" zoomScaleNormal="85" workbookViewId="0">
      <selection activeCell="B6" sqref="B6"/>
    </sheetView>
  </sheetViews>
  <sheetFormatPr defaultColWidth="9.109375" defaultRowHeight="14.4"/>
  <cols>
    <col min="1" max="1" width="29.33203125" bestFit="1" customWidth="1"/>
    <col min="2" max="2" width="12.6640625" bestFit="1" customWidth="1"/>
  </cols>
  <sheetData>
    <row r="1" spans="1:2">
      <c r="A1" t="s">
        <v>89</v>
      </c>
    </row>
    <row r="2" spans="1:2">
      <c r="A2" t="s">
        <v>195</v>
      </c>
      <c r="B2">
        <v>1</v>
      </c>
    </row>
    <row r="3" spans="1:2">
      <c r="A3" t="s">
        <v>196</v>
      </c>
      <c r="B3" s="15">
        <v>4.5999999999999999E-3</v>
      </c>
    </row>
    <row r="4" spans="1:2">
      <c r="A4" t="s">
        <v>197</v>
      </c>
      <c r="B4">
        <v>2</v>
      </c>
    </row>
    <row r="5" spans="1:2">
      <c r="A5" t="s">
        <v>198</v>
      </c>
      <c r="B5" t="s">
        <v>201</v>
      </c>
    </row>
    <row r="6" spans="1:2">
      <c r="A6" t="s">
        <v>199</v>
      </c>
      <c r="B6">
        <v>1</v>
      </c>
    </row>
    <row r="7" spans="1:2">
      <c r="A7" t="s">
        <v>200</v>
      </c>
      <c r="B7" t="s">
        <v>201</v>
      </c>
    </row>
    <row r="8" spans="1:2">
      <c r="A8" t="s">
        <v>202</v>
      </c>
      <c r="B8" t="s">
        <v>201</v>
      </c>
    </row>
    <row r="9" spans="1:2">
      <c r="A9" t="s">
        <v>203</v>
      </c>
      <c r="B9">
        <v>3</v>
      </c>
    </row>
    <row r="10" spans="1:2">
      <c r="A10" t="s">
        <v>204</v>
      </c>
      <c r="B10">
        <v>1</v>
      </c>
    </row>
    <row r="11" spans="1:2">
      <c r="A11" t="s">
        <v>205</v>
      </c>
      <c r="B11">
        <v>0.52400000000000002</v>
      </c>
    </row>
    <row r="12" spans="1:2">
      <c r="A12" t="s">
        <v>206</v>
      </c>
      <c r="B12">
        <v>0.23300000000000001</v>
      </c>
    </row>
    <row r="13" spans="1:2">
      <c r="A13" t="s">
        <v>207</v>
      </c>
      <c r="B13" s="15">
        <v>0.107</v>
      </c>
    </row>
    <row r="14" spans="1:2">
      <c r="A14" t="s">
        <v>208</v>
      </c>
      <c r="B14" s="15">
        <v>6.6000000000000003E-2</v>
      </c>
    </row>
    <row r="15" spans="1:2">
      <c r="A15" t="s">
        <v>209</v>
      </c>
      <c r="B15">
        <v>0.47399999999999998</v>
      </c>
    </row>
    <row r="16" spans="1:2">
      <c r="A16" t="s">
        <v>210</v>
      </c>
      <c r="B16">
        <v>0.25700000000000001</v>
      </c>
    </row>
    <row r="17" spans="1:5">
      <c r="A17" t="s">
        <v>211</v>
      </c>
      <c r="B17" s="15">
        <v>0.128</v>
      </c>
    </row>
    <row r="18" spans="1:5">
      <c r="A18" t="s">
        <v>212</v>
      </c>
      <c r="B18" s="15">
        <v>7.6999999999999999E-2</v>
      </c>
    </row>
    <row r="19" spans="1:5">
      <c r="A19" t="s">
        <v>213</v>
      </c>
      <c r="B19">
        <v>3.32</v>
      </c>
    </row>
    <row r="20" spans="1:5">
      <c r="A20" t="s">
        <v>214</v>
      </c>
      <c r="B20">
        <v>1.4</v>
      </c>
    </row>
    <row r="21" spans="1:5">
      <c r="A21" t="s">
        <v>215</v>
      </c>
      <c r="B21">
        <v>9.07</v>
      </c>
    </row>
    <row r="22" spans="1:5">
      <c r="A22" t="s">
        <v>216</v>
      </c>
      <c r="B22">
        <v>9.59</v>
      </c>
    </row>
    <row r="23" spans="1:5">
      <c r="A23" t="s">
        <v>217</v>
      </c>
      <c r="B23">
        <v>0.1</v>
      </c>
    </row>
    <row r="24" spans="1:5">
      <c r="A24" t="s">
        <v>218</v>
      </c>
      <c r="B24">
        <v>0.9</v>
      </c>
    </row>
    <row r="25" spans="1:5">
      <c r="A25" t="s">
        <v>219</v>
      </c>
      <c r="B25">
        <v>2021</v>
      </c>
    </row>
    <row r="26" spans="1:5">
      <c r="A26" t="s">
        <v>220</v>
      </c>
      <c r="B26">
        <v>-1.4</v>
      </c>
      <c r="E26" s="47"/>
    </row>
    <row r="27" spans="1:5">
      <c r="A27" t="s">
        <v>221</v>
      </c>
      <c r="B27">
        <v>1.1100000000000001</v>
      </c>
    </row>
    <row r="28" spans="1:5">
      <c r="A28" t="s">
        <v>222</v>
      </c>
      <c r="B28">
        <v>-0.32</v>
      </c>
    </row>
    <row r="29" spans="1:5">
      <c r="A29" t="s">
        <v>223</v>
      </c>
      <c r="B29">
        <v>-0.16</v>
      </c>
    </row>
    <row r="30" spans="1:5">
      <c r="A30" t="s">
        <v>224</v>
      </c>
      <c r="B30">
        <v>6.8</v>
      </c>
    </row>
    <row r="31" spans="1:5">
      <c r="A31" t="s">
        <v>225</v>
      </c>
      <c r="B31">
        <v>-0.98</v>
      </c>
    </row>
    <row r="32" spans="1:5">
      <c r="A32" t="s">
        <v>226</v>
      </c>
      <c r="B32">
        <v>2.1</v>
      </c>
    </row>
    <row r="33" spans="1:2">
      <c r="A33" t="s">
        <v>227</v>
      </c>
      <c r="B33">
        <v>8</v>
      </c>
    </row>
    <row r="34" spans="1:2">
      <c r="A34" t="s">
        <v>228</v>
      </c>
      <c r="B34">
        <v>8</v>
      </c>
    </row>
    <row r="35" spans="1:2">
      <c r="A35" t="s">
        <v>229</v>
      </c>
      <c r="B35">
        <v>0.3</v>
      </c>
    </row>
    <row r="36" spans="1:2">
      <c r="A36" t="s">
        <v>230</v>
      </c>
      <c r="B36">
        <v>0.3</v>
      </c>
    </row>
    <row r="37" spans="1:2">
      <c r="A37" t="s">
        <v>231</v>
      </c>
      <c r="B37">
        <v>100.8</v>
      </c>
    </row>
    <row r="38" spans="1:2">
      <c r="A38" t="s">
        <v>232</v>
      </c>
      <c r="B38">
        <v>137.19999999999999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7"/>
  <dimension ref="A1:R366"/>
  <sheetViews>
    <sheetView zoomScaleNormal="100" workbookViewId="0">
      <pane ySplit="1" topLeftCell="A2" activePane="bottomLeft" state="frozen"/>
      <selection pane="bottomLeft" activeCell="M37" sqref="M37"/>
    </sheetView>
  </sheetViews>
  <sheetFormatPr defaultRowHeight="14.4"/>
  <cols>
    <col min="1" max="1" width="8.6640625" style="1" bestFit="1" customWidth="1"/>
    <col min="2" max="2" width="10.109375" style="1" bestFit="1" customWidth="1"/>
    <col min="3" max="3" width="10" bestFit="1" customWidth="1"/>
    <col min="4" max="4" width="9" bestFit="1" customWidth="1"/>
    <col min="5" max="5" width="9.5546875" style="1" customWidth="1"/>
    <col min="6" max="7" width="6.5546875" customWidth="1"/>
    <col min="8" max="8" width="7.33203125" style="1" customWidth="1"/>
    <col min="9" max="9" width="7" customWidth="1"/>
    <col min="10" max="10" width="10.44140625" customWidth="1"/>
    <col min="11" max="11" width="10.33203125" bestFit="1" customWidth="1"/>
    <col min="12" max="12" width="7.33203125" bestFit="1" customWidth="1"/>
    <col min="13" max="18" width="9" bestFit="1" customWidth="1"/>
  </cols>
  <sheetData>
    <row r="1" spans="1:18" ht="34.5" customHeight="1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131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</row>
    <row r="2" spans="1:18">
      <c r="A2" s="41">
        <v>1</v>
      </c>
      <c r="B2" s="42">
        <f>DATE(Sintesi!$C$4-1,12,31)+A2</f>
        <v>44197</v>
      </c>
      <c r="C2" s="41">
        <f>'Paste cell here'!B2</f>
        <v>12.279999999999855</v>
      </c>
      <c r="D2" s="41">
        <f>'Paste cell here'!I2</f>
        <v>0</v>
      </c>
      <c r="E2" s="1">
        <f>'Paste cell here'!H2</f>
        <v>0.19999999552965164</v>
      </c>
      <c r="F2" s="1">
        <f>Sintesi!$C$5</f>
        <v>0.1</v>
      </c>
      <c r="G2" s="1">
        <f>'Paste cell here'!AA2</f>
        <v>0.9</v>
      </c>
      <c r="H2" s="43">
        <f>'Paste cell here'!U2</f>
        <v>30.490212046182318</v>
      </c>
      <c r="I2" s="43">
        <f>'Paste cell here'!AE2</f>
        <v>196.94402822350727</v>
      </c>
      <c r="J2" s="44"/>
      <c r="K2" s="45">
        <f>'Paste cell here'!AG2</f>
        <v>236.58200040273368</v>
      </c>
      <c r="L2" s="41"/>
      <c r="M2" s="1">
        <f>(Sintesi!$C$29*F2*1000)</f>
        <v>23.3</v>
      </c>
      <c r="N2" s="1">
        <f>Sintesi!$C$30*F2*1000</f>
        <v>10.700000000000001</v>
      </c>
      <c r="O2" s="1">
        <f t="shared" ref="O2:O65" si="0">M2-N2</f>
        <v>12.6</v>
      </c>
      <c r="P2" s="1">
        <f>Sintesi!$C$33*G2*1000</f>
        <v>231.3</v>
      </c>
      <c r="Q2" s="1">
        <f>Sintesi!$C$34*G2*1000</f>
        <v>115.20000000000002</v>
      </c>
      <c r="R2" s="1">
        <f t="shared" ref="R2:R65" si="1">P2-Q2</f>
        <v>116.1</v>
      </c>
    </row>
    <row r="3" spans="1:18">
      <c r="A3" s="41">
        <v>2</v>
      </c>
      <c r="B3" s="42">
        <f>DATE(Sintesi!$C$4-1,12,31)+A3</f>
        <v>44198</v>
      </c>
      <c r="C3" s="41">
        <f>'Paste cell here'!B3</f>
        <v>23.639999999999752</v>
      </c>
      <c r="D3" s="41">
        <f>'Paste cell here'!I3</f>
        <v>0</v>
      </c>
      <c r="E3" s="1">
        <f>'Paste cell here'!H3</f>
        <v>0.18575147295823383</v>
      </c>
      <c r="F3" s="1">
        <f>Sintesi!$C$5</f>
        <v>0.1</v>
      </c>
      <c r="G3" s="1">
        <f>'Paste cell here'!AA3</f>
        <v>0.9</v>
      </c>
      <c r="H3" s="43">
        <f>'Paste cell here'!U3</f>
        <v>34.996256418278961</v>
      </c>
      <c r="I3" s="43">
        <f>'Paste cell here'!AE3</f>
        <v>203.68590264066572</v>
      </c>
      <c r="J3" s="44">
        <f>'Paste cell here'!U2+'Paste cell here'!AF3</f>
        <v>227.43424026968961</v>
      </c>
      <c r="K3" s="45">
        <f>'Paste cell here'!AG3</f>
        <v>237.86564980119275</v>
      </c>
      <c r="L3" s="48" t="str">
        <f t="shared" ref="L3:L66" si="2">IF(J3&lt;K3,"YES","NO")</f>
        <v>YES</v>
      </c>
      <c r="M3" s="1">
        <f>(Sintesi!$C$29*F3*1000)</f>
        <v>23.3</v>
      </c>
      <c r="N3" s="1">
        <f>Sintesi!$C$30*F3*1000</f>
        <v>10.700000000000001</v>
      </c>
      <c r="O3" s="1">
        <f t="shared" si="0"/>
        <v>12.6</v>
      </c>
      <c r="P3" s="1">
        <f>Sintesi!$C$33*G3*1000</f>
        <v>231.3</v>
      </c>
      <c r="Q3" s="1">
        <f>Sintesi!$C$34*G3*1000</f>
        <v>115.20000000000002</v>
      </c>
      <c r="R3" s="1">
        <f t="shared" si="1"/>
        <v>116.1</v>
      </c>
    </row>
    <row r="4" spans="1:18">
      <c r="A4" s="41">
        <v>3</v>
      </c>
      <c r="B4" s="42">
        <f>DATE(Sintesi!$C$4-1,12,31)+A4</f>
        <v>44199</v>
      </c>
      <c r="C4" s="41">
        <f>'Paste cell here'!B4</f>
        <v>6.4799999999999125</v>
      </c>
      <c r="D4" s="41">
        <f>'Paste cell here'!I4</f>
        <v>0</v>
      </c>
      <c r="E4" s="1">
        <f>'Paste cell here'!H4</f>
        <v>0.18535875195952062</v>
      </c>
      <c r="F4" s="1">
        <f>Sintesi!$C$5</f>
        <v>0.1</v>
      </c>
      <c r="G4" s="1">
        <f>'Paste cell here'!AA4</f>
        <v>0.9</v>
      </c>
      <c r="H4" s="43">
        <f>'Paste cell here'!U4</f>
        <v>33.314883878137763</v>
      </c>
      <c r="I4" s="43">
        <f>'Paste cell here'!AE4</f>
        <v>210.84664032218322</v>
      </c>
      <c r="J4" s="44">
        <f>'Paste cell here'!U3+'Paste cell here'!AF4</f>
        <v>238.68215905894468</v>
      </c>
      <c r="K4" s="45">
        <f>'Paste cell here'!AG4</f>
        <v>237.90103003596681</v>
      </c>
      <c r="L4" s="41" t="str">
        <f t="shared" si="2"/>
        <v>NO</v>
      </c>
      <c r="M4" s="1">
        <f>(Sintesi!$C$29*F4*1000)</f>
        <v>23.3</v>
      </c>
      <c r="N4" s="1">
        <f>Sintesi!$C$30*F4*1000</f>
        <v>10.700000000000001</v>
      </c>
      <c r="O4" s="1">
        <f t="shared" si="0"/>
        <v>12.6</v>
      </c>
      <c r="P4" s="1">
        <f>Sintesi!$C$33*G4*1000</f>
        <v>231.3</v>
      </c>
      <c r="Q4" s="1">
        <f>Sintesi!$C$34*G4*1000</f>
        <v>115.20000000000002</v>
      </c>
      <c r="R4" s="1">
        <f t="shared" si="1"/>
        <v>116.1</v>
      </c>
    </row>
    <row r="5" spans="1:18">
      <c r="A5" s="41">
        <v>4</v>
      </c>
      <c r="B5" s="42">
        <f>DATE(Sintesi!$C$4-1,12,31)+A5</f>
        <v>44200</v>
      </c>
      <c r="C5" s="41">
        <f>'Paste cell here'!B5</f>
        <v>7.4399999999999142</v>
      </c>
      <c r="D5" s="41">
        <f>'Paste cell here'!I5</f>
        <v>0</v>
      </c>
      <c r="E5" s="1">
        <f>'Paste cell here'!H5</f>
        <v>0.18884427585929764</v>
      </c>
      <c r="F5" s="1">
        <f>Sintesi!$C$5</f>
        <v>0.1</v>
      </c>
      <c r="G5" s="1">
        <f>'Paste cell here'!AA5</f>
        <v>0.9</v>
      </c>
      <c r="H5" s="43">
        <f>'Paste cell here'!U5</f>
        <v>33.346270309597656</v>
      </c>
      <c r="I5" s="43">
        <f>'Paste cell here'!AE5</f>
        <v>216.77623213650466</v>
      </c>
      <c r="J5" s="44">
        <f>'Paste cell here'!U4+'Paste cell here'!AF5</f>
        <v>244.16152420032097</v>
      </c>
      <c r="K5" s="45">
        <f>'Paste cell here'!AG5</f>
        <v>237.58701918783589</v>
      </c>
      <c r="L5" s="41" t="str">
        <f t="shared" si="2"/>
        <v>NO</v>
      </c>
      <c r="M5" s="1">
        <f>(Sintesi!$C$29*F5*1000)</f>
        <v>23.3</v>
      </c>
      <c r="N5" s="1">
        <f>Sintesi!$C$30*F5*1000</f>
        <v>10.700000000000001</v>
      </c>
      <c r="O5" s="1">
        <f t="shared" si="0"/>
        <v>12.6</v>
      </c>
      <c r="P5" s="1">
        <f>Sintesi!$C$33*G5*1000</f>
        <v>231.3</v>
      </c>
      <c r="Q5" s="1">
        <f>Sintesi!$C$34*G5*1000</f>
        <v>115.20000000000002</v>
      </c>
      <c r="R5" s="1">
        <f t="shared" si="1"/>
        <v>116.1</v>
      </c>
    </row>
    <row r="6" spans="1:18">
      <c r="A6" s="41">
        <v>5</v>
      </c>
      <c r="B6" s="42">
        <f>DATE(Sintesi!$C$4-1,12,31)+A6</f>
        <v>44201</v>
      </c>
      <c r="C6" s="41">
        <f>'Paste cell here'!B6</f>
        <v>3.9999999999998965</v>
      </c>
      <c r="D6" s="41">
        <f>'Paste cell here'!I6</f>
        <v>0</v>
      </c>
      <c r="E6" s="1">
        <f>'Paste cell here'!H6</f>
        <v>0.18501180260975295</v>
      </c>
      <c r="F6" s="1">
        <f>Sintesi!$C$5</f>
        <v>0.1</v>
      </c>
      <c r="G6" s="1">
        <f>'Paste cell here'!AA6</f>
        <v>0.9</v>
      </c>
      <c r="H6" s="43">
        <f>'Paste cell here'!U6</f>
        <v>32.149717092877943</v>
      </c>
      <c r="I6" s="43">
        <f>'Paste cell here'!AE6</f>
        <v>221.36675472094399</v>
      </c>
      <c r="J6" s="44">
        <f>'Paste cell here'!U5+'Paste cell here'!AF6</f>
        <v>250.12250244610232</v>
      </c>
      <c r="K6" s="45">
        <f>'Paste cell here'!AG6</f>
        <v>237.93228670288735</v>
      </c>
      <c r="L6" s="41" t="str">
        <f t="shared" si="2"/>
        <v>NO</v>
      </c>
      <c r="M6" s="1">
        <f>(Sintesi!$C$29*F6*1000)</f>
        <v>23.3</v>
      </c>
      <c r="N6" s="1">
        <f>Sintesi!$C$30*F6*1000</f>
        <v>10.700000000000001</v>
      </c>
      <c r="O6" s="1">
        <f t="shared" si="0"/>
        <v>12.6</v>
      </c>
      <c r="P6" s="1">
        <f>Sintesi!$C$33*G6*1000</f>
        <v>231.3</v>
      </c>
      <c r="Q6" s="1">
        <f>Sintesi!$C$34*G6*1000</f>
        <v>115.20000000000002</v>
      </c>
      <c r="R6" s="1">
        <f t="shared" si="1"/>
        <v>116.1</v>
      </c>
    </row>
    <row r="7" spans="1:18">
      <c r="A7" s="41">
        <v>6</v>
      </c>
      <c r="B7" s="42">
        <f>DATE(Sintesi!$C$4-1,12,31)+A7</f>
        <v>44202</v>
      </c>
      <c r="C7" s="41">
        <f>'Paste cell here'!B7</f>
        <v>2.3599999999999763</v>
      </c>
      <c r="D7" s="41">
        <f>'Paste cell here'!I7</f>
        <v>0</v>
      </c>
      <c r="E7" s="1">
        <f>'Paste cell here'!H7</f>
        <v>0.1818241260803998</v>
      </c>
      <c r="F7" s="1">
        <f>Sintesi!$C$5</f>
        <v>0.1</v>
      </c>
      <c r="G7" s="1">
        <f>'Paste cell here'!AA7</f>
        <v>0.9</v>
      </c>
      <c r="H7" s="43">
        <f>'Paste cell here'!U7</f>
        <v>30.983276825225236</v>
      </c>
      <c r="I7" s="43">
        <f>'Paste cell here'!AE7</f>
        <v>224.39187151092156</v>
      </c>
      <c r="J7" s="44">
        <f>'Paste cell here'!U6+'Paste cell here'!AF7</f>
        <v>253.51647181382194</v>
      </c>
      <c r="K7" s="45">
        <f>'Paste cell here'!AG7</f>
        <v>238.21946448141679</v>
      </c>
      <c r="L7" s="41" t="str">
        <f t="shared" si="2"/>
        <v>NO</v>
      </c>
      <c r="M7" s="1">
        <f>(Sintesi!$C$29*F7*1000)</f>
        <v>23.3</v>
      </c>
      <c r="N7" s="1">
        <f>Sintesi!$C$30*F7*1000</f>
        <v>10.700000000000001</v>
      </c>
      <c r="O7" s="1">
        <f t="shared" si="0"/>
        <v>12.6</v>
      </c>
      <c r="P7" s="1">
        <f>Sintesi!$C$33*G7*1000</f>
        <v>231.3</v>
      </c>
      <c r="Q7" s="1">
        <f>Sintesi!$C$34*G7*1000</f>
        <v>115.20000000000002</v>
      </c>
      <c r="R7" s="1">
        <f t="shared" si="1"/>
        <v>116.1</v>
      </c>
    </row>
    <row r="8" spans="1:18">
      <c r="A8" s="41">
        <v>7</v>
      </c>
      <c r="B8" s="42">
        <f>DATE(Sintesi!$C$4-1,12,31)+A8</f>
        <v>44203</v>
      </c>
      <c r="C8" s="41">
        <f>'Paste cell here'!B8</f>
        <v>7.9999999999999724E-2</v>
      </c>
      <c r="D8" s="41">
        <f>'Paste cell here'!I8</f>
        <v>0</v>
      </c>
      <c r="E8" s="1">
        <f>'Paste cell here'!H8</f>
        <v>0.18406727504218415</v>
      </c>
      <c r="F8" s="1">
        <f>Sintesi!$C$5</f>
        <v>0.1</v>
      </c>
      <c r="G8" s="1">
        <f>'Paste cell here'!AA8</f>
        <v>0.9</v>
      </c>
      <c r="H8" s="43">
        <f>'Paste cell here'!U8</f>
        <v>28.879793228550653</v>
      </c>
      <c r="I8" s="43">
        <f>'Paste cell here'!AE8</f>
        <v>225.99483098702041</v>
      </c>
      <c r="J8" s="44">
        <f>'Paste cell here'!U7+'Paste cell here'!AF8</f>
        <v>255.37514833614682</v>
      </c>
      <c r="K8" s="45">
        <f>'Paste cell here'!AG8</f>
        <v>238.01737919144963</v>
      </c>
      <c r="L8" s="41" t="str">
        <f t="shared" si="2"/>
        <v>NO</v>
      </c>
      <c r="M8" s="1">
        <f>(Sintesi!$C$29*F8*1000)</f>
        <v>23.3</v>
      </c>
      <c r="N8" s="1">
        <f>Sintesi!$C$30*F8*1000</f>
        <v>10.700000000000001</v>
      </c>
      <c r="O8" s="1">
        <f t="shared" si="0"/>
        <v>12.6</v>
      </c>
      <c r="P8" s="1">
        <f>Sintesi!$C$33*G8*1000</f>
        <v>231.3</v>
      </c>
      <c r="Q8" s="1">
        <f>Sintesi!$C$34*G8*1000</f>
        <v>115.20000000000002</v>
      </c>
      <c r="R8" s="1">
        <f t="shared" si="1"/>
        <v>116.1</v>
      </c>
    </row>
    <row r="9" spans="1:18">
      <c r="A9" s="41">
        <v>8</v>
      </c>
      <c r="B9" s="42">
        <f>DATE(Sintesi!$C$4-1,12,31)+A9</f>
        <v>44204</v>
      </c>
      <c r="C9" s="41">
        <f>'Paste cell here'!B9</f>
        <v>0</v>
      </c>
      <c r="D9" s="41">
        <f>'Paste cell here'!I9</f>
        <v>0</v>
      </c>
      <c r="E9" s="1">
        <f>'Paste cell here'!H9</f>
        <v>0.18153434397284915</v>
      </c>
      <c r="F9" s="1">
        <f>Sintesi!$C$5</f>
        <v>0.1</v>
      </c>
      <c r="G9" s="1">
        <f>'Paste cell here'!AA9</f>
        <v>0.9</v>
      </c>
      <c r="H9" s="43">
        <f>'Paste cell here'!U9</f>
        <v>27.776577396630621</v>
      </c>
      <c r="I9" s="43">
        <f>'Paste cell here'!AE9</f>
        <v>226.78222673360165</v>
      </c>
      <c r="J9" s="44">
        <f>'Paste cell here'!U8+'Paste cell here'!AF9</f>
        <v>254.87462421557106</v>
      </c>
      <c r="K9" s="45">
        <f>'Paste cell here'!AG9</f>
        <v>238.24557095148603</v>
      </c>
      <c r="L9" s="41" t="str">
        <f t="shared" si="2"/>
        <v>NO</v>
      </c>
      <c r="M9" s="1">
        <f>(Sintesi!$C$29*F9*1000)</f>
        <v>23.3</v>
      </c>
      <c r="N9" s="1">
        <f>Sintesi!$C$30*F9*1000</f>
        <v>10.700000000000001</v>
      </c>
      <c r="O9" s="1">
        <f t="shared" si="0"/>
        <v>12.6</v>
      </c>
      <c r="P9" s="1">
        <f>Sintesi!$C$33*G9*1000</f>
        <v>231.3</v>
      </c>
      <c r="Q9" s="1">
        <f>Sintesi!$C$34*G9*1000</f>
        <v>115.20000000000002</v>
      </c>
      <c r="R9" s="1">
        <f t="shared" si="1"/>
        <v>116.1</v>
      </c>
    </row>
    <row r="10" spans="1:18">
      <c r="A10" s="41">
        <v>9</v>
      </c>
      <c r="B10" s="42">
        <f>DATE(Sintesi!$C$4-1,12,31)+A10</f>
        <v>44205</v>
      </c>
      <c r="C10" s="41">
        <f>'Paste cell here'!B10</f>
        <v>0</v>
      </c>
      <c r="D10" s="41">
        <f>'Paste cell here'!I10</f>
        <v>0</v>
      </c>
      <c r="E10" s="1">
        <f>'Paste cell here'!H10</f>
        <v>0.19245665354819771</v>
      </c>
      <c r="F10" s="1">
        <f>Sintesi!$C$5</f>
        <v>0.1</v>
      </c>
      <c r="G10" s="1">
        <f>'Paste cell here'!AA10</f>
        <v>0.9</v>
      </c>
      <c r="H10" s="43">
        <f>'Paste cell here'!U10</f>
        <v>26.755653781598415</v>
      </c>
      <c r="I10" s="43">
        <f>'Paste cell here'!AE10</f>
        <v>227.23552553257292</v>
      </c>
      <c r="J10" s="44">
        <f>'Paste cell here'!U9+'Paste cell here'!AF10</f>
        <v>254.55880413023223</v>
      </c>
      <c r="K10" s="45">
        <f>'Paste cell here'!AG10</f>
        <v>237.26158008184288</v>
      </c>
      <c r="L10" s="41" t="str">
        <f t="shared" si="2"/>
        <v>NO</v>
      </c>
      <c r="M10" s="1">
        <f>(Sintesi!$C$29*F10*1000)</f>
        <v>23.3</v>
      </c>
      <c r="N10" s="1">
        <f>Sintesi!$C$30*F10*1000</f>
        <v>10.700000000000001</v>
      </c>
      <c r="O10" s="1">
        <f t="shared" si="0"/>
        <v>12.6</v>
      </c>
      <c r="P10" s="1">
        <f>Sintesi!$C$33*G10*1000</f>
        <v>231.3</v>
      </c>
      <c r="Q10" s="1">
        <f>Sintesi!$C$34*G10*1000</f>
        <v>115.20000000000002</v>
      </c>
      <c r="R10" s="1">
        <f t="shared" si="1"/>
        <v>116.1</v>
      </c>
    </row>
    <row r="11" spans="1:18">
      <c r="A11" s="41">
        <v>10</v>
      </c>
      <c r="B11" s="42">
        <f>DATE(Sintesi!$C$4-1,12,31)+A11</f>
        <v>44206</v>
      </c>
      <c r="C11" s="41">
        <f>'Paste cell here'!B11</f>
        <v>0</v>
      </c>
      <c r="D11" s="41">
        <f>'Paste cell here'!I11</f>
        <v>0</v>
      </c>
      <c r="E11" s="1">
        <f>'Paste cell here'!H11</f>
        <v>0.18257748886415229</v>
      </c>
      <c r="F11" s="1">
        <f>Sintesi!$C$5</f>
        <v>0.1</v>
      </c>
      <c r="G11" s="1">
        <f>'Paste cell here'!AA11</f>
        <v>0.9</v>
      </c>
      <c r="H11" s="43">
        <f>'Paste cell here'!U11</f>
        <v>25.864890601467845</v>
      </c>
      <c r="I11" s="43">
        <f>'Paste cell here'!AE11</f>
        <v>227.48289522527276</v>
      </c>
      <c r="J11" s="44">
        <f>'Paste cell here'!U10+'Paste cell here'!AF11</f>
        <v>253.99117931417135</v>
      </c>
      <c r="K11" s="45">
        <f>'Paste cell here'!AG11</f>
        <v>238.15159402822854</v>
      </c>
      <c r="L11" s="41" t="str">
        <f t="shared" si="2"/>
        <v>NO</v>
      </c>
      <c r="M11" s="1">
        <f>(Sintesi!$C$29*F11*1000)</f>
        <v>23.3</v>
      </c>
      <c r="N11" s="1">
        <f>Sintesi!$C$30*F11*1000</f>
        <v>10.700000000000001</v>
      </c>
      <c r="O11" s="1">
        <f t="shared" si="0"/>
        <v>12.6</v>
      </c>
      <c r="P11" s="1">
        <f>Sintesi!$C$33*G11*1000</f>
        <v>231.3</v>
      </c>
      <c r="Q11" s="1">
        <f>Sintesi!$C$34*G11*1000</f>
        <v>115.20000000000002</v>
      </c>
      <c r="R11" s="1">
        <f t="shared" si="1"/>
        <v>116.1</v>
      </c>
    </row>
    <row r="12" spans="1:18">
      <c r="A12" s="41">
        <v>11</v>
      </c>
      <c r="B12" s="42">
        <f>DATE(Sintesi!$C$4-1,12,31)+A12</f>
        <v>44207</v>
      </c>
      <c r="C12" s="41">
        <f>'Paste cell here'!B12</f>
        <v>7.9999999999999724E-2</v>
      </c>
      <c r="D12" s="41">
        <f>'Paste cell here'!I12</f>
        <v>0</v>
      </c>
      <c r="E12" s="1">
        <f>'Paste cell here'!H12</f>
        <v>0.17965772668121635</v>
      </c>
      <c r="F12" s="1">
        <f>Sintesi!$C$5</f>
        <v>0.1</v>
      </c>
      <c r="G12" s="1">
        <f>'Paste cell here'!AA12</f>
        <v>0.9</v>
      </c>
      <c r="H12" s="43">
        <f>'Paste cell here'!U12</f>
        <v>25.432865699675361</v>
      </c>
      <c r="I12" s="43">
        <f>'Paste cell here'!AE12</f>
        <v>227.62613345717762</v>
      </c>
      <c r="J12" s="44">
        <f>'Paste cell here'!U11+'Paste cell here'!AF12</f>
        <v>253.34778582674056</v>
      </c>
      <c r="K12" s="45">
        <f>'Paste cell here'!AG12</f>
        <v>238.41463540328925</v>
      </c>
      <c r="L12" s="41" t="str">
        <f t="shared" si="2"/>
        <v>NO</v>
      </c>
      <c r="M12" s="1">
        <f>(Sintesi!$C$29*F12*1000)</f>
        <v>23.3</v>
      </c>
      <c r="N12" s="1">
        <f>Sintesi!$C$30*F12*1000</f>
        <v>10.700000000000001</v>
      </c>
      <c r="O12" s="1">
        <f t="shared" si="0"/>
        <v>12.6</v>
      </c>
      <c r="P12" s="1">
        <f>Sintesi!$C$33*G12*1000</f>
        <v>231.3</v>
      </c>
      <c r="Q12" s="1">
        <f>Sintesi!$C$34*G12*1000</f>
        <v>115.20000000000002</v>
      </c>
      <c r="R12" s="1">
        <f t="shared" si="1"/>
        <v>116.1</v>
      </c>
    </row>
    <row r="13" spans="1:18">
      <c r="A13" s="41">
        <v>12</v>
      </c>
      <c r="B13" s="42">
        <f>DATE(Sintesi!$C$4-1,12,31)+A13</f>
        <v>44208</v>
      </c>
      <c r="C13" s="41">
        <f>'Paste cell here'!B13</f>
        <v>0</v>
      </c>
      <c r="D13" s="41">
        <f>'Paste cell here'!I13</f>
        <v>0</v>
      </c>
      <c r="E13" s="1">
        <f>'Paste cell here'!H13</f>
        <v>0.19070308989373949</v>
      </c>
      <c r="F13" s="1">
        <f>Sintesi!$C$5</f>
        <v>0.1</v>
      </c>
      <c r="G13" s="1">
        <f>'Paste cell here'!AA13</f>
        <v>0.9</v>
      </c>
      <c r="H13" s="43">
        <f>'Paste cell here'!U13</f>
        <v>24.80402215342751</v>
      </c>
      <c r="I13" s="43">
        <f>'Paste cell here'!AE13</f>
        <v>227.70595436226688</v>
      </c>
      <c r="J13" s="44">
        <f>'Paste cell here'!U12+'Paste cell here'!AF13</f>
        <v>253.05899915685302</v>
      </c>
      <c r="K13" s="45">
        <f>'Paste cell here'!AG13</f>
        <v>237.41955863147302</v>
      </c>
      <c r="L13" s="41" t="str">
        <f t="shared" si="2"/>
        <v>NO</v>
      </c>
      <c r="M13" s="1">
        <f>(Sintesi!$C$29*F13*1000)</f>
        <v>23.3</v>
      </c>
      <c r="N13" s="1">
        <f>Sintesi!$C$30*F13*1000</f>
        <v>10.700000000000001</v>
      </c>
      <c r="O13" s="1">
        <f t="shared" si="0"/>
        <v>12.6</v>
      </c>
      <c r="P13" s="1">
        <f>Sintesi!$C$33*G13*1000</f>
        <v>231.3</v>
      </c>
      <c r="Q13" s="1">
        <f>Sintesi!$C$34*G13*1000</f>
        <v>115.20000000000002</v>
      </c>
      <c r="R13" s="1">
        <f t="shared" si="1"/>
        <v>116.1</v>
      </c>
    </row>
    <row r="14" spans="1:18">
      <c r="A14" s="41">
        <v>13</v>
      </c>
      <c r="B14" s="42">
        <f>DATE(Sintesi!$C$4-1,12,31)+A14</f>
        <v>44209</v>
      </c>
      <c r="C14" s="41">
        <f>'Paste cell here'!B14</f>
        <v>0</v>
      </c>
      <c r="D14" s="41">
        <f>'Paste cell here'!I14</f>
        <v>0</v>
      </c>
      <c r="E14" s="1">
        <f>'Paste cell here'!H14</f>
        <v>0.1835312400187587</v>
      </c>
      <c r="F14" s="1">
        <f>Sintesi!$C$5</f>
        <v>0.1</v>
      </c>
      <c r="G14" s="1">
        <f>'Paste cell here'!AA14</f>
        <v>0.9</v>
      </c>
      <c r="H14" s="43">
        <f>'Paste cell here'!U14</f>
        <v>23.930045397935775</v>
      </c>
      <c r="I14" s="43">
        <f>'Paste cell here'!AE14</f>
        <v>227.71872008983931</v>
      </c>
      <c r="J14" s="44">
        <f>'Paste cell here'!U13+'Paste cell here'!AF14</f>
        <v>252.5099765156944</v>
      </c>
      <c r="K14" s="45">
        <f>'Paste cell here'!AG14</f>
        <v>238.06567058671004</v>
      </c>
      <c r="L14" s="41" t="str">
        <f t="shared" si="2"/>
        <v>NO</v>
      </c>
      <c r="M14" s="1">
        <f>(Sintesi!$C$29*F14*1000)</f>
        <v>23.3</v>
      </c>
      <c r="N14" s="1">
        <f>Sintesi!$C$30*F14*1000</f>
        <v>10.700000000000001</v>
      </c>
      <c r="O14" s="1">
        <f t="shared" si="0"/>
        <v>12.6</v>
      </c>
      <c r="P14" s="1">
        <f>Sintesi!$C$33*G14*1000</f>
        <v>231.3</v>
      </c>
      <c r="Q14" s="1">
        <f>Sintesi!$C$34*G14*1000</f>
        <v>115.20000000000002</v>
      </c>
      <c r="R14" s="1">
        <f t="shared" si="1"/>
        <v>116.1</v>
      </c>
    </row>
    <row r="15" spans="1:18">
      <c r="A15" s="41">
        <v>14</v>
      </c>
      <c r="B15" s="42">
        <f>DATE(Sintesi!$C$4-1,12,31)+A15</f>
        <v>44210</v>
      </c>
      <c r="C15" s="41">
        <f>'Paste cell here'!B15</f>
        <v>0</v>
      </c>
      <c r="D15" s="41">
        <f>'Paste cell here'!I15</f>
        <v>0</v>
      </c>
      <c r="E15" s="1">
        <f>'Paste cell here'!H15</f>
        <v>0.17105947279816569</v>
      </c>
      <c r="F15" s="1">
        <f>Sintesi!$C$5</f>
        <v>0.1</v>
      </c>
      <c r="G15" s="1">
        <f>'Paste cell here'!AA15</f>
        <v>0.9</v>
      </c>
      <c r="H15" s="43">
        <f>'Paste cell here'!U15</f>
        <v>23.015258784497266</v>
      </c>
      <c r="I15" s="43">
        <f>'Paste cell here'!AE15</f>
        <v>227.67603763469884</v>
      </c>
      <c r="J15" s="44">
        <f>'Paste cell here'!U14+'Paste cell here'!AF15</f>
        <v>251.64876548777511</v>
      </c>
      <c r="K15" s="45">
        <f>'Paste cell here'!AG15</f>
        <v>239.18925209561328</v>
      </c>
      <c r="L15" s="41" t="str">
        <f t="shared" si="2"/>
        <v>NO</v>
      </c>
      <c r="M15" s="1">
        <f>(Sintesi!$C$29*F15*1000)</f>
        <v>23.3</v>
      </c>
      <c r="N15" s="1">
        <f>Sintesi!$C$30*F15*1000</f>
        <v>10.700000000000001</v>
      </c>
      <c r="O15" s="1">
        <f t="shared" si="0"/>
        <v>12.6</v>
      </c>
      <c r="P15" s="1">
        <f>Sintesi!$C$33*G15*1000</f>
        <v>231.3</v>
      </c>
      <c r="Q15" s="1">
        <f>Sintesi!$C$34*G15*1000</f>
        <v>115.20000000000002</v>
      </c>
      <c r="R15" s="1">
        <f t="shared" si="1"/>
        <v>116.1</v>
      </c>
    </row>
    <row r="16" spans="1:18">
      <c r="A16" s="41">
        <v>15</v>
      </c>
      <c r="B16" s="42">
        <f>DATE(Sintesi!$C$4-1,12,31)+A16</f>
        <v>44211</v>
      </c>
      <c r="C16" s="41">
        <f>'Paste cell here'!B16</f>
        <v>0</v>
      </c>
      <c r="D16" s="41">
        <f>'Paste cell here'!I16</f>
        <v>0</v>
      </c>
      <c r="E16" s="1">
        <f>'Paste cell here'!H16</f>
        <v>0.16720359917818406</v>
      </c>
      <c r="F16" s="1">
        <f>Sintesi!$C$5</f>
        <v>0.1</v>
      </c>
      <c r="G16" s="1">
        <f>'Paste cell here'!AA16</f>
        <v>0.9</v>
      </c>
      <c r="H16" s="43">
        <f>'Paste cell here'!U16</f>
        <v>22.270321100910603</v>
      </c>
      <c r="I16" s="43">
        <f>'Paste cell here'!AE16</f>
        <v>227.59883027208613</v>
      </c>
      <c r="J16" s="44">
        <f>'Paste cell here'!U15+'Paste cell here'!AF16</f>
        <v>250.69129641919611</v>
      </c>
      <c r="K16" s="45">
        <f>'Paste cell here'!AG16</f>
        <v>239.53662775003741</v>
      </c>
      <c r="L16" s="41" t="str">
        <f t="shared" si="2"/>
        <v>NO</v>
      </c>
      <c r="M16" s="1">
        <f>(Sintesi!$C$29*F16*1000)</f>
        <v>23.3</v>
      </c>
      <c r="N16" s="1">
        <f>Sintesi!$C$30*F16*1000</f>
        <v>10.700000000000001</v>
      </c>
      <c r="O16" s="1">
        <f t="shared" si="0"/>
        <v>12.6</v>
      </c>
      <c r="P16" s="1">
        <f>Sintesi!$C$33*G16*1000</f>
        <v>231.3</v>
      </c>
      <c r="Q16" s="1">
        <f>Sintesi!$C$34*G16*1000</f>
        <v>115.20000000000002</v>
      </c>
      <c r="R16" s="1">
        <f t="shared" si="1"/>
        <v>116.1</v>
      </c>
    </row>
    <row r="17" spans="1:18">
      <c r="A17" s="41">
        <v>16</v>
      </c>
      <c r="B17" s="42">
        <f>DATE(Sintesi!$C$4-1,12,31)+A17</f>
        <v>44212</v>
      </c>
      <c r="C17" s="41">
        <f>'Paste cell here'!B17</f>
        <v>0</v>
      </c>
      <c r="D17" s="41">
        <f>'Paste cell here'!I17</f>
        <v>0</v>
      </c>
      <c r="E17" s="1">
        <f>'Paste cell here'!H17</f>
        <v>0.17259592015013903</v>
      </c>
      <c r="F17" s="1">
        <f>Sintesi!$C$5</f>
        <v>0.1</v>
      </c>
      <c r="G17" s="1">
        <f>'Paste cell here'!AA17</f>
        <v>0.9</v>
      </c>
      <c r="H17" s="43">
        <f>'Paste cell here'!U17</f>
        <v>21.834732329293544</v>
      </c>
      <c r="I17" s="43">
        <f>'Paste cell here'!AE17</f>
        <v>227.50465605312246</v>
      </c>
      <c r="J17" s="44">
        <f>'Paste cell here'!U16+'Paste cell here'!AF17</f>
        <v>249.86915137299673</v>
      </c>
      <c r="K17" s="45">
        <f>'Paste cell here'!AG17</f>
        <v>239.05083355367398</v>
      </c>
      <c r="L17" s="41" t="str">
        <f t="shared" si="2"/>
        <v>NO</v>
      </c>
      <c r="M17" s="1">
        <f>(Sintesi!$C$29*F17*1000)</f>
        <v>23.3</v>
      </c>
      <c r="N17" s="1">
        <f>Sintesi!$C$30*F17*1000</f>
        <v>10.700000000000001</v>
      </c>
      <c r="O17" s="1">
        <f t="shared" si="0"/>
        <v>12.6</v>
      </c>
      <c r="P17" s="1">
        <f>Sintesi!$C$33*G17*1000</f>
        <v>231.3</v>
      </c>
      <c r="Q17" s="1">
        <f>Sintesi!$C$34*G17*1000</f>
        <v>115.20000000000002</v>
      </c>
      <c r="R17" s="1">
        <f t="shared" si="1"/>
        <v>116.1</v>
      </c>
    </row>
    <row r="18" spans="1:18">
      <c r="A18" s="41">
        <v>17</v>
      </c>
      <c r="B18" s="42">
        <f>DATE(Sintesi!$C$4-1,12,31)+A18</f>
        <v>44213</v>
      </c>
      <c r="C18" s="41">
        <f>'Paste cell here'!B18</f>
        <v>0</v>
      </c>
      <c r="D18" s="41">
        <f>'Paste cell here'!I18</f>
        <v>0</v>
      </c>
      <c r="E18" s="1">
        <f>'Paste cell here'!H18</f>
        <v>0.18426231661105644</v>
      </c>
      <c r="F18" s="1">
        <f>Sintesi!$C$5</f>
        <v>0.1</v>
      </c>
      <c r="G18" s="1">
        <f>'Paste cell here'!AA18</f>
        <v>0.9</v>
      </c>
      <c r="H18" s="43">
        <f>'Paste cell here'!U18</f>
        <v>21.389971417737215</v>
      </c>
      <c r="I18" s="43">
        <f>'Paste cell here'!AE18</f>
        <v>227.40160820924046</v>
      </c>
      <c r="J18" s="44">
        <f>'Paste cell here'!U17+'Paste cell here'!AF18</f>
        <v>249.33938838241602</v>
      </c>
      <c r="K18" s="45">
        <f>'Paste cell here'!AG18</f>
        <v>237.99980789650994</v>
      </c>
      <c r="L18" s="41" t="str">
        <f t="shared" si="2"/>
        <v>NO</v>
      </c>
      <c r="M18" s="1">
        <f>(Sintesi!$C$29*F18*1000)</f>
        <v>23.3</v>
      </c>
      <c r="N18" s="1">
        <f>Sintesi!$C$30*F18*1000</f>
        <v>10.700000000000001</v>
      </c>
      <c r="O18" s="1">
        <f t="shared" si="0"/>
        <v>12.6</v>
      </c>
      <c r="P18" s="1">
        <f>Sintesi!$C$33*G18*1000</f>
        <v>231.3</v>
      </c>
      <c r="Q18" s="1">
        <f>Sintesi!$C$34*G18*1000</f>
        <v>115.20000000000002</v>
      </c>
      <c r="R18" s="1">
        <f t="shared" si="1"/>
        <v>116.1</v>
      </c>
    </row>
    <row r="19" spans="1:18">
      <c r="A19" s="41">
        <v>18</v>
      </c>
      <c r="B19" s="42">
        <f>DATE(Sintesi!$C$4-1,12,31)+A19</f>
        <v>44214</v>
      </c>
      <c r="C19" s="41">
        <f>'Paste cell here'!B19</f>
        <v>0</v>
      </c>
      <c r="D19" s="41">
        <f>'Paste cell here'!I19</f>
        <v>0</v>
      </c>
      <c r="E19" s="1">
        <f>'Paste cell here'!H19</f>
        <v>0.18350794123697861</v>
      </c>
      <c r="F19" s="1">
        <f>Sintesi!$C$5</f>
        <v>0.1</v>
      </c>
      <c r="G19" s="1">
        <f>'Paste cell here'!AA19</f>
        <v>0.9</v>
      </c>
      <c r="H19" s="43">
        <f>'Paste cell here'!U19</f>
        <v>21.129989096225977</v>
      </c>
      <c r="I19" s="43">
        <f>'Paste cell here'!AE19</f>
        <v>227.29301376814155</v>
      </c>
      <c r="J19" s="44">
        <f>'Paste cell here'!U18+'Paste cell here'!AF19</f>
        <v>248.79157962697769</v>
      </c>
      <c r="K19" s="45">
        <f>'Paste cell here'!AG19</f>
        <v>238.06776957396062</v>
      </c>
      <c r="L19" s="41" t="str">
        <f t="shared" si="2"/>
        <v>NO</v>
      </c>
      <c r="M19" s="1">
        <f>(Sintesi!$C$29*F19*1000)</f>
        <v>23.3</v>
      </c>
      <c r="N19" s="1">
        <f>Sintesi!$C$30*F19*1000</f>
        <v>10.700000000000001</v>
      </c>
      <c r="O19" s="1">
        <f t="shared" si="0"/>
        <v>12.6</v>
      </c>
      <c r="P19" s="1">
        <f>Sintesi!$C$33*G19*1000</f>
        <v>231.3</v>
      </c>
      <c r="Q19" s="1">
        <f>Sintesi!$C$34*G19*1000</f>
        <v>115.20000000000002</v>
      </c>
      <c r="R19" s="1">
        <f t="shared" si="1"/>
        <v>116.1</v>
      </c>
    </row>
    <row r="20" spans="1:18">
      <c r="A20" s="41">
        <v>19</v>
      </c>
      <c r="B20" s="42">
        <f>DATE(Sintesi!$C$4-1,12,31)+A20</f>
        <v>44215</v>
      </c>
      <c r="C20" s="41">
        <f>'Paste cell here'!B20</f>
        <v>0.47999999999999826</v>
      </c>
      <c r="D20" s="41">
        <f>'Paste cell here'!I20</f>
        <v>0</v>
      </c>
      <c r="E20" s="1">
        <f>'Paste cell here'!H20</f>
        <v>0.19064238278430215</v>
      </c>
      <c r="F20" s="1">
        <f>Sintesi!$C$5</f>
        <v>0.1</v>
      </c>
      <c r="G20" s="1">
        <f>'Paste cell here'!AA20</f>
        <v>0.9</v>
      </c>
      <c r="H20" s="43">
        <f>'Paste cell here'!U20</f>
        <v>21.267385788392044</v>
      </c>
      <c r="I20" s="43">
        <f>'Paste cell here'!AE20</f>
        <v>227.18423813385598</v>
      </c>
      <c r="J20" s="44">
        <f>'Paste cell here'!U19+'Paste cell here'!AF20</f>
        <v>248.42300286436756</v>
      </c>
      <c r="K20" s="45">
        <f>'Paste cell here'!AG20</f>
        <v>237.42502773496224</v>
      </c>
      <c r="L20" s="41" t="str">
        <f t="shared" si="2"/>
        <v>NO</v>
      </c>
      <c r="M20" s="1">
        <f>(Sintesi!$C$29*F20*1000)</f>
        <v>23.3</v>
      </c>
      <c r="N20" s="1">
        <f>Sintesi!$C$30*F20*1000</f>
        <v>10.700000000000001</v>
      </c>
      <c r="O20" s="1">
        <f t="shared" si="0"/>
        <v>12.6</v>
      </c>
      <c r="P20" s="1">
        <f>Sintesi!$C$33*G20*1000</f>
        <v>231.3</v>
      </c>
      <c r="Q20" s="1">
        <f>Sintesi!$C$34*G20*1000</f>
        <v>115.20000000000002</v>
      </c>
      <c r="R20" s="1">
        <f t="shared" si="1"/>
        <v>116.1</v>
      </c>
    </row>
    <row r="21" spans="1:18">
      <c r="A21" s="41">
        <v>20</v>
      </c>
      <c r="B21" s="42">
        <f>DATE(Sintesi!$C$4-1,12,31)+A21</f>
        <v>44216</v>
      </c>
      <c r="C21" s="41">
        <f>'Paste cell here'!B21</f>
        <v>5.0399999999999565</v>
      </c>
      <c r="D21" s="41">
        <f>'Paste cell here'!I21</f>
        <v>0</v>
      </c>
      <c r="E21" s="1">
        <f>'Paste cell here'!H21</f>
        <v>0.18729472914251441</v>
      </c>
      <c r="F21" s="1">
        <f>Sintesi!$C$5</f>
        <v>0.1</v>
      </c>
      <c r="G21" s="1">
        <f>'Paste cell here'!AA21</f>
        <v>0.9</v>
      </c>
      <c r="H21" s="43">
        <f>'Paste cell here'!U21</f>
        <v>25.780621005410687</v>
      </c>
      <c r="I21" s="43">
        <f>'Paste cell here'!AE21</f>
        <v>227.16678482051739</v>
      </c>
      <c r="J21" s="44">
        <f>'Paste cell here'!U20+'Paste cell here'!AF21</f>
        <v>248.45162392224805</v>
      </c>
      <c r="K21" s="45">
        <f>'Paste cell here'!AG21</f>
        <v>237.72661785155088</v>
      </c>
      <c r="L21" s="41" t="str">
        <f t="shared" si="2"/>
        <v>NO</v>
      </c>
      <c r="M21" s="1">
        <f>(Sintesi!$C$29*F21*1000)</f>
        <v>23.3</v>
      </c>
      <c r="N21" s="1">
        <f>Sintesi!$C$30*F21*1000</f>
        <v>10.700000000000001</v>
      </c>
      <c r="O21" s="1">
        <f t="shared" si="0"/>
        <v>12.6</v>
      </c>
      <c r="P21" s="1">
        <f>Sintesi!$C$33*G21*1000</f>
        <v>231.3</v>
      </c>
      <c r="Q21" s="1">
        <f>Sintesi!$C$34*G21*1000</f>
        <v>115.20000000000002</v>
      </c>
      <c r="R21" s="1">
        <f t="shared" si="1"/>
        <v>116.1</v>
      </c>
    </row>
    <row r="22" spans="1:18">
      <c r="A22" s="41">
        <v>21</v>
      </c>
      <c r="B22" s="42">
        <f>DATE(Sintesi!$C$4-1,12,31)+A22</f>
        <v>44217</v>
      </c>
      <c r="C22" s="41">
        <f>'Paste cell here'!B22</f>
        <v>5.8799999999999724</v>
      </c>
      <c r="D22" s="41">
        <f>'Paste cell here'!I22</f>
        <v>0</v>
      </c>
      <c r="E22" s="1">
        <f>'Paste cell here'!H22</f>
        <v>0.18411400660655605</v>
      </c>
      <c r="F22" s="1">
        <f>Sintesi!$C$5</f>
        <v>0.1</v>
      </c>
      <c r="G22" s="1">
        <f>'Paste cell here'!AA22</f>
        <v>0.9</v>
      </c>
      <c r="H22" s="43">
        <f>'Paste cell here'!U22</f>
        <v>29.883155800966918</v>
      </c>
      <c r="I22" s="43">
        <f>'Paste cell here'!AE22</f>
        <v>227.8962674536084</v>
      </c>
      <c r="J22" s="44">
        <f>'Paste cell here'!U21+'Paste cell here'!AF22</f>
        <v>252.94740582592809</v>
      </c>
      <c r="K22" s="45">
        <f>'Paste cell here'!AG22</f>
        <v>238.01316914481538</v>
      </c>
      <c r="L22" s="41" t="str">
        <f t="shared" si="2"/>
        <v>NO</v>
      </c>
      <c r="M22" s="1">
        <f>(Sintesi!$C$29*F22*1000)</f>
        <v>23.3</v>
      </c>
      <c r="N22" s="1">
        <f>Sintesi!$C$30*F22*1000</f>
        <v>10.700000000000001</v>
      </c>
      <c r="O22" s="1">
        <f t="shared" si="0"/>
        <v>12.6</v>
      </c>
      <c r="P22" s="1">
        <f>Sintesi!$C$33*G22*1000</f>
        <v>231.3</v>
      </c>
      <c r="Q22" s="1">
        <f>Sintesi!$C$34*G22*1000</f>
        <v>115.20000000000002</v>
      </c>
      <c r="R22" s="1">
        <f t="shared" si="1"/>
        <v>116.1</v>
      </c>
    </row>
    <row r="23" spans="1:18">
      <c r="A23" s="41">
        <v>22</v>
      </c>
      <c r="B23" s="42">
        <f>DATE(Sintesi!$C$4-1,12,31)+A23</f>
        <v>44218</v>
      </c>
      <c r="C23" s="41">
        <f>'Paste cell here'!B23</f>
        <v>24.399999999999679</v>
      </c>
      <c r="D23" s="41">
        <f>'Paste cell here'!I23</f>
        <v>0</v>
      </c>
      <c r="E23" s="1">
        <f>'Paste cell here'!H23</f>
        <v>0.18224576753650878</v>
      </c>
      <c r="F23" s="1">
        <f>Sintesi!$C$5</f>
        <v>0.1</v>
      </c>
      <c r="G23" s="1">
        <f>'Paste cell here'!AA23</f>
        <v>0.9</v>
      </c>
      <c r="H23" s="43">
        <f>'Paste cell here'!U23</f>
        <v>34.93847243097256</v>
      </c>
      <c r="I23" s="43">
        <f>'Paste cell here'!AE23</f>
        <v>233.96821288526846</v>
      </c>
      <c r="J23" s="44">
        <f>'Paste cell here'!U22+'Paste cell here'!AF23</f>
        <v>257.77942325457531</v>
      </c>
      <c r="K23" s="45">
        <f>'Paste cell here'!AG23</f>
        <v>238.18147880263592</v>
      </c>
      <c r="L23" s="41" t="str">
        <f t="shared" si="2"/>
        <v>NO</v>
      </c>
      <c r="M23" s="1">
        <f>(Sintesi!$C$29*F23*1000)</f>
        <v>23.3</v>
      </c>
      <c r="N23" s="1">
        <f>Sintesi!$C$30*F23*1000</f>
        <v>10.700000000000001</v>
      </c>
      <c r="O23" s="1">
        <f t="shared" si="0"/>
        <v>12.6</v>
      </c>
      <c r="P23" s="1">
        <f>Sintesi!$C$33*G23*1000</f>
        <v>231.3</v>
      </c>
      <c r="Q23" s="1">
        <f>Sintesi!$C$34*G23*1000</f>
        <v>115.20000000000002</v>
      </c>
      <c r="R23" s="1">
        <f t="shared" si="1"/>
        <v>116.1</v>
      </c>
    </row>
    <row r="24" spans="1:18">
      <c r="A24" s="41">
        <v>23</v>
      </c>
      <c r="B24" s="42">
        <f>DATE(Sintesi!$C$4-1,12,31)+A24</f>
        <v>44219</v>
      </c>
      <c r="C24" s="41">
        <f>'Paste cell here'!B24</f>
        <v>10.559999999999839</v>
      </c>
      <c r="D24" s="41">
        <f>'Paste cell here'!I24</f>
        <v>0</v>
      </c>
      <c r="E24" s="1">
        <f>'Paste cell here'!H24</f>
        <v>0.18275033309009112</v>
      </c>
      <c r="F24" s="1">
        <f>Sintesi!$C$5</f>
        <v>0.1</v>
      </c>
      <c r="G24" s="1">
        <f>'Paste cell here'!AA24</f>
        <v>0.9</v>
      </c>
      <c r="H24" s="43">
        <f>'Paste cell here'!U24</f>
        <v>33.97938795230759</v>
      </c>
      <c r="I24" s="43">
        <f>'Paste cell here'!AE24</f>
        <v>241.81748275106887</v>
      </c>
      <c r="J24" s="44">
        <f>'Paste cell here'!U23+'Paste cell here'!AF24</f>
        <v>268.90668531624107</v>
      </c>
      <c r="K24" s="45">
        <f>'Paste cell here'!AG24</f>
        <v>238.13602249191371</v>
      </c>
      <c r="L24" s="41" t="str">
        <f t="shared" si="2"/>
        <v>NO</v>
      </c>
      <c r="M24" s="1">
        <f>(Sintesi!$C$29*F24*1000)</f>
        <v>23.3</v>
      </c>
      <c r="N24" s="1">
        <f>Sintesi!$C$30*F24*1000</f>
        <v>10.700000000000001</v>
      </c>
      <c r="O24" s="1">
        <f t="shared" si="0"/>
        <v>12.6</v>
      </c>
      <c r="P24" s="1">
        <f>Sintesi!$C$33*G24*1000</f>
        <v>231.3</v>
      </c>
      <c r="Q24" s="1">
        <f>Sintesi!$C$34*G24*1000</f>
        <v>115.20000000000002</v>
      </c>
      <c r="R24" s="1">
        <f t="shared" si="1"/>
        <v>116.1</v>
      </c>
    </row>
    <row r="25" spans="1:18">
      <c r="A25" s="41">
        <v>24</v>
      </c>
      <c r="B25" s="42">
        <f>DATE(Sintesi!$C$4-1,12,31)+A25</f>
        <v>44220</v>
      </c>
      <c r="C25" s="41">
        <f>'Paste cell here'!B25</f>
        <v>0.15999999999999945</v>
      </c>
      <c r="D25" s="41">
        <f>'Paste cell here'!I25</f>
        <v>0</v>
      </c>
      <c r="E25" s="1">
        <f>'Paste cell here'!H25</f>
        <v>0.16819254193276872</v>
      </c>
      <c r="F25" s="1">
        <f>Sintesi!$C$5</f>
        <v>0.1</v>
      </c>
      <c r="G25" s="1">
        <f>'Paste cell here'!AA25</f>
        <v>0.9</v>
      </c>
      <c r="H25" s="43">
        <f>'Paste cell here'!U25</f>
        <v>29.804784315779461</v>
      </c>
      <c r="I25" s="43">
        <f>'Paste cell here'!AE25</f>
        <v>244.88874811609872</v>
      </c>
      <c r="J25" s="44">
        <f>'Paste cell here'!U24+'Paste cell here'!AF25</f>
        <v>275.79687070337644</v>
      </c>
      <c r="K25" s="45">
        <f>'Paste cell here'!AG25</f>
        <v>239.44753389727688</v>
      </c>
      <c r="L25" s="41" t="str">
        <f t="shared" si="2"/>
        <v>NO</v>
      </c>
      <c r="M25" s="1">
        <f>(Sintesi!$C$29*F25*1000)</f>
        <v>23.3</v>
      </c>
      <c r="N25" s="1">
        <f>Sintesi!$C$30*F25*1000</f>
        <v>10.700000000000001</v>
      </c>
      <c r="O25" s="1">
        <f t="shared" si="0"/>
        <v>12.6</v>
      </c>
      <c r="P25" s="1">
        <f>Sintesi!$C$33*G25*1000</f>
        <v>231.3</v>
      </c>
      <c r="Q25" s="1">
        <f>Sintesi!$C$34*G25*1000</f>
        <v>115.20000000000002</v>
      </c>
      <c r="R25" s="1">
        <f t="shared" si="1"/>
        <v>116.1</v>
      </c>
    </row>
    <row r="26" spans="1:18">
      <c r="A26" s="41">
        <v>25</v>
      </c>
      <c r="B26" s="42">
        <f>DATE(Sintesi!$C$4-1,12,31)+A26</f>
        <v>44221</v>
      </c>
      <c r="C26" s="41">
        <f>'Paste cell here'!B26</f>
        <v>0</v>
      </c>
      <c r="D26" s="41">
        <f>'Paste cell here'!I26</f>
        <v>0</v>
      </c>
      <c r="E26" s="1">
        <f>'Paste cell here'!H26</f>
        <v>0.16338456231889317</v>
      </c>
      <c r="F26" s="1">
        <f>Sintesi!$C$5</f>
        <v>0.1</v>
      </c>
      <c r="G26" s="1">
        <f>'Paste cell here'!AA26</f>
        <v>0.9</v>
      </c>
      <c r="H26" s="43">
        <f>'Paste cell here'!U26</f>
        <v>27.780022203750143</v>
      </c>
      <c r="I26" s="43">
        <f>'Paste cell here'!AE26</f>
        <v>245.62619235530121</v>
      </c>
      <c r="J26" s="44">
        <f>'Paste cell here'!U25+'Paste cell here'!AF26</f>
        <v>274.69353243187817</v>
      </c>
      <c r="K26" s="45">
        <f>'Paste cell here'!AG26</f>
        <v>239.88068478069093</v>
      </c>
      <c r="L26" s="41" t="str">
        <f t="shared" si="2"/>
        <v>NO</v>
      </c>
      <c r="M26" s="1">
        <f>(Sintesi!$C$29*F26*1000)</f>
        <v>23.3</v>
      </c>
      <c r="N26" s="1">
        <f>Sintesi!$C$30*F26*1000</f>
        <v>10.700000000000001</v>
      </c>
      <c r="O26" s="1">
        <f t="shared" si="0"/>
        <v>12.6</v>
      </c>
      <c r="P26" s="1">
        <f>Sintesi!$C$33*G26*1000</f>
        <v>231.3</v>
      </c>
      <c r="Q26" s="1">
        <f>Sintesi!$C$34*G26*1000</f>
        <v>115.20000000000002</v>
      </c>
      <c r="R26" s="1">
        <f t="shared" si="1"/>
        <v>116.1</v>
      </c>
    </row>
    <row r="27" spans="1:18">
      <c r="A27" s="41">
        <v>26</v>
      </c>
      <c r="B27" s="42">
        <f>DATE(Sintesi!$C$4-1,12,31)+A27</f>
        <v>44222</v>
      </c>
      <c r="C27" s="41">
        <f>'Paste cell here'!B27</f>
        <v>0</v>
      </c>
      <c r="D27" s="41">
        <f>'Paste cell here'!I27</f>
        <v>0</v>
      </c>
      <c r="E27" s="1">
        <f>'Paste cell here'!H27</f>
        <v>0.1636537016182128</v>
      </c>
      <c r="F27" s="1">
        <f>Sintesi!$C$5</f>
        <v>0.1</v>
      </c>
      <c r="G27" s="1">
        <f>'Paste cell here'!AA27</f>
        <v>0.9</v>
      </c>
      <c r="H27" s="43">
        <f>'Paste cell here'!U27</f>
        <v>25.184408497683176</v>
      </c>
      <c r="I27" s="43">
        <f>'Paste cell here'!AE27</f>
        <v>245.68663337231794</v>
      </c>
      <c r="J27" s="44">
        <f>'Paste cell here'!U26+'Paste cell here'!AF27</f>
        <v>273.40621455905136</v>
      </c>
      <c r="K27" s="45">
        <f>'Paste cell here'!AG27</f>
        <v>239.85643802121524</v>
      </c>
      <c r="L27" s="41" t="str">
        <f t="shared" si="2"/>
        <v>NO</v>
      </c>
      <c r="M27" s="1">
        <f>(Sintesi!$C$29*F27*1000)</f>
        <v>23.3</v>
      </c>
      <c r="N27" s="1">
        <f>Sintesi!$C$30*F27*1000</f>
        <v>10.700000000000001</v>
      </c>
      <c r="O27" s="1">
        <f t="shared" si="0"/>
        <v>12.6</v>
      </c>
      <c r="P27" s="1">
        <f>Sintesi!$C$33*G27*1000</f>
        <v>231.3</v>
      </c>
      <c r="Q27" s="1">
        <f>Sintesi!$C$34*G27*1000</f>
        <v>115.20000000000002</v>
      </c>
      <c r="R27" s="1">
        <f t="shared" si="1"/>
        <v>116.1</v>
      </c>
    </row>
    <row r="28" spans="1:18">
      <c r="A28" s="41">
        <v>27</v>
      </c>
      <c r="B28" s="42">
        <f>DATE(Sintesi!$C$4-1,12,31)+A28</f>
        <v>44223</v>
      </c>
      <c r="C28" s="41">
        <f>'Paste cell here'!B28</f>
        <v>0</v>
      </c>
      <c r="D28" s="41">
        <f>'Paste cell here'!I28</f>
        <v>0</v>
      </c>
      <c r="E28" s="1">
        <f>'Paste cell here'!H28</f>
        <v>0.11404724606093056</v>
      </c>
      <c r="F28" s="1">
        <f>Sintesi!$C$5</f>
        <v>0.1</v>
      </c>
      <c r="G28" s="1">
        <f>'Paste cell here'!AA28</f>
        <v>0.9</v>
      </c>
      <c r="H28" s="43">
        <f>'Paste cell here'!U28</f>
        <v>24.177806532479437</v>
      </c>
      <c r="I28" s="43">
        <f>'Paste cell here'!AE28</f>
        <v>245.47962257624485</v>
      </c>
      <c r="J28" s="44">
        <f>'Paste cell here'!U27+'Paste cell here'!AF28</f>
        <v>270.87104187000108</v>
      </c>
      <c r="K28" s="45">
        <f>'Paste cell here'!AG28</f>
        <v>244.32548360237078</v>
      </c>
      <c r="L28" s="41" t="str">
        <f t="shared" si="2"/>
        <v>NO</v>
      </c>
      <c r="M28" s="1">
        <f>(Sintesi!$C$29*F28*1000)</f>
        <v>23.3</v>
      </c>
      <c r="N28" s="1">
        <f>Sintesi!$C$30*F28*1000</f>
        <v>10.700000000000001</v>
      </c>
      <c r="O28" s="1">
        <f t="shared" si="0"/>
        <v>12.6</v>
      </c>
      <c r="P28" s="1">
        <f>Sintesi!$C$33*G28*1000</f>
        <v>231.3</v>
      </c>
      <c r="Q28" s="1">
        <f>Sintesi!$C$34*G28*1000</f>
        <v>115.20000000000002</v>
      </c>
      <c r="R28" s="1">
        <f t="shared" si="1"/>
        <v>116.1</v>
      </c>
    </row>
    <row r="29" spans="1:18">
      <c r="A29" s="41">
        <v>28</v>
      </c>
      <c r="B29" s="42">
        <f>DATE(Sintesi!$C$4-1,12,31)+A29</f>
        <v>44224</v>
      </c>
      <c r="C29" s="41">
        <f>'Paste cell here'!B29</f>
        <v>0</v>
      </c>
      <c r="D29" s="41">
        <f>'Paste cell here'!I29</f>
        <v>0</v>
      </c>
      <c r="E29" s="1">
        <f>'Paste cell here'!H29</f>
        <v>0.16681077693248497</v>
      </c>
      <c r="F29" s="1">
        <f>Sintesi!$C$5</f>
        <v>0.1</v>
      </c>
      <c r="G29" s="1">
        <f>'Paste cell here'!AA29</f>
        <v>0.9</v>
      </c>
      <c r="H29" s="43">
        <f>'Paste cell here'!U29</f>
        <v>23.402575409754178</v>
      </c>
      <c r="I29" s="43">
        <f>'Paste cell here'!AE29</f>
        <v>245.21238556828837</v>
      </c>
      <c r="J29" s="44">
        <f>'Paste cell here'!U28+'Paste cell here'!AF29</f>
        <v>269.65742910872427</v>
      </c>
      <c r="K29" s="45">
        <f>'Paste cell here'!AG29</f>
        <v>239.57201710615246</v>
      </c>
      <c r="L29" s="41" t="str">
        <f t="shared" si="2"/>
        <v>NO</v>
      </c>
      <c r="M29" s="1">
        <f>(Sintesi!$C$29*F29*1000)</f>
        <v>23.3</v>
      </c>
      <c r="N29" s="1">
        <f>Sintesi!$C$30*F29*1000</f>
        <v>10.700000000000001</v>
      </c>
      <c r="O29" s="1">
        <f t="shared" si="0"/>
        <v>12.6</v>
      </c>
      <c r="P29" s="1">
        <f>Sintesi!$C$33*G29*1000</f>
        <v>231.3</v>
      </c>
      <c r="Q29" s="1">
        <f>Sintesi!$C$34*G29*1000</f>
        <v>115.20000000000002</v>
      </c>
      <c r="R29" s="1">
        <f t="shared" si="1"/>
        <v>116.1</v>
      </c>
    </row>
    <row r="30" spans="1:18">
      <c r="A30" s="41">
        <v>29</v>
      </c>
      <c r="B30" s="42">
        <f>DATE(Sintesi!$C$4-1,12,31)+A30</f>
        <v>44225</v>
      </c>
      <c r="C30" s="41">
        <f>'Paste cell here'!B30</f>
        <v>0</v>
      </c>
      <c r="D30" s="41">
        <f>'Paste cell here'!I30</f>
        <v>0</v>
      </c>
      <c r="E30" s="1">
        <f>'Paste cell here'!H30</f>
        <v>0.17345607224717852</v>
      </c>
      <c r="F30" s="1">
        <f>Sintesi!$C$5</f>
        <v>0.1</v>
      </c>
      <c r="G30" s="1">
        <f>'Paste cell here'!AA30</f>
        <v>0.9</v>
      </c>
      <c r="H30" s="43">
        <f>'Paste cell here'!U30</f>
        <v>22.689386879996956</v>
      </c>
      <c r="I30" s="43">
        <f>'Paste cell here'!AE30</f>
        <v>244.91407408884581</v>
      </c>
      <c r="J30" s="44">
        <f>'Paste cell here'!U29+'Paste cell here'!AF30</f>
        <v>268.61496097804252</v>
      </c>
      <c r="K30" s="45">
        <f>'Paste cell here'!AG30</f>
        <v>238.97334245125168</v>
      </c>
      <c r="L30" s="41" t="str">
        <f t="shared" si="2"/>
        <v>NO</v>
      </c>
      <c r="M30" s="1">
        <f>(Sintesi!$C$29*F30*1000)</f>
        <v>23.3</v>
      </c>
      <c r="N30" s="1">
        <f>Sintesi!$C$30*F30*1000</f>
        <v>10.700000000000001</v>
      </c>
      <c r="O30" s="1">
        <f t="shared" si="0"/>
        <v>12.6</v>
      </c>
      <c r="P30" s="1">
        <f>Sintesi!$C$33*G30*1000</f>
        <v>231.3</v>
      </c>
      <c r="Q30" s="1">
        <f>Sintesi!$C$34*G30*1000</f>
        <v>115.20000000000002</v>
      </c>
      <c r="R30" s="1">
        <f t="shared" si="1"/>
        <v>116.1</v>
      </c>
    </row>
    <row r="31" spans="1:18">
      <c r="A31" s="41">
        <v>30</v>
      </c>
      <c r="B31" s="42">
        <f>DATE(Sintesi!$C$4-1,12,31)+A31</f>
        <v>44226</v>
      </c>
      <c r="C31" s="41">
        <f>'Paste cell here'!B31</f>
        <v>3.0399999999999552</v>
      </c>
      <c r="D31" s="41">
        <f>'Paste cell here'!I31</f>
        <v>0</v>
      </c>
      <c r="E31" s="1">
        <f>'Paste cell here'!H31</f>
        <v>0.17446173439134086</v>
      </c>
      <c r="F31" s="1">
        <f>Sintesi!$C$5</f>
        <v>0.1</v>
      </c>
      <c r="G31" s="1">
        <f>'Paste cell here'!AA31</f>
        <v>0.9</v>
      </c>
      <c r="H31" s="43">
        <f>'Paste cell here'!U31</f>
        <v>24.697643140746845</v>
      </c>
      <c r="I31" s="43">
        <f>'Paste cell here'!AE31</f>
        <v>244.65376895101886</v>
      </c>
      <c r="J31" s="44">
        <f>'Paste cell here'!U30+'Paste cell here'!AF31</f>
        <v>267.6034609688428</v>
      </c>
      <c r="K31" s="45">
        <f>'Paste cell here'!AG31</f>
        <v>238.8827423486841</v>
      </c>
      <c r="L31" s="41" t="str">
        <f t="shared" si="2"/>
        <v>NO</v>
      </c>
      <c r="M31" s="1">
        <f>(Sintesi!$C$29*F31*1000)</f>
        <v>23.3</v>
      </c>
      <c r="N31" s="1">
        <f>Sintesi!$C$30*F31*1000</f>
        <v>10.700000000000001</v>
      </c>
      <c r="O31" s="1">
        <f t="shared" si="0"/>
        <v>12.6</v>
      </c>
      <c r="P31" s="1">
        <f>Sintesi!$C$33*G31*1000</f>
        <v>231.3</v>
      </c>
      <c r="Q31" s="1">
        <f>Sintesi!$C$34*G31*1000</f>
        <v>115.20000000000002</v>
      </c>
      <c r="R31" s="1">
        <f t="shared" si="1"/>
        <v>116.1</v>
      </c>
    </row>
    <row r="32" spans="1:18">
      <c r="A32" s="41">
        <v>31</v>
      </c>
      <c r="B32" s="42">
        <f>DATE(Sintesi!$C$4-1,12,31)+A32</f>
        <v>44227</v>
      </c>
      <c r="C32" s="41">
        <f>'Paste cell here'!B32</f>
        <v>8.1599999999999113</v>
      </c>
      <c r="D32" s="41">
        <f>'Paste cell here'!I32</f>
        <v>0</v>
      </c>
      <c r="E32" s="1">
        <f>'Paste cell here'!H32</f>
        <v>0.16301024486413565</v>
      </c>
      <c r="F32" s="1">
        <f>Sintesi!$C$5</f>
        <v>0.1</v>
      </c>
      <c r="G32" s="1">
        <f>'Paste cell here'!AA32</f>
        <v>0.9</v>
      </c>
      <c r="H32" s="43">
        <f>'Paste cell here'!U32</f>
        <v>29.952822706460811</v>
      </c>
      <c r="I32" s="43">
        <f>'Paste cell here'!AE32</f>
        <v>245.02968451630602</v>
      </c>
      <c r="J32" s="44">
        <f>'Paste cell here'!U31+'Paste cell here'!AF32</f>
        <v>269.35141209176572</v>
      </c>
      <c r="K32" s="45">
        <f>'Paste cell here'!AG32</f>
        <v>239.91440704019004</v>
      </c>
      <c r="L32" s="41" t="str">
        <f t="shared" si="2"/>
        <v>NO</v>
      </c>
      <c r="M32" s="1">
        <f>(Sintesi!$C$29*F32*1000)</f>
        <v>23.3</v>
      </c>
      <c r="N32" s="1">
        <f>Sintesi!$C$30*F32*1000</f>
        <v>10.700000000000001</v>
      </c>
      <c r="O32" s="1">
        <f t="shared" si="0"/>
        <v>12.6</v>
      </c>
      <c r="P32" s="1">
        <f>Sintesi!$C$33*G32*1000</f>
        <v>231.3</v>
      </c>
      <c r="Q32" s="1">
        <f>Sintesi!$C$34*G32*1000</f>
        <v>115.20000000000002</v>
      </c>
      <c r="R32" s="1">
        <f t="shared" si="1"/>
        <v>116.1</v>
      </c>
    </row>
    <row r="33" spans="1:18">
      <c r="A33" s="41">
        <v>32</v>
      </c>
      <c r="B33" s="42">
        <f>DATE(Sintesi!$C$4-1,12,31)+A33</f>
        <v>44228</v>
      </c>
      <c r="C33" s="41">
        <f>'Paste cell here'!B33</f>
        <v>0</v>
      </c>
      <c r="D33" s="41">
        <f>'Paste cell here'!I33</f>
        <v>0</v>
      </c>
      <c r="E33" s="1">
        <f>'Paste cell here'!H33</f>
        <v>0.16685294957702015</v>
      </c>
      <c r="F33" s="1">
        <f>Sintesi!$C$5</f>
        <v>0.1</v>
      </c>
      <c r="G33" s="1">
        <f>'Paste cell here'!AA33</f>
        <v>0.9</v>
      </c>
      <c r="H33" s="43">
        <f>'Paste cell here'!U33</f>
        <v>28.031113246266614</v>
      </c>
      <c r="I33" s="43">
        <f>'Paste cell here'!AE33</f>
        <v>245.8506419219926</v>
      </c>
      <c r="J33" s="44">
        <f>'Paste cell here'!U32+'Paste cell here'!AF33</f>
        <v>274.98250722276686</v>
      </c>
      <c r="K33" s="45">
        <f>'Paste cell here'!AG33</f>
        <v>239.56821777260626</v>
      </c>
      <c r="L33" s="41" t="str">
        <f t="shared" si="2"/>
        <v>NO</v>
      </c>
      <c r="M33" s="1">
        <f>(Sintesi!$C$29*F33*1000)</f>
        <v>23.3</v>
      </c>
      <c r="N33" s="1">
        <f>Sintesi!$C$30*F33*1000</f>
        <v>10.700000000000001</v>
      </c>
      <c r="O33" s="1">
        <f t="shared" si="0"/>
        <v>12.6</v>
      </c>
      <c r="P33" s="1">
        <f>Sintesi!$C$33*G33*1000</f>
        <v>231.3</v>
      </c>
      <c r="Q33" s="1">
        <f>Sintesi!$C$34*G33*1000</f>
        <v>115.20000000000002</v>
      </c>
      <c r="R33" s="1">
        <f t="shared" si="1"/>
        <v>116.1</v>
      </c>
    </row>
    <row r="34" spans="1:18">
      <c r="A34" s="41">
        <v>33</v>
      </c>
      <c r="B34" s="42">
        <f>DATE(Sintesi!$C$4-1,12,31)+A34</f>
        <v>44229</v>
      </c>
      <c r="C34" s="41">
        <f>'Paste cell here'!B34</f>
        <v>0</v>
      </c>
      <c r="D34" s="41">
        <f>'Paste cell here'!I34</f>
        <v>0</v>
      </c>
      <c r="E34" s="1">
        <f>'Paste cell here'!H34</f>
        <v>0.1712664450106241</v>
      </c>
      <c r="F34" s="1">
        <f>Sintesi!$C$5</f>
        <v>0.1</v>
      </c>
      <c r="G34" s="1">
        <f>'Paste cell here'!AA34</f>
        <v>0.9</v>
      </c>
      <c r="H34" s="43">
        <f>'Paste cell here'!U34</f>
        <v>26.865725104426463</v>
      </c>
      <c r="I34" s="43">
        <f>'Paste cell here'!AE34</f>
        <v>246.09180995283126</v>
      </c>
      <c r="J34" s="44">
        <f>'Paste cell here'!U33+'Paste cell here'!AF34</f>
        <v>273.88175516825925</v>
      </c>
      <c r="K34" s="45">
        <f>'Paste cell here'!AG34</f>
        <v>239.17060596899287</v>
      </c>
      <c r="L34" s="41" t="str">
        <f t="shared" si="2"/>
        <v>NO</v>
      </c>
      <c r="M34" s="1">
        <f>(Sintesi!$C$29*F34*1000)</f>
        <v>23.3</v>
      </c>
      <c r="N34" s="1">
        <f>Sintesi!$C$30*F34*1000</f>
        <v>10.700000000000001</v>
      </c>
      <c r="O34" s="1">
        <f t="shared" si="0"/>
        <v>12.6</v>
      </c>
      <c r="P34" s="1">
        <f>Sintesi!$C$33*G34*1000</f>
        <v>231.3</v>
      </c>
      <c r="Q34" s="1">
        <f>Sintesi!$C$34*G34*1000</f>
        <v>115.20000000000002</v>
      </c>
      <c r="R34" s="1">
        <f t="shared" si="1"/>
        <v>116.1</v>
      </c>
    </row>
    <row r="35" spans="1:18">
      <c r="A35" s="41">
        <v>34</v>
      </c>
      <c r="B35" s="42">
        <f>DATE(Sintesi!$C$4-1,12,31)+A35</f>
        <v>44230</v>
      </c>
      <c r="C35" s="41">
        <f>'Paste cell here'!B35</f>
        <v>6.3999999999999257</v>
      </c>
      <c r="D35" s="41">
        <f>'Paste cell here'!I35</f>
        <v>0</v>
      </c>
      <c r="E35" s="1">
        <f>'Paste cell here'!H35</f>
        <v>0.1787290711097643</v>
      </c>
      <c r="F35" s="1">
        <f>Sintesi!$C$5</f>
        <v>0.1</v>
      </c>
      <c r="G35" s="1">
        <f>'Paste cell here'!AA35</f>
        <v>0.9</v>
      </c>
      <c r="H35" s="43">
        <f>'Paste cell here'!U35</f>
        <v>30.822243227984114</v>
      </c>
      <c r="I35" s="43">
        <f>'Paste cell here'!AE35</f>
        <v>247.01013678444201</v>
      </c>
      <c r="J35" s="44">
        <f>'Paste cell here'!U34+'Paste cell here'!AF35</f>
        <v>272.9575350572577</v>
      </c>
      <c r="K35" s="45">
        <f>'Paste cell here'!AG35</f>
        <v>238.49829798372133</v>
      </c>
      <c r="L35" s="41" t="str">
        <f t="shared" si="2"/>
        <v>NO</v>
      </c>
      <c r="M35" s="1">
        <f>(Sintesi!$C$29*F35*1000)</f>
        <v>23.3</v>
      </c>
      <c r="N35" s="1">
        <f>Sintesi!$C$30*F35*1000</f>
        <v>10.700000000000001</v>
      </c>
      <c r="O35" s="1">
        <f t="shared" si="0"/>
        <v>12.6</v>
      </c>
      <c r="P35" s="1">
        <f>Sintesi!$C$33*G35*1000</f>
        <v>231.3</v>
      </c>
      <c r="Q35" s="1">
        <f>Sintesi!$C$34*G35*1000</f>
        <v>115.20000000000002</v>
      </c>
      <c r="R35" s="1">
        <f t="shared" si="1"/>
        <v>116.1</v>
      </c>
    </row>
    <row r="36" spans="1:18">
      <c r="A36" s="41">
        <v>35</v>
      </c>
      <c r="B36" s="42">
        <f>DATE(Sintesi!$C$4-1,12,31)+A36</f>
        <v>44231</v>
      </c>
      <c r="C36" s="41">
        <f>'Paste cell here'!B36</f>
        <v>1.1199999999999875</v>
      </c>
      <c r="D36" s="41">
        <f>'Paste cell here'!I36</f>
        <v>0</v>
      </c>
      <c r="E36" s="1">
        <f>'Paste cell here'!H36</f>
        <v>0.18081969488685867</v>
      </c>
      <c r="F36" s="1">
        <f>Sintesi!$C$5</f>
        <v>0.1</v>
      </c>
      <c r="G36" s="1">
        <f>'Paste cell here'!AA36</f>
        <v>0.9</v>
      </c>
      <c r="H36" s="43">
        <f>'Paste cell here'!U36</f>
        <v>29.433524235625985</v>
      </c>
      <c r="I36" s="43">
        <f>'Paste cell here'!AE36</f>
        <v>248.43109119249706</v>
      </c>
      <c r="J36" s="44">
        <f>'Paste cell here'!U35+'Paste cell here'!AF36</f>
        <v>277.83238001242614</v>
      </c>
      <c r="K36" s="45">
        <f>'Paste cell here'!AG36</f>
        <v>238.30995368764292</v>
      </c>
      <c r="L36" s="41" t="str">
        <f t="shared" si="2"/>
        <v>NO</v>
      </c>
      <c r="M36" s="1">
        <f>(Sintesi!$C$29*F36*1000)</f>
        <v>23.3</v>
      </c>
      <c r="N36" s="1">
        <f>Sintesi!$C$30*F36*1000</f>
        <v>10.700000000000001</v>
      </c>
      <c r="O36" s="1">
        <f t="shared" si="0"/>
        <v>12.6</v>
      </c>
      <c r="P36" s="1">
        <f>Sintesi!$C$33*G36*1000</f>
        <v>231.3</v>
      </c>
      <c r="Q36" s="1">
        <f>Sintesi!$C$34*G36*1000</f>
        <v>115.20000000000002</v>
      </c>
      <c r="R36" s="1">
        <f t="shared" si="1"/>
        <v>116.1</v>
      </c>
    </row>
    <row r="37" spans="1:18">
      <c r="A37" s="41">
        <v>36</v>
      </c>
      <c r="B37" s="42">
        <f>DATE(Sintesi!$C$4-1,12,31)+A37</f>
        <v>44232</v>
      </c>
      <c r="C37" s="41">
        <f>'Paste cell here'!B37</f>
        <v>2.0799999999999925</v>
      </c>
      <c r="D37" s="41">
        <f>'Paste cell here'!I37</f>
        <v>0</v>
      </c>
      <c r="E37" s="1">
        <f>'Paste cell here'!H37</f>
        <v>0.17379977223459953</v>
      </c>
      <c r="F37" s="1">
        <f>Sintesi!$C$5</f>
        <v>0.1</v>
      </c>
      <c r="G37" s="1">
        <f>'Paste cell here'!AA37</f>
        <v>0.9</v>
      </c>
      <c r="H37" s="43">
        <f>'Paste cell here'!U37</f>
        <v>29.484307280099181</v>
      </c>
      <c r="I37" s="43">
        <f>'Paste cell here'!AE37</f>
        <v>249.42542081988785</v>
      </c>
      <c r="J37" s="44">
        <f>'Paste cell here'!U36+'Paste cell here'!AF37</f>
        <v>277.8646154281231</v>
      </c>
      <c r="K37" s="45">
        <f>'Paste cell here'!AG37</f>
        <v>238.94237851938493</v>
      </c>
      <c r="L37" s="41" t="str">
        <f t="shared" si="2"/>
        <v>NO</v>
      </c>
      <c r="M37" s="1">
        <f>(Sintesi!$C$29*F37*1000)</f>
        <v>23.3</v>
      </c>
      <c r="N37" s="1">
        <f>Sintesi!$C$30*F37*1000</f>
        <v>10.700000000000001</v>
      </c>
      <c r="O37" s="1">
        <f t="shared" si="0"/>
        <v>12.6</v>
      </c>
      <c r="P37" s="1">
        <f>Sintesi!$C$33*G37*1000</f>
        <v>231.3</v>
      </c>
      <c r="Q37" s="1">
        <f>Sintesi!$C$34*G37*1000</f>
        <v>115.20000000000002</v>
      </c>
      <c r="R37" s="1">
        <f t="shared" si="1"/>
        <v>116.1</v>
      </c>
    </row>
    <row r="38" spans="1:18">
      <c r="A38" s="41">
        <v>37</v>
      </c>
      <c r="B38" s="42">
        <f>DATE(Sintesi!$C$4-1,12,31)+A38</f>
        <v>44233</v>
      </c>
      <c r="C38" s="41">
        <f>'Paste cell here'!B38</f>
        <v>0</v>
      </c>
      <c r="D38" s="41">
        <f>'Paste cell here'!I38</f>
        <v>0</v>
      </c>
      <c r="E38" s="1">
        <f>'Paste cell here'!H38</f>
        <v>0.17698487274061525</v>
      </c>
      <c r="F38" s="1">
        <f>Sintesi!$C$5</f>
        <v>0.1</v>
      </c>
      <c r="G38" s="1">
        <f>'Paste cell here'!AA38</f>
        <v>0.9</v>
      </c>
      <c r="H38" s="43">
        <f>'Paste cell here'!U38</f>
        <v>27.834470128129439</v>
      </c>
      <c r="I38" s="43">
        <f>'Paste cell here'!AE38</f>
        <v>249.99606189425441</v>
      </c>
      <c r="J38" s="44">
        <f>'Paste cell here'!U37+'Paste cell here'!AF38</f>
        <v>278.90972809998703</v>
      </c>
      <c r="K38" s="45">
        <f>'Paste cell here'!AG38</f>
        <v>238.65543281479799</v>
      </c>
      <c r="L38" s="41" t="str">
        <f t="shared" si="2"/>
        <v>NO</v>
      </c>
      <c r="M38" s="1">
        <f>(Sintesi!$C$29*F38*1000)</f>
        <v>23.3</v>
      </c>
      <c r="N38" s="1">
        <f>Sintesi!$C$30*F38*1000</f>
        <v>10.700000000000001</v>
      </c>
      <c r="O38" s="1">
        <f t="shared" si="0"/>
        <v>12.6</v>
      </c>
      <c r="P38" s="1">
        <f>Sintesi!$C$33*G38*1000</f>
        <v>231.3</v>
      </c>
      <c r="Q38" s="1">
        <f>Sintesi!$C$34*G38*1000</f>
        <v>115.20000000000002</v>
      </c>
      <c r="R38" s="1">
        <f t="shared" si="1"/>
        <v>116.1</v>
      </c>
    </row>
    <row r="39" spans="1:18">
      <c r="A39" s="41">
        <v>38</v>
      </c>
      <c r="B39" s="42">
        <f>DATE(Sintesi!$C$4-1,12,31)+A39</f>
        <v>44234</v>
      </c>
      <c r="C39" s="41">
        <f>'Paste cell here'!B39</f>
        <v>31.919999999999625</v>
      </c>
      <c r="D39" s="41">
        <f>'Paste cell here'!I39</f>
        <v>0</v>
      </c>
      <c r="E39" s="1">
        <f>'Paste cell here'!H39</f>
        <v>0.17605680746492836</v>
      </c>
      <c r="F39" s="1">
        <f>Sintesi!$C$5</f>
        <v>0.1</v>
      </c>
      <c r="G39" s="1">
        <f>'Paste cell here'!AA39</f>
        <v>0.9</v>
      </c>
      <c r="H39" s="43">
        <f>'Paste cell here'!U39</f>
        <v>34.982122551032504</v>
      </c>
      <c r="I39" s="43">
        <f>'Paste cell here'!AE39</f>
        <v>254.57544176241967</v>
      </c>
      <c r="J39" s="44">
        <f>'Paste cell here'!U38+'Paste cell here'!AF39</f>
        <v>277.83053202238386</v>
      </c>
      <c r="K39" s="45">
        <f>'Paste cell here'!AG39</f>
        <v>238.73904221548463</v>
      </c>
      <c r="L39" s="41" t="str">
        <f t="shared" si="2"/>
        <v>NO</v>
      </c>
      <c r="M39" s="1">
        <f>(Sintesi!$C$29*F39*1000)</f>
        <v>23.3</v>
      </c>
      <c r="N39" s="1">
        <f>Sintesi!$C$30*F39*1000</f>
        <v>10.700000000000001</v>
      </c>
      <c r="O39" s="1">
        <f t="shared" si="0"/>
        <v>12.6</v>
      </c>
      <c r="P39" s="1">
        <f>Sintesi!$C$33*G39*1000</f>
        <v>231.3</v>
      </c>
      <c r="Q39" s="1">
        <f>Sintesi!$C$34*G39*1000</f>
        <v>115.20000000000002</v>
      </c>
      <c r="R39" s="1">
        <f t="shared" si="1"/>
        <v>116.1</v>
      </c>
    </row>
    <row r="40" spans="1:18">
      <c r="A40" s="41">
        <v>39</v>
      </c>
      <c r="B40" s="42">
        <f>DATE(Sintesi!$C$4-1,12,31)+A40</f>
        <v>44235</v>
      </c>
      <c r="C40" s="41">
        <f>'Paste cell here'!B40</f>
        <v>2.4399999999999893</v>
      </c>
      <c r="D40" s="41">
        <f>'Paste cell here'!I40</f>
        <v>0</v>
      </c>
      <c r="E40" s="1">
        <f>'Paste cell here'!H40</f>
        <v>0.18010727574154523</v>
      </c>
      <c r="F40" s="1">
        <f>Sintesi!$C$5</f>
        <v>0.1</v>
      </c>
      <c r="G40" s="1">
        <f>'Paste cell here'!AA40</f>
        <v>0.9</v>
      </c>
      <c r="H40" s="43">
        <f>'Paste cell here'!U40</f>
        <v>31.220365607659204</v>
      </c>
      <c r="I40" s="43">
        <f>'Paste cell here'!AE40</f>
        <v>258.79306534329112</v>
      </c>
      <c r="J40" s="44">
        <f>'Paste cell here'!U39+'Paste cell here'!AF40</f>
        <v>289.55756431345213</v>
      </c>
      <c r="K40" s="45">
        <f>'Paste cell here'!AG40</f>
        <v>238.37413552844419</v>
      </c>
      <c r="L40" s="41" t="str">
        <f t="shared" si="2"/>
        <v>NO</v>
      </c>
      <c r="M40" s="1">
        <f>(Sintesi!$C$29*F40*1000)</f>
        <v>23.3</v>
      </c>
      <c r="N40" s="1">
        <f>Sintesi!$C$30*F40*1000</f>
        <v>10.700000000000001</v>
      </c>
      <c r="O40" s="1">
        <f t="shared" si="0"/>
        <v>12.6</v>
      </c>
      <c r="P40" s="1">
        <f>Sintesi!$C$33*G40*1000</f>
        <v>231.3</v>
      </c>
      <c r="Q40" s="1">
        <f>Sintesi!$C$34*G40*1000</f>
        <v>115.20000000000002</v>
      </c>
      <c r="R40" s="1">
        <f t="shared" si="1"/>
        <v>116.1</v>
      </c>
    </row>
    <row r="41" spans="1:18">
      <c r="A41" s="41">
        <v>40</v>
      </c>
      <c r="B41" s="42">
        <f>DATE(Sintesi!$C$4-1,12,31)+A41</f>
        <v>44236</v>
      </c>
      <c r="C41" s="41">
        <f>'Paste cell here'!B41</f>
        <v>2.3599999999999763</v>
      </c>
      <c r="D41" s="41">
        <f>'Paste cell here'!I41</f>
        <v>0</v>
      </c>
      <c r="E41" s="1">
        <f>'Paste cell here'!H41</f>
        <v>0.14905712677061664</v>
      </c>
      <c r="F41" s="1">
        <f>Sintesi!$C$5</f>
        <v>0.1</v>
      </c>
      <c r="G41" s="1">
        <f>'Paste cell here'!AA41</f>
        <v>0.9</v>
      </c>
      <c r="H41" s="43">
        <f>'Paste cell here'!U41</f>
        <v>30.386013965743764</v>
      </c>
      <c r="I41" s="43">
        <f>'Paste cell here'!AE41</f>
        <v>260.37975828297925</v>
      </c>
      <c r="J41" s="44">
        <f>'Paste cell here'!U40+'Paste cell here'!AF41</f>
        <v>290.01343095095035</v>
      </c>
      <c r="K41" s="45">
        <f>'Paste cell here'!AG41</f>
        <v>241.17144344923514</v>
      </c>
      <c r="L41" s="41" t="str">
        <f t="shared" si="2"/>
        <v>NO</v>
      </c>
      <c r="M41" s="1">
        <f>(Sintesi!$C$29*F41*1000)</f>
        <v>23.3</v>
      </c>
      <c r="N41" s="1">
        <f>Sintesi!$C$30*F41*1000</f>
        <v>10.700000000000001</v>
      </c>
      <c r="O41" s="1">
        <f t="shared" si="0"/>
        <v>12.6</v>
      </c>
      <c r="P41" s="1">
        <f>Sintesi!$C$33*G41*1000</f>
        <v>231.3</v>
      </c>
      <c r="Q41" s="1">
        <f>Sintesi!$C$34*G41*1000</f>
        <v>115.20000000000002</v>
      </c>
      <c r="R41" s="1">
        <f t="shared" si="1"/>
        <v>116.1</v>
      </c>
    </row>
    <row r="42" spans="1:18">
      <c r="A42" s="41">
        <v>41</v>
      </c>
      <c r="B42" s="42">
        <f>DATE(Sintesi!$C$4-1,12,31)+A42</f>
        <v>44237</v>
      </c>
      <c r="C42" s="41">
        <f>'Paste cell here'!B42</f>
        <v>15.439999999999788</v>
      </c>
      <c r="D42" s="41">
        <f>'Paste cell here'!I42</f>
        <v>0</v>
      </c>
      <c r="E42" s="1">
        <f>'Paste cell here'!H42</f>
        <v>0.16776642975749451</v>
      </c>
      <c r="F42" s="1">
        <f>Sintesi!$C$5</f>
        <v>0.1</v>
      </c>
      <c r="G42" s="1">
        <f>'Paste cell here'!AA42</f>
        <v>0.9</v>
      </c>
      <c r="H42" s="43">
        <f>'Paste cell here'!U42</f>
        <v>34.208852570730045</v>
      </c>
      <c r="I42" s="43">
        <f>'Paste cell here'!AE42</f>
        <v>264.75426758479023</v>
      </c>
      <c r="J42" s="44">
        <f>'Paste cell here'!U41+'Paste cell here'!AF42</f>
        <v>290.76577224872301</v>
      </c>
      <c r="K42" s="45">
        <f>'Paste cell here'!AG42</f>
        <v>239.48592234314734</v>
      </c>
      <c r="L42" s="41" t="str">
        <f t="shared" si="2"/>
        <v>NO</v>
      </c>
      <c r="M42" s="1">
        <f>(Sintesi!$C$29*F42*1000)</f>
        <v>23.3</v>
      </c>
      <c r="N42" s="1">
        <f>Sintesi!$C$30*F42*1000</f>
        <v>10.700000000000001</v>
      </c>
      <c r="O42" s="1">
        <f t="shared" si="0"/>
        <v>12.6</v>
      </c>
      <c r="P42" s="1">
        <f>Sintesi!$C$33*G42*1000</f>
        <v>231.3</v>
      </c>
      <c r="Q42" s="1">
        <f>Sintesi!$C$34*G42*1000</f>
        <v>115.20000000000002</v>
      </c>
      <c r="R42" s="1">
        <f t="shared" si="1"/>
        <v>116.1</v>
      </c>
    </row>
    <row r="43" spans="1:18">
      <c r="A43" s="41">
        <v>42</v>
      </c>
      <c r="B43" s="42">
        <f>DATE(Sintesi!$C$4-1,12,31)+A43</f>
        <v>44238</v>
      </c>
      <c r="C43" s="41">
        <f>'Paste cell here'!B43</f>
        <v>0.15999999999999945</v>
      </c>
      <c r="D43" s="41">
        <f>'Paste cell here'!I43</f>
        <v>0</v>
      </c>
      <c r="E43" s="1">
        <f>'Paste cell here'!H43</f>
        <v>0.17671107609186629</v>
      </c>
      <c r="F43" s="1">
        <f>Sintesi!$C$5</f>
        <v>0.1</v>
      </c>
      <c r="G43" s="1">
        <f>'Paste cell here'!AA43</f>
        <v>0.9</v>
      </c>
      <c r="H43" s="43">
        <f>'Paste cell here'!U43</f>
        <v>29.685102214029762</v>
      </c>
      <c r="I43" s="43">
        <f>'Paste cell here'!AE43</f>
        <v>267.12622935919211</v>
      </c>
      <c r="J43" s="44">
        <f>'Paste cell here'!U42+'Paste cell here'!AF43</f>
        <v>298.9631201555203</v>
      </c>
      <c r="K43" s="45">
        <f>'Paste cell here'!AG43</f>
        <v>238.68009915488378</v>
      </c>
      <c r="L43" s="41" t="str">
        <f t="shared" si="2"/>
        <v>NO</v>
      </c>
      <c r="M43" s="1">
        <f>(Sintesi!$C$29*F43*1000)</f>
        <v>23.3</v>
      </c>
      <c r="N43" s="1">
        <f>Sintesi!$C$30*F43*1000</f>
        <v>10.700000000000001</v>
      </c>
      <c r="O43" s="1">
        <f t="shared" si="0"/>
        <v>12.6</v>
      </c>
      <c r="P43" s="1">
        <f>Sintesi!$C$33*G43*1000</f>
        <v>231.3</v>
      </c>
      <c r="Q43" s="1">
        <f>Sintesi!$C$34*G43*1000</f>
        <v>115.20000000000002</v>
      </c>
      <c r="R43" s="1">
        <f t="shared" si="1"/>
        <v>116.1</v>
      </c>
    </row>
    <row r="44" spans="1:18">
      <c r="A44" s="41">
        <v>43</v>
      </c>
      <c r="B44" s="42">
        <f>DATE(Sintesi!$C$4-1,12,31)+A44</f>
        <v>44239</v>
      </c>
      <c r="C44" s="41">
        <f>'Paste cell here'!B44</f>
        <v>0</v>
      </c>
      <c r="D44" s="41">
        <f>'Paste cell here'!I44</f>
        <v>0</v>
      </c>
      <c r="E44" s="1">
        <f>'Paste cell here'!H44</f>
        <v>0.15239475304306443</v>
      </c>
      <c r="F44" s="1">
        <f>Sintesi!$C$5</f>
        <v>0.1</v>
      </c>
      <c r="G44" s="1">
        <f>'Paste cell here'!AA44</f>
        <v>0.9</v>
      </c>
      <c r="H44" s="43">
        <f>'Paste cell here'!U44</f>
        <v>27.431018846761209</v>
      </c>
      <c r="I44" s="43">
        <f>'Paste cell here'!AE44</f>
        <v>266.99110693535914</v>
      </c>
      <c r="J44" s="44">
        <f>'Paste cell here'!U43+'Paste cell here'!AF44</f>
        <v>296.81133157322188</v>
      </c>
      <c r="K44" s="45">
        <f>'Paste cell here'!AG44</f>
        <v>240.87075669835036</v>
      </c>
      <c r="L44" s="41" t="str">
        <f t="shared" si="2"/>
        <v>NO</v>
      </c>
      <c r="M44" s="1">
        <f>(Sintesi!$C$29*F44*1000)</f>
        <v>23.3</v>
      </c>
      <c r="N44" s="1">
        <f>Sintesi!$C$30*F44*1000</f>
        <v>10.700000000000001</v>
      </c>
      <c r="O44" s="1">
        <f t="shared" si="0"/>
        <v>12.6</v>
      </c>
      <c r="P44" s="1">
        <f>Sintesi!$C$33*G44*1000</f>
        <v>231.3</v>
      </c>
      <c r="Q44" s="1">
        <f>Sintesi!$C$34*G44*1000</f>
        <v>115.20000000000002</v>
      </c>
      <c r="R44" s="1">
        <f t="shared" si="1"/>
        <v>116.1</v>
      </c>
    </row>
    <row r="45" spans="1:18">
      <c r="A45" s="41">
        <v>44</v>
      </c>
      <c r="B45" s="42">
        <f>DATE(Sintesi!$C$4-1,12,31)+A45</f>
        <v>44240</v>
      </c>
      <c r="C45" s="41">
        <f>'Paste cell here'!B45</f>
        <v>0</v>
      </c>
      <c r="D45" s="41">
        <f>'Paste cell here'!I45</f>
        <v>0</v>
      </c>
      <c r="E45" s="1">
        <f>'Paste cell here'!H45</f>
        <v>0.15086261172693902</v>
      </c>
      <c r="F45" s="1">
        <f>Sintesi!$C$5</f>
        <v>0.1</v>
      </c>
      <c r="G45" s="1">
        <f>'Paste cell here'!AA45</f>
        <v>0.9</v>
      </c>
      <c r="H45" s="43">
        <f>'Paste cell here'!U45</f>
        <v>25.934607619455782</v>
      </c>
      <c r="I45" s="43">
        <f>'Paste cell here'!AE45</f>
        <v>266.31508316422594</v>
      </c>
      <c r="J45" s="44">
        <f>'Paste cell here'!U44+'Paste cell here'!AF45</f>
        <v>294.42212578212036</v>
      </c>
      <c r="K45" s="45">
        <f>'Paste cell here'!AG45</f>
        <v>241.00878730952007</v>
      </c>
      <c r="L45" s="41" t="str">
        <f t="shared" si="2"/>
        <v>NO</v>
      </c>
      <c r="M45" s="1">
        <f>(Sintesi!$C$29*F45*1000)</f>
        <v>23.3</v>
      </c>
      <c r="N45" s="1">
        <f>Sintesi!$C$30*F45*1000</f>
        <v>10.700000000000001</v>
      </c>
      <c r="O45" s="1">
        <f t="shared" si="0"/>
        <v>12.6</v>
      </c>
      <c r="P45" s="1">
        <f>Sintesi!$C$33*G45*1000</f>
        <v>231.3</v>
      </c>
      <c r="Q45" s="1">
        <f>Sintesi!$C$34*G45*1000</f>
        <v>115.20000000000002</v>
      </c>
      <c r="R45" s="1">
        <f t="shared" si="1"/>
        <v>116.1</v>
      </c>
    </row>
    <row r="46" spans="1:18">
      <c r="A46" s="41">
        <v>45</v>
      </c>
      <c r="B46" s="42">
        <f>DATE(Sintesi!$C$4-1,12,31)+A46</f>
        <v>44241</v>
      </c>
      <c r="C46" s="41">
        <f>'Paste cell here'!B46</f>
        <v>0</v>
      </c>
      <c r="D46" s="41">
        <f>'Paste cell here'!I46</f>
        <v>0</v>
      </c>
      <c r="E46" s="1">
        <f>'Paste cell here'!H46</f>
        <v>0.1584977385260927</v>
      </c>
      <c r="F46" s="1">
        <f>Sintesi!$C$5</f>
        <v>0.1</v>
      </c>
      <c r="G46" s="1">
        <f>'Paste cell here'!AA46</f>
        <v>0.9</v>
      </c>
      <c r="H46" s="43">
        <f>'Paste cell here'!U46</f>
        <v>24.604396095686212</v>
      </c>
      <c r="I46" s="43">
        <f>'Paste cell here'!AE46</f>
        <v>265.46094704438138</v>
      </c>
      <c r="J46" s="44">
        <f>'Paste cell here'!U45+'Paste cell here'!AF46</f>
        <v>292.24969078368173</v>
      </c>
      <c r="K46" s="45">
        <f>'Paste cell here'!AG46</f>
        <v>240.32093873618433</v>
      </c>
      <c r="L46" s="41" t="str">
        <f t="shared" si="2"/>
        <v>NO</v>
      </c>
      <c r="M46" s="1">
        <f>(Sintesi!$C$29*F46*1000)</f>
        <v>23.3</v>
      </c>
      <c r="N46" s="1">
        <f>Sintesi!$C$30*F46*1000</f>
        <v>10.700000000000001</v>
      </c>
      <c r="O46" s="1">
        <f t="shared" si="0"/>
        <v>12.6</v>
      </c>
      <c r="P46" s="1">
        <f>Sintesi!$C$33*G46*1000</f>
        <v>231.3</v>
      </c>
      <c r="Q46" s="1">
        <f>Sintesi!$C$34*G46*1000</f>
        <v>115.20000000000002</v>
      </c>
      <c r="R46" s="1">
        <f t="shared" si="1"/>
        <v>116.1</v>
      </c>
    </row>
    <row r="47" spans="1:18">
      <c r="A47" s="41">
        <v>46</v>
      </c>
      <c r="B47" s="42">
        <f>DATE(Sintesi!$C$4-1,12,31)+A47</f>
        <v>44242</v>
      </c>
      <c r="C47" s="41">
        <f>'Paste cell here'!B47</f>
        <v>0</v>
      </c>
      <c r="D47" s="41">
        <f>'Paste cell here'!I47</f>
        <v>0</v>
      </c>
      <c r="E47" s="1">
        <f>'Paste cell here'!H47</f>
        <v>0.15633075976050009</v>
      </c>
      <c r="F47" s="1">
        <f>Sintesi!$C$5</f>
        <v>0.1</v>
      </c>
      <c r="G47" s="1">
        <f>'Paste cell here'!AA47</f>
        <v>0.9</v>
      </c>
      <c r="H47" s="43">
        <f>'Paste cell here'!U47</f>
        <v>23.428712635265821</v>
      </c>
      <c r="I47" s="43">
        <f>'Paste cell here'!AE47</f>
        <v>264.54251446074232</v>
      </c>
      <c r="J47" s="44">
        <f>'Paste cell here'!U46+'Paste cell here'!AF47</f>
        <v>290.06534314006763</v>
      </c>
      <c r="K47" s="45">
        <f>'Paste cell here'!AG47</f>
        <v>240.51616185317656</v>
      </c>
      <c r="L47" s="41" t="str">
        <f t="shared" si="2"/>
        <v>NO</v>
      </c>
      <c r="M47" s="1">
        <f>(Sintesi!$C$29*F47*1000)</f>
        <v>23.3</v>
      </c>
      <c r="N47" s="1">
        <f>Sintesi!$C$30*F47*1000</f>
        <v>10.700000000000001</v>
      </c>
      <c r="O47" s="1">
        <f t="shared" si="0"/>
        <v>12.6</v>
      </c>
      <c r="P47" s="1">
        <f>Sintesi!$C$33*G47*1000</f>
        <v>231.3</v>
      </c>
      <c r="Q47" s="1">
        <f>Sintesi!$C$34*G47*1000</f>
        <v>115.20000000000002</v>
      </c>
      <c r="R47" s="1">
        <f t="shared" si="1"/>
        <v>116.1</v>
      </c>
    </row>
    <row r="48" spans="1:18">
      <c r="A48" s="41">
        <v>47</v>
      </c>
      <c r="B48" s="42">
        <f>DATE(Sintesi!$C$4-1,12,31)+A48</f>
        <v>44243</v>
      </c>
      <c r="C48" s="41">
        <f>'Paste cell here'!B48</f>
        <v>0</v>
      </c>
      <c r="D48" s="41">
        <f>'Paste cell here'!I48</f>
        <v>0</v>
      </c>
      <c r="E48" s="1">
        <f>'Paste cell here'!H48</f>
        <v>0.15807123175989457</v>
      </c>
      <c r="F48" s="1">
        <f>Sintesi!$C$5</f>
        <v>0.1</v>
      </c>
      <c r="G48" s="1">
        <f>'Paste cell here'!AA48</f>
        <v>0.9</v>
      </c>
      <c r="H48" s="43">
        <f>'Paste cell here'!U48</f>
        <v>22.232655142642976</v>
      </c>
      <c r="I48" s="43">
        <f>'Paste cell here'!AE48</f>
        <v>263.61132264028231</v>
      </c>
      <c r="J48" s="44">
        <f>'Paste cell here'!U47+'Paste cell here'!AF48</f>
        <v>287.97122709600814</v>
      </c>
      <c r="K48" s="45">
        <f>'Paste cell here'!AG48</f>
        <v>240.35936273075112</v>
      </c>
      <c r="L48" s="41" t="str">
        <f t="shared" si="2"/>
        <v>NO</v>
      </c>
      <c r="M48" s="1">
        <f>(Sintesi!$C$29*F48*1000)</f>
        <v>23.3</v>
      </c>
      <c r="N48" s="1">
        <f>Sintesi!$C$30*F48*1000</f>
        <v>10.700000000000001</v>
      </c>
      <c r="O48" s="1">
        <f t="shared" si="0"/>
        <v>12.6</v>
      </c>
      <c r="P48" s="1">
        <f>Sintesi!$C$33*G48*1000</f>
        <v>231.3</v>
      </c>
      <c r="Q48" s="1">
        <f>Sintesi!$C$34*G48*1000</f>
        <v>115.20000000000002</v>
      </c>
      <c r="R48" s="1">
        <f t="shared" si="1"/>
        <v>116.1</v>
      </c>
    </row>
    <row r="49" spans="1:18">
      <c r="A49" s="41">
        <v>48</v>
      </c>
      <c r="B49" s="42">
        <f>DATE(Sintesi!$C$4-1,12,31)+A49</f>
        <v>44244</v>
      </c>
      <c r="C49" s="41">
        <f>'Paste cell here'!B49</f>
        <v>0.39999999999999858</v>
      </c>
      <c r="D49" s="41">
        <f>'Paste cell here'!I49</f>
        <v>0</v>
      </c>
      <c r="E49" s="1">
        <f>'Paste cell here'!H49</f>
        <v>0.15488143196352719</v>
      </c>
      <c r="F49" s="1">
        <f>Sintesi!$C$5</f>
        <v>0.1</v>
      </c>
      <c r="G49" s="1">
        <f>'Paste cell here'!AA49</f>
        <v>0.9</v>
      </c>
      <c r="H49" s="43">
        <f>'Paste cell here'!U49</f>
        <v>21.302939755008815</v>
      </c>
      <c r="I49" s="43">
        <f>'Paste cell here'!AE49</f>
        <v>262.69352920316413</v>
      </c>
      <c r="J49" s="44">
        <f>'Paste cell here'!U48+'Paste cell here'!AF49</f>
        <v>285.84397778292526</v>
      </c>
      <c r="K49" s="45">
        <f>'Paste cell here'!AG49</f>
        <v>240.64673179440584</v>
      </c>
      <c r="L49" s="41" t="str">
        <f t="shared" si="2"/>
        <v>NO</v>
      </c>
      <c r="M49" s="1">
        <f>(Sintesi!$C$29*F49*1000)</f>
        <v>23.3</v>
      </c>
      <c r="N49" s="1">
        <f>Sintesi!$C$30*F49*1000</f>
        <v>10.700000000000001</v>
      </c>
      <c r="O49" s="1">
        <f t="shared" si="0"/>
        <v>12.6</v>
      </c>
      <c r="P49" s="1">
        <f>Sintesi!$C$33*G49*1000</f>
        <v>231.3</v>
      </c>
      <c r="Q49" s="1">
        <f>Sintesi!$C$34*G49*1000</f>
        <v>115.20000000000002</v>
      </c>
      <c r="R49" s="1">
        <f t="shared" si="1"/>
        <v>116.1</v>
      </c>
    </row>
    <row r="50" spans="1:18">
      <c r="A50" s="41">
        <v>49</v>
      </c>
      <c r="B50" s="42">
        <f>DATE(Sintesi!$C$4-1,12,31)+A50</f>
        <v>44245</v>
      </c>
      <c r="C50" s="41">
        <f>'Paste cell here'!B50</f>
        <v>0.67999999999999106</v>
      </c>
      <c r="D50" s="41">
        <f>'Paste cell here'!I50</f>
        <v>0</v>
      </c>
      <c r="E50" s="1">
        <f>'Paste cell here'!H50</f>
        <v>0.14828360391213694</v>
      </c>
      <c r="F50" s="1">
        <f>Sintesi!$C$5</f>
        <v>0.1</v>
      </c>
      <c r="G50" s="1">
        <f>'Paste cell here'!AA50</f>
        <v>0.9</v>
      </c>
      <c r="H50" s="43">
        <f>'Paste cell here'!U50</f>
        <v>20.90001454201742</v>
      </c>
      <c r="I50" s="43">
        <f>'Paste cell here'!AE50</f>
        <v>261.80476002726186</v>
      </c>
      <c r="J50" s="44">
        <f>'Paste cell here'!U49+'Paste cell here'!AF50</f>
        <v>283.99646895817295</v>
      </c>
      <c r="K50" s="45">
        <f>'Paste cell here'!AG50</f>
        <v>241.24113012355559</v>
      </c>
      <c r="L50" s="41" t="str">
        <f t="shared" si="2"/>
        <v>NO</v>
      </c>
      <c r="M50" s="1">
        <f>(Sintesi!$C$29*F50*1000)</f>
        <v>23.3</v>
      </c>
      <c r="N50" s="1">
        <f>Sintesi!$C$30*F50*1000</f>
        <v>10.700000000000001</v>
      </c>
      <c r="O50" s="1">
        <f t="shared" si="0"/>
        <v>12.6</v>
      </c>
      <c r="P50" s="1">
        <f>Sintesi!$C$33*G50*1000</f>
        <v>231.3</v>
      </c>
      <c r="Q50" s="1">
        <f>Sintesi!$C$34*G50*1000</f>
        <v>115.20000000000002</v>
      </c>
      <c r="R50" s="1">
        <f t="shared" si="1"/>
        <v>116.1</v>
      </c>
    </row>
    <row r="51" spans="1:18">
      <c r="A51" s="41">
        <v>50</v>
      </c>
      <c r="B51" s="42">
        <f>DATE(Sintesi!$C$4-1,12,31)+A51</f>
        <v>44246</v>
      </c>
      <c r="C51" s="41">
        <f>'Paste cell here'!B51</f>
        <v>0.63999999999999779</v>
      </c>
      <c r="D51" s="41">
        <f>'Paste cell here'!I51</f>
        <v>0</v>
      </c>
      <c r="E51" s="1">
        <f>'Paste cell here'!H51</f>
        <v>0.15764055263380888</v>
      </c>
      <c r="F51" s="1">
        <f>Sintesi!$C$5</f>
        <v>0.1</v>
      </c>
      <c r="G51" s="1">
        <f>'Paste cell here'!AA51</f>
        <v>0.9</v>
      </c>
      <c r="H51" s="43">
        <f>'Paste cell here'!U51</f>
        <v>20.747487004813078</v>
      </c>
      <c r="I51" s="43">
        <f>'Paste cell here'!AE51</f>
        <v>260.95072704121145</v>
      </c>
      <c r="J51" s="44">
        <f>'Paste cell here'!U50+'Paste cell here'!AF51</f>
        <v>282.70477456927927</v>
      </c>
      <c r="K51" s="45">
        <f>'Paste cell here'!AG51</f>
        <v>240.39816261322017</v>
      </c>
      <c r="L51" s="41" t="str">
        <f t="shared" si="2"/>
        <v>NO</v>
      </c>
      <c r="M51" s="1">
        <f>(Sintesi!$C$29*F51*1000)</f>
        <v>23.3</v>
      </c>
      <c r="N51" s="1">
        <f>Sintesi!$C$30*F51*1000</f>
        <v>10.700000000000001</v>
      </c>
      <c r="O51" s="1">
        <f t="shared" si="0"/>
        <v>12.6</v>
      </c>
      <c r="P51" s="1">
        <f>Sintesi!$C$33*G51*1000</f>
        <v>231.3</v>
      </c>
      <c r="Q51" s="1">
        <f>Sintesi!$C$34*G51*1000</f>
        <v>115.20000000000002</v>
      </c>
      <c r="R51" s="1">
        <f t="shared" si="1"/>
        <v>116.1</v>
      </c>
    </row>
    <row r="52" spans="1:18">
      <c r="A52" s="41">
        <v>51</v>
      </c>
      <c r="B52" s="42">
        <f>DATE(Sintesi!$C$4-1,12,31)+A52</f>
        <v>44247</v>
      </c>
      <c r="C52" s="41">
        <f>'Paste cell here'!B52</f>
        <v>0</v>
      </c>
      <c r="D52" s="41">
        <f>'Paste cell here'!I52</f>
        <v>0</v>
      </c>
      <c r="E52" s="1">
        <f>'Paste cell here'!H52</f>
        <v>0.16909375370134222</v>
      </c>
      <c r="F52" s="1">
        <f>Sintesi!$C$5</f>
        <v>0.1</v>
      </c>
      <c r="G52" s="1">
        <f>'Paste cell here'!AA52</f>
        <v>0.9</v>
      </c>
      <c r="H52" s="43">
        <f>'Paste cell here'!U52</f>
        <v>19.831081799486725</v>
      </c>
      <c r="I52" s="43">
        <f>'Paste cell here'!AE52</f>
        <v>260.12720059066237</v>
      </c>
      <c r="J52" s="44">
        <f>'Paste cell here'!U51+'Paste cell here'!AF52</f>
        <v>281.69821404602453</v>
      </c>
      <c r="K52" s="45">
        <f>'Paste cell here'!AG52</f>
        <v>239.36634372904609</v>
      </c>
      <c r="L52" s="41" t="str">
        <f t="shared" si="2"/>
        <v>NO</v>
      </c>
      <c r="M52" s="1">
        <f>(Sintesi!$C$29*F52*1000)</f>
        <v>23.3</v>
      </c>
      <c r="N52" s="1">
        <f>Sintesi!$C$30*F52*1000</f>
        <v>10.700000000000001</v>
      </c>
      <c r="O52" s="1">
        <f t="shared" si="0"/>
        <v>12.6</v>
      </c>
      <c r="P52" s="1">
        <f>Sintesi!$C$33*G52*1000</f>
        <v>231.3</v>
      </c>
      <c r="Q52" s="1">
        <f>Sintesi!$C$34*G52*1000</f>
        <v>115.20000000000002</v>
      </c>
      <c r="R52" s="1">
        <f t="shared" si="1"/>
        <v>116.1</v>
      </c>
    </row>
    <row r="53" spans="1:18">
      <c r="A53" s="41">
        <v>52</v>
      </c>
      <c r="B53" s="42">
        <f>DATE(Sintesi!$C$4-1,12,31)+A53</f>
        <v>44248</v>
      </c>
      <c r="C53" s="41">
        <f>'Paste cell here'!B53</f>
        <v>0</v>
      </c>
      <c r="D53" s="41">
        <f>'Paste cell here'!I53</f>
        <v>0</v>
      </c>
      <c r="E53" s="1">
        <f>'Paste cell here'!H53</f>
        <v>0.16392274676718066</v>
      </c>
      <c r="F53" s="1">
        <f>Sintesi!$C$5</f>
        <v>0.1</v>
      </c>
      <c r="G53" s="1">
        <f>'Paste cell here'!AA53</f>
        <v>0.9</v>
      </c>
      <c r="H53" s="43">
        <f>'Paste cell here'!U53</f>
        <v>18.538716431095299</v>
      </c>
      <c r="I53" s="43">
        <f>'Paste cell here'!AE53</f>
        <v>259.32972837653455</v>
      </c>
      <c r="J53" s="44">
        <f>'Paste cell here'!U52+'Paste cell here'!AF53</f>
        <v>279.95828239014918</v>
      </c>
      <c r="K53" s="45">
        <f>'Paste cell here'!AG53</f>
        <v>239.8321997437447</v>
      </c>
      <c r="L53" s="41" t="str">
        <f t="shared" si="2"/>
        <v>NO</v>
      </c>
      <c r="M53" s="1">
        <f>(Sintesi!$C$29*F53*1000)</f>
        <v>23.3</v>
      </c>
      <c r="N53" s="1">
        <f>Sintesi!$C$30*F53*1000</f>
        <v>10.700000000000001</v>
      </c>
      <c r="O53" s="1">
        <f t="shared" si="0"/>
        <v>12.6</v>
      </c>
      <c r="P53" s="1">
        <f>Sintesi!$C$33*G53*1000</f>
        <v>231.3</v>
      </c>
      <c r="Q53" s="1">
        <f>Sintesi!$C$34*G53*1000</f>
        <v>115.20000000000002</v>
      </c>
      <c r="R53" s="1">
        <f t="shared" si="1"/>
        <v>116.1</v>
      </c>
    </row>
    <row r="54" spans="1:18">
      <c r="A54" s="41">
        <v>53</v>
      </c>
      <c r="B54" s="42">
        <f>DATE(Sintesi!$C$4-1,12,31)+A54</f>
        <v>44249</v>
      </c>
      <c r="C54" s="41">
        <f>'Paste cell here'!B54</f>
        <v>0</v>
      </c>
      <c r="D54" s="41">
        <f>'Paste cell here'!I54</f>
        <v>0</v>
      </c>
      <c r="E54" s="1">
        <f>'Paste cell here'!H54</f>
        <v>0.14858801323227283</v>
      </c>
      <c r="F54" s="1">
        <f>Sintesi!$C$5</f>
        <v>0.1</v>
      </c>
      <c r="G54" s="1">
        <f>'Paste cell here'!AA54</f>
        <v>0.9</v>
      </c>
      <c r="H54" s="43">
        <f>'Paste cell here'!U54</f>
        <v>17.337945679849842</v>
      </c>
      <c r="I54" s="43">
        <f>'Paste cell here'!AE54</f>
        <v>258.55918088191407</v>
      </c>
      <c r="J54" s="44">
        <f>'Paste cell here'!U53+'Paste cell here'!AF54</f>
        <v>277.86844480762983</v>
      </c>
      <c r="K54" s="45">
        <f>'Paste cell here'!AG54</f>
        <v>241.21370588790455</v>
      </c>
      <c r="L54" s="41" t="str">
        <f t="shared" si="2"/>
        <v>NO</v>
      </c>
      <c r="M54" s="1">
        <f>(Sintesi!$C$29*F54*1000)</f>
        <v>23.3</v>
      </c>
      <c r="N54" s="1">
        <f>Sintesi!$C$30*F54*1000</f>
        <v>10.700000000000001</v>
      </c>
      <c r="O54" s="1">
        <f t="shared" si="0"/>
        <v>12.6</v>
      </c>
      <c r="P54" s="1">
        <f>Sintesi!$C$33*G54*1000</f>
        <v>231.3</v>
      </c>
      <c r="Q54" s="1">
        <f>Sintesi!$C$34*G54*1000</f>
        <v>115.20000000000002</v>
      </c>
      <c r="R54" s="1">
        <f t="shared" si="1"/>
        <v>116.1</v>
      </c>
    </row>
    <row r="55" spans="1:18">
      <c r="A55" s="41">
        <v>54</v>
      </c>
      <c r="B55" s="42">
        <f>DATE(Sintesi!$C$4-1,12,31)+A55</f>
        <v>44250</v>
      </c>
      <c r="C55" s="41">
        <f>'Paste cell here'!B55</f>
        <v>0</v>
      </c>
      <c r="D55" s="41">
        <f>'Paste cell here'!I55</f>
        <v>0</v>
      </c>
      <c r="E55" s="1">
        <f>'Paste cell here'!H55</f>
        <v>0.15207947973719463</v>
      </c>
      <c r="F55" s="1">
        <f>Sintesi!$C$5</f>
        <v>0.1</v>
      </c>
      <c r="G55" s="1">
        <f>'Paste cell here'!AA55</f>
        <v>0.9</v>
      </c>
      <c r="H55" s="43">
        <f>'Paste cell here'!U55</f>
        <v>15.90131129319877</v>
      </c>
      <c r="I55" s="43">
        <f>'Paste cell here'!AE55</f>
        <v>257.81594195796373</v>
      </c>
      <c r="J55" s="44">
        <f>'Paste cell here'!U54+'Paste cell here'!AF55</f>
        <v>275.89712656176391</v>
      </c>
      <c r="K55" s="45">
        <f>'Paste cell here'!AG55</f>
        <v>240.89915967047614</v>
      </c>
      <c r="L55" s="41" t="str">
        <f t="shared" si="2"/>
        <v>NO</v>
      </c>
      <c r="M55" s="1">
        <f>(Sintesi!$C$29*F55*1000)</f>
        <v>23.3</v>
      </c>
      <c r="N55" s="1">
        <f>Sintesi!$C$30*F55*1000</f>
        <v>10.700000000000001</v>
      </c>
      <c r="O55" s="1">
        <f t="shared" si="0"/>
        <v>12.6</v>
      </c>
      <c r="P55" s="1">
        <f>Sintesi!$C$33*G55*1000</f>
        <v>231.3</v>
      </c>
      <c r="Q55" s="1">
        <f>Sintesi!$C$34*G55*1000</f>
        <v>115.20000000000002</v>
      </c>
      <c r="R55" s="1">
        <f t="shared" si="1"/>
        <v>116.1</v>
      </c>
    </row>
    <row r="56" spans="1:18">
      <c r="A56" s="41">
        <v>55</v>
      </c>
      <c r="B56" s="42">
        <f>DATE(Sintesi!$C$4-1,12,31)+A56</f>
        <v>44251</v>
      </c>
      <c r="C56" s="41">
        <f>'Paste cell here'!B56</f>
        <v>0</v>
      </c>
      <c r="D56" s="41">
        <f>'Paste cell here'!I56</f>
        <v>0</v>
      </c>
      <c r="E56" s="1">
        <f>'Paste cell here'!H56</f>
        <v>0.14248488682137134</v>
      </c>
      <c r="F56" s="1">
        <f>Sintesi!$C$5</f>
        <v>0.1</v>
      </c>
      <c r="G56" s="1">
        <f>'Paste cell here'!AA56</f>
        <v>0.9</v>
      </c>
      <c r="H56" s="43">
        <f>'Paste cell here'!U56</f>
        <v>14.311197786676631</v>
      </c>
      <c r="I56" s="43">
        <f>'Paste cell here'!AE56</f>
        <v>257.09911779316718</v>
      </c>
      <c r="J56" s="44">
        <f>'Paste cell here'!U55+'Paste cell here'!AF56</f>
        <v>273.7172532511625</v>
      </c>
      <c r="K56" s="45">
        <f>'Paste cell here'!AG56</f>
        <v>241.76353654626269</v>
      </c>
      <c r="L56" s="41" t="str">
        <f t="shared" si="2"/>
        <v>NO</v>
      </c>
      <c r="M56" s="1">
        <f>(Sintesi!$C$29*F56*1000)</f>
        <v>23.3</v>
      </c>
      <c r="N56" s="1">
        <f>Sintesi!$C$30*F56*1000</f>
        <v>10.700000000000001</v>
      </c>
      <c r="O56" s="1">
        <f t="shared" si="0"/>
        <v>12.6</v>
      </c>
      <c r="P56" s="1">
        <f>Sintesi!$C$33*G56*1000</f>
        <v>231.3</v>
      </c>
      <c r="Q56" s="1">
        <f>Sintesi!$C$34*G56*1000</f>
        <v>115.20000000000002</v>
      </c>
      <c r="R56" s="1">
        <f t="shared" si="1"/>
        <v>116.1</v>
      </c>
    </row>
    <row r="57" spans="1:18">
      <c r="A57" s="41">
        <v>56</v>
      </c>
      <c r="B57" s="42">
        <f>DATE(Sintesi!$C$4-1,12,31)+A57</f>
        <v>44252</v>
      </c>
      <c r="C57" s="41">
        <f>'Paste cell here'!B57</f>
        <v>0</v>
      </c>
      <c r="D57" s="41">
        <f>'Paste cell here'!I57</f>
        <v>0</v>
      </c>
      <c r="E57" s="1">
        <f>'Paste cell here'!H57</f>
        <v>0.12964371920282111</v>
      </c>
      <c r="F57" s="1">
        <f>Sintesi!$C$5</f>
        <v>0.1</v>
      </c>
      <c r="G57" s="1">
        <f>'Paste cell here'!AA57</f>
        <v>0.9</v>
      </c>
      <c r="H57" s="43">
        <f>'Paste cell here'!U57</f>
        <v>12.925648047965062</v>
      </c>
      <c r="I57" s="43">
        <f>'Paste cell here'!AE57</f>
        <v>256.40743686540185</v>
      </c>
      <c r="J57" s="44">
        <f>'Paste cell here'!U56+'Paste cell here'!AF57</f>
        <v>271.41031557984383</v>
      </c>
      <c r="K57" s="45">
        <f>'Paste cell here'!AG57</f>
        <v>242.92039733701787</v>
      </c>
      <c r="L57" s="41" t="str">
        <f t="shared" si="2"/>
        <v>NO</v>
      </c>
      <c r="M57" s="1">
        <f>(Sintesi!$C$29*F57*1000)</f>
        <v>23.3</v>
      </c>
      <c r="N57" s="1">
        <f>Sintesi!$C$30*F57*1000</f>
        <v>10.700000000000001</v>
      </c>
      <c r="O57" s="1">
        <f t="shared" si="0"/>
        <v>12.6</v>
      </c>
      <c r="P57" s="1">
        <f>Sintesi!$C$33*G57*1000</f>
        <v>231.3</v>
      </c>
      <c r="Q57" s="1">
        <f>Sintesi!$C$34*G57*1000</f>
        <v>115.20000000000002</v>
      </c>
      <c r="R57" s="1">
        <f t="shared" si="1"/>
        <v>116.1</v>
      </c>
    </row>
    <row r="58" spans="1:18">
      <c r="A58" s="41">
        <v>57</v>
      </c>
      <c r="B58" s="42">
        <f>DATE(Sintesi!$C$4-1,12,31)+A58</f>
        <v>44253</v>
      </c>
      <c r="C58" s="41">
        <f>'Paste cell here'!B58</f>
        <v>0</v>
      </c>
      <c r="D58" s="41">
        <f>'Paste cell here'!I58</f>
        <v>0</v>
      </c>
      <c r="E58" s="1">
        <f>'Paste cell here'!H58</f>
        <v>0.12764645682274611</v>
      </c>
      <c r="F58" s="1">
        <f>Sintesi!$C$5</f>
        <v>0.1</v>
      </c>
      <c r="G58" s="1">
        <f>'Paste cell here'!AA58</f>
        <v>0.9</v>
      </c>
      <c r="H58" s="43">
        <f>'Paste cell here'!U58</f>
        <v>11.710445378463184</v>
      </c>
      <c r="I58" s="43">
        <f>'Paste cell here'!AE58</f>
        <v>255.73941362061672</v>
      </c>
      <c r="J58" s="44">
        <f>'Paste cell here'!U57+'Paste cell here'!AF58</f>
        <v>269.33308491336697</v>
      </c>
      <c r="K58" s="45">
        <f>'Paste cell here'!AG58</f>
        <v>243.10033070483883</v>
      </c>
      <c r="L58" s="41" t="str">
        <f t="shared" si="2"/>
        <v>NO</v>
      </c>
      <c r="M58" s="1">
        <f>(Sintesi!$C$29*F58*1000)</f>
        <v>23.3</v>
      </c>
      <c r="N58" s="1">
        <f>Sintesi!$C$30*F58*1000</f>
        <v>10.700000000000001</v>
      </c>
      <c r="O58" s="1">
        <f t="shared" si="0"/>
        <v>12.6</v>
      </c>
      <c r="P58" s="1">
        <f>Sintesi!$C$33*G58*1000</f>
        <v>231.3</v>
      </c>
      <c r="Q58" s="1">
        <f>Sintesi!$C$34*G58*1000</f>
        <v>115.20000000000002</v>
      </c>
      <c r="R58" s="1">
        <f t="shared" si="1"/>
        <v>116.1</v>
      </c>
    </row>
    <row r="59" spans="1:18">
      <c r="A59" s="41">
        <v>58</v>
      </c>
      <c r="B59" s="42">
        <f>DATE(Sintesi!$C$4-1,12,31)+A59</f>
        <v>44254</v>
      </c>
      <c r="C59" s="41">
        <f>'Paste cell here'!B59</f>
        <v>0</v>
      </c>
      <c r="D59" s="41">
        <f>'Paste cell here'!I59</f>
        <v>0</v>
      </c>
      <c r="E59" s="1">
        <f>'Paste cell here'!H59</f>
        <v>0.12468325853099491</v>
      </c>
      <c r="F59" s="1">
        <f>Sintesi!$C$5</f>
        <v>0.1</v>
      </c>
      <c r="G59" s="1">
        <f>'Paste cell here'!AA59</f>
        <v>0.9</v>
      </c>
      <c r="H59" s="43">
        <f>'Paste cell here'!U59</f>
        <v>10.541616340366961</v>
      </c>
      <c r="I59" s="43">
        <f>'Paste cell here'!AE59</f>
        <v>255.09358484245215</v>
      </c>
      <c r="J59" s="44">
        <f>'Paste cell here'!U58+'Paste cell here'!AF59</f>
        <v>267.44985899907988</v>
      </c>
      <c r="K59" s="45">
        <f>'Paste cell here'!AG59</f>
        <v>243.36728523894269</v>
      </c>
      <c r="L59" s="41" t="str">
        <f t="shared" si="2"/>
        <v>NO</v>
      </c>
      <c r="M59" s="1">
        <f>(Sintesi!$C$29*F59*1000)</f>
        <v>23.3</v>
      </c>
      <c r="N59" s="1">
        <f>Sintesi!$C$30*F59*1000</f>
        <v>10.700000000000001</v>
      </c>
      <c r="O59" s="1">
        <f t="shared" si="0"/>
        <v>12.6</v>
      </c>
      <c r="P59" s="1">
        <f>Sintesi!$C$33*G59*1000</f>
        <v>231.3</v>
      </c>
      <c r="Q59" s="1">
        <f>Sintesi!$C$34*G59*1000</f>
        <v>115.20000000000002</v>
      </c>
      <c r="R59" s="1">
        <f t="shared" si="1"/>
        <v>116.1</v>
      </c>
    </row>
    <row r="60" spans="1:18">
      <c r="A60" s="41">
        <v>59</v>
      </c>
      <c r="B60" s="42">
        <f>DATE(Sintesi!$C$4-1,12,31)+A60</f>
        <v>44255</v>
      </c>
      <c r="C60" s="41">
        <f>'Paste cell here'!B60</f>
        <v>0</v>
      </c>
      <c r="D60" s="41">
        <f>'Paste cell here'!I60</f>
        <v>0</v>
      </c>
      <c r="E60" s="1">
        <f>'Paste cell here'!H60</f>
        <v>0.11253066117581803</v>
      </c>
      <c r="F60" s="1">
        <f>Sintesi!$C$5</f>
        <v>0.1</v>
      </c>
      <c r="G60" s="1">
        <f>'Paste cell here'!AA60</f>
        <v>0.9</v>
      </c>
      <c r="H60" s="43">
        <f>'Paste cell here'!U60</f>
        <v>9.6264679734849192</v>
      </c>
      <c r="I60" s="43">
        <f>'Paste cell here'!AE60</f>
        <v>254.46859715563031</v>
      </c>
      <c r="J60" s="44">
        <f>'Paste cell here'!U59+'Paste cell here'!AF60</f>
        <v>265.63520118281917</v>
      </c>
      <c r="K60" s="45">
        <f>'Paste cell here'!AG60</f>
        <v>244.46211273467054</v>
      </c>
      <c r="L60" s="41" t="str">
        <f t="shared" si="2"/>
        <v>NO</v>
      </c>
      <c r="M60" s="1">
        <f>(Sintesi!$C$29*F60*1000)</f>
        <v>23.3</v>
      </c>
      <c r="N60" s="1">
        <f>Sintesi!$C$30*F60*1000</f>
        <v>10.700000000000001</v>
      </c>
      <c r="O60" s="1">
        <f t="shared" si="0"/>
        <v>12.6</v>
      </c>
      <c r="P60" s="1">
        <f>Sintesi!$C$33*G60*1000</f>
        <v>231.3</v>
      </c>
      <c r="Q60" s="1">
        <f>Sintesi!$C$34*G60*1000</f>
        <v>115.20000000000002</v>
      </c>
      <c r="R60" s="1">
        <f t="shared" si="1"/>
        <v>116.1</v>
      </c>
    </row>
    <row r="61" spans="1:18">
      <c r="A61" s="41">
        <v>60</v>
      </c>
      <c r="B61" s="42">
        <f>DATE(Sintesi!$C$4-1,12,31)+A61</f>
        <v>44256</v>
      </c>
      <c r="C61" s="41">
        <f>'Paste cell here'!B61</f>
        <v>0</v>
      </c>
      <c r="D61" s="41">
        <f>'Paste cell here'!I61</f>
        <v>0</v>
      </c>
      <c r="E61" s="1">
        <f>'Paste cell here'!H61</f>
        <v>0.11646578344405491</v>
      </c>
      <c r="F61" s="1">
        <f>Sintesi!$C$5</f>
        <v>0.1</v>
      </c>
      <c r="G61" s="1">
        <f>'Paste cell here'!AA61</f>
        <v>0.9</v>
      </c>
      <c r="H61" s="43">
        <f>'Paste cell here'!U61</f>
        <v>8.930023102379975</v>
      </c>
      <c r="I61" s="43">
        <f>'Paste cell here'!AE61</f>
        <v>253.86321181667262</v>
      </c>
      <c r="J61" s="44">
        <f>'Paste cell here'!U60+'Paste cell here'!AF61</f>
        <v>264.0950651291152</v>
      </c>
      <c r="K61" s="45">
        <f>'Paste cell here'!AG61</f>
        <v>244.1075975695251</v>
      </c>
      <c r="L61" s="41" t="str">
        <f t="shared" si="2"/>
        <v>NO</v>
      </c>
      <c r="M61" s="1">
        <f>(Sintesi!$C$29*F61*1000)</f>
        <v>23.3</v>
      </c>
      <c r="N61" s="1">
        <f>Sintesi!$C$30*F61*1000</f>
        <v>10.700000000000001</v>
      </c>
      <c r="O61" s="1">
        <f t="shared" si="0"/>
        <v>12.6</v>
      </c>
      <c r="P61" s="1">
        <f>Sintesi!$C$33*G61*1000</f>
        <v>231.3</v>
      </c>
      <c r="Q61" s="1">
        <f>Sintesi!$C$34*G61*1000</f>
        <v>115.20000000000002</v>
      </c>
      <c r="R61" s="1">
        <f t="shared" si="1"/>
        <v>116.1</v>
      </c>
    </row>
    <row r="62" spans="1:18">
      <c r="A62" s="41">
        <v>61</v>
      </c>
      <c r="B62" s="42">
        <f>DATE(Sintesi!$C$4-1,12,31)+A62</f>
        <v>44257</v>
      </c>
      <c r="C62" s="41">
        <f>'Paste cell here'!B62</f>
        <v>0</v>
      </c>
      <c r="D62" s="41">
        <f>'Paste cell here'!I62</f>
        <v>0</v>
      </c>
      <c r="E62" s="1">
        <f>'Paste cell here'!H62</f>
        <v>0.12344363802378526</v>
      </c>
      <c r="F62" s="1">
        <f>Sintesi!$C$5</f>
        <v>0.1</v>
      </c>
      <c r="G62" s="1">
        <f>'Paste cell here'!AA62</f>
        <v>0.9</v>
      </c>
      <c r="H62" s="43">
        <f>'Paste cell here'!U62</f>
        <v>8.3516741591296118</v>
      </c>
      <c r="I62" s="43">
        <f>'Paste cell here'!AE62</f>
        <v>253.27629498962611</v>
      </c>
      <c r="J62" s="44">
        <f>'Paste cell here'!U61+'Paste cell here'!AF62</f>
        <v>262.79323491905262</v>
      </c>
      <c r="K62" s="45">
        <f>'Paste cell here'!AG62</f>
        <v>243.47896265043718</v>
      </c>
      <c r="L62" s="41" t="str">
        <f t="shared" si="2"/>
        <v>NO</v>
      </c>
      <c r="M62" s="1">
        <f>(Sintesi!$C$29*F62*1000)</f>
        <v>23.3</v>
      </c>
      <c r="N62" s="1">
        <f>Sintesi!$C$30*F62*1000</f>
        <v>10.700000000000001</v>
      </c>
      <c r="O62" s="1">
        <f t="shared" si="0"/>
        <v>12.6</v>
      </c>
      <c r="P62" s="1">
        <f>Sintesi!$C$33*G62*1000</f>
        <v>231.3</v>
      </c>
      <c r="Q62" s="1">
        <f>Sintesi!$C$34*G62*1000</f>
        <v>115.20000000000002</v>
      </c>
      <c r="R62" s="1">
        <f t="shared" si="1"/>
        <v>116.1</v>
      </c>
    </row>
    <row r="63" spans="1:18">
      <c r="A63" s="41">
        <v>62</v>
      </c>
      <c r="B63" s="42">
        <f>DATE(Sintesi!$C$4-1,12,31)+A63</f>
        <v>44258</v>
      </c>
      <c r="C63" s="41">
        <f>'Paste cell here'!B63</f>
        <v>0</v>
      </c>
      <c r="D63" s="41">
        <f>'Paste cell here'!I63</f>
        <v>0</v>
      </c>
      <c r="E63" s="1">
        <f>'Paste cell here'!H63</f>
        <v>0.1241152834336874</v>
      </c>
      <c r="F63" s="1">
        <f>Sintesi!$C$5</f>
        <v>0.1</v>
      </c>
      <c r="G63" s="1">
        <f>'Paste cell here'!AA63</f>
        <v>0.9</v>
      </c>
      <c r="H63" s="43">
        <f>'Paste cell here'!U63</f>
        <v>7.9646519118003862</v>
      </c>
      <c r="I63" s="43">
        <f>'Paste cell here'!AE63</f>
        <v>252.70680680031148</v>
      </c>
      <c r="J63" s="44">
        <f>'Paste cell here'!U62+'Paste cell here'!AF63</f>
        <v>261.62796914875571</v>
      </c>
      <c r="K63" s="45">
        <f>'Paste cell here'!AG63</f>
        <v>243.41845411545913</v>
      </c>
      <c r="L63" s="41" t="str">
        <f t="shared" si="2"/>
        <v>NO</v>
      </c>
      <c r="M63" s="1">
        <f>(Sintesi!$C$29*F63*1000)</f>
        <v>23.3</v>
      </c>
      <c r="N63" s="1">
        <f>Sintesi!$C$30*F63*1000</f>
        <v>10.700000000000001</v>
      </c>
      <c r="O63" s="1">
        <f t="shared" si="0"/>
        <v>12.6</v>
      </c>
      <c r="P63" s="1">
        <f>Sintesi!$C$33*G63*1000</f>
        <v>231.3</v>
      </c>
      <c r="Q63" s="1">
        <f>Sintesi!$C$34*G63*1000</f>
        <v>115.20000000000002</v>
      </c>
      <c r="R63" s="1">
        <f t="shared" si="1"/>
        <v>116.1</v>
      </c>
    </row>
    <row r="64" spans="1:18">
      <c r="A64" s="41">
        <v>63</v>
      </c>
      <c r="B64" s="42">
        <f>DATE(Sintesi!$C$4-1,12,31)+A64</f>
        <v>44259</v>
      </c>
      <c r="C64" s="41">
        <f>'Paste cell here'!B64</f>
        <v>0</v>
      </c>
      <c r="D64" s="41">
        <f>'Paste cell here'!I64</f>
        <v>0</v>
      </c>
      <c r="E64" s="1">
        <f>'Paste cell here'!H64</f>
        <v>0.14054620154579009</v>
      </c>
      <c r="F64" s="1">
        <f>Sintesi!$C$5</f>
        <v>0.1</v>
      </c>
      <c r="G64" s="1">
        <f>'Paste cell here'!AA64</f>
        <v>0.9</v>
      </c>
      <c r="H64" s="43">
        <f>'Paste cell here'!U64</f>
        <v>7.5920825103042286</v>
      </c>
      <c r="I64" s="43">
        <f>'Paste cell here'!AE64</f>
        <v>252.1537913625516</v>
      </c>
      <c r="J64" s="44">
        <f>'Paste cell here'!U63+'Paste cell here'!AF64</f>
        <v>260.67145871211187</v>
      </c>
      <c r="K64" s="45">
        <f>'Paste cell here'!AG64</f>
        <v>241.9381927027398</v>
      </c>
      <c r="L64" s="41" t="str">
        <f t="shared" si="2"/>
        <v>NO</v>
      </c>
      <c r="M64" s="1">
        <f>(Sintesi!$C$29*F64*1000)</f>
        <v>23.3</v>
      </c>
      <c r="N64" s="1">
        <f>Sintesi!$C$30*F64*1000</f>
        <v>10.700000000000001</v>
      </c>
      <c r="O64" s="1">
        <f t="shared" si="0"/>
        <v>12.6</v>
      </c>
      <c r="P64" s="1">
        <f>Sintesi!$C$33*G64*1000</f>
        <v>231.3</v>
      </c>
      <c r="Q64" s="1">
        <f>Sintesi!$C$34*G64*1000</f>
        <v>115.20000000000002</v>
      </c>
      <c r="R64" s="1">
        <f t="shared" si="1"/>
        <v>116.1</v>
      </c>
    </row>
    <row r="65" spans="1:18">
      <c r="A65" s="41">
        <v>64</v>
      </c>
      <c r="B65" s="42">
        <f>DATE(Sintesi!$C$4-1,12,31)+A65</f>
        <v>44260</v>
      </c>
      <c r="C65" s="41">
        <f>'Paste cell here'!B65</f>
        <v>0</v>
      </c>
      <c r="D65" s="41">
        <f>'Paste cell here'!I65</f>
        <v>0</v>
      </c>
      <c r="E65" s="1">
        <f>'Paste cell here'!H65</f>
        <v>0.13379199921682025</v>
      </c>
      <c r="F65" s="1">
        <f>Sintesi!$C$5</f>
        <v>0.1</v>
      </c>
      <c r="G65" s="1">
        <f>'Paste cell here'!AA65</f>
        <v>0.9</v>
      </c>
      <c r="H65" s="43">
        <f>'Paste cell here'!U65</f>
        <v>7.1843547271553714</v>
      </c>
      <c r="I65" s="43">
        <f>'Paste cell here'!AE65</f>
        <v>251.61636804756628</v>
      </c>
      <c r="J65" s="44">
        <f>'Paste cell here'!U64+'Paste cell here'!AF65</f>
        <v>259.74587387285584</v>
      </c>
      <c r="K65" s="45">
        <f>'Paste cell here'!AG65</f>
        <v>242.54667879055665</v>
      </c>
      <c r="L65" s="41" t="str">
        <f t="shared" si="2"/>
        <v>NO</v>
      </c>
      <c r="M65" s="1">
        <f>(Sintesi!$C$29*F65*1000)</f>
        <v>23.3</v>
      </c>
      <c r="N65" s="1">
        <f>Sintesi!$C$30*F65*1000</f>
        <v>10.700000000000001</v>
      </c>
      <c r="O65" s="1">
        <f t="shared" si="0"/>
        <v>12.6</v>
      </c>
      <c r="P65" s="1">
        <f>Sintesi!$C$33*G65*1000</f>
        <v>231.3</v>
      </c>
      <c r="Q65" s="1">
        <f>Sintesi!$C$34*G65*1000</f>
        <v>115.20000000000002</v>
      </c>
      <c r="R65" s="1">
        <f t="shared" si="1"/>
        <v>116.1</v>
      </c>
    </row>
    <row r="66" spans="1:18">
      <c r="A66" s="41">
        <v>65</v>
      </c>
      <c r="B66" s="42">
        <f>DATE(Sintesi!$C$4-1,12,31)+A66</f>
        <v>44261</v>
      </c>
      <c r="C66" s="41">
        <f>'Paste cell here'!B66</f>
        <v>0.55999999999999794</v>
      </c>
      <c r="D66" s="41">
        <f>'Paste cell here'!I66</f>
        <v>0</v>
      </c>
      <c r="E66" s="1">
        <f>'Paste cell here'!H66</f>
        <v>0.11356312618637594</v>
      </c>
      <c r="F66" s="1">
        <f>Sintesi!$C$5</f>
        <v>0.1</v>
      </c>
      <c r="G66" s="1">
        <f>'Paste cell here'!AA66</f>
        <v>0.9</v>
      </c>
      <c r="H66" s="43">
        <f>'Paste cell here'!U66</f>
        <v>7.466747463230921</v>
      </c>
      <c r="I66" s="43">
        <f>'Paste cell here'!AE66</f>
        <v>251.09372385009885</v>
      </c>
      <c r="J66" s="44">
        <f>'Paste cell here'!U65+'Paste cell here'!AF66</f>
        <v>258.80072277472163</v>
      </c>
      <c r="K66" s="45">
        <f>'Paste cell here'!AG66</f>
        <v>244.36909796186941</v>
      </c>
      <c r="L66" s="41" t="str">
        <f t="shared" si="2"/>
        <v>NO</v>
      </c>
      <c r="M66" s="1">
        <f>(Sintesi!$C$29*F66*1000)</f>
        <v>23.3</v>
      </c>
      <c r="N66" s="1">
        <f>Sintesi!$C$30*F66*1000</f>
        <v>10.700000000000001</v>
      </c>
      <c r="O66" s="1">
        <f t="shared" ref="O66:O129" si="3">M66-N66</f>
        <v>12.6</v>
      </c>
      <c r="P66" s="1">
        <f>Sintesi!$C$33*G66*1000</f>
        <v>231.3</v>
      </c>
      <c r="Q66" s="1">
        <f>Sintesi!$C$34*G66*1000</f>
        <v>115.20000000000002</v>
      </c>
      <c r="R66" s="1">
        <f t="shared" ref="R66:R129" si="4">P66-Q66</f>
        <v>116.1</v>
      </c>
    </row>
    <row r="67" spans="1:18">
      <c r="A67" s="41">
        <v>66</v>
      </c>
      <c r="B67" s="42">
        <f>DATE(Sintesi!$C$4-1,12,31)+A67</f>
        <v>44262</v>
      </c>
      <c r="C67" s="41">
        <f>'Paste cell here'!B67</f>
        <v>0</v>
      </c>
      <c r="D67" s="41">
        <f>'Paste cell here'!I67</f>
        <v>0</v>
      </c>
      <c r="E67" s="1">
        <f>'Paste cell here'!H67</f>
        <v>0.13945088010620538</v>
      </c>
      <c r="F67" s="1">
        <f>Sintesi!$C$5</f>
        <v>0.1</v>
      </c>
      <c r="G67" s="1">
        <f>'Paste cell here'!AA67</f>
        <v>0.9</v>
      </c>
      <c r="H67" s="43">
        <f>'Paste cell here'!U67</f>
        <v>7.1388685663852804</v>
      </c>
      <c r="I67" s="43">
        <f>'Paste cell here'!AE67</f>
        <v>250.58510669358458</v>
      </c>
      <c r="J67" s="44">
        <f>'Paste cell here'!U66+'Paste cell here'!AF67</f>
        <v>258.5604713133298</v>
      </c>
      <c r="K67" s="45">
        <f>'Paste cell here'!AG67</f>
        <v>242.03687021123196</v>
      </c>
      <c r="L67" s="41" t="str">
        <f t="shared" ref="L67:L130" si="5">IF(J67&lt;K67,"YES","NO")</f>
        <v>NO</v>
      </c>
      <c r="M67" s="1">
        <f>(Sintesi!$C$29*F67*1000)</f>
        <v>23.3</v>
      </c>
      <c r="N67" s="1">
        <f>Sintesi!$C$30*F67*1000</f>
        <v>10.700000000000001</v>
      </c>
      <c r="O67" s="1">
        <f t="shared" si="3"/>
        <v>12.6</v>
      </c>
      <c r="P67" s="1">
        <f>Sintesi!$C$33*G67*1000</f>
        <v>231.3</v>
      </c>
      <c r="Q67" s="1">
        <f>Sintesi!$C$34*G67*1000</f>
        <v>115.20000000000002</v>
      </c>
      <c r="R67" s="1">
        <f t="shared" si="4"/>
        <v>116.1</v>
      </c>
    </row>
    <row r="68" spans="1:18">
      <c r="A68" s="41">
        <v>67</v>
      </c>
      <c r="B68" s="42">
        <f>DATE(Sintesi!$C$4-1,12,31)+A68</f>
        <v>44263</v>
      </c>
      <c r="C68" s="41">
        <f>'Paste cell here'!B68</f>
        <v>0</v>
      </c>
      <c r="D68" s="41">
        <f>'Paste cell here'!I68</f>
        <v>0</v>
      </c>
      <c r="E68" s="1">
        <f>'Paste cell here'!H68</f>
        <v>0.12751911429165108</v>
      </c>
      <c r="F68" s="1">
        <f>Sintesi!$C$5</f>
        <v>0.1</v>
      </c>
      <c r="G68" s="1">
        <f>'Paste cell here'!AA68</f>
        <v>0.9</v>
      </c>
      <c r="H68" s="43">
        <f>'Paste cell here'!U68</f>
        <v>6.8573402760520441</v>
      </c>
      <c r="I68" s="43">
        <f>'Paste cell here'!AE68</f>
        <v>250.08981953983104</v>
      </c>
      <c r="J68" s="44">
        <f>'Paste cell here'!U67+'Paste cell here'!AF68</f>
        <v>257.72397525996985</v>
      </c>
      <c r="K68" s="45">
        <f>'Paste cell here'!AG68</f>
        <v>243.11180299346518</v>
      </c>
      <c r="L68" s="41" t="str">
        <f t="shared" si="5"/>
        <v>NO</v>
      </c>
      <c r="M68" s="1">
        <f>(Sintesi!$C$29*F68*1000)</f>
        <v>23.3</v>
      </c>
      <c r="N68" s="1">
        <f>Sintesi!$C$30*F68*1000</f>
        <v>10.700000000000001</v>
      </c>
      <c r="O68" s="1">
        <f t="shared" si="3"/>
        <v>12.6</v>
      </c>
      <c r="P68" s="1">
        <f>Sintesi!$C$33*G68*1000</f>
        <v>231.3</v>
      </c>
      <c r="Q68" s="1">
        <f>Sintesi!$C$34*G68*1000</f>
        <v>115.20000000000002</v>
      </c>
      <c r="R68" s="1">
        <f t="shared" si="4"/>
        <v>116.1</v>
      </c>
    </row>
    <row r="69" spans="1:18">
      <c r="A69" s="41">
        <v>68</v>
      </c>
      <c r="B69" s="42">
        <f>DATE(Sintesi!$C$4-1,12,31)+A69</f>
        <v>44264</v>
      </c>
      <c r="C69" s="41">
        <f>'Paste cell here'!B69</f>
        <v>0</v>
      </c>
      <c r="D69" s="41">
        <f>'Paste cell here'!I69</f>
        <v>0</v>
      </c>
      <c r="E69" s="1">
        <f>'Paste cell here'!H69</f>
        <v>0.12625401359086055</v>
      </c>
      <c r="F69" s="1">
        <f>Sintesi!$C$5</f>
        <v>0.1</v>
      </c>
      <c r="G69" s="1">
        <f>'Paste cell here'!AA69</f>
        <v>0.9</v>
      </c>
      <c r="H69" s="43">
        <f>'Paste cell here'!U69</f>
        <v>6.5984770494884266</v>
      </c>
      <c r="I69" s="43">
        <f>'Paste cell here'!AE69</f>
        <v>249.6072151903038</v>
      </c>
      <c r="J69" s="44">
        <f>'Paste cell here'!U68+'Paste cell here'!AF69</f>
        <v>256.94715981588314</v>
      </c>
      <c r="K69" s="45">
        <f>'Paste cell here'!AG69</f>
        <v>243.22577591559937</v>
      </c>
      <c r="L69" s="41" t="str">
        <f t="shared" si="5"/>
        <v>NO</v>
      </c>
      <c r="M69" s="1">
        <f>(Sintesi!$C$29*F69*1000)</f>
        <v>23.3</v>
      </c>
      <c r="N69" s="1">
        <f>Sintesi!$C$30*F69*1000</f>
        <v>10.700000000000001</v>
      </c>
      <c r="O69" s="1">
        <f t="shared" si="3"/>
        <v>12.6</v>
      </c>
      <c r="P69" s="1">
        <f>Sintesi!$C$33*G69*1000</f>
        <v>231.3</v>
      </c>
      <c r="Q69" s="1">
        <f>Sintesi!$C$34*G69*1000</f>
        <v>115.20000000000002</v>
      </c>
      <c r="R69" s="1">
        <f t="shared" si="4"/>
        <v>116.1</v>
      </c>
    </row>
    <row r="70" spans="1:18">
      <c r="A70" s="41">
        <v>69</v>
      </c>
      <c r="B70" s="42">
        <f>DATE(Sintesi!$C$4-1,12,31)+A70</f>
        <v>44265</v>
      </c>
      <c r="C70" s="41">
        <f>'Paste cell here'!B70</f>
        <v>0</v>
      </c>
      <c r="D70" s="41">
        <f>'Paste cell here'!I70</f>
        <v>0</v>
      </c>
      <c r="E70" s="1">
        <f>'Paste cell here'!H70</f>
        <v>0.11885581179163347</v>
      </c>
      <c r="F70" s="1">
        <f>Sintesi!$C$5</f>
        <v>0.1</v>
      </c>
      <c r="G70" s="1">
        <f>'Paste cell here'!AA70</f>
        <v>0.9</v>
      </c>
      <c r="H70" s="43">
        <f>'Paste cell here'!U70</f>
        <v>6.3723924354607124</v>
      </c>
      <c r="I70" s="43">
        <f>'Paste cell here'!AE70</f>
        <v>249.13669168411079</v>
      </c>
      <c r="J70" s="44">
        <f>'Paste cell here'!U69+'Paste cell here'!AF70</f>
        <v>256.20569223979226</v>
      </c>
      <c r="K70" s="45">
        <f>'Paste cell here'!AG70</f>
        <v>243.89227991569174</v>
      </c>
      <c r="L70" s="41" t="str">
        <f t="shared" si="5"/>
        <v>NO</v>
      </c>
      <c r="M70" s="1">
        <f>(Sintesi!$C$29*F70*1000)</f>
        <v>23.3</v>
      </c>
      <c r="N70" s="1">
        <f>Sintesi!$C$30*F70*1000</f>
        <v>10.700000000000001</v>
      </c>
      <c r="O70" s="1">
        <f t="shared" si="3"/>
        <v>12.6</v>
      </c>
      <c r="P70" s="1">
        <f>Sintesi!$C$33*G70*1000</f>
        <v>231.3</v>
      </c>
      <c r="Q70" s="1">
        <f>Sintesi!$C$34*G70*1000</f>
        <v>115.20000000000002</v>
      </c>
      <c r="R70" s="1">
        <f t="shared" si="4"/>
        <v>116.1</v>
      </c>
    </row>
    <row r="71" spans="1:18">
      <c r="A71" s="41">
        <v>70</v>
      </c>
      <c r="B71" s="42">
        <f>DATE(Sintesi!$C$4-1,12,31)+A71</f>
        <v>44266</v>
      </c>
      <c r="C71" s="41">
        <f>'Paste cell here'!B71</f>
        <v>0</v>
      </c>
      <c r="D71" s="41">
        <f>'Paste cell here'!I71</f>
        <v>0</v>
      </c>
      <c r="E71" s="1">
        <f>'Paste cell here'!H71</f>
        <v>0.11400695763764448</v>
      </c>
      <c r="F71" s="1">
        <f>Sintesi!$C$5</f>
        <v>0.1</v>
      </c>
      <c r="G71" s="1">
        <f>'Paste cell here'!AA71</f>
        <v>0.9</v>
      </c>
      <c r="H71" s="43">
        <f>'Paste cell here'!U71</f>
        <v>6.2551724884728239</v>
      </c>
      <c r="I71" s="43">
        <f>'Paste cell here'!AE71</f>
        <v>248.67768821260626</v>
      </c>
      <c r="J71" s="44">
        <f>'Paste cell here'!U70+'Paste cell here'!AF71</f>
        <v>255.5090841195715</v>
      </c>
      <c r="K71" s="45">
        <f>'Paste cell here'!AG71</f>
        <v>244.32911318642462</v>
      </c>
      <c r="L71" s="41" t="str">
        <f t="shared" si="5"/>
        <v>NO</v>
      </c>
      <c r="M71" s="1">
        <f>(Sintesi!$C$29*F71*1000)</f>
        <v>23.3</v>
      </c>
      <c r="N71" s="1">
        <f>Sintesi!$C$30*F71*1000</f>
        <v>10.700000000000001</v>
      </c>
      <c r="O71" s="1">
        <f t="shared" si="3"/>
        <v>12.6</v>
      </c>
      <c r="P71" s="1">
        <f>Sintesi!$C$33*G71*1000</f>
        <v>231.3</v>
      </c>
      <c r="Q71" s="1">
        <f>Sintesi!$C$34*G71*1000</f>
        <v>115.20000000000002</v>
      </c>
      <c r="R71" s="1">
        <f t="shared" si="4"/>
        <v>116.1</v>
      </c>
    </row>
    <row r="72" spans="1:18">
      <c r="A72" s="41">
        <v>71</v>
      </c>
      <c r="B72" s="42">
        <f>DATE(Sintesi!$C$4-1,12,31)+A72</f>
        <v>44267</v>
      </c>
      <c r="C72" s="41">
        <f>'Paste cell here'!B72</f>
        <v>0</v>
      </c>
      <c r="D72" s="41">
        <f>'Paste cell here'!I72</f>
        <v>0</v>
      </c>
      <c r="E72" s="1">
        <f>'Paste cell here'!H72</f>
        <v>0.14764388479143667</v>
      </c>
      <c r="F72" s="1">
        <f>Sintesi!$C$5</f>
        <v>0.1</v>
      </c>
      <c r="G72" s="1">
        <f>'Paste cell here'!AA72</f>
        <v>0.9</v>
      </c>
      <c r="H72" s="43">
        <f>'Paste cell here'!U72</f>
        <v>6.0812343619575948</v>
      </c>
      <c r="I72" s="43">
        <f>'Paste cell here'!AE72</f>
        <v>248.22968148276505</v>
      </c>
      <c r="J72" s="44">
        <f>'Paste cell here'!U71+'Paste cell here'!AF72</f>
        <v>254.93286070107908</v>
      </c>
      <c r="K72" s="45">
        <f>'Paste cell here'!AG72</f>
        <v>241.29876241913948</v>
      </c>
      <c r="L72" s="41" t="str">
        <f t="shared" si="5"/>
        <v>NO</v>
      </c>
      <c r="M72" s="1">
        <f>(Sintesi!$C$29*F72*1000)</f>
        <v>23.3</v>
      </c>
      <c r="N72" s="1">
        <f>Sintesi!$C$30*F72*1000</f>
        <v>10.700000000000001</v>
      </c>
      <c r="O72" s="1">
        <f t="shared" si="3"/>
        <v>12.6</v>
      </c>
      <c r="P72" s="1">
        <f>Sintesi!$C$33*G72*1000</f>
        <v>231.3</v>
      </c>
      <c r="Q72" s="1">
        <f>Sintesi!$C$34*G72*1000</f>
        <v>115.20000000000002</v>
      </c>
      <c r="R72" s="1">
        <f t="shared" si="4"/>
        <v>116.1</v>
      </c>
    </row>
    <row r="73" spans="1:18">
      <c r="A73" s="41">
        <v>72</v>
      </c>
      <c r="B73" s="42">
        <f>DATE(Sintesi!$C$4-1,12,31)+A73</f>
        <v>44268</v>
      </c>
      <c r="C73" s="41">
        <f>'Paste cell here'!B73</f>
        <v>0</v>
      </c>
      <c r="D73" s="41">
        <f>'Paste cell here'!I73</f>
        <v>0</v>
      </c>
      <c r="E73" s="1">
        <f>'Paste cell here'!H73</f>
        <v>0.10819949521860339</v>
      </c>
      <c r="F73" s="1">
        <f>Sintesi!$C$5</f>
        <v>0.1</v>
      </c>
      <c r="G73" s="1">
        <f>'Paste cell here'!AA73</f>
        <v>0.9</v>
      </c>
      <c r="H73" s="43">
        <f>'Paste cell here'!U73</f>
        <v>5.9406956525462018</v>
      </c>
      <c r="I73" s="43">
        <f>'Paste cell here'!AE73</f>
        <v>247.79218247163132</v>
      </c>
      <c r="J73" s="44">
        <f>'Paste cell here'!U72+'Paste cell here'!AF73</f>
        <v>254.31091584472267</v>
      </c>
      <c r="K73" s="45">
        <f>'Paste cell here'!AG73</f>
        <v>244.85230747575605</v>
      </c>
      <c r="L73" s="41" t="str">
        <f t="shared" si="5"/>
        <v>NO</v>
      </c>
      <c r="M73" s="1">
        <f>(Sintesi!$C$29*F73*1000)</f>
        <v>23.3</v>
      </c>
      <c r="N73" s="1">
        <f>Sintesi!$C$30*F73*1000</f>
        <v>10.700000000000001</v>
      </c>
      <c r="O73" s="1">
        <f t="shared" si="3"/>
        <v>12.6</v>
      </c>
      <c r="P73" s="1">
        <f>Sintesi!$C$33*G73*1000</f>
        <v>231.3</v>
      </c>
      <c r="Q73" s="1">
        <f>Sintesi!$C$34*G73*1000</f>
        <v>115.20000000000002</v>
      </c>
      <c r="R73" s="1">
        <f t="shared" si="4"/>
        <v>116.1</v>
      </c>
    </row>
    <row r="74" spans="1:18">
      <c r="A74" s="41">
        <v>73</v>
      </c>
      <c r="B74" s="42">
        <f>DATE(Sintesi!$C$4-1,12,31)+A74</f>
        <v>44269</v>
      </c>
      <c r="C74" s="41">
        <f>'Paste cell here'!B74</f>
        <v>0</v>
      </c>
      <c r="D74" s="41">
        <f>'Paste cell here'!I74</f>
        <v>0</v>
      </c>
      <c r="E74" s="1">
        <f>'Paste cell here'!H74</f>
        <v>0.10818235207680396</v>
      </c>
      <c r="F74" s="1">
        <f>Sintesi!$C$5</f>
        <v>0.1</v>
      </c>
      <c r="G74" s="1">
        <f>'Paste cell here'!AA74</f>
        <v>0.9</v>
      </c>
      <c r="H74" s="43">
        <f>'Paste cell here'!U74</f>
        <v>5.768211322821065</v>
      </c>
      <c r="I74" s="43">
        <f>'Paste cell here'!AE74</f>
        <v>247.36473352259804</v>
      </c>
      <c r="J74" s="44">
        <f>'Paste cell here'!U73+'Paste cell here'!AF74</f>
        <v>253.73287812417755</v>
      </c>
      <c r="K74" s="45">
        <f>'Paste cell here'!AG74</f>
        <v>244.85385190140076</v>
      </c>
      <c r="L74" s="41" t="str">
        <f t="shared" si="5"/>
        <v>NO</v>
      </c>
      <c r="M74" s="1">
        <f>(Sintesi!$C$29*F74*1000)</f>
        <v>23.3</v>
      </c>
      <c r="N74" s="1">
        <f>Sintesi!$C$30*F74*1000</f>
        <v>10.700000000000001</v>
      </c>
      <c r="O74" s="1">
        <f t="shared" si="3"/>
        <v>12.6</v>
      </c>
      <c r="P74" s="1">
        <f>Sintesi!$C$33*G74*1000</f>
        <v>231.3</v>
      </c>
      <c r="Q74" s="1">
        <f>Sintesi!$C$34*G74*1000</f>
        <v>115.20000000000002</v>
      </c>
      <c r="R74" s="1">
        <f t="shared" si="4"/>
        <v>116.1</v>
      </c>
    </row>
    <row r="75" spans="1:18">
      <c r="A75" s="41">
        <v>74</v>
      </c>
      <c r="B75" s="42">
        <f>DATE(Sintesi!$C$4-1,12,31)+A75</f>
        <v>44270</v>
      </c>
      <c r="C75" s="41">
        <f>'Paste cell here'!B75</f>
        <v>0</v>
      </c>
      <c r="D75" s="41">
        <f>'Paste cell here'!I75</f>
        <v>0</v>
      </c>
      <c r="E75" s="1">
        <f>'Paste cell here'!H75</f>
        <v>0.10000000149011612</v>
      </c>
      <c r="F75" s="1">
        <f>Sintesi!$C$5</f>
        <v>0.1</v>
      </c>
      <c r="G75" s="1">
        <f>'Paste cell here'!AA75</f>
        <v>0.9</v>
      </c>
      <c r="H75" s="43">
        <f>'Paste cell here'!U75</f>
        <v>5.6548619962304612</v>
      </c>
      <c r="I75" s="43">
        <f>'Paste cell here'!AE75</f>
        <v>246.94690574134424</v>
      </c>
      <c r="J75" s="44">
        <f>'Paste cell here'!U74+'Paste cell here'!AF75</f>
        <v>253.1329448454191</v>
      </c>
      <c r="K75" s="45">
        <f>'Paste cell here'!AG75</f>
        <v>245.59099986575546</v>
      </c>
      <c r="L75" s="41" t="str">
        <f t="shared" si="5"/>
        <v>NO</v>
      </c>
      <c r="M75" s="1">
        <f>(Sintesi!$C$29*F75*1000)</f>
        <v>23.3</v>
      </c>
      <c r="N75" s="1">
        <f>Sintesi!$C$30*F75*1000</f>
        <v>10.700000000000001</v>
      </c>
      <c r="O75" s="1">
        <f t="shared" si="3"/>
        <v>12.6</v>
      </c>
      <c r="P75" s="1">
        <f>Sintesi!$C$33*G75*1000</f>
        <v>231.3</v>
      </c>
      <c r="Q75" s="1">
        <f>Sintesi!$C$34*G75*1000</f>
        <v>115.20000000000002</v>
      </c>
      <c r="R75" s="1">
        <f t="shared" si="4"/>
        <v>116.1</v>
      </c>
    </row>
    <row r="76" spans="1:18">
      <c r="A76" s="41">
        <v>75</v>
      </c>
      <c r="B76" s="42">
        <f>DATE(Sintesi!$C$4-1,12,31)+A76</f>
        <v>44271</v>
      </c>
      <c r="C76" s="41">
        <f>'Paste cell here'!B76</f>
        <v>0</v>
      </c>
      <c r="D76" s="41">
        <f>'Paste cell here'!I76</f>
        <v>0</v>
      </c>
      <c r="E76" s="1">
        <f>'Paste cell here'!H76</f>
        <v>0.10000000149011612</v>
      </c>
      <c r="F76" s="1">
        <f>Sintesi!$C$5</f>
        <v>0.1</v>
      </c>
      <c r="G76" s="1">
        <f>'Paste cell here'!AA76</f>
        <v>0.9</v>
      </c>
      <c r="H76" s="43">
        <f>'Paste cell here'!U76</f>
        <v>5.5357661621522016</v>
      </c>
      <c r="I76" s="43">
        <f>'Paste cell here'!AE76</f>
        <v>246.53829665518907</v>
      </c>
      <c r="J76" s="44">
        <f>'Paste cell here'!U75+'Paste cell here'!AF76</f>
        <v>252.6017677375747</v>
      </c>
      <c r="K76" s="45">
        <f>'Paste cell here'!AG76</f>
        <v>245.59099986575546</v>
      </c>
      <c r="L76" s="41" t="str">
        <f t="shared" si="5"/>
        <v>NO</v>
      </c>
      <c r="M76" s="1">
        <f>(Sintesi!$C$29*F76*1000)</f>
        <v>23.3</v>
      </c>
      <c r="N76" s="1">
        <f>Sintesi!$C$30*F76*1000</f>
        <v>10.700000000000001</v>
      </c>
      <c r="O76" s="1">
        <f t="shared" si="3"/>
        <v>12.6</v>
      </c>
      <c r="P76" s="1">
        <f>Sintesi!$C$33*G76*1000</f>
        <v>231.3</v>
      </c>
      <c r="Q76" s="1">
        <f>Sintesi!$C$34*G76*1000</f>
        <v>115.20000000000002</v>
      </c>
      <c r="R76" s="1">
        <f t="shared" si="4"/>
        <v>116.1</v>
      </c>
    </row>
    <row r="77" spans="1:18">
      <c r="A77" s="41">
        <v>76</v>
      </c>
      <c r="B77" s="42">
        <f>DATE(Sintesi!$C$4-1,12,31)+A77</f>
        <v>44272</v>
      </c>
      <c r="C77" s="41">
        <f>'Paste cell here'!B77</f>
        <v>0</v>
      </c>
      <c r="D77" s="41">
        <f>'Paste cell here'!I77</f>
        <v>0</v>
      </c>
      <c r="E77" s="1">
        <f>'Paste cell here'!H77</f>
        <v>0.10000000149011612</v>
      </c>
      <c r="F77" s="1">
        <f>Sintesi!$C$5</f>
        <v>0.1</v>
      </c>
      <c r="G77" s="1">
        <f>'Paste cell here'!AA77</f>
        <v>0.9</v>
      </c>
      <c r="H77" s="43">
        <f>'Paste cell here'!U77</f>
        <v>5.4789427229788279</v>
      </c>
      <c r="I77" s="43">
        <f>'Paste cell here'!AE77</f>
        <v>246.13852810462555</v>
      </c>
      <c r="J77" s="44">
        <f>'Paste cell here'!U76+'Paste cell here'!AF77</f>
        <v>252.07406281734131</v>
      </c>
      <c r="K77" s="45">
        <f>'Paste cell here'!AG77</f>
        <v>245.59099986575546</v>
      </c>
      <c r="L77" s="41" t="str">
        <f t="shared" si="5"/>
        <v>NO</v>
      </c>
      <c r="M77" s="1">
        <f>(Sintesi!$C$29*F77*1000)</f>
        <v>23.3</v>
      </c>
      <c r="N77" s="1">
        <f>Sintesi!$C$30*F77*1000</f>
        <v>10.700000000000001</v>
      </c>
      <c r="O77" s="1">
        <f t="shared" si="3"/>
        <v>12.6</v>
      </c>
      <c r="P77" s="1">
        <f>Sintesi!$C$33*G77*1000</f>
        <v>231.3</v>
      </c>
      <c r="Q77" s="1">
        <f>Sintesi!$C$34*G77*1000</f>
        <v>115.20000000000002</v>
      </c>
      <c r="R77" s="1">
        <f t="shared" si="4"/>
        <v>116.1</v>
      </c>
    </row>
    <row r="78" spans="1:18">
      <c r="A78" s="41">
        <v>77</v>
      </c>
      <c r="B78" s="42">
        <f>DATE(Sintesi!$C$4-1,12,31)+A78</f>
        <v>44273</v>
      </c>
      <c r="C78" s="41">
        <f>'Paste cell here'!B78</f>
        <v>0.63999999999996371</v>
      </c>
      <c r="D78" s="41">
        <f>'Paste cell here'!I78</f>
        <v>0</v>
      </c>
      <c r="E78" s="1">
        <f>'Paste cell here'!H78</f>
        <v>0.10000000149011612</v>
      </c>
      <c r="F78" s="1">
        <f>Sintesi!$C$5</f>
        <v>0.1</v>
      </c>
      <c r="G78" s="1">
        <f>'Paste cell here'!AA78</f>
        <v>0.9</v>
      </c>
      <c r="H78" s="43">
        <f>'Paste cell here'!U78</f>
        <v>6.0307132675286281</v>
      </c>
      <c r="I78" s="43">
        <f>'Paste cell here'!AE78</f>
        <v>245.74724434002192</v>
      </c>
      <c r="J78" s="44">
        <f>'Paste cell here'!U77+'Paste cell here'!AF78</f>
        <v>251.61747082760439</v>
      </c>
      <c r="K78" s="45">
        <f>'Paste cell here'!AG78</f>
        <v>245.59099986575546</v>
      </c>
      <c r="L78" s="41" t="str">
        <f t="shared" si="5"/>
        <v>NO</v>
      </c>
      <c r="M78" s="1">
        <f>(Sintesi!$C$29*F78*1000)</f>
        <v>23.3</v>
      </c>
      <c r="N78" s="1">
        <f>Sintesi!$C$30*F78*1000</f>
        <v>10.700000000000001</v>
      </c>
      <c r="O78" s="1">
        <f t="shared" si="3"/>
        <v>12.6</v>
      </c>
      <c r="P78" s="1">
        <f>Sintesi!$C$33*G78*1000</f>
        <v>231.3</v>
      </c>
      <c r="Q78" s="1">
        <f>Sintesi!$C$34*G78*1000</f>
        <v>115.20000000000002</v>
      </c>
      <c r="R78" s="1">
        <f t="shared" si="4"/>
        <v>116.1</v>
      </c>
    </row>
    <row r="79" spans="1:18">
      <c r="A79" s="41">
        <v>78</v>
      </c>
      <c r="B79" s="42">
        <f>DATE(Sintesi!$C$4-1,12,31)+A79</f>
        <v>44274</v>
      </c>
      <c r="C79" s="41">
        <f>'Paste cell here'!B79</f>
        <v>0</v>
      </c>
      <c r="D79" s="41">
        <f>'Paste cell here'!I79</f>
        <v>0</v>
      </c>
      <c r="E79" s="1">
        <f>'Paste cell here'!H79</f>
        <v>0.10626596679443415</v>
      </c>
      <c r="F79" s="1">
        <f>Sintesi!$C$5</f>
        <v>0.1</v>
      </c>
      <c r="G79" s="1">
        <f>'Paste cell here'!AA79</f>
        <v>0.9</v>
      </c>
      <c r="H79" s="43">
        <f>'Paste cell here'!U79</f>
        <v>5.8934731429823524</v>
      </c>
      <c r="I79" s="43">
        <f>'Paste cell here'!AE79</f>
        <v>245.36411030007048</v>
      </c>
      <c r="J79" s="44">
        <f>'Paste cell here'!U78+'Paste cell here'!AF79</f>
        <v>251.77795760755058</v>
      </c>
      <c r="K79" s="45">
        <f>'Paste cell here'!AG79</f>
        <v>245.02649905148945</v>
      </c>
      <c r="L79" s="41" t="str">
        <f t="shared" si="5"/>
        <v>NO</v>
      </c>
      <c r="M79" s="1">
        <f>(Sintesi!$C$29*F79*1000)</f>
        <v>23.3</v>
      </c>
      <c r="N79" s="1">
        <f>Sintesi!$C$30*F79*1000</f>
        <v>10.700000000000001</v>
      </c>
      <c r="O79" s="1">
        <f t="shared" si="3"/>
        <v>12.6</v>
      </c>
      <c r="P79" s="1">
        <f>Sintesi!$C$33*G79*1000</f>
        <v>231.3</v>
      </c>
      <c r="Q79" s="1">
        <f>Sintesi!$C$34*G79*1000</f>
        <v>115.20000000000002</v>
      </c>
      <c r="R79" s="1">
        <f t="shared" si="4"/>
        <v>116.1</v>
      </c>
    </row>
    <row r="80" spans="1:18">
      <c r="A80" s="41">
        <v>79</v>
      </c>
      <c r="B80" s="42">
        <f>DATE(Sintesi!$C$4-1,12,31)+A80</f>
        <v>44275</v>
      </c>
      <c r="C80" s="41">
        <f>'Paste cell here'!B80</f>
        <v>0</v>
      </c>
      <c r="D80" s="41">
        <f>'Paste cell here'!I80</f>
        <v>0</v>
      </c>
      <c r="E80" s="1">
        <f>'Paste cell here'!H80</f>
        <v>0.10314935952065432</v>
      </c>
      <c r="F80" s="1">
        <f>Sintesi!$C$5</f>
        <v>0.1</v>
      </c>
      <c r="G80" s="1">
        <f>'Paste cell here'!AA80</f>
        <v>0.9</v>
      </c>
      <c r="H80" s="43">
        <f>'Paste cell here'!U80</f>
        <v>5.7818811704110074</v>
      </c>
      <c r="I80" s="43">
        <f>'Paste cell here'!AE80</f>
        <v>244.98881005161431</v>
      </c>
      <c r="J80" s="44">
        <f>'Paste cell here'!U79+'Paste cell here'!AF80</f>
        <v>251.25758344305282</v>
      </c>
      <c r="K80" s="45">
        <f>'Paste cell here'!AG80</f>
        <v>245.30727420078426</v>
      </c>
      <c r="L80" s="41" t="str">
        <f t="shared" si="5"/>
        <v>NO</v>
      </c>
      <c r="M80" s="1">
        <f>(Sintesi!$C$29*F80*1000)</f>
        <v>23.3</v>
      </c>
      <c r="N80" s="1">
        <f>Sintesi!$C$30*F80*1000</f>
        <v>10.700000000000001</v>
      </c>
      <c r="O80" s="1">
        <f t="shared" si="3"/>
        <v>12.6</v>
      </c>
      <c r="P80" s="1">
        <f>Sintesi!$C$33*G80*1000</f>
        <v>231.3</v>
      </c>
      <c r="Q80" s="1">
        <f>Sintesi!$C$34*G80*1000</f>
        <v>115.20000000000002</v>
      </c>
      <c r="R80" s="1">
        <f t="shared" si="4"/>
        <v>116.1</v>
      </c>
    </row>
    <row r="81" spans="1:18">
      <c r="A81" s="41">
        <v>80</v>
      </c>
      <c r="B81" s="42">
        <f>DATE(Sintesi!$C$4-1,12,31)+A81</f>
        <v>44276</v>
      </c>
      <c r="C81" s="41">
        <f>'Paste cell here'!B81</f>
        <v>0</v>
      </c>
      <c r="D81" s="41">
        <f>'Paste cell here'!I81</f>
        <v>0</v>
      </c>
      <c r="E81" s="1">
        <f>'Paste cell here'!H81</f>
        <v>0.10114502479306103</v>
      </c>
      <c r="F81" s="1">
        <f>Sintesi!$C$5</f>
        <v>0.1</v>
      </c>
      <c r="G81" s="1">
        <f>'Paste cell here'!AA81</f>
        <v>0.9</v>
      </c>
      <c r="H81" s="43">
        <f>'Paste cell here'!U81</f>
        <v>5.6974569139685505</v>
      </c>
      <c r="I81" s="43">
        <f>'Paste cell here'!AE81</f>
        <v>244.62104537309176</v>
      </c>
      <c r="J81" s="44">
        <f>'Paste cell here'!U80+'Paste cell here'!AF81</f>
        <v>250.77069122202531</v>
      </c>
      <c r="K81" s="45">
        <f>'Paste cell here'!AG81</f>
        <v>245.48784471639314</v>
      </c>
      <c r="L81" s="41" t="str">
        <f t="shared" si="5"/>
        <v>NO</v>
      </c>
      <c r="M81" s="1">
        <f>(Sintesi!$C$29*F81*1000)</f>
        <v>23.3</v>
      </c>
      <c r="N81" s="1">
        <f>Sintesi!$C$30*F81*1000</f>
        <v>10.700000000000001</v>
      </c>
      <c r="O81" s="1">
        <f t="shared" si="3"/>
        <v>12.6</v>
      </c>
      <c r="P81" s="1">
        <f>Sintesi!$C$33*G81*1000</f>
        <v>231.3</v>
      </c>
      <c r="Q81" s="1">
        <f>Sintesi!$C$34*G81*1000</f>
        <v>115.20000000000002</v>
      </c>
      <c r="R81" s="1">
        <f t="shared" si="4"/>
        <v>116.1</v>
      </c>
    </row>
    <row r="82" spans="1:18">
      <c r="A82" s="41">
        <v>81</v>
      </c>
      <c r="B82" s="42">
        <f>DATE(Sintesi!$C$4-1,12,31)+A82</f>
        <v>44277</v>
      </c>
      <c r="C82" s="41">
        <f>'Paste cell here'!B82</f>
        <v>0</v>
      </c>
      <c r="D82" s="41">
        <f>'Paste cell here'!I82</f>
        <v>0</v>
      </c>
      <c r="E82" s="1">
        <f>'Paste cell here'!H82</f>
        <v>0.10662760255390964</v>
      </c>
      <c r="F82" s="1">
        <f>Sintesi!$C$5</f>
        <v>0.1</v>
      </c>
      <c r="G82" s="1">
        <f>'Paste cell here'!AA82</f>
        <v>0.9</v>
      </c>
      <c r="H82" s="43">
        <f>'Paste cell here'!U82</f>
        <v>5.6187188907790029</v>
      </c>
      <c r="I82" s="43">
        <f>'Paste cell here'!AE82</f>
        <v>244.26053446607435</v>
      </c>
      <c r="J82" s="44">
        <f>'Paste cell here'!U81+'Paste cell here'!AF82</f>
        <v>250.31850228706034</v>
      </c>
      <c r="K82" s="45">
        <f>'Paste cell here'!AG82</f>
        <v>244.99391928591828</v>
      </c>
      <c r="L82" s="41" t="str">
        <f t="shared" si="5"/>
        <v>NO</v>
      </c>
      <c r="M82" s="1">
        <f>(Sintesi!$C$29*F82*1000)</f>
        <v>23.3</v>
      </c>
      <c r="N82" s="1">
        <f>Sintesi!$C$30*F82*1000</f>
        <v>10.700000000000001</v>
      </c>
      <c r="O82" s="1">
        <f t="shared" si="3"/>
        <v>12.6</v>
      </c>
      <c r="P82" s="1">
        <f>Sintesi!$C$33*G82*1000</f>
        <v>231.3</v>
      </c>
      <c r="Q82" s="1">
        <f>Sintesi!$C$34*G82*1000</f>
        <v>115.20000000000002</v>
      </c>
      <c r="R82" s="1">
        <f t="shared" si="4"/>
        <v>116.1</v>
      </c>
    </row>
    <row r="83" spans="1:18">
      <c r="A83" s="41">
        <v>82</v>
      </c>
      <c r="B83" s="42">
        <f>DATE(Sintesi!$C$4-1,12,31)+A83</f>
        <v>44278</v>
      </c>
      <c r="C83" s="41">
        <f>'Paste cell here'!B83</f>
        <v>0</v>
      </c>
      <c r="D83" s="41">
        <f>'Paste cell here'!I83</f>
        <v>0</v>
      </c>
      <c r="E83" s="1">
        <f>'Paste cell here'!H83</f>
        <v>0.10000000149011612</v>
      </c>
      <c r="F83" s="1">
        <f>Sintesi!$C$5</f>
        <v>0.1</v>
      </c>
      <c r="G83" s="1">
        <f>'Paste cell here'!AA83</f>
        <v>0.9</v>
      </c>
      <c r="H83" s="43">
        <f>'Paste cell here'!U83</f>
        <v>5.5504615871477778</v>
      </c>
      <c r="I83" s="43">
        <f>'Paste cell here'!AE83</f>
        <v>243.90701078128924</v>
      </c>
      <c r="J83" s="44">
        <f>'Paste cell here'!U82+'Paste cell here'!AF83</f>
        <v>249.87925335685333</v>
      </c>
      <c r="K83" s="45">
        <f>'Paste cell here'!AG83</f>
        <v>245.59099986575546</v>
      </c>
      <c r="L83" s="41" t="str">
        <f t="shared" si="5"/>
        <v>NO</v>
      </c>
      <c r="M83" s="1">
        <f>(Sintesi!$C$29*F83*1000)</f>
        <v>23.3</v>
      </c>
      <c r="N83" s="1">
        <f>Sintesi!$C$30*F83*1000</f>
        <v>10.700000000000001</v>
      </c>
      <c r="O83" s="1">
        <f t="shared" si="3"/>
        <v>12.6</v>
      </c>
      <c r="P83" s="1">
        <f>Sintesi!$C$33*G83*1000</f>
        <v>231.3</v>
      </c>
      <c r="Q83" s="1">
        <f>Sintesi!$C$34*G83*1000</f>
        <v>115.20000000000002</v>
      </c>
      <c r="R83" s="1">
        <f t="shared" si="4"/>
        <v>116.1</v>
      </c>
    </row>
    <row r="84" spans="1:18">
      <c r="A84" s="41">
        <v>83</v>
      </c>
      <c r="B84" s="42">
        <f>DATE(Sintesi!$C$4-1,12,31)+A84</f>
        <v>44279</v>
      </c>
      <c r="C84" s="41">
        <f>'Paste cell here'!B84</f>
        <v>0</v>
      </c>
      <c r="D84" s="41">
        <f>'Paste cell here'!I84</f>
        <v>0</v>
      </c>
      <c r="E84" s="1">
        <f>'Paste cell here'!H84</f>
        <v>0.10000000149011612</v>
      </c>
      <c r="F84" s="1">
        <f>Sintesi!$C$5</f>
        <v>0.1</v>
      </c>
      <c r="G84" s="1">
        <f>'Paste cell here'!AA84</f>
        <v>0.9</v>
      </c>
      <c r="H84" s="43">
        <f>'Paste cell here'!U84</f>
        <v>5.5013224932777067</v>
      </c>
      <c r="I84" s="43">
        <f>'Paste cell here'!AE84</f>
        <v>243.56022194717454</v>
      </c>
      <c r="J84" s="44">
        <f>'Paste cell here'!U83+'Paste cell here'!AF84</f>
        <v>249.45747236843701</v>
      </c>
      <c r="K84" s="45">
        <f>'Paste cell here'!AG84</f>
        <v>245.59099986575546</v>
      </c>
      <c r="L84" s="41" t="str">
        <f t="shared" si="5"/>
        <v>NO</v>
      </c>
      <c r="M84" s="1">
        <f>(Sintesi!$C$29*F84*1000)</f>
        <v>23.3</v>
      </c>
      <c r="N84" s="1">
        <f>Sintesi!$C$30*F84*1000</f>
        <v>10.700000000000001</v>
      </c>
      <c r="O84" s="1">
        <f t="shared" si="3"/>
        <v>12.6</v>
      </c>
      <c r="P84" s="1">
        <f>Sintesi!$C$33*G84*1000</f>
        <v>231.3</v>
      </c>
      <c r="Q84" s="1">
        <f>Sintesi!$C$34*G84*1000</f>
        <v>115.20000000000002</v>
      </c>
      <c r="R84" s="1">
        <f t="shared" si="4"/>
        <v>116.1</v>
      </c>
    </row>
    <row r="85" spans="1:18">
      <c r="A85" s="41">
        <v>84</v>
      </c>
      <c r="B85" s="42">
        <f>DATE(Sintesi!$C$4-1,12,31)+A85</f>
        <v>44280</v>
      </c>
      <c r="C85" s="41">
        <f>'Paste cell here'!B85</f>
        <v>0</v>
      </c>
      <c r="D85" s="41">
        <f>'Paste cell here'!I85</f>
        <v>0</v>
      </c>
      <c r="E85" s="1">
        <f>'Paste cell here'!H85</f>
        <v>0.10000000149011612</v>
      </c>
      <c r="F85" s="1">
        <f>Sintesi!$C$5</f>
        <v>0.1</v>
      </c>
      <c r="G85" s="1">
        <f>'Paste cell here'!AA85</f>
        <v>0.9</v>
      </c>
      <c r="H85" s="43">
        <f>'Paste cell here'!U85</f>
        <v>5.4640380900568148</v>
      </c>
      <c r="I85" s="43">
        <f>'Paste cell here'!AE85</f>
        <v>243.21992879043901</v>
      </c>
      <c r="J85" s="44">
        <f>'Paste cell here'!U84+'Paste cell here'!AF85</f>
        <v>249.06154444045225</v>
      </c>
      <c r="K85" s="45">
        <f>'Paste cell here'!AG85</f>
        <v>245.59099986575546</v>
      </c>
      <c r="L85" s="41" t="str">
        <f t="shared" si="5"/>
        <v>NO</v>
      </c>
      <c r="M85" s="1">
        <f>(Sintesi!$C$29*F85*1000)</f>
        <v>23.3</v>
      </c>
      <c r="N85" s="1">
        <f>Sintesi!$C$30*F85*1000</f>
        <v>10.700000000000001</v>
      </c>
      <c r="O85" s="1">
        <f t="shared" si="3"/>
        <v>12.6</v>
      </c>
      <c r="P85" s="1">
        <f>Sintesi!$C$33*G85*1000</f>
        <v>231.3</v>
      </c>
      <c r="Q85" s="1">
        <f>Sintesi!$C$34*G85*1000</f>
        <v>115.20000000000002</v>
      </c>
      <c r="R85" s="1">
        <f t="shared" si="4"/>
        <v>116.1</v>
      </c>
    </row>
    <row r="86" spans="1:18">
      <c r="A86" s="41">
        <v>85</v>
      </c>
      <c r="B86" s="42">
        <f>DATE(Sintesi!$C$4-1,12,31)+A86</f>
        <v>44281</v>
      </c>
      <c r="C86" s="41">
        <f>'Paste cell here'!B86</f>
        <v>0</v>
      </c>
      <c r="D86" s="41">
        <f>'Paste cell here'!I86</f>
        <v>0</v>
      </c>
      <c r="E86" s="1">
        <f>'Paste cell here'!H86</f>
        <v>0.10000000149011612</v>
      </c>
      <c r="F86" s="1">
        <f>Sintesi!$C$5</f>
        <v>0.1</v>
      </c>
      <c r="G86" s="1">
        <f>'Paste cell here'!AA86</f>
        <v>0.9</v>
      </c>
      <c r="H86" s="43">
        <f>'Paste cell here'!U86</f>
        <v>5.4366728475573192</v>
      </c>
      <c r="I86" s="43">
        <f>'Paste cell here'!AE86</f>
        <v>242.8859044393395</v>
      </c>
      <c r="J86" s="44">
        <f>'Paste cell here'!U85+'Paste cell here'!AF86</f>
        <v>248.68396688049583</v>
      </c>
      <c r="K86" s="45">
        <f>'Paste cell here'!AG86</f>
        <v>245.59099986575546</v>
      </c>
      <c r="L86" s="41" t="str">
        <f t="shared" si="5"/>
        <v>NO</v>
      </c>
      <c r="M86" s="1">
        <f>(Sintesi!$C$29*F86*1000)</f>
        <v>23.3</v>
      </c>
      <c r="N86" s="1">
        <f>Sintesi!$C$30*F86*1000</f>
        <v>10.700000000000001</v>
      </c>
      <c r="O86" s="1">
        <f t="shared" si="3"/>
        <v>12.6</v>
      </c>
      <c r="P86" s="1">
        <f>Sintesi!$C$33*G86*1000</f>
        <v>231.3</v>
      </c>
      <c r="Q86" s="1">
        <f>Sintesi!$C$34*G86*1000</f>
        <v>115.20000000000002</v>
      </c>
      <c r="R86" s="1">
        <f t="shared" si="4"/>
        <v>116.1</v>
      </c>
    </row>
    <row r="87" spans="1:18">
      <c r="A87" s="41">
        <v>86</v>
      </c>
      <c r="B87" s="42">
        <f>DATE(Sintesi!$C$4-1,12,31)+A87</f>
        <v>44282</v>
      </c>
      <c r="C87" s="41">
        <f>'Paste cell here'!B87</f>
        <v>0</v>
      </c>
      <c r="D87" s="41">
        <f>'Paste cell here'!I87</f>
        <v>0</v>
      </c>
      <c r="E87" s="1">
        <f>'Paste cell here'!H87</f>
        <v>0.10000000149011612</v>
      </c>
      <c r="F87" s="1">
        <f>Sintesi!$C$5</f>
        <v>0.1</v>
      </c>
      <c r="G87" s="1">
        <f>'Paste cell here'!AA87</f>
        <v>0.9</v>
      </c>
      <c r="H87" s="43">
        <f>'Paste cell here'!U87</f>
        <v>5.4233713450575411</v>
      </c>
      <c r="I87" s="43">
        <f>'Paste cell here'!AE87</f>
        <v>242.55793350145876</v>
      </c>
      <c r="J87" s="44">
        <f>'Paste cell here'!U86+'Paste cell here'!AF87</f>
        <v>248.32257728689683</v>
      </c>
      <c r="K87" s="45">
        <f>'Paste cell here'!AG87</f>
        <v>245.59099986575546</v>
      </c>
      <c r="L87" s="41" t="str">
        <f t="shared" si="5"/>
        <v>NO</v>
      </c>
      <c r="M87" s="1">
        <f>(Sintesi!$C$29*F87*1000)</f>
        <v>23.3</v>
      </c>
      <c r="N87" s="1">
        <f>Sintesi!$C$30*F87*1000</f>
        <v>10.700000000000001</v>
      </c>
      <c r="O87" s="1">
        <f t="shared" si="3"/>
        <v>12.6</v>
      </c>
      <c r="P87" s="1">
        <f>Sintesi!$C$33*G87*1000</f>
        <v>231.3</v>
      </c>
      <c r="Q87" s="1">
        <f>Sintesi!$C$34*G87*1000</f>
        <v>115.20000000000002</v>
      </c>
      <c r="R87" s="1">
        <f t="shared" si="4"/>
        <v>116.1</v>
      </c>
    </row>
    <row r="88" spans="1:18">
      <c r="A88" s="41">
        <v>87</v>
      </c>
      <c r="B88" s="42">
        <f>DATE(Sintesi!$C$4-1,12,31)+A88</f>
        <v>44283</v>
      </c>
      <c r="C88" s="41">
        <f>'Paste cell here'!B88</f>
        <v>0</v>
      </c>
      <c r="D88" s="41">
        <f>'Paste cell here'!I88</f>
        <v>0</v>
      </c>
      <c r="E88" s="1">
        <f>'Paste cell here'!H88</f>
        <v>0.12856820202121511</v>
      </c>
      <c r="F88" s="1">
        <f>Sintesi!$C$5</f>
        <v>0.1</v>
      </c>
      <c r="G88" s="1">
        <f>'Paste cell here'!AA88</f>
        <v>0.9</v>
      </c>
      <c r="H88" s="43">
        <f>'Paste cell here'!U88</f>
        <v>5.4055806125766122</v>
      </c>
      <c r="I88" s="43">
        <f>'Paste cell here'!AE88</f>
        <v>242.23581130870193</v>
      </c>
      <c r="J88" s="44">
        <f>'Paste cell here'!U87+'Paste cell here'!AF88</f>
        <v>247.98130484651628</v>
      </c>
      <c r="K88" s="45">
        <f>'Paste cell here'!AG88</f>
        <v>243.01729067990874</v>
      </c>
      <c r="L88" s="41" t="str">
        <f t="shared" si="5"/>
        <v>NO</v>
      </c>
      <c r="M88" s="1">
        <f>(Sintesi!$C$29*F88*1000)</f>
        <v>23.3</v>
      </c>
      <c r="N88" s="1">
        <f>Sintesi!$C$30*F88*1000</f>
        <v>10.700000000000001</v>
      </c>
      <c r="O88" s="1">
        <f t="shared" si="3"/>
        <v>12.6</v>
      </c>
      <c r="P88" s="1">
        <f>Sintesi!$C$33*G88*1000</f>
        <v>231.3</v>
      </c>
      <c r="Q88" s="1">
        <f>Sintesi!$C$34*G88*1000</f>
        <v>115.20000000000002</v>
      </c>
      <c r="R88" s="1">
        <f t="shared" si="4"/>
        <v>116.1</v>
      </c>
    </row>
    <row r="89" spans="1:18">
      <c r="A89" s="41">
        <v>88</v>
      </c>
      <c r="B89" s="42">
        <f>DATE(Sintesi!$C$4-1,12,31)+A89</f>
        <v>44284</v>
      </c>
      <c r="C89" s="41">
        <f>'Paste cell here'!B89</f>
        <v>0</v>
      </c>
      <c r="D89" s="41">
        <f>'Paste cell here'!I89</f>
        <v>0</v>
      </c>
      <c r="E89" s="1">
        <f>'Paste cell here'!H89</f>
        <v>0.10000000149011612</v>
      </c>
      <c r="F89" s="1">
        <f>Sintesi!$C$5</f>
        <v>0.1</v>
      </c>
      <c r="G89" s="1">
        <f>'Paste cell here'!AA89</f>
        <v>0.9</v>
      </c>
      <c r="H89" s="43">
        <f>'Paste cell here'!U89</f>
        <v>5.390271195473912</v>
      </c>
      <c r="I89" s="43">
        <f>'Paste cell here'!AE89</f>
        <v>241.91934322304661</v>
      </c>
      <c r="J89" s="44">
        <f>'Paste cell here'!U88+'Paste cell here'!AF89</f>
        <v>247.64139192127854</v>
      </c>
      <c r="K89" s="45">
        <f>'Paste cell here'!AG89</f>
        <v>245.59099986575546</v>
      </c>
      <c r="L89" s="41" t="str">
        <f t="shared" si="5"/>
        <v>NO</v>
      </c>
      <c r="M89" s="1">
        <f>(Sintesi!$C$29*F89*1000)</f>
        <v>23.3</v>
      </c>
      <c r="N89" s="1">
        <f>Sintesi!$C$30*F89*1000</f>
        <v>10.700000000000001</v>
      </c>
      <c r="O89" s="1">
        <f t="shared" si="3"/>
        <v>12.6</v>
      </c>
      <c r="P89" s="1">
        <f>Sintesi!$C$33*G89*1000</f>
        <v>231.3</v>
      </c>
      <c r="Q89" s="1">
        <f>Sintesi!$C$34*G89*1000</f>
        <v>115.20000000000002</v>
      </c>
      <c r="R89" s="1">
        <f t="shared" si="4"/>
        <v>116.1</v>
      </c>
    </row>
    <row r="90" spans="1:18">
      <c r="A90" s="41">
        <v>89</v>
      </c>
      <c r="B90" s="42">
        <f>DATE(Sintesi!$C$4-1,12,31)+A90</f>
        <v>44285</v>
      </c>
      <c r="C90" s="41">
        <f>'Paste cell here'!B90</f>
        <v>0</v>
      </c>
      <c r="D90" s="41">
        <f>'Paste cell here'!I90</f>
        <v>0</v>
      </c>
      <c r="E90" s="1">
        <f>'Paste cell here'!H90</f>
        <v>0.10000000149011612</v>
      </c>
      <c r="F90" s="1">
        <f>Sintesi!$C$5</f>
        <v>0.1</v>
      </c>
      <c r="G90" s="1">
        <f>'Paste cell here'!AA90</f>
        <v>0.9</v>
      </c>
      <c r="H90" s="43">
        <f>'Paste cell here'!U90</f>
        <v>5.3781014712574633</v>
      </c>
      <c r="I90" s="43">
        <f>'Paste cell here'!AE90</f>
        <v>241.60834399729123</v>
      </c>
      <c r="J90" s="44">
        <f>'Paste cell here'!U89+'Paste cell here'!AF90</f>
        <v>247.30961441852051</v>
      </c>
      <c r="K90" s="45">
        <f>'Paste cell here'!AG90</f>
        <v>245.59099986575546</v>
      </c>
      <c r="L90" s="41" t="str">
        <f t="shared" si="5"/>
        <v>NO</v>
      </c>
      <c r="M90" s="1">
        <f>(Sintesi!$C$29*F90*1000)</f>
        <v>23.3</v>
      </c>
      <c r="N90" s="1">
        <f>Sintesi!$C$30*F90*1000</f>
        <v>10.700000000000001</v>
      </c>
      <c r="O90" s="1">
        <f t="shared" si="3"/>
        <v>12.6</v>
      </c>
      <c r="P90" s="1">
        <f>Sintesi!$C$33*G90*1000</f>
        <v>231.3</v>
      </c>
      <c r="Q90" s="1">
        <f>Sintesi!$C$34*G90*1000</f>
        <v>115.20000000000002</v>
      </c>
      <c r="R90" s="1">
        <f t="shared" si="4"/>
        <v>116.1</v>
      </c>
    </row>
    <row r="91" spans="1:18">
      <c r="A91" s="41">
        <v>90</v>
      </c>
      <c r="B91" s="42">
        <f>DATE(Sintesi!$C$4-1,12,31)+A91</f>
        <v>44286</v>
      </c>
      <c r="C91" s="41">
        <f>'Paste cell here'!B91</f>
        <v>0</v>
      </c>
      <c r="D91" s="41">
        <f>'Paste cell here'!I91</f>
        <v>0</v>
      </c>
      <c r="E91" s="1">
        <f>'Paste cell here'!H91</f>
        <v>0.10000000149011612</v>
      </c>
      <c r="F91" s="1">
        <f>Sintesi!$C$5</f>
        <v>0.1</v>
      </c>
      <c r="G91" s="1">
        <f>'Paste cell here'!AA91</f>
        <v>0.9</v>
      </c>
      <c r="H91" s="43">
        <f>'Paste cell here'!U91</f>
        <v>5.3695742721059609</v>
      </c>
      <c r="I91" s="43">
        <f>'Paste cell here'!AE91</f>
        <v>241.30263718567338</v>
      </c>
      <c r="J91" s="44">
        <f>'Paste cell here'!U90+'Paste cell here'!AF91</f>
        <v>246.98644546854871</v>
      </c>
      <c r="K91" s="45">
        <f>'Paste cell here'!AG91</f>
        <v>245.59099986575546</v>
      </c>
      <c r="L91" s="41" t="str">
        <f t="shared" si="5"/>
        <v>NO</v>
      </c>
      <c r="M91" s="1">
        <f>(Sintesi!$C$29*F91*1000)</f>
        <v>23.3</v>
      </c>
      <c r="N91" s="1">
        <f>Sintesi!$C$30*F91*1000</f>
        <v>10.700000000000001</v>
      </c>
      <c r="O91" s="1">
        <f t="shared" si="3"/>
        <v>12.6</v>
      </c>
      <c r="P91" s="1">
        <f>Sintesi!$C$33*G91*1000</f>
        <v>231.3</v>
      </c>
      <c r="Q91" s="1">
        <f>Sintesi!$C$34*G91*1000</f>
        <v>115.20000000000002</v>
      </c>
      <c r="R91" s="1">
        <f t="shared" si="4"/>
        <v>116.1</v>
      </c>
    </row>
    <row r="92" spans="1:18">
      <c r="A92" s="41">
        <v>91</v>
      </c>
      <c r="B92" s="42">
        <f>DATE(Sintesi!$C$4-1,12,31)+A92</f>
        <v>44287</v>
      </c>
      <c r="C92" s="41">
        <f>'Paste cell here'!B92</f>
        <v>0</v>
      </c>
      <c r="D92" s="41">
        <f>'Paste cell here'!I92</f>
        <v>0</v>
      </c>
      <c r="E92" s="1">
        <f>'Paste cell here'!H92</f>
        <v>0.10000000149011612</v>
      </c>
      <c r="F92" s="1">
        <f>Sintesi!$C$5</f>
        <v>0.1</v>
      </c>
      <c r="G92" s="1">
        <f>'Paste cell here'!AA92</f>
        <v>0.9</v>
      </c>
      <c r="H92" s="43">
        <f>'Paste cell here'!U92</f>
        <v>5.3630501023159516</v>
      </c>
      <c r="I92" s="43">
        <f>'Paste cell here'!AE92</f>
        <v>241.00205459977644</v>
      </c>
      <c r="J92" s="44">
        <f>'Paste cell here'!U91+'Paste cell here'!AF92</f>
        <v>246.6722114577793</v>
      </c>
      <c r="K92" s="45">
        <f>'Paste cell here'!AG92</f>
        <v>245.59099986575546</v>
      </c>
      <c r="L92" s="41" t="str">
        <f t="shared" si="5"/>
        <v>NO</v>
      </c>
      <c r="M92" s="1">
        <f>(Sintesi!$C$29*F92*1000)</f>
        <v>23.3</v>
      </c>
      <c r="N92" s="1">
        <f>Sintesi!$C$30*F92*1000</f>
        <v>10.700000000000001</v>
      </c>
      <c r="O92" s="1">
        <f t="shared" si="3"/>
        <v>12.6</v>
      </c>
      <c r="P92" s="1">
        <f>Sintesi!$C$33*G92*1000</f>
        <v>231.3</v>
      </c>
      <c r="Q92" s="1">
        <f>Sintesi!$C$34*G92*1000</f>
        <v>115.20000000000002</v>
      </c>
      <c r="R92" s="1">
        <f t="shared" si="4"/>
        <v>116.1</v>
      </c>
    </row>
    <row r="93" spans="1:18">
      <c r="A93" s="41">
        <v>92</v>
      </c>
      <c r="B93" s="42">
        <f>DATE(Sintesi!$C$4-1,12,31)+A93</f>
        <v>44288</v>
      </c>
      <c r="C93" s="41">
        <f>'Paste cell here'!B93</f>
        <v>0</v>
      </c>
      <c r="D93" s="41">
        <f>'Paste cell here'!I93</f>
        <v>0</v>
      </c>
      <c r="E93" s="1">
        <f>'Paste cell here'!H93</f>
        <v>0.10000000149011612</v>
      </c>
      <c r="F93" s="1">
        <f>Sintesi!$C$5</f>
        <v>0.1</v>
      </c>
      <c r="G93" s="1">
        <f>'Paste cell here'!AA93</f>
        <v>0.9</v>
      </c>
      <c r="H93" s="43">
        <f>'Paste cell here'!U93</f>
        <v>5.358267457154084</v>
      </c>
      <c r="I93" s="43">
        <f>'Paste cell here'!AE93</f>
        <v>240.70643580562574</v>
      </c>
      <c r="J93" s="44">
        <f>'Paste cell here'!U92+'Paste cell here'!AF93</f>
        <v>246.36510470209242</v>
      </c>
      <c r="K93" s="45">
        <f>'Paste cell here'!AG93</f>
        <v>245.59099986575546</v>
      </c>
      <c r="L93" s="41" t="str">
        <f t="shared" si="5"/>
        <v>NO</v>
      </c>
      <c r="M93" s="1">
        <f>(Sintesi!$C$29*F93*1000)</f>
        <v>23.3</v>
      </c>
      <c r="N93" s="1">
        <f>Sintesi!$C$30*F93*1000</f>
        <v>10.700000000000001</v>
      </c>
      <c r="O93" s="1">
        <f t="shared" si="3"/>
        <v>12.6</v>
      </c>
      <c r="P93" s="1">
        <f>Sintesi!$C$33*G93*1000</f>
        <v>231.3</v>
      </c>
      <c r="Q93" s="1">
        <f>Sintesi!$C$34*G93*1000</f>
        <v>115.20000000000002</v>
      </c>
      <c r="R93" s="1">
        <f t="shared" si="4"/>
        <v>116.1</v>
      </c>
    </row>
    <row r="94" spans="1:18">
      <c r="A94" s="41">
        <v>93</v>
      </c>
      <c r="B94" s="42">
        <f>DATE(Sintesi!$C$4-1,12,31)+A94</f>
        <v>44289</v>
      </c>
      <c r="C94" s="41">
        <f>'Paste cell here'!B94</f>
        <v>0</v>
      </c>
      <c r="D94" s="41">
        <f>'Paste cell here'!I94</f>
        <v>54</v>
      </c>
      <c r="E94" s="1">
        <f>'Paste cell here'!H94</f>
        <v>0.5058587186518656</v>
      </c>
      <c r="F94" s="1">
        <f>Sintesi!$C$5</f>
        <v>0.1</v>
      </c>
      <c r="G94" s="1">
        <f>'Paste cell here'!AA94</f>
        <v>0.19999999999999998</v>
      </c>
      <c r="H94" s="43">
        <f>'Paste cell here'!U94</f>
        <v>27.452026903962331</v>
      </c>
      <c r="I94" s="43">
        <f>'Paste cell here'!AE94</f>
        <v>61.844989816778465</v>
      </c>
      <c r="J94" s="44">
        <f>'Paste cell here'!U93+'Paste cell here'!AF94</f>
        <v>58.848586525070907</v>
      </c>
      <c r="K94" s="45">
        <f>'Paste cell here'!AG94</f>
        <v>61.102517642637842</v>
      </c>
      <c r="L94" s="41" t="str">
        <f t="shared" si="5"/>
        <v>YES</v>
      </c>
      <c r="M94" s="1">
        <f>(Sintesi!$C$29*F94*1000)</f>
        <v>23.3</v>
      </c>
      <c r="N94" s="1">
        <f>Sintesi!$C$30*F94*1000</f>
        <v>10.700000000000001</v>
      </c>
      <c r="O94" s="1">
        <f t="shared" si="3"/>
        <v>12.6</v>
      </c>
      <c r="P94" s="1">
        <f>Sintesi!$C$33*G94*1000</f>
        <v>51.399999999999991</v>
      </c>
      <c r="Q94" s="1">
        <f>Sintesi!$C$34*G94*1000</f>
        <v>25.599999999999998</v>
      </c>
      <c r="R94" s="1">
        <f t="shared" si="4"/>
        <v>25.799999999999994</v>
      </c>
    </row>
    <row r="95" spans="1:18">
      <c r="A95" s="41">
        <v>94</v>
      </c>
      <c r="B95" s="42">
        <f>DATE(Sintesi!$C$4-1,12,31)+A95</f>
        <v>44290</v>
      </c>
      <c r="C95" s="41">
        <f>'Paste cell here'!B95</f>
        <v>0</v>
      </c>
      <c r="D95" s="41">
        <f>'Paste cell here'!I95</f>
        <v>0</v>
      </c>
      <c r="E95" s="1">
        <f>'Paste cell here'!H95</f>
        <v>0.53326164814825383</v>
      </c>
      <c r="F95" s="1">
        <f>Sintesi!$C$5</f>
        <v>0.1</v>
      </c>
      <c r="G95" s="1">
        <f>'Paste cell here'!AA95</f>
        <v>0.19999999999999998</v>
      </c>
      <c r="H95" s="43">
        <f>'Paste cell here'!U95</f>
        <v>22.115707181342906</v>
      </c>
      <c r="I95" s="43">
        <f>'Paste cell here'!AE95</f>
        <v>56.177736956014705</v>
      </c>
      <c r="J95" s="44">
        <f>'Paste cell here'!U94+'Paste cell here'!AF95</f>
        <v>89.2970167207408</v>
      </c>
      <c r="K95" s="45">
        <f>'Paste cell here'!AG95</f>
        <v>58.092952448707813</v>
      </c>
      <c r="L95" s="41" t="str">
        <f t="shared" si="5"/>
        <v>NO</v>
      </c>
      <c r="M95" s="1">
        <f>(Sintesi!$C$29*F95*1000)</f>
        <v>23.3</v>
      </c>
      <c r="N95" s="1">
        <f>Sintesi!$C$30*F95*1000</f>
        <v>10.700000000000001</v>
      </c>
      <c r="O95" s="1">
        <f t="shared" si="3"/>
        <v>12.6</v>
      </c>
      <c r="P95" s="1">
        <f>Sintesi!$C$33*G95*1000</f>
        <v>51.399999999999991</v>
      </c>
      <c r="Q95" s="1">
        <f>Sintesi!$C$34*G95*1000</f>
        <v>25.599999999999998</v>
      </c>
      <c r="R95" s="1">
        <f t="shared" si="4"/>
        <v>25.799999999999994</v>
      </c>
    </row>
    <row r="96" spans="1:18">
      <c r="A96" s="41">
        <v>95</v>
      </c>
      <c r="B96" s="42">
        <f>DATE(Sintesi!$C$4-1,12,31)+A96</f>
        <v>44291</v>
      </c>
      <c r="C96" s="41">
        <f>'Paste cell here'!B96</f>
        <v>0</v>
      </c>
      <c r="D96" s="41">
        <f>'Paste cell here'!I96</f>
        <v>0</v>
      </c>
      <c r="E96" s="1">
        <f>'Paste cell here'!H96</f>
        <v>0.55026720803932383</v>
      </c>
      <c r="F96" s="1">
        <f>Sintesi!$C$5</f>
        <v>0.1</v>
      </c>
      <c r="G96" s="1">
        <f>'Paste cell here'!AA96</f>
        <v>0.19999999999999998</v>
      </c>
      <c r="H96" s="43">
        <f>'Paste cell here'!U96</f>
        <v>18.389908899819169</v>
      </c>
      <c r="I96" s="43">
        <f>'Paste cell here'!AE96</f>
        <v>53.972192962368702</v>
      </c>
      <c r="J96" s="44">
        <f>'Paste cell here'!U95+'Paste cell here'!AF96</f>
        <v>78.293444137357625</v>
      </c>
      <c r="K96" s="45">
        <f>'Paste cell here'!AG96</f>
        <v>55.217899552809342</v>
      </c>
      <c r="L96" s="41" t="str">
        <f t="shared" si="5"/>
        <v>NO</v>
      </c>
      <c r="M96" s="1">
        <f>(Sintesi!$C$29*F96*1000)</f>
        <v>23.3</v>
      </c>
      <c r="N96" s="1">
        <f>Sintesi!$C$30*F96*1000</f>
        <v>10.700000000000001</v>
      </c>
      <c r="O96" s="1">
        <f t="shared" si="3"/>
        <v>12.6</v>
      </c>
      <c r="P96" s="1">
        <f>Sintesi!$C$33*G96*1000</f>
        <v>51.399999999999991</v>
      </c>
      <c r="Q96" s="1">
        <f>Sintesi!$C$34*G96*1000</f>
        <v>25.599999999999998</v>
      </c>
      <c r="R96" s="1">
        <f t="shared" si="4"/>
        <v>25.799999999999994</v>
      </c>
    </row>
    <row r="97" spans="1:18">
      <c r="A97" s="41">
        <v>96</v>
      </c>
      <c r="B97" s="42">
        <f>DATE(Sintesi!$C$4-1,12,31)+A97</f>
        <v>44292</v>
      </c>
      <c r="C97" s="41">
        <f>'Paste cell here'!B97</f>
        <v>0</v>
      </c>
      <c r="D97" s="41">
        <f>'Paste cell here'!I97</f>
        <v>0</v>
      </c>
      <c r="E97" s="1">
        <f>'Paste cell here'!H97</f>
        <v>0.55541658323626997</v>
      </c>
      <c r="F97" s="1">
        <f>Sintesi!$C$5</f>
        <v>0.1</v>
      </c>
      <c r="G97" s="1">
        <f>'Paste cell here'!AA97</f>
        <v>0.19999999999999998</v>
      </c>
      <c r="H97" s="43">
        <f>'Paste cell here'!U97</f>
        <v>14.286799468087951</v>
      </c>
      <c r="I97" s="43">
        <f>'Paste cell here'!AE97</f>
        <v>52.773217081290532</v>
      </c>
      <c r="J97" s="44">
        <f>'Paste cell here'!U96+'Paste cell here'!AF97</f>
        <v>72.36210186218787</v>
      </c>
      <c r="K97" s="45">
        <f>'Paste cell here'!AG97</f>
        <v>52.668179309450224</v>
      </c>
      <c r="L97" s="41" t="str">
        <f t="shared" si="5"/>
        <v>NO</v>
      </c>
      <c r="M97" s="1">
        <f>(Sintesi!$C$29*F97*1000)</f>
        <v>23.3</v>
      </c>
      <c r="N97" s="1">
        <f>Sintesi!$C$30*F97*1000</f>
        <v>10.700000000000001</v>
      </c>
      <c r="O97" s="1">
        <f t="shared" si="3"/>
        <v>12.6</v>
      </c>
      <c r="P97" s="1">
        <f>Sintesi!$C$33*G97*1000</f>
        <v>51.399999999999991</v>
      </c>
      <c r="Q97" s="1">
        <f>Sintesi!$C$34*G97*1000</f>
        <v>25.599999999999998</v>
      </c>
      <c r="R97" s="1">
        <f t="shared" si="4"/>
        <v>25.799999999999994</v>
      </c>
    </row>
    <row r="98" spans="1:18">
      <c r="A98" s="41">
        <v>97</v>
      </c>
      <c r="B98" s="42">
        <f>DATE(Sintesi!$C$4-1,12,31)+A98</f>
        <v>44293</v>
      </c>
      <c r="C98" s="41">
        <f>'Paste cell here'!B98</f>
        <v>0</v>
      </c>
      <c r="D98" s="41">
        <f>'Paste cell here'!I98</f>
        <v>0</v>
      </c>
      <c r="E98" s="1">
        <f>'Paste cell here'!H98</f>
        <v>0.52913526253922827</v>
      </c>
      <c r="F98" s="1">
        <f>Sintesi!$C$5</f>
        <v>0.1</v>
      </c>
      <c r="G98" s="1">
        <f>'Paste cell here'!AA98</f>
        <v>0.19999999999999998</v>
      </c>
      <c r="H98" s="43">
        <f>'Paste cell here'!U98</f>
        <v>11.574698099740475</v>
      </c>
      <c r="I98" s="43">
        <f>'Paste cell here'!AE98</f>
        <v>52.017511557111121</v>
      </c>
      <c r="J98" s="44">
        <f>'Paste cell here'!U97+'Paste cell here'!AF98</f>
        <v>67.060016549378489</v>
      </c>
      <c r="K98" s="45">
        <f>'Paste cell here'!AG98</f>
        <v>51.455299570756715</v>
      </c>
      <c r="L98" s="41" t="str">
        <f t="shared" si="5"/>
        <v>NO</v>
      </c>
      <c r="M98" s="1">
        <f>(Sintesi!$C$29*F98*1000)</f>
        <v>23.3</v>
      </c>
      <c r="N98" s="1">
        <f>Sintesi!$C$30*F98*1000</f>
        <v>10.700000000000001</v>
      </c>
      <c r="O98" s="1">
        <f t="shared" si="3"/>
        <v>12.6</v>
      </c>
      <c r="P98" s="1">
        <f>Sintesi!$C$33*G98*1000</f>
        <v>51.399999999999991</v>
      </c>
      <c r="Q98" s="1">
        <f>Sintesi!$C$34*G98*1000</f>
        <v>25.599999999999998</v>
      </c>
      <c r="R98" s="1">
        <f t="shared" si="4"/>
        <v>25.799999999999994</v>
      </c>
    </row>
    <row r="99" spans="1:18">
      <c r="A99" s="41">
        <v>98</v>
      </c>
      <c r="B99" s="42">
        <f>DATE(Sintesi!$C$4-1,12,31)+A99</f>
        <v>44294</v>
      </c>
      <c r="C99" s="41">
        <f>'Paste cell here'!B99</f>
        <v>0</v>
      </c>
      <c r="D99" s="41">
        <f>'Paste cell here'!I99</f>
        <v>0</v>
      </c>
      <c r="E99" s="1">
        <f>'Paste cell here'!H99</f>
        <v>0.54423214052226254</v>
      </c>
      <c r="F99" s="1">
        <f>Sintesi!$C$5</f>
        <v>0.1</v>
      </c>
      <c r="G99" s="1">
        <f>'Paste cell here'!AA99</f>
        <v>0.19999999999999998</v>
      </c>
      <c r="H99" s="43">
        <f>'Paste cell here'!U99</f>
        <v>9.6855941040217637</v>
      </c>
      <c r="I99" s="43">
        <f>'Paste cell here'!AE99</f>
        <v>51.495008076690901</v>
      </c>
      <c r="J99" s="44">
        <f>'Paste cell here'!U98+'Paste cell here'!AF99</f>
        <v>63.592209656851594</v>
      </c>
      <c r="K99" s="45">
        <f>'Paste cell here'!AG99</f>
        <v>48.451466169755065</v>
      </c>
      <c r="L99" s="41" t="str">
        <f t="shared" si="5"/>
        <v>NO</v>
      </c>
      <c r="M99" s="1">
        <f>(Sintesi!$C$29*F99*1000)</f>
        <v>23.3</v>
      </c>
      <c r="N99" s="1">
        <f>Sintesi!$C$30*F99*1000</f>
        <v>10.700000000000001</v>
      </c>
      <c r="O99" s="1">
        <f t="shared" si="3"/>
        <v>12.6</v>
      </c>
      <c r="P99" s="1">
        <f>Sintesi!$C$33*G99*1000</f>
        <v>51.399999999999991</v>
      </c>
      <c r="Q99" s="1">
        <f>Sintesi!$C$34*G99*1000</f>
        <v>25.599999999999998</v>
      </c>
      <c r="R99" s="1">
        <f t="shared" si="4"/>
        <v>25.799999999999994</v>
      </c>
    </row>
    <row r="100" spans="1:18">
      <c r="A100" s="41">
        <v>99</v>
      </c>
      <c r="B100" s="42">
        <f>DATE(Sintesi!$C$4-1,12,31)+A100</f>
        <v>44295</v>
      </c>
      <c r="C100" s="41">
        <f>'Paste cell here'!B100</f>
        <v>0</v>
      </c>
      <c r="D100" s="41">
        <f>'Paste cell here'!I100</f>
        <v>0</v>
      </c>
      <c r="E100" s="1">
        <f>'Paste cell here'!H100</f>
        <v>0.54421838682668966</v>
      </c>
      <c r="F100" s="1">
        <f>Sintesi!$C$5</f>
        <v>0.1</v>
      </c>
      <c r="G100" s="1">
        <f>'Paste cell here'!AA100</f>
        <v>0.19999999999999998</v>
      </c>
      <c r="H100" s="43">
        <f>'Paste cell here'!U100</f>
        <v>8.783863164942149</v>
      </c>
      <c r="I100" s="43">
        <f>'Paste cell here'!AE100</f>
        <v>51.10879561813239</v>
      </c>
      <c r="J100" s="44">
        <f>'Paste cell here'!U99+'Paste cell here'!AF100</f>
        <v>61.180602180712668</v>
      </c>
      <c r="K100" s="45">
        <f>'Paste cell here'!AG100</f>
        <v>46.132453063983945</v>
      </c>
      <c r="L100" s="41" t="str">
        <f t="shared" si="5"/>
        <v>NO</v>
      </c>
      <c r="M100" s="1">
        <f>(Sintesi!$C$29*F100*1000)</f>
        <v>23.3</v>
      </c>
      <c r="N100" s="1">
        <f>Sintesi!$C$30*F100*1000</f>
        <v>10.700000000000001</v>
      </c>
      <c r="O100" s="1">
        <f t="shared" si="3"/>
        <v>12.6</v>
      </c>
      <c r="P100" s="1">
        <f>Sintesi!$C$33*G100*1000</f>
        <v>51.399999999999991</v>
      </c>
      <c r="Q100" s="1">
        <f>Sintesi!$C$34*G100*1000</f>
        <v>25.599999999999998</v>
      </c>
      <c r="R100" s="1">
        <f t="shared" si="4"/>
        <v>25.799999999999994</v>
      </c>
    </row>
    <row r="101" spans="1:18">
      <c r="A101" s="41">
        <v>100</v>
      </c>
      <c r="B101" s="42">
        <f>DATE(Sintesi!$C$4-1,12,31)+A101</f>
        <v>44296</v>
      </c>
      <c r="C101" s="41">
        <f>'Paste cell here'!B101</f>
        <v>2.5999999999999841</v>
      </c>
      <c r="D101" s="41">
        <f>'Paste cell here'!I101</f>
        <v>0</v>
      </c>
      <c r="E101" s="1">
        <f>'Paste cell here'!H101</f>
        <v>0.599568338532113</v>
      </c>
      <c r="F101" s="1">
        <f>Sintesi!$C$5</f>
        <v>0.1</v>
      </c>
      <c r="G101" s="1">
        <f>'Paste cell here'!AA101</f>
        <v>0.19999999999999998</v>
      </c>
      <c r="H101" s="43">
        <f>'Paste cell here'!U101</f>
        <v>10.60921295648072</v>
      </c>
      <c r="I101" s="43">
        <f>'Paste cell here'!AE101</f>
        <v>50.80856623697165</v>
      </c>
      <c r="J101" s="44">
        <f>'Paste cell here'!U100+'Paste cell here'!AF101</f>
        <v>59.892658783074538</v>
      </c>
      <c r="K101" s="45">
        <f>'Paste cell here'!AG101</f>
        <v>40.671379032942212</v>
      </c>
      <c r="L101" s="41" t="str">
        <f t="shared" si="5"/>
        <v>NO</v>
      </c>
      <c r="M101" s="1">
        <f>(Sintesi!$C$29*F101*1000)</f>
        <v>23.3</v>
      </c>
      <c r="N101" s="1">
        <f>Sintesi!$C$30*F101*1000</f>
        <v>10.700000000000001</v>
      </c>
      <c r="O101" s="1">
        <f t="shared" si="3"/>
        <v>12.6</v>
      </c>
      <c r="P101" s="1">
        <f>Sintesi!$C$33*G101*1000</f>
        <v>51.399999999999991</v>
      </c>
      <c r="Q101" s="1">
        <f>Sintesi!$C$34*G101*1000</f>
        <v>25.599999999999998</v>
      </c>
      <c r="R101" s="1">
        <f t="shared" si="4"/>
        <v>25.799999999999994</v>
      </c>
    </row>
    <row r="102" spans="1:18">
      <c r="A102" s="41">
        <v>101</v>
      </c>
      <c r="B102" s="42">
        <f>DATE(Sintesi!$C$4-1,12,31)+A102</f>
        <v>44297</v>
      </c>
      <c r="C102" s="41">
        <f>'Paste cell here'!B102</f>
        <v>22.559999999999793</v>
      </c>
      <c r="D102" s="41">
        <f>'Paste cell here'!I102</f>
        <v>0</v>
      </c>
      <c r="E102" s="1">
        <f>'Paste cell here'!H102</f>
        <v>0.62324903381270402</v>
      </c>
      <c r="F102" s="1">
        <f>Sintesi!$C$5</f>
        <v>0.1</v>
      </c>
      <c r="G102" s="1">
        <f>'Paste cell here'!AA102</f>
        <v>0.19999999999999998</v>
      </c>
      <c r="H102" s="43">
        <f>'Paste cell here'!U102</f>
        <v>29.65748831633746</v>
      </c>
      <c r="I102" s="43">
        <f>'Paste cell here'!AE102</f>
        <v>50.889316307606116</v>
      </c>
      <c r="J102" s="44">
        <f>'Paste cell here'!U101+'Paste cell here'!AF102</f>
        <v>61.417779193452368</v>
      </c>
      <c r="K102" s="45">
        <f>'Paste cell here'!AG102</f>
        <v>36.670839754429949</v>
      </c>
      <c r="L102" s="41" t="str">
        <f t="shared" si="5"/>
        <v>NO</v>
      </c>
      <c r="M102" s="1">
        <f>(Sintesi!$C$29*F102*1000)</f>
        <v>23.3</v>
      </c>
      <c r="N102" s="1">
        <f>Sintesi!$C$30*F102*1000</f>
        <v>10.700000000000001</v>
      </c>
      <c r="O102" s="1">
        <f t="shared" si="3"/>
        <v>12.6</v>
      </c>
      <c r="P102" s="1">
        <f>Sintesi!$C$33*G102*1000</f>
        <v>51.399999999999991</v>
      </c>
      <c r="Q102" s="1">
        <f>Sintesi!$C$34*G102*1000</f>
        <v>25.599999999999998</v>
      </c>
      <c r="R102" s="1">
        <f t="shared" si="4"/>
        <v>25.799999999999994</v>
      </c>
    </row>
    <row r="103" spans="1:18">
      <c r="A103" s="41">
        <v>102</v>
      </c>
      <c r="B103" s="42">
        <f>DATE(Sintesi!$C$4-1,12,31)+A103</f>
        <v>44298</v>
      </c>
      <c r="C103" s="41">
        <f>'Paste cell here'!B103</f>
        <v>14.439999999999891</v>
      </c>
      <c r="D103" s="41">
        <f>'Paste cell here'!I103</f>
        <v>0</v>
      </c>
      <c r="E103" s="1">
        <f>'Paste cell here'!H103</f>
        <v>0.64947491132013835</v>
      </c>
      <c r="F103" s="1">
        <f>Sintesi!$C$5</f>
        <v>0.1</v>
      </c>
      <c r="G103" s="1">
        <f>'Paste cell here'!AA103</f>
        <v>0.19999999999999998</v>
      </c>
      <c r="H103" s="43">
        <f>'Paste cell here'!U103</f>
        <v>32.73079114748711</v>
      </c>
      <c r="I103" s="43">
        <f>'Paste cell here'!AE103</f>
        <v>55.622922469581496</v>
      </c>
      <c r="J103" s="44">
        <f>'Paste cell here'!U102+'Paste cell here'!AF103</f>
        <v>80.546804623943572</v>
      </c>
      <c r="K103" s="45">
        <f>'Paste cell here'!AG103</f>
        <v>32.302277789021375</v>
      </c>
      <c r="L103" s="41" t="str">
        <f t="shared" si="5"/>
        <v>NO</v>
      </c>
      <c r="M103" s="1">
        <f>(Sintesi!$C$29*F103*1000)</f>
        <v>23.3</v>
      </c>
      <c r="N103" s="1">
        <f>Sintesi!$C$30*F103*1000</f>
        <v>10.700000000000001</v>
      </c>
      <c r="O103" s="1">
        <f t="shared" si="3"/>
        <v>12.6</v>
      </c>
      <c r="P103" s="1">
        <f>Sintesi!$C$33*G103*1000</f>
        <v>51.399999999999991</v>
      </c>
      <c r="Q103" s="1">
        <f>Sintesi!$C$34*G103*1000</f>
        <v>25.599999999999998</v>
      </c>
      <c r="R103" s="1">
        <f t="shared" si="4"/>
        <v>25.799999999999994</v>
      </c>
    </row>
    <row r="104" spans="1:18">
      <c r="A104" s="41">
        <v>103</v>
      </c>
      <c r="B104" s="42">
        <f>DATE(Sintesi!$C$4-1,12,31)+A104</f>
        <v>44299</v>
      </c>
      <c r="C104" s="41">
        <f>'Paste cell here'!B104</f>
        <v>0</v>
      </c>
      <c r="D104" s="41">
        <f>'Paste cell here'!I104</f>
        <v>0</v>
      </c>
      <c r="E104" s="1">
        <f>'Paste cell here'!H104</f>
        <v>0.65169346497890757</v>
      </c>
      <c r="F104" s="1">
        <f>Sintesi!$C$5</f>
        <v>0.1</v>
      </c>
      <c r="G104" s="1">
        <f>'Paste cell here'!AA104</f>
        <v>0.19999999999999998</v>
      </c>
      <c r="H104" s="43">
        <f>'Paste cell here'!U104</f>
        <v>27.084953181501145</v>
      </c>
      <c r="I104" s="43">
        <f>'Paste cell here'!AE104</f>
        <v>57.158991042626589</v>
      </c>
      <c r="J104" s="44">
        <f>'Paste cell here'!U103+'Paste cell here'!AF104</f>
        <v>88.353713617068607</v>
      </c>
      <c r="K104" s="45">
        <f>'Paste cell here'!AG104</f>
        <v>32.157450606176916</v>
      </c>
      <c r="L104" s="41" t="str">
        <f t="shared" si="5"/>
        <v>NO</v>
      </c>
      <c r="M104" s="1">
        <f>(Sintesi!$C$29*F104*1000)</f>
        <v>23.3</v>
      </c>
      <c r="N104" s="1">
        <f>Sintesi!$C$30*F104*1000</f>
        <v>10.700000000000001</v>
      </c>
      <c r="O104" s="1">
        <f t="shared" si="3"/>
        <v>12.6</v>
      </c>
      <c r="P104" s="1">
        <f>Sintesi!$C$33*G104*1000</f>
        <v>51.399999999999991</v>
      </c>
      <c r="Q104" s="1">
        <f>Sintesi!$C$34*G104*1000</f>
        <v>25.599999999999998</v>
      </c>
      <c r="R104" s="1">
        <f t="shared" si="4"/>
        <v>25.799999999999994</v>
      </c>
    </row>
    <row r="105" spans="1:18">
      <c r="A105" s="41">
        <v>104</v>
      </c>
      <c r="B105" s="42">
        <f>DATE(Sintesi!$C$4-1,12,31)+A105</f>
        <v>44300</v>
      </c>
      <c r="C105" s="41">
        <f>'Paste cell here'!B105</f>
        <v>0</v>
      </c>
      <c r="D105" s="41">
        <f>'Paste cell here'!I105</f>
        <v>0</v>
      </c>
      <c r="E105" s="1">
        <f>'Paste cell here'!H105</f>
        <v>0.57335293409394283</v>
      </c>
      <c r="F105" s="1">
        <f>Sintesi!$C$5</f>
        <v>0.1</v>
      </c>
      <c r="G105" s="1">
        <f>'Paste cell here'!AA105</f>
        <v>0.19999999999999998</v>
      </c>
      <c r="H105" s="43">
        <f>'Paste cell here'!U105</f>
        <v>23.456641490801214</v>
      </c>
      <c r="I105" s="43">
        <f>'Paste cell here'!AE105</f>
        <v>56.450521215630296</v>
      </c>
      <c r="J105" s="44">
        <f>'Paste cell here'!U104+'Paste cell here'!AF105</f>
        <v>84.243944224127731</v>
      </c>
      <c r="K105" s="45">
        <f>'Paste cell here'!AG105</f>
        <v>37.271520462347411</v>
      </c>
      <c r="L105" s="41" t="str">
        <f t="shared" si="5"/>
        <v>NO</v>
      </c>
      <c r="M105" s="1">
        <f>(Sintesi!$C$29*F105*1000)</f>
        <v>23.3</v>
      </c>
      <c r="N105" s="1">
        <f>Sintesi!$C$30*F105*1000</f>
        <v>10.700000000000001</v>
      </c>
      <c r="O105" s="1">
        <f t="shared" si="3"/>
        <v>12.6</v>
      </c>
      <c r="P105" s="1">
        <f>Sintesi!$C$33*G105*1000</f>
        <v>51.399999999999991</v>
      </c>
      <c r="Q105" s="1">
        <f>Sintesi!$C$34*G105*1000</f>
        <v>25.599999999999998</v>
      </c>
      <c r="R105" s="1">
        <f t="shared" si="4"/>
        <v>25.799999999999994</v>
      </c>
    </row>
    <row r="106" spans="1:18">
      <c r="A106" s="41">
        <v>105</v>
      </c>
      <c r="B106" s="42">
        <f>DATE(Sintesi!$C$4-1,12,31)+A106</f>
        <v>44301</v>
      </c>
      <c r="C106" s="41">
        <f>'Paste cell here'!B106</f>
        <v>0</v>
      </c>
      <c r="D106" s="41">
        <f>'Paste cell here'!I106</f>
        <v>0</v>
      </c>
      <c r="E106" s="1">
        <f>'Paste cell here'!H106</f>
        <v>0.56082176359695712</v>
      </c>
      <c r="F106" s="1">
        <f>Sintesi!$C$5</f>
        <v>0.1</v>
      </c>
      <c r="G106" s="1">
        <f>'Paste cell here'!AA106</f>
        <v>0.19999999999999998</v>
      </c>
      <c r="H106" s="43">
        <f>'Paste cell here'!U106</f>
        <v>20.788971725377586</v>
      </c>
      <c r="I106" s="43">
        <f>'Paste cell here'!AE106</f>
        <v>55.582189199576241</v>
      </c>
      <c r="J106" s="44">
        <f>'Paste cell here'!U105+'Paste cell here'!AF106</f>
        <v>79.907162706431507</v>
      </c>
      <c r="K106" s="45">
        <f>'Paste cell here'!AG106</f>
        <v>38.089555272390641</v>
      </c>
      <c r="L106" s="41" t="str">
        <f t="shared" si="5"/>
        <v>NO</v>
      </c>
      <c r="M106" s="1">
        <f>(Sintesi!$C$29*F106*1000)</f>
        <v>23.3</v>
      </c>
      <c r="N106" s="1">
        <f>Sintesi!$C$30*F106*1000</f>
        <v>10.700000000000001</v>
      </c>
      <c r="O106" s="1">
        <f t="shared" si="3"/>
        <v>12.6</v>
      </c>
      <c r="P106" s="1">
        <f>Sintesi!$C$33*G106*1000</f>
        <v>51.399999999999991</v>
      </c>
      <c r="Q106" s="1">
        <f>Sintesi!$C$34*G106*1000</f>
        <v>25.599999999999998</v>
      </c>
      <c r="R106" s="1">
        <f t="shared" si="4"/>
        <v>25.799999999999994</v>
      </c>
    </row>
    <row r="107" spans="1:18">
      <c r="A107" s="41">
        <v>106</v>
      </c>
      <c r="B107" s="42">
        <f>DATE(Sintesi!$C$4-1,12,31)+A107</f>
        <v>44302</v>
      </c>
      <c r="C107" s="41">
        <f>'Paste cell here'!B107</f>
        <v>0</v>
      </c>
      <c r="D107" s="41">
        <f>'Paste cell here'!I107</f>
        <v>0</v>
      </c>
      <c r="E107" s="1">
        <f>'Paste cell here'!H107</f>
        <v>0.58509654223923713</v>
      </c>
      <c r="F107" s="1">
        <f>Sintesi!$C$5</f>
        <v>0.1</v>
      </c>
      <c r="G107" s="1">
        <f>'Paste cell here'!AA107</f>
        <v>0.19999999999999998</v>
      </c>
      <c r="H107" s="43">
        <f>'Paste cell here'!U107</f>
        <v>17.65155007181534</v>
      </c>
      <c r="I107" s="43">
        <f>'Paste cell here'!AE107</f>
        <v>54.64028067914478</v>
      </c>
      <c r="J107" s="44">
        <f>'Paste cell here'!U106+'Paste cell here'!AF107</f>
        <v>76.371160924953827</v>
      </c>
      <c r="K107" s="45">
        <f>'Paste cell here'!AG107</f>
        <v>36.504897722622601</v>
      </c>
      <c r="L107" s="41" t="str">
        <f t="shared" si="5"/>
        <v>NO</v>
      </c>
      <c r="M107" s="1">
        <f>(Sintesi!$C$29*F107*1000)</f>
        <v>23.3</v>
      </c>
      <c r="N107" s="1">
        <f>Sintesi!$C$30*F107*1000</f>
        <v>10.700000000000001</v>
      </c>
      <c r="O107" s="1">
        <f t="shared" si="3"/>
        <v>12.6</v>
      </c>
      <c r="P107" s="1">
        <f>Sintesi!$C$33*G107*1000</f>
        <v>51.399999999999991</v>
      </c>
      <c r="Q107" s="1">
        <f>Sintesi!$C$34*G107*1000</f>
        <v>25.599999999999998</v>
      </c>
      <c r="R107" s="1">
        <f t="shared" si="4"/>
        <v>25.799999999999994</v>
      </c>
    </row>
    <row r="108" spans="1:18">
      <c r="A108" s="41">
        <v>107</v>
      </c>
      <c r="B108" s="42">
        <f>DATE(Sintesi!$C$4-1,12,31)+A108</f>
        <v>44303</v>
      </c>
      <c r="C108" s="41">
        <f>'Paste cell here'!B108</f>
        <v>0</v>
      </c>
      <c r="D108" s="41">
        <f>'Paste cell here'!I108</f>
        <v>0</v>
      </c>
      <c r="E108" s="1">
        <f>'Paste cell here'!H108</f>
        <v>0.55719341291155988</v>
      </c>
      <c r="F108" s="1">
        <f>Sintesi!$C$5</f>
        <v>0.1</v>
      </c>
      <c r="G108" s="1">
        <f>'Paste cell here'!AA108</f>
        <v>0.20699999999999999</v>
      </c>
      <c r="H108" s="43">
        <f>'Paste cell here'!U108</f>
        <v>14.644341536349978</v>
      </c>
      <c r="I108" s="43">
        <f>'Paste cell here'!AE108</f>
        <v>55.608257391541535</v>
      </c>
      <c r="J108" s="44">
        <f>'Paste cell here'!U107+'Paste cell here'!AF108</f>
        <v>74.090830750960137</v>
      </c>
      <c r="K108" s="45">
        <f>'Paste cell here'!AG108</f>
        <v>39.270066396972837</v>
      </c>
      <c r="L108" s="41" t="str">
        <f t="shared" si="5"/>
        <v>NO</v>
      </c>
      <c r="M108" s="1">
        <f>(Sintesi!$C$29*F108*1000)</f>
        <v>23.3</v>
      </c>
      <c r="N108" s="1">
        <f>Sintesi!$C$30*F108*1000</f>
        <v>10.700000000000001</v>
      </c>
      <c r="O108" s="1">
        <f t="shared" si="3"/>
        <v>12.6</v>
      </c>
      <c r="P108" s="1">
        <f>Sintesi!$C$33*G108*1000</f>
        <v>53.198999999999998</v>
      </c>
      <c r="Q108" s="1">
        <f>Sintesi!$C$34*G108*1000</f>
        <v>26.495999999999999</v>
      </c>
      <c r="R108" s="1">
        <f t="shared" si="4"/>
        <v>26.702999999999999</v>
      </c>
    </row>
    <row r="109" spans="1:18">
      <c r="A109" s="41">
        <v>108</v>
      </c>
      <c r="B109" s="42">
        <f>DATE(Sintesi!$C$4-1,12,31)+A109</f>
        <v>44304</v>
      </c>
      <c r="C109" s="41">
        <f>'Paste cell here'!B109</f>
        <v>0</v>
      </c>
      <c r="D109" s="41">
        <f>'Paste cell here'!I109</f>
        <v>0</v>
      </c>
      <c r="E109" s="1">
        <f>'Paste cell here'!H109</f>
        <v>0.55746704804255831</v>
      </c>
      <c r="F109" s="1">
        <f>Sintesi!$C$5</f>
        <v>0.1</v>
      </c>
      <c r="G109" s="1">
        <f>'Paste cell here'!AA109</f>
        <v>0.214</v>
      </c>
      <c r="H109" s="43">
        <f>'Paste cell here'!U109</f>
        <v>12.482148633185302</v>
      </c>
      <c r="I109" s="43">
        <f>'Paste cell here'!AE109</f>
        <v>56.691910945013859</v>
      </c>
      <c r="J109" s="44">
        <f>'Paste cell here'!U108+'Paste cell here'!AF109</f>
        <v>72.051598927891519</v>
      </c>
      <c r="K109" s="45">
        <f>'Paste cell here'!AG109</f>
        <v>40.195015772881533</v>
      </c>
      <c r="L109" s="41" t="str">
        <f t="shared" si="5"/>
        <v>NO</v>
      </c>
      <c r="M109" s="1">
        <f>(Sintesi!$C$29*F109*1000)</f>
        <v>23.3</v>
      </c>
      <c r="N109" s="1">
        <f>Sintesi!$C$30*F109*1000</f>
        <v>10.700000000000001</v>
      </c>
      <c r="O109" s="1">
        <f t="shared" si="3"/>
        <v>12.6</v>
      </c>
      <c r="P109" s="1">
        <f>Sintesi!$C$33*G109*1000</f>
        <v>54.997999999999998</v>
      </c>
      <c r="Q109" s="1">
        <f>Sintesi!$C$34*G109*1000</f>
        <v>27.391999999999999</v>
      </c>
      <c r="R109" s="1">
        <f t="shared" si="4"/>
        <v>27.605999999999998</v>
      </c>
    </row>
    <row r="110" spans="1:18">
      <c r="A110" s="41">
        <v>109</v>
      </c>
      <c r="B110" s="42">
        <f>DATE(Sintesi!$C$4-1,12,31)+A110</f>
        <v>44305</v>
      </c>
      <c r="C110" s="41">
        <f>'Paste cell here'!B110</f>
        <v>0</v>
      </c>
      <c r="D110" s="41">
        <f>'Paste cell here'!I110</f>
        <v>0</v>
      </c>
      <c r="E110" s="1">
        <f>'Paste cell here'!H110</f>
        <v>0.56957168613098907</v>
      </c>
      <c r="F110" s="1">
        <f>Sintesi!$C$5</f>
        <v>0.1</v>
      </c>
      <c r="G110" s="1">
        <f>'Paste cell here'!AA110</f>
        <v>0.221</v>
      </c>
      <c r="H110" s="43">
        <f>'Paste cell here'!U110</f>
        <v>10.659812366525728</v>
      </c>
      <c r="I110" s="43">
        <f>'Paste cell here'!AE110</f>
        <v>57.786421707184672</v>
      </c>
      <c r="J110" s="44">
        <f>'Paste cell here'!U109+'Paste cell here'!AF110</f>
        <v>70.97305957819917</v>
      </c>
      <c r="K110" s="45">
        <f>'Paste cell here'!AG110</f>
        <v>40.292311843229989</v>
      </c>
      <c r="L110" s="41" t="str">
        <f t="shared" si="5"/>
        <v>NO</v>
      </c>
      <c r="M110" s="1">
        <f>(Sintesi!$C$29*F110*1000)</f>
        <v>23.3</v>
      </c>
      <c r="N110" s="1">
        <f>Sintesi!$C$30*F110*1000</f>
        <v>10.700000000000001</v>
      </c>
      <c r="O110" s="1">
        <f t="shared" si="3"/>
        <v>12.6</v>
      </c>
      <c r="P110" s="1">
        <f>Sintesi!$C$33*G110*1000</f>
        <v>56.796999999999997</v>
      </c>
      <c r="Q110" s="1">
        <f>Sintesi!$C$34*G110*1000</f>
        <v>28.288</v>
      </c>
      <c r="R110" s="1">
        <f t="shared" si="4"/>
        <v>28.508999999999997</v>
      </c>
    </row>
    <row r="111" spans="1:18">
      <c r="A111" s="41">
        <v>110</v>
      </c>
      <c r="B111" s="42">
        <f>DATE(Sintesi!$C$4-1,12,31)+A111</f>
        <v>44306</v>
      </c>
      <c r="C111" s="41">
        <f>'Paste cell here'!B111</f>
        <v>0.79999999999999716</v>
      </c>
      <c r="D111" s="41">
        <f>'Paste cell here'!I111</f>
        <v>0</v>
      </c>
      <c r="E111" s="1">
        <f>'Paste cell here'!H111</f>
        <v>0.5547434367479962</v>
      </c>
      <c r="F111" s="1">
        <f>Sintesi!$C$5</f>
        <v>0.1</v>
      </c>
      <c r="G111" s="1">
        <f>'Paste cell here'!AA111</f>
        <v>0.22900000000000001</v>
      </c>
      <c r="H111" s="43">
        <f>'Paste cell here'!U111</f>
        <v>9.7265870934870691</v>
      </c>
      <c r="I111" s="43">
        <f>'Paste cell here'!AE111</f>
        <v>59.094842752008027</v>
      </c>
      <c r="J111" s="44">
        <f>'Paste cell here'!U110+'Paste cell here'!AF111</f>
        <v>70.502234073710397</v>
      </c>
      <c r="K111" s="45">
        <f>'Paste cell here'!AG111</f>
        <v>42.411346614404579</v>
      </c>
      <c r="L111" s="41" t="str">
        <f t="shared" si="5"/>
        <v>NO</v>
      </c>
      <c r="M111" s="1">
        <f>(Sintesi!$C$29*F111*1000)</f>
        <v>23.3</v>
      </c>
      <c r="N111" s="1">
        <f>Sintesi!$C$30*F111*1000</f>
        <v>10.700000000000001</v>
      </c>
      <c r="O111" s="1">
        <f t="shared" si="3"/>
        <v>12.6</v>
      </c>
      <c r="P111" s="1">
        <f>Sintesi!$C$33*G111*1000</f>
        <v>58.853000000000002</v>
      </c>
      <c r="Q111" s="1">
        <f>Sintesi!$C$34*G111*1000</f>
        <v>29.312000000000001</v>
      </c>
      <c r="R111" s="1">
        <f t="shared" si="4"/>
        <v>29.541</v>
      </c>
    </row>
    <row r="112" spans="1:18">
      <c r="A112" s="41">
        <v>111</v>
      </c>
      <c r="B112" s="42">
        <f>DATE(Sintesi!$C$4-1,12,31)+A112</f>
        <v>44307</v>
      </c>
      <c r="C112" s="41">
        <f>'Paste cell here'!B112</f>
        <v>0.15999999999999945</v>
      </c>
      <c r="D112" s="41">
        <f>'Paste cell here'!I112</f>
        <v>0</v>
      </c>
      <c r="E112" s="1">
        <f>'Paste cell here'!H112</f>
        <v>0.52475339198195858</v>
      </c>
      <c r="F112" s="1">
        <f>Sintesi!$C$5</f>
        <v>0.1</v>
      </c>
      <c r="G112" s="1">
        <f>'Paste cell here'!AA112</f>
        <v>0.23600000000000002</v>
      </c>
      <c r="H112" s="43">
        <f>'Paste cell here'!U112</f>
        <v>8.6125101096470811</v>
      </c>
      <c r="I112" s="43">
        <f>'Paste cell here'!AE112</f>
        <v>60.207143116635386</v>
      </c>
      <c r="J112" s="44">
        <f>'Paste cell here'!U111+'Paste cell here'!AF112</f>
        <v>70.620429845495096</v>
      </c>
      <c r="K112" s="45">
        <f>'Paste cell here'!AG112</f>
        <v>45.553275492398583</v>
      </c>
      <c r="L112" s="41" t="str">
        <f t="shared" si="5"/>
        <v>NO</v>
      </c>
      <c r="M112" s="1">
        <f>(Sintesi!$C$29*F112*1000)</f>
        <v>23.3</v>
      </c>
      <c r="N112" s="1">
        <f>Sintesi!$C$30*F112*1000</f>
        <v>10.700000000000001</v>
      </c>
      <c r="O112" s="1">
        <f t="shared" si="3"/>
        <v>12.6</v>
      </c>
      <c r="P112" s="1">
        <f>Sintesi!$C$33*G112*1000</f>
        <v>60.652000000000001</v>
      </c>
      <c r="Q112" s="1">
        <f>Sintesi!$C$34*G112*1000</f>
        <v>30.208000000000002</v>
      </c>
      <c r="R112" s="1">
        <f t="shared" si="4"/>
        <v>30.443999999999999</v>
      </c>
    </row>
    <row r="113" spans="1:18">
      <c r="A113" s="41">
        <v>112</v>
      </c>
      <c r="B113" s="42">
        <f>DATE(Sintesi!$C$4-1,12,31)+A113</f>
        <v>44308</v>
      </c>
      <c r="C113" s="41">
        <f>'Paste cell here'!B113</f>
        <v>0</v>
      </c>
      <c r="D113" s="41">
        <f>'Paste cell here'!I113</f>
        <v>0</v>
      </c>
      <c r="E113" s="1">
        <f>'Paste cell here'!H113</f>
        <v>0.53521807033854973</v>
      </c>
      <c r="F113" s="1">
        <f>Sintesi!$C$5</f>
        <v>0.1</v>
      </c>
      <c r="G113" s="1">
        <f>'Paste cell here'!AA113</f>
        <v>0.24300000000000002</v>
      </c>
      <c r="H113" s="43">
        <f>'Paste cell here'!U113</f>
        <v>7.7070892714409078</v>
      </c>
      <c r="I113" s="43">
        <f>'Paste cell here'!AE113</f>
        <v>61.353392837236463</v>
      </c>
      <c r="J113" s="44">
        <f>'Paste cell here'!U112+'Paste cell here'!AF113</f>
        <v>70.618653226282461</v>
      </c>
      <c r="K113" s="45">
        <f>'Paste cell here'!AG113</f>
        <v>45.764911486813986</v>
      </c>
      <c r="L113" s="41" t="str">
        <f t="shared" si="5"/>
        <v>NO</v>
      </c>
      <c r="M113" s="1">
        <f>(Sintesi!$C$29*F113*1000)</f>
        <v>23.3</v>
      </c>
      <c r="N113" s="1">
        <f>Sintesi!$C$30*F113*1000</f>
        <v>10.700000000000001</v>
      </c>
      <c r="O113" s="1">
        <f t="shared" si="3"/>
        <v>12.6</v>
      </c>
      <c r="P113" s="1">
        <f>Sintesi!$C$33*G113*1000</f>
        <v>62.451000000000008</v>
      </c>
      <c r="Q113" s="1">
        <f>Sintesi!$C$34*G113*1000</f>
        <v>31.104000000000003</v>
      </c>
      <c r="R113" s="1">
        <f t="shared" si="4"/>
        <v>31.347000000000005</v>
      </c>
    </row>
    <row r="114" spans="1:18">
      <c r="A114" s="41">
        <v>113</v>
      </c>
      <c r="B114" s="42">
        <f>DATE(Sintesi!$C$4-1,12,31)+A114</f>
        <v>44309</v>
      </c>
      <c r="C114" s="41">
        <f>'Paste cell here'!B114</f>
        <v>0</v>
      </c>
      <c r="D114" s="41">
        <f>'Paste cell here'!I114</f>
        <v>0</v>
      </c>
      <c r="E114" s="1">
        <f>'Paste cell here'!H114</f>
        <v>0.53980351982859409</v>
      </c>
      <c r="F114" s="1">
        <f>Sintesi!$C$5</f>
        <v>0.1</v>
      </c>
      <c r="G114" s="1">
        <f>'Paste cell here'!AA114</f>
        <v>0.24999999999999997</v>
      </c>
      <c r="H114" s="43">
        <f>'Paste cell here'!U114</f>
        <v>7.0194092041574248</v>
      </c>
      <c r="I114" s="43">
        <f>'Paste cell here'!AE114</f>
        <v>62.490625495770338</v>
      </c>
      <c r="J114" s="44">
        <f>'Paste cell here'!U113+'Paste cell here'!AF114</f>
        <v>70.859482108677341</v>
      </c>
      <c r="K114" s="45">
        <f>'Paste cell here'!AG114</f>
        <v>46.392680630668849</v>
      </c>
      <c r="L114" s="41" t="str">
        <f t="shared" si="5"/>
        <v>NO</v>
      </c>
      <c r="M114" s="1">
        <f>(Sintesi!$C$29*F114*1000)</f>
        <v>23.3</v>
      </c>
      <c r="N114" s="1">
        <f>Sintesi!$C$30*F114*1000</f>
        <v>10.700000000000001</v>
      </c>
      <c r="O114" s="1">
        <f t="shared" si="3"/>
        <v>12.6</v>
      </c>
      <c r="P114" s="1">
        <f>Sintesi!$C$33*G114*1000</f>
        <v>64.249999999999986</v>
      </c>
      <c r="Q114" s="1">
        <f>Sintesi!$C$34*G114*1000</f>
        <v>31.999999999999993</v>
      </c>
      <c r="R114" s="1">
        <f t="shared" si="4"/>
        <v>32.249999999999993</v>
      </c>
    </row>
    <row r="115" spans="1:18">
      <c r="A115" s="41">
        <v>114</v>
      </c>
      <c r="B115" s="42">
        <f>DATE(Sintesi!$C$4-1,12,31)+A115</f>
        <v>44310</v>
      </c>
      <c r="C115" s="41">
        <f>'Paste cell here'!B115</f>
        <v>0</v>
      </c>
      <c r="D115" s="41">
        <f>'Paste cell here'!I115</f>
        <v>0</v>
      </c>
      <c r="E115" s="1">
        <f>'Paste cell here'!H115</f>
        <v>0.53009639461957836</v>
      </c>
      <c r="F115" s="1">
        <f>Sintesi!$C$5</f>
        <v>0.1</v>
      </c>
      <c r="G115" s="1">
        <f>'Paste cell here'!AA115</f>
        <v>0.25700000000000001</v>
      </c>
      <c r="H115" s="43">
        <f>'Paste cell here'!U115</f>
        <v>6.4861059861560042</v>
      </c>
      <c r="I115" s="43">
        <f>'Paste cell here'!AE115</f>
        <v>63.59216974049005</v>
      </c>
      <c r="J115" s="44">
        <f>'Paste cell here'!U114+'Paste cell here'!AF115</f>
        <v>71.309034699927764</v>
      </c>
      <c r="K115" s="45">
        <f>'Paste cell here'!AG115</f>
        <v>48.118049416849729</v>
      </c>
      <c r="L115" s="41" t="str">
        <f t="shared" si="5"/>
        <v>NO</v>
      </c>
      <c r="M115" s="1">
        <f>(Sintesi!$C$29*F115*1000)</f>
        <v>23.3</v>
      </c>
      <c r="N115" s="1">
        <f>Sintesi!$C$30*F115*1000</f>
        <v>10.700000000000001</v>
      </c>
      <c r="O115" s="1">
        <f t="shared" si="3"/>
        <v>12.6</v>
      </c>
      <c r="P115" s="1">
        <f>Sintesi!$C$33*G115*1000</f>
        <v>66.048999999999992</v>
      </c>
      <c r="Q115" s="1">
        <f>Sintesi!$C$34*G115*1000</f>
        <v>32.896000000000001</v>
      </c>
      <c r="R115" s="1">
        <f t="shared" si="4"/>
        <v>33.152999999999992</v>
      </c>
    </row>
    <row r="116" spans="1:18">
      <c r="A116" s="41">
        <v>115</v>
      </c>
      <c r="B116" s="42">
        <f>DATE(Sintesi!$C$4-1,12,31)+A116</f>
        <v>44311</v>
      </c>
      <c r="C116" s="41">
        <f>'Paste cell here'!B116</f>
        <v>0</v>
      </c>
      <c r="D116" s="41">
        <f>'Paste cell here'!I116</f>
        <v>0</v>
      </c>
      <c r="E116" s="1">
        <f>'Paste cell here'!H116</f>
        <v>0.51074713090780166</v>
      </c>
      <c r="F116" s="1">
        <f>Sintesi!$C$5</f>
        <v>0.1</v>
      </c>
      <c r="G116" s="1">
        <f>'Paste cell here'!AA116</f>
        <v>0.26400000000000001</v>
      </c>
      <c r="H116" s="43">
        <f>'Paste cell here'!U116</f>
        <v>6.1038810902525737</v>
      </c>
      <c r="I116" s="43">
        <f>'Paste cell here'!AE116</f>
        <v>64.672317157500657</v>
      </c>
      <c r="J116" s="44">
        <f>'Paste cell here'!U115+'Paste cell here'!AF116</f>
        <v>71.877275726646047</v>
      </c>
      <c r="K116" s="45">
        <f>'Paste cell here'!AG116</f>
        <v>50.63798916262153</v>
      </c>
      <c r="L116" s="41" t="str">
        <f t="shared" si="5"/>
        <v>NO</v>
      </c>
      <c r="M116" s="1">
        <f>(Sintesi!$C$29*F116*1000)</f>
        <v>23.3</v>
      </c>
      <c r="N116" s="1">
        <f>Sintesi!$C$30*F116*1000</f>
        <v>10.700000000000001</v>
      </c>
      <c r="O116" s="1">
        <f t="shared" si="3"/>
        <v>12.6</v>
      </c>
      <c r="P116" s="1">
        <f>Sintesi!$C$33*G116*1000</f>
        <v>67.847999999999999</v>
      </c>
      <c r="Q116" s="1">
        <f>Sintesi!$C$34*G116*1000</f>
        <v>33.792000000000002</v>
      </c>
      <c r="R116" s="1">
        <f t="shared" si="4"/>
        <v>34.055999999999997</v>
      </c>
    </row>
    <row r="117" spans="1:18">
      <c r="A117" s="41">
        <v>116</v>
      </c>
      <c r="B117" s="42">
        <f>DATE(Sintesi!$C$4-1,12,31)+A117</f>
        <v>44312</v>
      </c>
      <c r="C117" s="41">
        <f>'Paste cell here'!B117</f>
        <v>0</v>
      </c>
      <c r="D117" s="41">
        <f>'Paste cell here'!I117</f>
        <v>0</v>
      </c>
      <c r="E117" s="1">
        <f>'Paste cell here'!H117</f>
        <v>0.49845274292637021</v>
      </c>
      <c r="F117" s="1">
        <f>Sintesi!$C$5</f>
        <v>0.1</v>
      </c>
      <c r="G117" s="1">
        <f>'Paste cell here'!AA117</f>
        <v>0.27100000000000002</v>
      </c>
      <c r="H117" s="43">
        <f>'Paste cell here'!U117</f>
        <v>5.9856521078934097</v>
      </c>
      <c r="I117" s="43">
        <f>'Paste cell here'!AE117</f>
        <v>66.116566596159359</v>
      </c>
      <c r="J117" s="44">
        <f>'Paste cell here'!U116+'Paste cell here'!AF117</f>
        <v>72.575198247753221</v>
      </c>
      <c r="K117" s="45">
        <f>'Paste cell here'!AG117</f>
        <v>52.646946198580096</v>
      </c>
      <c r="L117" s="41" t="str">
        <f t="shared" si="5"/>
        <v>NO</v>
      </c>
      <c r="M117" s="1">
        <f>(Sintesi!$C$29*F117*1000)</f>
        <v>23.3</v>
      </c>
      <c r="N117" s="1">
        <f>Sintesi!$C$30*F117*1000</f>
        <v>10.700000000000001</v>
      </c>
      <c r="O117" s="1">
        <f t="shared" si="3"/>
        <v>12.6</v>
      </c>
      <c r="P117" s="1">
        <f>Sintesi!$C$33*G117*1000</f>
        <v>69.647000000000006</v>
      </c>
      <c r="Q117" s="1">
        <f>Sintesi!$C$34*G117*1000</f>
        <v>34.688000000000002</v>
      </c>
      <c r="R117" s="1">
        <f t="shared" si="4"/>
        <v>34.959000000000003</v>
      </c>
    </row>
    <row r="118" spans="1:18">
      <c r="A118" s="41">
        <v>117</v>
      </c>
      <c r="B118" s="42">
        <f>DATE(Sintesi!$C$4-1,12,31)+A118</f>
        <v>44313</v>
      </c>
      <c r="C118" s="41">
        <f>'Paste cell here'!B118</f>
        <v>1.1199999999999875</v>
      </c>
      <c r="D118" s="41">
        <f>'Paste cell here'!I118</f>
        <v>0</v>
      </c>
      <c r="E118" s="1">
        <f>'Paste cell here'!H118</f>
        <v>0.61596621618838854</v>
      </c>
      <c r="F118" s="1">
        <f>Sintesi!$C$5</f>
        <v>0.1</v>
      </c>
      <c r="G118" s="1">
        <f>'Paste cell here'!AA118</f>
        <v>0.27900000000000003</v>
      </c>
      <c r="H118" s="43">
        <f>'Paste cell here'!U118</f>
        <v>6.8762793737552332</v>
      </c>
      <c r="I118" s="43">
        <f>'Paste cell here'!AE118</f>
        <v>67.825941279099482</v>
      </c>
      <c r="J118" s="44">
        <f>'Paste cell here'!U117+'Paste cell here'!AF118</f>
        <v>74.158218704052771</v>
      </c>
      <c r="K118" s="45">
        <f>'Paste cell here'!AG118</f>
        <v>44.121295501623024</v>
      </c>
      <c r="L118" s="41" t="str">
        <f t="shared" si="5"/>
        <v>NO</v>
      </c>
      <c r="M118" s="1">
        <f>(Sintesi!$C$29*F118*1000)</f>
        <v>23.3</v>
      </c>
      <c r="N118" s="1">
        <f>Sintesi!$C$30*F118*1000</f>
        <v>10.700000000000001</v>
      </c>
      <c r="O118" s="1">
        <f t="shared" si="3"/>
        <v>12.6</v>
      </c>
      <c r="P118" s="1">
        <f>Sintesi!$C$33*G118*1000</f>
        <v>71.703000000000003</v>
      </c>
      <c r="Q118" s="1">
        <f>Sintesi!$C$34*G118*1000</f>
        <v>35.712000000000003</v>
      </c>
      <c r="R118" s="1">
        <f t="shared" si="4"/>
        <v>35.991</v>
      </c>
    </row>
    <row r="119" spans="1:18">
      <c r="A119" s="41">
        <v>118</v>
      </c>
      <c r="B119" s="42">
        <f>DATE(Sintesi!$C$4-1,12,31)+A119</f>
        <v>44314</v>
      </c>
      <c r="C119" s="41">
        <f>'Paste cell here'!B119</f>
        <v>0.479999999999977</v>
      </c>
      <c r="D119" s="41">
        <f>'Paste cell here'!I119</f>
        <v>0</v>
      </c>
      <c r="E119" s="1">
        <f>'Paste cell here'!H119</f>
        <v>0.618869277349543</v>
      </c>
      <c r="F119" s="1">
        <f>Sintesi!$C$5</f>
        <v>0.1</v>
      </c>
      <c r="G119" s="1">
        <f>'Paste cell here'!AA119</f>
        <v>0.28600000000000003</v>
      </c>
      <c r="H119" s="43">
        <f>'Paste cell here'!U119</f>
        <v>6.9330169053324733</v>
      </c>
      <c r="I119" s="43">
        <f>'Paste cell here'!AE119</f>
        <v>69.148809248200635</v>
      </c>
      <c r="J119" s="44">
        <f>'Paste cell here'!U118+'Paste cell here'!AF119</f>
        <v>76.501220652854713</v>
      </c>
      <c r="K119" s="45">
        <f>'Paste cell here'!AG119</f>
        <v>44.73046277766494</v>
      </c>
      <c r="L119" s="41" t="str">
        <f t="shared" si="5"/>
        <v>NO</v>
      </c>
      <c r="M119" s="1">
        <f>(Sintesi!$C$29*F119*1000)</f>
        <v>23.3</v>
      </c>
      <c r="N119" s="1">
        <f>Sintesi!$C$30*F119*1000</f>
        <v>10.700000000000001</v>
      </c>
      <c r="O119" s="1">
        <f t="shared" si="3"/>
        <v>12.6</v>
      </c>
      <c r="P119" s="1">
        <f>Sintesi!$C$33*G119*1000</f>
        <v>73.50200000000001</v>
      </c>
      <c r="Q119" s="1">
        <f>Sintesi!$C$34*G119*1000</f>
        <v>36.608000000000004</v>
      </c>
      <c r="R119" s="1">
        <f t="shared" si="4"/>
        <v>36.894000000000005</v>
      </c>
    </row>
    <row r="120" spans="1:18">
      <c r="A120" s="41">
        <v>119</v>
      </c>
      <c r="B120" s="42">
        <f>DATE(Sintesi!$C$4-1,12,31)+A120</f>
        <v>44315</v>
      </c>
      <c r="C120" s="41">
        <f>'Paste cell here'!B120</f>
        <v>10.239999999999771</v>
      </c>
      <c r="D120" s="41">
        <f>'Paste cell here'!I120</f>
        <v>0</v>
      </c>
      <c r="E120" s="1">
        <f>'Paste cell here'!H120</f>
        <v>0.57492439251953076</v>
      </c>
      <c r="F120" s="1">
        <f>Sintesi!$C$5</f>
        <v>0.1</v>
      </c>
      <c r="G120" s="1">
        <f>'Paste cell here'!AA120</f>
        <v>0.29300000000000004</v>
      </c>
      <c r="H120" s="43">
        <f>'Paste cell here'!U120</f>
        <v>16.46882944070175</v>
      </c>
      <c r="I120" s="43">
        <f>'Paste cell here'!AE120</f>
        <v>70.723111069985279</v>
      </c>
      <c r="J120" s="44">
        <f>'Paste cell here'!U119+'Paste cell here'!AF120</f>
        <v>77.880826153533107</v>
      </c>
      <c r="K120" s="45">
        <f>'Paste cell here'!AG120</f>
        <v>49.344410163328455</v>
      </c>
      <c r="L120" s="41" t="str">
        <f t="shared" si="5"/>
        <v>NO</v>
      </c>
      <c r="M120" s="1">
        <f>(Sintesi!$C$29*F120*1000)</f>
        <v>23.3</v>
      </c>
      <c r="N120" s="1">
        <f>Sintesi!$C$30*F120*1000</f>
        <v>10.700000000000001</v>
      </c>
      <c r="O120" s="1">
        <f t="shared" si="3"/>
        <v>12.6</v>
      </c>
      <c r="P120" s="1">
        <f>Sintesi!$C$33*G120*1000</f>
        <v>75.301000000000002</v>
      </c>
      <c r="Q120" s="1">
        <f>Sintesi!$C$34*G120*1000</f>
        <v>37.504000000000005</v>
      </c>
      <c r="R120" s="1">
        <f t="shared" si="4"/>
        <v>37.796999999999997</v>
      </c>
    </row>
    <row r="121" spans="1:18">
      <c r="A121" s="41">
        <v>120</v>
      </c>
      <c r="B121" s="42">
        <f>DATE(Sintesi!$C$4-1,12,31)+A121</f>
        <v>44316</v>
      </c>
      <c r="C121" s="41">
        <f>'Paste cell here'!B121</f>
        <v>1.599999999999913</v>
      </c>
      <c r="D121" s="41">
        <f>'Paste cell here'!I121</f>
        <v>0</v>
      </c>
      <c r="E121" s="1">
        <f>'Paste cell here'!H121</f>
        <v>0.65527166796686764</v>
      </c>
      <c r="F121" s="1">
        <f>Sintesi!$C$5</f>
        <v>0.1</v>
      </c>
      <c r="G121" s="1">
        <f>'Paste cell here'!AA121</f>
        <v>0.30000000000000004</v>
      </c>
      <c r="H121" s="43">
        <f>'Paste cell here'!U121</f>
        <v>16.011399613446944</v>
      </c>
      <c r="I121" s="43">
        <f>'Paste cell here'!AE121</f>
        <v>72.148593201514103</v>
      </c>
      <c r="J121" s="44">
        <f>'Paste cell here'!U120+'Paste cell here'!AF121</f>
        <v>88.990940510687025</v>
      </c>
      <c r="K121" s="45">
        <f>'Paste cell here'!AG121</f>
        <v>43.253757836609481</v>
      </c>
      <c r="L121" s="41" t="str">
        <f t="shared" si="5"/>
        <v>NO</v>
      </c>
      <c r="M121" s="1">
        <f>(Sintesi!$C$29*F121*1000)</f>
        <v>23.3</v>
      </c>
      <c r="N121" s="1">
        <f>Sintesi!$C$30*F121*1000</f>
        <v>10.700000000000001</v>
      </c>
      <c r="O121" s="1">
        <f t="shared" si="3"/>
        <v>12.6</v>
      </c>
      <c r="P121" s="1">
        <f>Sintesi!$C$33*G121*1000</f>
        <v>77.100000000000023</v>
      </c>
      <c r="Q121" s="1">
        <f>Sintesi!$C$34*G121*1000</f>
        <v>38.400000000000006</v>
      </c>
      <c r="R121" s="1">
        <f t="shared" si="4"/>
        <v>38.700000000000017</v>
      </c>
    </row>
    <row r="122" spans="1:18">
      <c r="A122" s="41">
        <v>121</v>
      </c>
      <c r="B122" s="42">
        <f>DATE(Sintesi!$C$4-1,12,31)+A122</f>
        <v>44317</v>
      </c>
      <c r="C122" s="41">
        <f>'Paste cell here'!B122</f>
        <v>35.279999999999525</v>
      </c>
      <c r="D122" s="41">
        <f>'Paste cell here'!I122</f>
        <v>0</v>
      </c>
      <c r="E122" s="1">
        <f>'Paste cell here'!H122</f>
        <v>0.6077828539717981</v>
      </c>
      <c r="F122" s="1">
        <f>Sintesi!$C$5</f>
        <v>0.1</v>
      </c>
      <c r="G122" s="1">
        <f>'Paste cell here'!AA122</f>
        <v>0.30699999999999994</v>
      </c>
      <c r="H122" s="43">
        <f>'Paste cell here'!U122</f>
        <v>38.037779910656454</v>
      </c>
      <c r="I122" s="43">
        <f>'Paste cell here'!AE122</f>
        <v>80.451553569699598</v>
      </c>
      <c r="J122" s="44">
        <f>'Paste cell here'!U121+'Paste cell here'!AF122</f>
        <v>89.958992814961007</v>
      </c>
      <c r="K122" s="45">
        <f>'Paste cell here'!AG122</f>
        <v>48.261249845987372</v>
      </c>
      <c r="L122" s="41" t="str">
        <f t="shared" si="5"/>
        <v>NO</v>
      </c>
      <c r="M122" s="1">
        <f>(Sintesi!$C$29*F122*1000)</f>
        <v>23.3</v>
      </c>
      <c r="N122" s="1">
        <f>Sintesi!$C$30*F122*1000</f>
        <v>10.700000000000001</v>
      </c>
      <c r="O122" s="1">
        <f t="shared" si="3"/>
        <v>12.6</v>
      </c>
      <c r="P122" s="1">
        <f>Sintesi!$C$33*G122*1000</f>
        <v>78.898999999999987</v>
      </c>
      <c r="Q122" s="1">
        <f>Sintesi!$C$34*G122*1000</f>
        <v>39.295999999999992</v>
      </c>
      <c r="R122" s="1">
        <f t="shared" si="4"/>
        <v>39.602999999999994</v>
      </c>
    </row>
    <row r="123" spans="1:18">
      <c r="A123" s="41">
        <v>122</v>
      </c>
      <c r="B123" s="42">
        <f>DATE(Sintesi!$C$4-1,12,31)+A123</f>
        <v>44318</v>
      </c>
      <c r="C123" s="41">
        <f>'Paste cell here'!B123</f>
        <v>1.8799999999999912</v>
      </c>
      <c r="D123" s="41">
        <f>'Paste cell here'!I123</f>
        <v>0</v>
      </c>
      <c r="E123" s="1">
        <f>'Paste cell here'!H123</f>
        <v>0.64030762848877742</v>
      </c>
      <c r="F123" s="1">
        <f>Sintesi!$C$5</f>
        <v>0.1</v>
      </c>
      <c r="G123" s="1">
        <f>'Paste cell here'!AA123</f>
        <v>0.31399999999999995</v>
      </c>
      <c r="H123" s="43">
        <f>'Paste cell here'!U123</f>
        <v>29.350637297112002</v>
      </c>
      <c r="I123" s="43">
        <f>'Paste cell here'!AE123</f>
        <v>87.313952937348361</v>
      </c>
      <c r="J123" s="44">
        <f>'Paste cell here'!U122+'Paste cell here'!AF123</f>
        <v>120.28833348035604</v>
      </c>
      <c r="K123" s="45">
        <f>'Paste cell here'!AG123</f>
        <v>46.19089923850747</v>
      </c>
      <c r="L123" s="41" t="str">
        <f t="shared" si="5"/>
        <v>NO</v>
      </c>
      <c r="M123" s="1">
        <f>(Sintesi!$C$29*F123*1000)</f>
        <v>23.3</v>
      </c>
      <c r="N123" s="1">
        <f>Sintesi!$C$30*F123*1000</f>
        <v>10.700000000000001</v>
      </c>
      <c r="O123" s="1">
        <f t="shared" si="3"/>
        <v>12.6</v>
      </c>
      <c r="P123" s="1">
        <f>Sintesi!$C$33*G123*1000</f>
        <v>80.697999999999993</v>
      </c>
      <c r="Q123" s="1">
        <f>Sintesi!$C$34*G123*1000</f>
        <v>40.191999999999993</v>
      </c>
      <c r="R123" s="1">
        <f t="shared" si="4"/>
        <v>40.506</v>
      </c>
    </row>
    <row r="124" spans="1:18">
      <c r="A124" s="41">
        <v>123</v>
      </c>
      <c r="B124" s="42">
        <f>DATE(Sintesi!$C$4-1,12,31)+A124</f>
        <v>44319</v>
      </c>
      <c r="C124" s="41">
        <f>'Paste cell here'!B124</f>
        <v>0</v>
      </c>
      <c r="D124" s="41">
        <f>'Paste cell here'!I124</f>
        <v>0</v>
      </c>
      <c r="E124" s="1">
        <f>'Paste cell here'!H124</f>
        <v>0.5008456172087562</v>
      </c>
      <c r="F124" s="1">
        <f>Sintesi!$C$5</f>
        <v>0.1</v>
      </c>
      <c r="G124" s="1">
        <f>'Paste cell here'!AA124</f>
        <v>0.32099999999999995</v>
      </c>
      <c r="H124" s="43">
        <f>'Paste cell here'!U124</f>
        <v>24.630450999838821</v>
      </c>
      <c r="I124" s="43">
        <f>'Paste cell here'!AE124</f>
        <v>88.708672960867133</v>
      </c>
      <c r="J124" s="44">
        <f>'Paste cell here'!U123+'Paste cell here'!AF124</f>
        <v>118.46359023446037</v>
      </c>
      <c r="K124" s="45">
        <f>'Paste cell here'!AG124</f>
        <v>59.811709402292884</v>
      </c>
      <c r="L124" s="41" t="str">
        <f t="shared" si="5"/>
        <v>NO</v>
      </c>
      <c r="M124" s="1">
        <f>(Sintesi!$C$29*F124*1000)</f>
        <v>23.3</v>
      </c>
      <c r="N124" s="1">
        <f>Sintesi!$C$30*F124*1000</f>
        <v>10.700000000000001</v>
      </c>
      <c r="O124" s="1">
        <f t="shared" si="3"/>
        <v>12.6</v>
      </c>
      <c r="P124" s="1">
        <f>Sintesi!$C$33*G124*1000</f>
        <v>82.496999999999986</v>
      </c>
      <c r="Q124" s="1">
        <f>Sintesi!$C$34*G124*1000</f>
        <v>41.087999999999994</v>
      </c>
      <c r="R124" s="1">
        <f t="shared" si="4"/>
        <v>41.408999999999992</v>
      </c>
    </row>
    <row r="125" spans="1:18">
      <c r="A125" s="41">
        <v>124</v>
      </c>
      <c r="B125" s="42">
        <f>DATE(Sintesi!$C$4-1,12,31)+A125</f>
        <v>44320</v>
      </c>
      <c r="C125" s="41">
        <f>'Paste cell here'!B125</f>
        <v>0</v>
      </c>
      <c r="D125" s="41">
        <f>'Paste cell here'!I125</f>
        <v>0</v>
      </c>
      <c r="E125" s="1">
        <f>'Paste cell here'!H125</f>
        <v>0.51412903641979868</v>
      </c>
      <c r="F125" s="1">
        <f>Sintesi!$C$5</f>
        <v>0.1</v>
      </c>
      <c r="G125" s="1">
        <f>'Paste cell here'!AA125</f>
        <v>0.32899999999999996</v>
      </c>
      <c r="H125" s="43">
        <f>'Paste cell here'!U125</f>
        <v>20.343108912460888</v>
      </c>
      <c r="I125" s="43">
        <f>'Paste cell here'!AE125</f>
        <v>89.833390181519746</v>
      </c>
      <c r="J125" s="44">
        <f>'Paste cell here'!U124+'Paste cell here'!AF125</f>
        <v>115.39512396070597</v>
      </c>
      <c r="K125" s="45">
        <f>'Paste cell here'!AG125</f>
        <v>59.746100300910356</v>
      </c>
      <c r="L125" s="41" t="str">
        <f t="shared" si="5"/>
        <v>NO</v>
      </c>
      <c r="M125" s="1">
        <f>(Sintesi!$C$29*F125*1000)</f>
        <v>23.3</v>
      </c>
      <c r="N125" s="1">
        <f>Sintesi!$C$30*F125*1000</f>
        <v>10.700000000000001</v>
      </c>
      <c r="O125" s="1">
        <f t="shared" si="3"/>
        <v>12.6</v>
      </c>
      <c r="P125" s="1">
        <f>Sintesi!$C$33*G125*1000</f>
        <v>84.552999999999983</v>
      </c>
      <c r="Q125" s="1">
        <f>Sintesi!$C$34*G125*1000</f>
        <v>42.111999999999995</v>
      </c>
      <c r="R125" s="1">
        <f t="shared" si="4"/>
        <v>42.440999999999988</v>
      </c>
    </row>
    <row r="126" spans="1:18">
      <c r="A126" s="41">
        <v>125</v>
      </c>
      <c r="B126" s="42">
        <f>DATE(Sintesi!$C$4-1,12,31)+A126</f>
        <v>44321</v>
      </c>
      <c r="C126" s="41">
        <f>'Paste cell here'!B126</f>
        <v>0</v>
      </c>
      <c r="D126" s="41">
        <f>'Paste cell here'!I126</f>
        <v>0</v>
      </c>
      <c r="E126" s="1">
        <f>'Paste cell here'!H126</f>
        <v>0.50791397099309721</v>
      </c>
      <c r="F126" s="1">
        <f>Sintesi!$C$5</f>
        <v>0.1</v>
      </c>
      <c r="G126" s="1">
        <f>'Paste cell here'!AA126</f>
        <v>0.33599999999999997</v>
      </c>
      <c r="H126" s="43">
        <f>'Paste cell here'!U126</f>
        <v>17.256878513923841</v>
      </c>
      <c r="I126" s="43">
        <f>'Paste cell here'!AE126</f>
        <v>90.827771967234824</v>
      </c>
      <c r="J126" s="44">
        <f>'Paste cell here'!U125+'Paste cell here'!AF126</f>
        <v>111.97549909398063</v>
      </c>
      <c r="K126" s="45">
        <f>'Paste cell here'!AG126</f>
        <v>61.346943371495691</v>
      </c>
      <c r="L126" s="41" t="str">
        <f t="shared" si="5"/>
        <v>NO</v>
      </c>
      <c r="M126" s="1">
        <f>(Sintesi!$C$29*F126*1000)</f>
        <v>23.3</v>
      </c>
      <c r="N126" s="1">
        <f>Sintesi!$C$30*F126*1000</f>
        <v>10.700000000000001</v>
      </c>
      <c r="O126" s="1">
        <f t="shared" si="3"/>
        <v>12.6</v>
      </c>
      <c r="P126" s="1">
        <f>Sintesi!$C$33*G126*1000</f>
        <v>86.352000000000004</v>
      </c>
      <c r="Q126" s="1">
        <f>Sintesi!$C$34*G126*1000</f>
        <v>43.007999999999996</v>
      </c>
      <c r="R126" s="1">
        <f t="shared" si="4"/>
        <v>43.344000000000008</v>
      </c>
    </row>
    <row r="127" spans="1:18">
      <c r="A127" s="41">
        <v>126</v>
      </c>
      <c r="B127" s="42">
        <f>DATE(Sintesi!$C$4-1,12,31)+A127</f>
        <v>44322</v>
      </c>
      <c r="C127" s="41">
        <f>'Paste cell here'!B127</f>
        <v>0</v>
      </c>
      <c r="D127" s="41">
        <f>'Paste cell here'!I127</f>
        <v>0</v>
      </c>
      <c r="E127" s="1">
        <f>'Paste cell here'!H127</f>
        <v>0.55874857373256437</v>
      </c>
      <c r="F127" s="1">
        <f>Sintesi!$C$5</f>
        <v>0.1</v>
      </c>
      <c r="G127" s="1">
        <f>'Paste cell here'!AA127</f>
        <v>0.34299999999999997</v>
      </c>
      <c r="H127" s="43">
        <f>'Paste cell here'!U127</f>
        <v>14.109905394560549</v>
      </c>
      <c r="I127" s="43">
        <f>'Paste cell here'!AE127</f>
        <v>91.821407990423793</v>
      </c>
      <c r="J127" s="44">
        <f>'Paste cell here'!U126+'Paste cell here'!AF127</f>
        <v>109.88365048115865</v>
      </c>
      <c r="K127" s="45">
        <f>'Paste cell here'!AG127</f>
        <v>57.453593709342357</v>
      </c>
      <c r="L127" s="41" t="str">
        <f t="shared" si="5"/>
        <v>NO</v>
      </c>
      <c r="M127" s="1">
        <f>(Sintesi!$C$29*F127*1000)</f>
        <v>23.3</v>
      </c>
      <c r="N127" s="1">
        <f>Sintesi!$C$30*F127*1000</f>
        <v>10.700000000000001</v>
      </c>
      <c r="O127" s="1">
        <f t="shared" si="3"/>
        <v>12.6</v>
      </c>
      <c r="P127" s="1">
        <f>Sintesi!$C$33*G127*1000</f>
        <v>88.150999999999996</v>
      </c>
      <c r="Q127" s="1">
        <f>Sintesi!$C$34*G127*1000</f>
        <v>43.903999999999996</v>
      </c>
      <c r="R127" s="1">
        <f t="shared" si="4"/>
        <v>44.247</v>
      </c>
    </row>
    <row r="128" spans="1:18">
      <c r="A128" s="41">
        <v>127</v>
      </c>
      <c r="B128" s="42">
        <f>DATE(Sintesi!$C$4-1,12,31)+A128</f>
        <v>44323</v>
      </c>
      <c r="C128" s="41">
        <f>'Paste cell here'!B128</f>
        <v>0</v>
      </c>
      <c r="D128" s="41">
        <f>'Paste cell here'!I128</f>
        <v>0</v>
      </c>
      <c r="E128" s="1">
        <f>'Paste cell here'!H128</f>
        <v>0.54594777491036739</v>
      </c>
      <c r="F128" s="1">
        <f>Sintesi!$C$5</f>
        <v>0.1</v>
      </c>
      <c r="G128" s="1">
        <f>'Paste cell here'!AA128</f>
        <v>0.35</v>
      </c>
      <c r="H128" s="43">
        <f>'Paste cell here'!U128</f>
        <v>10.82312519435073</v>
      </c>
      <c r="I128" s="43">
        <f>'Paste cell here'!AE128</f>
        <v>92.654119195340755</v>
      </c>
      <c r="J128" s="44">
        <f>'Paste cell here'!U127+'Paste cell here'!AF128</f>
        <v>107.73031338498433</v>
      </c>
      <c r="K128" s="45">
        <f>'Paste cell here'!AG128</f>
        <v>59.651577198174685</v>
      </c>
      <c r="L128" s="41" t="str">
        <f t="shared" si="5"/>
        <v>NO</v>
      </c>
      <c r="M128" s="1">
        <f>(Sintesi!$C$29*F128*1000)</f>
        <v>23.3</v>
      </c>
      <c r="N128" s="1">
        <f>Sintesi!$C$30*F128*1000</f>
        <v>10.700000000000001</v>
      </c>
      <c r="O128" s="1">
        <f t="shared" si="3"/>
        <v>12.6</v>
      </c>
      <c r="P128" s="1">
        <f>Sintesi!$C$33*G128*1000</f>
        <v>89.95</v>
      </c>
      <c r="Q128" s="1">
        <f>Sintesi!$C$34*G128*1000</f>
        <v>44.8</v>
      </c>
      <c r="R128" s="1">
        <f t="shared" si="4"/>
        <v>45.150000000000006</v>
      </c>
    </row>
    <row r="129" spans="1:18">
      <c r="A129" s="41">
        <v>128</v>
      </c>
      <c r="B129" s="42">
        <f>DATE(Sintesi!$C$4-1,12,31)+A129</f>
        <v>44324</v>
      </c>
      <c r="C129" s="41">
        <f>'Paste cell here'!B129</f>
        <v>0</v>
      </c>
      <c r="D129" s="41">
        <f>'Paste cell here'!I129</f>
        <v>0</v>
      </c>
      <c r="E129" s="1">
        <f>'Paste cell here'!H129</f>
        <v>0.46974921334699077</v>
      </c>
      <c r="F129" s="1">
        <f>Sintesi!$C$5</f>
        <v>0.1</v>
      </c>
      <c r="G129" s="1">
        <f>'Paste cell here'!AA129</f>
        <v>0.35699999999999998</v>
      </c>
      <c r="H129" s="43">
        <f>'Paste cell here'!U129</f>
        <v>9.0602841499396956</v>
      </c>
      <c r="I129" s="43">
        <f>'Paste cell here'!AE129</f>
        <v>93.611267402568302</v>
      </c>
      <c r="J129" s="44">
        <f>'Paste cell here'!U128+'Paste cell here'!AF129</f>
        <v>105.27624438969147</v>
      </c>
      <c r="K129" s="45">
        <f>'Paste cell here'!AG129</f>
        <v>68.210258962250222</v>
      </c>
      <c r="L129" s="41" t="str">
        <f t="shared" si="5"/>
        <v>NO</v>
      </c>
      <c r="M129" s="1">
        <f>(Sintesi!$C$29*F129*1000)</f>
        <v>23.3</v>
      </c>
      <c r="N129" s="1">
        <f>Sintesi!$C$30*F129*1000</f>
        <v>10.700000000000001</v>
      </c>
      <c r="O129" s="1">
        <f t="shared" si="3"/>
        <v>12.6</v>
      </c>
      <c r="P129" s="1">
        <f>Sintesi!$C$33*G129*1000</f>
        <v>91.748999999999995</v>
      </c>
      <c r="Q129" s="1">
        <f>Sintesi!$C$34*G129*1000</f>
        <v>45.695999999999998</v>
      </c>
      <c r="R129" s="1">
        <f t="shared" si="4"/>
        <v>46.052999999999997</v>
      </c>
    </row>
    <row r="130" spans="1:18">
      <c r="A130" s="41">
        <v>129</v>
      </c>
      <c r="B130" s="42">
        <f>DATE(Sintesi!$C$4-1,12,31)+A130</f>
        <v>44325</v>
      </c>
      <c r="C130" s="41">
        <f>'Paste cell here'!B130</f>
        <v>0</v>
      </c>
      <c r="D130" s="41">
        <f>'Paste cell here'!I130</f>
        <v>0</v>
      </c>
      <c r="E130" s="1">
        <f>'Paste cell here'!H130</f>
        <v>0.50843097671373449</v>
      </c>
      <c r="F130" s="1">
        <f>Sintesi!$C$5</f>
        <v>0.1</v>
      </c>
      <c r="G130" s="1">
        <f>'Paste cell here'!AA130</f>
        <v>0.36399999999999999</v>
      </c>
      <c r="H130" s="43">
        <f>'Paste cell here'!U130</f>
        <v>7.9424422485785691</v>
      </c>
      <c r="I130" s="43">
        <f>'Paste cell here'!AE130</f>
        <v>94.635754620633719</v>
      </c>
      <c r="J130" s="44">
        <f>'Paste cell here'!U129+'Paste cell here'!AF130</f>
        <v>104.47055155250798</v>
      </c>
      <c r="K130" s="45">
        <f>'Paste cell here'!AG130</f>
        <v>65.371804076422606</v>
      </c>
      <c r="L130" s="41" t="str">
        <f t="shared" si="5"/>
        <v>NO</v>
      </c>
      <c r="M130" s="1">
        <f>(Sintesi!$C$29*F130*1000)</f>
        <v>23.3</v>
      </c>
      <c r="N130" s="1">
        <f>Sintesi!$C$30*F130*1000</f>
        <v>10.700000000000001</v>
      </c>
      <c r="O130" s="1">
        <f t="shared" ref="O130:O193" si="6">M130-N130</f>
        <v>12.6</v>
      </c>
      <c r="P130" s="1">
        <f>Sintesi!$C$33*G130*1000</f>
        <v>93.548000000000002</v>
      </c>
      <c r="Q130" s="1">
        <f>Sintesi!$C$34*G130*1000</f>
        <v>46.591999999999999</v>
      </c>
      <c r="R130" s="1">
        <f t="shared" ref="R130:R193" si="7">P130-Q130</f>
        <v>46.956000000000003</v>
      </c>
    </row>
    <row r="131" spans="1:18">
      <c r="A131" s="41">
        <v>130</v>
      </c>
      <c r="B131" s="42">
        <f>DATE(Sintesi!$C$4-1,12,31)+A131</f>
        <v>44326</v>
      </c>
      <c r="C131" s="41">
        <f>'Paste cell here'!B131</f>
        <v>0.43999999999997502</v>
      </c>
      <c r="D131" s="41">
        <f>'Paste cell here'!I131</f>
        <v>0</v>
      </c>
      <c r="E131" s="1">
        <f>'Paste cell here'!H131</f>
        <v>0.52305968931658775</v>
      </c>
      <c r="F131" s="1">
        <f>Sintesi!$C$5</f>
        <v>0.1</v>
      </c>
      <c r="G131" s="1">
        <f>'Paste cell here'!AA131</f>
        <v>0.371</v>
      </c>
      <c r="H131" s="43">
        <f>'Paste cell here'!U131</f>
        <v>7.6015687863807742</v>
      </c>
      <c r="I131" s="43">
        <f>'Paste cell here'!AE131</f>
        <v>95.774730116341146</v>
      </c>
      <c r="J131" s="44">
        <f>'Paste cell here'!U130+'Paste cell here'!AF131</f>
        <v>104.37719686921227</v>
      </c>
      <c r="K131" s="45">
        <f>'Paste cell here'!AG131</f>
        <v>64.886768214134321</v>
      </c>
      <c r="L131" s="41" t="str">
        <f t="shared" ref="L131:L194" si="8">IF(J131&lt;K131,"YES","NO")</f>
        <v>NO</v>
      </c>
      <c r="M131" s="1">
        <f>(Sintesi!$C$29*F131*1000)</f>
        <v>23.3</v>
      </c>
      <c r="N131" s="1">
        <f>Sintesi!$C$30*F131*1000</f>
        <v>10.700000000000001</v>
      </c>
      <c r="O131" s="1">
        <f t="shared" si="6"/>
        <v>12.6</v>
      </c>
      <c r="P131" s="1">
        <f>Sintesi!$C$33*G131*1000</f>
        <v>95.346999999999994</v>
      </c>
      <c r="Q131" s="1">
        <f>Sintesi!$C$34*G131*1000</f>
        <v>47.488</v>
      </c>
      <c r="R131" s="1">
        <f t="shared" si="7"/>
        <v>47.858999999999995</v>
      </c>
    </row>
    <row r="132" spans="1:18">
      <c r="A132" s="41">
        <v>131</v>
      </c>
      <c r="B132" s="42">
        <f>DATE(Sintesi!$C$4-1,12,31)+A132</f>
        <v>44327</v>
      </c>
      <c r="C132" s="41">
        <f>'Paste cell here'!B132</f>
        <v>18.919999999999774</v>
      </c>
      <c r="D132" s="41">
        <f>'Paste cell here'!I132</f>
        <v>0</v>
      </c>
      <c r="E132" s="1">
        <f>'Paste cell here'!H132</f>
        <v>0.55069827430979623</v>
      </c>
      <c r="F132" s="1">
        <f>Sintesi!$C$5</f>
        <v>0.1</v>
      </c>
      <c r="G132" s="1">
        <f>'Paste cell here'!AA132</f>
        <v>0.379</v>
      </c>
      <c r="H132" s="43">
        <f>'Paste cell here'!U132</f>
        <v>24.965349462382573</v>
      </c>
      <c r="I132" s="43">
        <f>'Paste cell here'!AE132</f>
        <v>97.465948833025166</v>
      </c>
      <c r="J132" s="44">
        <f>'Paste cell here'!U131+'Paste cell here'!AF132</f>
        <v>105.43229890272193</v>
      </c>
      <c r="K132" s="45">
        <f>'Paste cell here'!AG132</f>
        <v>63.135921104507744</v>
      </c>
      <c r="L132" s="41" t="str">
        <f t="shared" si="8"/>
        <v>NO</v>
      </c>
      <c r="M132" s="1">
        <f>(Sintesi!$C$29*F132*1000)</f>
        <v>23.3</v>
      </c>
      <c r="N132" s="1">
        <f>Sintesi!$C$30*F132*1000</f>
        <v>10.700000000000001</v>
      </c>
      <c r="O132" s="1">
        <f t="shared" si="6"/>
        <v>12.6</v>
      </c>
      <c r="P132" s="1">
        <f>Sintesi!$C$33*G132*1000</f>
        <v>97.403000000000006</v>
      </c>
      <c r="Q132" s="1">
        <f>Sintesi!$C$34*G132*1000</f>
        <v>48.512</v>
      </c>
      <c r="R132" s="1">
        <f t="shared" si="7"/>
        <v>48.891000000000005</v>
      </c>
    </row>
    <row r="133" spans="1:18">
      <c r="A133" s="41">
        <v>132</v>
      </c>
      <c r="B133" s="42">
        <f>DATE(Sintesi!$C$4-1,12,31)+A133</f>
        <v>44328</v>
      </c>
      <c r="C133" s="41">
        <f>'Paste cell here'!B133</f>
        <v>1.8399999999998953</v>
      </c>
      <c r="D133" s="41">
        <f>'Paste cell here'!I133</f>
        <v>0</v>
      </c>
      <c r="E133" s="1">
        <f>'Paste cell here'!H133</f>
        <v>0.6368689190231247</v>
      </c>
      <c r="F133" s="1">
        <f>Sintesi!$C$5</f>
        <v>0.1</v>
      </c>
      <c r="G133" s="1">
        <f>'Paste cell here'!AA133</f>
        <v>0.38600000000000001</v>
      </c>
      <c r="H133" s="43">
        <f>'Paste cell here'!U133</f>
        <v>22.070531477020008</v>
      </c>
      <c r="I133" s="43">
        <f>'Paste cell here'!AE133</f>
        <v>98.58154085389647</v>
      </c>
      <c r="J133" s="44">
        <f>'Paste cell here'!U132+'Paste cell here'!AF133</f>
        <v>124.23029829540774</v>
      </c>
      <c r="K133" s="45">
        <f>'Paste cell here'!AG133</f>
        <v>54.94944113300096</v>
      </c>
      <c r="L133" s="41" t="str">
        <f t="shared" si="8"/>
        <v>NO</v>
      </c>
      <c r="M133" s="1">
        <f>(Sintesi!$C$29*F133*1000)</f>
        <v>23.3</v>
      </c>
      <c r="N133" s="1">
        <f>Sintesi!$C$30*F133*1000</f>
        <v>10.700000000000001</v>
      </c>
      <c r="O133" s="1">
        <f t="shared" si="6"/>
        <v>12.6</v>
      </c>
      <c r="P133" s="1">
        <f>Sintesi!$C$33*G133*1000</f>
        <v>99.201999999999998</v>
      </c>
      <c r="Q133" s="1">
        <f>Sintesi!$C$34*G133*1000</f>
        <v>49.408000000000001</v>
      </c>
      <c r="R133" s="1">
        <f t="shared" si="7"/>
        <v>49.793999999999997</v>
      </c>
    </row>
    <row r="134" spans="1:18">
      <c r="A134" s="41">
        <v>133</v>
      </c>
      <c r="B134" s="42">
        <f>DATE(Sintesi!$C$4-1,12,31)+A134</f>
        <v>44329</v>
      </c>
      <c r="C134" s="41">
        <f>'Paste cell here'!B134</f>
        <v>2.5199999999999889</v>
      </c>
      <c r="D134" s="41">
        <f>'Paste cell here'!I134</f>
        <v>0</v>
      </c>
      <c r="E134" s="1">
        <f>'Paste cell here'!H134</f>
        <v>0.49554405917210731</v>
      </c>
      <c r="F134" s="1">
        <f>Sintesi!$C$5</f>
        <v>0.1</v>
      </c>
      <c r="G134" s="1">
        <f>'Paste cell here'!AA134</f>
        <v>0.39300000000000002</v>
      </c>
      <c r="H134" s="43">
        <f>'Paste cell here'!U134</f>
        <v>19.895081623602245</v>
      </c>
      <c r="I134" s="43">
        <f>'Paste cell here'!AE134</f>
        <v>99.623458689112482</v>
      </c>
      <c r="J134" s="44">
        <f>'Paste cell here'!U133+'Paste cell here'!AF134</f>
        <v>122.45107233091649</v>
      </c>
      <c r="K134" s="45">
        <f>'Paste cell here'!AG134</f>
        <v>70.978031067191324</v>
      </c>
      <c r="L134" s="41" t="str">
        <f t="shared" si="8"/>
        <v>NO</v>
      </c>
      <c r="M134" s="1">
        <f>(Sintesi!$C$29*F134*1000)</f>
        <v>23.3</v>
      </c>
      <c r="N134" s="1">
        <f>Sintesi!$C$30*F134*1000</f>
        <v>10.700000000000001</v>
      </c>
      <c r="O134" s="1">
        <f t="shared" si="6"/>
        <v>12.6</v>
      </c>
      <c r="P134" s="1">
        <f>Sintesi!$C$33*G134*1000</f>
        <v>101.001</v>
      </c>
      <c r="Q134" s="1">
        <f>Sintesi!$C$34*G134*1000</f>
        <v>50.304000000000002</v>
      </c>
      <c r="R134" s="1">
        <f t="shared" si="7"/>
        <v>50.697000000000003</v>
      </c>
    </row>
    <row r="135" spans="1:18">
      <c r="A135" s="41">
        <v>134</v>
      </c>
      <c r="B135" s="42">
        <f>DATE(Sintesi!$C$4-1,12,31)+A135</f>
        <v>44330</v>
      </c>
      <c r="C135" s="41">
        <f>'Paste cell here'!B135</f>
        <v>6.8799999999998436</v>
      </c>
      <c r="D135" s="41">
        <f>'Paste cell here'!I135</f>
        <v>0</v>
      </c>
      <c r="E135" s="1">
        <f>'Paste cell here'!H135</f>
        <v>0.49464272518931257</v>
      </c>
      <c r="F135" s="1">
        <f>Sintesi!$C$5</f>
        <v>0.1</v>
      </c>
      <c r="G135" s="1">
        <f>'Paste cell here'!AA135</f>
        <v>0.4</v>
      </c>
      <c r="H135" s="43">
        <f>'Paste cell here'!U135</f>
        <v>23.477603145937312</v>
      </c>
      <c r="I135" s="43">
        <f>'Paste cell here'!AE135</f>
        <v>100.88213169668289</v>
      </c>
      <c r="J135" s="44">
        <f>'Paste cell here'!U134+'Paste cell here'!AF135</f>
        <v>121.31754031271473</v>
      </c>
      <c r="K135" s="45">
        <f>'Paste cell here'!AG135</f>
        <v>72.114692972838441</v>
      </c>
      <c r="L135" s="41" t="str">
        <f t="shared" si="8"/>
        <v>NO</v>
      </c>
      <c r="M135" s="1">
        <f>(Sintesi!$C$29*F135*1000)</f>
        <v>23.3</v>
      </c>
      <c r="N135" s="1">
        <f>Sintesi!$C$30*F135*1000</f>
        <v>10.700000000000001</v>
      </c>
      <c r="O135" s="1">
        <f t="shared" si="6"/>
        <v>12.6</v>
      </c>
      <c r="P135" s="1">
        <f>Sintesi!$C$33*G135*1000</f>
        <v>102.8</v>
      </c>
      <c r="Q135" s="1">
        <f>Sintesi!$C$34*G135*1000</f>
        <v>51.2</v>
      </c>
      <c r="R135" s="1">
        <f t="shared" si="7"/>
        <v>51.599999999999994</v>
      </c>
    </row>
    <row r="136" spans="1:18">
      <c r="A136" s="41">
        <v>135</v>
      </c>
      <c r="B136" s="42">
        <f>DATE(Sintesi!$C$4-1,12,31)+A136</f>
        <v>44331</v>
      </c>
      <c r="C136" s="41">
        <f>'Paste cell here'!B136</f>
        <v>0.15999999999999945</v>
      </c>
      <c r="D136" s="41">
        <f>'Paste cell here'!I136</f>
        <v>0</v>
      </c>
      <c r="E136" s="1">
        <f>'Paste cell here'!H136</f>
        <v>0.56146727592716617</v>
      </c>
      <c r="F136" s="1">
        <f>Sintesi!$C$5</f>
        <v>0.1</v>
      </c>
      <c r="G136" s="1">
        <f>'Paste cell here'!AA136</f>
        <v>0.40800000000000003</v>
      </c>
      <c r="H136" s="43">
        <f>'Paste cell here'!U136</f>
        <v>20.864818278316339</v>
      </c>
      <c r="I136" s="43">
        <f>'Paste cell here'!AE136</f>
        <v>102.40206711596466</v>
      </c>
      <c r="J136" s="44">
        <f>'Paste cell here'!U135+'Paste cell here'!AF136</f>
        <v>126.41573484262021</v>
      </c>
      <c r="K136" s="45">
        <f>'Paste cell here'!AG136</f>
        <v>66.734812883317929</v>
      </c>
      <c r="L136" s="41" t="str">
        <f t="shared" si="8"/>
        <v>NO</v>
      </c>
      <c r="M136" s="1">
        <f>(Sintesi!$C$29*F136*1000)</f>
        <v>23.3</v>
      </c>
      <c r="N136" s="1">
        <f>Sintesi!$C$30*F136*1000</f>
        <v>10.700000000000001</v>
      </c>
      <c r="O136" s="1">
        <f t="shared" si="6"/>
        <v>12.6</v>
      </c>
      <c r="P136" s="1">
        <f>Sintesi!$C$33*G136*1000</f>
        <v>104.85600000000001</v>
      </c>
      <c r="Q136" s="1">
        <f>Sintesi!$C$34*G136*1000</f>
        <v>52.224000000000004</v>
      </c>
      <c r="R136" s="1">
        <f t="shared" si="7"/>
        <v>52.632000000000005</v>
      </c>
    </row>
    <row r="137" spans="1:18">
      <c r="A137" s="41">
        <v>136</v>
      </c>
      <c r="B137" s="42">
        <f>DATE(Sintesi!$C$4-1,12,31)+A137</f>
        <v>44332</v>
      </c>
      <c r="C137" s="41">
        <f>'Paste cell here'!B137</f>
        <v>1.1999999999999957</v>
      </c>
      <c r="D137" s="41">
        <f>'Paste cell here'!I137</f>
        <v>0</v>
      </c>
      <c r="E137" s="1">
        <f>'Paste cell here'!H137</f>
        <v>0.57395770613007779</v>
      </c>
      <c r="F137" s="1">
        <f>Sintesi!$C$5</f>
        <v>0.1</v>
      </c>
      <c r="G137" s="1">
        <f>'Paste cell here'!AA137</f>
        <v>0.41600000000000004</v>
      </c>
      <c r="H137" s="43">
        <f>'Paste cell here'!U137</f>
        <v>20.262345933950989</v>
      </c>
      <c r="I137" s="43">
        <f>'Paste cell here'!AE137</f>
        <v>104.02353655478262</v>
      </c>
      <c r="J137" s="44">
        <f>'Paste cell here'!U136+'Paste cell here'!AF137</f>
        <v>125.32288539428097</v>
      </c>
      <c r="K137" s="45">
        <f>'Paste cell here'!AG137</f>
        <v>67.343891625327259</v>
      </c>
      <c r="L137" s="41" t="str">
        <f t="shared" si="8"/>
        <v>NO</v>
      </c>
      <c r="M137" s="1">
        <f>(Sintesi!$C$29*F137*1000)</f>
        <v>23.3</v>
      </c>
      <c r="N137" s="1">
        <f>Sintesi!$C$30*F137*1000</f>
        <v>10.700000000000001</v>
      </c>
      <c r="O137" s="1">
        <f t="shared" si="6"/>
        <v>12.6</v>
      </c>
      <c r="P137" s="1">
        <f>Sintesi!$C$33*G137*1000</f>
        <v>106.91200000000001</v>
      </c>
      <c r="Q137" s="1">
        <f>Sintesi!$C$34*G137*1000</f>
        <v>53.248000000000005</v>
      </c>
      <c r="R137" s="1">
        <f t="shared" si="7"/>
        <v>53.664000000000001</v>
      </c>
    </row>
    <row r="138" spans="1:18">
      <c r="A138" s="41">
        <v>137</v>
      </c>
      <c r="B138" s="42">
        <f>DATE(Sintesi!$C$4-1,12,31)+A138</f>
        <v>44333</v>
      </c>
      <c r="C138" s="41">
        <f>'Paste cell here'!B138</f>
        <v>3.7599999999999696</v>
      </c>
      <c r="D138" s="41">
        <f>'Paste cell here'!I138</f>
        <v>0</v>
      </c>
      <c r="E138" s="1">
        <f>'Paste cell here'!H138</f>
        <v>0.62224347153540915</v>
      </c>
      <c r="F138" s="1">
        <f>Sintesi!$C$5</f>
        <v>0.1</v>
      </c>
      <c r="G138" s="1">
        <f>'Paste cell here'!AA138</f>
        <v>0.42400000000000004</v>
      </c>
      <c r="H138" s="43">
        <f>'Paste cell here'!U138</f>
        <v>18.737741789406211</v>
      </c>
      <c r="I138" s="43">
        <f>'Paste cell here'!AE138</f>
        <v>104.95363078474945</v>
      </c>
      <c r="J138" s="44">
        <f>'Paste cell here'!U137+'Paste cell here'!AF138</f>
        <v>126.3418824887336</v>
      </c>
      <c r="K138" s="45">
        <f>'Paste cell here'!AG138</f>
        <v>64.012570443471574</v>
      </c>
      <c r="L138" s="41" t="str">
        <f t="shared" si="8"/>
        <v>NO</v>
      </c>
      <c r="M138" s="1">
        <f>(Sintesi!$C$29*F138*1000)</f>
        <v>23.3</v>
      </c>
      <c r="N138" s="1">
        <f>Sintesi!$C$30*F138*1000</f>
        <v>10.700000000000001</v>
      </c>
      <c r="O138" s="1">
        <f t="shared" si="6"/>
        <v>12.6</v>
      </c>
      <c r="P138" s="1">
        <f>Sintesi!$C$33*G138*1000</f>
        <v>108.968</v>
      </c>
      <c r="Q138" s="1">
        <f>Sintesi!$C$34*G138*1000</f>
        <v>54.272000000000006</v>
      </c>
      <c r="R138" s="1">
        <f t="shared" si="7"/>
        <v>54.695999999999998</v>
      </c>
    </row>
    <row r="139" spans="1:18">
      <c r="A139" s="41">
        <v>138</v>
      </c>
      <c r="B139" s="42">
        <f>DATE(Sintesi!$C$4-1,12,31)+A139</f>
        <v>44334</v>
      </c>
      <c r="C139" s="41">
        <f>'Paste cell here'!B139</f>
        <v>1.2399999999999807</v>
      </c>
      <c r="D139" s="41">
        <f>'Paste cell here'!I139</f>
        <v>0</v>
      </c>
      <c r="E139" s="1">
        <f>'Paste cell here'!H139</f>
        <v>0.46141071295989783</v>
      </c>
      <c r="F139" s="1">
        <f>Sintesi!$C$5</f>
        <v>0.1</v>
      </c>
      <c r="G139" s="1">
        <f>'Paste cell here'!AA139</f>
        <v>0.43300000000000005</v>
      </c>
      <c r="H139" s="43">
        <f>'Paste cell here'!U139</f>
        <v>15.364889998799212</v>
      </c>
      <c r="I139" s="43">
        <f>'Paste cell here'!AE139</f>
        <v>106.13180025353039</v>
      </c>
      <c r="J139" s="44">
        <f>'Paste cell here'!U138+'Paste cell here'!AF139</f>
        <v>126.00437257415565</v>
      </c>
      <c r="K139" s="45">
        <f>'Paste cell here'!AG139</f>
        <v>83.821023364407182</v>
      </c>
      <c r="L139" s="41" t="str">
        <f t="shared" si="8"/>
        <v>NO</v>
      </c>
      <c r="M139" s="1">
        <f>(Sintesi!$C$29*F139*1000)</f>
        <v>23.3</v>
      </c>
      <c r="N139" s="1">
        <f>Sintesi!$C$30*F139*1000</f>
        <v>10.700000000000001</v>
      </c>
      <c r="O139" s="1">
        <f t="shared" si="6"/>
        <v>12.6</v>
      </c>
      <c r="P139" s="1">
        <f>Sintesi!$C$33*G139*1000</f>
        <v>111.28100000000002</v>
      </c>
      <c r="Q139" s="1">
        <f>Sintesi!$C$34*G139*1000</f>
        <v>55.424000000000007</v>
      </c>
      <c r="R139" s="1">
        <f t="shared" si="7"/>
        <v>55.857000000000014</v>
      </c>
    </row>
    <row r="140" spans="1:18">
      <c r="A140" s="41">
        <v>139</v>
      </c>
      <c r="B140" s="42">
        <f>DATE(Sintesi!$C$4-1,12,31)+A140</f>
        <v>44335</v>
      </c>
      <c r="C140" s="41">
        <f>'Paste cell here'!B140</f>
        <v>0.15999999999999945</v>
      </c>
      <c r="D140" s="41">
        <f>'Paste cell here'!I140</f>
        <v>0</v>
      </c>
      <c r="E140" s="1">
        <f>'Paste cell here'!H140</f>
        <v>0.48069175715046014</v>
      </c>
      <c r="F140" s="1">
        <f>Sintesi!$C$5</f>
        <v>0.1</v>
      </c>
      <c r="G140" s="1">
        <f>'Paste cell here'!AA140</f>
        <v>0.44100000000000006</v>
      </c>
      <c r="H140" s="43">
        <f>'Paste cell here'!U140</f>
        <v>11.959211203485808</v>
      </c>
      <c r="I140" s="43">
        <f>'Paste cell here'!AE140</f>
        <v>106.90098004104532</v>
      </c>
      <c r="J140" s="44">
        <f>'Paste cell here'!U139+'Paste cell here'!AF140</f>
        <v>123.55269025232961</v>
      </c>
      <c r="K140" s="45">
        <f>'Paste cell here'!AG140</f>
        <v>83.726981411996746</v>
      </c>
      <c r="L140" s="41" t="str">
        <f t="shared" si="8"/>
        <v>NO</v>
      </c>
      <c r="M140" s="1">
        <f>(Sintesi!$C$29*F140*1000)</f>
        <v>23.3</v>
      </c>
      <c r="N140" s="1">
        <f>Sintesi!$C$30*F140*1000</f>
        <v>10.700000000000001</v>
      </c>
      <c r="O140" s="1">
        <f t="shared" si="6"/>
        <v>12.6</v>
      </c>
      <c r="P140" s="1">
        <f>Sintesi!$C$33*G140*1000</f>
        <v>113.33700000000002</v>
      </c>
      <c r="Q140" s="1">
        <f>Sintesi!$C$34*G140*1000</f>
        <v>56.448000000000015</v>
      </c>
      <c r="R140" s="1">
        <f t="shared" si="7"/>
        <v>56.889000000000003</v>
      </c>
    </row>
    <row r="141" spans="1:18">
      <c r="A141" s="41">
        <v>140</v>
      </c>
      <c r="B141" s="42">
        <f>DATE(Sintesi!$C$4-1,12,31)+A141</f>
        <v>44336</v>
      </c>
      <c r="C141" s="41">
        <f>'Paste cell here'!B141</f>
        <v>0</v>
      </c>
      <c r="D141" s="41">
        <f>'Paste cell here'!I141</f>
        <v>0</v>
      </c>
      <c r="E141" s="1">
        <f>'Paste cell here'!H141</f>
        <v>0.46697429090994036</v>
      </c>
      <c r="F141" s="1">
        <f>Sintesi!$C$5</f>
        <v>0.1</v>
      </c>
      <c r="G141" s="1">
        <f>'Paste cell here'!AA141</f>
        <v>0.44900000000000007</v>
      </c>
      <c r="H141" s="43">
        <f>'Paste cell here'!U141</f>
        <v>9.6293761111914691</v>
      </c>
      <c r="I141" s="43">
        <f>'Paste cell here'!AE141</f>
        <v>107.53597403413148</v>
      </c>
      <c r="J141" s="44">
        <f>'Paste cell here'!U140+'Paste cell here'!AF141</f>
        <v>120.91619124453112</v>
      </c>
      <c r="K141" s="45">
        <f>'Paste cell here'!AG141</f>
        <v>87.31986940795457</v>
      </c>
      <c r="L141" s="41" t="str">
        <f t="shared" si="8"/>
        <v>NO</v>
      </c>
      <c r="M141" s="1">
        <f>(Sintesi!$C$29*F141*1000)</f>
        <v>23.3</v>
      </c>
      <c r="N141" s="1">
        <f>Sintesi!$C$30*F141*1000</f>
        <v>10.700000000000001</v>
      </c>
      <c r="O141" s="1">
        <f t="shared" si="6"/>
        <v>12.6</v>
      </c>
      <c r="P141" s="1">
        <f>Sintesi!$C$33*G141*1000</f>
        <v>115.39300000000003</v>
      </c>
      <c r="Q141" s="1">
        <f>Sintesi!$C$34*G141*1000</f>
        <v>57.472000000000008</v>
      </c>
      <c r="R141" s="1">
        <f t="shared" si="7"/>
        <v>57.921000000000021</v>
      </c>
    </row>
    <row r="142" spans="1:18">
      <c r="A142" s="41">
        <v>141</v>
      </c>
      <c r="B142" s="42">
        <f>DATE(Sintesi!$C$4-1,12,31)+A142</f>
        <v>44337</v>
      </c>
      <c r="C142" s="41">
        <f>'Paste cell here'!B142</f>
        <v>0.23999999999999491</v>
      </c>
      <c r="D142" s="41">
        <f>'Paste cell here'!I142</f>
        <v>0</v>
      </c>
      <c r="E142" s="1">
        <f>'Paste cell here'!H142</f>
        <v>0.45875694749977325</v>
      </c>
      <c r="F142" s="1">
        <f>Sintesi!$C$5</f>
        <v>0.1</v>
      </c>
      <c r="G142" s="1">
        <f>'Paste cell here'!AA142</f>
        <v>0.45700000000000007</v>
      </c>
      <c r="H142" s="43">
        <f>'Paste cell here'!U142</f>
        <v>8.4691797004313081</v>
      </c>
      <c r="I142" s="43">
        <f>'Paste cell here'!AE142</f>
        <v>108.25004285148921</v>
      </c>
      <c r="J142" s="44">
        <f>'Paste cell here'!U141+'Paste cell here'!AF142</f>
        <v>119.22135014532296</v>
      </c>
      <c r="K142" s="45">
        <f>'Paste cell here'!AG142</f>
        <v>90.296305076338399</v>
      </c>
      <c r="L142" s="41" t="str">
        <f t="shared" si="8"/>
        <v>NO</v>
      </c>
      <c r="M142" s="1">
        <f>(Sintesi!$C$29*F142*1000)</f>
        <v>23.3</v>
      </c>
      <c r="N142" s="1">
        <f>Sintesi!$C$30*F142*1000</f>
        <v>10.700000000000001</v>
      </c>
      <c r="O142" s="1">
        <f t="shared" si="6"/>
        <v>12.6</v>
      </c>
      <c r="P142" s="1">
        <f>Sintesi!$C$33*G142*1000</f>
        <v>117.44900000000003</v>
      </c>
      <c r="Q142" s="1">
        <f>Sintesi!$C$34*G142*1000</f>
        <v>58.496000000000016</v>
      </c>
      <c r="R142" s="1">
        <f t="shared" si="7"/>
        <v>58.95300000000001</v>
      </c>
    </row>
    <row r="143" spans="1:18">
      <c r="A143" s="41">
        <v>142</v>
      </c>
      <c r="B143" s="42">
        <f>DATE(Sintesi!$C$4-1,12,31)+A143</f>
        <v>44338</v>
      </c>
      <c r="C143" s="41">
        <f>'Paste cell here'!B143</f>
        <v>3.1199999999999846</v>
      </c>
      <c r="D143" s="41">
        <f>'Paste cell here'!I143</f>
        <v>0</v>
      </c>
      <c r="E143" s="1">
        <f>'Paste cell here'!H143</f>
        <v>0.49453273197277536</v>
      </c>
      <c r="F143" s="1">
        <f>Sintesi!$C$5</f>
        <v>0.1</v>
      </c>
      <c r="G143" s="1">
        <f>'Paste cell here'!AA143</f>
        <v>0.46499999999999997</v>
      </c>
      <c r="H143" s="43">
        <f>'Paste cell here'!U143</f>
        <v>10.182980839071355</v>
      </c>
      <c r="I143" s="43">
        <f>'Paste cell here'!AE143</f>
        <v>109.30769047085029</v>
      </c>
      <c r="J143" s="44">
        <f>'Paste cell here'!U142+'Paste cell here'!AF143</f>
        <v>118.77522255192049</v>
      </c>
      <c r="K143" s="45">
        <f>'Paste cell here'!AG143</f>
        <v>88.458973257730733</v>
      </c>
      <c r="L143" s="41" t="str">
        <f t="shared" si="8"/>
        <v>NO</v>
      </c>
      <c r="M143" s="1">
        <f>(Sintesi!$C$29*F143*1000)</f>
        <v>23.3</v>
      </c>
      <c r="N143" s="1">
        <f>Sintesi!$C$30*F143*1000</f>
        <v>10.700000000000001</v>
      </c>
      <c r="O143" s="1">
        <f t="shared" si="6"/>
        <v>12.6</v>
      </c>
      <c r="P143" s="1">
        <f>Sintesi!$C$33*G143*1000</f>
        <v>119.505</v>
      </c>
      <c r="Q143" s="1">
        <f>Sintesi!$C$34*G143*1000</f>
        <v>59.519999999999996</v>
      </c>
      <c r="R143" s="1">
        <f t="shared" si="7"/>
        <v>59.984999999999999</v>
      </c>
    </row>
    <row r="144" spans="1:18">
      <c r="A144" s="41">
        <v>143</v>
      </c>
      <c r="B144" s="42">
        <f>DATE(Sintesi!$C$4-1,12,31)+A144</f>
        <v>44339</v>
      </c>
      <c r="C144" s="41">
        <f>'Paste cell here'!B144</f>
        <v>0</v>
      </c>
      <c r="D144" s="41">
        <f>'Paste cell here'!I144</f>
        <v>0</v>
      </c>
      <c r="E144" s="1">
        <f>'Paste cell here'!H144</f>
        <v>0.5665272252504896</v>
      </c>
      <c r="F144" s="1">
        <f>Sintesi!$C$5</f>
        <v>0.1</v>
      </c>
      <c r="G144" s="1">
        <f>'Paste cell here'!AA144</f>
        <v>0.47299999999999998</v>
      </c>
      <c r="H144" s="43">
        <f>'Paste cell here'!U144</f>
        <v>8.6924628491142801</v>
      </c>
      <c r="I144" s="43">
        <f>'Paste cell here'!AE144</f>
        <v>109.72294496782227</v>
      </c>
      <c r="J144" s="44">
        <f>'Paste cell here'!U143+'Paste cell here'!AF144</f>
        <v>121.54667130992166</v>
      </c>
      <c r="K144" s="45">
        <f>'Paste cell here'!AG144</f>
        <v>82.67730220077344</v>
      </c>
      <c r="L144" s="41" t="str">
        <f t="shared" si="8"/>
        <v>NO</v>
      </c>
      <c r="M144" s="1">
        <f>(Sintesi!$C$29*F144*1000)</f>
        <v>23.3</v>
      </c>
      <c r="N144" s="1">
        <f>Sintesi!$C$30*F144*1000</f>
        <v>10.700000000000001</v>
      </c>
      <c r="O144" s="1">
        <f t="shared" si="6"/>
        <v>12.6</v>
      </c>
      <c r="P144" s="1">
        <f>Sintesi!$C$33*G144*1000</f>
        <v>121.56100000000001</v>
      </c>
      <c r="Q144" s="1">
        <f>Sintesi!$C$34*G144*1000</f>
        <v>60.544000000000004</v>
      </c>
      <c r="R144" s="1">
        <f t="shared" si="7"/>
        <v>61.017000000000003</v>
      </c>
    </row>
    <row r="145" spans="1:18">
      <c r="A145" s="41">
        <v>144</v>
      </c>
      <c r="B145" s="42">
        <f>DATE(Sintesi!$C$4-1,12,31)+A145</f>
        <v>44340</v>
      </c>
      <c r="C145" s="41">
        <f>'Paste cell here'!B145</f>
        <v>25.999999999999595</v>
      </c>
      <c r="D145" s="41">
        <f>'Paste cell here'!I145</f>
        <v>0</v>
      </c>
      <c r="E145" s="1">
        <f>'Paste cell here'!H145</f>
        <v>0.47735609124431638</v>
      </c>
      <c r="F145" s="1">
        <f>Sintesi!$C$5</f>
        <v>0.1</v>
      </c>
      <c r="G145" s="1">
        <f>'Paste cell here'!AA145</f>
        <v>0.48099999999999998</v>
      </c>
      <c r="H145" s="43">
        <f>'Paste cell here'!U145</f>
        <v>32.376771697535474</v>
      </c>
      <c r="I145" s="43">
        <f>'Paste cell here'!AE145</f>
        <v>111.81966073237402</v>
      </c>
      <c r="J145" s="44">
        <f>'Paste cell here'!U144+'Paste cell here'!AF145</f>
        <v>120.47140781693655</v>
      </c>
      <c r="K145" s="45">
        <f>'Paste cell here'!AG145</f>
        <v>94.641694827279323</v>
      </c>
      <c r="L145" s="41" t="str">
        <f t="shared" si="8"/>
        <v>NO</v>
      </c>
      <c r="M145" s="1">
        <f>(Sintesi!$C$29*F145*1000)</f>
        <v>23.3</v>
      </c>
      <c r="N145" s="1">
        <f>Sintesi!$C$30*F145*1000</f>
        <v>10.700000000000001</v>
      </c>
      <c r="O145" s="1">
        <f t="shared" si="6"/>
        <v>12.6</v>
      </c>
      <c r="P145" s="1">
        <f>Sintesi!$C$33*G145*1000</f>
        <v>123.617</v>
      </c>
      <c r="Q145" s="1">
        <f>Sintesi!$C$34*G145*1000</f>
        <v>61.567999999999998</v>
      </c>
      <c r="R145" s="1">
        <f t="shared" si="7"/>
        <v>62.049000000000007</v>
      </c>
    </row>
    <row r="146" spans="1:18">
      <c r="A146" s="41">
        <v>145</v>
      </c>
      <c r="B146" s="42">
        <f>DATE(Sintesi!$C$4-1,12,31)+A146</f>
        <v>44341</v>
      </c>
      <c r="C146" s="41">
        <f>'Paste cell here'!B146</f>
        <v>0</v>
      </c>
      <c r="D146" s="41">
        <f>'Paste cell here'!I146</f>
        <v>0</v>
      </c>
      <c r="E146" s="1">
        <f>'Paste cell here'!H146</f>
        <v>0.65302806973296756</v>
      </c>
      <c r="F146" s="1">
        <f>Sintesi!$C$5</f>
        <v>0.1</v>
      </c>
      <c r="G146" s="1">
        <f>'Paste cell here'!AA146</f>
        <v>0.49</v>
      </c>
      <c r="H146" s="43">
        <f>'Paste cell here'!U146</f>
        <v>26.619099861375165</v>
      </c>
      <c r="I146" s="43">
        <f>'Paste cell here'!AE146</f>
        <v>113.95359425930643</v>
      </c>
      <c r="J146" s="44">
        <f>'Paste cell here'!U145+'Paste cell here'!AF146</f>
        <v>146.50943242990948</v>
      </c>
      <c r="K146" s="45">
        <f>'Paste cell here'!AG146</f>
        <v>77.743252296437149</v>
      </c>
      <c r="L146" s="41" t="str">
        <f t="shared" si="8"/>
        <v>NO</v>
      </c>
      <c r="M146" s="1">
        <f>(Sintesi!$C$29*F146*1000)</f>
        <v>23.3</v>
      </c>
      <c r="N146" s="1">
        <f>Sintesi!$C$30*F146*1000</f>
        <v>10.700000000000001</v>
      </c>
      <c r="O146" s="1">
        <f t="shared" si="6"/>
        <v>12.6</v>
      </c>
      <c r="P146" s="1">
        <f>Sintesi!$C$33*G146*1000</f>
        <v>125.93000000000002</v>
      </c>
      <c r="Q146" s="1">
        <f>Sintesi!$C$34*G146*1000</f>
        <v>62.72</v>
      </c>
      <c r="R146" s="1">
        <f t="shared" si="7"/>
        <v>63.210000000000022</v>
      </c>
    </row>
    <row r="147" spans="1:18">
      <c r="A147" s="41">
        <v>146</v>
      </c>
      <c r="B147" s="42">
        <f>DATE(Sintesi!$C$4-1,12,31)+A147</f>
        <v>44342</v>
      </c>
      <c r="C147" s="41">
        <f>'Paste cell here'!B147</f>
        <v>0</v>
      </c>
      <c r="D147" s="41">
        <f>'Paste cell here'!I147</f>
        <v>0</v>
      </c>
      <c r="E147" s="1">
        <f>'Paste cell here'!H147</f>
        <v>0.46431551188206899</v>
      </c>
      <c r="F147" s="1">
        <f>Sintesi!$C$5</f>
        <v>0.1</v>
      </c>
      <c r="G147" s="1">
        <f>'Paste cell here'!AA147</f>
        <v>0.498</v>
      </c>
      <c r="H147" s="43">
        <f>'Paste cell here'!U147</f>
        <v>22.977463796929996</v>
      </c>
      <c r="I147" s="43">
        <f>'Paste cell here'!AE147</f>
        <v>114.31140018390083</v>
      </c>
      <c r="J147" s="44">
        <f>'Paste cell here'!U146+'Paste cell here'!AF147</f>
        <v>142.62869412068159</v>
      </c>
      <c r="K147" s="45">
        <f>'Paste cell here'!AG147</f>
        <v>100.5862368264964</v>
      </c>
      <c r="L147" s="41" t="str">
        <f t="shared" si="8"/>
        <v>NO</v>
      </c>
      <c r="M147" s="1">
        <f>(Sintesi!$C$29*F147*1000)</f>
        <v>23.3</v>
      </c>
      <c r="N147" s="1">
        <f>Sintesi!$C$30*F147*1000</f>
        <v>10.700000000000001</v>
      </c>
      <c r="O147" s="1">
        <f t="shared" si="6"/>
        <v>12.6</v>
      </c>
      <c r="P147" s="1">
        <f>Sintesi!$C$33*G147*1000</f>
        <v>127.98600000000002</v>
      </c>
      <c r="Q147" s="1">
        <f>Sintesi!$C$34*G147*1000</f>
        <v>63.743999999999993</v>
      </c>
      <c r="R147" s="1">
        <f t="shared" si="7"/>
        <v>64.242000000000019</v>
      </c>
    </row>
    <row r="148" spans="1:18">
      <c r="A148" s="41">
        <v>147</v>
      </c>
      <c r="B148" s="42">
        <f>DATE(Sintesi!$C$4-1,12,31)+A148</f>
        <v>44343</v>
      </c>
      <c r="C148" s="41">
        <f>'Paste cell here'!B148</f>
        <v>0</v>
      </c>
      <c r="D148" s="41">
        <f>'Paste cell here'!I148</f>
        <v>0</v>
      </c>
      <c r="E148" s="1">
        <f>'Paste cell here'!H148</f>
        <v>0.48797642503910066</v>
      </c>
      <c r="F148" s="1">
        <f>Sintesi!$C$5</f>
        <v>0.1</v>
      </c>
      <c r="G148" s="1">
        <f>'Paste cell here'!AA148</f>
        <v>0.50600000000000001</v>
      </c>
      <c r="H148" s="43">
        <f>'Paste cell here'!U148</f>
        <v>19.422680407615438</v>
      </c>
      <c r="I148" s="43">
        <f>'Paste cell here'!AE148</f>
        <v>114.29919849507054</v>
      </c>
      <c r="J148" s="44">
        <f>'Paste cell here'!U147+'Paste cell here'!AF148</f>
        <v>139.34486398083084</v>
      </c>
      <c r="K148" s="45">
        <f>'Paste cell here'!AG148</f>
        <v>100.2170547793541</v>
      </c>
      <c r="L148" s="41" t="str">
        <f t="shared" si="8"/>
        <v>NO</v>
      </c>
      <c r="M148" s="1">
        <f>(Sintesi!$C$29*F148*1000)</f>
        <v>23.3</v>
      </c>
      <c r="N148" s="1">
        <f>Sintesi!$C$30*F148*1000</f>
        <v>10.700000000000001</v>
      </c>
      <c r="O148" s="1">
        <f t="shared" si="6"/>
        <v>12.6</v>
      </c>
      <c r="P148" s="1">
        <f>Sintesi!$C$33*G148*1000</f>
        <v>130.042</v>
      </c>
      <c r="Q148" s="1">
        <f>Sintesi!$C$34*G148*1000</f>
        <v>64.768000000000001</v>
      </c>
      <c r="R148" s="1">
        <f t="shared" si="7"/>
        <v>65.274000000000001</v>
      </c>
    </row>
    <row r="149" spans="1:18">
      <c r="A149" s="41">
        <v>148</v>
      </c>
      <c r="B149" s="42">
        <f>DATE(Sintesi!$C$4-1,12,31)+A149</f>
        <v>44344</v>
      </c>
      <c r="C149" s="41">
        <f>'Paste cell here'!B149</f>
        <v>0</v>
      </c>
      <c r="D149" s="41">
        <f>'Paste cell here'!I149</f>
        <v>0</v>
      </c>
      <c r="E149" s="1">
        <f>'Paste cell here'!H149</f>
        <v>0.47635220364798908</v>
      </c>
      <c r="F149" s="1">
        <f>Sintesi!$C$5</f>
        <v>0.1</v>
      </c>
      <c r="G149" s="1">
        <f>'Paste cell here'!AA149</f>
        <v>0.51400000000000001</v>
      </c>
      <c r="H149" s="43">
        <f>'Paste cell here'!U149</f>
        <v>16.224600682865187</v>
      </c>
      <c r="I149" s="43">
        <f>'Paste cell here'!AE149</f>
        <v>114.19545780604724</v>
      </c>
      <c r="J149" s="44">
        <f>'Paste cell here'!U148+'Paste cell here'!AF149</f>
        <v>135.77787890268598</v>
      </c>
      <c r="K149" s="45">
        <f>'Paste cell here'!AG149</f>
        <v>103.75339744803975</v>
      </c>
      <c r="L149" s="41" t="str">
        <f t="shared" si="8"/>
        <v>NO</v>
      </c>
      <c r="M149" s="1">
        <f>(Sintesi!$C$29*F149*1000)</f>
        <v>23.3</v>
      </c>
      <c r="N149" s="1">
        <f>Sintesi!$C$30*F149*1000</f>
        <v>10.700000000000001</v>
      </c>
      <c r="O149" s="1">
        <f t="shared" si="6"/>
        <v>12.6</v>
      </c>
      <c r="P149" s="1">
        <f>Sintesi!$C$33*G149*1000</f>
        <v>132.09799999999998</v>
      </c>
      <c r="Q149" s="1">
        <f>Sintesi!$C$34*G149*1000</f>
        <v>65.792000000000002</v>
      </c>
      <c r="R149" s="1">
        <f t="shared" si="7"/>
        <v>66.305999999999983</v>
      </c>
    </row>
    <row r="150" spans="1:18">
      <c r="A150" s="41">
        <v>149</v>
      </c>
      <c r="B150" s="42">
        <f>DATE(Sintesi!$C$4-1,12,31)+A150</f>
        <v>44345</v>
      </c>
      <c r="C150" s="41">
        <f>'Paste cell here'!B150</f>
        <v>0</v>
      </c>
      <c r="D150" s="41">
        <f>'Paste cell here'!I150</f>
        <v>0</v>
      </c>
      <c r="E150" s="1">
        <f>'Paste cell here'!H150</f>
        <v>0.48669192180955662</v>
      </c>
      <c r="F150" s="1">
        <f>Sintesi!$C$5</f>
        <v>0.1</v>
      </c>
      <c r="G150" s="1">
        <f>'Paste cell here'!AA150</f>
        <v>0.52200000000000002</v>
      </c>
      <c r="H150" s="43">
        <f>'Paste cell here'!U150</f>
        <v>13.392122848527714</v>
      </c>
      <c r="I150" s="43">
        <f>'Paste cell here'!AE150</f>
        <v>113.95777557021603</v>
      </c>
      <c r="J150" s="44">
        <f>'Paste cell here'!U149+'Paste cell here'!AF150</f>
        <v>132.47605848891243</v>
      </c>
      <c r="K150" s="45">
        <f>'Paste cell here'!AG150</f>
        <v>104.89310337957774</v>
      </c>
      <c r="L150" s="41" t="str">
        <f t="shared" si="8"/>
        <v>NO</v>
      </c>
      <c r="M150" s="1">
        <f>(Sintesi!$C$29*F150*1000)</f>
        <v>23.3</v>
      </c>
      <c r="N150" s="1">
        <f>Sintesi!$C$30*F150*1000</f>
        <v>10.700000000000001</v>
      </c>
      <c r="O150" s="1">
        <f t="shared" si="6"/>
        <v>12.6</v>
      </c>
      <c r="P150" s="1">
        <f>Sintesi!$C$33*G150*1000</f>
        <v>134.154</v>
      </c>
      <c r="Q150" s="1">
        <f>Sintesi!$C$34*G150*1000</f>
        <v>66.816000000000003</v>
      </c>
      <c r="R150" s="1">
        <f t="shared" si="7"/>
        <v>67.337999999999994</v>
      </c>
    </row>
    <row r="151" spans="1:18">
      <c r="A151" s="41">
        <v>150</v>
      </c>
      <c r="B151" s="42">
        <f>DATE(Sintesi!$C$4-1,12,31)+A151</f>
        <v>44346</v>
      </c>
      <c r="C151" s="41">
        <f>'Paste cell here'!B151</f>
        <v>0</v>
      </c>
      <c r="D151" s="41">
        <f>'Paste cell here'!I151</f>
        <v>0</v>
      </c>
      <c r="E151" s="1">
        <f>'Paste cell here'!H151</f>
        <v>0.47903959633409293</v>
      </c>
      <c r="F151" s="1">
        <f>Sintesi!$C$5</f>
        <v>0.1</v>
      </c>
      <c r="G151" s="1">
        <f>'Paste cell here'!AA151</f>
        <v>0.53</v>
      </c>
      <c r="H151" s="43">
        <f>'Paste cell here'!U151</f>
        <v>11.210386035522951</v>
      </c>
      <c r="I151" s="43">
        <f>'Paste cell here'!AE151</f>
        <v>113.4405509579895</v>
      </c>
      <c r="J151" s="44">
        <f>'Paste cell here'!U150+'Paste cell here'!AF151</f>
        <v>129.40589841874376</v>
      </c>
      <c r="K151" s="45">
        <f>'Paste cell here'!AG151</f>
        <v>107.99975363905226</v>
      </c>
      <c r="L151" s="41" t="str">
        <f t="shared" si="8"/>
        <v>NO</v>
      </c>
      <c r="M151" s="1">
        <f>(Sintesi!$C$29*F151*1000)</f>
        <v>23.3</v>
      </c>
      <c r="N151" s="1">
        <f>Sintesi!$C$30*F151*1000</f>
        <v>10.700000000000001</v>
      </c>
      <c r="O151" s="1">
        <f t="shared" si="6"/>
        <v>12.6</v>
      </c>
      <c r="P151" s="1">
        <f>Sintesi!$C$33*G151*1000</f>
        <v>136.21</v>
      </c>
      <c r="Q151" s="1">
        <f>Sintesi!$C$34*G151*1000</f>
        <v>67.840000000000018</v>
      </c>
      <c r="R151" s="1">
        <f t="shared" si="7"/>
        <v>68.36999999999999</v>
      </c>
    </row>
    <row r="152" spans="1:18">
      <c r="A152" s="41">
        <v>151</v>
      </c>
      <c r="B152" s="42">
        <f>DATE(Sintesi!$C$4-1,12,31)+A152</f>
        <v>44347</v>
      </c>
      <c r="C152" s="41">
        <f>'Paste cell here'!B152</f>
        <v>0</v>
      </c>
      <c r="D152" s="41">
        <f>'Paste cell here'!I152</f>
        <v>0</v>
      </c>
      <c r="E152" s="1">
        <f>'Paste cell here'!H152</f>
        <v>0.46134565589047483</v>
      </c>
      <c r="F152" s="1">
        <f>Sintesi!$C$5</f>
        <v>0.1</v>
      </c>
      <c r="G152" s="1">
        <f>'Paste cell here'!AA152</f>
        <v>0.53800000000000003</v>
      </c>
      <c r="H152" s="43">
        <f>'Paste cell here'!U152</f>
        <v>9.80893517733859</v>
      </c>
      <c r="I152" s="43">
        <f>'Paste cell here'!AE152</f>
        <v>113.0534936049819</v>
      </c>
      <c r="J152" s="44">
        <f>'Paste cell here'!U151+'Paste cell here'!AF152</f>
        <v>126.70693699351247</v>
      </c>
      <c r="K152" s="45">
        <f>'Paste cell here'!AG152</f>
        <v>112.19619725099841</v>
      </c>
      <c r="L152" s="41" t="str">
        <f t="shared" si="8"/>
        <v>NO</v>
      </c>
      <c r="M152" s="1">
        <f>(Sintesi!$C$29*F152*1000)</f>
        <v>23.3</v>
      </c>
      <c r="N152" s="1">
        <f>Sintesi!$C$30*F152*1000</f>
        <v>10.700000000000001</v>
      </c>
      <c r="O152" s="1">
        <f t="shared" si="6"/>
        <v>12.6</v>
      </c>
      <c r="P152" s="1">
        <f>Sintesi!$C$33*G152*1000</f>
        <v>138.26599999999999</v>
      </c>
      <c r="Q152" s="1">
        <f>Sintesi!$C$34*G152*1000</f>
        <v>68.864000000000004</v>
      </c>
      <c r="R152" s="1">
        <f t="shared" si="7"/>
        <v>69.401999999999987</v>
      </c>
    </row>
    <row r="153" spans="1:18">
      <c r="A153" s="41">
        <v>152</v>
      </c>
      <c r="B153" s="42">
        <f>DATE(Sintesi!$C$4-1,12,31)+A153</f>
        <v>44348</v>
      </c>
      <c r="C153" s="41">
        <f>'Paste cell here'!B153</f>
        <v>0</v>
      </c>
      <c r="D153" s="41">
        <f>'Paste cell here'!I153</f>
        <v>0</v>
      </c>
      <c r="E153" s="1">
        <f>'Paste cell here'!H153</f>
        <v>0.48500411461322457</v>
      </c>
      <c r="F153" s="1">
        <f>Sintesi!$C$5</f>
        <v>0.1</v>
      </c>
      <c r="G153" s="1">
        <f>'Paste cell here'!AA153</f>
        <v>0.54700000000000004</v>
      </c>
      <c r="H153" s="43">
        <f>'Paste cell here'!U153</f>
        <v>8.7654250937565479</v>
      </c>
      <c r="I153" s="43">
        <f>'Paste cell here'!AE153</f>
        <v>112.75210023900986</v>
      </c>
      <c r="J153" s="44">
        <f>'Paste cell here'!U152+'Paste cell here'!AF153</f>
        <v>125.17542878232049</v>
      </c>
      <c r="K153" s="45">
        <f>'Paste cell here'!AG153</f>
        <v>112.21063720783455</v>
      </c>
      <c r="L153" s="41" t="str">
        <f t="shared" si="8"/>
        <v>NO</v>
      </c>
      <c r="M153" s="1">
        <f>(Sintesi!$C$29*F153*1000)</f>
        <v>23.3</v>
      </c>
      <c r="N153" s="1">
        <f>Sintesi!$C$30*F153*1000</f>
        <v>10.700000000000001</v>
      </c>
      <c r="O153" s="1">
        <f t="shared" si="6"/>
        <v>12.6</v>
      </c>
      <c r="P153" s="1">
        <f>Sintesi!$C$33*G153*1000</f>
        <v>140.57900000000001</v>
      </c>
      <c r="Q153" s="1">
        <f>Sintesi!$C$34*G153*1000</f>
        <v>70.016000000000005</v>
      </c>
      <c r="R153" s="1">
        <f t="shared" si="7"/>
        <v>70.563000000000002</v>
      </c>
    </row>
    <row r="154" spans="1:18">
      <c r="A154" s="41">
        <v>153</v>
      </c>
      <c r="B154" s="42">
        <f>DATE(Sintesi!$C$4-1,12,31)+A154</f>
        <v>44349</v>
      </c>
      <c r="C154" s="41">
        <f>'Paste cell here'!B154</f>
        <v>0</v>
      </c>
      <c r="D154" s="41">
        <f>'Paste cell here'!I154</f>
        <v>0</v>
      </c>
      <c r="E154" s="1">
        <f>'Paste cell here'!H154</f>
        <v>0.48092601987068861</v>
      </c>
      <c r="F154" s="1">
        <f>Sintesi!$C$5</f>
        <v>0.1</v>
      </c>
      <c r="G154" s="1">
        <f>'Paste cell here'!AA154</f>
        <v>0.55500000000000005</v>
      </c>
      <c r="H154" s="43">
        <f>'Paste cell here'!U154</f>
        <v>8.0382166222241498</v>
      </c>
      <c r="I154" s="43">
        <f>'Paste cell here'!AE154</f>
        <v>112.29291981112118</v>
      </c>
      <c r="J154" s="44">
        <f>'Paste cell here'!U153+'Paste cell here'!AF154</f>
        <v>123.57352533276642</v>
      </c>
      <c r="K154" s="45">
        <f>'Paste cell here'!AG154</f>
        <v>114.99660966629011</v>
      </c>
      <c r="L154" s="41" t="str">
        <f t="shared" si="8"/>
        <v>NO</v>
      </c>
      <c r="M154" s="1">
        <f>(Sintesi!$C$29*F154*1000)</f>
        <v>23.3</v>
      </c>
      <c r="N154" s="1">
        <f>Sintesi!$C$30*F154*1000</f>
        <v>10.700000000000001</v>
      </c>
      <c r="O154" s="1">
        <f t="shared" si="6"/>
        <v>12.6</v>
      </c>
      <c r="P154" s="1">
        <f>Sintesi!$C$33*G154*1000</f>
        <v>142.63500000000002</v>
      </c>
      <c r="Q154" s="1">
        <f>Sintesi!$C$34*G154*1000</f>
        <v>71.040000000000006</v>
      </c>
      <c r="R154" s="1">
        <f t="shared" si="7"/>
        <v>71.595000000000013</v>
      </c>
    </row>
    <row r="155" spans="1:18">
      <c r="A155" s="41">
        <v>154</v>
      </c>
      <c r="B155" s="42">
        <f>DATE(Sintesi!$C$4-1,12,31)+A155</f>
        <v>44350</v>
      </c>
      <c r="C155" s="41">
        <f>'Paste cell here'!B155</f>
        <v>0</v>
      </c>
      <c r="D155" s="41">
        <f>'Paste cell here'!I155</f>
        <v>0</v>
      </c>
      <c r="E155" s="1">
        <f>'Paste cell here'!H155</f>
        <v>0.49654036070741359</v>
      </c>
      <c r="F155" s="1">
        <f>Sintesi!$C$5</f>
        <v>0.1</v>
      </c>
      <c r="G155" s="1">
        <f>'Paste cell here'!AA155</f>
        <v>0.56300000000000006</v>
      </c>
      <c r="H155" s="43">
        <f>'Paste cell here'!U155</f>
        <v>7.3812450796010269</v>
      </c>
      <c r="I155" s="43">
        <f>'Paste cell here'!AE155</f>
        <v>111.24785434143047</v>
      </c>
      <c r="J155" s="44">
        <f>'Paste cell here'!U154+'Paste cell here'!AF155</f>
        <v>122.38713643334536</v>
      </c>
      <c r="K155" s="45">
        <f>'Paste cell here'!AG155</f>
        <v>115.72747302731675</v>
      </c>
      <c r="L155" s="41" t="str">
        <f t="shared" si="8"/>
        <v>NO</v>
      </c>
      <c r="M155" s="1">
        <f>(Sintesi!$C$29*F155*1000)</f>
        <v>23.3</v>
      </c>
      <c r="N155" s="1">
        <f>Sintesi!$C$30*F155*1000</f>
        <v>10.700000000000001</v>
      </c>
      <c r="O155" s="1">
        <f t="shared" si="6"/>
        <v>12.6</v>
      </c>
      <c r="P155" s="1">
        <f>Sintesi!$C$33*G155*1000</f>
        <v>144.691</v>
      </c>
      <c r="Q155" s="1">
        <f>Sintesi!$C$34*G155*1000</f>
        <v>72.064000000000007</v>
      </c>
      <c r="R155" s="1">
        <f t="shared" si="7"/>
        <v>72.626999999999995</v>
      </c>
    </row>
    <row r="156" spans="1:18">
      <c r="A156" s="41">
        <v>155</v>
      </c>
      <c r="B156" s="42">
        <f>DATE(Sintesi!$C$4-1,12,31)+A156</f>
        <v>44351</v>
      </c>
      <c r="C156" s="41">
        <f>'Paste cell here'!B156</f>
        <v>0</v>
      </c>
      <c r="D156" s="41">
        <f>'Paste cell here'!I156</f>
        <v>54</v>
      </c>
      <c r="E156" s="1">
        <f>'Paste cell here'!H156</f>
        <v>0.45545415214388818</v>
      </c>
      <c r="F156" s="1">
        <f>Sintesi!$C$5</f>
        <v>0.1</v>
      </c>
      <c r="G156" s="1">
        <f>'Paste cell here'!AA156</f>
        <v>0.57100000000000006</v>
      </c>
      <c r="H156" s="43">
        <f>'Paste cell here'!U156</f>
        <v>27.448301560199845</v>
      </c>
      <c r="I156" s="43">
        <f>'Paste cell here'!AE156</f>
        <v>141.71903512294475</v>
      </c>
      <c r="J156" s="44">
        <f>'Paste cell here'!U155+'Paste cell here'!AF156</f>
        <v>120.68509942103151</v>
      </c>
      <c r="K156" s="45">
        <f>'Paste cell here'!AG156</f>
        <v>122.4311321117471</v>
      </c>
      <c r="L156" s="41" t="str">
        <f t="shared" si="8"/>
        <v>YES</v>
      </c>
      <c r="M156" s="1">
        <f>(Sintesi!$C$29*F156*1000)</f>
        <v>23.3</v>
      </c>
      <c r="N156" s="1">
        <f>Sintesi!$C$30*F156*1000</f>
        <v>10.700000000000001</v>
      </c>
      <c r="O156" s="1">
        <f t="shared" si="6"/>
        <v>12.6</v>
      </c>
      <c r="P156" s="1">
        <f>Sintesi!$C$33*G156*1000</f>
        <v>146.74700000000001</v>
      </c>
      <c r="Q156" s="1">
        <f>Sintesi!$C$34*G156*1000</f>
        <v>73.088000000000008</v>
      </c>
      <c r="R156" s="1">
        <f t="shared" si="7"/>
        <v>73.659000000000006</v>
      </c>
    </row>
    <row r="157" spans="1:18">
      <c r="A157" s="41">
        <v>156</v>
      </c>
      <c r="B157" s="42">
        <f>DATE(Sintesi!$C$4-1,12,31)+A157</f>
        <v>44352</v>
      </c>
      <c r="C157" s="41">
        <f>'Paste cell here'!B157</f>
        <v>7.1199999999999752</v>
      </c>
      <c r="D157" s="41">
        <f>'Paste cell here'!I157</f>
        <v>0</v>
      </c>
      <c r="E157" s="1">
        <f>'Paste cell here'!H157</f>
        <v>0.45633265020300262</v>
      </c>
      <c r="F157" s="1">
        <f>Sintesi!$C$5</f>
        <v>0.1</v>
      </c>
      <c r="G157" s="1">
        <f>'Paste cell here'!AA157</f>
        <v>0.57900000000000007</v>
      </c>
      <c r="H157" s="43">
        <f>'Paste cell here'!U157</f>
        <v>27.274248904284562</v>
      </c>
      <c r="I157" s="43">
        <f>'Paste cell here'!AE157</f>
        <v>144.83399463599764</v>
      </c>
      <c r="J157" s="44">
        <f>'Paste cell here'!U156+'Paste cell here'!AF157</f>
        <v>171.22333668314457</v>
      </c>
      <c r="K157" s="45">
        <f>'Paste cell here'!AG157</f>
        <v>124.7805247577821</v>
      </c>
      <c r="L157" s="41" t="str">
        <f t="shared" si="8"/>
        <v>NO</v>
      </c>
      <c r="M157" s="1">
        <f>(Sintesi!$C$29*F157*1000)</f>
        <v>23.3</v>
      </c>
      <c r="N157" s="1">
        <f>Sintesi!$C$30*F157*1000</f>
        <v>10.700000000000001</v>
      </c>
      <c r="O157" s="1">
        <f t="shared" si="6"/>
        <v>12.6</v>
      </c>
      <c r="P157" s="1">
        <f>Sintesi!$C$33*G157*1000</f>
        <v>148.80300000000003</v>
      </c>
      <c r="Q157" s="1">
        <f>Sintesi!$C$34*G157*1000</f>
        <v>74.112000000000009</v>
      </c>
      <c r="R157" s="1">
        <f t="shared" si="7"/>
        <v>74.691000000000017</v>
      </c>
    </row>
    <row r="158" spans="1:18">
      <c r="A158" s="41">
        <v>157</v>
      </c>
      <c r="B158" s="42">
        <f>DATE(Sintesi!$C$4-1,12,31)+A158</f>
        <v>44353</v>
      </c>
      <c r="C158" s="41">
        <f>'Paste cell here'!B158</f>
        <v>26.319999999999805</v>
      </c>
      <c r="D158" s="41">
        <f>'Paste cell here'!I158</f>
        <v>0</v>
      </c>
      <c r="E158" s="1">
        <f>'Paste cell here'!H158</f>
        <v>0.54495999112336857</v>
      </c>
      <c r="F158" s="1">
        <f>Sintesi!$C$5</f>
        <v>0.1</v>
      </c>
      <c r="G158" s="1">
        <f>'Paste cell here'!AA158</f>
        <v>0.58700000000000008</v>
      </c>
      <c r="H158" s="43">
        <f>'Paste cell here'!U158</f>
        <v>30.745250153711837</v>
      </c>
      <c r="I158" s="43">
        <f>'Paste cell here'!AE158</f>
        <v>151.42130074949372</v>
      </c>
      <c r="J158" s="44">
        <f>'Paste cell here'!U157+'Paste cell here'!AF158</f>
        <v>174.1642435402822</v>
      </c>
      <c r="K158" s="45">
        <f>'Paste cell here'!AG158</f>
        <v>118.0846359901725</v>
      </c>
      <c r="L158" s="41" t="str">
        <f t="shared" si="8"/>
        <v>NO</v>
      </c>
      <c r="M158" s="1">
        <f>(Sintesi!$C$29*F158*1000)</f>
        <v>23.3</v>
      </c>
      <c r="N158" s="1">
        <f>Sintesi!$C$30*F158*1000</f>
        <v>10.700000000000001</v>
      </c>
      <c r="O158" s="1">
        <f t="shared" si="6"/>
        <v>12.6</v>
      </c>
      <c r="P158" s="1">
        <f>Sintesi!$C$33*G158*1000</f>
        <v>150.85900000000001</v>
      </c>
      <c r="Q158" s="1">
        <f>Sintesi!$C$34*G158*1000</f>
        <v>75.13600000000001</v>
      </c>
      <c r="R158" s="1">
        <f t="shared" si="7"/>
        <v>75.722999999999999</v>
      </c>
    </row>
    <row r="159" spans="1:18">
      <c r="A159" s="41">
        <v>158</v>
      </c>
      <c r="B159" s="42">
        <f>DATE(Sintesi!$C$4-1,12,31)+A159</f>
        <v>44354</v>
      </c>
      <c r="C159" s="41">
        <f>'Paste cell here'!B159</f>
        <v>1.6399999999999921</v>
      </c>
      <c r="D159" s="41">
        <f>'Paste cell here'!I159</f>
        <v>0</v>
      </c>
      <c r="E159" s="1">
        <f>'Paste cell here'!H159</f>
        <v>0.46484343555020552</v>
      </c>
      <c r="F159" s="1">
        <f>Sintesi!$C$5</f>
        <v>0.1</v>
      </c>
      <c r="G159" s="1">
        <f>'Paste cell here'!AA159</f>
        <v>0.59499999999999997</v>
      </c>
      <c r="H159" s="43">
        <f>'Paste cell here'!U159</f>
        <v>26.43451316474491</v>
      </c>
      <c r="I159" s="43">
        <f>'Paste cell here'!AE159</f>
        <v>154.35383146786998</v>
      </c>
      <c r="J159" s="44">
        <f>'Paste cell here'!U158+'Paste cell here'!AF159</f>
        <v>184.2225509032055</v>
      </c>
      <c r="K159" s="45">
        <f>'Paste cell here'!AG159</f>
        <v>128.7807907203418</v>
      </c>
      <c r="L159" s="41" t="str">
        <f t="shared" si="8"/>
        <v>NO</v>
      </c>
      <c r="M159" s="1">
        <f>(Sintesi!$C$29*F159*1000)</f>
        <v>23.3</v>
      </c>
      <c r="N159" s="1">
        <f>Sintesi!$C$30*F159*1000</f>
        <v>10.700000000000001</v>
      </c>
      <c r="O159" s="1">
        <f t="shared" si="6"/>
        <v>12.6</v>
      </c>
      <c r="P159" s="1">
        <f>Sintesi!$C$33*G159*1000</f>
        <v>152.91499999999999</v>
      </c>
      <c r="Q159" s="1">
        <f>Sintesi!$C$34*G159*1000</f>
        <v>76.16</v>
      </c>
      <c r="R159" s="1">
        <f t="shared" si="7"/>
        <v>76.754999999999995</v>
      </c>
    </row>
    <row r="160" spans="1:18">
      <c r="A160" s="41">
        <v>159</v>
      </c>
      <c r="B160" s="42">
        <f>DATE(Sintesi!$C$4-1,12,31)+A160</f>
        <v>44355</v>
      </c>
      <c r="C160" s="41">
        <f>'Paste cell here'!B160</f>
        <v>0.47999999999999826</v>
      </c>
      <c r="D160" s="41">
        <f>'Paste cell here'!I160</f>
        <v>0</v>
      </c>
      <c r="E160" s="1">
        <f>'Paste cell here'!H160</f>
        <v>0.56550860156641691</v>
      </c>
      <c r="F160" s="1">
        <f>Sintesi!$C$5</f>
        <v>0.1</v>
      </c>
      <c r="G160" s="1">
        <f>'Paste cell here'!AA160</f>
        <v>0.60299999999999998</v>
      </c>
      <c r="H160" s="43">
        <f>'Paste cell here'!U160</f>
        <v>24.317086411690884</v>
      </c>
      <c r="I160" s="43">
        <f>'Paste cell here'!AE160</f>
        <v>154.0396237910943</v>
      </c>
      <c r="J160" s="44">
        <f>'Paste cell here'!U159+'Paste cell here'!AF160</f>
        <v>182.84434463261488</v>
      </c>
      <c r="K160" s="45">
        <f>'Paste cell here'!AG160</f>
        <v>121.07373353981201</v>
      </c>
      <c r="L160" s="41" t="str">
        <f t="shared" si="8"/>
        <v>NO</v>
      </c>
      <c r="M160" s="1">
        <f>(Sintesi!$C$29*F160*1000)</f>
        <v>23.3</v>
      </c>
      <c r="N160" s="1">
        <f>Sintesi!$C$30*F160*1000</f>
        <v>10.700000000000001</v>
      </c>
      <c r="O160" s="1">
        <f t="shared" si="6"/>
        <v>12.6</v>
      </c>
      <c r="P160" s="1">
        <f>Sintesi!$C$33*G160*1000</f>
        <v>154.971</v>
      </c>
      <c r="Q160" s="1">
        <f>Sintesi!$C$34*G160*1000</f>
        <v>77.183999999999997</v>
      </c>
      <c r="R160" s="1">
        <f t="shared" si="7"/>
        <v>77.787000000000006</v>
      </c>
    </row>
    <row r="161" spans="1:18">
      <c r="A161" s="41">
        <v>160</v>
      </c>
      <c r="B161" s="42">
        <f>DATE(Sintesi!$C$4-1,12,31)+A161</f>
        <v>44356</v>
      </c>
      <c r="C161" s="41">
        <f>'Paste cell here'!B161</f>
        <v>0</v>
      </c>
      <c r="D161" s="41">
        <f>'Paste cell here'!I161</f>
        <v>0</v>
      </c>
      <c r="E161" s="1">
        <f>'Paste cell here'!H161</f>
        <v>0.54073957808598183</v>
      </c>
      <c r="F161" s="1">
        <f>Sintesi!$C$5</f>
        <v>0.1</v>
      </c>
      <c r="G161" s="1">
        <f>'Paste cell here'!AA161</f>
        <v>0.61199999999999999</v>
      </c>
      <c r="H161" s="43">
        <f>'Paste cell here'!U161</f>
        <v>21.994607228043911</v>
      </c>
      <c r="I161" s="43">
        <f>'Paste cell here'!AE161</f>
        <v>152.51354548215775</v>
      </c>
      <c r="J161" s="44">
        <f>'Paste cell here'!U160+'Paste cell here'!AF161</f>
        <v>180.66971020278518</v>
      </c>
      <c r="K161" s="45">
        <f>'Paste cell here'!AG161</f>
        <v>126.37752855039606</v>
      </c>
      <c r="L161" s="41" t="str">
        <f t="shared" si="8"/>
        <v>NO</v>
      </c>
      <c r="M161" s="1">
        <f>(Sintesi!$C$29*F161*1000)</f>
        <v>23.3</v>
      </c>
      <c r="N161" s="1">
        <f>Sintesi!$C$30*F161*1000</f>
        <v>10.700000000000001</v>
      </c>
      <c r="O161" s="1">
        <f t="shared" si="6"/>
        <v>12.6</v>
      </c>
      <c r="P161" s="1">
        <f>Sintesi!$C$33*G161*1000</f>
        <v>157.28400000000002</v>
      </c>
      <c r="Q161" s="1">
        <f>Sintesi!$C$34*G161*1000</f>
        <v>78.335999999999999</v>
      </c>
      <c r="R161" s="1">
        <f t="shared" si="7"/>
        <v>78.948000000000022</v>
      </c>
    </row>
    <row r="162" spans="1:18">
      <c r="A162" s="41">
        <v>161</v>
      </c>
      <c r="B162" s="42">
        <f>DATE(Sintesi!$C$4-1,12,31)+A162</f>
        <v>44357</v>
      </c>
      <c r="C162" s="41">
        <f>'Paste cell here'!B162</f>
        <v>0</v>
      </c>
      <c r="D162" s="41">
        <f>'Paste cell here'!I162</f>
        <v>0</v>
      </c>
      <c r="E162" s="1">
        <f>'Paste cell here'!H162</f>
        <v>0.46849479901782337</v>
      </c>
      <c r="F162" s="1">
        <f>Sintesi!$C$5</f>
        <v>0.1</v>
      </c>
      <c r="G162" s="1">
        <f>'Paste cell here'!AA162</f>
        <v>0.62</v>
      </c>
      <c r="H162" s="43">
        <f>'Paste cell here'!U162</f>
        <v>20.095117648844667</v>
      </c>
      <c r="I162" s="43">
        <f>'Paste cell here'!AE162</f>
        <v>150.57058360883775</v>
      </c>
      <c r="J162" s="44">
        <f>'Paste cell here'!U161+'Paste cell here'!AF162</f>
        <v>176.56415271020168</v>
      </c>
      <c r="K162" s="45">
        <f>'Paste cell here'!AG162</f>
        <v>136.14387761542886</v>
      </c>
      <c r="L162" s="41" t="str">
        <f t="shared" si="8"/>
        <v>NO</v>
      </c>
      <c r="M162" s="1">
        <f>(Sintesi!$C$29*F162*1000)</f>
        <v>23.3</v>
      </c>
      <c r="N162" s="1">
        <f>Sintesi!$C$30*F162*1000</f>
        <v>10.700000000000001</v>
      </c>
      <c r="O162" s="1">
        <f t="shared" si="6"/>
        <v>12.6</v>
      </c>
      <c r="P162" s="1">
        <f>Sintesi!$C$33*G162*1000</f>
        <v>159.34</v>
      </c>
      <c r="Q162" s="1">
        <f>Sintesi!$C$34*G162*1000</f>
        <v>79.36</v>
      </c>
      <c r="R162" s="1">
        <f t="shared" si="7"/>
        <v>79.98</v>
      </c>
    </row>
    <row r="163" spans="1:18">
      <c r="A163" s="41">
        <v>162</v>
      </c>
      <c r="B163" s="42">
        <f>DATE(Sintesi!$C$4-1,12,31)+A163</f>
        <v>44358</v>
      </c>
      <c r="C163" s="41">
        <f>'Paste cell here'!B163</f>
        <v>3.8799999999999502</v>
      </c>
      <c r="D163" s="41">
        <f>'Paste cell here'!I163</f>
        <v>0</v>
      </c>
      <c r="E163" s="1">
        <f>'Paste cell here'!H163</f>
        <v>0.47287231611017028</v>
      </c>
      <c r="F163" s="1">
        <f>Sintesi!$C$5</f>
        <v>0.1</v>
      </c>
      <c r="G163" s="1">
        <f>'Paste cell here'!AA163</f>
        <v>0.628</v>
      </c>
      <c r="H163" s="43">
        <f>'Paste cell here'!U163</f>
        <v>20.840722476909939</v>
      </c>
      <c r="I163" s="43">
        <f>'Paste cell here'!AE163</f>
        <v>148.66437533618205</v>
      </c>
      <c r="J163" s="44">
        <f>'Paste cell here'!U162+'Paste cell here'!AF163</f>
        <v>172.72170125768241</v>
      </c>
      <c r="K163" s="45">
        <f>'Paste cell here'!AG163</f>
        <v>138.2604171047652</v>
      </c>
      <c r="L163" s="41" t="str">
        <f t="shared" si="8"/>
        <v>NO</v>
      </c>
      <c r="M163" s="1">
        <f>(Sintesi!$C$29*F163*1000)</f>
        <v>23.3</v>
      </c>
      <c r="N163" s="1">
        <f>Sintesi!$C$30*F163*1000</f>
        <v>10.700000000000001</v>
      </c>
      <c r="O163" s="1">
        <f t="shared" si="6"/>
        <v>12.6</v>
      </c>
      <c r="P163" s="1">
        <f>Sintesi!$C$33*G163*1000</f>
        <v>161.39600000000002</v>
      </c>
      <c r="Q163" s="1">
        <f>Sintesi!$C$34*G163*1000</f>
        <v>80.384</v>
      </c>
      <c r="R163" s="1">
        <f t="shared" si="7"/>
        <v>81.012000000000015</v>
      </c>
    </row>
    <row r="164" spans="1:18">
      <c r="A164" s="41">
        <v>163</v>
      </c>
      <c r="B164" s="42">
        <f>DATE(Sintesi!$C$4-1,12,31)+A164</f>
        <v>44359</v>
      </c>
      <c r="C164" s="41">
        <f>'Paste cell here'!B164</f>
        <v>0</v>
      </c>
      <c r="D164" s="41">
        <f>'Paste cell here'!I164</f>
        <v>0</v>
      </c>
      <c r="E164" s="1">
        <f>'Paste cell here'!H164</f>
        <v>0.47649451004996052</v>
      </c>
      <c r="F164" s="1">
        <f>Sintesi!$C$5</f>
        <v>0.1</v>
      </c>
      <c r="G164" s="1">
        <f>'Paste cell here'!AA164</f>
        <v>0.63600000000000001</v>
      </c>
      <c r="H164" s="43">
        <f>'Paste cell here'!U164</f>
        <v>19.028404226361982</v>
      </c>
      <c r="I164" s="43">
        <f>'Paste cell here'!AE164</f>
        <v>146.37600758351078</v>
      </c>
      <c r="J164" s="44">
        <f>'Paste cell here'!U163+'Paste cell here'!AF164</f>
        <v>171.56109781309198</v>
      </c>
      <c r="K164" s="45">
        <f>'Paste cell here'!AG164</f>
        <v>140.48212258419318</v>
      </c>
      <c r="L164" s="41" t="str">
        <f t="shared" si="8"/>
        <v>NO</v>
      </c>
      <c r="M164" s="1">
        <f>(Sintesi!$C$29*F164*1000)</f>
        <v>23.3</v>
      </c>
      <c r="N164" s="1">
        <f>Sintesi!$C$30*F164*1000</f>
        <v>10.700000000000001</v>
      </c>
      <c r="O164" s="1">
        <f t="shared" si="6"/>
        <v>12.6</v>
      </c>
      <c r="P164" s="1">
        <f>Sintesi!$C$33*G164*1000</f>
        <v>163.45200000000003</v>
      </c>
      <c r="Q164" s="1">
        <f>Sintesi!$C$34*G164*1000</f>
        <v>81.408000000000001</v>
      </c>
      <c r="R164" s="1">
        <f t="shared" si="7"/>
        <v>82.044000000000025</v>
      </c>
    </row>
    <row r="165" spans="1:18">
      <c r="A165" s="41">
        <v>164</v>
      </c>
      <c r="B165" s="42">
        <f>DATE(Sintesi!$C$4-1,12,31)+A165</f>
        <v>44360</v>
      </c>
      <c r="C165" s="41">
        <f>'Paste cell here'!B165</f>
        <v>0</v>
      </c>
      <c r="D165" s="41">
        <f>'Paste cell here'!I165</f>
        <v>0</v>
      </c>
      <c r="E165" s="1">
        <f>'Paste cell here'!H165</f>
        <v>0.45687966122436613</v>
      </c>
      <c r="F165" s="1">
        <f>Sintesi!$C$5</f>
        <v>0.1</v>
      </c>
      <c r="G165" s="1">
        <f>'Paste cell here'!AA165</f>
        <v>0.64400000000000002</v>
      </c>
      <c r="H165" s="43">
        <f>'Paste cell here'!U165</f>
        <v>16.863044934904465</v>
      </c>
      <c r="I165" s="43">
        <f>'Paste cell here'!AE165</f>
        <v>143.31745919244861</v>
      </c>
      <c r="J165" s="44">
        <f>'Paste cell here'!U164+'Paste cell here'!AF165</f>
        <v>167.46041180987274</v>
      </c>
      <c r="K165" s="45">
        <f>'Paste cell here'!AG165</f>
        <v>145.00815669576295</v>
      </c>
      <c r="L165" s="41" t="str">
        <f t="shared" si="8"/>
        <v>NO</v>
      </c>
      <c r="M165" s="1">
        <f>(Sintesi!$C$29*F165*1000)</f>
        <v>23.3</v>
      </c>
      <c r="N165" s="1">
        <f>Sintesi!$C$30*F165*1000</f>
        <v>10.700000000000001</v>
      </c>
      <c r="O165" s="1">
        <f t="shared" si="6"/>
        <v>12.6</v>
      </c>
      <c r="P165" s="1">
        <f>Sintesi!$C$33*G165*1000</f>
        <v>165.50800000000001</v>
      </c>
      <c r="Q165" s="1">
        <f>Sintesi!$C$34*G165*1000</f>
        <v>82.432000000000002</v>
      </c>
      <c r="R165" s="1">
        <f t="shared" si="7"/>
        <v>83.076000000000008</v>
      </c>
    </row>
    <row r="166" spans="1:18">
      <c r="A166" s="41">
        <v>165</v>
      </c>
      <c r="B166" s="42">
        <f>DATE(Sintesi!$C$4-1,12,31)+A166</f>
        <v>44361</v>
      </c>
      <c r="C166" s="41">
        <f>'Paste cell here'!B166</f>
        <v>0</v>
      </c>
      <c r="D166" s="41">
        <f>'Paste cell here'!I166</f>
        <v>0</v>
      </c>
      <c r="E166" s="1">
        <f>'Paste cell here'!H166</f>
        <v>0.41061943249119115</v>
      </c>
      <c r="F166" s="1">
        <f>Sintesi!$C$5</f>
        <v>0.1</v>
      </c>
      <c r="G166" s="1">
        <f>'Paste cell here'!AA166</f>
        <v>0.65200000000000002</v>
      </c>
      <c r="H166" s="43">
        <f>'Paste cell here'!U166</f>
        <v>15.311353311147903</v>
      </c>
      <c r="I166" s="43">
        <f>'Paste cell here'!AE166</f>
        <v>140.47314120544144</v>
      </c>
      <c r="J166" s="44">
        <f>'Paste cell here'!U165+'Paste cell here'!AF166</f>
        <v>162.2365041273531</v>
      </c>
      <c r="K166" s="45">
        <f>'Paste cell here'!AG166</f>
        <v>151.98772978826639</v>
      </c>
      <c r="L166" s="41" t="str">
        <f t="shared" si="8"/>
        <v>NO</v>
      </c>
      <c r="M166" s="1">
        <f>(Sintesi!$C$29*F166*1000)</f>
        <v>23.3</v>
      </c>
      <c r="N166" s="1">
        <f>Sintesi!$C$30*F166*1000</f>
        <v>10.700000000000001</v>
      </c>
      <c r="O166" s="1">
        <f t="shared" si="6"/>
        <v>12.6</v>
      </c>
      <c r="P166" s="1">
        <f>Sintesi!$C$33*G166*1000</f>
        <v>167.56400000000002</v>
      </c>
      <c r="Q166" s="1">
        <f>Sintesi!$C$34*G166*1000</f>
        <v>83.456000000000003</v>
      </c>
      <c r="R166" s="1">
        <f t="shared" si="7"/>
        <v>84.108000000000018</v>
      </c>
    </row>
    <row r="167" spans="1:18">
      <c r="A167" s="41">
        <v>166</v>
      </c>
      <c r="B167" s="42">
        <f>DATE(Sintesi!$C$4-1,12,31)+A167</f>
        <v>44362</v>
      </c>
      <c r="C167" s="41">
        <f>'Paste cell here'!B167</f>
        <v>0</v>
      </c>
      <c r="D167" s="41">
        <f>'Paste cell here'!I167</f>
        <v>0</v>
      </c>
      <c r="E167" s="1">
        <f>'Paste cell here'!H167</f>
        <v>0.44166927527221023</v>
      </c>
      <c r="F167" s="1">
        <f>Sintesi!$C$5</f>
        <v>0.1</v>
      </c>
      <c r="G167" s="1">
        <f>'Paste cell here'!AA167</f>
        <v>0.66</v>
      </c>
      <c r="H167" s="43">
        <f>'Paste cell here'!U167</f>
        <v>14.010848164604184</v>
      </c>
      <c r="I167" s="43">
        <f>'Paste cell here'!AE167</f>
        <v>137.5722396494514</v>
      </c>
      <c r="J167" s="44">
        <f>'Paste cell here'!U166+'Paste cell here'!AF167</f>
        <v>157.84049451658936</v>
      </c>
      <c r="K167" s="45">
        <f>'Paste cell here'!AG167</f>
        <v>151.65067025335884</v>
      </c>
      <c r="L167" s="41" t="str">
        <f t="shared" si="8"/>
        <v>NO</v>
      </c>
      <c r="M167" s="1">
        <f>(Sintesi!$C$29*F167*1000)</f>
        <v>23.3</v>
      </c>
      <c r="N167" s="1">
        <f>Sintesi!$C$30*F167*1000</f>
        <v>10.700000000000001</v>
      </c>
      <c r="O167" s="1">
        <f t="shared" si="6"/>
        <v>12.6</v>
      </c>
      <c r="P167" s="1">
        <f>Sintesi!$C$33*G167*1000</f>
        <v>169.62000000000003</v>
      </c>
      <c r="Q167" s="1">
        <f>Sintesi!$C$34*G167*1000</f>
        <v>84.48</v>
      </c>
      <c r="R167" s="1">
        <f t="shared" si="7"/>
        <v>85.140000000000029</v>
      </c>
    </row>
    <row r="168" spans="1:18">
      <c r="A168" s="41">
        <v>167</v>
      </c>
      <c r="B168" s="42">
        <f>DATE(Sintesi!$C$4-1,12,31)+A168</f>
        <v>44363</v>
      </c>
      <c r="C168" s="41">
        <f>'Paste cell here'!B168</f>
        <v>0</v>
      </c>
      <c r="D168" s="41">
        <f>'Paste cell here'!I168</f>
        <v>54</v>
      </c>
      <c r="E168" s="1">
        <f>'Paste cell here'!H168</f>
        <v>0.44205234831878493</v>
      </c>
      <c r="F168" s="1">
        <f>Sintesi!$C$5</f>
        <v>0.1</v>
      </c>
      <c r="G168" s="1">
        <f>'Paste cell here'!AA168</f>
        <v>0.66900000000000004</v>
      </c>
      <c r="H168" s="43">
        <f>'Paste cell here'!U168</f>
        <v>27.5415804724508</v>
      </c>
      <c r="I168" s="43">
        <f>'Paste cell here'!AE168</f>
        <v>174.87127828653868</v>
      </c>
      <c r="J168" s="44">
        <f>'Paste cell here'!U167+'Paste cell here'!AF168</f>
        <v>153.89608781405559</v>
      </c>
      <c r="K168" s="45">
        <f>'Paste cell here'!AG168</f>
        <v>154.44278179209596</v>
      </c>
      <c r="L168" s="41" t="str">
        <f t="shared" si="8"/>
        <v>YES</v>
      </c>
      <c r="M168" s="1">
        <f>(Sintesi!$C$29*F168*1000)</f>
        <v>23.3</v>
      </c>
      <c r="N168" s="1">
        <f>Sintesi!$C$30*F168*1000</f>
        <v>10.700000000000001</v>
      </c>
      <c r="O168" s="1">
        <f t="shared" si="6"/>
        <v>12.6</v>
      </c>
      <c r="P168" s="1">
        <f>Sintesi!$C$33*G168*1000</f>
        <v>171.93299999999999</v>
      </c>
      <c r="Q168" s="1">
        <f>Sintesi!$C$34*G168*1000</f>
        <v>85.632000000000019</v>
      </c>
      <c r="R168" s="1">
        <f t="shared" si="7"/>
        <v>86.300999999999974</v>
      </c>
    </row>
    <row r="169" spans="1:18">
      <c r="A169" s="41">
        <v>168</v>
      </c>
      <c r="B169" s="42">
        <f>DATE(Sintesi!$C$4-1,12,31)+A169</f>
        <v>44364</v>
      </c>
      <c r="C169" s="41">
        <f>'Paste cell here'!B169</f>
        <v>7.9999999999999724E-2</v>
      </c>
      <c r="D169" s="41">
        <f>'Paste cell here'!I169</f>
        <v>0</v>
      </c>
      <c r="E169" s="1">
        <f>'Paste cell here'!H169</f>
        <v>0.50775793985656448</v>
      </c>
      <c r="F169" s="1">
        <f>Sintesi!$C$5</f>
        <v>0.1</v>
      </c>
      <c r="G169" s="1">
        <f>'Paste cell here'!AA169</f>
        <v>0.67700000000000005</v>
      </c>
      <c r="H169" s="43">
        <f>'Paste cell here'!U169</f>
        <v>24.461496486906739</v>
      </c>
      <c r="I169" s="43">
        <f>'Paste cell here'!AE169</f>
        <v>173.40689419575676</v>
      </c>
      <c r="J169" s="44">
        <f>'Paste cell here'!U168+'Paste cell here'!AF169</f>
        <v>204.46885875898948</v>
      </c>
      <c r="K169" s="45">
        <f>'Paste cell here'!AG169</f>
        <v>151.1647272488494</v>
      </c>
      <c r="L169" s="41" t="str">
        <f t="shared" si="8"/>
        <v>NO</v>
      </c>
      <c r="M169" s="1">
        <f>(Sintesi!$C$29*F169*1000)</f>
        <v>23.3</v>
      </c>
      <c r="N169" s="1">
        <f>Sintesi!$C$30*F169*1000</f>
        <v>10.700000000000001</v>
      </c>
      <c r="O169" s="1">
        <f t="shared" si="6"/>
        <v>12.6</v>
      </c>
      <c r="P169" s="1">
        <f>Sintesi!$C$33*G169*1000</f>
        <v>173.989</v>
      </c>
      <c r="Q169" s="1">
        <f>Sintesi!$C$34*G169*1000</f>
        <v>86.656000000000006</v>
      </c>
      <c r="R169" s="1">
        <f t="shared" si="7"/>
        <v>87.332999999999998</v>
      </c>
    </row>
    <row r="170" spans="1:18">
      <c r="A170" s="41">
        <v>169</v>
      </c>
      <c r="B170" s="42">
        <f>DATE(Sintesi!$C$4-1,12,31)+A170</f>
        <v>44365</v>
      </c>
      <c r="C170" s="41">
        <f>'Paste cell here'!B170</f>
        <v>0</v>
      </c>
      <c r="D170" s="41">
        <f>'Paste cell here'!I170</f>
        <v>0</v>
      </c>
      <c r="E170" s="1">
        <f>'Paste cell here'!H170</f>
        <v>0.48908063489823889</v>
      </c>
      <c r="F170" s="1">
        <f>Sintesi!$C$5</f>
        <v>0.1</v>
      </c>
      <c r="G170" s="1">
        <f>'Paste cell here'!AA170</f>
        <v>0.68500000000000005</v>
      </c>
      <c r="H170" s="43">
        <f>'Paste cell here'!U170</f>
        <v>22.734577585090737</v>
      </c>
      <c r="I170" s="43">
        <f>'Paste cell here'!AE170</f>
        <v>170.0815744549557</v>
      </c>
      <c r="J170" s="44">
        <f>'Paste cell here'!U169+'Paste cell here'!AF170</f>
        <v>199.9243906826635</v>
      </c>
      <c r="K170" s="45">
        <f>'Paste cell here'!AG170</f>
        <v>155.59429669598441</v>
      </c>
      <c r="L170" s="41" t="str">
        <f t="shared" si="8"/>
        <v>NO</v>
      </c>
      <c r="M170" s="1">
        <f>(Sintesi!$C$29*F170*1000)</f>
        <v>23.3</v>
      </c>
      <c r="N170" s="1">
        <f>Sintesi!$C$30*F170*1000</f>
        <v>10.700000000000001</v>
      </c>
      <c r="O170" s="1">
        <f t="shared" si="6"/>
        <v>12.6</v>
      </c>
      <c r="P170" s="1">
        <f>Sintesi!$C$33*G170*1000</f>
        <v>176.04500000000002</v>
      </c>
      <c r="Q170" s="1">
        <f>Sintesi!$C$34*G170*1000</f>
        <v>87.68</v>
      </c>
      <c r="R170" s="1">
        <f t="shared" si="7"/>
        <v>88.365000000000009</v>
      </c>
    </row>
    <row r="171" spans="1:18">
      <c r="A171" s="41">
        <v>170</v>
      </c>
      <c r="B171" s="42">
        <f>DATE(Sintesi!$C$4-1,12,31)+A171</f>
        <v>44366</v>
      </c>
      <c r="C171" s="41">
        <f>'Paste cell here'!B171</f>
        <v>0</v>
      </c>
      <c r="D171" s="41">
        <f>'Paste cell here'!I171</f>
        <v>0</v>
      </c>
      <c r="E171" s="1">
        <f>'Paste cell here'!H171</f>
        <v>0.44454940577580915</v>
      </c>
      <c r="F171" s="1">
        <f>Sintesi!$C$5</f>
        <v>0.1</v>
      </c>
      <c r="G171" s="1">
        <f>'Paste cell here'!AA171</f>
        <v>0.69300000000000006</v>
      </c>
      <c r="H171" s="43">
        <f>'Paste cell here'!U171</f>
        <v>21.660660643931045</v>
      </c>
      <c r="I171" s="43">
        <f>'Paste cell here'!AE171</f>
        <v>167.35389634077774</v>
      </c>
      <c r="J171" s="44">
        <f>'Paste cell here'!U170+'Paste cell here'!AF171</f>
        <v>194.87215204004644</v>
      </c>
      <c r="K171" s="45">
        <f>'Paste cell here'!AG171</f>
        <v>162.27024494559018</v>
      </c>
      <c r="L171" s="41" t="str">
        <f t="shared" si="8"/>
        <v>NO</v>
      </c>
      <c r="M171" s="1">
        <f>(Sintesi!$C$29*F171*1000)</f>
        <v>23.3</v>
      </c>
      <c r="N171" s="1">
        <f>Sintesi!$C$30*F171*1000</f>
        <v>10.700000000000001</v>
      </c>
      <c r="O171" s="1">
        <f t="shared" si="6"/>
        <v>12.6</v>
      </c>
      <c r="P171" s="1">
        <f>Sintesi!$C$33*G171*1000</f>
        <v>178.101</v>
      </c>
      <c r="Q171" s="1">
        <f>Sintesi!$C$34*G171*1000</f>
        <v>88.704000000000008</v>
      </c>
      <c r="R171" s="1">
        <f t="shared" si="7"/>
        <v>89.396999999999991</v>
      </c>
    </row>
    <row r="172" spans="1:18">
      <c r="A172" s="41">
        <v>171</v>
      </c>
      <c r="B172" s="42">
        <f>DATE(Sintesi!$C$4-1,12,31)+A172</f>
        <v>44367</v>
      </c>
      <c r="C172" s="41">
        <f>'Paste cell here'!B172</f>
        <v>0.15999999999999945</v>
      </c>
      <c r="D172" s="41">
        <f>'Paste cell here'!I172</f>
        <v>0</v>
      </c>
      <c r="E172" s="1">
        <f>'Paste cell here'!H172</f>
        <v>0.4808141711252456</v>
      </c>
      <c r="F172" s="1">
        <f>Sintesi!$C$5</f>
        <v>0.1</v>
      </c>
      <c r="G172" s="1">
        <f>'Paste cell here'!AA172</f>
        <v>0.70100000000000007</v>
      </c>
      <c r="H172" s="43">
        <f>'Paste cell here'!U172</f>
        <v>21.01845436834877</v>
      </c>
      <c r="I172" s="43">
        <f>'Paste cell here'!AE172</f>
        <v>165.47236987326912</v>
      </c>
      <c r="J172" s="44">
        <f>'Paste cell here'!U171+'Paste cell here'!AF172</f>
        <v>191.07055698470876</v>
      </c>
      <c r="K172" s="45">
        <f>'Paste cell here'!AG172</f>
        <v>161.84524528103518</v>
      </c>
      <c r="L172" s="41" t="str">
        <f t="shared" si="8"/>
        <v>NO</v>
      </c>
      <c r="M172" s="1">
        <f>(Sintesi!$C$29*F172*1000)</f>
        <v>23.3</v>
      </c>
      <c r="N172" s="1">
        <f>Sintesi!$C$30*F172*1000</f>
        <v>10.700000000000001</v>
      </c>
      <c r="O172" s="1">
        <f t="shared" si="6"/>
        <v>12.6</v>
      </c>
      <c r="P172" s="1">
        <f>Sintesi!$C$33*G172*1000</f>
        <v>180.15700000000001</v>
      </c>
      <c r="Q172" s="1">
        <f>Sintesi!$C$34*G172*1000</f>
        <v>89.728000000000023</v>
      </c>
      <c r="R172" s="1">
        <f t="shared" si="7"/>
        <v>90.428999999999988</v>
      </c>
    </row>
    <row r="173" spans="1:18">
      <c r="A173" s="41">
        <v>172</v>
      </c>
      <c r="B173" s="42">
        <f>DATE(Sintesi!$C$4-1,12,31)+A173</f>
        <v>44368</v>
      </c>
      <c r="C173" s="41">
        <f>'Paste cell here'!B173</f>
        <v>0</v>
      </c>
      <c r="D173" s="41">
        <f>'Paste cell here'!I173</f>
        <v>0</v>
      </c>
      <c r="E173" s="1">
        <f>'Paste cell here'!H173</f>
        <v>0.52495602546352904</v>
      </c>
      <c r="F173" s="1">
        <f>Sintesi!$C$5</f>
        <v>0.1</v>
      </c>
      <c r="G173" s="1">
        <f>'Paste cell here'!AA173</f>
        <v>0.70900000000000007</v>
      </c>
      <c r="H173" s="43">
        <f>'Paste cell here'!U173</f>
        <v>20.267020411290105</v>
      </c>
      <c r="I173" s="43">
        <f>'Paste cell here'!AE173</f>
        <v>162.26614603939342</v>
      </c>
      <c r="J173" s="44">
        <f>'Paste cell here'!U172+'Paste cell here'!AF173</f>
        <v>188.54682424161786</v>
      </c>
      <c r="K173" s="45">
        <f>'Paste cell here'!AG173</f>
        <v>160.9370016439396</v>
      </c>
      <c r="L173" s="41" t="str">
        <f t="shared" si="8"/>
        <v>NO</v>
      </c>
      <c r="M173" s="1">
        <f>(Sintesi!$C$29*F173*1000)</f>
        <v>23.3</v>
      </c>
      <c r="N173" s="1">
        <f>Sintesi!$C$30*F173*1000</f>
        <v>10.700000000000001</v>
      </c>
      <c r="O173" s="1">
        <f t="shared" si="6"/>
        <v>12.6</v>
      </c>
      <c r="P173" s="1">
        <f>Sintesi!$C$33*G173*1000</f>
        <v>182.21300000000002</v>
      </c>
      <c r="Q173" s="1">
        <f>Sintesi!$C$34*G173*1000</f>
        <v>90.75200000000001</v>
      </c>
      <c r="R173" s="1">
        <f t="shared" si="7"/>
        <v>91.461000000000013</v>
      </c>
    </row>
    <row r="174" spans="1:18">
      <c r="A174" s="41">
        <v>173</v>
      </c>
      <c r="B174" s="42">
        <f>DATE(Sintesi!$C$4-1,12,31)+A174</f>
        <v>44369</v>
      </c>
      <c r="C174" s="41">
        <f>'Paste cell here'!B174</f>
        <v>0.19999999999998863</v>
      </c>
      <c r="D174" s="41">
        <f>'Paste cell here'!I174</f>
        <v>0</v>
      </c>
      <c r="E174" s="1">
        <f>'Paste cell here'!H174</f>
        <v>0.46424654892936246</v>
      </c>
      <c r="F174" s="1">
        <f>Sintesi!$C$5</f>
        <v>0.1</v>
      </c>
      <c r="G174" s="1">
        <f>'Paste cell here'!AA174</f>
        <v>0.71699999999999997</v>
      </c>
      <c r="H174" s="43">
        <f>'Paste cell here'!U174</f>
        <v>19.645627799442227</v>
      </c>
      <c r="I174" s="43">
        <f>'Paste cell here'!AE174</f>
        <v>159.17593932191582</v>
      </c>
      <c r="J174" s="44">
        <f>'Paste cell here'!U173+'Paste cell here'!AF174</f>
        <v>184.58916645068348</v>
      </c>
      <c r="K174" s="45">
        <f>'Paste cell here'!AG174</f>
        <v>168.87927338465965</v>
      </c>
      <c r="L174" s="41" t="str">
        <f t="shared" si="8"/>
        <v>NO</v>
      </c>
      <c r="M174" s="1">
        <f>(Sintesi!$C$29*F174*1000)</f>
        <v>23.3</v>
      </c>
      <c r="N174" s="1">
        <f>Sintesi!$C$30*F174*1000</f>
        <v>10.700000000000001</v>
      </c>
      <c r="O174" s="1">
        <f t="shared" si="6"/>
        <v>12.6</v>
      </c>
      <c r="P174" s="1">
        <f>Sintesi!$C$33*G174*1000</f>
        <v>184.26899999999998</v>
      </c>
      <c r="Q174" s="1">
        <f>Sintesi!$C$34*G174*1000</f>
        <v>91.775999999999996</v>
      </c>
      <c r="R174" s="1">
        <f t="shared" si="7"/>
        <v>92.492999999999981</v>
      </c>
    </row>
    <row r="175" spans="1:18">
      <c r="A175" s="41">
        <v>174</v>
      </c>
      <c r="B175" s="42">
        <f>DATE(Sintesi!$C$4-1,12,31)+A175</f>
        <v>44370</v>
      </c>
      <c r="C175" s="41">
        <f>'Paste cell here'!B175</f>
        <v>0.59999999999996589</v>
      </c>
      <c r="D175" s="41">
        <f>'Paste cell here'!I175</f>
        <v>0</v>
      </c>
      <c r="E175" s="1">
        <f>'Paste cell here'!H175</f>
        <v>0.47134694098549851</v>
      </c>
      <c r="F175" s="1">
        <f>Sintesi!$C$5</f>
        <v>0.1</v>
      </c>
      <c r="G175" s="1">
        <f>'Paste cell here'!AA175</f>
        <v>0.72599999999999998</v>
      </c>
      <c r="H175" s="43">
        <f>'Paste cell here'!U175</f>
        <v>19.266533948692032</v>
      </c>
      <c r="I175" s="43">
        <f>'Paste cell here'!AE175</f>
        <v>156.39811080288618</v>
      </c>
      <c r="J175" s="44">
        <f>'Paste cell here'!U174+'Paste cell here'!AF175</f>
        <v>181.13456712135806</v>
      </c>
      <c r="K175" s="45">
        <f>'Paste cell here'!AG175</f>
        <v>171.31847664204565</v>
      </c>
      <c r="L175" s="41" t="str">
        <f t="shared" si="8"/>
        <v>NO</v>
      </c>
      <c r="M175" s="1">
        <f>(Sintesi!$C$29*F175*1000)</f>
        <v>23.3</v>
      </c>
      <c r="N175" s="1">
        <f>Sintesi!$C$30*F175*1000</f>
        <v>10.700000000000001</v>
      </c>
      <c r="O175" s="1">
        <f t="shared" si="6"/>
        <v>12.6</v>
      </c>
      <c r="P175" s="1">
        <f>Sintesi!$C$33*G175*1000</f>
        <v>186.58199999999999</v>
      </c>
      <c r="Q175" s="1">
        <f>Sintesi!$C$34*G175*1000</f>
        <v>92.927999999999997</v>
      </c>
      <c r="R175" s="1">
        <f t="shared" si="7"/>
        <v>93.653999999999996</v>
      </c>
    </row>
    <row r="176" spans="1:18">
      <c r="A176" s="41">
        <v>175</v>
      </c>
      <c r="B176" s="42">
        <f>DATE(Sintesi!$C$4-1,12,31)+A176</f>
        <v>44371</v>
      </c>
      <c r="C176" s="41">
        <f>'Paste cell here'!B176</f>
        <v>0</v>
      </c>
      <c r="D176" s="41">
        <f>'Paste cell here'!I176</f>
        <v>0</v>
      </c>
      <c r="E176" s="1">
        <f>'Paste cell here'!H176</f>
        <v>0.47853073482526159</v>
      </c>
      <c r="F176" s="1">
        <f>Sintesi!$C$5</f>
        <v>0.1</v>
      </c>
      <c r="G176" s="1">
        <f>'Paste cell here'!AA176</f>
        <v>0.73399999999999999</v>
      </c>
      <c r="H176" s="43">
        <f>'Paste cell here'!U176</f>
        <v>18.733049228005527</v>
      </c>
      <c r="I176" s="43">
        <f>'Paste cell here'!AE176</f>
        <v>152.80312646362981</v>
      </c>
      <c r="J176" s="44">
        <f>'Paste cell here'!U175+'Paste cell here'!AF176</f>
        <v>177.72064475157819</v>
      </c>
      <c r="K176" s="45">
        <f>'Paste cell here'!AG176</f>
        <v>173.58728263290214</v>
      </c>
      <c r="L176" s="41" t="str">
        <f t="shared" si="8"/>
        <v>NO</v>
      </c>
      <c r="M176" s="1">
        <f>(Sintesi!$C$29*F176*1000)</f>
        <v>23.3</v>
      </c>
      <c r="N176" s="1">
        <f>Sintesi!$C$30*F176*1000</f>
        <v>10.700000000000001</v>
      </c>
      <c r="O176" s="1">
        <f t="shared" si="6"/>
        <v>12.6</v>
      </c>
      <c r="P176" s="1">
        <f>Sintesi!$C$33*G176*1000</f>
        <v>188.63800000000001</v>
      </c>
      <c r="Q176" s="1">
        <f>Sintesi!$C$34*G176*1000</f>
        <v>93.951999999999998</v>
      </c>
      <c r="R176" s="1">
        <f t="shared" si="7"/>
        <v>94.686000000000007</v>
      </c>
    </row>
    <row r="177" spans="1:18">
      <c r="A177" s="41">
        <v>176</v>
      </c>
      <c r="B177" s="42">
        <f>DATE(Sintesi!$C$4-1,12,31)+A177</f>
        <v>44372</v>
      </c>
      <c r="C177" s="41">
        <f>'Paste cell here'!B177</f>
        <v>0</v>
      </c>
      <c r="D177" s="41">
        <f>'Paste cell here'!I177</f>
        <v>54</v>
      </c>
      <c r="E177" s="1">
        <f>'Paste cell here'!H177</f>
        <v>0.45339094490803622</v>
      </c>
      <c r="F177" s="1">
        <f>Sintesi!$C$5</f>
        <v>0.1</v>
      </c>
      <c r="G177" s="1">
        <f>'Paste cell here'!AA177</f>
        <v>0.74199999999999999</v>
      </c>
      <c r="H177" s="43">
        <f>'Paste cell here'!U177</f>
        <v>27.559987362673343</v>
      </c>
      <c r="I177" s="43">
        <f>'Paste cell here'!AE177</f>
        <v>192.42996275266316</v>
      </c>
      <c r="J177" s="44">
        <f>'Paste cell here'!U176+'Paste cell here'!AF177</f>
        <v>173.59217569163536</v>
      </c>
      <c r="K177" s="45">
        <f>'Paste cell here'!AG177</f>
        <v>178.48718053209333</v>
      </c>
      <c r="L177" s="41" t="str">
        <f t="shared" si="8"/>
        <v>YES</v>
      </c>
      <c r="M177" s="1">
        <f>(Sintesi!$C$29*F177*1000)</f>
        <v>23.3</v>
      </c>
      <c r="N177" s="1">
        <f>Sintesi!$C$30*F177*1000</f>
        <v>10.700000000000001</v>
      </c>
      <c r="O177" s="1">
        <f t="shared" si="6"/>
        <v>12.6</v>
      </c>
      <c r="P177" s="1">
        <f>Sintesi!$C$33*G177*1000</f>
        <v>190.69399999999999</v>
      </c>
      <c r="Q177" s="1">
        <f>Sintesi!$C$34*G177*1000</f>
        <v>94.975999999999999</v>
      </c>
      <c r="R177" s="1">
        <f t="shared" si="7"/>
        <v>95.717999999999989</v>
      </c>
    </row>
    <row r="178" spans="1:18">
      <c r="A178" s="41">
        <v>177</v>
      </c>
      <c r="B178" s="42">
        <f>DATE(Sintesi!$C$4-1,12,31)+A178</f>
        <v>44373</v>
      </c>
      <c r="C178" s="41">
        <f>'Paste cell here'!B178</f>
        <v>0</v>
      </c>
      <c r="D178" s="41">
        <f>'Paste cell here'!I178</f>
        <v>0</v>
      </c>
      <c r="E178" s="1">
        <f>'Paste cell here'!H178</f>
        <v>0.42352032339419299</v>
      </c>
      <c r="F178" s="1">
        <f>Sintesi!$C$5</f>
        <v>0.1</v>
      </c>
      <c r="G178" s="1">
        <f>'Paste cell here'!AA178</f>
        <v>0.75</v>
      </c>
      <c r="H178" s="43">
        <f>'Paste cell here'!U178</f>
        <v>24.846958491326262</v>
      </c>
      <c r="I178" s="43">
        <f>'Paste cell here'!AE178</f>
        <v>189.59704104578529</v>
      </c>
      <c r="J178" s="44">
        <f>'Paste cell here'!U177+'Paste cell here'!AF178</f>
        <v>222.04595011533652</v>
      </c>
      <c r="K178" s="45">
        <f>'Paste cell here'!AG178</f>
        <v>183.63163684579149</v>
      </c>
      <c r="L178" s="41" t="str">
        <f t="shared" si="8"/>
        <v>NO</v>
      </c>
      <c r="M178" s="1">
        <f>(Sintesi!$C$29*F178*1000)</f>
        <v>23.3</v>
      </c>
      <c r="N178" s="1">
        <f>Sintesi!$C$30*F178*1000</f>
        <v>10.700000000000001</v>
      </c>
      <c r="O178" s="1">
        <f t="shared" si="6"/>
        <v>12.6</v>
      </c>
      <c r="P178" s="1">
        <f>Sintesi!$C$33*G178*1000</f>
        <v>192.75</v>
      </c>
      <c r="Q178" s="1">
        <f>Sintesi!$C$34*G178*1000</f>
        <v>96</v>
      </c>
      <c r="R178" s="1">
        <f t="shared" si="7"/>
        <v>96.75</v>
      </c>
    </row>
    <row r="179" spans="1:18">
      <c r="A179" s="41">
        <v>178</v>
      </c>
      <c r="B179" s="42">
        <f>DATE(Sintesi!$C$4-1,12,31)+A179</f>
        <v>44374</v>
      </c>
      <c r="C179" s="41">
        <f>'Paste cell here'!B179</f>
        <v>0</v>
      </c>
      <c r="D179" s="41">
        <f>'Paste cell here'!I179</f>
        <v>0</v>
      </c>
      <c r="E179" s="1">
        <f>'Paste cell here'!H179</f>
        <v>0.44206173739963978</v>
      </c>
      <c r="F179" s="1">
        <f>Sintesi!$C$5</f>
        <v>0.1</v>
      </c>
      <c r="G179" s="1">
        <f>'Paste cell here'!AA179</f>
        <v>0.75</v>
      </c>
      <c r="H179" s="43">
        <f>'Paste cell here'!U179</f>
        <v>23.77427708081639</v>
      </c>
      <c r="I179" s="43">
        <f>'Paste cell here'!AE179</f>
        <v>184.02104008179808</v>
      </c>
      <c r="J179" s="44">
        <f>'Paste cell here'!U178+'Paste cell here'!AF179</f>
        <v>214.44399953711155</v>
      </c>
      <c r="K179" s="45">
        <f>'Paste cell here'!AG179</f>
        <v>182.21238431074457</v>
      </c>
      <c r="L179" s="41" t="str">
        <f t="shared" si="8"/>
        <v>NO</v>
      </c>
      <c r="M179" s="1">
        <f>(Sintesi!$C$29*F179*1000)</f>
        <v>23.3</v>
      </c>
      <c r="N179" s="1">
        <f>Sintesi!$C$30*F179*1000</f>
        <v>10.700000000000001</v>
      </c>
      <c r="O179" s="1">
        <f t="shared" si="6"/>
        <v>12.6</v>
      </c>
      <c r="P179" s="1">
        <f>Sintesi!$C$33*G179*1000</f>
        <v>192.75</v>
      </c>
      <c r="Q179" s="1">
        <f>Sintesi!$C$34*G179*1000</f>
        <v>96</v>
      </c>
      <c r="R179" s="1">
        <f t="shared" si="7"/>
        <v>96.75</v>
      </c>
    </row>
    <row r="180" spans="1:18">
      <c r="A180" s="41">
        <v>179</v>
      </c>
      <c r="B180" s="42">
        <f>DATE(Sintesi!$C$4-1,12,31)+A180</f>
        <v>44375</v>
      </c>
      <c r="C180" s="41">
        <f>'Paste cell here'!B180</f>
        <v>0</v>
      </c>
      <c r="D180" s="41">
        <f>'Paste cell here'!I180</f>
        <v>0</v>
      </c>
      <c r="E180" s="1">
        <f>'Paste cell here'!H180</f>
        <v>0.4583073668698544</v>
      </c>
      <c r="F180" s="1">
        <f>Sintesi!$C$5</f>
        <v>0.1</v>
      </c>
      <c r="G180" s="1">
        <f>'Paste cell here'!AA180</f>
        <v>0.75</v>
      </c>
      <c r="H180" s="43">
        <f>'Paste cell here'!U180</f>
        <v>22.98831272948528</v>
      </c>
      <c r="I180" s="43">
        <f>'Paste cell here'!AE180</f>
        <v>177.68127495009821</v>
      </c>
      <c r="J180" s="44">
        <f>'Paste cell here'!U179+'Paste cell here'!AF180</f>
        <v>207.79531716261448</v>
      </c>
      <c r="K180" s="45">
        <f>'Paste cell here'!AG180</f>
        <v>180.96886260294701</v>
      </c>
      <c r="L180" s="41" t="str">
        <f t="shared" si="8"/>
        <v>NO</v>
      </c>
      <c r="M180" s="1">
        <f>(Sintesi!$C$29*F180*1000)</f>
        <v>23.3</v>
      </c>
      <c r="N180" s="1">
        <f>Sintesi!$C$30*F180*1000</f>
        <v>10.700000000000001</v>
      </c>
      <c r="O180" s="1">
        <f t="shared" si="6"/>
        <v>12.6</v>
      </c>
      <c r="P180" s="1">
        <f>Sintesi!$C$33*G180*1000</f>
        <v>192.75</v>
      </c>
      <c r="Q180" s="1">
        <f>Sintesi!$C$34*G180*1000</f>
        <v>96</v>
      </c>
      <c r="R180" s="1">
        <f t="shared" si="7"/>
        <v>96.75</v>
      </c>
    </row>
    <row r="181" spans="1:18">
      <c r="A181" s="41">
        <v>180</v>
      </c>
      <c r="B181" s="42">
        <f>DATE(Sintesi!$C$4-1,12,31)+A181</f>
        <v>44376</v>
      </c>
      <c r="C181" s="41">
        <f>'Paste cell here'!B181</f>
        <v>0</v>
      </c>
      <c r="D181" s="41">
        <f>'Paste cell here'!I181</f>
        <v>0</v>
      </c>
      <c r="E181" s="1">
        <f>'Paste cell here'!H181</f>
        <v>0.42719775984508856</v>
      </c>
      <c r="F181" s="1">
        <f>Sintesi!$C$5</f>
        <v>0.1</v>
      </c>
      <c r="G181" s="1">
        <f>'Paste cell here'!AA181</f>
        <v>0.75</v>
      </c>
      <c r="H181" s="43">
        <f>'Paste cell here'!U181</f>
        <v>22.373359961301595</v>
      </c>
      <c r="I181" s="43">
        <f>'Paste cell here'!AE181</f>
        <v>171.52814405883441</v>
      </c>
      <c r="J181" s="44">
        <f>'Paste cell here'!U180+'Paste cell here'!AF181</f>
        <v>200.66958767958349</v>
      </c>
      <c r="K181" s="45">
        <f>'Paste cell here'!AG181</f>
        <v>183.35014747265771</v>
      </c>
      <c r="L181" s="41" t="str">
        <f t="shared" si="8"/>
        <v>NO</v>
      </c>
      <c r="M181" s="1">
        <f>(Sintesi!$C$29*F181*1000)</f>
        <v>23.3</v>
      </c>
      <c r="N181" s="1">
        <f>Sintesi!$C$30*F181*1000</f>
        <v>10.700000000000001</v>
      </c>
      <c r="O181" s="1">
        <f t="shared" si="6"/>
        <v>12.6</v>
      </c>
      <c r="P181" s="1">
        <f>Sintesi!$C$33*G181*1000</f>
        <v>192.75</v>
      </c>
      <c r="Q181" s="1">
        <f>Sintesi!$C$34*G181*1000</f>
        <v>96</v>
      </c>
      <c r="R181" s="1">
        <f t="shared" si="7"/>
        <v>96.75</v>
      </c>
    </row>
    <row r="182" spans="1:18">
      <c r="A182" s="41">
        <v>181</v>
      </c>
      <c r="B182" s="42">
        <f>DATE(Sintesi!$C$4-1,12,31)+A182</f>
        <v>44377</v>
      </c>
      <c r="C182" s="41">
        <f>'Paste cell here'!B182</f>
        <v>0</v>
      </c>
      <c r="D182" s="41">
        <f>'Paste cell here'!I182</f>
        <v>0</v>
      </c>
      <c r="E182" s="1">
        <f>'Paste cell here'!H182</f>
        <v>0.43525067550485996</v>
      </c>
      <c r="F182" s="1">
        <f>Sintesi!$C$5</f>
        <v>0.1</v>
      </c>
      <c r="G182" s="1">
        <f>'Paste cell here'!AA182</f>
        <v>0.75</v>
      </c>
      <c r="H182" s="43">
        <f>'Paste cell here'!U182</f>
        <v>21.846217875564122</v>
      </c>
      <c r="I182" s="43">
        <f>'Paste cell here'!AE182</f>
        <v>165.52603687419156</v>
      </c>
      <c r="J182" s="44">
        <f>'Paste cell here'!U181+'Paste cell here'!AF182</f>
        <v>193.90150402013603</v>
      </c>
      <c r="K182" s="45">
        <f>'Paste cell here'!AG182</f>
        <v>182.73373704348052</v>
      </c>
      <c r="L182" s="41" t="str">
        <f t="shared" si="8"/>
        <v>NO</v>
      </c>
      <c r="M182" s="1">
        <f>(Sintesi!$C$29*F182*1000)</f>
        <v>23.3</v>
      </c>
      <c r="N182" s="1">
        <f>Sintesi!$C$30*F182*1000</f>
        <v>10.700000000000001</v>
      </c>
      <c r="O182" s="1">
        <f t="shared" si="6"/>
        <v>12.6</v>
      </c>
      <c r="P182" s="1">
        <f>Sintesi!$C$33*G182*1000</f>
        <v>192.75</v>
      </c>
      <c r="Q182" s="1">
        <f>Sintesi!$C$34*G182*1000</f>
        <v>96</v>
      </c>
      <c r="R182" s="1">
        <f t="shared" si="7"/>
        <v>96.75</v>
      </c>
    </row>
    <row r="183" spans="1:18">
      <c r="A183" s="41">
        <v>182</v>
      </c>
      <c r="B183" s="42">
        <f>DATE(Sintesi!$C$4-1,12,31)+A183</f>
        <v>44378</v>
      </c>
      <c r="C183" s="41">
        <f>'Paste cell here'!B183</f>
        <v>0</v>
      </c>
      <c r="D183" s="41">
        <f>'Paste cell here'!I183</f>
        <v>0</v>
      </c>
      <c r="E183" s="1">
        <f>'Paste cell here'!H183</f>
        <v>0.44175986986391963</v>
      </c>
      <c r="F183" s="1">
        <f>Sintesi!$C$5</f>
        <v>0.1</v>
      </c>
      <c r="G183" s="1">
        <f>'Paste cell here'!AA183</f>
        <v>0.75</v>
      </c>
      <c r="H183" s="43">
        <f>'Paste cell here'!U183</f>
        <v>21.14061139925013</v>
      </c>
      <c r="I183" s="43">
        <f>'Paste cell here'!AE183</f>
        <v>158.74384986405468</v>
      </c>
      <c r="J183" s="44">
        <f>'Paste cell here'!U182+'Paste cell here'!AF183</f>
        <v>187.37225474975565</v>
      </c>
      <c r="K183" s="45">
        <f>'Paste cell here'!AG183</f>
        <v>182.23549076126628</v>
      </c>
      <c r="L183" s="41" t="str">
        <f t="shared" si="8"/>
        <v>NO</v>
      </c>
      <c r="M183" s="1">
        <f>(Sintesi!$C$29*F183*1000)</f>
        <v>23.3</v>
      </c>
      <c r="N183" s="1">
        <f>Sintesi!$C$30*F183*1000</f>
        <v>10.700000000000001</v>
      </c>
      <c r="O183" s="1">
        <f t="shared" si="6"/>
        <v>12.6</v>
      </c>
      <c r="P183" s="1">
        <f>Sintesi!$C$33*G183*1000</f>
        <v>192.75</v>
      </c>
      <c r="Q183" s="1">
        <f>Sintesi!$C$34*G183*1000</f>
        <v>96</v>
      </c>
      <c r="R183" s="1">
        <f t="shared" si="7"/>
        <v>96.75</v>
      </c>
    </row>
    <row r="184" spans="1:18">
      <c r="A184" s="41">
        <v>183</v>
      </c>
      <c r="B184" s="42">
        <f>DATE(Sintesi!$C$4-1,12,31)+A184</f>
        <v>44379</v>
      </c>
      <c r="C184" s="41">
        <f>'Paste cell here'!B184</f>
        <v>0</v>
      </c>
      <c r="D184" s="41">
        <f>'Paste cell here'!I184</f>
        <v>54</v>
      </c>
      <c r="E184" s="1">
        <f>'Paste cell here'!H184</f>
        <v>0.40188429849760698</v>
      </c>
      <c r="F184" s="1">
        <f>Sintesi!$C$5</f>
        <v>0.1</v>
      </c>
      <c r="G184" s="1">
        <f>'Paste cell here'!AA184</f>
        <v>0.75</v>
      </c>
      <c r="H184" s="43">
        <f>'Paste cell here'!U184</f>
        <v>27.565446980712782</v>
      </c>
      <c r="I184" s="43">
        <f>'Paste cell here'!AE184</f>
        <v>198.71918796680663</v>
      </c>
      <c r="J184" s="44">
        <f>'Paste cell here'!U183+'Paste cell here'!AF184</f>
        <v>179.88446126330481</v>
      </c>
      <c r="K184" s="45">
        <f>'Paste cell here'!AG184</f>
        <v>185.28776637150068</v>
      </c>
      <c r="L184" s="41" t="str">
        <f t="shared" si="8"/>
        <v>YES</v>
      </c>
      <c r="M184" s="1">
        <f>(Sintesi!$C$29*F184*1000)</f>
        <v>23.3</v>
      </c>
      <c r="N184" s="1">
        <f>Sintesi!$C$30*F184*1000</f>
        <v>10.700000000000001</v>
      </c>
      <c r="O184" s="1">
        <f t="shared" si="6"/>
        <v>12.6</v>
      </c>
      <c r="P184" s="1">
        <f>Sintesi!$C$33*G184*1000</f>
        <v>192.75</v>
      </c>
      <c r="Q184" s="1">
        <f>Sintesi!$C$34*G184*1000</f>
        <v>96</v>
      </c>
      <c r="R184" s="1">
        <f t="shared" si="7"/>
        <v>96.75</v>
      </c>
    </row>
    <row r="185" spans="1:18">
      <c r="A185" s="41">
        <v>184</v>
      </c>
      <c r="B185" s="42">
        <f>DATE(Sintesi!$C$4-1,12,31)+A185</f>
        <v>44380</v>
      </c>
      <c r="C185" s="41">
        <f>'Paste cell here'!B185</f>
        <v>0</v>
      </c>
      <c r="D185" s="41">
        <f>'Paste cell here'!I185</f>
        <v>0</v>
      </c>
      <c r="E185" s="1">
        <f>'Paste cell here'!H185</f>
        <v>0.43329308246276865</v>
      </c>
      <c r="F185" s="1">
        <f>Sintesi!$C$5</f>
        <v>0.1</v>
      </c>
      <c r="G185" s="1">
        <f>'Paste cell here'!AA185</f>
        <v>0.75</v>
      </c>
      <c r="H185" s="43">
        <f>'Paste cell here'!U185</f>
        <v>24.939598116014878</v>
      </c>
      <c r="I185" s="43">
        <f>'Paste cell here'!AE185</f>
        <v>194.94100289670354</v>
      </c>
      <c r="J185" s="44">
        <f>'Paste cell here'!U184+'Paste cell here'!AF185</f>
        <v>226.28463494751941</v>
      </c>
      <c r="K185" s="45">
        <f>'Paste cell here'!AG185</f>
        <v>182.88358100288738</v>
      </c>
      <c r="L185" s="41" t="str">
        <f t="shared" si="8"/>
        <v>NO</v>
      </c>
      <c r="M185" s="1">
        <f>(Sintesi!$C$29*F185*1000)</f>
        <v>23.3</v>
      </c>
      <c r="N185" s="1">
        <f>Sintesi!$C$30*F185*1000</f>
        <v>10.700000000000001</v>
      </c>
      <c r="O185" s="1">
        <f t="shared" si="6"/>
        <v>12.6</v>
      </c>
      <c r="P185" s="1">
        <f>Sintesi!$C$33*G185*1000</f>
        <v>192.75</v>
      </c>
      <c r="Q185" s="1">
        <f>Sintesi!$C$34*G185*1000</f>
        <v>96</v>
      </c>
      <c r="R185" s="1">
        <f t="shared" si="7"/>
        <v>96.75</v>
      </c>
    </row>
    <row r="186" spans="1:18">
      <c r="A186" s="41">
        <v>185</v>
      </c>
      <c r="B186" s="42">
        <f>DATE(Sintesi!$C$4-1,12,31)+A186</f>
        <v>44381</v>
      </c>
      <c r="C186" s="41">
        <f>'Paste cell here'!B186</f>
        <v>6.9199999999999227</v>
      </c>
      <c r="D186" s="41">
        <f>'Paste cell here'!I186</f>
        <v>0</v>
      </c>
      <c r="E186" s="1">
        <f>'Paste cell here'!H186</f>
        <v>0.50799467657581476</v>
      </c>
      <c r="F186" s="1">
        <f>Sintesi!$C$5</f>
        <v>0.1</v>
      </c>
      <c r="G186" s="1">
        <f>'Paste cell here'!AA186</f>
        <v>0.75</v>
      </c>
      <c r="H186" s="43">
        <f>'Paste cell here'!U186</f>
        <v>27.468041914267765</v>
      </c>
      <c r="I186" s="43">
        <f>'Paste cell here'!AE186</f>
        <v>193.87489809873867</v>
      </c>
      <c r="J186" s="44">
        <f>'Paste cell here'!U185+'Paste cell here'!AF186</f>
        <v>219.88060101271842</v>
      </c>
      <c r="K186" s="45">
        <f>'Paste cell here'!AG186</f>
        <v>177.16554748150426</v>
      </c>
      <c r="L186" s="41" t="str">
        <f t="shared" si="8"/>
        <v>NO</v>
      </c>
      <c r="M186" s="1">
        <f>(Sintesi!$C$29*F186*1000)</f>
        <v>23.3</v>
      </c>
      <c r="N186" s="1">
        <f>Sintesi!$C$30*F186*1000</f>
        <v>10.700000000000001</v>
      </c>
      <c r="O186" s="1">
        <f t="shared" si="6"/>
        <v>12.6</v>
      </c>
      <c r="P186" s="1">
        <f>Sintesi!$C$33*G186*1000</f>
        <v>192.75</v>
      </c>
      <c r="Q186" s="1">
        <f>Sintesi!$C$34*G186*1000</f>
        <v>96</v>
      </c>
      <c r="R186" s="1">
        <f t="shared" si="7"/>
        <v>96.75</v>
      </c>
    </row>
    <row r="187" spans="1:18">
      <c r="A187" s="41">
        <v>186</v>
      </c>
      <c r="B187" s="42">
        <f>DATE(Sintesi!$C$4-1,12,31)+A187</f>
        <v>44382</v>
      </c>
      <c r="C187" s="41">
        <f>'Paste cell here'!B187</f>
        <v>0.15999999999999945</v>
      </c>
      <c r="D187" s="41">
        <f>'Paste cell here'!I187</f>
        <v>0</v>
      </c>
      <c r="E187" s="1">
        <f>'Paste cell here'!H187</f>
        <v>0.60755950715242069</v>
      </c>
      <c r="F187" s="1">
        <f>Sintesi!$C$5</f>
        <v>0.1</v>
      </c>
      <c r="G187" s="1">
        <f>'Paste cell here'!AA187</f>
        <v>0.75</v>
      </c>
      <c r="H187" s="43">
        <f>'Paste cell here'!U187</f>
        <v>25.497916861696119</v>
      </c>
      <c r="I187" s="43">
        <f>'Paste cell here'!AE187</f>
        <v>189.69600365978295</v>
      </c>
      <c r="J187" s="44">
        <f>'Paste cell here'!U186+'Paste cell here'!AF187</f>
        <v>221.3429400130064</v>
      </c>
      <c r="K187" s="45">
        <f>'Paste cell here'!AG187</f>
        <v>169.54435752501797</v>
      </c>
      <c r="L187" s="41" t="str">
        <f t="shared" si="8"/>
        <v>NO</v>
      </c>
      <c r="M187" s="1">
        <f>(Sintesi!$C$29*F187*1000)</f>
        <v>23.3</v>
      </c>
      <c r="N187" s="1">
        <f>Sintesi!$C$30*F187*1000</f>
        <v>10.700000000000001</v>
      </c>
      <c r="O187" s="1">
        <f t="shared" si="6"/>
        <v>12.6</v>
      </c>
      <c r="P187" s="1">
        <f>Sintesi!$C$33*G187*1000</f>
        <v>192.75</v>
      </c>
      <c r="Q187" s="1">
        <f>Sintesi!$C$34*G187*1000</f>
        <v>96</v>
      </c>
      <c r="R187" s="1">
        <f t="shared" si="7"/>
        <v>96.75</v>
      </c>
    </row>
    <row r="188" spans="1:18">
      <c r="A188" s="41">
        <v>187</v>
      </c>
      <c r="B188" s="42">
        <f>DATE(Sintesi!$C$4-1,12,31)+A188</f>
        <v>44383</v>
      </c>
      <c r="C188" s="41">
        <f>'Paste cell here'!B188</f>
        <v>0</v>
      </c>
      <c r="D188" s="41">
        <f>'Paste cell here'!I188</f>
        <v>0</v>
      </c>
      <c r="E188" s="1">
        <f>'Paste cell here'!H188</f>
        <v>0.48125461996167368</v>
      </c>
      <c r="F188" s="1">
        <f>Sintesi!$C$5</f>
        <v>0.1</v>
      </c>
      <c r="G188" s="1">
        <f>'Paste cell here'!AA188</f>
        <v>0.75</v>
      </c>
      <c r="H188" s="43">
        <f>'Paste cell here'!U188</f>
        <v>24.511753198163014</v>
      </c>
      <c r="I188" s="43">
        <f>'Paste cell here'!AE188</f>
        <v>184.12608861173072</v>
      </c>
      <c r="J188" s="44">
        <f>'Paste cell here'!U187+'Paste cell here'!AF188</f>
        <v>215.19392052147907</v>
      </c>
      <c r="K188" s="45">
        <f>'Paste cell here'!AG188</f>
        <v>179.21236511503369</v>
      </c>
      <c r="L188" s="41" t="str">
        <f t="shared" si="8"/>
        <v>NO</v>
      </c>
      <c r="M188" s="1">
        <f>(Sintesi!$C$29*F188*1000)</f>
        <v>23.3</v>
      </c>
      <c r="N188" s="1">
        <f>Sintesi!$C$30*F188*1000</f>
        <v>10.700000000000001</v>
      </c>
      <c r="O188" s="1">
        <f t="shared" si="6"/>
        <v>12.6</v>
      </c>
      <c r="P188" s="1">
        <f>Sintesi!$C$33*G188*1000</f>
        <v>192.75</v>
      </c>
      <c r="Q188" s="1">
        <f>Sintesi!$C$34*G188*1000</f>
        <v>96</v>
      </c>
      <c r="R188" s="1">
        <f t="shared" si="7"/>
        <v>96.75</v>
      </c>
    </row>
    <row r="189" spans="1:18">
      <c r="A189" s="41">
        <v>188</v>
      </c>
      <c r="B189" s="42">
        <f>DATE(Sintesi!$C$4-1,12,31)+A189</f>
        <v>44384</v>
      </c>
      <c r="C189" s="41">
        <f>'Paste cell here'!B189</f>
        <v>1.2399999999999296</v>
      </c>
      <c r="D189" s="41">
        <f>'Paste cell here'!I189</f>
        <v>0</v>
      </c>
      <c r="E189" s="1">
        <f>'Paste cell here'!H189</f>
        <v>0.45322779967790378</v>
      </c>
      <c r="F189" s="1">
        <f>Sintesi!$C$5</f>
        <v>0.1</v>
      </c>
      <c r="G189" s="1">
        <f>'Paste cell here'!AA189</f>
        <v>0.75</v>
      </c>
      <c r="H189" s="43">
        <f>'Paste cell here'!U189</f>
        <v>24.144917767318528</v>
      </c>
      <c r="I189" s="43">
        <f>'Paste cell here'!AE189</f>
        <v>178.59065741755489</v>
      </c>
      <c r="J189" s="44">
        <f>'Paste cell here'!U188+'Paste cell here'!AF189</f>
        <v>208.63784180989373</v>
      </c>
      <c r="K189" s="45">
        <f>'Paste cell here'!AG189</f>
        <v>181.35767807365485</v>
      </c>
      <c r="L189" s="41" t="str">
        <f t="shared" si="8"/>
        <v>NO</v>
      </c>
      <c r="M189" s="1">
        <f>(Sintesi!$C$29*F189*1000)</f>
        <v>23.3</v>
      </c>
      <c r="N189" s="1">
        <f>Sintesi!$C$30*F189*1000</f>
        <v>10.700000000000001</v>
      </c>
      <c r="O189" s="1">
        <f t="shared" si="6"/>
        <v>12.6</v>
      </c>
      <c r="P189" s="1">
        <f>Sintesi!$C$33*G189*1000</f>
        <v>192.75</v>
      </c>
      <c r="Q189" s="1">
        <f>Sintesi!$C$34*G189*1000</f>
        <v>96</v>
      </c>
      <c r="R189" s="1">
        <f t="shared" si="7"/>
        <v>96.75</v>
      </c>
    </row>
    <row r="190" spans="1:18">
      <c r="A190" s="41">
        <v>189</v>
      </c>
      <c r="B190" s="42">
        <f>DATE(Sintesi!$C$4-1,12,31)+A190</f>
        <v>44385</v>
      </c>
      <c r="C190" s="41">
        <f>'Paste cell here'!B190</f>
        <v>20.479999999999634</v>
      </c>
      <c r="D190" s="41">
        <f>'Paste cell here'!I190</f>
        <v>0</v>
      </c>
      <c r="E190" s="1">
        <f>'Paste cell here'!H190</f>
        <v>0.45788691742657028</v>
      </c>
      <c r="F190" s="1">
        <f>Sintesi!$C$5</f>
        <v>0.1</v>
      </c>
      <c r="G190" s="1">
        <f>'Paste cell here'!AA190</f>
        <v>0.75</v>
      </c>
      <c r="H190" s="43">
        <f>'Paste cell here'!U190</f>
        <v>33.280273407544435</v>
      </c>
      <c r="I190" s="43">
        <f>'Paste cell here'!AE190</f>
        <v>180.74370511982812</v>
      </c>
      <c r="J190" s="44">
        <f>'Paste cell here'!U189+'Paste cell here'!AF190</f>
        <v>202.73557518487343</v>
      </c>
      <c r="K190" s="45">
        <f>'Paste cell here'!AG190</f>
        <v>181.00104590558317</v>
      </c>
      <c r="L190" s="41" t="str">
        <f t="shared" si="8"/>
        <v>NO</v>
      </c>
      <c r="M190" s="1">
        <f>(Sintesi!$C$29*F190*1000)</f>
        <v>23.3</v>
      </c>
      <c r="N190" s="1">
        <f>Sintesi!$C$30*F190*1000</f>
        <v>10.700000000000001</v>
      </c>
      <c r="O190" s="1">
        <f t="shared" si="6"/>
        <v>12.6</v>
      </c>
      <c r="P190" s="1">
        <f>Sintesi!$C$33*G190*1000</f>
        <v>192.75</v>
      </c>
      <c r="Q190" s="1">
        <f>Sintesi!$C$34*G190*1000</f>
        <v>96</v>
      </c>
      <c r="R190" s="1">
        <f t="shared" si="7"/>
        <v>96.75</v>
      </c>
    </row>
    <row r="191" spans="1:18">
      <c r="A191" s="41">
        <v>190</v>
      </c>
      <c r="B191" s="42">
        <f>DATE(Sintesi!$C$4-1,12,31)+A191</f>
        <v>44386</v>
      </c>
      <c r="C191" s="41">
        <f>'Paste cell here'!B191</f>
        <v>0</v>
      </c>
      <c r="D191" s="41">
        <f>'Paste cell here'!I191</f>
        <v>0</v>
      </c>
      <c r="E191" s="1">
        <f>'Paste cell here'!H191</f>
        <v>0.53950201416821342</v>
      </c>
      <c r="F191" s="1">
        <f>Sintesi!$C$5</f>
        <v>0.1</v>
      </c>
      <c r="G191" s="1">
        <f>'Paste cell here'!AA191</f>
        <v>0.75</v>
      </c>
      <c r="H191" s="43">
        <f>'Paste cell here'!U191</f>
        <v>28.430897715643916</v>
      </c>
      <c r="I191" s="43">
        <f>'Paste cell here'!AE191</f>
        <v>178.64075485723831</v>
      </c>
      <c r="J191" s="44">
        <f>'Paste cell here'!U190+'Paste cell here'!AF191</f>
        <v>214.02397852737255</v>
      </c>
      <c r="K191" s="45">
        <f>'Paste cell here'!AG191</f>
        <v>174.75381832549411</v>
      </c>
      <c r="L191" s="41" t="str">
        <f t="shared" si="8"/>
        <v>NO</v>
      </c>
      <c r="M191" s="1">
        <f>(Sintesi!$C$29*F191*1000)</f>
        <v>23.3</v>
      </c>
      <c r="N191" s="1">
        <f>Sintesi!$C$30*F191*1000</f>
        <v>10.700000000000001</v>
      </c>
      <c r="O191" s="1">
        <f t="shared" si="6"/>
        <v>12.6</v>
      </c>
      <c r="P191" s="1">
        <f>Sintesi!$C$33*G191*1000</f>
        <v>192.75</v>
      </c>
      <c r="Q191" s="1">
        <f>Sintesi!$C$34*G191*1000</f>
        <v>96</v>
      </c>
      <c r="R191" s="1">
        <f t="shared" si="7"/>
        <v>96.75</v>
      </c>
    </row>
    <row r="192" spans="1:18">
      <c r="A192" s="41">
        <v>191</v>
      </c>
      <c r="B192" s="42">
        <f>DATE(Sintesi!$C$4-1,12,31)+A192</f>
        <v>44387</v>
      </c>
      <c r="C192" s="41">
        <f>'Paste cell here'!B192</f>
        <v>0</v>
      </c>
      <c r="D192" s="41">
        <f>'Paste cell here'!I192</f>
        <v>0</v>
      </c>
      <c r="E192" s="1">
        <f>'Paste cell here'!H192</f>
        <v>0.42731889993282268</v>
      </c>
      <c r="F192" s="1">
        <f>Sintesi!$C$5</f>
        <v>0.1</v>
      </c>
      <c r="G192" s="1">
        <f>'Paste cell here'!AA192</f>
        <v>0.75</v>
      </c>
      <c r="H192" s="43">
        <f>'Paste cell here'!U192</f>
        <v>26.867948649919491</v>
      </c>
      <c r="I192" s="43">
        <f>'Paste cell here'!AE192</f>
        <v>173.71399977338822</v>
      </c>
      <c r="J192" s="44">
        <f>'Paste cell here'!U191+'Paste cell here'!AF192</f>
        <v>207.07165257288224</v>
      </c>
      <c r="K192" s="45">
        <f>'Paste cell here'!AG192</f>
        <v>183.34087480464208</v>
      </c>
      <c r="L192" s="41" t="str">
        <f t="shared" si="8"/>
        <v>NO</v>
      </c>
      <c r="M192" s="1">
        <f>(Sintesi!$C$29*F192*1000)</f>
        <v>23.3</v>
      </c>
      <c r="N192" s="1">
        <f>Sintesi!$C$30*F192*1000</f>
        <v>10.700000000000001</v>
      </c>
      <c r="O192" s="1">
        <f t="shared" si="6"/>
        <v>12.6</v>
      </c>
      <c r="P192" s="1">
        <f>Sintesi!$C$33*G192*1000</f>
        <v>192.75</v>
      </c>
      <c r="Q192" s="1">
        <f>Sintesi!$C$34*G192*1000</f>
        <v>96</v>
      </c>
      <c r="R192" s="1">
        <f t="shared" si="7"/>
        <v>96.75</v>
      </c>
    </row>
    <row r="193" spans="1:18">
      <c r="A193" s="41">
        <v>192</v>
      </c>
      <c r="B193" s="42">
        <f>DATE(Sintesi!$C$4-1,12,31)+A193</f>
        <v>44388</v>
      </c>
      <c r="C193" s="41">
        <f>'Paste cell here'!B193</f>
        <v>0</v>
      </c>
      <c r="D193" s="41">
        <f>'Paste cell here'!I193</f>
        <v>0</v>
      </c>
      <c r="E193" s="1">
        <f>'Paste cell here'!H193</f>
        <v>0.44384799432065253</v>
      </c>
      <c r="F193" s="1">
        <f>Sintesi!$C$5</f>
        <v>0.1</v>
      </c>
      <c r="G193" s="1">
        <f>'Paste cell here'!AA193</f>
        <v>0.75</v>
      </c>
      <c r="H193" s="43">
        <f>'Paste cell here'!U193</f>
        <v>25.827947701437896</v>
      </c>
      <c r="I193" s="43">
        <f>'Paste cell here'!AE193</f>
        <v>168.18893077176261</v>
      </c>
      <c r="J193" s="44">
        <f>'Paste cell here'!U192+'Paste cell here'!AF193</f>
        <v>200.58194842330772</v>
      </c>
      <c r="K193" s="45">
        <f>'Paste cell here'!AG193</f>
        <v>182.07565527472568</v>
      </c>
      <c r="L193" s="41" t="str">
        <f t="shared" si="8"/>
        <v>NO</v>
      </c>
      <c r="M193" s="1">
        <f>(Sintesi!$C$29*F193*1000)</f>
        <v>23.3</v>
      </c>
      <c r="N193" s="1">
        <f>Sintesi!$C$30*F193*1000</f>
        <v>10.700000000000001</v>
      </c>
      <c r="O193" s="1">
        <f t="shared" si="6"/>
        <v>12.6</v>
      </c>
      <c r="P193" s="1">
        <f>Sintesi!$C$33*G193*1000</f>
        <v>192.75</v>
      </c>
      <c r="Q193" s="1">
        <f>Sintesi!$C$34*G193*1000</f>
        <v>96</v>
      </c>
      <c r="R193" s="1">
        <f t="shared" si="7"/>
        <v>96.75</v>
      </c>
    </row>
    <row r="194" spans="1:18">
      <c r="A194" s="41">
        <v>193</v>
      </c>
      <c r="B194" s="42">
        <f>DATE(Sintesi!$C$4-1,12,31)+A194</f>
        <v>44389</v>
      </c>
      <c r="C194" s="41">
        <f>'Paste cell here'!B194</f>
        <v>0</v>
      </c>
      <c r="D194" s="41">
        <f>'Paste cell here'!I194</f>
        <v>0</v>
      </c>
      <c r="E194" s="1">
        <f>'Paste cell here'!H194</f>
        <v>0.43938560363073609</v>
      </c>
      <c r="F194" s="1">
        <f>Sintesi!$C$5</f>
        <v>0.1</v>
      </c>
      <c r="G194" s="1">
        <f>'Paste cell here'!AA194</f>
        <v>0.75</v>
      </c>
      <c r="H194" s="43">
        <f>'Paste cell here'!U194</f>
        <v>25.257952362173523</v>
      </c>
      <c r="I194" s="43">
        <f>'Paste cell here'!AE194</f>
        <v>163.09878189893237</v>
      </c>
      <c r="J194" s="44">
        <f>'Paste cell here'!U193+'Paste cell here'!AF194</f>
        <v>194.01687847320051</v>
      </c>
      <c r="K194" s="45">
        <f>'Paste cell here'!AG194</f>
        <v>182.41722897008529</v>
      </c>
      <c r="L194" s="41" t="str">
        <f t="shared" si="8"/>
        <v>NO</v>
      </c>
      <c r="M194" s="1">
        <f>(Sintesi!$C$29*F194*1000)</f>
        <v>23.3</v>
      </c>
      <c r="N194" s="1">
        <f>Sintesi!$C$30*F194*1000</f>
        <v>10.700000000000001</v>
      </c>
      <c r="O194" s="1">
        <f t="shared" ref="O194:O257" si="9">M194-N194</f>
        <v>12.6</v>
      </c>
      <c r="P194" s="1">
        <f>Sintesi!$C$33*G194*1000</f>
        <v>192.75</v>
      </c>
      <c r="Q194" s="1">
        <f>Sintesi!$C$34*G194*1000</f>
        <v>96</v>
      </c>
      <c r="R194" s="1">
        <f t="shared" ref="R194:R257" si="10">P194-Q194</f>
        <v>96.75</v>
      </c>
    </row>
    <row r="195" spans="1:18">
      <c r="A195" s="41">
        <v>194</v>
      </c>
      <c r="B195" s="42">
        <f>DATE(Sintesi!$C$4-1,12,31)+A195</f>
        <v>44390</v>
      </c>
      <c r="C195" s="41">
        <f>'Paste cell here'!B195</f>
        <v>0</v>
      </c>
      <c r="D195" s="41">
        <f>'Paste cell here'!I195</f>
        <v>0</v>
      </c>
      <c r="E195" s="1">
        <f>'Paste cell here'!H195</f>
        <v>0.47473161215611459</v>
      </c>
      <c r="F195" s="1">
        <f>Sintesi!$C$5</f>
        <v>0.1</v>
      </c>
      <c r="G195" s="1">
        <f>'Paste cell here'!AA195</f>
        <v>0.75</v>
      </c>
      <c r="H195" s="43">
        <f>'Paste cell here'!U195</f>
        <v>24.667490095081465</v>
      </c>
      <c r="I195" s="43">
        <f>'Paste cell here'!AE195</f>
        <v>158.34727398099884</v>
      </c>
      <c r="J195" s="44">
        <f>'Paste cell here'!U194+'Paste cell here'!AF195</f>
        <v>188.35673426110588</v>
      </c>
      <c r="K195" s="45">
        <f>'Paste cell here'!AG195</f>
        <v>179.7116687475102</v>
      </c>
      <c r="L195" s="41" t="str">
        <f t="shared" ref="L195:L258" si="11">IF(J195&lt;K195,"YES","NO")</f>
        <v>NO</v>
      </c>
      <c r="M195" s="1">
        <f>(Sintesi!$C$29*F195*1000)</f>
        <v>23.3</v>
      </c>
      <c r="N195" s="1">
        <f>Sintesi!$C$30*F195*1000</f>
        <v>10.700000000000001</v>
      </c>
      <c r="O195" s="1">
        <f t="shared" si="9"/>
        <v>12.6</v>
      </c>
      <c r="P195" s="1">
        <f>Sintesi!$C$33*G195*1000</f>
        <v>192.75</v>
      </c>
      <c r="Q195" s="1">
        <f>Sintesi!$C$34*G195*1000</f>
        <v>96</v>
      </c>
      <c r="R195" s="1">
        <f t="shared" si="10"/>
        <v>96.75</v>
      </c>
    </row>
    <row r="196" spans="1:18">
      <c r="A196" s="41">
        <v>195</v>
      </c>
      <c r="B196" s="42">
        <f>DATE(Sintesi!$C$4-1,12,31)+A196</f>
        <v>44391</v>
      </c>
      <c r="C196" s="41">
        <f>'Paste cell here'!B196</f>
        <v>6.0799999999999654</v>
      </c>
      <c r="D196" s="41">
        <f>'Paste cell here'!I196</f>
        <v>0</v>
      </c>
      <c r="E196" s="1">
        <f>'Paste cell here'!H196</f>
        <v>0.48699371869358615</v>
      </c>
      <c r="F196" s="1">
        <f>Sintesi!$C$5</f>
        <v>0.1</v>
      </c>
      <c r="G196" s="1">
        <f>'Paste cell here'!AA196</f>
        <v>0.75</v>
      </c>
      <c r="H196" s="43">
        <f>'Paste cell here'!U196</f>
        <v>28.079816280242305</v>
      </c>
      <c r="I196" s="43">
        <f>'Paste cell here'!AE196</f>
        <v>155.04222258109417</v>
      </c>
      <c r="J196" s="44">
        <f>'Paste cell here'!U195+'Paste cell here'!AF196</f>
        <v>183.01476407608027</v>
      </c>
      <c r="K196" s="45">
        <f>'Paste cell here'!AG196</f>
        <v>178.77306580259946</v>
      </c>
      <c r="L196" s="41" t="str">
        <f t="shared" si="11"/>
        <v>NO</v>
      </c>
      <c r="M196" s="1">
        <f>(Sintesi!$C$29*F196*1000)</f>
        <v>23.3</v>
      </c>
      <c r="N196" s="1">
        <f>Sintesi!$C$30*F196*1000</f>
        <v>10.700000000000001</v>
      </c>
      <c r="O196" s="1">
        <f t="shared" si="9"/>
        <v>12.6</v>
      </c>
      <c r="P196" s="1">
        <f>Sintesi!$C$33*G196*1000</f>
        <v>192.75</v>
      </c>
      <c r="Q196" s="1">
        <f>Sintesi!$C$34*G196*1000</f>
        <v>96</v>
      </c>
      <c r="R196" s="1">
        <f t="shared" si="10"/>
        <v>96.75</v>
      </c>
    </row>
    <row r="197" spans="1:18">
      <c r="A197" s="41">
        <v>196</v>
      </c>
      <c r="B197" s="42">
        <f>DATE(Sintesi!$C$4-1,12,31)+A197</f>
        <v>44392</v>
      </c>
      <c r="C197" s="41">
        <f>'Paste cell here'!B197</f>
        <v>0</v>
      </c>
      <c r="D197" s="41">
        <f>'Paste cell here'!I197</f>
        <v>0</v>
      </c>
      <c r="E197" s="1">
        <f>'Paste cell here'!H197</f>
        <v>0.54208345473598474</v>
      </c>
      <c r="F197" s="1">
        <f>Sintesi!$C$5</f>
        <v>0.1</v>
      </c>
      <c r="G197" s="1">
        <f>'Paste cell here'!AA197</f>
        <v>0.75</v>
      </c>
      <c r="H197" s="43">
        <f>'Paste cell here'!U197</f>
        <v>27.188434282748375</v>
      </c>
      <c r="I197" s="43">
        <f>'Paste cell here'!AE197</f>
        <v>152.05280042634999</v>
      </c>
      <c r="J197" s="44">
        <f>'Paste cell here'!U196+'Paste cell here'!AF197</f>
        <v>183.12203886133648</v>
      </c>
      <c r="K197" s="45">
        <f>'Paste cell here'!AG197</f>
        <v>174.55622195723407</v>
      </c>
      <c r="L197" s="41" t="str">
        <f t="shared" si="11"/>
        <v>NO</v>
      </c>
      <c r="M197" s="1">
        <f>(Sintesi!$C$29*F197*1000)</f>
        <v>23.3</v>
      </c>
      <c r="N197" s="1">
        <f>Sintesi!$C$30*F197*1000</f>
        <v>10.700000000000001</v>
      </c>
      <c r="O197" s="1">
        <f t="shared" si="9"/>
        <v>12.6</v>
      </c>
      <c r="P197" s="1">
        <f>Sintesi!$C$33*G197*1000</f>
        <v>192.75</v>
      </c>
      <c r="Q197" s="1">
        <f>Sintesi!$C$34*G197*1000</f>
        <v>96</v>
      </c>
      <c r="R197" s="1">
        <f t="shared" si="10"/>
        <v>96.75</v>
      </c>
    </row>
    <row r="198" spans="1:18">
      <c r="A198" s="41">
        <v>197</v>
      </c>
      <c r="B198" s="42">
        <f>DATE(Sintesi!$C$4-1,12,31)+A198</f>
        <v>44393</v>
      </c>
      <c r="C198" s="41">
        <f>'Paste cell here'!B198</f>
        <v>1.3199999999999292</v>
      </c>
      <c r="D198" s="41">
        <f>'Paste cell here'!I198</f>
        <v>0</v>
      </c>
      <c r="E198" s="1">
        <f>'Paste cell here'!H198</f>
        <v>0.54506753822556031</v>
      </c>
      <c r="F198" s="1">
        <f>Sintesi!$C$5</f>
        <v>0.1</v>
      </c>
      <c r="G198" s="1">
        <f>'Paste cell here'!AA198</f>
        <v>0.75</v>
      </c>
      <c r="H198" s="43">
        <f>'Paste cell here'!U198</f>
        <v>26.794120362944881</v>
      </c>
      <c r="I198" s="43">
        <f>'Paste cell here'!AE198</f>
        <v>147.42808196099119</v>
      </c>
      <c r="J198" s="44">
        <f>'Paste cell here'!U197+'Paste cell here'!AF198</f>
        <v>179.24123470909836</v>
      </c>
      <c r="K198" s="45">
        <f>'Paste cell here'!AG198</f>
        <v>174.32780528652449</v>
      </c>
      <c r="L198" s="41" t="str">
        <f t="shared" si="11"/>
        <v>NO</v>
      </c>
      <c r="M198" s="1">
        <f>(Sintesi!$C$29*F198*1000)</f>
        <v>23.3</v>
      </c>
      <c r="N198" s="1">
        <f>Sintesi!$C$30*F198*1000</f>
        <v>10.700000000000001</v>
      </c>
      <c r="O198" s="1">
        <f t="shared" si="9"/>
        <v>12.6</v>
      </c>
      <c r="P198" s="1">
        <f>Sintesi!$C$33*G198*1000</f>
        <v>192.75</v>
      </c>
      <c r="Q198" s="1">
        <f>Sintesi!$C$34*G198*1000</f>
        <v>96</v>
      </c>
      <c r="R198" s="1">
        <f t="shared" si="10"/>
        <v>96.75</v>
      </c>
    </row>
    <row r="199" spans="1:18">
      <c r="A199" s="41">
        <v>198</v>
      </c>
      <c r="B199" s="42">
        <f>DATE(Sintesi!$C$4-1,12,31)+A199</f>
        <v>44394</v>
      </c>
      <c r="C199" s="41">
        <f>'Paste cell here'!B199</f>
        <v>0</v>
      </c>
      <c r="D199" s="41">
        <f>'Paste cell here'!I199</f>
        <v>54</v>
      </c>
      <c r="E199" s="1">
        <f>'Paste cell here'!H199</f>
        <v>0.48222717937097703</v>
      </c>
      <c r="F199" s="1">
        <f>Sintesi!$C$5</f>
        <v>0.1</v>
      </c>
      <c r="G199" s="1">
        <f>'Paste cell here'!AA199</f>
        <v>0.75</v>
      </c>
      <c r="H199" s="43">
        <f>'Paste cell here'!U199</f>
        <v>27.634510511145912</v>
      </c>
      <c r="I199" s="43">
        <f>'Paste cell here'!AE199</f>
        <v>194.33586607927202</v>
      </c>
      <c r="J199" s="44">
        <f>'Paste cell here'!U198+'Paste cell here'!AF199</f>
        <v>174.22220232393607</v>
      </c>
      <c r="K199" s="45">
        <f>'Paste cell here'!AG199</f>
        <v>179.13792055504857</v>
      </c>
      <c r="L199" s="41" t="str">
        <f t="shared" si="11"/>
        <v>YES</v>
      </c>
      <c r="M199" s="1">
        <f>(Sintesi!$C$29*F199*1000)</f>
        <v>23.3</v>
      </c>
      <c r="N199" s="1">
        <f>Sintesi!$C$30*F199*1000</f>
        <v>10.700000000000001</v>
      </c>
      <c r="O199" s="1">
        <f t="shared" si="9"/>
        <v>12.6</v>
      </c>
      <c r="P199" s="1">
        <f>Sintesi!$C$33*G199*1000</f>
        <v>192.75</v>
      </c>
      <c r="Q199" s="1">
        <f>Sintesi!$C$34*G199*1000</f>
        <v>96</v>
      </c>
      <c r="R199" s="1">
        <f t="shared" si="10"/>
        <v>96.75</v>
      </c>
    </row>
    <row r="200" spans="1:18">
      <c r="A200" s="41">
        <v>199</v>
      </c>
      <c r="B200" s="42">
        <f>DATE(Sintesi!$C$4-1,12,31)+A200</f>
        <v>44395</v>
      </c>
      <c r="C200" s="41">
        <f>'Paste cell here'!B200</f>
        <v>0</v>
      </c>
      <c r="D200" s="41">
        <f>'Paste cell here'!I200</f>
        <v>0</v>
      </c>
      <c r="E200" s="1">
        <f>'Paste cell here'!H200</f>
        <v>0.47346034758136962</v>
      </c>
      <c r="F200" s="1">
        <f>Sintesi!$C$5</f>
        <v>0.1</v>
      </c>
      <c r="G200" s="1">
        <f>'Paste cell here'!AA200</f>
        <v>0.75</v>
      </c>
      <c r="H200" s="43">
        <f>'Paste cell here'!U200</f>
        <v>24.96898281747691</v>
      </c>
      <c r="I200" s="43">
        <f>'Paste cell here'!AE200</f>
        <v>190.62411088816938</v>
      </c>
      <c r="J200" s="44">
        <f>'Paste cell here'!U199+'Paste cell here'!AF200</f>
        <v>221.97037659041794</v>
      </c>
      <c r="K200" s="45">
        <f>'Paste cell here'!AG200</f>
        <v>179.80897769438405</v>
      </c>
      <c r="L200" s="41" t="str">
        <f t="shared" si="11"/>
        <v>NO</v>
      </c>
      <c r="M200" s="1">
        <f>(Sintesi!$C$29*F200*1000)</f>
        <v>23.3</v>
      </c>
      <c r="N200" s="1">
        <f>Sintesi!$C$30*F200*1000</f>
        <v>10.700000000000001</v>
      </c>
      <c r="O200" s="1">
        <f t="shared" si="9"/>
        <v>12.6</v>
      </c>
      <c r="P200" s="1">
        <f>Sintesi!$C$33*G200*1000</f>
        <v>192.75</v>
      </c>
      <c r="Q200" s="1">
        <f>Sintesi!$C$34*G200*1000</f>
        <v>96</v>
      </c>
      <c r="R200" s="1">
        <f t="shared" si="10"/>
        <v>96.75</v>
      </c>
    </row>
    <row r="201" spans="1:18">
      <c r="A201" s="41">
        <v>200</v>
      </c>
      <c r="B201" s="42">
        <f>DATE(Sintesi!$C$4-1,12,31)+A201</f>
        <v>44396</v>
      </c>
      <c r="C201" s="41">
        <f>'Paste cell here'!B201</f>
        <v>0</v>
      </c>
      <c r="D201" s="41">
        <f>'Paste cell here'!I201</f>
        <v>0</v>
      </c>
      <c r="E201" s="1">
        <f>'Paste cell here'!H201</f>
        <v>0.49233377119277133</v>
      </c>
      <c r="F201" s="1">
        <f>Sintesi!$C$5</f>
        <v>0.1</v>
      </c>
      <c r="G201" s="1">
        <f>'Paste cell here'!AA201</f>
        <v>0.75</v>
      </c>
      <c r="H201" s="43">
        <f>'Paste cell here'!U201</f>
        <v>23.71566050275608</v>
      </c>
      <c r="I201" s="43">
        <f>'Paste cell here'!AE201</f>
        <v>184.37623036057479</v>
      </c>
      <c r="J201" s="44">
        <f>'Paste cell here'!U200+'Paste cell here'!AF201</f>
        <v>215.59309370564628</v>
      </c>
      <c r="K201" s="45">
        <f>'Paste cell here'!AG201</f>
        <v>178.36431148404932</v>
      </c>
      <c r="L201" s="41" t="str">
        <f t="shared" si="11"/>
        <v>NO</v>
      </c>
      <c r="M201" s="1">
        <f>(Sintesi!$C$29*F201*1000)</f>
        <v>23.3</v>
      </c>
      <c r="N201" s="1">
        <f>Sintesi!$C$30*F201*1000</f>
        <v>10.700000000000001</v>
      </c>
      <c r="O201" s="1">
        <f t="shared" si="9"/>
        <v>12.6</v>
      </c>
      <c r="P201" s="1">
        <f>Sintesi!$C$33*G201*1000</f>
        <v>192.75</v>
      </c>
      <c r="Q201" s="1">
        <f>Sintesi!$C$34*G201*1000</f>
        <v>96</v>
      </c>
      <c r="R201" s="1">
        <f t="shared" si="10"/>
        <v>96.75</v>
      </c>
    </row>
    <row r="202" spans="1:18">
      <c r="A202" s="41">
        <v>201</v>
      </c>
      <c r="B202" s="42">
        <f>DATE(Sintesi!$C$4-1,12,31)+A202</f>
        <v>44397</v>
      </c>
      <c r="C202" s="41">
        <f>'Paste cell here'!B202</f>
        <v>0</v>
      </c>
      <c r="D202" s="41">
        <f>'Paste cell here'!I202</f>
        <v>0</v>
      </c>
      <c r="E202" s="1">
        <f>'Paste cell here'!H202</f>
        <v>0.42557229431762389</v>
      </c>
      <c r="F202" s="1">
        <f>Sintesi!$C$5</f>
        <v>0.1</v>
      </c>
      <c r="G202" s="1">
        <f>'Paste cell here'!AA202</f>
        <v>0.75</v>
      </c>
      <c r="H202" s="43">
        <f>'Paste cell here'!U202</f>
        <v>22.960074680818657</v>
      </c>
      <c r="I202" s="43">
        <f>'Paste cell here'!AE202</f>
        <v>177.9923469100963</v>
      </c>
      <c r="J202" s="44">
        <f>'Paste cell here'!U201+'Paste cell here'!AF202</f>
        <v>208.09189086333089</v>
      </c>
      <c r="K202" s="45">
        <f>'Paste cell here'!AG202</f>
        <v>183.47456873145748</v>
      </c>
      <c r="L202" s="41" t="str">
        <f t="shared" si="11"/>
        <v>NO</v>
      </c>
      <c r="M202" s="1">
        <f>(Sintesi!$C$29*F202*1000)</f>
        <v>23.3</v>
      </c>
      <c r="N202" s="1">
        <f>Sintesi!$C$30*F202*1000</f>
        <v>10.700000000000001</v>
      </c>
      <c r="O202" s="1">
        <f t="shared" si="9"/>
        <v>12.6</v>
      </c>
      <c r="P202" s="1">
        <f>Sintesi!$C$33*G202*1000</f>
        <v>192.75</v>
      </c>
      <c r="Q202" s="1">
        <f>Sintesi!$C$34*G202*1000</f>
        <v>96</v>
      </c>
      <c r="R202" s="1">
        <f t="shared" si="10"/>
        <v>96.75</v>
      </c>
    </row>
    <row r="203" spans="1:18">
      <c r="A203" s="41">
        <v>202</v>
      </c>
      <c r="B203" s="42">
        <f>DATE(Sintesi!$C$4-1,12,31)+A203</f>
        <v>44398</v>
      </c>
      <c r="C203" s="41">
        <f>'Paste cell here'!B203</f>
        <v>0</v>
      </c>
      <c r="D203" s="41">
        <f>'Paste cell here'!I203</f>
        <v>0</v>
      </c>
      <c r="E203" s="1">
        <f>'Paste cell here'!H203</f>
        <v>0.4269714872217224</v>
      </c>
      <c r="F203" s="1">
        <f>Sintesi!$C$5</f>
        <v>0.1</v>
      </c>
      <c r="G203" s="1">
        <f>'Paste cell here'!AA203</f>
        <v>0.75</v>
      </c>
      <c r="H203" s="43">
        <f>'Paste cell here'!U203</f>
        <v>22.481462126928424</v>
      </c>
      <c r="I203" s="43">
        <f>'Paste cell here'!AE203</f>
        <v>172.14488876871738</v>
      </c>
      <c r="J203" s="44">
        <f>'Paste cell here'!U202+'Paste cell here'!AF203</f>
        <v>200.95242159091495</v>
      </c>
      <c r="K203" s="45">
        <f>'Paste cell here'!AG203</f>
        <v>183.36746751061327</v>
      </c>
      <c r="L203" s="41" t="str">
        <f t="shared" si="11"/>
        <v>NO</v>
      </c>
      <c r="M203" s="1">
        <f>(Sintesi!$C$29*F203*1000)</f>
        <v>23.3</v>
      </c>
      <c r="N203" s="1">
        <f>Sintesi!$C$30*F203*1000</f>
        <v>10.700000000000001</v>
      </c>
      <c r="O203" s="1">
        <f t="shared" si="9"/>
        <v>12.6</v>
      </c>
      <c r="P203" s="1">
        <f>Sintesi!$C$33*G203*1000</f>
        <v>192.75</v>
      </c>
      <c r="Q203" s="1">
        <f>Sintesi!$C$34*G203*1000</f>
        <v>96</v>
      </c>
      <c r="R203" s="1">
        <f t="shared" si="10"/>
        <v>96.75</v>
      </c>
    </row>
    <row r="204" spans="1:18">
      <c r="A204" s="41">
        <v>203</v>
      </c>
      <c r="B204" s="42">
        <f>DATE(Sintesi!$C$4-1,12,31)+A204</f>
        <v>44399</v>
      </c>
      <c r="C204" s="41">
        <f>'Paste cell here'!B204</f>
        <v>0</v>
      </c>
      <c r="D204" s="41">
        <f>'Paste cell here'!I204</f>
        <v>0</v>
      </c>
      <c r="E204" s="1">
        <f>'Paste cell here'!H204</f>
        <v>0.45314868418171406</v>
      </c>
      <c r="F204" s="1">
        <f>Sintesi!$C$5</f>
        <v>0.1</v>
      </c>
      <c r="G204" s="1">
        <f>'Paste cell here'!AA204</f>
        <v>0.75</v>
      </c>
      <c r="H204" s="43">
        <f>'Paste cell here'!U204</f>
        <v>22.064088753113086</v>
      </c>
      <c r="I204" s="43">
        <f>'Paste cell here'!AE204</f>
        <v>166.15816838317721</v>
      </c>
      <c r="J204" s="44">
        <f>'Paste cell here'!U203+'Paste cell here'!AF204</f>
        <v>194.62635089564577</v>
      </c>
      <c r="K204" s="45">
        <f>'Paste cell here'!AG204</f>
        <v>181.36373396931072</v>
      </c>
      <c r="L204" s="41" t="str">
        <f t="shared" si="11"/>
        <v>NO</v>
      </c>
      <c r="M204" s="1">
        <f>(Sintesi!$C$29*F204*1000)</f>
        <v>23.3</v>
      </c>
      <c r="N204" s="1">
        <f>Sintesi!$C$30*F204*1000</f>
        <v>10.700000000000001</v>
      </c>
      <c r="O204" s="1">
        <f t="shared" si="9"/>
        <v>12.6</v>
      </c>
      <c r="P204" s="1">
        <f>Sintesi!$C$33*G204*1000</f>
        <v>192.75</v>
      </c>
      <c r="Q204" s="1">
        <f>Sintesi!$C$34*G204*1000</f>
        <v>96</v>
      </c>
      <c r="R204" s="1">
        <f t="shared" si="10"/>
        <v>96.75</v>
      </c>
    </row>
    <row r="205" spans="1:18">
      <c r="A205" s="41">
        <v>204</v>
      </c>
      <c r="B205" s="42">
        <f>DATE(Sintesi!$C$4-1,12,31)+A205</f>
        <v>44400</v>
      </c>
      <c r="C205" s="41">
        <f>'Paste cell here'!B205</f>
        <v>0</v>
      </c>
      <c r="D205" s="41">
        <f>'Paste cell here'!I205</f>
        <v>0</v>
      </c>
      <c r="E205" s="1">
        <f>'Paste cell here'!H205</f>
        <v>0.44692785905603294</v>
      </c>
      <c r="F205" s="1">
        <f>Sintesi!$C$5</f>
        <v>0.1</v>
      </c>
      <c r="G205" s="1">
        <f>'Paste cell here'!AA205</f>
        <v>0.75</v>
      </c>
      <c r="H205" s="43">
        <f>'Paste cell here'!U205</f>
        <v>21.770211664125732</v>
      </c>
      <c r="I205" s="43">
        <f>'Paste cell here'!AE205</f>
        <v>160.53017742938533</v>
      </c>
      <c r="J205" s="44">
        <f>'Paste cell here'!U204+'Paste cell here'!AF205</f>
        <v>188.2222571362903</v>
      </c>
      <c r="K205" s="45">
        <f>'Paste cell here'!AG205</f>
        <v>181.83990702855596</v>
      </c>
      <c r="L205" s="41" t="str">
        <f t="shared" si="11"/>
        <v>NO</v>
      </c>
      <c r="M205" s="1">
        <f>(Sintesi!$C$29*F205*1000)</f>
        <v>23.3</v>
      </c>
      <c r="N205" s="1">
        <f>Sintesi!$C$30*F205*1000</f>
        <v>10.700000000000001</v>
      </c>
      <c r="O205" s="1">
        <f t="shared" si="9"/>
        <v>12.6</v>
      </c>
      <c r="P205" s="1">
        <f>Sintesi!$C$33*G205*1000</f>
        <v>192.75</v>
      </c>
      <c r="Q205" s="1">
        <f>Sintesi!$C$34*G205*1000</f>
        <v>96</v>
      </c>
      <c r="R205" s="1">
        <f t="shared" si="10"/>
        <v>96.75</v>
      </c>
    </row>
    <row r="206" spans="1:18">
      <c r="A206" s="41">
        <v>205</v>
      </c>
      <c r="B206" s="42">
        <f>DATE(Sintesi!$C$4-1,12,31)+A206</f>
        <v>44401</v>
      </c>
      <c r="C206" s="41">
        <f>'Paste cell here'!B206</f>
        <v>0.63999999999999779</v>
      </c>
      <c r="D206" s="41">
        <f>'Paste cell here'!I206</f>
        <v>0</v>
      </c>
      <c r="E206" s="1">
        <f>'Paste cell here'!H206</f>
        <v>0.46466757512647194</v>
      </c>
      <c r="F206" s="1">
        <f>Sintesi!$C$5</f>
        <v>0.1</v>
      </c>
      <c r="G206" s="1">
        <f>'Paste cell here'!AA206</f>
        <v>0.75</v>
      </c>
      <c r="H206" s="43">
        <f>'Paste cell here'!U206</f>
        <v>21.647488699665292</v>
      </c>
      <c r="I206" s="43">
        <f>'Paste cell here'!AE206</f>
        <v>155.34863655514417</v>
      </c>
      <c r="J206" s="44">
        <f>'Paste cell here'!U205+'Paste cell here'!AF206</f>
        <v>182.30038909351106</v>
      </c>
      <c r="K206" s="45">
        <f>'Paste cell here'!AG206</f>
        <v>180.48202046194422</v>
      </c>
      <c r="L206" s="41" t="str">
        <f t="shared" si="11"/>
        <v>NO</v>
      </c>
      <c r="M206" s="1">
        <f>(Sintesi!$C$29*F206*1000)</f>
        <v>23.3</v>
      </c>
      <c r="N206" s="1">
        <f>Sintesi!$C$30*F206*1000</f>
        <v>10.700000000000001</v>
      </c>
      <c r="O206" s="1">
        <f t="shared" si="9"/>
        <v>12.6</v>
      </c>
      <c r="P206" s="1">
        <f>Sintesi!$C$33*G206*1000</f>
        <v>192.75</v>
      </c>
      <c r="Q206" s="1">
        <f>Sintesi!$C$34*G206*1000</f>
        <v>96</v>
      </c>
      <c r="R206" s="1">
        <f t="shared" si="10"/>
        <v>96.75</v>
      </c>
    </row>
    <row r="207" spans="1:18">
      <c r="A207" s="41">
        <v>206</v>
      </c>
      <c r="B207" s="42">
        <f>DATE(Sintesi!$C$4-1,12,31)+A207</f>
        <v>44402</v>
      </c>
      <c r="C207" s="41">
        <f>'Paste cell here'!B207</f>
        <v>0</v>
      </c>
      <c r="D207" s="41">
        <f>'Paste cell here'!I207</f>
        <v>54</v>
      </c>
      <c r="E207" s="1">
        <f>'Paste cell here'!H207</f>
        <v>0.48406145412679663</v>
      </c>
      <c r="F207" s="1">
        <f>Sintesi!$C$5</f>
        <v>0.1</v>
      </c>
      <c r="G207" s="1">
        <f>'Paste cell here'!AA207</f>
        <v>0.75</v>
      </c>
      <c r="H207" s="43">
        <f>'Paste cell here'!U207</f>
        <v>27.579144215803883</v>
      </c>
      <c r="I207" s="43">
        <f>'Paste cell here'!AE207</f>
        <v>197.7514301419555</v>
      </c>
      <c r="J207" s="44">
        <f>'Paste cell here'!U206+'Paste cell here'!AF207</f>
        <v>176.99612525480947</v>
      </c>
      <c r="K207" s="45">
        <f>'Paste cell here'!AG207</f>
        <v>178.99751599386434</v>
      </c>
      <c r="L207" s="41" t="str">
        <f t="shared" si="11"/>
        <v>YES</v>
      </c>
      <c r="M207" s="1">
        <f>(Sintesi!$C$29*F207*1000)</f>
        <v>23.3</v>
      </c>
      <c r="N207" s="1">
        <f>Sintesi!$C$30*F207*1000</f>
        <v>10.700000000000001</v>
      </c>
      <c r="O207" s="1">
        <f t="shared" si="9"/>
        <v>12.6</v>
      </c>
      <c r="P207" s="1">
        <f>Sintesi!$C$33*G207*1000</f>
        <v>192.75</v>
      </c>
      <c r="Q207" s="1">
        <f>Sintesi!$C$34*G207*1000</f>
        <v>96</v>
      </c>
      <c r="R207" s="1">
        <f t="shared" si="10"/>
        <v>96.75</v>
      </c>
    </row>
    <row r="208" spans="1:18">
      <c r="A208" s="41">
        <v>207</v>
      </c>
      <c r="B208" s="42">
        <f>DATE(Sintesi!$C$4-1,12,31)+A208</f>
        <v>44403</v>
      </c>
      <c r="C208" s="41">
        <f>'Paste cell here'!B208</f>
        <v>19.43999999999992</v>
      </c>
      <c r="D208" s="41">
        <f>'Paste cell here'!I208</f>
        <v>0</v>
      </c>
      <c r="E208" s="1">
        <f>'Paste cell here'!H208</f>
        <v>0.50752002955798903</v>
      </c>
      <c r="F208" s="1">
        <f>Sintesi!$C$5</f>
        <v>0.1</v>
      </c>
      <c r="G208" s="1">
        <f>'Paste cell here'!AA208</f>
        <v>0.75</v>
      </c>
      <c r="H208" s="43">
        <f>'Paste cell here'!U208</f>
        <v>30.211866955200495</v>
      </c>
      <c r="I208" s="43">
        <f>'Paste cell here'!AE208</f>
        <v>203.17343763670044</v>
      </c>
      <c r="J208" s="44">
        <f>'Paste cell here'!U207+'Paste cell here'!AF208</f>
        <v>225.33057435775936</v>
      </c>
      <c r="K208" s="45">
        <f>'Paste cell here'!AG208</f>
        <v>177.20187933748372</v>
      </c>
      <c r="L208" s="41" t="str">
        <f t="shared" si="11"/>
        <v>NO</v>
      </c>
      <c r="M208" s="1">
        <f>(Sintesi!$C$29*F208*1000)</f>
        <v>23.3</v>
      </c>
      <c r="N208" s="1">
        <f>Sintesi!$C$30*F208*1000</f>
        <v>10.700000000000001</v>
      </c>
      <c r="O208" s="1">
        <f t="shared" si="9"/>
        <v>12.6</v>
      </c>
      <c r="P208" s="1">
        <f>Sintesi!$C$33*G208*1000</f>
        <v>192.75</v>
      </c>
      <c r="Q208" s="1">
        <f>Sintesi!$C$34*G208*1000</f>
        <v>96</v>
      </c>
      <c r="R208" s="1">
        <f t="shared" si="10"/>
        <v>96.75</v>
      </c>
    </row>
    <row r="209" spans="1:18">
      <c r="A209" s="41">
        <v>208</v>
      </c>
      <c r="B209" s="42">
        <f>DATE(Sintesi!$C$4-1,12,31)+A209</f>
        <v>44404</v>
      </c>
      <c r="C209" s="41">
        <f>'Paste cell here'!B209</f>
        <v>0.55999999999999794</v>
      </c>
      <c r="D209" s="41">
        <f>'Paste cell here'!I209</f>
        <v>0</v>
      </c>
      <c r="E209" s="1">
        <f>'Paste cell here'!H209</f>
        <v>0.5508966572304812</v>
      </c>
      <c r="F209" s="1">
        <f>Sintesi!$C$5</f>
        <v>0.1</v>
      </c>
      <c r="G209" s="1">
        <f>'Paste cell here'!AA209</f>
        <v>0.75</v>
      </c>
      <c r="H209" s="43">
        <f>'Paste cell here'!U209</f>
        <v>26.165729663076757</v>
      </c>
      <c r="I209" s="43">
        <f>'Paste cell here'!AE209</f>
        <v>201.8521242371431</v>
      </c>
      <c r="J209" s="44">
        <f>'Paste cell here'!U208+'Paste cell here'!AF209</f>
        <v>233.38530459190093</v>
      </c>
      <c r="K209" s="45">
        <f>'Paste cell here'!AG209</f>
        <v>173.88161537229283</v>
      </c>
      <c r="L209" s="41" t="str">
        <f t="shared" si="11"/>
        <v>NO</v>
      </c>
      <c r="M209" s="1">
        <f>(Sintesi!$C$29*F209*1000)</f>
        <v>23.3</v>
      </c>
      <c r="N209" s="1">
        <f>Sintesi!$C$30*F209*1000</f>
        <v>10.700000000000001</v>
      </c>
      <c r="O209" s="1">
        <f t="shared" si="9"/>
        <v>12.6</v>
      </c>
      <c r="P209" s="1">
        <f>Sintesi!$C$33*G209*1000</f>
        <v>192.75</v>
      </c>
      <c r="Q209" s="1">
        <f>Sintesi!$C$34*G209*1000</f>
        <v>96</v>
      </c>
      <c r="R209" s="1">
        <f t="shared" si="10"/>
        <v>96.75</v>
      </c>
    </row>
    <row r="210" spans="1:18">
      <c r="A210" s="41">
        <v>209</v>
      </c>
      <c r="B210" s="42">
        <f>DATE(Sintesi!$C$4-1,12,31)+A210</f>
        <v>44405</v>
      </c>
      <c r="C210" s="41">
        <f>'Paste cell here'!B210</f>
        <v>0</v>
      </c>
      <c r="D210" s="41">
        <f>'Paste cell here'!I210</f>
        <v>0</v>
      </c>
      <c r="E210" s="1">
        <f>'Paste cell here'!H210</f>
        <v>0.55629113706327515</v>
      </c>
      <c r="F210" s="1">
        <f>Sintesi!$C$5</f>
        <v>0.1</v>
      </c>
      <c r="G210" s="1">
        <f>'Paste cell here'!AA210</f>
        <v>0.75</v>
      </c>
      <c r="H210" s="43">
        <f>'Paste cell here'!U210</f>
        <v>24.975996815154673</v>
      </c>
      <c r="I210" s="43">
        <f>'Paste cell here'!AE210</f>
        <v>198.00011389547231</v>
      </c>
      <c r="J210" s="44">
        <f>'Paste cell here'!U209+'Paste cell here'!AF210</f>
        <v>228.01785390021985</v>
      </c>
      <c r="K210" s="45">
        <f>'Paste cell here'!AG210</f>
        <v>173.46869491349162</v>
      </c>
      <c r="L210" s="41" t="str">
        <f t="shared" si="11"/>
        <v>NO</v>
      </c>
      <c r="M210" s="1">
        <f>(Sintesi!$C$29*F210*1000)</f>
        <v>23.3</v>
      </c>
      <c r="N210" s="1">
        <f>Sintesi!$C$30*F210*1000</f>
        <v>10.700000000000001</v>
      </c>
      <c r="O210" s="1">
        <f t="shared" si="9"/>
        <v>12.6</v>
      </c>
      <c r="P210" s="1">
        <f>Sintesi!$C$33*G210*1000</f>
        <v>192.75</v>
      </c>
      <c r="Q210" s="1">
        <f>Sintesi!$C$34*G210*1000</f>
        <v>96</v>
      </c>
      <c r="R210" s="1">
        <f t="shared" si="10"/>
        <v>96.75</v>
      </c>
    </row>
    <row r="211" spans="1:18">
      <c r="A211" s="41">
        <v>210</v>
      </c>
      <c r="B211" s="42">
        <f>DATE(Sintesi!$C$4-1,12,31)+A211</f>
        <v>44406</v>
      </c>
      <c r="C211" s="41">
        <f>'Paste cell here'!B211</f>
        <v>0</v>
      </c>
      <c r="D211" s="41">
        <f>'Paste cell here'!I211</f>
        <v>0</v>
      </c>
      <c r="E211" s="1">
        <f>'Paste cell here'!H211</f>
        <v>0.54634714225372916</v>
      </c>
      <c r="F211" s="1">
        <f>Sintesi!$C$5</f>
        <v>0.1</v>
      </c>
      <c r="G211" s="1">
        <f>'Paste cell here'!AA211</f>
        <v>0.75</v>
      </c>
      <c r="H211" s="43">
        <f>'Paste cell here'!U211</f>
        <v>24.188730022050926</v>
      </c>
      <c r="I211" s="43">
        <f>'Paste cell here'!AE211</f>
        <v>192.50996434650398</v>
      </c>
      <c r="J211" s="44">
        <f>'Paste cell here'!U210+'Paste cell here'!AF211</f>
        <v>222.97611071062698</v>
      </c>
      <c r="K211" s="45">
        <f>'Paste cell here'!AG211</f>
        <v>174.22985799618831</v>
      </c>
      <c r="L211" s="41" t="str">
        <f t="shared" si="11"/>
        <v>NO</v>
      </c>
      <c r="M211" s="1">
        <f>(Sintesi!$C$29*F211*1000)</f>
        <v>23.3</v>
      </c>
      <c r="N211" s="1">
        <f>Sintesi!$C$30*F211*1000</f>
        <v>10.700000000000001</v>
      </c>
      <c r="O211" s="1">
        <f t="shared" si="9"/>
        <v>12.6</v>
      </c>
      <c r="P211" s="1">
        <f>Sintesi!$C$33*G211*1000</f>
        <v>192.75</v>
      </c>
      <c r="Q211" s="1">
        <f>Sintesi!$C$34*G211*1000</f>
        <v>96</v>
      </c>
      <c r="R211" s="1">
        <f t="shared" si="10"/>
        <v>96.75</v>
      </c>
    </row>
    <row r="212" spans="1:18">
      <c r="A212" s="41">
        <v>211</v>
      </c>
      <c r="B212" s="42">
        <f>DATE(Sintesi!$C$4-1,12,31)+A212</f>
        <v>44407</v>
      </c>
      <c r="C212" s="41">
        <f>'Paste cell here'!B212</f>
        <v>0</v>
      </c>
      <c r="D212" s="41">
        <f>'Paste cell here'!I212</f>
        <v>0</v>
      </c>
      <c r="E212" s="1">
        <f>'Paste cell here'!H212</f>
        <v>0.47697635640800223</v>
      </c>
      <c r="F212" s="1">
        <f>Sintesi!$C$5</f>
        <v>0.1</v>
      </c>
      <c r="G212" s="1">
        <f>'Paste cell here'!AA212</f>
        <v>0.75</v>
      </c>
      <c r="H212" s="43">
        <f>'Paste cell here'!U212</f>
        <v>23.734116675259127</v>
      </c>
      <c r="I212" s="43">
        <f>'Paste cell here'!AE212</f>
        <v>187.7578006147034</v>
      </c>
      <c r="J212" s="44">
        <f>'Paste cell here'!U211+'Paste cell here'!AF212</f>
        <v>216.6986943685549</v>
      </c>
      <c r="K212" s="45">
        <f>'Paste cell here'!AG212</f>
        <v>179.53984479874947</v>
      </c>
      <c r="L212" s="41" t="str">
        <f t="shared" si="11"/>
        <v>NO</v>
      </c>
      <c r="M212" s="1">
        <f>(Sintesi!$C$29*F212*1000)</f>
        <v>23.3</v>
      </c>
      <c r="N212" s="1">
        <f>Sintesi!$C$30*F212*1000</f>
        <v>10.700000000000001</v>
      </c>
      <c r="O212" s="1">
        <f t="shared" si="9"/>
        <v>12.6</v>
      </c>
      <c r="P212" s="1">
        <f>Sintesi!$C$33*G212*1000</f>
        <v>192.75</v>
      </c>
      <c r="Q212" s="1">
        <f>Sintesi!$C$34*G212*1000</f>
        <v>96</v>
      </c>
      <c r="R212" s="1">
        <f t="shared" si="10"/>
        <v>96.75</v>
      </c>
    </row>
    <row r="213" spans="1:18">
      <c r="A213" s="41">
        <v>212</v>
      </c>
      <c r="B213" s="42">
        <f>DATE(Sintesi!$C$4-1,12,31)+A213</f>
        <v>44408</v>
      </c>
      <c r="C213" s="41">
        <f>'Paste cell here'!B213</f>
        <v>0.43999999999999206</v>
      </c>
      <c r="D213" s="41">
        <f>'Paste cell here'!I213</f>
        <v>0</v>
      </c>
      <c r="E213" s="1">
        <f>'Paste cell here'!H213</f>
        <v>0.5076362783342776</v>
      </c>
      <c r="F213" s="1">
        <f>Sintesi!$C$5</f>
        <v>0.1</v>
      </c>
      <c r="G213" s="1">
        <f>'Paste cell here'!AA213</f>
        <v>0.75</v>
      </c>
      <c r="H213" s="43">
        <f>'Paste cell here'!U213</f>
        <v>23.346401725382428</v>
      </c>
      <c r="I213" s="43">
        <f>'Paste cell here'!AE213</f>
        <v>183.03098407932703</v>
      </c>
      <c r="J213" s="44">
        <f>'Paste cell here'!U212+'Paste cell here'!AF213</f>
        <v>211.49191728996252</v>
      </c>
      <c r="K213" s="45">
        <f>'Paste cell here'!AG213</f>
        <v>177.19298107490272</v>
      </c>
      <c r="L213" s="41" t="str">
        <f t="shared" si="11"/>
        <v>NO</v>
      </c>
      <c r="M213" s="1">
        <f>(Sintesi!$C$29*F213*1000)</f>
        <v>23.3</v>
      </c>
      <c r="N213" s="1">
        <f>Sintesi!$C$30*F213*1000</f>
        <v>10.700000000000001</v>
      </c>
      <c r="O213" s="1">
        <f t="shared" si="9"/>
        <v>12.6</v>
      </c>
      <c r="P213" s="1">
        <f>Sintesi!$C$33*G213*1000</f>
        <v>192.75</v>
      </c>
      <c r="Q213" s="1">
        <f>Sintesi!$C$34*G213*1000</f>
        <v>96</v>
      </c>
      <c r="R213" s="1">
        <f t="shared" si="10"/>
        <v>96.75</v>
      </c>
    </row>
    <row r="214" spans="1:18">
      <c r="A214" s="41">
        <v>213</v>
      </c>
      <c r="B214" s="42">
        <f>DATE(Sintesi!$C$4-1,12,31)+A214</f>
        <v>44409</v>
      </c>
      <c r="C214" s="41">
        <f>'Paste cell here'!B214</f>
        <v>10.719999999999906</v>
      </c>
      <c r="D214" s="41">
        <f>'Paste cell here'!I214</f>
        <v>0</v>
      </c>
      <c r="E214" s="1">
        <f>'Paste cell here'!H214</f>
        <v>0.50247995050768168</v>
      </c>
      <c r="F214" s="1">
        <f>Sintesi!$C$5</f>
        <v>0.1</v>
      </c>
      <c r="G214" s="1">
        <f>'Paste cell here'!AA214</f>
        <v>0.75</v>
      </c>
      <c r="H214" s="43">
        <f>'Paste cell here'!U214</f>
        <v>30.218351759334407</v>
      </c>
      <c r="I214" s="43">
        <f>'Paste cell here'!AE214</f>
        <v>181.21588528429575</v>
      </c>
      <c r="J214" s="44">
        <f>'Paste cell here'!U213+'Paste cell here'!AF214</f>
        <v>206.37738580470946</v>
      </c>
      <c r="K214" s="45">
        <f>'Paste cell here'!AG214</f>
        <v>177.58767218838949</v>
      </c>
      <c r="L214" s="41" t="str">
        <f t="shared" si="11"/>
        <v>NO</v>
      </c>
      <c r="M214" s="1">
        <f>(Sintesi!$C$29*F214*1000)</f>
        <v>23.3</v>
      </c>
      <c r="N214" s="1">
        <f>Sintesi!$C$30*F214*1000</f>
        <v>10.700000000000001</v>
      </c>
      <c r="O214" s="1">
        <f t="shared" si="9"/>
        <v>12.6</v>
      </c>
      <c r="P214" s="1">
        <f>Sintesi!$C$33*G214*1000</f>
        <v>192.75</v>
      </c>
      <c r="Q214" s="1">
        <f>Sintesi!$C$34*G214*1000</f>
        <v>96</v>
      </c>
      <c r="R214" s="1">
        <f t="shared" si="10"/>
        <v>96.75</v>
      </c>
    </row>
    <row r="215" spans="1:18">
      <c r="A215" s="41">
        <v>214</v>
      </c>
      <c r="B215" s="42">
        <f>DATE(Sintesi!$C$4-1,12,31)+A215</f>
        <v>44410</v>
      </c>
      <c r="C215" s="41">
        <f>'Paste cell here'!B215</f>
        <v>2.7999999999999901</v>
      </c>
      <c r="D215" s="41">
        <f>'Paste cell here'!I215</f>
        <v>0</v>
      </c>
      <c r="E215" s="1">
        <f>'Paste cell here'!H215</f>
        <v>0.57297864523956277</v>
      </c>
      <c r="F215" s="1">
        <f>Sintesi!$C$5</f>
        <v>0.1</v>
      </c>
      <c r="G215" s="1">
        <f>'Paste cell here'!AA215</f>
        <v>0.75</v>
      </c>
      <c r="H215" s="43">
        <f>'Paste cell here'!U215</f>
        <v>28.928051683590347</v>
      </c>
      <c r="I215" s="43">
        <f>'Paste cell here'!AE215</f>
        <v>179.31339751197066</v>
      </c>
      <c r="J215" s="44">
        <f>'Paste cell here'!U214+'Paste cell here'!AF215</f>
        <v>211.43423704363016</v>
      </c>
      <c r="K215" s="45">
        <f>'Paste cell here'!AG215</f>
        <v>172.19134960013767</v>
      </c>
      <c r="L215" s="41" t="str">
        <f t="shared" si="11"/>
        <v>NO</v>
      </c>
      <c r="M215" s="1">
        <f>(Sintesi!$C$29*F215*1000)</f>
        <v>23.3</v>
      </c>
      <c r="N215" s="1">
        <f>Sintesi!$C$30*F215*1000</f>
        <v>10.700000000000001</v>
      </c>
      <c r="O215" s="1">
        <f t="shared" si="9"/>
        <v>12.6</v>
      </c>
      <c r="P215" s="1">
        <f>Sintesi!$C$33*G215*1000</f>
        <v>192.75</v>
      </c>
      <c r="Q215" s="1">
        <f>Sintesi!$C$34*G215*1000</f>
        <v>96</v>
      </c>
      <c r="R215" s="1">
        <f t="shared" si="10"/>
        <v>96.75</v>
      </c>
    </row>
    <row r="216" spans="1:18">
      <c r="A216" s="41">
        <v>215</v>
      </c>
      <c r="B216" s="42">
        <f>DATE(Sintesi!$C$4-1,12,31)+A216</f>
        <v>44411</v>
      </c>
      <c r="C216" s="41">
        <f>'Paste cell here'!B216</f>
        <v>0</v>
      </c>
      <c r="D216" s="41">
        <f>'Paste cell here'!I216</f>
        <v>0</v>
      </c>
      <c r="E216" s="1">
        <f>'Paste cell here'!H216</f>
        <v>0.52196053249309038</v>
      </c>
      <c r="F216" s="1">
        <f>Sintesi!$C$5</f>
        <v>0.1</v>
      </c>
      <c r="G216" s="1">
        <f>'Paste cell here'!AA216</f>
        <v>0.75</v>
      </c>
      <c r="H216" s="43">
        <f>'Paste cell here'!U216</f>
        <v>27.493535372907647</v>
      </c>
      <c r="I216" s="43">
        <f>'Paste cell here'!AE216</f>
        <v>176.73256233675909</v>
      </c>
      <c r="J216" s="44">
        <f>'Paste cell here'!U215+'Paste cell here'!AF216</f>
        <v>208.24144919556102</v>
      </c>
      <c r="K216" s="45">
        <f>'Paste cell here'!AG216</f>
        <v>176.09653104031639</v>
      </c>
      <c r="L216" s="41" t="str">
        <f t="shared" si="11"/>
        <v>NO</v>
      </c>
      <c r="M216" s="1">
        <f>(Sintesi!$C$29*F216*1000)</f>
        <v>23.3</v>
      </c>
      <c r="N216" s="1">
        <f>Sintesi!$C$30*F216*1000</f>
        <v>10.700000000000001</v>
      </c>
      <c r="O216" s="1">
        <f t="shared" si="9"/>
        <v>12.6</v>
      </c>
      <c r="P216" s="1">
        <f>Sintesi!$C$33*G216*1000</f>
        <v>192.75</v>
      </c>
      <c r="Q216" s="1">
        <f>Sintesi!$C$34*G216*1000</f>
        <v>96</v>
      </c>
      <c r="R216" s="1">
        <f t="shared" si="10"/>
        <v>96.75</v>
      </c>
    </row>
    <row r="217" spans="1:18">
      <c r="A217" s="41">
        <v>216</v>
      </c>
      <c r="B217" s="42">
        <f>DATE(Sintesi!$C$4-1,12,31)+A217</f>
        <v>44412</v>
      </c>
      <c r="C217" s="41">
        <f>'Paste cell here'!B217</f>
        <v>7.9199999999999546</v>
      </c>
      <c r="D217" s="41">
        <f>'Paste cell here'!I217</f>
        <v>0</v>
      </c>
      <c r="E217" s="1">
        <f>'Paste cell here'!H217</f>
        <v>0.54289425141189718</v>
      </c>
      <c r="F217" s="1">
        <f>Sintesi!$C$5</f>
        <v>0.1</v>
      </c>
      <c r="G217" s="1">
        <f>'Paste cell here'!AA217</f>
        <v>0.75</v>
      </c>
      <c r="H217" s="43">
        <f>'Paste cell here'!U217</f>
        <v>31.042920138474322</v>
      </c>
      <c r="I217" s="43">
        <f>'Paste cell here'!AE217</f>
        <v>176.85618593192646</v>
      </c>
      <c r="J217" s="44">
        <f>'Paste cell here'!U216+'Paste cell here'!AF217</f>
        <v>204.22609770966676</v>
      </c>
      <c r="K217" s="45">
        <f>'Paste cell here'!AG217</f>
        <v>174.49415952567631</v>
      </c>
      <c r="L217" s="41" t="str">
        <f t="shared" si="11"/>
        <v>NO</v>
      </c>
      <c r="M217" s="1">
        <f>(Sintesi!$C$29*F217*1000)</f>
        <v>23.3</v>
      </c>
      <c r="N217" s="1">
        <f>Sintesi!$C$30*F217*1000</f>
        <v>10.700000000000001</v>
      </c>
      <c r="O217" s="1">
        <f t="shared" si="9"/>
        <v>12.6</v>
      </c>
      <c r="P217" s="1">
        <f>Sintesi!$C$33*G217*1000</f>
        <v>192.75</v>
      </c>
      <c r="Q217" s="1">
        <f>Sintesi!$C$34*G217*1000</f>
        <v>96</v>
      </c>
      <c r="R217" s="1">
        <f t="shared" si="10"/>
        <v>96.75</v>
      </c>
    </row>
    <row r="218" spans="1:18">
      <c r="A218" s="41">
        <v>217</v>
      </c>
      <c r="B218" s="42">
        <f>DATE(Sintesi!$C$4-1,12,31)+A218</f>
        <v>44413</v>
      </c>
      <c r="C218" s="41">
        <f>'Paste cell here'!B218</f>
        <v>0.3199999999999904</v>
      </c>
      <c r="D218" s="41">
        <f>'Paste cell here'!I218</f>
        <v>0</v>
      </c>
      <c r="E218" s="1">
        <f>'Paste cell here'!H218</f>
        <v>0.61779443793046707</v>
      </c>
      <c r="F218" s="1">
        <f>Sintesi!$C$5</f>
        <v>0.1</v>
      </c>
      <c r="G218" s="1">
        <f>'Paste cell here'!AA218</f>
        <v>0.75</v>
      </c>
      <c r="H218" s="43">
        <f>'Paste cell here'!U218</f>
        <v>28.571216116305497</v>
      </c>
      <c r="I218" s="43">
        <f>'Paste cell here'!AE218</f>
        <v>173.17449013934581</v>
      </c>
      <c r="J218" s="44">
        <f>'Paste cell here'!U217+'Paste cell here'!AF218</f>
        <v>207.89910607040079</v>
      </c>
      <c r="K218" s="45">
        <f>'Paste cell here'!AG218</f>
        <v>168.76092474861238</v>
      </c>
      <c r="L218" s="41" t="str">
        <f t="shared" si="11"/>
        <v>NO</v>
      </c>
      <c r="M218" s="1">
        <f>(Sintesi!$C$29*F218*1000)</f>
        <v>23.3</v>
      </c>
      <c r="N218" s="1">
        <f>Sintesi!$C$30*F218*1000</f>
        <v>10.700000000000001</v>
      </c>
      <c r="O218" s="1">
        <f t="shared" si="9"/>
        <v>12.6</v>
      </c>
      <c r="P218" s="1">
        <f>Sintesi!$C$33*G218*1000</f>
        <v>192.75</v>
      </c>
      <c r="Q218" s="1">
        <f>Sintesi!$C$34*G218*1000</f>
        <v>96</v>
      </c>
      <c r="R218" s="1">
        <f t="shared" si="10"/>
        <v>96.75</v>
      </c>
    </row>
    <row r="219" spans="1:18">
      <c r="A219" s="41">
        <v>218</v>
      </c>
      <c r="B219" s="42">
        <f>DATE(Sintesi!$C$4-1,12,31)+A219</f>
        <v>44414</v>
      </c>
      <c r="C219" s="41">
        <f>'Paste cell here'!B219</f>
        <v>0</v>
      </c>
      <c r="D219" s="41">
        <f>'Paste cell here'!I219</f>
        <v>0</v>
      </c>
      <c r="E219" s="1">
        <f>'Paste cell here'!H219</f>
        <v>0.45493928872649364</v>
      </c>
      <c r="F219" s="1">
        <f>Sintesi!$C$5</f>
        <v>0.1</v>
      </c>
      <c r="G219" s="1">
        <f>'Paste cell here'!AA219</f>
        <v>0.75</v>
      </c>
      <c r="H219" s="43">
        <f>'Paste cell here'!U219</f>
        <v>27.32957333906705</v>
      </c>
      <c r="I219" s="43">
        <f>'Paste cell here'!AE219</f>
        <v>168.65299590235588</v>
      </c>
      <c r="J219" s="44">
        <f>'Paste cell here'!U218+'Paste cell here'!AF219</f>
        <v>201.7457062556513</v>
      </c>
      <c r="K219" s="45">
        <f>'Paste cell here'!AG219</f>
        <v>181.22667214443055</v>
      </c>
      <c r="L219" s="41" t="str">
        <f t="shared" si="11"/>
        <v>NO</v>
      </c>
      <c r="M219" s="1">
        <f>(Sintesi!$C$29*F219*1000)</f>
        <v>23.3</v>
      </c>
      <c r="N219" s="1">
        <f>Sintesi!$C$30*F219*1000</f>
        <v>10.700000000000001</v>
      </c>
      <c r="O219" s="1">
        <f t="shared" si="9"/>
        <v>12.6</v>
      </c>
      <c r="P219" s="1">
        <f>Sintesi!$C$33*G219*1000</f>
        <v>192.75</v>
      </c>
      <c r="Q219" s="1">
        <f>Sintesi!$C$34*G219*1000</f>
        <v>96</v>
      </c>
      <c r="R219" s="1">
        <f t="shared" si="10"/>
        <v>96.75</v>
      </c>
    </row>
    <row r="220" spans="1:18">
      <c r="A220" s="41">
        <v>219</v>
      </c>
      <c r="B220" s="42">
        <f>DATE(Sintesi!$C$4-1,12,31)+A220</f>
        <v>44415</v>
      </c>
      <c r="C220" s="41">
        <f>'Paste cell here'!B220</f>
        <v>0</v>
      </c>
      <c r="D220" s="41">
        <f>'Paste cell here'!I220</f>
        <v>0</v>
      </c>
      <c r="E220" s="1">
        <f>'Paste cell here'!H220</f>
        <v>0.47103890901877199</v>
      </c>
      <c r="F220" s="1">
        <f>Sintesi!$C$5</f>
        <v>0.1</v>
      </c>
      <c r="G220" s="1">
        <f>'Paste cell here'!AA220</f>
        <v>0.75</v>
      </c>
      <c r="H220" s="43">
        <f>'Paste cell here'!U220</f>
        <v>26.664964573314801</v>
      </c>
      <c r="I220" s="43">
        <f>'Paste cell here'!AE220</f>
        <v>165.75612310385696</v>
      </c>
      <c r="J220" s="44">
        <f>'Paste cell here'!U219+'Paste cell here'!AF220</f>
        <v>195.98256924142294</v>
      </c>
      <c r="K220" s="45">
        <f>'Paste cell here'!AG220</f>
        <v>179.99432670915809</v>
      </c>
      <c r="L220" s="41" t="str">
        <f t="shared" si="11"/>
        <v>NO</v>
      </c>
      <c r="M220" s="1">
        <f>(Sintesi!$C$29*F220*1000)</f>
        <v>23.3</v>
      </c>
      <c r="N220" s="1">
        <f>Sintesi!$C$30*F220*1000</f>
        <v>10.700000000000001</v>
      </c>
      <c r="O220" s="1">
        <f t="shared" si="9"/>
        <v>12.6</v>
      </c>
      <c r="P220" s="1">
        <f>Sintesi!$C$33*G220*1000</f>
        <v>192.75</v>
      </c>
      <c r="Q220" s="1">
        <f>Sintesi!$C$34*G220*1000</f>
        <v>96</v>
      </c>
      <c r="R220" s="1">
        <f t="shared" si="10"/>
        <v>96.75</v>
      </c>
    </row>
    <row r="221" spans="1:18">
      <c r="A221" s="41">
        <v>220</v>
      </c>
      <c r="B221" s="42">
        <f>DATE(Sintesi!$C$4-1,12,31)+A221</f>
        <v>44416</v>
      </c>
      <c r="C221" s="41">
        <f>'Paste cell here'!B221</f>
        <v>0</v>
      </c>
      <c r="D221" s="41">
        <f>'Paste cell here'!I221</f>
        <v>0</v>
      </c>
      <c r="E221" s="1">
        <f>'Paste cell here'!H221</f>
        <v>0.55861202816839972</v>
      </c>
      <c r="F221" s="1">
        <f>Sintesi!$C$5</f>
        <v>0.1</v>
      </c>
      <c r="G221" s="1">
        <f>'Paste cell here'!AA221</f>
        <v>0.75</v>
      </c>
      <c r="H221" s="43">
        <f>'Paste cell here'!U221</f>
        <v>26.058893795032517</v>
      </c>
      <c r="I221" s="43">
        <f>'Paste cell here'!AE221</f>
        <v>161.7088006376452</v>
      </c>
      <c r="J221" s="44">
        <f>'Paste cell here'!U220+'Paste cell here'!AF221</f>
        <v>192.42108767717176</v>
      </c>
      <c r="K221" s="45">
        <f>'Paste cell here'!AG221</f>
        <v>173.29104230384985</v>
      </c>
      <c r="L221" s="41" t="str">
        <f t="shared" si="11"/>
        <v>NO</v>
      </c>
      <c r="M221" s="1">
        <f>(Sintesi!$C$29*F221*1000)</f>
        <v>23.3</v>
      </c>
      <c r="N221" s="1">
        <f>Sintesi!$C$30*F221*1000</f>
        <v>10.700000000000001</v>
      </c>
      <c r="O221" s="1">
        <f t="shared" si="9"/>
        <v>12.6</v>
      </c>
      <c r="P221" s="1">
        <f>Sintesi!$C$33*G221*1000</f>
        <v>192.75</v>
      </c>
      <c r="Q221" s="1">
        <f>Sintesi!$C$34*G221*1000</f>
        <v>96</v>
      </c>
      <c r="R221" s="1">
        <f t="shared" si="10"/>
        <v>96.75</v>
      </c>
    </row>
    <row r="222" spans="1:18">
      <c r="A222" s="41">
        <v>221</v>
      </c>
      <c r="B222" s="42">
        <f>DATE(Sintesi!$C$4-1,12,31)+A222</f>
        <v>44417</v>
      </c>
      <c r="C222" s="41">
        <f>'Paste cell here'!B222</f>
        <v>0</v>
      </c>
      <c r="D222" s="41">
        <f>'Paste cell here'!I222</f>
        <v>0</v>
      </c>
      <c r="E222" s="1">
        <f>'Paste cell here'!H222</f>
        <v>0.51462723997276261</v>
      </c>
      <c r="F222" s="1">
        <f>Sintesi!$C$5</f>
        <v>0.1</v>
      </c>
      <c r="G222" s="1">
        <f>'Paste cell here'!AA222</f>
        <v>0.75</v>
      </c>
      <c r="H222" s="43">
        <f>'Paste cell here'!U222</f>
        <v>25.506570658660671</v>
      </c>
      <c r="I222" s="43">
        <f>'Paste cell here'!AE222</f>
        <v>156.89893377823927</v>
      </c>
      <c r="J222" s="44">
        <f>'Paste cell here'!U221+'Paste cell here'!AF222</f>
        <v>187.76769443267773</v>
      </c>
      <c r="K222" s="45">
        <f>'Paste cell here'!AG222</f>
        <v>176.65785791628491</v>
      </c>
      <c r="L222" s="41" t="str">
        <f t="shared" si="11"/>
        <v>NO</v>
      </c>
      <c r="M222" s="1">
        <f>(Sintesi!$C$29*F222*1000)</f>
        <v>23.3</v>
      </c>
      <c r="N222" s="1">
        <f>Sintesi!$C$30*F222*1000</f>
        <v>10.700000000000001</v>
      </c>
      <c r="O222" s="1">
        <f t="shared" si="9"/>
        <v>12.6</v>
      </c>
      <c r="P222" s="1">
        <f>Sintesi!$C$33*G222*1000</f>
        <v>192.75</v>
      </c>
      <c r="Q222" s="1">
        <f>Sintesi!$C$34*G222*1000</f>
        <v>96</v>
      </c>
      <c r="R222" s="1">
        <f t="shared" si="10"/>
        <v>96.75</v>
      </c>
    </row>
    <row r="223" spans="1:18">
      <c r="A223" s="41">
        <v>222</v>
      </c>
      <c r="B223" s="42">
        <f>DATE(Sintesi!$C$4-1,12,31)+A223</f>
        <v>44418</v>
      </c>
      <c r="C223" s="41">
        <f>'Paste cell here'!B223</f>
        <v>0</v>
      </c>
      <c r="D223" s="41">
        <f>'Paste cell here'!I223</f>
        <v>0</v>
      </c>
      <c r="E223" s="1">
        <f>'Paste cell here'!H223</f>
        <v>0.4860082176544443</v>
      </c>
      <c r="F223" s="1">
        <f>Sintesi!$C$5</f>
        <v>0.1</v>
      </c>
      <c r="G223" s="1">
        <f>'Paste cell here'!AA223</f>
        <v>0.75</v>
      </c>
      <c r="H223" s="43">
        <f>'Paste cell here'!U223</f>
        <v>25.026708815384367</v>
      </c>
      <c r="I223" s="43">
        <f>'Paste cell here'!AE223</f>
        <v>152.06688952203118</v>
      </c>
      <c r="J223" s="44">
        <f>'Paste cell here'!U222+'Paste cell here'!AF223</f>
        <v>182.40550443689995</v>
      </c>
      <c r="K223" s="45">
        <f>'Paste cell here'!AG223</f>
        <v>178.84850097964059</v>
      </c>
      <c r="L223" s="41" t="str">
        <f t="shared" si="11"/>
        <v>NO</v>
      </c>
      <c r="M223" s="1">
        <f>(Sintesi!$C$29*F223*1000)</f>
        <v>23.3</v>
      </c>
      <c r="N223" s="1">
        <f>Sintesi!$C$30*F223*1000</f>
        <v>10.700000000000001</v>
      </c>
      <c r="O223" s="1">
        <f t="shared" si="9"/>
        <v>12.6</v>
      </c>
      <c r="P223" s="1">
        <f>Sintesi!$C$33*G223*1000</f>
        <v>192.75</v>
      </c>
      <c r="Q223" s="1">
        <f>Sintesi!$C$34*G223*1000</f>
        <v>96</v>
      </c>
      <c r="R223" s="1">
        <f t="shared" si="10"/>
        <v>96.75</v>
      </c>
    </row>
    <row r="224" spans="1:18">
      <c r="A224" s="41">
        <v>223</v>
      </c>
      <c r="B224" s="42">
        <f>DATE(Sintesi!$C$4-1,12,31)+A224</f>
        <v>44419</v>
      </c>
      <c r="C224" s="41">
        <f>'Paste cell here'!B224</f>
        <v>0</v>
      </c>
      <c r="D224" s="41">
        <f>'Paste cell here'!I224</f>
        <v>54</v>
      </c>
      <c r="E224" s="1">
        <f>'Paste cell here'!H224</f>
        <v>0.48782873788368636</v>
      </c>
      <c r="F224" s="1">
        <f>Sintesi!$C$5</f>
        <v>0.1</v>
      </c>
      <c r="G224" s="1">
        <f>'Paste cell here'!AA224</f>
        <v>0.75</v>
      </c>
      <c r="H224" s="43">
        <f>'Paste cell here'!U224</f>
        <v>27.577060460242166</v>
      </c>
      <c r="I224" s="43">
        <f>'Paste cell here'!AE224</f>
        <v>197.16407198655449</v>
      </c>
      <c r="J224" s="44">
        <f>'Paste cell here'!U223+'Paste cell here'!AF224</f>
        <v>177.09359833741553</v>
      </c>
      <c r="K224" s="45">
        <f>'Paste cell here'!AG224</f>
        <v>178.70914925869323</v>
      </c>
      <c r="L224" s="41" t="str">
        <f t="shared" si="11"/>
        <v>YES</v>
      </c>
      <c r="M224" s="1">
        <f>(Sintesi!$C$29*F224*1000)</f>
        <v>23.3</v>
      </c>
      <c r="N224" s="1">
        <f>Sintesi!$C$30*F224*1000</f>
        <v>10.700000000000001</v>
      </c>
      <c r="O224" s="1">
        <f t="shared" si="9"/>
        <v>12.6</v>
      </c>
      <c r="P224" s="1">
        <f>Sintesi!$C$33*G224*1000</f>
        <v>192.75</v>
      </c>
      <c r="Q224" s="1">
        <f>Sintesi!$C$34*G224*1000</f>
        <v>96</v>
      </c>
      <c r="R224" s="1">
        <f t="shared" si="10"/>
        <v>96.75</v>
      </c>
    </row>
    <row r="225" spans="1:18">
      <c r="A225" s="41">
        <v>224</v>
      </c>
      <c r="B225" s="42">
        <f>DATE(Sintesi!$C$4-1,12,31)+A225</f>
        <v>44420</v>
      </c>
      <c r="C225" s="41">
        <f>'Paste cell here'!B225</f>
        <v>0</v>
      </c>
      <c r="D225" s="41">
        <f>'Paste cell here'!I225</f>
        <v>0</v>
      </c>
      <c r="E225" s="1">
        <f>'Paste cell here'!H225</f>
        <v>0.47835819738935581</v>
      </c>
      <c r="F225" s="1">
        <f>Sintesi!$C$5</f>
        <v>0.1</v>
      </c>
      <c r="G225" s="1">
        <f>'Paste cell here'!AA225</f>
        <v>0.75</v>
      </c>
      <c r="H225" s="43">
        <f>'Paste cell here'!U225</f>
        <v>24.898938136649033</v>
      </c>
      <c r="I225" s="43">
        <f>'Paste cell here'!AE225</f>
        <v>192.60504402405817</v>
      </c>
      <c r="J225" s="44">
        <f>'Paste cell here'!U224+'Paste cell here'!AF225</f>
        <v>224.74113244679666</v>
      </c>
      <c r="K225" s="45">
        <f>'Paste cell here'!AG225</f>
        <v>179.43407178083174</v>
      </c>
      <c r="L225" s="41" t="str">
        <f t="shared" si="11"/>
        <v>NO</v>
      </c>
      <c r="M225" s="1">
        <f>(Sintesi!$C$29*F225*1000)</f>
        <v>23.3</v>
      </c>
      <c r="N225" s="1">
        <f>Sintesi!$C$30*F225*1000</f>
        <v>10.700000000000001</v>
      </c>
      <c r="O225" s="1">
        <f t="shared" si="9"/>
        <v>12.6</v>
      </c>
      <c r="P225" s="1">
        <f>Sintesi!$C$33*G225*1000</f>
        <v>192.75</v>
      </c>
      <c r="Q225" s="1">
        <f>Sintesi!$C$34*G225*1000</f>
        <v>96</v>
      </c>
      <c r="R225" s="1">
        <f t="shared" si="10"/>
        <v>96.75</v>
      </c>
    </row>
    <row r="226" spans="1:18">
      <c r="A226" s="41">
        <v>225</v>
      </c>
      <c r="B226" s="42">
        <f>DATE(Sintesi!$C$4-1,12,31)+A226</f>
        <v>44421</v>
      </c>
      <c r="C226" s="41">
        <f>'Paste cell here'!B226</f>
        <v>0</v>
      </c>
      <c r="D226" s="41">
        <f>'Paste cell here'!I226</f>
        <v>0</v>
      </c>
      <c r="E226" s="1">
        <f>'Paste cell here'!H226</f>
        <v>0.4667768243777235</v>
      </c>
      <c r="F226" s="1">
        <f>Sintesi!$C$5</f>
        <v>0.1</v>
      </c>
      <c r="G226" s="1">
        <f>'Paste cell here'!AA226</f>
        <v>0.75</v>
      </c>
      <c r="H226" s="43">
        <f>'Paste cell here'!U226</f>
        <v>23.854258028911953</v>
      </c>
      <c r="I226" s="43">
        <f>'Paste cell here'!AE226</f>
        <v>187.15102974663844</v>
      </c>
      <c r="J226" s="44">
        <f>'Paste cell here'!U225+'Paste cell here'!AF226</f>
        <v>217.50398216070718</v>
      </c>
      <c r="K226" s="45">
        <f>'Paste cell here'!AG226</f>
        <v>180.32056797800718</v>
      </c>
      <c r="L226" s="41" t="str">
        <f t="shared" si="11"/>
        <v>NO</v>
      </c>
      <c r="M226" s="1">
        <f>(Sintesi!$C$29*F226*1000)</f>
        <v>23.3</v>
      </c>
      <c r="N226" s="1">
        <f>Sintesi!$C$30*F226*1000</f>
        <v>10.700000000000001</v>
      </c>
      <c r="O226" s="1">
        <f t="shared" si="9"/>
        <v>12.6</v>
      </c>
      <c r="P226" s="1">
        <f>Sintesi!$C$33*G226*1000</f>
        <v>192.75</v>
      </c>
      <c r="Q226" s="1">
        <f>Sintesi!$C$34*G226*1000</f>
        <v>96</v>
      </c>
      <c r="R226" s="1">
        <f t="shared" si="10"/>
        <v>96.75</v>
      </c>
    </row>
    <row r="227" spans="1:18">
      <c r="A227" s="41">
        <v>226</v>
      </c>
      <c r="B227" s="42">
        <f>DATE(Sintesi!$C$4-1,12,31)+A227</f>
        <v>44422</v>
      </c>
      <c r="C227" s="41">
        <f>'Paste cell here'!B227</f>
        <v>0</v>
      </c>
      <c r="D227" s="41">
        <f>'Paste cell here'!I227</f>
        <v>0</v>
      </c>
      <c r="E227" s="1">
        <f>'Paste cell here'!H227</f>
        <v>0.47038824742922297</v>
      </c>
      <c r="F227" s="1">
        <f>Sintesi!$C$5</f>
        <v>0.1</v>
      </c>
      <c r="G227" s="1">
        <f>'Paste cell here'!AA227</f>
        <v>0.75</v>
      </c>
      <c r="H227" s="43">
        <f>'Paste cell here'!U227</f>
        <v>23.196462002105498</v>
      </c>
      <c r="I227" s="43">
        <f>'Paste cell here'!AE227</f>
        <v>181.73574622296638</v>
      </c>
      <c r="J227" s="44">
        <f>'Paste cell here'!U226+'Paste cell here'!AF227</f>
        <v>211.00528777555039</v>
      </c>
      <c r="K227" s="45">
        <f>'Paste cell here'!AG227</f>
        <v>180.04413160053014</v>
      </c>
      <c r="L227" s="41" t="str">
        <f t="shared" si="11"/>
        <v>NO</v>
      </c>
      <c r="M227" s="1">
        <f>(Sintesi!$C$29*F227*1000)</f>
        <v>23.3</v>
      </c>
      <c r="N227" s="1">
        <f>Sintesi!$C$30*F227*1000</f>
        <v>10.700000000000001</v>
      </c>
      <c r="O227" s="1">
        <f t="shared" si="9"/>
        <v>12.6</v>
      </c>
      <c r="P227" s="1">
        <f>Sintesi!$C$33*G227*1000</f>
        <v>192.75</v>
      </c>
      <c r="Q227" s="1">
        <f>Sintesi!$C$34*G227*1000</f>
        <v>96</v>
      </c>
      <c r="R227" s="1">
        <f t="shared" si="10"/>
        <v>96.75</v>
      </c>
    </row>
    <row r="228" spans="1:18">
      <c r="A228" s="41">
        <v>227</v>
      </c>
      <c r="B228" s="42">
        <f>DATE(Sintesi!$C$4-1,12,31)+A228</f>
        <v>44423</v>
      </c>
      <c r="C228" s="41">
        <f>'Paste cell here'!B228</f>
        <v>0</v>
      </c>
      <c r="D228" s="41">
        <f>'Paste cell here'!I228</f>
        <v>0</v>
      </c>
      <c r="E228" s="1">
        <f>'Paste cell here'!H228</f>
        <v>0.47308726740866874</v>
      </c>
      <c r="F228" s="1">
        <f>Sintesi!$C$5</f>
        <v>0.1</v>
      </c>
      <c r="G228" s="1">
        <f>'Paste cell here'!AA228</f>
        <v>0.75</v>
      </c>
      <c r="H228" s="43">
        <f>'Paste cell here'!U228</f>
        <v>22.645201303225335</v>
      </c>
      <c r="I228" s="43">
        <f>'Paste cell here'!AE228</f>
        <v>176.14882352820251</v>
      </c>
      <c r="J228" s="44">
        <f>'Paste cell here'!U227+'Paste cell here'!AF228</f>
        <v>204.93220822507192</v>
      </c>
      <c r="K228" s="45">
        <f>'Paste cell here'!AG228</f>
        <v>179.83753511620347</v>
      </c>
      <c r="L228" s="41" t="str">
        <f t="shared" si="11"/>
        <v>NO</v>
      </c>
      <c r="M228" s="1">
        <f>(Sintesi!$C$29*F228*1000)</f>
        <v>23.3</v>
      </c>
      <c r="N228" s="1">
        <f>Sintesi!$C$30*F228*1000</f>
        <v>10.700000000000001</v>
      </c>
      <c r="O228" s="1">
        <f t="shared" si="9"/>
        <v>12.6</v>
      </c>
      <c r="P228" s="1">
        <f>Sintesi!$C$33*G228*1000</f>
        <v>192.75</v>
      </c>
      <c r="Q228" s="1">
        <f>Sintesi!$C$34*G228*1000</f>
        <v>96</v>
      </c>
      <c r="R228" s="1">
        <f t="shared" si="10"/>
        <v>96.75</v>
      </c>
    </row>
    <row r="229" spans="1:18">
      <c r="A229" s="41">
        <v>228</v>
      </c>
      <c r="B229" s="42">
        <f>DATE(Sintesi!$C$4-1,12,31)+A229</f>
        <v>44424</v>
      </c>
      <c r="C229" s="41">
        <f>'Paste cell here'!B229</f>
        <v>9.2399999999997284</v>
      </c>
      <c r="D229" s="41">
        <f>'Paste cell here'!I229</f>
        <v>0</v>
      </c>
      <c r="E229" s="1">
        <f>'Paste cell here'!H229</f>
        <v>0.46288575807591303</v>
      </c>
      <c r="F229" s="1">
        <f>Sintesi!$C$5</f>
        <v>0.1</v>
      </c>
      <c r="G229" s="1">
        <f>'Paste cell here'!AA229</f>
        <v>0.75</v>
      </c>
      <c r="H229" s="43">
        <f>'Paste cell here'!U229</f>
        <v>28.255319634924529</v>
      </c>
      <c r="I229" s="43">
        <f>'Paste cell here'!AE229</f>
        <v>171.8032919757446</v>
      </c>
      <c r="J229" s="44">
        <f>'Paste cell here'!U228+'Paste cell here'!AF229</f>
        <v>198.79402483142786</v>
      </c>
      <c r="K229" s="45">
        <f>'Paste cell here'!AG229</f>
        <v>180.61840964807922</v>
      </c>
      <c r="L229" s="41" t="str">
        <f t="shared" si="11"/>
        <v>NO</v>
      </c>
      <c r="M229" s="1">
        <f>(Sintesi!$C$29*F229*1000)</f>
        <v>23.3</v>
      </c>
      <c r="N229" s="1">
        <f>Sintesi!$C$30*F229*1000</f>
        <v>10.700000000000001</v>
      </c>
      <c r="O229" s="1">
        <f t="shared" si="9"/>
        <v>12.6</v>
      </c>
      <c r="P229" s="1">
        <f>Sintesi!$C$33*G229*1000</f>
        <v>192.75</v>
      </c>
      <c r="Q229" s="1">
        <f>Sintesi!$C$34*G229*1000</f>
        <v>96</v>
      </c>
      <c r="R229" s="1">
        <f t="shared" si="10"/>
        <v>96.75</v>
      </c>
    </row>
    <row r="230" spans="1:18">
      <c r="A230" s="41">
        <v>229</v>
      </c>
      <c r="B230" s="42">
        <f>DATE(Sintesi!$C$4-1,12,31)+A230</f>
        <v>44425</v>
      </c>
      <c r="C230" s="41">
        <f>'Paste cell here'!B230</f>
        <v>0</v>
      </c>
      <c r="D230" s="41">
        <f>'Paste cell here'!I230</f>
        <v>0</v>
      </c>
      <c r="E230" s="1">
        <f>'Paste cell here'!H230</f>
        <v>0.47132490319870424</v>
      </c>
      <c r="F230" s="1">
        <f>Sintesi!$C$5</f>
        <v>0.1</v>
      </c>
      <c r="G230" s="1">
        <f>'Paste cell here'!AA230</f>
        <v>0.75</v>
      </c>
      <c r="H230" s="43">
        <f>'Paste cell here'!U230</f>
        <v>26.174557905017465</v>
      </c>
      <c r="I230" s="43">
        <f>'Paste cell here'!AE230</f>
        <v>168.01276049304582</v>
      </c>
      <c r="J230" s="44">
        <f>'Paste cell here'!U229+'Paste cell here'!AF230</f>
        <v>200.05861161066915</v>
      </c>
      <c r="K230" s="45">
        <f>'Paste cell here'!AG230</f>
        <v>179.97243528465521</v>
      </c>
      <c r="L230" s="41" t="str">
        <f t="shared" si="11"/>
        <v>NO</v>
      </c>
      <c r="M230" s="1">
        <f>(Sintesi!$C$29*F230*1000)</f>
        <v>23.3</v>
      </c>
      <c r="N230" s="1">
        <f>Sintesi!$C$30*F230*1000</f>
        <v>10.700000000000001</v>
      </c>
      <c r="O230" s="1">
        <f t="shared" si="9"/>
        <v>12.6</v>
      </c>
      <c r="P230" s="1">
        <f>Sintesi!$C$33*G230*1000</f>
        <v>192.75</v>
      </c>
      <c r="Q230" s="1">
        <f>Sintesi!$C$34*G230*1000</f>
        <v>96</v>
      </c>
      <c r="R230" s="1">
        <f t="shared" si="10"/>
        <v>96.75</v>
      </c>
    </row>
    <row r="231" spans="1:18">
      <c r="A231" s="41">
        <v>230</v>
      </c>
      <c r="B231" s="42">
        <f>DATE(Sintesi!$C$4-1,12,31)+A231</f>
        <v>44426</v>
      </c>
      <c r="C231" s="41">
        <f>'Paste cell here'!B231</f>
        <v>0</v>
      </c>
      <c r="D231" s="41">
        <f>'Paste cell here'!I231</f>
        <v>0</v>
      </c>
      <c r="E231" s="1">
        <f>'Paste cell here'!H231</f>
        <v>0.46789165707569391</v>
      </c>
      <c r="F231" s="1">
        <f>Sintesi!$C$5</f>
        <v>0.1</v>
      </c>
      <c r="G231" s="1">
        <f>'Paste cell here'!AA231</f>
        <v>0.75</v>
      </c>
      <c r="H231" s="43">
        <f>'Paste cell here'!U231</f>
        <v>24.898842959414242</v>
      </c>
      <c r="I231" s="43">
        <f>'Paste cell here'!AE231</f>
        <v>163.82813353921827</v>
      </c>
      <c r="J231" s="44">
        <f>'Paste cell here'!U230+'Paste cell here'!AF231</f>
        <v>194.18731839806327</v>
      </c>
      <c r="K231" s="45">
        <f>'Paste cell here'!AG231</f>
        <v>180.23523310914101</v>
      </c>
      <c r="L231" s="41" t="str">
        <f t="shared" si="11"/>
        <v>NO</v>
      </c>
      <c r="M231" s="1">
        <f>(Sintesi!$C$29*F231*1000)</f>
        <v>23.3</v>
      </c>
      <c r="N231" s="1">
        <f>Sintesi!$C$30*F231*1000</f>
        <v>10.700000000000001</v>
      </c>
      <c r="O231" s="1">
        <f t="shared" si="9"/>
        <v>12.6</v>
      </c>
      <c r="P231" s="1">
        <f>Sintesi!$C$33*G231*1000</f>
        <v>192.75</v>
      </c>
      <c r="Q231" s="1">
        <f>Sintesi!$C$34*G231*1000</f>
        <v>96</v>
      </c>
      <c r="R231" s="1">
        <f t="shared" si="10"/>
        <v>96.75</v>
      </c>
    </row>
    <row r="232" spans="1:18">
      <c r="A232" s="41">
        <v>231</v>
      </c>
      <c r="B232" s="42">
        <f>DATE(Sintesi!$C$4-1,12,31)+A232</f>
        <v>44427</v>
      </c>
      <c r="C232" s="41">
        <f>'Paste cell here'!B232</f>
        <v>0</v>
      </c>
      <c r="D232" s="41">
        <f>'Paste cell here'!I232</f>
        <v>0</v>
      </c>
      <c r="E232" s="1">
        <f>'Paste cell here'!H232</f>
        <v>0.48323094134873856</v>
      </c>
      <c r="F232" s="1">
        <f>Sintesi!$C$5</f>
        <v>0.1</v>
      </c>
      <c r="G232" s="1">
        <f>'Paste cell here'!AA232</f>
        <v>0.75</v>
      </c>
      <c r="H232" s="43">
        <f>'Paste cell here'!U232</f>
        <v>23.786934940193316</v>
      </c>
      <c r="I232" s="43">
        <f>'Paste cell here'!AE232</f>
        <v>160.10968582164068</v>
      </c>
      <c r="J232" s="44">
        <f>'Paste cell here'!U231+'Paste cell here'!AF232</f>
        <v>188.72697649863252</v>
      </c>
      <c r="K232" s="45">
        <f>'Paste cell here'!AG232</f>
        <v>179.06108759446082</v>
      </c>
      <c r="L232" s="41" t="str">
        <f t="shared" si="11"/>
        <v>NO</v>
      </c>
      <c r="M232" s="1">
        <f>(Sintesi!$C$29*F232*1000)</f>
        <v>23.3</v>
      </c>
      <c r="N232" s="1">
        <f>Sintesi!$C$30*F232*1000</f>
        <v>10.700000000000001</v>
      </c>
      <c r="O232" s="1">
        <f t="shared" si="9"/>
        <v>12.6</v>
      </c>
      <c r="P232" s="1">
        <f>Sintesi!$C$33*G232*1000</f>
        <v>192.75</v>
      </c>
      <c r="Q232" s="1">
        <f>Sintesi!$C$34*G232*1000</f>
        <v>96</v>
      </c>
      <c r="R232" s="1">
        <f t="shared" si="10"/>
        <v>96.75</v>
      </c>
    </row>
    <row r="233" spans="1:18">
      <c r="A233" s="41">
        <v>232</v>
      </c>
      <c r="B233" s="42">
        <f>DATE(Sintesi!$C$4-1,12,31)+A233</f>
        <v>44428</v>
      </c>
      <c r="C233" s="41">
        <f>'Paste cell here'!B233</f>
        <v>0</v>
      </c>
      <c r="D233" s="41">
        <f>'Paste cell here'!I233</f>
        <v>0</v>
      </c>
      <c r="E233" s="1">
        <f>'Paste cell here'!H233</f>
        <v>0.50778522420601058</v>
      </c>
      <c r="F233" s="1">
        <f>Sintesi!$C$5</f>
        <v>0.1</v>
      </c>
      <c r="G233" s="1">
        <f>'Paste cell here'!AA233</f>
        <v>0.75</v>
      </c>
      <c r="H233" s="43">
        <f>'Paste cell here'!U233</f>
        <v>22.651869629911854</v>
      </c>
      <c r="I233" s="43">
        <f>'Paste cell here'!AE233</f>
        <v>156.46744893740563</v>
      </c>
      <c r="J233" s="44">
        <f>'Paste cell here'!U232+'Paste cell here'!AF233</f>
        <v>183.89662076183399</v>
      </c>
      <c r="K233" s="45">
        <f>'Paste cell here'!AG233</f>
        <v>177.18158001315092</v>
      </c>
      <c r="L233" s="41" t="str">
        <f t="shared" si="11"/>
        <v>NO</v>
      </c>
      <c r="M233" s="1">
        <f>(Sintesi!$C$29*F233*1000)</f>
        <v>23.3</v>
      </c>
      <c r="N233" s="1">
        <f>Sintesi!$C$30*F233*1000</f>
        <v>10.700000000000001</v>
      </c>
      <c r="O233" s="1">
        <f t="shared" si="9"/>
        <v>12.6</v>
      </c>
      <c r="P233" s="1">
        <f>Sintesi!$C$33*G233*1000</f>
        <v>192.75</v>
      </c>
      <c r="Q233" s="1">
        <f>Sintesi!$C$34*G233*1000</f>
        <v>96</v>
      </c>
      <c r="R233" s="1">
        <f t="shared" si="10"/>
        <v>96.75</v>
      </c>
    </row>
    <row r="234" spans="1:18">
      <c r="A234" s="41">
        <v>233</v>
      </c>
      <c r="B234" s="42">
        <f>DATE(Sintesi!$C$4-1,12,31)+A234</f>
        <v>44429</v>
      </c>
      <c r="C234" s="41">
        <f>'Paste cell here'!B234</f>
        <v>0</v>
      </c>
      <c r="D234" s="41">
        <f>'Paste cell here'!I234</f>
        <v>0</v>
      </c>
      <c r="E234" s="1">
        <f>'Paste cell here'!H234</f>
        <v>0.50953845810828569</v>
      </c>
      <c r="F234" s="1">
        <f>Sintesi!$C$5</f>
        <v>0.1</v>
      </c>
      <c r="G234" s="1">
        <f>'Paste cell here'!AA234</f>
        <v>0.75</v>
      </c>
      <c r="H234" s="43">
        <f>'Paste cell here'!U234</f>
        <v>21.337202265495602</v>
      </c>
      <c r="I234" s="43">
        <f>'Paste cell here'!AE234</f>
        <v>152.74882554206366</v>
      </c>
      <c r="J234" s="44">
        <f>'Paste cell here'!U233+'Paste cell here'!AF234</f>
        <v>179.11931856731749</v>
      </c>
      <c r="K234" s="45">
        <f>'Paste cell here'!AG234</f>
        <v>177.04737872410129</v>
      </c>
      <c r="L234" s="41" t="str">
        <f t="shared" si="11"/>
        <v>NO</v>
      </c>
      <c r="M234" s="1">
        <f>(Sintesi!$C$29*F234*1000)</f>
        <v>23.3</v>
      </c>
      <c r="N234" s="1">
        <f>Sintesi!$C$30*F234*1000</f>
        <v>10.700000000000001</v>
      </c>
      <c r="O234" s="1">
        <f t="shared" si="9"/>
        <v>12.6</v>
      </c>
      <c r="P234" s="1">
        <f>Sintesi!$C$33*G234*1000</f>
        <v>192.75</v>
      </c>
      <c r="Q234" s="1">
        <f>Sintesi!$C$34*G234*1000</f>
        <v>96</v>
      </c>
      <c r="R234" s="1">
        <f t="shared" si="10"/>
        <v>96.75</v>
      </c>
    </row>
    <row r="235" spans="1:18">
      <c r="A235" s="41">
        <v>234</v>
      </c>
      <c r="B235" s="42">
        <f>DATE(Sintesi!$C$4-1,12,31)+A235</f>
        <v>44430</v>
      </c>
      <c r="C235" s="41">
        <f>'Paste cell here'!B235</f>
        <v>0</v>
      </c>
      <c r="D235" s="41">
        <f>'Paste cell here'!I235</f>
        <v>54</v>
      </c>
      <c r="E235" s="1">
        <f>'Paste cell here'!H235</f>
        <v>0.49906977013600134</v>
      </c>
      <c r="F235" s="1">
        <f>Sintesi!$C$5</f>
        <v>0.1</v>
      </c>
      <c r="G235" s="1">
        <f>'Paste cell here'!AA235</f>
        <v>0.75</v>
      </c>
      <c r="H235" s="43">
        <f>'Paste cell here'!U235</f>
        <v>27.535053181415609</v>
      </c>
      <c r="I235" s="43">
        <f>'Paste cell here'!AE235</f>
        <v>195.01337506669364</v>
      </c>
      <c r="J235" s="44">
        <f>'Paste cell here'!U234+'Paste cell here'!AF235</f>
        <v>174.08602780755925</v>
      </c>
      <c r="K235" s="45">
        <f>'Paste cell here'!AG235</f>
        <v>177.84870444493978</v>
      </c>
      <c r="L235" s="41" t="str">
        <f t="shared" si="11"/>
        <v>YES</v>
      </c>
      <c r="M235" s="1">
        <f>(Sintesi!$C$29*F235*1000)</f>
        <v>23.3</v>
      </c>
      <c r="N235" s="1">
        <f>Sintesi!$C$30*F235*1000</f>
        <v>10.700000000000001</v>
      </c>
      <c r="O235" s="1">
        <f t="shared" si="9"/>
        <v>12.6</v>
      </c>
      <c r="P235" s="1">
        <f>Sintesi!$C$33*G235*1000</f>
        <v>192.75</v>
      </c>
      <c r="Q235" s="1">
        <f>Sintesi!$C$34*G235*1000</f>
        <v>96</v>
      </c>
      <c r="R235" s="1">
        <f t="shared" si="10"/>
        <v>96.75</v>
      </c>
    </row>
    <row r="236" spans="1:18">
      <c r="A236" s="41">
        <v>235</v>
      </c>
      <c r="B236" s="42">
        <f>DATE(Sintesi!$C$4-1,12,31)+A236</f>
        <v>44431</v>
      </c>
      <c r="C236" s="41">
        <f>'Paste cell here'!B236</f>
        <v>6.7199999999999767</v>
      </c>
      <c r="D236" s="41">
        <f>'Paste cell here'!I236</f>
        <v>0</v>
      </c>
      <c r="E236" s="1">
        <f>'Paste cell here'!H236</f>
        <v>0.5064398255371062</v>
      </c>
      <c r="F236" s="1">
        <f>Sintesi!$C$5</f>
        <v>0.1</v>
      </c>
      <c r="G236" s="1">
        <f>'Paste cell here'!AA236</f>
        <v>0.75</v>
      </c>
      <c r="H236" s="43">
        <f>'Paste cell here'!U236</f>
        <v>26.98199248775968</v>
      </c>
      <c r="I236" s="43">
        <f>'Paste cell here'!AE236</f>
        <v>194.12761293612778</v>
      </c>
      <c r="J236" s="44">
        <f>'Paste cell here'!U235+'Paste cell here'!AF236</f>
        <v>222.54842824810925</v>
      </c>
      <c r="K236" s="45">
        <f>'Paste cell here'!AG236</f>
        <v>177.28456355426221</v>
      </c>
      <c r="L236" s="41" t="str">
        <f t="shared" si="11"/>
        <v>NO</v>
      </c>
      <c r="M236" s="1">
        <f>(Sintesi!$C$29*F236*1000)</f>
        <v>23.3</v>
      </c>
      <c r="N236" s="1">
        <f>Sintesi!$C$30*F236*1000</f>
        <v>10.700000000000001</v>
      </c>
      <c r="O236" s="1">
        <f t="shared" si="9"/>
        <v>12.6</v>
      </c>
      <c r="P236" s="1">
        <f>Sintesi!$C$33*G236*1000</f>
        <v>192.75</v>
      </c>
      <c r="Q236" s="1">
        <f>Sintesi!$C$34*G236*1000</f>
        <v>96</v>
      </c>
      <c r="R236" s="1">
        <f t="shared" si="10"/>
        <v>96.75</v>
      </c>
    </row>
    <row r="237" spans="1:18">
      <c r="A237" s="41">
        <v>236</v>
      </c>
      <c r="B237" s="42">
        <f>DATE(Sintesi!$C$4-1,12,31)+A237</f>
        <v>44432</v>
      </c>
      <c r="C237" s="41">
        <f>'Paste cell here'!B237</f>
        <v>7.9999999999999724E-2</v>
      </c>
      <c r="D237" s="41">
        <f>'Paste cell here'!I237</f>
        <v>0</v>
      </c>
      <c r="E237" s="1">
        <f>'Paste cell here'!H237</f>
        <v>0.50322779486555658</v>
      </c>
      <c r="F237" s="1">
        <f>Sintesi!$C$5</f>
        <v>0.1</v>
      </c>
      <c r="G237" s="1">
        <f>'Paste cell here'!AA237</f>
        <v>0.75</v>
      </c>
      <c r="H237" s="43">
        <f>'Paste cell here'!U237</f>
        <v>24.013962063634924</v>
      </c>
      <c r="I237" s="43">
        <f>'Paste cell here'!AE237</f>
        <v>191.88847879414368</v>
      </c>
      <c r="J237" s="44">
        <f>'Paste cell here'!U236+'Paste cell here'!AF237</f>
        <v>221.10960542388747</v>
      </c>
      <c r="K237" s="45">
        <f>'Paste cell here'!AG237</f>
        <v>177.53042844201599</v>
      </c>
      <c r="L237" s="41" t="str">
        <f t="shared" si="11"/>
        <v>NO</v>
      </c>
      <c r="M237" s="1">
        <f>(Sintesi!$C$29*F237*1000)</f>
        <v>23.3</v>
      </c>
      <c r="N237" s="1">
        <f>Sintesi!$C$30*F237*1000</f>
        <v>10.700000000000001</v>
      </c>
      <c r="O237" s="1">
        <f t="shared" si="9"/>
        <v>12.6</v>
      </c>
      <c r="P237" s="1">
        <f>Sintesi!$C$33*G237*1000</f>
        <v>192.75</v>
      </c>
      <c r="Q237" s="1">
        <f>Sintesi!$C$34*G237*1000</f>
        <v>96</v>
      </c>
      <c r="R237" s="1">
        <f t="shared" si="10"/>
        <v>96.75</v>
      </c>
    </row>
    <row r="238" spans="1:18">
      <c r="A238" s="41">
        <v>237</v>
      </c>
      <c r="B238" s="42">
        <f>DATE(Sintesi!$C$4-1,12,31)+A238</f>
        <v>44433</v>
      </c>
      <c r="C238" s="41">
        <f>'Paste cell here'!B238</f>
        <v>0</v>
      </c>
      <c r="D238" s="41">
        <f>'Paste cell here'!I238</f>
        <v>0</v>
      </c>
      <c r="E238" s="1">
        <f>'Paste cell here'!H238</f>
        <v>0.52965357053291984</v>
      </c>
      <c r="F238" s="1">
        <f>Sintesi!$C$5</f>
        <v>0.1</v>
      </c>
      <c r="G238" s="1">
        <f>'Paste cell here'!AA238</f>
        <v>0.75</v>
      </c>
      <c r="H238" s="43">
        <f>'Paste cell here'!U238</f>
        <v>21.935380910583408</v>
      </c>
      <c r="I238" s="43">
        <f>'Paste cell here'!AE238</f>
        <v>188.98989943785418</v>
      </c>
      <c r="J238" s="44">
        <f>'Paste cell here'!U237+'Paste cell here'!AF238</f>
        <v>215.9024408577786</v>
      </c>
      <c r="K238" s="45">
        <f>'Paste cell here'!AG238</f>
        <v>175.50766744355766</v>
      </c>
      <c r="L238" s="41" t="str">
        <f t="shared" si="11"/>
        <v>NO</v>
      </c>
      <c r="M238" s="1">
        <f>(Sintesi!$C$29*F238*1000)</f>
        <v>23.3</v>
      </c>
      <c r="N238" s="1">
        <f>Sintesi!$C$30*F238*1000</f>
        <v>10.700000000000001</v>
      </c>
      <c r="O238" s="1">
        <f t="shared" si="9"/>
        <v>12.6</v>
      </c>
      <c r="P238" s="1">
        <f>Sintesi!$C$33*G238*1000</f>
        <v>192.75</v>
      </c>
      <c r="Q238" s="1">
        <f>Sintesi!$C$34*G238*1000</f>
        <v>96</v>
      </c>
      <c r="R238" s="1">
        <f t="shared" si="10"/>
        <v>96.75</v>
      </c>
    </row>
    <row r="239" spans="1:18">
      <c r="A239" s="41">
        <v>238</v>
      </c>
      <c r="B239" s="42">
        <f>DATE(Sintesi!$C$4-1,12,31)+A239</f>
        <v>44434</v>
      </c>
      <c r="C239" s="41">
        <f>'Paste cell here'!B239</f>
        <v>0</v>
      </c>
      <c r="D239" s="41">
        <f>'Paste cell here'!I239</f>
        <v>0</v>
      </c>
      <c r="E239" s="1">
        <f>'Paste cell here'!H239</f>
        <v>0.52565128376378911</v>
      </c>
      <c r="F239" s="1">
        <f>Sintesi!$C$5</f>
        <v>0.1</v>
      </c>
      <c r="G239" s="1">
        <f>'Paste cell here'!AA239</f>
        <v>0.75</v>
      </c>
      <c r="H239" s="43">
        <f>'Paste cell here'!U239</f>
        <v>19.538657079474948</v>
      </c>
      <c r="I239" s="43">
        <f>'Paste cell here'!AE239</f>
        <v>185.88307989755947</v>
      </c>
      <c r="J239" s="44">
        <f>'Paste cell here'!U238+'Paste cell here'!AF239</f>
        <v>210.92528034843755</v>
      </c>
      <c r="K239" s="45">
        <f>'Paste cell here'!AG239</f>
        <v>175.81402248430075</v>
      </c>
      <c r="L239" s="41" t="str">
        <f t="shared" si="11"/>
        <v>NO</v>
      </c>
      <c r="M239" s="1">
        <f>(Sintesi!$C$29*F239*1000)</f>
        <v>23.3</v>
      </c>
      <c r="N239" s="1">
        <f>Sintesi!$C$30*F239*1000</f>
        <v>10.700000000000001</v>
      </c>
      <c r="O239" s="1">
        <f t="shared" si="9"/>
        <v>12.6</v>
      </c>
      <c r="P239" s="1">
        <f>Sintesi!$C$33*G239*1000</f>
        <v>192.75</v>
      </c>
      <c r="Q239" s="1">
        <f>Sintesi!$C$34*G239*1000</f>
        <v>96</v>
      </c>
      <c r="R239" s="1">
        <f t="shared" si="10"/>
        <v>96.75</v>
      </c>
    </row>
    <row r="240" spans="1:18">
      <c r="A240" s="41">
        <v>239</v>
      </c>
      <c r="B240" s="42">
        <f>DATE(Sintesi!$C$4-1,12,31)+A240</f>
        <v>44435</v>
      </c>
      <c r="C240" s="41">
        <f>'Paste cell here'!B240</f>
        <v>0</v>
      </c>
      <c r="D240" s="41">
        <f>'Paste cell here'!I240</f>
        <v>0</v>
      </c>
      <c r="E240" s="1">
        <f>'Paste cell here'!H240</f>
        <v>0.49577504854034427</v>
      </c>
      <c r="F240" s="1">
        <f>Sintesi!$C$5</f>
        <v>0.1</v>
      </c>
      <c r="G240" s="1">
        <f>'Paste cell here'!AA240</f>
        <v>0.75</v>
      </c>
      <c r="H240" s="43">
        <f>'Paste cell here'!U240</f>
        <v>17.972537959580286</v>
      </c>
      <c r="I240" s="43">
        <f>'Paste cell here'!AE240</f>
        <v>183.84979498928396</v>
      </c>
      <c r="J240" s="44">
        <f>'Paste cell here'!U239+'Paste cell here'!AF240</f>
        <v>205.42173697703441</v>
      </c>
      <c r="K240" s="45">
        <f>'Paste cell here'!AG240</f>
        <v>178.10089890947935</v>
      </c>
      <c r="L240" s="41" t="str">
        <f t="shared" si="11"/>
        <v>NO</v>
      </c>
      <c r="M240" s="1">
        <f>(Sintesi!$C$29*F240*1000)</f>
        <v>23.3</v>
      </c>
      <c r="N240" s="1">
        <f>Sintesi!$C$30*F240*1000</f>
        <v>10.700000000000001</v>
      </c>
      <c r="O240" s="1">
        <f t="shared" si="9"/>
        <v>12.6</v>
      </c>
      <c r="P240" s="1">
        <f>Sintesi!$C$33*G240*1000</f>
        <v>192.75</v>
      </c>
      <c r="Q240" s="1">
        <f>Sintesi!$C$34*G240*1000</f>
        <v>96</v>
      </c>
      <c r="R240" s="1">
        <f t="shared" si="10"/>
        <v>96.75</v>
      </c>
    </row>
    <row r="241" spans="1:18">
      <c r="A241" s="41">
        <v>240</v>
      </c>
      <c r="B241" s="42">
        <f>DATE(Sintesi!$C$4-1,12,31)+A241</f>
        <v>44436</v>
      </c>
      <c r="C241" s="41">
        <f>'Paste cell here'!B241</f>
        <v>0.11999999999999317</v>
      </c>
      <c r="D241" s="41">
        <f>'Paste cell here'!I241</f>
        <v>0</v>
      </c>
      <c r="E241" s="1">
        <f>'Paste cell here'!H241</f>
        <v>0.56673085365243947</v>
      </c>
      <c r="F241" s="1">
        <f>Sintesi!$C$5</f>
        <v>0.1</v>
      </c>
      <c r="G241" s="1">
        <f>'Paste cell here'!AA241</f>
        <v>0.75</v>
      </c>
      <c r="H241" s="43">
        <f>'Paste cell here'!U241</f>
        <v>15.542451277204158</v>
      </c>
      <c r="I241" s="43">
        <f>'Paste cell here'!AE241</f>
        <v>181.47224110287539</v>
      </c>
      <c r="J241" s="44">
        <f>'Paste cell here'!U240+'Paste cell here'!AF241</f>
        <v>201.82233294886422</v>
      </c>
      <c r="K241" s="45">
        <f>'Paste cell here'!AG241</f>
        <v>172.669586807174</v>
      </c>
      <c r="L241" s="41" t="str">
        <f t="shared" si="11"/>
        <v>NO</v>
      </c>
      <c r="M241" s="1">
        <f>(Sintesi!$C$29*F241*1000)</f>
        <v>23.3</v>
      </c>
      <c r="N241" s="1">
        <f>Sintesi!$C$30*F241*1000</f>
        <v>10.700000000000001</v>
      </c>
      <c r="O241" s="1">
        <f t="shared" si="9"/>
        <v>12.6</v>
      </c>
      <c r="P241" s="1">
        <f>Sintesi!$C$33*G241*1000</f>
        <v>192.75</v>
      </c>
      <c r="Q241" s="1">
        <f>Sintesi!$C$34*G241*1000</f>
        <v>96</v>
      </c>
      <c r="R241" s="1">
        <f t="shared" si="10"/>
        <v>96.75</v>
      </c>
    </row>
    <row r="242" spans="1:18">
      <c r="A242" s="41">
        <v>241</v>
      </c>
      <c r="B242" s="42">
        <f>DATE(Sintesi!$C$4-1,12,31)+A242</f>
        <v>44437</v>
      </c>
      <c r="C242" s="41">
        <f>'Paste cell here'!B242</f>
        <v>0</v>
      </c>
      <c r="D242" s="41">
        <f>'Paste cell here'!I242</f>
        <v>0</v>
      </c>
      <c r="E242" s="1">
        <f>'Paste cell here'!H242</f>
        <v>0.51438994112060776</v>
      </c>
      <c r="F242" s="1">
        <f>Sintesi!$C$5</f>
        <v>0.1</v>
      </c>
      <c r="G242" s="1">
        <f>'Paste cell here'!AA242</f>
        <v>0.75</v>
      </c>
      <c r="H242" s="43">
        <f>'Paste cell here'!U242</f>
        <v>13.250533307890894</v>
      </c>
      <c r="I242" s="43">
        <f>'Paste cell here'!AE242</f>
        <v>179.27797261028775</v>
      </c>
      <c r="J242" s="44">
        <f>'Paste cell here'!U241+'Paste cell here'!AF242</f>
        <v>197.01469238007954</v>
      </c>
      <c r="K242" s="45">
        <f>'Paste cell here'!AG242</f>
        <v>176.67602195692308</v>
      </c>
      <c r="L242" s="41" t="str">
        <f t="shared" si="11"/>
        <v>NO</v>
      </c>
      <c r="M242" s="1">
        <f>(Sintesi!$C$29*F242*1000)</f>
        <v>23.3</v>
      </c>
      <c r="N242" s="1">
        <f>Sintesi!$C$30*F242*1000</f>
        <v>10.700000000000001</v>
      </c>
      <c r="O242" s="1">
        <f t="shared" si="9"/>
        <v>12.6</v>
      </c>
      <c r="P242" s="1">
        <f>Sintesi!$C$33*G242*1000</f>
        <v>192.75</v>
      </c>
      <c r="Q242" s="1">
        <f>Sintesi!$C$34*G242*1000</f>
        <v>96</v>
      </c>
      <c r="R242" s="1">
        <f t="shared" si="10"/>
        <v>96.75</v>
      </c>
    </row>
    <row r="243" spans="1:18">
      <c r="A243" s="41">
        <v>242</v>
      </c>
      <c r="B243" s="42">
        <f>DATE(Sintesi!$C$4-1,12,31)+A243</f>
        <v>44438</v>
      </c>
      <c r="C243" s="41">
        <f>'Paste cell here'!B243</f>
        <v>0</v>
      </c>
      <c r="D243" s="41">
        <f>'Paste cell here'!I243</f>
        <v>0</v>
      </c>
      <c r="E243" s="1">
        <f>'Paste cell here'!H243</f>
        <v>0.50789960710457416</v>
      </c>
      <c r="F243" s="1">
        <f>Sintesi!$C$5</f>
        <v>0.1</v>
      </c>
      <c r="G243" s="1">
        <f>'Paste cell here'!AA243</f>
        <v>0.75</v>
      </c>
      <c r="H243" s="43">
        <f>'Paste cell here'!U243</f>
        <v>11.324648060083669</v>
      </c>
      <c r="I243" s="43">
        <f>'Paste cell here'!AE243</f>
        <v>177.2513735006242</v>
      </c>
      <c r="J243" s="44">
        <f>'Paste cell here'!U242+'Paste cell here'!AF243</f>
        <v>192.52850591817864</v>
      </c>
      <c r="K243" s="45">
        <f>'Paste cell here'!AG243</f>
        <v>177.17282457418037</v>
      </c>
      <c r="L243" s="41" t="str">
        <f t="shared" si="11"/>
        <v>NO</v>
      </c>
      <c r="M243" s="1">
        <f>(Sintesi!$C$29*F243*1000)</f>
        <v>23.3</v>
      </c>
      <c r="N243" s="1">
        <f>Sintesi!$C$30*F243*1000</f>
        <v>10.700000000000001</v>
      </c>
      <c r="O243" s="1">
        <f t="shared" si="9"/>
        <v>12.6</v>
      </c>
      <c r="P243" s="1">
        <f>Sintesi!$C$33*G243*1000</f>
        <v>192.75</v>
      </c>
      <c r="Q243" s="1">
        <f>Sintesi!$C$34*G243*1000</f>
        <v>96</v>
      </c>
      <c r="R243" s="1">
        <f t="shared" si="10"/>
        <v>96.75</v>
      </c>
    </row>
    <row r="244" spans="1:18">
      <c r="A244" s="41">
        <v>243</v>
      </c>
      <c r="B244" s="42">
        <f>DATE(Sintesi!$C$4-1,12,31)+A244</f>
        <v>44439</v>
      </c>
      <c r="C244" s="41">
        <f>'Paste cell here'!B244</f>
        <v>0</v>
      </c>
      <c r="D244" s="41">
        <f>'Paste cell here'!I244</f>
        <v>0</v>
      </c>
      <c r="E244" s="1">
        <f>'Paste cell here'!H244</f>
        <v>0.50255731785576874</v>
      </c>
      <c r="F244" s="1">
        <f>Sintesi!$C$5</f>
        <v>0.1</v>
      </c>
      <c r="G244" s="1">
        <f>'Paste cell here'!AA244</f>
        <v>0.75</v>
      </c>
      <c r="H244" s="43">
        <f>'Paste cell here'!U244</f>
        <v>9.9271161689909349</v>
      </c>
      <c r="I244" s="43">
        <f>'Paste cell here'!AE244</f>
        <v>175.53701812529721</v>
      </c>
      <c r="J244" s="44">
        <f>'Paste cell here'!U243+'Paste cell here'!AF244</f>
        <v>188.57602156070786</v>
      </c>
      <c r="K244" s="45">
        <f>'Paste cell here'!AG244</f>
        <v>177.58175010473019</v>
      </c>
      <c r="L244" s="41" t="str">
        <f t="shared" si="11"/>
        <v>NO</v>
      </c>
      <c r="M244" s="1">
        <f>(Sintesi!$C$29*F244*1000)</f>
        <v>23.3</v>
      </c>
      <c r="N244" s="1">
        <f>Sintesi!$C$30*F244*1000</f>
        <v>10.700000000000001</v>
      </c>
      <c r="O244" s="1">
        <f t="shared" si="9"/>
        <v>12.6</v>
      </c>
      <c r="P244" s="1">
        <f>Sintesi!$C$33*G244*1000</f>
        <v>192.75</v>
      </c>
      <c r="Q244" s="1">
        <f>Sintesi!$C$34*G244*1000</f>
        <v>96</v>
      </c>
      <c r="R244" s="1">
        <f t="shared" si="10"/>
        <v>96.75</v>
      </c>
    </row>
    <row r="245" spans="1:18">
      <c r="A245" s="41">
        <v>244</v>
      </c>
      <c r="B245" s="42">
        <f>DATE(Sintesi!$C$4-1,12,31)+A245</f>
        <v>44440</v>
      </c>
      <c r="C245" s="41">
        <f>'Paste cell here'!B245</f>
        <v>0</v>
      </c>
      <c r="D245" s="41">
        <f>'Paste cell here'!I245</f>
        <v>0</v>
      </c>
      <c r="E245" s="1">
        <f>'Paste cell here'!H245</f>
        <v>0.51969414505969647</v>
      </c>
      <c r="F245" s="1">
        <f>Sintesi!$C$5</f>
        <v>0.1</v>
      </c>
      <c r="G245" s="1">
        <f>'Paste cell here'!AA245</f>
        <v>0.75</v>
      </c>
      <c r="H245" s="43">
        <f>'Paste cell here'!U245</f>
        <v>8.7578687604275416</v>
      </c>
      <c r="I245" s="43">
        <f>'Paste cell here'!AE245</f>
        <v>173.94280148768345</v>
      </c>
      <c r="J245" s="44">
        <f>'Paste cell here'!U244+'Paste cell here'!AF245</f>
        <v>185.46413429428816</v>
      </c>
      <c r="K245" s="45">
        <f>'Paste cell here'!AG245</f>
        <v>176.27001166640554</v>
      </c>
      <c r="L245" s="41" t="str">
        <f t="shared" si="11"/>
        <v>NO</v>
      </c>
      <c r="M245" s="1">
        <f>(Sintesi!$C$29*F245*1000)</f>
        <v>23.3</v>
      </c>
      <c r="N245" s="1">
        <f>Sintesi!$C$30*F245*1000</f>
        <v>10.700000000000001</v>
      </c>
      <c r="O245" s="1">
        <f t="shared" si="9"/>
        <v>12.6</v>
      </c>
      <c r="P245" s="1">
        <f>Sintesi!$C$33*G245*1000</f>
        <v>192.75</v>
      </c>
      <c r="Q245" s="1">
        <f>Sintesi!$C$34*G245*1000</f>
        <v>96</v>
      </c>
      <c r="R245" s="1">
        <f t="shared" si="10"/>
        <v>96.75</v>
      </c>
    </row>
    <row r="246" spans="1:18">
      <c r="A246" s="41">
        <v>245</v>
      </c>
      <c r="B246" s="42">
        <f>DATE(Sintesi!$C$4-1,12,31)+A246</f>
        <v>44441</v>
      </c>
      <c r="C246" s="41">
        <f>'Paste cell here'!B246</f>
        <v>0</v>
      </c>
      <c r="D246" s="41">
        <f>'Paste cell here'!I246</f>
        <v>0</v>
      </c>
      <c r="E246" s="1">
        <f>'Paste cell here'!H246</f>
        <v>0.51159745723519312</v>
      </c>
      <c r="F246" s="1">
        <f>Sintesi!$C$5</f>
        <v>0.1</v>
      </c>
      <c r="G246" s="1">
        <f>'Paste cell here'!AA246</f>
        <v>0.75</v>
      </c>
      <c r="H246" s="43">
        <f>'Paste cell here'!U246</f>
        <v>7.7531859778484806</v>
      </c>
      <c r="I246" s="43">
        <f>'Paste cell here'!AE246</f>
        <v>172.38685126719642</v>
      </c>
      <c r="J246" s="44">
        <f>'Paste cell here'!U245+'Paste cell here'!AF246</f>
        <v>182.70067024811101</v>
      </c>
      <c r="K246" s="45">
        <f>'Paste cell here'!AG246</f>
        <v>176.88977263593213</v>
      </c>
      <c r="L246" s="41" t="str">
        <f t="shared" si="11"/>
        <v>NO</v>
      </c>
      <c r="M246" s="1">
        <f>(Sintesi!$C$29*F246*1000)</f>
        <v>23.3</v>
      </c>
      <c r="N246" s="1">
        <f>Sintesi!$C$30*F246*1000</f>
        <v>10.700000000000001</v>
      </c>
      <c r="O246" s="1">
        <f t="shared" si="9"/>
        <v>12.6</v>
      </c>
      <c r="P246" s="1">
        <f>Sintesi!$C$33*G246*1000</f>
        <v>192.75</v>
      </c>
      <c r="Q246" s="1">
        <f>Sintesi!$C$34*G246*1000</f>
        <v>96</v>
      </c>
      <c r="R246" s="1">
        <f t="shared" si="10"/>
        <v>96.75</v>
      </c>
    </row>
    <row r="247" spans="1:18">
      <c r="A247" s="41">
        <v>246</v>
      </c>
      <c r="B247" s="42">
        <f>DATE(Sintesi!$C$4-1,12,31)+A247</f>
        <v>44442</v>
      </c>
      <c r="C247" s="41">
        <f>'Paste cell here'!B247</f>
        <v>0</v>
      </c>
      <c r="D247" s="41">
        <f>'Paste cell here'!I247</f>
        <v>0</v>
      </c>
      <c r="E247" s="1">
        <f>'Paste cell here'!H247</f>
        <v>0.4892877394774634</v>
      </c>
      <c r="F247" s="1">
        <f>Sintesi!$C$5</f>
        <v>0.1</v>
      </c>
      <c r="G247" s="1">
        <f>'Paste cell here'!AA247</f>
        <v>0.75</v>
      </c>
      <c r="H247" s="43">
        <f>'Paste cell here'!U247</f>
        <v>7.0713409810928498</v>
      </c>
      <c r="I247" s="43">
        <f>'Paste cell here'!AE247</f>
        <v>171.12624194229221</v>
      </c>
      <c r="J247" s="44">
        <f>'Paste cell here'!U246+'Paste cell here'!AF247</f>
        <v>180.14003724504491</v>
      </c>
      <c r="K247" s="45">
        <f>'Paste cell here'!AG247</f>
        <v>178.59746998169757</v>
      </c>
      <c r="L247" s="41" t="str">
        <f t="shared" si="11"/>
        <v>NO</v>
      </c>
      <c r="M247" s="1">
        <f>(Sintesi!$C$29*F247*1000)</f>
        <v>23.3</v>
      </c>
      <c r="N247" s="1">
        <f>Sintesi!$C$30*F247*1000</f>
        <v>10.700000000000001</v>
      </c>
      <c r="O247" s="1">
        <f t="shared" si="9"/>
        <v>12.6</v>
      </c>
      <c r="P247" s="1">
        <f>Sintesi!$C$33*G247*1000</f>
        <v>192.75</v>
      </c>
      <c r="Q247" s="1">
        <f>Sintesi!$C$34*G247*1000</f>
        <v>96</v>
      </c>
      <c r="R247" s="1">
        <f t="shared" si="10"/>
        <v>96.75</v>
      </c>
    </row>
    <row r="248" spans="1:18">
      <c r="A248" s="41">
        <v>247</v>
      </c>
      <c r="B248" s="42">
        <f>DATE(Sintesi!$C$4-1,12,31)+A248</f>
        <v>44443</v>
      </c>
      <c r="C248" s="41">
        <f>'Paste cell here'!B248</f>
        <v>0</v>
      </c>
      <c r="D248" s="41">
        <f>'Paste cell here'!I248</f>
        <v>0</v>
      </c>
      <c r="E248" s="1">
        <f>'Paste cell here'!H248</f>
        <v>0.50750897108450654</v>
      </c>
      <c r="F248" s="1">
        <f>Sintesi!$C$5</f>
        <v>0.1</v>
      </c>
      <c r="G248" s="1">
        <f>'Paste cell here'!AA248</f>
        <v>0.75</v>
      </c>
      <c r="H248" s="43">
        <f>'Paste cell here'!U248</f>
        <v>6.5889922362323219</v>
      </c>
      <c r="I248" s="43">
        <f>'Paste cell here'!AE248</f>
        <v>170.07662778291825</v>
      </c>
      <c r="J248" s="44">
        <f>'Paste cell here'!U247+'Paste cell here'!AF248</f>
        <v>178.19758292338506</v>
      </c>
      <c r="K248" s="45">
        <f>'Paste cell here'!AG248</f>
        <v>177.20272580833645</v>
      </c>
      <c r="L248" s="41" t="str">
        <f t="shared" si="11"/>
        <v>NO</v>
      </c>
      <c r="M248" s="1">
        <f>(Sintesi!$C$29*F248*1000)</f>
        <v>23.3</v>
      </c>
      <c r="N248" s="1">
        <f>Sintesi!$C$30*F248*1000</f>
        <v>10.700000000000001</v>
      </c>
      <c r="O248" s="1">
        <f t="shared" si="9"/>
        <v>12.6</v>
      </c>
      <c r="P248" s="1">
        <f>Sintesi!$C$33*G248*1000</f>
        <v>192.75</v>
      </c>
      <c r="Q248" s="1">
        <f>Sintesi!$C$34*G248*1000</f>
        <v>96</v>
      </c>
      <c r="R248" s="1">
        <f t="shared" si="10"/>
        <v>96.75</v>
      </c>
    </row>
    <row r="249" spans="1:18">
      <c r="A249" s="41">
        <v>248</v>
      </c>
      <c r="B249" s="42">
        <f>DATE(Sintesi!$C$4-1,12,31)+A249</f>
        <v>44444</v>
      </c>
      <c r="C249" s="41">
        <f>'Paste cell here'!B249</f>
        <v>0</v>
      </c>
      <c r="D249" s="41">
        <f>'Paste cell here'!I249</f>
        <v>0</v>
      </c>
      <c r="E249" s="1">
        <f>'Paste cell here'!H249</f>
        <v>0.51782858435562429</v>
      </c>
      <c r="F249" s="1">
        <f>Sintesi!$C$5</f>
        <v>0.1</v>
      </c>
      <c r="G249" s="1">
        <f>'Paste cell here'!AA249</f>
        <v>0.75</v>
      </c>
      <c r="H249" s="43">
        <f>'Paste cell here'!U249</f>
        <v>6.2337795610677436</v>
      </c>
      <c r="I249" s="43">
        <f>'Paste cell here'!AE249</f>
        <v>169.18713648777725</v>
      </c>
      <c r="J249" s="44">
        <f>'Paste cell here'!U248+'Paste cell here'!AF249</f>
        <v>176.66562001915059</v>
      </c>
      <c r="K249" s="45">
        <f>'Paste cell here'!AG249</f>
        <v>176.41281101049873</v>
      </c>
      <c r="L249" s="41" t="str">
        <f t="shared" si="11"/>
        <v>NO</v>
      </c>
      <c r="M249" s="1">
        <f>(Sintesi!$C$29*F249*1000)</f>
        <v>23.3</v>
      </c>
      <c r="N249" s="1">
        <f>Sintesi!$C$30*F249*1000</f>
        <v>10.700000000000001</v>
      </c>
      <c r="O249" s="1">
        <f t="shared" si="9"/>
        <v>12.6</v>
      </c>
      <c r="P249" s="1">
        <f>Sintesi!$C$33*G249*1000</f>
        <v>192.75</v>
      </c>
      <c r="Q249" s="1">
        <f>Sintesi!$C$34*G249*1000</f>
        <v>96</v>
      </c>
      <c r="R249" s="1">
        <f t="shared" si="10"/>
        <v>96.75</v>
      </c>
    </row>
    <row r="250" spans="1:18">
      <c r="A250" s="41">
        <v>249</v>
      </c>
      <c r="B250" s="42">
        <f>DATE(Sintesi!$C$4-1,12,31)+A250</f>
        <v>44445</v>
      </c>
      <c r="C250" s="41">
        <f>'Paste cell here'!B250</f>
        <v>0</v>
      </c>
      <c r="D250" s="41">
        <f>'Paste cell here'!I250</f>
        <v>54</v>
      </c>
      <c r="E250" s="1">
        <f>'Paste cell here'!H250</f>
        <v>0.52022594849057957</v>
      </c>
      <c r="F250" s="1">
        <f>Sintesi!$C$5</f>
        <v>0.1</v>
      </c>
      <c r="G250" s="1">
        <f>'Paste cell here'!AA250</f>
        <v>0.75</v>
      </c>
      <c r="H250" s="43">
        <f>'Paste cell here'!U250</f>
        <v>27.449056078491594</v>
      </c>
      <c r="I250" s="43">
        <f>'Paste cell here'!AE250</f>
        <v>197.5156265514068</v>
      </c>
      <c r="J250" s="44">
        <f>'Paste cell here'!U249+'Paste cell here'!AF250</f>
        <v>175.42091604884499</v>
      </c>
      <c r="K250" s="45">
        <f>'Paste cell here'!AG250</f>
        <v>176.22930477278859</v>
      </c>
      <c r="L250" s="41" t="str">
        <f t="shared" si="11"/>
        <v>YES</v>
      </c>
      <c r="M250" s="1">
        <f>(Sintesi!$C$29*F250*1000)</f>
        <v>23.3</v>
      </c>
      <c r="N250" s="1">
        <f>Sintesi!$C$30*F250*1000</f>
        <v>10.700000000000001</v>
      </c>
      <c r="O250" s="1">
        <f t="shared" si="9"/>
        <v>12.6</v>
      </c>
      <c r="P250" s="1">
        <f>Sintesi!$C$33*G250*1000</f>
        <v>192.75</v>
      </c>
      <c r="Q250" s="1">
        <f>Sintesi!$C$34*G250*1000</f>
        <v>96</v>
      </c>
      <c r="R250" s="1">
        <f t="shared" si="10"/>
        <v>96.75</v>
      </c>
    </row>
    <row r="251" spans="1:18">
      <c r="A251" s="41">
        <v>250</v>
      </c>
      <c r="B251" s="42">
        <f>DATE(Sintesi!$C$4-1,12,31)+A251</f>
        <v>44446</v>
      </c>
      <c r="C251" s="41">
        <f>'Paste cell here'!B251</f>
        <v>0</v>
      </c>
      <c r="D251" s="41">
        <f>'Paste cell here'!I251</f>
        <v>0</v>
      </c>
      <c r="E251" s="1">
        <f>'Paste cell here'!H251</f>
        <v>0.50263985781604492</v>
      </c>
      <c r="F251" s="1">
        <f>Sintesi!$C$5</f>
        <v>0.1</v>
      </c>
      <c r="G251" s="1">
        <f>'Paste cell here'!AA251</f>
        <v>0.75</v>
      </c>
      <c r="H251" s="43">
        <f>'Paste cell here'!U251</f>
        <v>21.894857075112728</v>
      </c>
      <c r="I251" s="43">
        <f>'Paste cell here'!AE251</f>
        <v>196.86853276684027</v>
      </c>
      <c r="J251" s="44">
        <f>'Paste cell here'!U250+'Paste cell here'!AF251</f>
        <v>224.96468262989839</v>
      </c>
      <c r="K251" s="45">
        <f>'Paste cell here'!AG251</f>
        <v>177.57543208347084</v>
      </c>
      <c r="L251" s="41" t="str">
        <f t="shared" si="11"/>
        <v>NO</v>
      </c>
      <c r="M251" s="1">
        <f>(Sintesi!$C$29*F251*1000)</f>
        <v>23.3</v>
      </c>
      <c r="N251" s="1">
        <f>Sintesi!$C$30*F251*1000</f>
        <v>10.700000000000001</v>
      </c>
      <c r="O251" s="1">
        <f t="shared" si="9"/>
        <v>12.6</v>
      </c>
      <c r="P251" s="1">
        <f>Sintesi!$C$33*G251*1000</f>
        <v>192.75</v>
      </c>
      <c r="Q251" s="1">
        <f>Sintesi!$C$34*G251*1000</f>
        <v>96</v>
      </c>
      <c r="R251" s="1">
        <f t="shared" si="10"/>
        <v>96.75</v>
      </c>
    </row>
    <row r="252" spans="1:18">
      <c r="A252" s="41">
        <v>251</v>
      </c>
      <c r="B252" s="42">
        <f>DATE(Sintesi!$C$4-1,12,31)+A252</f>
        <v>44447</v>
      </c>
      <c r="C252" s="41">
        <f>'Paste cell here'!B252</f>
        <v>0</v>
      </c>
      <c r="D252" s="41">
        <f>'Paste cell here'!I252</f>
        <v>0</v>
      </c>
      <c r="E252" s="1">
        <f>'Paste cell here'!H252</f>
        <v>0.10000000149011612</v>
      </c>
      <c r="F252" s="1">
        <f>Sintesi!$C$5</f>
        <v>0.1</v>
      </c>
      <c r="G252" s="1">
        <f>'Paste cell here'!AA252</f>
        <v>0.9</v>
      </c>
      <c r="H252" s="43">
        <f>'Paste cell here'!U252</f>
        <v>17.192428632124265</v>
      </c>
      <c r="I252" s="43">
        <f>'Paste cell here'!AE252</f>
        <v>234.37089862161633</v>
      </c>
      <c r="J252" s="44">
        <f>'Paste cell here'!U251+'Paste cell here'!AF252</f>
        <v>257.31338984195298</v>
      </c>
      <c r="K252" s="45">
        <f>'Paste cell here'!AG252</f>
        <v>245.59099986575546</v>
      </c>
      <c r="L252" s="41" t="str">
        <f t="shared" si="11"/>
        <v>NO</v>
      </c>
      <c r="M252" s="1">
        <f>(Sintesi!$C$29*F252*1000)</f>
        <v>23.3</v>
      </c>
      <c r="N252" s="1">
        <f>Sintesi!$C$30*F252*1000</f>
        <v>10.700000000000001</v>
      </c>
      <c r="O252" s="1">
        <f t="shared" si="9"/>
        <v>12.6</v>
      </c>
      <c r="P252" s="1">
        <f>Sintesi!$C$33*G252*1000</f>
        <v>231.3</v>
      </c>
      <c r="Q252" s="1">
        <f>Sintesi!$C$34*G252*1000</f>
        <v>115.20000000000002</v>
      </c>
      <c r="R252" s="1">
        <f t="shared" si="10"/>
        <v>116.1</v>
      </c>
    </row>
    <row r="253" spans="1:18">
      <c r="A253" s="41">
        <v>252</v>
      </c>
      <c r="B253" s="42">
        <f>DATE(Sintesi!$C$4-1,12,31)+A253</f>
        <v>44448</v>
      </c>
      <c r="C253" s="41">
        <f>'Paste cell here'!B253</f>
        <v>0</v>
      </c>
      <c r="D253" s="41">
        <f>'Paste cell here'!I253</f>
        <v>0</v>
      </c>
      <c r="E253" s="1">
        <f>'Paste cell here'!H253</f>
        <v>0.10000000149011612</v>
      </c>
      <c r="F253" s="1">
        <f>Sintesi!$C$5</f>
        <v>0.1</v>
      </c>
      <c r="G253" s="1">
        <f>'Paste cell here'!AA253</f>
        <v>0.9</v>
      </c>
      <c r="H253" s="43">
        <f>'Paste cell here'!U253</f>
        <v>13.350663991453763</v>
      </c>
      <c r="I253" s="43">
        <f>'Paste cell here'!AE253</f>
        <v>233.52538082114174</v>
      </c>
      <c r="J253" s="44">
        <f>'Paste cell here'!U252+'Paste cell here'!AF253</f>
        <v>251.56332725374062</v>
      </c>
      <c r="K253" s="45">
        <f>'Paste cell here'!AG253</f>
        <v>245.59099986575546</v>
      </c>
      <c r="L253" s="41" t="str">
        <f t="shared" si="11"/>
        <v>NO</v>
      </c>
      <c r="M253" s="1">
        <f>(Sintesi!$C$29*F253*1000)</f>
        <v>23.3</v>
      </c>
      <c r="N253" s="1">
        <f>Sintesi!$C$30*F253*1000</f>
        <v>10.700000000000001</v>
      </c>
      <c r="O253" s="1">
        <f t="shared" si="9"/>
        <v>12.6</v>
      </c>
      <c r="P253" s="1">
        <f>Sintesi!$C$33*G253*1000</f>
        <v>231.3</v>
      </c>
      <c r="Q253" s="1">
        <f>Sintesi!$C$34*G253*1000</f>
        <v>115.20000000000002</v>
      </c>
      <c r="R253" s="1">
        <f t="shared" si="10"/>
        <v>116.1</v>
      </c>
    </row>
    <row r="254" spans="1:18">
      <c r="A254" s="41">
        <v>253</v>
      </c>
      <c r="B254" s="42">
        <f>DATE(Sintesi!$C$4-1,12,31)+A254</f>
        <v>44449</v>
      </c>
      <c r="C254" s="41">
        <f>'Paste cell here'!B254</f>
        <v>0</v>
      </c>
      <c r="D254" s="41">
        <f>'Paste cell here'!I254</f>
        <v>0</v>
      </c>
      <c r="E254" s="1">
        <f>'Paste cell here'!H254</f>
        <v>0.10000000149011612</v>
      </c>
      <c r="F254" s="1">
        <f>Sintesi!$C$5</f>
        <v>0.1</v>
      </c>
      <c r="G254" s="1">
        <f>'Paste cell here'!AA254</f>
        <v>0.9</v>
      </c>
      <c r="H254" s="43">
        <f>'Paste cell here'!U254</f>
        <v>11.073841450975051</v>
      </c>
      <c r="I254" s="43">
        <f>'Paste cell here'!AE254</f>
        <v>232.87467525146261</v>
      </c>
      <c r="J254" s="44">
        <f>'Paste cell here'!U253+'Paste cell here'!AF254</f>
        <v>246.87604481259547</v>
      </c>
      <c r="K254" s="45">
        <f>'Paste cell here'!AG254</f>
        <v>245.59099986575546</v>
      </c>
      <c r="L254" s="41" t="str">
        <f t="shared" si="11"/>
        <v>NO</v>
      </c>
      <c r="M254" s="1">
        <f>(Sintesi!$C$29*F254*1000)</f>
        <v>23.3</v>
      </c>
      <c r="N254" s="1">
        <f>Sintesi!$C$30*F254*1000</f>
        <v>10.700000000000001</v>
      </c>
      <c r="O254" s="1">
        <f t="shared" si="9"/>
        <v>12.6</v>
      </c>
      <c r="P254" s="1">
        <f>Sintesi!$C$33*G254*1000</f>
        <v>231.3</v>
      </c>
      <c r="Q254" s="1">
        <f>Sintesi!$C$34*G254*1000</f>
        <v>115.20000000000002</v>
      </c>
      <c r="R254" s="1">
        <f t="shared" si="10"/>
        <v>116.1</v>
      </c>
    </row>
    <row r="255" spans="1:18">
      <c r="A255" s="41">
        <v>254</v>
      </c>
      <c r="B255" s="42">
        <f>DATE(Sintesi!$C$4-1,12,31)+A255</f>
        <v>44450</v>
      </c>
      <c r="C255" s="41">
        <f>'Paste cell here'!B255</f>
        <v>0</v>
      </c>
      <c r="D255" s="41">
        <f>'Paste cell here'!I255</f>
        <v>0</v>
      </c>
      <c r="E255" s="1">
        <f>'Paste cell here'!H255</f>
        <v>0.10000000149011612</v>
      </c>
      <c r="F255" s="1">
        <f>Sintesi!$C$5</f>
        <v>0.1</v>
      </c>
      <c r="G255" s="1">
        <f>'Paste cell here'!AA255</f>
        <v>0.9</v>
      </c>
      <c r="H255" s="43">
        <f>'Paste cell here'!U255</f>
        <v>9.225583335571562</v>
      </c>
      <c r="I255" s="43">
        <f>'Paste cell here'!AE255</f>
        <v>232.3609932117065</v>
      </c>
      <c r="J255" s="44">
        <f>'Paste cell here'!U254+'Paste cell here'!AF255</f>
        <v>243.94851670243767</v>
      </c>
      <c r="K255" s="45">
        <f>'Paste cell here'!AG255</f>
        <v>245.59099986575546</v>
      </c>
      <c r="L255" s="41" t="str">
        <f t="shared" si="11"/>
        <v>YES</v>
      </c>
      <c r="M255" s="1">
        <f>(Sintesi!$C$29*F255*1000)</f>
        <v>23.3</v>
      </c>
      <c r="N255" s="1">
        <f>Sintesi!$C$30*F255*1000</f>
        <v>10.700000000000001</v>
      </c>
      <c r="O255" s="1">
        <f t="shared" si="9"/>
        <v>12.6</v>
      </c>
      <c r="P255" s="1">
        <f>Sintesi!$C$33*G255*1000</f>
        <v>231.3</v>
      </c>
      <c r="Q255" s="1">
        <f>Sintesi!$C$34*G255*1000</f>
        <v>115.20000000000002</v>
      </c>
      <c r="R255" s="1">
        <f t="shared" si="10"/>
        <v>116.1</v>
      </c>
    </row>
    <row r="256" spans="1:18">
      <c r="A256" s="41">
        <v>255</v>
      </c>
      <c r="B256" s="42">
        <f>DATE(Sintesi!$C$4-1,12,31)+A256</f>
        <v>44451</v>
      </c>
      <c r="C256" s="41">
        <f>'Paste cell here'!B256</f>
        <v>0</v>
      </c>
      <c r="D256" s="41">
        <f>'Paste cell here'!I256</f>
        <v>0</v>
      </c>
      <c r="E256" s="1">
        <f>'Paste cell here'!H256</f>
        <v>0.10000000149011612</v>
      </c>
      <c r="F256" s="1">
        <f>Sintesi!$C$5</f>
        <v>0.1</v>
      </c>
      <c r="G256" s="1">
        <f>'Paste cell here'!AA256</f>
        <v>0.9</v>
      </c>
      <c r="H256" s="43">
        <f>'Paste cell here'!U256</f>
        <v>7.9525393821739874</v>
      </c>
      <c r="I256" s="43">
        <f>'Paste cell here'!AE256</f>
        <v>231.94422141834926</v>
      </c>
      <c r="J256" s="44">
        <f>'Paste cell here'!U255+'Paste cell here'!AF256</f>
        <v>241.58657654727807</v>
      </c>
      <c r="K256" s="45">
        <f>'Paste cell here'!AG256</f>
        <v>245.59099986575546</v>
      </c>
      <c r="L256" s="41" t="str">
        <f t="shared" si="11"/>
        <v>YES</v>
      </c>
      <c r="M256" s="1">
        <f>(Sintesi!$C$29*F256*1000)</f>
        <v>23.3</v>
      </c>
      <c r="N256" s="1">
        <f>Sintesi!$C$30*F256*1000</f>
        <v>10.700000000000001</v>
      </c>
      <c r="O256" s="1">
        <f t="shared" si="9"/>
        <v>12.6</v>
      </c>
      <c r="P256" s="1">
        <f>Sintesi!$C$33*G256*1000</f>
        <v>231.3</v>
      </c>
      <c r="Q256" s="1">
        <f>Sintesi!$C$34*G256*1000</f>
        <v>115.20000000000002</v>
      </c>
      <c r="R256" s="1">
        <f t="shared" si="10"/>
        <v>116.1</v>
      </c>
    </row>
    <row r="257" spans="1:18">
      <c r="A257" s="41">
        <v>256</v>
      </c>
      <c r="B257" s="42">
        <f>DATE(Sintesi!$C$4-1,12,31)+A257</f>
        <v>44452</v>
      </c>
      <c r="C257" s="41">
        <f>'Paste cell here'!B257</f>
        <v>0</v>
      </c>
      <c r="D257" s="41">
        <f>'Paste cell here'!I257</f>
        <v>0</v>
      </c>
      <c r="E257" s="1">
        <f>'Paste cell here'!H257</f>
        <v>0.10000000149011612</v>
      </c>
      <c r="F257" s="1">
        <f>Sintesi!$C$5</f>
        <v>0.1</v>
      </c>
      <c r="G257" s="1">
        <f>'Paste cell here'!AA257</f>
        <v>0.9</v>
      </c>
      <c r="H257" s="43">
        <f>'Paste cell here'!U257</f>
        <v>7.1046860672739216</v>
      </c>
      <c r="I257" s="43">
        <f>'Paste cell here'!AE257</f>
        <v>231.59688152978816</v>
      </c>
      <c r="J257" s="44">
        <f>'Paste cell here'!U256+'Paste cell here'!AF257</f>
        <v>239.89676080052325</v>
      </c>
      <c r="K257" s="45">
        <f>'Paste cell here'!AG257</f>
        <v>245.59099986575546</v>
      </c>
      <c r="L257" s="41" t="str">
        <f t="shared" si="11"/>
        <v>YES</v>
      </c>
      <c r="M257" s="1">
        <f>(Sintesi!$C$29*F257*1000)</f>
        <v>23.3</v>
      </c>
      <c r="N257" s="1">
        <f>Sintesi!$C$30*F257*1000</f>
        <v>10.700000000000001</v>
      </c>
      <c r="O257" s="1">
        <f t="shared" si="9"/>
        <v>12.6</v>
      </c>
      <c r="P257" s="1">
        <f>Sintesi!$C$33*G257*1000</f>
        <v>231.3</v>
      </c>
      <c r="Q257" s="1">
        <f>Sintesi!$C$34*G257*1000</f>
        <v>115.20000000000002</v>
      </c>
      <c r="R257" s="1">
        <f t="shared" si="10"/>
        <v>116.1</v>
      </c>
    </row>
    <row r="258" spans="1:18">
      <c r="A258" s="41">
        <v>257</v>
      </c>
      <c r="B258" s="42">
        <f>DATE(Sintesi!$C$4-1,12,31)+A258</f>
        <v>44453</v>
      </c>
      <c r="C258" s="41">
        <f>'Paste cell here'!B258</f>
        <v>0</v>
      </c>
      <c r="D258" s="41">
        <f>'Paste cell here'!I258</f>
        <v>0</v>
      </c>
      <c r="E258" s="1">
        <f>'Paste cell here'!H258</f>
        <v>0.10000000149011612</v>
      </c>
      <c r="F258" s="1">
        <f>Sintesi!$C$5</f>
        <v>0.1</v>
      </c>
      <c r="G258" s="1">
        <f>'Paste cell here'!AA258</f>
        <v>0.9</v>
      </c>
      <c r="H258" s="43">
        <f>'Paste cell here'!U258</f>
        <v>6.6699124308727882</v>
      </c>
      <c r="I258" s="43">
        <f>'Paste cell here'!AE258</f>
        <v>231.2998084416304</v>
      </c>
      <c r="J258" s="44">
        <f>'Paste cell here'!U257+'Paste cell here'!AF258</f>
        <v>238.70156759706208</v>
      </c>
      <c r="K258" s="45">
        <f>'Paste cell here'!AG258</f>
        <v>245.59099986575546</v>
      </c>
      <c r="L258" s="41" t="str">
        <f t="shared" si="11"/>
        <v>YES</v>
      </c>
      <c r="M258" s="1">
        <f>(Sintesi!$C$29*F258*1000)</f>
        <v>23.3</v>
      </c>
      <c r="N258" s="1">
        <f>Sintesi!$C$30*F258*1000</f>
        <v>10.700000000000001</v>
      </c>
      <c r="O258" s="1">
        <f t="shared" ref="O258:O321" si="12">M258-N258</f>
        <v>12.6</v>
      </c>
      <c r="P258" s="1">
        <f>Sintesi!$C$33*G258*1000</f>
        <v>231.3</v>
      </c>
      <c r="Q258" s="1">
        <f>Sintesi!$C$34*G258*1000</f>
        <v>115.20000000000002</v>
      </c>
      <c r="R258" s="1">
        <f t="shared" ref="R258:R321" si="13">P258-Q258</f>
        <v>116.1</v>
      </c>
    </row>
    <row r="259" spans="1:18">
      <c r="A259" s="41">
        <v>258</v>
      </c>
      <c r="B259" s="42">
        <f>DATE(Sintesi!$C$4-1,12,31)+A259</f>
        <v>44454</v>
      </c>
      <c r="C259" s="41">
        <f>'Paste cell here'!B259</f>
        <v>0</v>
      </c>
      <c r="D259" s="41">
        <f>'Paste cell here'!I259</f>
        <v>0</v>
      </c>
      <c r="E259" s="1">
        <f>'Paste cell here'!H259</f>
        <v>0.10000000149011612</v>
      </c>
      <c r="F259" s="1">
        <f>Sintesi!$C$5</f>
        <v>0.1</v>
      </c>
      <c r="G259" s="1">
        <f>'Paste cell here'!AA259</f>
        <v>0.9</v>
      </c>
      <c r="H259" s="43">
        <f>'Paste cell here'!U259</f>
        <v>6.3510695257338909</v>
      </c>
      <c r="I259" s="43">
        <f>'Paste cell here'!AE259</f>
        <v>231.03945133564372</v>
      </c>
      <c r="J259" s="44">
        <f>'Paste cell here'!U258+'Paste cell here'!AF259</f>
        <v>237.96972087250319</v>
      </c>
      <c r="K259" s="45">
        <f>'Paste cell here'!AG259</f>
        <v>245.59099986575546</v>
      </c>
      <c r="L259" s="41" t="str">
        <f t="shared" ref="L259:L322" si="14">IF(J259&lt;K259,"YES","NO")</f>
        <v>YES</v>
      </c>
      <c r="M259" s="1">
        <f>(Sintesi!$C$29*F259*1000)</f>
        <v>23.3</v>
      </c>
      <c r="N259" s="1">
        <f>Sintesi!$C$30*F259*1000</f>
        <v>10.700000000000001</v>
      </c>
      <c r="O259" s="1">
        <f t="shared" si="12"/>
        <v>12.6</v>
      </c>
      <c r="P259" s="1">
        <f>Sintesi!$C$33*G259*1000</f>
        <v>231.3</v>
      </c>
      <c r="Q259" s="1">
        <f>Sintesi!$C$34*G259*1000</f>
        <v>115.20000000000002</v>
      </c>
      <c r="R259" s="1">
        <f t="shared" si="13"/>
        <v>116.1</v>
      </c>
    </row>
    <row r="260" spans="1:18">
      <c r="A260" s="41">
        <v>259</v>
      </c>
      <c r="B260" s="42">
        <f>DATE(Sintesi!$C$4-1,12,31)+A260</f>
        <v>44455</v>
      </c>
      <c r="C260" s="41">
        <f>'Paste cell here'!B260</f>
        <v>52.359999999999332</v>
      </c>
      <c r="D260" s="41">
        <f>'Paste cell here'!I260</f>
        <v>0</v>
      </c>
      <c r="E260" s="1">
        <f>'Paste cell here'!H260</f>
        <v>0.10000000149011612</v>
      </c>
      <c r="F260" s="1">
        <f>Sintesi!$C$5</f>
        <v>0.1</v>
      </c>
      <c r="G260" s="1">
        <f>'Paste cell here'!AA260</f>
        <v>0.9</v>
      </c>
      <c r="H260" s="43">
        <f>'Paste cell here'!U260</f>
        <v>37.45406765104557</v>
      </c>
      <c r="I260" s="43">
        <f>'Paste cell here'!AE260</f>
        <v>235.88053165245807</v>
      </c>
      <c r="J260" s="44">
        <f>'Paste cell here'!U259+'Paste cell here'!AF260</f>
        <v>237.39052086137761</v>
      </c>
      <c r="K260" s="45">
        <f>'Paste cell here'!AG260</f>
        <v>245.59099986575546</v>
      </c>
      <c r="L260" s="41" t="str">
        <f t="shared" si="14"/>
        <v>YES</v>
      </c>
      <c r="M260" s="1">
        <f>(Sintesi!$C$29*F260*1000)</f>
        <v>23.3</v>
      </c>
      <c r="N260" s="1">
        <f>Sintesi!$C$30*F260*1000</f>
        <v>10.700000000000001</v>
      </c>
      <c r="O260" s="1">
        <f t="shared" si="12"/>
        <v>12.6</v>
      </c>
      <c r="P260" s="1">
        <f>Sintesi!$C$33*G260*1000</f>
        <v>231.3</v>
      </c>
      <c r="Q260" s="1">
        <f>Sintesi!$C$34*G260*1000</f>
        <v>115.20000000000002</v>
      </c>
      <c r="R260" s="1">
        <f t="shared" si="13"/>
        <v>116.1</v>
      </c>
    </row>
    <row r="261" spans="1:18">
      <c r="A261" s="41">
        <v>260</v>
      </c>
      <c r="B261" s="42">
        <f>DATE(Sintesi!$C$4-1,12,31)+A261</f>
        <v>44456</v>
      </c>
      <c r="C261" s="41">
        <f>'Paste cell here'!B261</f>
        <v>7.9999999999999724E-2</v>
      </c>
      <c r="D261" s="41">
        <f>'Paste cell here'!I261</f>
        <v>0</v>
      </c>
      <c r="E261" s="1">
        <f>'Paste cell here'!H261</f>
        <v>0.10074610125705692</v>
      </c>
      <c r="F261" s="1">
        <f>Sintesi!$C$5</f>
        <v>0.1</v>
      </c>
      <c r="G261" s="1">
        <f>'Paste cell here'!AA261</f>
        <v>0.9</v>
      </c>
      <c r="H261" s="43">
        <f>'Paste cell here'!U261</f>
        <v>28.180362031439405</v>
      </c>
      <c r="I261" s="43">
        <f>'Paste cell here'!AE261</f>
        <v>241.46345346868515</v>
      </c>
      <c r="J261" s="44">
        <f>'Paste cell here'!U260+'Paste cell here'!AF261</f>
        <v>273.33459930350369</v>
      </c>
      <c r="K261" s="45">
        <f>'Paste cell here'!AG261</f>
        <v>245.52378373775176</v>
      </c>
      <c r="L261" s="41" t="str">
        <f t="shared" si="14"/>
        <v>NO</v>
      </c>
      <c r="M261" s="1">
        <f>(Sintesi!$C$29*F261*1000)</f>
        <v>23.3</v>
      </c>
      <c r="N261" s="1">
        <f>Sintesi!$C$30*F261*1000</f>
        <v>10.700000000000001</v>
      </c>
      <c r="O261" s="1">
        <f t="shared" si="12"/>
        <v>12.6</v>
      </c>
      <c r="P261" s="1">
        <f>Sintesi!$C$33*G261*1000</f>
        <v>231.3</v>
      </c>
      <c r="Q261" s="1">
        <f>Sintesi!$C$34*G261*1000</f>
        <v>115.20000000000002</v>
      </c>
      <c r="R261" s="1">
        <f t="shared" si="13"/>
        <v>116.1</v>
      </c>
    </row>
    <row r="262" spans="1:18">
      <c r="A262" s="41">
        <v>261</v>
      </c>
      <c r="B262" s="42">
        <f>DATE(Sintesi!$C$4-1,12,31)+A262</f>
        <v>44457</v>
      </c>
      <c r="C262" s="41">
        <f>'Paste cell here'!B262</f>
        <v>0.959999999999954</v>
      </c>
      <c r="D262" s="41">
        <f>'Paste cell here'!I262</f>
        <v>0</v>
      </c>
      <c r="E262" s="1">
        <f>'Paste cell here'!H262</f>
        <v>0.10000000149011612</v>
      </c>
      <c r="F262" s="1">
        <f>Sintesi!$C$5</f>
        <v>0.1</v>
      </c>
      <c r="G262" s="1">
        <f>'Paste cell here'!AA262</f>
        <v>0.9</v>
      </c>
      <c r="H262" s="43">
        <f>'Paste cell here'!U262</f>
        <v>25.108013946733799</v>
      </c>
      <c r="I262" s="43">
        <f>'Paste cell here'!AE262</f>
        <v>241.69889453416843</v>
      </c>
      <c r="J262" s="44">
        <f>'Paste cell here'!U261+'Paste cell here'!AF262</f>
        <v>269.64381550012456</v>
      </c>
      <c r="K262" s="45">
        <f>'Paste cell here'!AG262</f>
        <v>245.59099986575546</v>
      </c>
      <c r="L262" s="41" t="str">
        <f t="shared" si="14"/>
        <v>NO</v>
      </c>
      <c r="M262" s="1">
        <f>(Sintesi!$C$29*F262*1000)</f>
        <v>23.3</v>
      </c>
      <c r="N262" s="1">
        <f>Sintesi!$C$30*F262*1000</f>
        <v>10.700000000000001</v>
      </c>
      <c r="O262" s="1">
        <f t="shared" si="12"/>
        <v>12.6</v>
      </c>
      <c r="P262" s="1">
        <f>Sintesi!$C$33*G262*1000</f>
        <v>231.3</v>
      </c>
      <c r="Q262" s="1">
        <f>Sintesi!$C$34*G262*1000</f>
        <v>115.20000000000002</v>
      </c>
      <c r="R262" s="1">
        <f t="shared" si="13"/>
        <v>116.1</v>
      </c>
    </row>
    <row r="263" spans="1:18">
      <c r="A263" s="41">
        <v>262</v>
      </c>
      <c r="B263" s="42">
        <f>DATE(Sintesi!$C$4-1,12,31)+A263</f>
        <v>44458</v>
      </c>
      <c r="C263" s="41">
        <f>'Paste cell here'!B263</f>
        <v>9.9599999999998872</v>
      </c>
      <c r="D263" s="41">
        <f>'Paste cell here'!I263</f>
        <v>0</v>
      </c>
      <c r="E263" s="1">
        <f>'Paste cell here'!H263</f>
        <v>0.10000000149011612</v>
      </c>
      <c r="F263" s="1">
        <f>Sintesi!$C$5</f>
        <v>0.1</v>
      </c>
      <c r="G263" s="1">
        <f>'Paste cell here'!AA263</f>
        <v>0.9</v>
      </c>
      <c r="H263" s="43">
        <f>'Paste cell here'!U263</f>
        <v>29.225749260945889</v>
      </c>
      <c r="I263" s="43">
        <f>'Paste cell here'!AE263</f>
        <v>242.0577665889349</v>
      </c>
      <c r="J263" s="44">
        <f>'Paste cell here'!U262+'Paste cell here'!AF263</f>
        <v>266.80690848090222</v>
      </c>
      <c r="K263" s="45">
        <f>'Paste cell here'!AG263</f>
        <v>245.59099986575546</v>
      </c>
      <c r="L263" s="41" t="str">
        <f t="shared" si="14"/>
        <v>NO</v>
      </c>
      <c r="M263" s="1">
        <f>(Sintesi!$C$29*F263*1000)</f>
        <v>23.3</v>
      </c>
      <c r="N263" s="1">
        <f>Sintesi!$C$30*F263*1000</f>
        <v>10.700000000000001</v>
      </c>
      <c r="O263" s="1">
        <f t="shared" si="12"/>
        <v>12.6</v>
      </c>
      <c r="P263" s="1">
        <f>Sintesi!$C$33*G263*1000</f>
        <v>231.3</v>
      </c>
      <c r="Q263" s="1">
        <f>Sintesi!$C$34*G263*1000</f>
        <v>115.20000000000002</v>
      </c>
      <c r="R263" s="1">
        <f t="shared" si="13"/>
        <v>116.1</v>
      </c>
    </row>
    <row r="264" spans="1:18">
      <c r="A264" s="41">
        <v>263</v>
      </c>
      <c r="B264" s="42">
        <f>DATE(Sintesi!$C$4-1,12,31)+A264</f>
        <v>44459</v>
      </c>
      <c r="C264" s="41">
        <f>'Paste cell here'!B264</f>
        <v>10.359999999999808</v>
      </c>
      <c r="D264" s="41">
        <f>'Paste cell here'!I264</f>
        <v>0</v>
      </c>
      <c r="E264" s="1">
        <f>'Paste cell here'!H264</f>
        <v>0.10000000149011612</v>
      </c>
      <c r="F264" s="1">
        <f>Sintesi!$C$5</f>
        <v>0.1</v>
      </c>
      <c r="G264" s="1">
        <f>'Paste cell here'!AA264</f>
        <v>0.9</v>
      </c>
      <c r="H264" s="43">
        <f>'Paste cell here'!U264</f>
        <v>31.525430122320202</v>
      </c>
      <c r="I264" s="43">
        <f>'Paste cell here'!AE264</f>
        <v>244.12403106612888</v>
      </c>
      <c r="J264" s="44">
        <f>'Paste cell here'!U263+'Paste cell here'!AF264</f>
        <v>271.28351584988081</v>
      </c>
      <c r="K264" s="45">
        <f>'Paste cell here'!AG264</f>
        <v>245.59099986575546</v>
      </c>
      <c r="L264" s="41" t="str">
        <f t="shared" si="14"/>
        <v>NO</v>
      </c>
      <c r="M264" s="1">
        <f>(Sintesi!$C$29*F264*1000)</f>
        <v>23.3</v>
      </c>
      <c r="N264" s="1">
        <f>Sintesi!$C$30*F264*1000</f>
        <v>10.700000000000001</v>
      </c>
      <c r="O264" s="1">
        <f t="shared" si="12"/>
        <v>12.6</v>
      </c>
      <c r="P264" s="1">
        <f>Sintesi!$C$33*G264*1000</f>
        <v>231.3</v>
      </c>
      <c r="Q264" s="1">
        <f>Sintesi!$C$34*G264*1000</f>
        <v>115.20000000000002</v>
      </c>
      <c r="R264" s="1">
        <f t="shared" si="13"/>
        <v>116.1</v>
      </c>
    </row>
    <row r="265" spans="1:18">
      <c r="A265" s="41">
        <v>264</v>
      </c>
      <c r="B265" s="42">
        <f>DATE(Sintesi!$C$4-1,12,31)+A265</f>
        <v>44460</v>
      </c>
      <c r="C265" s="41">
        <f>'Paste cell here'!B265</f>
        <v>0.15999999999999945</v>
      </c>
      <c r="D265" s="41">
        <f>'Paste cell here'!I265</f>
        <v>0</v>
      </c>
      <c r="E265" s="1">
        <f>'Paste cell here'!H265</f>
        <v>0.10000000149011612</v>
      </c>
      <c r="F265" s="1">
        <f>Sintesi!$C$5</f>
        <v>0.1</v>
      </c>
      <c r="G265" s="1">
        <f>'Paste cell here'!AA265</f>
        <v>0.9</v>
      </c>
      <c r="H265" s="43">
        <f>'Paste cell here'!U265</f>
        <v>27.013788851835166</v>
      </c>
      <c r="I265" s="43">
        <f>'Paste cell here'!AE265</f>
        <v>245.32995028984394</v>
      </c>
      <c r="J265" s="44">
        <f>'Paste cell here'!U264+'Paste cell here'!AF265</f>
        <v>275.6494611884491</v>
      </c>
      <c r="K265" s="45">
        <f>'Paste cell here'!AG265</f>
        <v>245.59099986575546</v>
      </c>
      <c r="L265" s="41" t="str">
        <f t="shared" si="14"/>
        <v>NO</v>
      </c>
      <c r="M265" s="1">
        <f>(Sintesi!$C$29*F265*1000)</f>
        <v>23.3</v>
      </c>
      <c r="N265" s="1">
        <f>Sintesi!$C$30*F265*1000</f>
        <v>10.700000000000001</v>
      </c>
      <c r="O265" s="1">
        <f t="shared" si="12"/>
        <v>12.6</v>
      </c>
      <c r="P265" s="1">
        <f>Sintesi!$C$33*G265*1000</f>
        <v>231.3</v>
      </c>
      <c r="Q265" s="1">
        <f>Sintesi!$C$34*G265*1000</f>
        <v>115.20000000000002</v>
      </c>
      <c r="R265" s="1">
        <f t="shared" si="13"/>
        <v>116.1</v>
      </c>
    </row>
    <row r="266" spans="1:18">
      <c r="A266" s="41">
        <v>265</v>
      </c>
      <c r="B266" s="42">
        <f>DATE(Sintesi!$C$4-1,12,31)+A266</f>
        <v>44461</v>
      </c>
      <c r="C266" s="41">
        <f>'Paste cell here'!B266</f>
        <v>0</v>
      </c>
      <c r="D266" s="41">
        <f>'Paste cell here'!I266</f>
        <v>0</v>
      </c>
      <c r="E266" s="1">
        <f>'Paste cell here'!H266</f>
        <v>0.10000000149011612</v>
      </c>
      <c r="F266" s="1">
        <f>Sintesi!$C$5</f>
        <v>0.1</v>
      </c>
      <c r="G266" s="1">
        <f>'Paste cell here'!AA266</f>
        <v>0.9</v>
      </c>
      <c r="H266" s="43">
        <f>'Paste cell here'!U266</f>
        <v>23.514699452607367</v>
      </c>
      <c r="I266" s="43">
        <f>'Paste cell here'!AE266</f>
        <v>245.22603239254872</v>
      </c>
      <c r="J266" s="44">
        <f>'Paste cell here'!U265+'Paste cell here'!AF266</f>
        <v>272.34373914167912</v>
      </c>
      <c r="K266" s="45">
        <f>'Paste cell here'!AG266</f>
        <v>245.59099986575546</v>
      </c>
      <c r="L266" s="41" t="str">
        <f t="shared" si="14"/>
        <v>NO</v>
      </c>
      <c r="M266" s="1">
        <f>(Sintesi!$C$29*F266*1000)</f>
        <v>23.3</v>
      </c>
      <c r="N266" s="1">
        <f>Sintesi!$C$30*F266*1000</f>
        <v>10.700000000000001</v>
      </c>
      <c r="O266" s="1">
        <f t="shared" si="12"/>
        <v>12.6</v>
      </c>
      <c r="P266" s="1">
        <f>Sintesi!$C$33*G266*1000</f>
        <v>231.3</v>
      </c>
      <c r="Q266" s="1">
        <f>Sintesi!$C$34*G266*1000</f>
        <v>115.20000000000002</v>
      </c>
      <c r="R266" s="1">
        <f t="shared" si="13"/>
        <v>116.1</v>
      </c>
    </row>
    <row r="267" spans="1:18">
      <c r="A267" s="41">
        <v>266</v>
      </c>
      <c r="B267" s="42">
        <f>DATE(Sintesi!$C$4-1,12,31)+A267</f>
        <v>44462</v>
      </c>
      <c r="C267" s="41">
        <f>'Paste cell here'!B267</f>
        <v>0</v>
      </c>
      <c r="D267" s="41">
        <f>'Paste cell here'!I267</f>
        <v>0</v>
      </c>
      <c r="E267" s="1">
        <f>'Paste cell here'!H267</f>
        <v>0.10000000149011612</v>
      </c>
      <c r="F267" s="1">
        <f>Sintesi!$C$5</f>
        <v>0.1</v>
      </c>
      <c r="G267" s="1">
        <f>'Paste cell here'!AA267</f>
        <v>0.9</v>
      </c>
      <c r="H267" s="43">
        <f>'Paste cell here'!U267</f>
        <v>20.482443595368153</v>
      </c>
      <c r="I267" s="43">
        <f>'Paste cell here'!AE267</f>
        <v>244.88917828517145</v>
      </c>
      <c r="J267" s="44">
        <f>'Paste cell here'!U266+'Paste cell here'!AF267</f>
        <v>268.74073184515606</v>
      </c>
      <c r="K267" s="45">
        <f>'Paste cell here'!AG267</f>
        <v>245.59099986575546</v>
      </c>
      <c r="L267" s="41" t="str">
        <f t="shared" si="14"/>
        <v>NO</v>
      </c>
      <c r="M267" s="1">
        <f>(Sintesi!$C$29*F267*1000)</f>
        <v>23.3</v>
      </c>
      <c r="N267" s="1">
        <f>Sintesi!$C$30*F267*1000</f>
        <v>10.700000000000001</v>
      </c>
      <c r="O267" s="1">
        <f t="shared" si="12"/>
        <v>12.6</v>
      </c>
      <c r="P267" s="1">
        <f>Sintesi!$C$33*G267*1000</f>
        <v>231.3</v>
      </c>
      <c r="Q267" s="1">
        <f>Sintesi!$C$34*G267*1000</f>
        <v>115.20000000000002</v>
      </c>
      <c r="R267" s="1">
        <f t="shared" si="13"/>
        <v>116.1</v>
      </c>
    </row>
    <row r="268" spans="1:18">
      <c r="A268" s="41">
        <v>267</v>
      </c>
      <c r="B268" s="42">
        <f>DATE(Sintesi!$C$4-1,12,31)+A268</f>
        <v>44463</v>
      </c>
      <c r="C268" s="41">
        <f>'Paste cell here'!B268</f>
        <v>3.9999999999997732E-2</v>
      </c>
      <c r="D268" s="41">
        <f>'Paste cell here'!I268</f>
        <v>0</v>
      </c>
      <c r="E268" s="1">
        <f>'Paste cell here'!H268</f>
        <v>0.10000000149011612</v>
      </c>
      <c r="F268" s="1">
        <f>Sintesi!$C$5</f>
        <v>0.1</v>
      </c>
      <c r="G268" s="1">
        <f>'Paste cell here'!AA268</f>
        <v>0.9</v>
      </c>
      <c r="H268" s="43">
        <f>'Paste cell here'!U268</f>
        <v>17.395779581443406</v>
      </c>
      <c r="I268" s="43">
        <f>'Paste cell here'!AE268</f>
        <v>244.51861530920044</v>
      </c>
      <c r="J268" s="44">
        <f>'Paste cell here'!U267+'Paste cell here'!AF268</f>
        <v>265.37162188053964</v>
      </c>
      <c r="K268" s="45">
        <f>'Paste cell here'!AG268</f>
        <v>245.59099986575546</v>
      </c>
      <c r="L268" s="41" t="str">
        <f t="shared" si="14"/>
        <v>NO</v>
      </c>
      <c r="M268" s="1">
        <f>(Sintesi!$C$29*F268*1000)</f>
        <v>23.3</v>
      </c>
      <c r="N268" s="1">
        <f>Sintesi!$C$30*F268*1000</f>
        <v>10.700000000000001</v>
      </c>
      <c r="O268" s="1">
        <f t="shared" si="12"/>
        <v>12.6</v>
      </c>
      <c r="P268" s="1">
        <f>Sintesi!$C$33*G268*1000</f>
        <v>231.3</v>
      </c>
      <c r="Q268" s="1">
        <f>Sintesi!$C$34*G268*1000</f>
        <v>115.20000000000002</v>
      </c>
      <c r="R268" s="1">
        <f t="shared" si="13"/>
        <v>116.1</v>
      </c>
    </row>
    <row r="269" spans="1:18">
      <c r="A269" s="41">
        <v>268</v>
      </c>
      <c r="B269" s="42">
        <f>DATE(Sintesi!$C$4-1,12,31)+A269</f>
        <v>44464</v>
      </c>
      <c r="C269" s="41">
        <f>'Paste cell here'!B269</f>
        <v>0</v>
      </c>
      <c r="D269" s="41">
        <f>'Paste cell here'!I269</f>
        <v>0</v>
      </c>
      <c r="E269" s="1">
        <f>'Paste cell here'!H269</f>
        <v>0.10000000149011612</v>
      </c>
      <c r="F269" s="1">
        <f>Sintesi!$C$5</f>
        <v>0.1</v>
      </c>
      <c r="G269" s="1">
        <f>'Paste cell here'!AA269</f>
        <v>0.9</v>
      </c>
      <c r="H269" s="43">
        <f>'Paste cell here'!U269</f>
        <v>15.329123407087161</v>
      </c>
      <c r="I269" s="43">
        <f>'Paste cell here'!AE269</f>
        <v>244.15148490295047</v>
      </c>
      <c r="J269" s="44">
        <f>'Paste cell here'!U268+'Paste cell here'!AF269</f>
        <v>261.91439489064385</v>
      </c>
      <c r="K269" s="45">
        <f>'Paste cell here'!AG269</f>
        <v>245.59099986575546</v>
      </c>
      <c r="L269" s="41" t="str">
        <f t="shared" si="14"/>
        <v>NO</v>
      </c>
      <c r="M269" s="1">
        <f>(Sintesi!$C$29*F269*1000)</f>
        <v>23.3</v>
      </c>
      <c r="N269" s="1">
        <f>Sintesi!$C$30*F269*1000</f>
        <v>10.700000000000001</v>
      </c>
      <c r="O269" s="1">
        <f t="shared" si="12"/>
        <v>12.6</v>
      </c>
      <c r="P269" s="1">
        <f>Sintesi!$C$33*G269*1000</f>
        <v>231.3</v>
      </c>
      <c r="Q269" s="1">
        <f>Sintesi!$C$34*G269*1000</f>
        <v>115.20000000000002</v>
      </c>
      <c r="R269" s="1">
        <f t="shared" si="13"/>
        <v>116.1</v>
      </c>
    </row>
    <row r="270" spans="1:18">
      <c r="A270" s="41">
        <v>269</v>
      </c>
      <c r="B270" s="42">
        <f>DATE(Sintesi!$C$4-1,12,31)+A270</f>
        <v>44465</v>
      </c>
      <c r="C270" s="41">
        <f>'Paste cell here'!B270</f>
        <v>26.079999999999686</v>
      </c>
      <c r="D270" s="41">
        <f>'Paste cell here'!I270</f>
        <v>0</v>
      </c>
      <c r="E270" s="1">
        <f>'Paste cell here'!H270</f>
        <v>0.11617936410665804</v>
      </c>
      <c r="F270" s="1">
        <f>Sintesi!$C$5</f>
        <v>0.1</v>
      </c>
      <c r="G270" s="1">
        <f>'Paste cell here'!AA270</f>
        <v>0.9</v>
      </c>
      <c r="H270" s="43">
        <f>'Paste cell here'!U270</f>
        <v>32.903626633056255</v>
      </c>
      <c r="I270" s="43">
        <f>'Paste cell here'!AE270</f>
        <v>244.64090723725744</v>
      </c>
      <c r="J270" s="44">
        <f>'Paste cell here'!U269+'Paste cell here'!AF270</f>
        <v>259.48060831003761</v>
      </c>
      <c r="K270" s="45">
        <f>'Paste cell here'!AG270</f>
        <v>244.1334010876312</v>
      </c>
      <c r="L270" s="41" t="str">
        <f t="shared" si="14"/>
        <v>NO</v>
      </c>
      <c r="M270" s="1">
        <f>(Sintesi!$C$29*F270*1000)</f>
        <v>23.3</v>
      </c>
      <c r="N270" s="1">
        <f>Sintesi!$C$30*F270*1000</f>
        <v>10.700000000000001</v>
      </c>
      <c r="O270" s="1">
        <f t="shared" si="12"/>
        <v>12.6</v>
      </c>
      <c r="P270" s="1">
        <f>Sintesi!$C$33*G270*1000</f>
        <v>231.3</v>
      </c>
      <c r="Q270" s="1">
        <f>Sintesi!$C$34*G270*1000</f>
        <v>115.20000000000002</v>
      </c>
      <c r="R270" s="1">
        <f t="shared" si="13"/>
        <v>116.1</v>
      </c>
    </row>
    <row r="271" spans="1:18">
      <c r="A271" s="41">
        <v>270</v>
      </c>
      <c r="B271" s="42">
        <f>DATE(Sintesi!$C$4-1,12,31)+A271</f>
        <v>44466</v>
      </c>
      <c r="C271" s="41">
        <f>'Paste cell here'!B271</f>
        <v>0.11999999999999746</v>
      </c>
      <c r="D271" s="41">
        <f>'Paste cell here'!I271</f>
        <v>0</v>
      </c>
      <c r="E271" s="1">
        <f>'Paste cell here'!H271</f>
        <v>0.16066685108795137</v>
      </c>
      <c r="F271" s="1">
        <f>Sintesi!$C$5</f>
        <v>0.1</v>
      </c>
      <c r="G271" s="1">
        <f>'Paste cell here'!AA271</f>
        <v>0.9</v>
      </c>
      <c r="H271" s="43">
        <f>'Paste cell here'!U271</f>
        <v>28.505277883372674</v>
      </c>
      <c r="I271" s="43">
        <f>'Paste cell here'!AE271</f>
        <v>246.62569452781437</v>
      </c>
      <c r="J271" s="44">
        <f>'Paste cell here'!U270+'Paste cell here'!AF271</f>
        <v>277.54453387031373</v>
      </c>
      <c r="K271" s="45">
        <f>'Paste cell here'!AG271</f>
        <v>240.12552338548647</v>
      </c>
      <c r="L271" s="41" t="str">
        <f t="shared" si="14"/>
        <v>NO</v>
      </c>
      <c r="M271" s="1">
        <f>(Sintesi!$C$29*F271*1000)</f>
        <v>23.3</v>
      </c>
      <c r="N271" s="1">
        <f>Sintesi!$C$30*F271*1000</f>
        <v>10.700000000000001</v>
      </c>
      <c r="O271" s="1">
        <f t="shared" si="12"/>
        <v>12.6</v>
      </c>
      <c r="P271" s="1">
        <f>Sintesi!$C$33*G271*1000</f>
        <v>231.3</v>
      </c>
      <c r="Q271" s="1">
        <f>Sintesi!$C$34*G271*1000</f>
        <v>115.20000000000002</v>
      </c>
      <c r="R271" s="1">
        <f t="shared" si="13"/>
        <v>116.1</v>
      </c>
    </row>
    <row r="272" spans="1:18">
      <c r="A272" s="41">
        <v>271</v>
      </c>
      <c r="B272" s="42">
        <f>DATE(Sintesi!$C$4-1,12,31)+A272</f>
        <v>44467</v>
      </c>
      <c r="C272" s="41">
        <f>'Paste cell here'!B272</f>
        <v>0</v>
      </c>
      <c r="D272" s="41">
        <f>'Paste cell here'!I272</f>
        <v>0</v>
      </c>
      <c r="E272" s="1">
        <f>'Paste cell here'!H272</f>
        <v>0.11435288190206132</v>
      </c>
      <c r="F272" s="1">
        <f>Sintesi!$C$5</f>
        <v>0.1</v>
      </c>
      <c r="G272" s="1">
        <f>'Paste cell here'!AA272</f>
        <v>0.9</v>
      </c>
      <c r="H272" s="43">
        <f>'Paste cell here'!U272</f>
        <v>25.108074427457883</v>
      </c>
      <c r="I272" s="43">
        <f>'Paste cell here'!AE272</f>
        <v>246.75897660925375</v>
      </c>
      <c r="J272" s="44">
        <f>'Paste cell here'!U271+'Paste cell here'!AF272</f>
        <v>275.13097241118709</v>
      </c>
      <c r="K272" s="45">
        <f>'Paste cell here'!AG272</f>
        <v>244.2979488694433</v>
      </c>
      <c r="L272" s="41" t="str">
        <f t="shared" si="14"/>
        <v>NO</v>
      </c>
      <c r="M272" s="1">
        <f>(Sintesi!$C$29*F272*1000)</f>
        <v>23.3</v>
      </c>
      <c r="N272" s="1">
        <f>Sintesi!$C$30*F272*1000</f>
        <v>10.700000000000001</v>
      </c>
      <c r="O272" s="1">
        <f t="shared" si="12"/>
        <v>12.6</v>
      </c>
      <c r="P272" s="1">
        <f>Sintesi!$C$33*G272*1000</f>
        <v>231.3</v>
      </c>
      <c r="Q272" s="1">
        <f>Sintesi!$C$34*G272*1000</f>
        <v>115.20000000000002</v>
      </c>
      <c r="R272" s="1">
        <f t="shared" si="13"/>
        <v>116.1</v>
      </c>
    </row>
    <row r="273" spans="1:18">
      <c r="A273" s="41">
        <v>272</v>
      </c>
      <c r="B273" s="42">
        <f>DATE(Sintesi!$C$4-1,12,31)+A273</f>
        <v>44468</v>
      </c>
      <c r="C273" s="41">
        <f>'Paste cell here'!B273</f>
        <v>0</v>
      </c>
      <c r="D273" s="41">
        <f>'Paste cell here'!I273</f>
        <v>0</v>
      </c>
      <c r="E273" s="1">
        <f>'Paste cell here'!H273</f>
        <v>0.10000000149011612</v>
      </c>
      <c r="F273" s="1">
        <f>Sintesi!$C$5</f>
        <v>0.1</v>
      </c>
      <c r="G273" s="1">
        <f>'Paste cell here'!AA273</f>
        <v>0.9</v>
      </c>
      <c r="H273" s="43">
        <f>'Paste cell here'!U273</f>
        <v>21.851727169772126</v>
      </c>
      <c r="I273" s="43">
        <f>'Paste cell here'!AE273</f>
        <v>246.46989770132984</v>
      </c>
      <c r="J273" s="44">
        <f>'Paste cell here'!U272+'Paste cell here'!AF273</f>
        <v>271.86705103671164</v>
      </c>
      <c r="K273" s="45">
        <f>'Paste cell here'!AG273</f>
        <v>245.59099986575546</v>
      </c>
      <c r="L273" s="41" t="str">
        <f t="shared" si="14"/>
        <v>NO</v>
      </c>
      <c r="M273" s="1">
        <f>(Sintesi!$C$29*F273*1000)</f>
        <v>23.3</v>
      </c>
      <c r="N273" s="1">
        <f>Sintesi!$C$30*F273*1000</f>
        <v>10.700000000000001</v>
      </c>
      <c r="O273" s="1">
        <f t="shared" si="12"/>
        <v>12.6</v>
      </c>
      <c r="P273" s="1">
        <f>Sintesi!$C$33*G273*1000</f>
        <v>231.3</v>
      </c>
      <c r="Q273" s="1">
        <f>Sintesi!$C$34*G273*1000</f>
        <v>115.20000000000002</v>
      </c>
      <c r="R273" s="1">
        <f t="shared" si="13"/>
        <v>116.1</v>
      </c>
    </row>
    <row r="274" spans="1:18">
      <c r="A274" s="41">
        <v>273</v>
      </c>
      <c r="B274" s="42">
        <f>DATE(Sintesi!$C$4-1,12,31)+A274</f>
        <v>44469</v>
      </c>
      <c r="C274" s="41">
        <f>'Paste cell here'!B274</f>
        <v>0</v>
      </c>
      <c r="D274" s="41">
        <f>'Paste cell here'!I274</f>
        <v>0</v>
      </c>
      <c r="E274" s="1">
        <f>'Paste cell here'!H274</f>
        <v>0.10000000149011612</v>
      </c>
      <c r="F274" s="1">
        <f>Sintesi!$C$5</f>
        <v>0.1</v>
      </c>
      <c r="G274" s="1">
        <f>'Paste cell here'!AA274</f>
        <v>0.9</v>
      </c>
      <c r="H274" s="43">
        <f>'Paste cell here'!U274</f>
        <v>18.985842779098345</v>
      </c>
      <c r="I274" s="43">
        <f>'Paste cell here'!AE274</f>
        <v>246.09157650390677</v>
      </c>
      <c r="J274" s="44">
        <f>'Paste cell here'!U273+'Paste cell here'!AF274</f>
        <v>268.32162487110196</v>
      </c>
      <c r="K274" s="45">
        <f>'Paste cell here'!AG274</f>
        <v>245.59099986575546</v>
      </c>
      <c r="L274" s="41" t="str">
        <f t="shared" si="14"/>
        <v>NO</v>
      </c>
      <c r="M274" s="1">
        <f>(Sintesi!$C$29*F274*1000)</f>
        <v>23.3</v>
      </c>
      <c r="N274" s="1">
        <f>Sintesi!$C$30*F274*1000</f>
        <v>10.700000000000001</v>
      </c>
      <c r="O274" s="1">
        <f t="shared" si="12"/>
        <v>12.6</v>
      </c>
      <c r="P274" s="1">
        <f>Sintesi!$C$33*G274*1000</f>
        <v>231.3</v>
      </c>
      <c r="Q274" s="1">
        <f>Sintesi!$C$34*G274*1000</f>
        <v>115.20000000000002</v>
      </c>
      <c r="R274" s="1">
        <f t="shared" si="13"/>
        <v>116.1</v>
      </c>
    </row>
    <row r="275" spans="1:18">
      <c r="A275" s="41">
        <v>274</v>
      </c>
      <c r="B275" s="42">
        <f>DATE(Sintesi!$C$4-1,12,31)+A275</f>
        <v>44470</v>
      </c>
      <c r="C275" s="41">
        <f>'Paste cell here'!B275</f>
        <v>0</v>
      </c>
      <c r="D275" s="41">
        <f>'Paste cell here'!I275</f>
        <v>0</v>
      </c>
      <c r="E275" s="1">
        <f>'Paste cell here'!H275</f>
        <v>0.10000000149011612</v>
      </c>
      <c r="F275" s="1">
        <f>Sintesi!$C$5</f>
        <v>0.1</v>
      </c>
      <c r="G275" s="1">
        <f>'Paste cell here'!AA275</f>
        <v>0.9</v>
      </c>
      <c r="H275" s="43">
        <f>'Paste cell here'!U275</f>
        <v>16.051912261931779</v>
      </c>
      <c r="I275" s="43">
        <f>'Paste cell here'!AE275</f>
        <v>245.7040642758023</v>
      </c>
      <c r="J275" s="44">
        <f>'Paste cell here'!U274+'Paste cell here'!AF275</f>
        <v>265.0774192830051</v>
      </c>
      <c r="K275" s="45">
        <f>'Paste cell here'!AG275</f>
        <v>245.59099986575546</v>
      </c>
      <c r="L275" s="41" t="str">
        <f t="shared" si="14"/>
        <v>NO</v>
      </c>
      <c r="M275" s="1">
        <f>(Sintesi!$C$29*F275*1000)</f>
        <v>23.3</v>
      </c>
      <c r="N275" s="1">
        <f>Sintesi!$C$30*F275*1000</f>
        <v>10.700000000000001</v>
      </c>
      <c r="O275" s="1">
        <f t="shared" si="12"/>
        <v>12.6</v>
      </c>
      <c r="P275" s="1">
        <f>Sintesi!$C$33*G275*1000</f>
        <v>231.3</v>
      </c>
      <c r="Q275" s="1">
        <f>Sintesi!$C$34*G275*1000</f>
        <v>115.20000000000002</v>
      </c>
      <c r="R275" s="1">
        <f t="shared" si="13"/>
        <v>116.1</v>
      </c>
    </row>
    <row r="276" spans="1:18">
      <c r="A276" s="41">
        <v>275</v>
      </c>
      <c r="B276" s="42">
        <f>DATE(Sintesi!$C$4-1,12,31)+A276</f>
        <v>44471</v>
      </c>
      <c r="C276" s="41">
        <f>'Paste cell here'!B276</f>
        <v>0</v>
      </c>
      <c r="D276" s="41">
        <f>'Paste cell here'!I276</f>
        <v>0</v>
      </c>
      <c r="E276" s="1">
        <f>'Paste cell here'!H276</f>
        <v>0.10000000149011612</v>
      </c>
      <c r="F276" s="1">
        <f>Sintesi!$C$5</f>
        <v>0.1</v>
      </c>
      <c r="G276" s="1">
        <f>'Paste cell here'!AA276</f>
        <v>0.9</v>
      </c>
      <c r="H276" s="43">
        <f>'Paste cell here'!U276</f>
        <v>13.58416077137197</v>
      </c>
      <c r="I276" s="43">
        <f>'Paste cell here'!AE276</f>
        <v>245.32204483942576</v>
      </c>
      <c r="J276" s="44">
        <f>'Paste cell here'!U275+'Paste cell here'!AF276</f>
        <v>261.75597653773406</v>
      </c>
      <c r="K276" s="45">
        <f>'Paste cell here'!AG276</f>
        <v>245.59099986575546</v>
      </c>
      <c r="L276" s="41" t="str">
        <f t="shared" si="14"/>
        <v>NO</v>
      </c>
      <c r="M276" s="1">
        <f>(Sintesi!$C$29*F276*1000)</f>
        <v>23.3</v>
      </c>
      <c r="N276" s="1">
        <f>Sintesi!$C$30*F276*1000</f>
        <v>10.700000000000001</v>
      </c>
      <c r="O276" s="1">
        <f t="shared" si="12"/>
        <v>12.6</v>
      </c>
      <c r="P276" s="1">
        <f>Sintesi!$C$33*G276*1000</f>
        <v>231.3</v>
      </c>
      <c r="Q276" s="1">
        <f>Sintesi!$C$34*G276*1000</f>
        <v>115.20000000000002</v>
      </c>
      <c r="R276" s="1">
        <f t="shared" si="13"/>
        <v>116.1</v>
      </c>
    </row>
    <row r="277" spans="1:18">
      <c r="A277" s="41">
        <v>276</v>
      </c>
      <c r="B277" s="42">
        <f>DATE(Sintesi!$C$4-1,12,31)+A277</f>
        <v>44472</v>
      </c>
      <c r="C277" s="41">
        <f>'Paste cell here'!B277</f>
        <v>2.6799999999999375</v>
      </c>
      <c r="D277" s="41">
        <f>'Paste cell here'!I277</f>
        <v>0</v>
      </c>
      <c r="E277" s="1">
        <f>'Paste cell here'!H277</f>
        <v>0.10000000149011612</v>
      </c>
      <c r="F277" s="1">
        <f>Sintesi!$C$5</f>
        <v>0.1</v>
      </c>
      <c r="G277" s="1">
        <f>'Paste cell here'!AA277</f>
        <v>0.9</v>
      </c>
      <c r="H277" s="43">
        <f>'Paste cell here'!U277</f>
        <v>15.234564426597046</v>
      </c>
      <c r="I277" s="43">
        <f>'Paste cell here'!AE277</f>
        <v>244.94768636333924</v>
      </c>
      <c r="J277" s="44">
        <f>'Paste cell here'!U276+'Paste cell here'!AF277</f>
        <v>258.90620561079771</v>
      </c>
      <c r="K277" s="45">
        <f>'Paste cell here'!AG277</f>
        <v>245.59099986575546</v>
      </c>
      <c r="L277" s="41" t="str">
        <f t="shared" si="14"/>
        <v>NO</v>
      </c>
      <c r="M277" s="1">
        <f>(Sintesi!$C$29*F277*1000)</f>
        <v>23.3</v>
      </c>
      <c r="N277" s="1">
        <f>Sintesi!$C$30*F277*1000</f>
        <v>10.700000000000001</v>
      </c>
      <c r="O277" s="1">
        <f t="shared" si="12"/>
        <v>12.6</v>
      </c>
      <c r="P277" s="1">
        <f>Sintesi!$C$33*G277*1000</f>
        <v>231.3</v>
      </c>
      <c r="Q277" s="1">
        <f>Sintesi!$C$34*G277*1000</f>
        <v>115.20000000000002</v>
      </c>
      <c r="R277" s="1">
        <f t="shared" si="13"/>
        <v>116.1</v>
      </c>
    </row>
    <row r="278" spans="1:18">
      <c r="A278" s="41">
        <v>277</v>
      </c>
      <c r="B278" s="42">
        <f>DATE(Sintesi!$C$4-1,12,31)+A278</f>
        <v>44473</v>
      </c>
      <c r="C278" s="41">
        <f>'Paste cell here'!B278</f>
        <v>44.599999999999369</v>
      </c>
      <c r="D278" s="41">
        <f>'Paste cell here'!I278</f>
        <v>0</v>
      </c>
      <c r="E278" s="1">
        <f>'Paste cell here'!H278</f>
        <v>0.1510145019699278</v>
      </c>
      <c r="F278" s="1">
        <f>Sintesi!$C$5</f>
        <v>0.1</v>
      </c>
      <c r="G278" s="1">
        <f>'Paste cell here'!AA278</f>
        <v>0.9</v>
      </c>
      <c r="H278" s="43">
        <f>'Paste cell here'!U278</f>
        <v>36.371512563950148</v>
      </c>
      <c r="I278" s="43">
        <f>'Paste cell here'!AE278</f>
        <v>247.63538724076327</v>
      </c>
      <c r="J278" s="44">
        <f>'Paste cell here'!U277+'Paste cell here'!AF278</f>
        <v>260.18225078993629</v>
      </c>
      <c r="K278" s="45">
        <f>'Paste cell here'!AG278</f>
        <v>240.99510351752923</v>
      </c>
      <c r="L278" s="41" t="str">
        <f t="shared" si="14"/>
        <v>NO</v>
      </c>
      <c r="M278" s="1">
        <f>(Sintesi!$C$29*F278*1000)</f>
        <v>23.3</v>
      </c>
      <c r="N278" s="1">
        <f>Sintesi!$C$30*F278*1000</f>
        <v>10.700000000000001</v>
      </c>
      <c r="O278" s="1">
        <f t="shared" si="12"/>
        <v>12.6</v>
      </c>
      <c r="P278" s="1">
        <f>Sintesi!$C$33*G278*1000</f>
        <v>231.3</v>
      </c>
      <c r="Q278" s="1">
        <f>Sintesi!$C$34*G278*1000</f>
        <v>115.20000000000002</v>
      </c>
      <c r="R278" s="1">
        <f t="shared" si="13"/>
        <v>116.1</v>
      </c>
    </row>
    <row r="279" spans="1:18">
      <c r="A279" s="41">
        <v>278</v>
      </c>
      <c r="B279" s="42">
        <f>DATE(Sintesi!$C$4-1,12,31)+A279</f>
        <v>44474</v>
      </c>
      <c r="C279" s="41">
        <f>'Paste cell here'!B279</f>
        <v>2.0399999999999268</v>
      </c>
      <c r="D279" s="41">
        <f>'Paste cell here'!I279</f>
        <v>0</v>
      </c>
      <c r="E279" s="1">
        <f>'Paste cell here'!H279</f>
        <v>0.15844655480227587</v>
      </c>
      <c r="F279" s="1">
        <f>Sintesi!$C$5</f>
        <v>0.1</v>
      </c>
      <c r="G279" s="1">
        <f>'Paste cell here'!AA279</f>
        <v>0.9</v>
      </c>
      <c r="H279" s="43">
        <f>'Paste cell here'!U279</f>
        <v>31.008104766121605</v>
      </c>
      <c r="I279" s="43">
        <f>'Paste cell here'!AE279</f>
        <v>252.87241337422179</v>
      </c>
      <c r="J279" s="44">
        <f>'Paste cell here'!U278+'Paste cell here'!AF279</f>
        <v>284.00689980471338</v>
      </c>
      <c r="K279" s="45">
        <f>'Paste cell here'!AG279</f>
        <v>240.32554987786298</v>
      </c>
      <c r="L279" s="41" t="str">
        <f t="shared" si="14"/>
        <v>NO</v>
      </c>
      <c r="M279" s="1">
        <f>(Sintesi!$C$29*F279*1000)</f>
        <v>23.3</v>
      </c>
      <c r="N279" s="1">
        <f>Sintesi!$C$30*F279*1000</f>
        <v>10.700000000000001</v>
      </c>
      <c r="O279" s="1">
        <f t="shared" si="12"/>
        <v>12.6</v>
      </c>
      <c r="P279" s="1">
        <f>Sintesi!$C$33*G279*1000</f>
        <v>231.3</v>
      </c>
      <c r="Q279" s="1">
        <f>Sintesi!$C$34*G279*1000</f>
        <v>115.20000000000002</v>
      </c>
      <c r="R279" s="1">
        <f t="shared" si="13"/>
        <v>116.1</v>
      </c>
    </row>
    <row r="280" spans="1:18">
      <c r="A280" s="41">
        <v>279</v>
      </c>
      <c r="B280" s="42">
        <f>DATE(Sintesi!$C$4-1,12,31)+A280</f>
        <v>44475</v>
      </c>
      <c r="C280" s="41">
        <f>'Paste cell here'!B280</f>
        <v>14.759999999999616</v>
      </c>
      <c r="D280" s="41">
        <f>'Paste cell here'!I280</f>
        <v>0</v>
      </c>
      <c r="E280" s="1">
        <f>'Paste cell here'!H280</f>
        <v>0.1340770315738459</v>
      </c>
      <c r="F280" s="1">
        <f>Sintesi!$C$5</f>
        <v>0.1</v>
      </c>
      <c r="G280" s="1">
        <f>'Paste cell here'!AA280</f>
        <v>0.9</v>
      </c>
      <c r="H280" s="43">
        <f>'Paste cell here'!U280</f>
        <v>33.877843528101032</v>
      </c>
      <c r="I280" s="43">
        <f>'Paste cell here'!AE280</f>
        <v>257.28807844687316</v>
      </c>
      <c r="J280" s="44">
        <f>'Paste cell here'!U279+'Paste cell here'!AF280</f>
        <v>283.88051814034338</v>
      </c>
      <c r="K280" s="45">
        <f>'Paste cell here'!AG280</f>
        <v>242.52100022551224</v>
      </c>
      <c r="L280" s="41" t="str">
        <f t="shared" si="14"/>
        <v>NO</v>
      </c>
      <c r="M280" s="1">
        <f>(Sintesi!$C$29*F280*1000)</f>
        <v>23.3</v>
      </c>
      <c r="N280" s="1">
        <f>Sintesi!$C$30*F280*1000</f>
        <v>10.700000000000001</v>
      </c>
      <c r="O280" s="1">
        <f t="shared" si="12"/>
        <v>12.6</v>
      </c>
      <c r="P280" s="1">
        <f>Sintesi!$C$33*G280*1000</f>
        <v>231.3</v>
      </c>
      <c r="Q280" s="1">
        <f>Sintesi!$C$34*G280*1000</f>
        <v>115.20000000000002</v>
      </c>
      <c r="R280" s="1">
        <f t="shared" si="13"/>
        <v>116.1</v>
      </c>
    </row>
    <row r="281" spans="1:18">
      <c r="A281" s="41">
        <v>280</v>
      </c>
      <c r="B281" s="42">
        <f>DATE(Sintesi!$C$4-1,12,31)+A281</f>
        <v>44476</v>
      </c>
      <c r="C281" s="41">
        <f>'Paste cell here'!B281</f>
        <v>3.9999999999997732E-2</v>
      </c>
      <c r="D281" s="41">
        <f>'Paste cell here'!I281</f>
        <v>0</v>
      </c>
      <c r="E281" s="1">
        <f>'Paste cell here'!H281</f>
        <v>0.1370312519981996</v>
      </c>
      <c r="F281" s="1">
        <f>Sintesi!$C$5</f>
        <v>0.1</v>
      </c>
      <c r="G281" s="1">
        <f>'Paste cell here'!AA281</f>
        <v>0.9</v>
      </c>
      <c r="H281" s="43">
        <f>'Paste cell here'!U281</f>
        <v>28.914973152728017</v>
      </c>
      <c r="I281" s="43">
        <f>'Paste cell here'!AE281</f>
        <v>259.51324255089548</v>
      </c>
      <c r="J281" s="44">
        <f>'Paste cell here'!U280+'Paste cell here'!AF281</f>
        <v>291.16592197497414</v>
      </c>
      <c r="K281" s="45">
        <f>'Paste cell here'!AG281</f>
        <v>242.25485450748221</v>
      </c>
      <c r="L281" s="41" t="str">
        <f t="shared" si="14"/>
        <v>NO</v>
      </c>
      <c r="M281" s="1">
        <f>(Sintesi!$C$29*F281*1000)</f>
        <v>23.3</v>
      </c>
      <c r="N281" s="1">
        <f>Sintesi!$C$30*F281*1000</f>
        <v>10.700000000000001</v>
      </c>
      <c r="O281" s="1">
        <f t="shared" si="12"/>
        <v>12.6</v>
      </c>
      <c r="P281" s="1">
        <f>Sintesi!$C$33*G281*1000</f>
        <v>231.3</v>
      </c>
      <c r="Q281" s="1">
        <f>Sintesi!$C$34*G281*1000</f>
        <v>115.20000000000002</v>
      </c>
      <c r="R281" s="1">
        <f t="shared" si="13"/>
        <v>116.1</v>
      </c>
    </row>
    <row r="282" spans="1:18">
      <c r="A282" s="41">
        <v>281</v>
      </c>
      <c r="B282" s="42">
        <f>DATE(Sintesi!$C$4-1,12,31)+A282</f>
        <v>44477</v>
      </c>
      <c r="C282" s="41">
        <f>'Paste cell here'!B282</f>
        <v>0</v>
      </c>
      <c r="D282" s="41">
        <f>'Paste cell here'!I282</f>
        <v>0</v>
      </c>
      <c r="E282" s="1">
        <f>'Paste cell here'!H282</f>
        <v>0.11973543035709888</v>
      </c>
      <c r="F282" s="1">
        <f>Sintesi!$C$5</f>
        <v>0.1</v>
      </c>
      <c r="G282" s="1">
        <f>'Paste cell here'!AA282</f>
        <v>0.9</v>
      </c>
      <c r="H282" s="43">
        <f>'Paste cell here'!U282</f>
        <v>26.239913556678889</v>
      </c>
      <c r="I282" s="43">
        <f>'Paste cell here'!AE282</f>
        <v>259.4232002946888</v>
      </c>
      <c r="J282" s="44">
        <f>'Paste cell here'!U281+'Paste cell here'!AF282</f>
        <v>288.42821570362355</v>
      </c>
      <c r="K282" s="45">
        <f>'Paste cell here'!AG282</f>
        <v>243.81303507912895</v>
      </c>
      <c r="L282" s="41" t="str">
        <f t="shared" si="14"/>
        <v>NO</v>
      </c>
      <c r="M282" s="1">
        <f>(Sintesi!$C$29*F282*1000)</f>
        <v>23.3</v>
      </c>
      <c r="N282" s="1">
        <f>Sintesi!$C$30*F282*1000</f>
        <v>10.700000000000001</v>
      </c>
      <c r="O282" s="1">
        <f t="shared" si="12"/>
        <v>12.6</v>
      </c>
      <c r="P282" s="1">
        <f>Sintesi!$C$33*G282*1000</f>
        <v>231.3</v>
      </c>
      <c r="Q282" s="1">
        <f>Sintesi!$C$34*G282*1000</f>
        <v>115.20000000000002</v>
      </c>
      <c r="R282" s="1">
        <f t="shared" si="13"/>
        <v>116.1</v>
      </c>
    </row>
    <row r="283" spans="1:18">
      <c r="A283" s="41">
        <v>282</v>
      </c>
      <c r="B283" s="42">
        <f>DATE(Sintesi!$C$4-1,12,31)+A283</f>
        <v>44478</v>
      </c>
      <c r="C283" s="41">
        <f>'Paste cell here'!B283</f>
        <v>0</v>
      </c>
      <c r="D283" s="41">
        <f>'Paste cell here'!I283</f>
        <v>0</v>
      </c>
      <c r="E283" s="1">
        <f>'Paste cell here'!H283</f>
        <v>0.12128520064152223</v>
      </c>
      <c r="F283" s="1">
        <f>Sintesi!$C$5</f>
        <v>0.1</v>
      </c>
      <c r="G283" s="1">
        <f>'Paste cell here'!AA283</f>
        <v>0.9</v>
      </c>
      <c r="H283" s="43">
        <f>'Paste cell here'!U283</f>
        <v>23.902466684066031</v>
      </c>
      <c r="I283" s="43">
        <f>'Paste cell here'!AE283</f>
        <v>258.87190699160027</v>
      </c>
      <c r="J283" s="44">
        <f>'Paste cell here'!U282+'Paste cell here'!AF283</f>
        <v>285.66311385136771</v>
      </c>
      <c r="K283" s="45">
        <f>'Paste cell here'!AG283</f>
        <v>243.67341627420527</v>
      </c>
      <c r="L283" s="41" t="str">
        <f t="shared" si="14"/>
        <v>NO</v>
      </c>
      <c r="M283" s="1">
        <f>(Sintesi!$C$29*F283*1000)</f>
        <v>23.3</v>
      </c>
      <c r="N283" s="1">
        <f>Sintesi!$C$30*F283*1000</f>
        <v>10.700000000000001</v>
      </c>
      <c r="O283" s="1">
        <f t="shared" si="12"/>
        <v>12.6</v>
      </c>
      <c r="P283" s="1">
        <f>Sintesi!$C$33*G283*1000</f>
        <v>231.3</v>
      </c>
      <c r="Q283" s="1">
        <f>Sintesi!$C$34*G283*1000</f>
        <v>115.20000000000002</v>
      </c>
      <c r="R283" s="1">
        <f t="shared" si="13"/>
        <v>116.1</v>
      </c>
    </row>
    <row r="284" spans="1:18">
      <c r="A284" s="41">
        <v>283</v>
      </c>
      <c r="B284" s="42">
        <f>DATE(Sintesi!$C$4-1,12,31)+A284</f>
        <v>44479</v>
      </c>
      <c r="C284" s="41">
        <f>'Paste cell here'!B284</f>
        <v>0</v>
      </c>
      <c r="D284" s="41">
        <f>'Paste cell here'!I284</f>
        <v>0</v>
      </c>
      <c r="E284" s="1">
        <f>'Paste cell here'!H284</f>
        <v>0.11574382037746947</v>
      </c>
      <c r="F284" s="1">
        <f>Sintesi!$C$5</f>
        <v>0.1</v>
      </c>
      <c r="G284" s="1">
        <f>'Paste cell here'!AA284</f>
        <v>0.9</v>
      </c>
      <c r="H284" s="43">
        <f>'Paste cell here'!U284</f>
        <v>21.861870560283489</v>
      </c>
      <c r="I284" s="43">
        <f>'Paste cell here'!AE284</f>
        <v>258.18898960920126</v>
      </c>
      <c r="J284" s="44">
        <f>'Paste cell here'!U283+'Paste cell here'!AF284</f>
        <v>282.77437367566625</v>
      </c>
      <c r="K284" s="45">
        <f>'Paste cell here'!AG284</f>
        <v>244.17263922219379</v>
      </c>
      <c r="L284" s="41" t="str">
        <f t="shared" si="14"/>
        <v>NO</v>
      </c>
      <c r="M284" s="1">
        <f>(Sintesi!$C$29*F284*1000)</f>
        <v>23.3</v>
      </c>
      <c r="N284" s="1">
        <f>Sintesi!$C$30*F284*1000</f>
        <v>10.700000000000001</v>
      </c>
      <c r="O284" s="1">
        <f t="shared" si="12"/>
        <v>12.6</v>
      </c>
      <c r="P284" s="1">
        <f>Sintesi!$C$33*G284*1000</f>
        <v>231.3</v>
      </c>
      <c r="Q284" s="1">
        <f>Sintesi!$C$34*G284*1000</f>
        <v>115.20000000000002</v>
      </c>
      <c r="R284" s="1">
        <f t="shared" si="13"/>
        <v>116.1</v>
      </c>
    </row>
    <row r="285" spans="1:18">
      <c r="A285" s="41">
        <v>284</v>
      </c>
      <c r="B285" s="42">
        <f>DATE(Sintesi!$C$4-1,12,31)+A285</f>
        <v>44480</v>
      </c>
      <c r="C285" s="41">
        <f>'Paste cell here'!B285</f>
        <v>0</v>
      </c>
      <c r="D285" s="41">
        <f>'Paste cell here'!I285</f>
        <v>0</v>
      </c>
      <c r="E285" s="1">
        <f>'Paste cell here'!H285</f>
        <v>0.12136286821904486</v>
      </c>
      <c r="F285" s="1">
        <f>Sintesi!$C$5</f>
        <v>0.1</v>
      </c>
      <c r="G285" s="1">
        <f>'Paste cell here'!AA285</f>
        <v>0.9</v>
      </c>
      <c r="H285" s="43">
        <f>'Paste cell here'!U285</f>
        <v>19.897120525996023</v>
      </c>
      <c r="I285" s="43">
        <f>'Paste cell here'!AE285</f>
        <v>257.48139777841629</v>
      </c>
      <c r="J285" s="44">
        <f>'Paste cell here'!U284+'Paste cell here'!AF285</f>
        <v>280.05086016948474</v>
      </c>
      <c r="K285" s="45">
        <f>'Paste cell here'!AG285</f>
        <v>243.66641920214624</v>
      </c>
      <c r="L285" s="41" t="str">
        <f t="shared" si="14"/>
        <v>NO</v>
      </c>
      <c r="M285" s="1">
        <f>(Sintesi!$C$29*F285*1000)</f>
        <v>23.3</v>
      </c>
      <c r="N285" s="1">
        <f>Sintesi!$C$30*F285*1000</f>
        <v>10.700000000000001</v>
      </c>
      <c r="O285" s="1">
        <f t="shared" si="12"/>
        <v>12.6</v>
      </c>
      <c r="P285" s="1">
        <f>Sintesi!$C$33*G285*1000</f>
        <v>231.3</v>
      </c>
      <c r="Q285" s="1">
        <f>Sintesi!$C$34*G285*1000</f>
        <v>115.20000000000002</v>
      </c>
      <c r="R285" s="1">
        <f t="shared" si="13"/>
        <v>116.1</v>
      </c>
    </row>
    <row r="286" spans="1:18">
      <c r="A286" s="41">
        <v>285</v>
      </c>
      <c r="B286" s="42">
        <f>DATE(Sintesi!$C$4-1,12,31)+A286</f>
        <v>44481</v>
      </c>
      <c r="C286" s="41">
        <f>'Paste cell here'!B286</f>
        <v>0</v>
      </c>
      <c r="D286" s="41">
        <f>'Paste cell here'!I286</f>
        <v>0</v>
      </c>
      <c r="E286" s="1">
        <f>'Paste cell here'!H286</f>
        <v>0.12235001541037858</v>
      </c>
      <c r="F286" s="1">
        <f>Sintesi!$C$5</f>
        <v>0.1</v>
      </c>
      <c r="G286" s="1">
        <f>'Paste cell here'!AA286</f>
        <v>0.9</v>
      </c>
      <c r="H286" s="43">
        <f>'Paste cell here'!U286</f>
        <v>18.018964516168122</v>
      </c>
      <c r="I286" s="43">
        <f>'Paste cell here'!AE286</f>
        <v>256.78265044235405</v>
      </c>
      <c r="J286" s="44">
        <f>'Paste cell here'!U285+'Paste cell here'!AF286</f>
        <v>277.37851830441235</v>
      </c>
      <c r="K286" s="45">
        <f>'Paste cell here'!AG286</f>
        <v>243.57748711167901</v>
      </c>
      <c r="L286" s="41" t="str">
        <f t="shared" si="14"/>
        <v>NO</v>
      </c>
      <c r="M286" s="1">
        <f>(Sintesi!$C$29*F286*1000)</f>
        <v>23.3</v>
      </c>
      <c r="N286" s="1">
        <f>Sintesi!$C$30*F286*1000</f>
        <v>10.700000000000001</v>
      </c>
      <c r="O286" s="1">
        <f t="shared" si="12"/>
        <v>12.6</v>
      </c>
      <c r="P286" s="1">
        <f>Sintesi!$C$33*G286*1000</f>
        <v>231.3</v>
      </c>
      <c r="Q286" s="1">
        <f>Sintesi!$C$34*G286*1000</f>
        <v>115.20000000000002</v>
      </c>
      <c r="R286" s="1">
        <f t="shared" si="13"/>
        <v>116.1</v>
      </c>
    </row>
    <row r="287" spans="1:18">
      <c r="A287" s="41">
        <v>286</v>
      </c>
      <c r="B287" s="42">
        <f>DATE(Sintesi!$C$4-1,12,31)+A287</f>
        <v>44482</v>
      </c>
      <c r="C287" s="41">
        <f>'Paste cell here'!B287</f>
        <v>0</v>
      </c>
      <c r="D287" s="41">
        <f>'Paste cell here'!I287</f>
        <v>0</v>
      </c>
      <c r="E287" s="1">
        <f>'Paste cell here'!H287</f>
        <v>0.12513498995309721</v>
      </c>
      <c r="F287" s="1">
        <f>Sintesi!$C$5</f>
        <v>0.1</v>
      </c>
      <c r="G287" s="1">
        <f>'Paste cell here'!AA287</f>
        <v>0.9</v>
      </c>
      <c r="H287" s="43">
        <f>'Paste cell here'!U287</f>
        <v>16.071750089325395</v>
      </c>
      <c r="I287" s="43">
        <f>'Paste cell here'!AE287</f>
        <v>256.10335748753022</v>
      </c>
      <c r="J287" s="44">
        <f>'Paste cell here'!U286+'Paste cell here'!AF287</f>
        <v>274.80161495852218</v>
      </c>
      <c r="K287" s="45">
        <f>'Paste cell here'!AG287</f>
        <v>243.3265887551255</v>
      </c>
      <c r="L287" s="41" t="str">
        <f t="shared" si="14"/>
        <v>NO</v>
      </c>
      <c r="M287" s="1">
        <f>(Sintesi!$C$29*F287*1000)</f>
        <v>23.3</v>
      </c>
      <c r="N287" s="1">
        <f>Sintesi!$C$30*F287*1000</f>
        <v>10.700000000000001</v>
      </c>
      <c r="O287" s="1">
        <f t="shared" si="12"/>
        <v>12.6</v>
      </c>
      <c r="P287" s="1">
        <f>Sintesi!$C$33*G287*1000</f>
        <v>231.3</v>
      </c>
      <c r="Q287" s="1">
        <f>Sintesi!$C$34*G287*1000</f>
        <v>115.20000000000002</v>
      </c>
      <c r="R287" s="1">
        <f t="shared" si="13"/>
        <v>116.1</v>
      </c>
    </row>
    <row r="288" spans="1:18">
      <c r="A288" s="41">
        <v>287</v>
      </c>
      <c r="B288" s="42">
        <f>DATE(Sintesi!$C$4-1,12,31)+A288</f>
        <v>44483</v>
      </c>
      <c r="C288" s="41">
        <f>'Paste cell here'!B288</f>
        <v>0</v>
      </c>
      <c r="D288" s="41">
        <f>'Paste cell here'!I288</f>
        <v>0</v>
      </c>
      <c r="E288" s="1">
        <f>'Paste cell here'!H288</f>
        <v>0.12217026452283047</v>
      </c>
      <c r="F288" s="1">
        <f>Sintesi!$C$5</f>
        <v>0.1</v>
      </c>
      <c r="G288" s="1">
        <f>'Paste cell here'!AA288</f>
        <v>0.9</v>
      </c>
      <c r="H288" s="43">
        <f>'Paste cell here'!U288</f>
        <v>14.360327052693995</v>
      </c>
      <c r="I288" s="43">
        <f>'Paste cell here'!AE288</f>
        <v>255.44577861371258</v>
      </c>
      <c r="J288" s="44">
        <f>'Paste cell here'!U287+'Paste cell here'!AF288</f>
        <v>272.17510757685562</v>
      </c>
      <c r="K288" s="45">
        <f>'Paste cell here'!AG288</f>
        <v>243.59368086913821</v>
      </c>
      <c r="L288" s="41" t="str">
        <f t="shared" si="14"/>
        <v>NO</v>
      </c>
      <c r="M288" s="1">
        <f>(Sintesi!$C$29*F288*1000)</f>
        <v>23.3</v>
      </c>
      <c r="N288" s="1">
        <f>Sintesi!$C$30*F288*1000</f>
        <v>10.700000000000001</v>
      </c>
      <c r="O288" s="1">
        <f t="shared" si="12"/>
        <v>12.6</v>
      </c>
      <c r="P288" s="1">
        <f>Sintesi!$C$33*G288*1000</f>
        <v>231.3</v>
      </c>
      <c r="Q288" s="1">
        <f>Sintesi!$C$34*G288*1000</f>
        <v>115.20000000000002</v>
      </c>
      <c r="R288" s="1">
        <f t="shared" si="13"/>
        <v>116.1</v>
      </c>
    </row>
    <row r="289" spans="1:18">
      <c r="A289" s="41">
        <v>288</v>
      </c>
      <c r="B289" s="42">
        <f>DATE(Sintesi!$C$4-1,12,31)+A289</f>
        <v>44484</v>
      </c>
      <c r="C289" s="41">
        <f>'Paste cell here'!B289</f>
        <v>0</v>
      </c>
      <c r="D289" s="41">
        <f>'Paste cell here'!I289</f>
        <v>0</v>
      </c>
      <c r="E289" s="1">
        <f>'Paste cell here'!H289</f>
        <v>0.12509790649277525</v>
      </c>
      <c r="F289" s="1">
        <f>Sintesi!$C$5</f>
        <v>0.1</v>
      </c>
      <c r="G289" s="1">
        <f>'Paste cell here'!AA289</f>
        <v>0.9</v>
      </c>
      <c r="H289" s="43">
        <f>'Paste cell here'!U289</f>
        <v>13.082816236380332</v>
      </c>
      <c r="I289" s="43">
        <f>'Paste cell here'!AE289</f>
        <v>254.80954466060649</v>
      </c>
      <c r="J289" s="44">
        <f>'Paste cell here'!U288+'Paste cell here'!AF289</f>
        <v>269.80610566640661</v>
      </c>
      <c r="K289" s="45">
        <f>'Paste cell here'!AG289</f>
        <v>243.32992960406591</v>
      </c>
      <c r="L289" s="41" t="str">
        <f t="shared" si="14"/>
        <v>NO</v>
      </c>
      <c r="M289" s="1">
        <f>(Sintesi!$C$29*F289*1000)</f>
        <v>23.3</v>
      </c>
      <c r="N289" s="1">
        <f>Sintesi!$C$30*F289*1000</f>
        <v>10.700000000000001</v>
      </c>
      <c r="O289" s="1">
        <f t="shared" si="12"/>
        <v>12.6</v>
      </c>
      <c r="P289" s="1">
        <f>Sintesi!$C$33*G289*1000</f>
        <v>231.3</v>
      </c>
      <c r="Q289" s="1">
        <f>Sintesi!$C$34*G289*1000</f>
        <v>115.20000000000002</v>
      </c>
      <c r="R289" s="1">
        <f t="shared" si="13"/>
        <v>116.1</v>
      </c>
    </row>
    <row r="290" spans="1:18">
      <c r="A290" s="41">
        <v>289</v>
      </c>
      <c r="B290" s="42">
        <f>DATE(Sintesi!$C$4-1,12,31)+A290</f>
        <v>44485</v>
      </c>
      <c r="C290" s="41">
        <f>'Paste cell here'!B290</f>
        <v>7.9999999999999724E-2</v>
      </c>
      <c r="D290" s="41">
        <f>'Paste cell here'!I290</f>
        <v>0</v>
      </c>
      <c r="E290" s="1">
        <f>'Paste cell here'!H290</f>
        <v>0.13413669627576563</v>
      </c>
      <c r="F290" s="1">
        <f>Sintesi!$C$5</f>
        <v>0.1</v>
      </c>
      <c r="G290" s="1">
        <f>'Paste cell here'!AA290</f>
        <v>0.9</v>
      </c>
      <c r="H290" s="43">
        <f>'Paste cell here'!U290</f>
        <v>12.049778610427856</v>
      </c>
      <c r="I290" s="43">
        <f>'Paste cell here'!AE290</f>
        <v>254.19354297951315</v>
      </c>
      <c r="J290" s="44">
        <f>'Paste cell here'!U289+'Paste cell here'!AF290</f>
        <v>267.89236089698687</v>
      </c>
      <c r="K290" s="45">
        <f>'Paste cell here'!AG290</f>
        <v>242.51562503251628</v>
      </c>
      <c r="L290" s="41" t="str">
        <f t="shared" si="14"/>
        <v>NO</v>
      </c>
      <c r="M290" s="1">
        <f>(Sintesi!$C$29*F290*1000)</f>
        <v>23.3</v>
      </c>
      <c r="N290" s="1">
        <f>Sintesi!$C$30*F290*1000</f>
        <v>10.700000000000001</v>
      </c>
      <c r="O290" s="1">
        <f t="shared" si="12"/>
        <v>12.6</v>
      </c>
      <c r="P290" s="1">
        <f>Sintesi!$C$33*G290*1000</f>
        <v>231.3</v>
      </c>
      <c r="Q290" s="1">
        <f>Sintesi!$C$34*G290*1000</f>
        <v>115.20000000000002</v>
      </c>
      <c r="R290" s="1">
        <f t="shared" si="13"/>
        <v>116.1</v>
      </c>
    </row>
    <row r="291" spans="1:18">
      <c r="A291" s="41">
        <v>290</v>
      </c>
      <c r="B291" s="42">
        <f>DATE(Sintesi!$C$4-1,12,31)+A291</f>
        <v>44486</v>
      </c>
      <c r="C291" s="41">
        <f>'Paste cell here'!B291</f>
        <v>0</v>
      </c>
      <c r="D291" s="41">
        <f>'Paste cell here'!I291</f>
        <v>0</v>
      </c>
      <c r="E291" s="1">
        <f>'Paste cell here'!H291</f>
        <v>0.13343300658753351</v>
      </c>
      <c r="F291" s="1">
        <f>Sintesi!$C$5</f>
        <v>0.1</v>
      </c>
      <c r="G291" s="1">
        <f>'Paste cell here'!AA291</f>
        <v>0.9</v>
      </c>
      <c r="H291" s="43">
        <f>'Paste cell here'!U291</f>
        <v>11.108720042798863</v>
      </c>
      <c r="I291" s="43">
        <f>'Paste cell here'!AE291</f>
        <v>253.59661311041768</v>
      </c>
      <c r="J291" s="44">
        <f>'Paste cell here'!U290+'Paste cell here'!AF291</f>
        <v>266.24332158994105</v>
      </c>
      <c r="K291" s="45">
        <f>'Paste cell here'!AG291</f>
        <v>242.57902043652913</v>
      </c>
      <c r="L291" s="41" t="str">
        <f t="shared" si="14"/>
        <v>NO</v>
      </c>
      <c r="M291" s="1">
        <f>(Sintesi!$C$29*F291*1000)</f>
        <v>23.3</v>
      </c>
      <c r="N291" s="1">
        <f>Sintesi!$C$30*F291*1000</f>
        <v>10.700000000000001</v>
      </c>
      <c r="O291" s="1">
        <f t="shared" si="12"/>
        <v>12.6</v>
      </c>
      <c r="P291" s="1">
        <f>Sintesi!$C$33*G291*1000</f>
        <v>231.3</v>
      </c>
      <c r="Q291" s="1">
        <f>Sintesi!$C$34*G291*1000</f>
        <v>115.20000000000002</v>
      </c>
      <c r="R291" s="1">
        <f t="shared" si="13"/>
        <v>116.1</v>
      </c>
    </row>
    <row r="292" spans="1:18">
      <c r="A292" s="41">
        <v>291</v>
      </c>
      <c r="B292" s="42">
        <f>DATE(Sintesi!$C$4-1,12,31)+A292</f>
        <v>44487</v>
      </c>
      <c r="C292" s="41">
        <f>'Paste cell here'!B292</f>
        <v>7.9999999999999724E-2</v>
      </c>
      <c r="D292" s="41">
        <f>'Paste cell here'!I292</f>
        <v>0</v>
      </c>
      <c r="E292" s="1">
        <f>'Paste cell here'!H292</f>
        <v>0.13480866134636738</v>
      </c>
      <c r="F292" s="1">
        <f>Sintesi!$C$5</f>
        <v>0.1</v>
      </c>
      <c r="G292" s="1">
        <f>'Paste cell here'!AA292</f>
        <v>0.9</v>
      </c>
      <c r="H292" s="43">
        <f>'Paste cell here'!U292</f>
        <v>10.393895766296328</v>
      </c>
      <c r="I292" s="43">
        <f>'Paste cell here'!AE292</f>
        <v>253.01767082806157</v>
      </c>
      <c r="J292" s="44">
        <f>'Paste cell here'!U291+'Paste cell here'!AF292</f>
        <v>264.70533315321654</v>
      </c>
      <c r="K292" s="45">
        <f>'Paste cell here'!AG292</f>
        <v>242.45508769930578</v>
      </c>
      <c r="L292" s="41" t="str">
        <f t="shared" si="14"/>
        <v>NO</v>
      </c>
      <c r="M292" s="1">
        <f>(Sintesi!$C$29*F292*1000)</f>
        <v>23.3</v>
      </c>
      <c r="N292" s="1">
        <f>Sintesi!$C$30*F292*1000</f>
        <v>10.700000000000001</v>
      </c>
      <c r="O292" s="1">
        <f t="shared" si="12"/>
        <v>12.6</v>
      </c>
      <c r="P292" s="1">
        <f>Sintesi!$C$33*G292*1000</f>
        <v>231.3</v>
      </c>
      <c r="Q292" s="1">
        <f>Sintesi!$C$34*G292*1000</f>
        <v>115.20000000000002</v>
      </c>
      <c r="R292" s="1">
        <f t="shared" si="13"/>
        <v>116.1</v>
      </c>
    </row>
    <row r="293" spans="1:18">
      <c r="A293" s="41">
        <v>292</v>
      </c>
      <c r="B293" s="42">
        <f>DATE(Sintesi!$C$4-1,12,31)+A293</f>
        <v>44488</v>
      </c>
      <c r="C293" s="41">
        <f>'Paste cell here'!B293</f>
        <v>0</v>
      </c>
      <c r="D293" s="41">
        <f>'Paste cell here'!I293</f>
        <v>0</v>
      </c>
      <c r="E293" s="1">
        <f>'Paste cell here'!H293</f>
        <v>0.13650638588110886</v>
      </c>
      <c r="F293" s="1">
        <f>Sintesi!$C$5</f>
        <v>0.1</v>
      </c>
      <c r="G293" s="1">
        <f>'Paste cell here'!AA293</f>
        <v>0.9</v>
      </c>
      <c r="H293" s="43">
        <f>'Paste cell here'!U293</f>
        <v>9.7847934163954875</v>
      </c>
      <c r="I293" s="43">
        <f>'Paste cell here'!AE293</f>
        <v>252.45571648047064</v>
      </c>
      <c r="J293" s="44">
        <f>'Paste cell here'!U292+'Paste cell here'!AF293</f>
        <v>263.41156659435791</v>
      </c>
      <c r="K293" s="45">
        <f>'Paste cell here'!AG293</f>
        <v>242.30213969597094</v>
      </c>
      <c r="L293" s="41" t="str">
        <f t="shared" si="14"/>
        <v>NO</v>
      </c>
      <c r="M293" s="1">
        <f>(Sintesi!$C$29*F293*1000)</f>
        <v>23.3</v>
      </c>
      <c r="N293" s="1">
        <f>Sintesi!$C$30*F293*1000</f>
        <v>10.700000000000001</v>
      </c>
      <c r="O293" s="1">
        <f t="shared" si="12"/>
        <v>12.6</v>
      </c>
      <c r="P293" s="1">
        <f>Sintesi!$C$33*G293*1000</f>
        <v>231.3</v>
      </c>
      <c r="Q293" s="1">
        <f>Sintesi!$C$34*G293*1000</f>
        <v>115.20000000000002</v>
      </c>
      <c r="R293" s="1">
        <f t="shared" si="13"/>
        <v>116.1</v>
      </c>
    </row>
    <row r="294" spans="1:18">
      <c r="A294" s="41">
        <v>293</v>
      </c>
      <c r="B294" s="42">
        <f>DATE(Sintesi!$C$4-1,12,31)+A294</f>
        <v>44489</v>
      </c>
      <c r="C294" s="41">
        <f>'Paste cell here'!B294</f>
        <v>0</v>
      </c>
      <c r="D294" s="41">
        <f>'Paste cell here'!I294</f>
        <v>0</v>
      </c>
      <c r="E294" s="1">
        <f>'Paste cell here'!H294</f>
        <v>0.14456676714317679</v>
      </c>
      <c r="F294" s="1">
        <f>Sintesi!$C$5</f>
        <v>0.1</v>
      </c>
      <c r="G294" s="1">
        <f>'Paste cell here'!AA294</f>
        <v>0.9</v>
      </c>
      <c r="H294" s="43">
        <f>'Paste cell here'!U294</f>
        <v>9.3368790571034523</v>
      </c>
      <c r="I294" s="43">
        <f>'Paste cell here'!AE294</f>
        <v>251.90982931441587</v>
      </c>
      <c r="J294" s="44">
        <f>'Paste cell here'!U293+'Paste cell here'!AF294</f>
        <v>262.24050989686617</v>
      </c>
      <c r="K294" s="45">
        <f>'Paste cell here'!AG294</f>
        <v>241.57597994807122</v>
      </c>
      <c r="L294" s="41" t="str">
        <f t="shared" si="14"/>
        <v>NO</v>
      </c>
      <c r="M294" s="1">
        <f>(Sintesi!$C$29*F294*1000)</f>
        <v>23.3</v>
      </c>
      <c r="N294" s="1">
        <f>Sintesi!$C$30*F294*1000</f>
        <v>10.700000000000001</v>
      </c>
      <c r="O294" s="1">
        <f t="shared" si="12"/>
        <v>12.6</v>
      </c>
      <c r="P294" s="1">
        <f>Sintesi!$C$33*G294*1000</f>
        <v>231.3</v>
      </c>
      <c r="Q294" s="1">
        <f>Sintesi!$C$34*G294*1000</f>
        <v>115.20000000000002</v>
      </c>
      <c r="R294" s="1">
        <f t="shared" si="13"/>
        <v>116.1</v>
      </c>
    </row>
    <row r="295" spans="1:18">
      <c r="A295" s="41">
        <v>294</v>
      </c>
      <c r="B295" s="42">
        <f>DATE(Sintesi!$C$4-1,12,31)+A295</f>
        <v>44490</v>
      </c>
      <c r="C295" s="41">
        <f>'Paste cell here'!B295</f>
        <v>5.0399999999999734</v>
      </c>
      <c r="D295" s="41">
        <f>'Paste cell here'!I295</f>
        <v>0</v>
      </c>
      <c r="E295" s="1">
        <f>'Paste cell here'!H295</f>
        <v>0.15414883456264852</v>
      </c>
      <c r="F295" s="1">
        <f>Sintesi!$C$5</f>
        <v>0.1</v>
      </c>
      <c r="G295" s="1">
        <f>'Paste cell here'!AA295</f>
        <v>0.9</v>
      </c>
      <c r="H295" s="43">
        <f>'Paste cell here'!U295</f>
        <v>13.967286390297682</v>
      </c>
      <c r="I295" s="43">
        <f>'Paste cell here'!AE295</f>
        <v>251.37916707656669</v>
      </c>
      <c r="J295" s="44">
        <f>'Paste cell here'!U294+'Paste cell here'!AF295</f>
        <v>261.24670837151928</v>
      </c>
      <c r="K295" s="45">
        <f>'Paste cell here'!AG295</f>
        <v>240.71273149425099</v>
      </c>
      <c r="L295" s="41" t="str">
        <f t="shared" si="14"/>
        <v>NO</v>
      </c>
      <c r="M295" s="1">
        <f>(Sintesi!$C$29*F295*1000)</f>
        <v>23.3</v>
      </c>
      <c r="N295" s="1">
        <f>Sintesi!$C$30*F295*1000</f>
        <v>10.700000000000001</v>
      </c>
      <c r="O295" s="1">
        <f t="shared" si="12"/>
        <v>12.6</v>
      </c>
      <c r="P295" s="1">
        <f>Sintesi!$C$33*G295*1000</f>
        <v>231.3</v>
      </c>
      <c r="Q295" s="1">
        <f>Sintesi!$C$34*G295*1000</f>
        <v>115.20000000000002</v>
      </c>
      <c r="R295" s="1">
        <f t="shared" si="13"/>
        <v>116.1</v>
      </c>
    </row>
    <row r="296" spans="1:18">
      <c r="A296" s="41">
        <v>295</v>
      </c>
      <c r="B296" s="42">
        <f>DATE(Sintesi!$C$4-1,12,31)+A296</f>
        <v>44491</v>
      </c>
      <c r="C296" s="41">
        <f>'Paste cell here'!B296</f>
        <v>3.9999999999997732E-2</v>
      </c>
      <c r="D296" s="41">
        <f>'Paste cell here'!I296</f>
        <v>0</v>
      </c>
      <c r="E296" s="1">
        <f>'Paste cell here'!H296</f>
        <v>0.17201556079383626</v>
      </c>
      <c r="F296" s="1">
        <f>Sintesi!$C$5</f>
        <v>0.1</v>
      </c>
      <c r="G296" s="1">
        <f>'Paste cell here'!AA296</f>
        <v>0.9</v>
      </c>
      <c r="H296" s="43">
        <f>'Paste cell here'!U296</f>
        <v>12.971767606521018</v>
      </c>
      <c r="I296" s="43">
        <f>'Paste cell here'!AE296</f>
        <v>250.86296138555124</v>
      </c>
      <c r="J296" s="44">
        <f>'Paste cell here'!U295+'Paste cell here'!AF296</f>
        <v>265.34645346686438</v>
      </c>
      <c r="K296" s="45">
        <f>'Paste cell here'!AG296</f>
        <v>239.10311812808331</v>
      </c>
      <c r="L296" s="41" t="str">
        <f t="shared" si="14"/>
        <v>NO</v>
      </c>
      <c r="M296" s="1">
        <f>(Sintesi!$C$29*F296*1000)</f>
        <v>23.3</v>
      </c>
      <c r="N296" s="1">
        <f>Sintesi!$C$30*F296*1000</f>
        <v>10.700000000000001</v>
      </c>
      <c r="O296" s="1">
        <f t="shared" si="12"/>
        <v>12.6</v>
      </c>
      <c r="P296" s="1">
        <f>Sintesi!$C$33*G296*1000</f>
        <v>231.3</v>
      </c>
      <c r="Q296" s="1">
        <f>Sintesi!$C$34*G296*1000</f>
        <v>115.20000000000002</v>
      </c>
      <c r="R296" s="1">
        <f t="shared" si="13"/>
        <v>116.1</v>
      </c>
    </row>
    <row r="297" spans="1:18">
      <c r="A297" s="41">
        <v>296</v>
      </c>
      <c r="B297" s="42">
        <f>DATE(Sintesi!$C$4-1,12,31)+A297</f>
        <v>44492</v>
      </c>
      <c r="C297" s="41">
        <f>'Paste cell here'!B297</f>
        <v>0</v>
      </c>
      <c r="D297" s="41">
        <f>'Paste cell here'!I297</f>
        <v>0</v>
      </c>
      <c r="E297" s="1">
        <f>'Paste cell here'!H297</f>
        <v>0.14499462695185231</v>
      </c>
      <c r="F297" s="1">
        <f>Sintesi!$C$5</f>
        <v>0.1</v>
      </c>
      <c r="G297" s="1">
        <f>'Paste cell here'!AA297</f>
        <v>0.9</v>
      </c>
      <c r="H297" s="43">
        <f>'Paste cell here'!U297</f>
        <v>12.170403704651541</v>
      </c>
      <c r="I297" s="43">
        <f>'Paste cell here'!AE297</f>
        <v>250.36043930460414</v>
      </c>
      <c r="J297" s="44">
        <f>'Paste cell here'!U296+'Paste cell here'!AF297</f>
        <v>263.83472899207226</v>
      </c>
      <c r="K297" s="45">
        <f>'Paste cell here'!AG297</f>
        <v>241.53743405790763</v>
      </c>
      <c r="L297" s="41" t="str">
        <f t="shared" si="14"/>
        <v>NO</v>
      </c>
      <c r="M297" s="1">
        <f>(Sintesi!$C$29*F297*1000)</f>
        <v>23.3</v>
      </c>
      <c r="N297" s="1">
        <f>Sintesi!$C$30*F297*1000</f>
        <v>10.700000000000001</v>
      </c>
      <c r="O297" s="1">
        <f t="shared" si="12"/>
        <v>12.6</v>
      </c>
      <c r="P297" s="1">
        <f>Sintesi!$C$33*G297*1000</f>
        <v>231.3</v>
      </c>
      <c r="Q297" s="1">
        <f>Sintesi!$C$34*G297*1000</f>
        <v>115.20000000000002</v>
      </c>
      <c r="R297" s="1">
        <f t="shared" si="13"/>
        <v>116.1</v>
      </c>
    </row>
    <row r="298" spans="1:18">
      <c r="A298" s="41">
        <v>297</v>
      </c>
      <c r="B298" s="42">
        <f>DATE(Sintesi!$C$4-1,12,31)+A298</f>
        <v>44493</v>
      </c>
      <c r="C298" s="41">
        <f>'Paste cell here'!B298</f>
        <v>3.9999999999997732E-2</v>
      </c>
      <c r="D298" s="41">
        <f>'Paste cell here'!I298</f>
        <v>0</v>
      </c>
      <c r="E298" s="1">
        <f>'Paste cell here'!H298</f>
        <v>0.15214973662213588</v>
      </c>
      <c r="F298" s="1">
        <f>Sintesi!$C$5</f>
        <v>0.1</v>
      </c>
      <c r="G298" s="1">
        <f>'Paste cell here'!AA298</f>
        <v>0.9</v>
      </c>
      <c r="H298" s="43">
        <f>'Paste cell here'!U298</f>
        <v>11.425614192820362</v>
      </c>
      <c r="I298" s="43">
        <f>'Paste cell here'!AE298</f>
        <v>249.8709437052193</v>
      </c>
      <c r="J298" s="44">
        <f>'Paste cell here'!U297+'Paste cell here'!AF298</f>
        <v>262.5308430092557</v>
      </c>
      <c r="K298" s="45">
        <f>'Paste cell here'!AG298</f>
        <v>240.89283022771178</v>
      </c>
      <c r="L298" s="41" t="str">
        <f t="shared" si="14"/>
        <v>NO</v>
      </c>
      <c r="M298" s="1">
        <f>(Sintesi!$C$29*F298*1000)</f>
        <v>23.3</v>
      </c>
      <c r="N298" s="1">
        <f>Sintesi!$C$30*F298*1000</f>
        <v>10.700000000000001</v>
      </c>
      <c r="O298" s="1">
        <f t="shared" si="12"/>
        <v>12.6</v>
      </c>
      <c r="P298" s="1">
        <f>Sintesi!$C$33*G298*1000</f>
        <v>231.3</v>
      </c>
      <c r="Q298" s="1">
        <f>Sintesi!$C$34*G298*1000</f>
        <v>115.20000000000002</v>
      </c>
      <c r="R298" s="1">
        <f t="shared" si="13"/>
        <v>116.1</v>
      </c>
    </row>
    <row r="299" spans="1:18">
      <c r="A299" s="41">
        <v>298</v>
      </c>
      <c r="B299" s="42">
        <f>DATE(Sintesi!$C$4-1,12,31)+A299</f>
        <v>44494</v>
      </c>
      <c r="C299" s="41">
        <f>'Paste cell here'!B299</f>
        <v>0</v>
      </c>
      <c r="D299" s="41">
        <f>'Paste cell here'!I299</f>
        <v>0</v>
      </c>
      <c r="E299" s="1">
        <f>'Paste cell here'!H299</f>
        <v>0.14751084586319391</v>
      </c>
      <c r="F299" s="1">
        <f>Sintesi!$C$5</f>
        <v>0.1</v>
      </c>
      <c r="G299" s="1">
        <f>'Paste cell here'!AA299</f>
        <v>0.9</v>
      </c>
      <c r="H299" s="43">
        <f>'Paste cell here'!U299</f>
        <v>10.820741383166192</v>
      </c>
      <c r="I299" s="43">
        <f>'Paste cell here'!AE299</f>
        <v>249.3938526468319</v>
      </c>
      <c r="J299" s="44">
        <f>'Paste cell here'!U298+'Paste cell here'!AF299</f>
        <v>261.29655789803968</v>
      </c>
      <c r="K299" s="45">
        <f>'Paste cell here'!AG299</f>
        <v>241.31074789618486</v>
      </c>
      <c r="L299" s="41" t="str">
        <f t="shared" si="14"/>
        <v>NO</v>
      </c>
      <c r="M299" s="1">
        <f>(Sintesi!$C$29*F299*1000)</f>
        <v>23.3</v>
      </c>
      <c r="N299" s="1">
        <f>Sintesi!$C$30*F299*1000</f>
        <v>10.700000000000001</v>
      </c>
      <c r="O299" s="1">
        <f t="shared" si="12"/>
        <v>12.6</v>
      </c>
      <c r="P299" s="1">
        <f>Sintesi!$C$33*G299*1000</f>
        <v>231.3</v>
      </c>
      <c r="Q299" s="1">
        <f>Sintesi!$C$34*G299*1000</f>
        <v>115.20000000000002</v>
      </c>
      <c r="R299" s="1">
        <f t="shared" si="13"/>
        <v>116.1</v>
      </c>
    </row>
    <row r="300" spans="1:18">
      <c r="A300" s="41">
        <v>299</v>
      </c>
      <c r="B300" s="42">
        <f>DATE(Sintesi!$C$4-1,12,31)+A300</f>
        <v>44495</v>
      </c>
      <c r="C300" s="41">
        <f>'Paste cell here'!B300</f>
        <v>7.9999999999999724E-2</v>
      </c>
      <c r="D300" s="41">
        <f>'Paste cell here'!I300</f>
        <v>0</v>
      </c>
      <c r="E300" s="1">
        <f>'Paste cell here'!H300</f>
        <v>0.15482819336817366</v>
      </c>
      <c r="F300" s="1">
        <f>Sintesi!$C$5</f>
        <v>0.1</v>
      </c>
      <c r="G300" s="1">
        <f>'Paste cell here'!AA300</f>
        <v>0.9</v>
      </c>
      <c r="H300" s="43">
        <f>'Paste cell here'!U300</f>
        <v>10.314804044626026</v>
      </c>
      <c r="I300" s="43">
        <f>'Paste cell here'!AE300</f>
        <v>248.92858451754302</v>
      </c>
      <c r="J300" s="44">
        <f>'Paste cell here'!U299+'Paste cell here'!AF300</f>
        <v>260.21459402999812</v>
      </c>
      <c r="K300" s="45">
        <f>'Paste cell here'!AG300</f>
        <v>240.65152805946124</v>
      </c>
      <c r="L300" s="41" t="str">
        <f t="shared" si="14"/>
        <v>NO</v>
      </c>
      <c r="M300" s="1">
        <f>(Sintesi!$C$29*F300*1000)</f>
        <v>23.3</v>
      </c>
      <c r="N300" s="1">
        <f>Sintesi!$C$30*F300*1000</f>
        <v>10.700000000000001</v>
      </c>
      <c r="O300" s="1">
        <f t="shared" si="12"/>
        <v>12.6</v>
      </c>
      <c r="P300" s="1">
        <f>Sintesi!$C$33*G300*1000</f>
        <v>231.3</v>
      </c>
      <c r="Q300" s="1">
        <f>Sintesi!$C$34*G300*1000</f>
        <v>115.20000000000002</v>
      </c>
      <c r="R300" s="1">
        <f t="shared" si="13"/>
        <v>116.1</v>
      </c>
    </row>
    <row r="301" spans="1:18">
      <c r="A301" s="41">
        <v>300</v>
      </c>
      <c r="B301" s="42">
        <f>DATE(Sintesi!$C$4-1,12,31)+A301</f>
        <v>44496</v>
      </c>
      <c r="C301" s="41">
        <f>'Paste cell here'!B301</f>
        <v>7.9999999999999724E-2</v>
      </c>
      <c r="D301" s="41">
        <f>'Paste cell here'!I301</f>
        <v>0</v>
      </c>
      <c r="E301" s="1">
        <f>'Paste cell here'!H301</f>
        <v>0.15157914970905942</v>
      </c>
      <c r="F301" s="1">
        <f>Sintesi!$C$5</f>
        <v>0.1</v>
      </c>
      <c r="G301" s="1">
        <f>'Paste cell here'!AA301</f>
        <v>0.9</v>
      </c>
      <c r="H301" s="43">
        <f>'Paste cell here'!U301</f>
        <v>9.8314418831873613</v>
      </c>
      <c r="I301" s="43">
        <f>'Paste cell here'!AE301</f>
        <v>248.47459616765465</v>
      </c>
      <c r="J301" s="44">
        <f>'Paste cell here'!U300+'Paste cell here'!AF301</f>
        <v>259.24338856216906</v>
      </c>
      <c r="K301" s="45">
        <f>'Paste cell here'!AG301</f>
        <v>240.94423440271086</v>
      </c>
      <c r="L301" s="41" t="str">
        <f t="shared" si="14"/>
        <v>NO</v>
      </c>
      <c r="M301" s="1">
        <f>(Sintesi!$C$29*F301*1000)</f>
        <v>23.3</v>
      </c>
      <c r="N301" s="1">
        <f>Sintesi!$C$30*F301*1000</f>
        <v>10.700000000000001</v>
      </c>
      <c r="O301" s="1">
        <f t="shared" si="12"/>
        <v>12.6</v>
      </c>
      <c r="P301" s="1">
        <f>Sintesi!$C$33*G301*1000</f>
        <v>231.3</v>
      </c>
      <c r="Q301" s="1">
        <f>Sintesi!$C$34*G301*1000</f>
        <v>115.20000000000002</v>
      </c>
      <c r="R301" s="1">
        <f t="shared" si="13"/>
        <v>116.1</v>
      </c>
    </row>
    <row r="302" spans="1:18">
      <c r="A302" s="41">
        <v>301</v>
      </c>
      <c r="B302" s="42">
        <f>DATE(Sintesi!$C$4-1,12,31)+A302</f>
        <v>44497</v>
      </c>
      <c r="C302" s="41">
        <f>'Paste cell here'!B302</f>
        <v>0</v>
      </c>
      <c r="D302" s="41">
        <f>'Paste cell here'!I302</f>
        <v>0</v>
      </c>
      <c r="E302" s="1">
        <f>'Paste cell here'!H302</f>
        <v>0.14856261464994977</v>
      </c>
      <c r="F302" s="1">
        <f>Sintesi!$C$5</f>
        <v>0.1</v>
      </c>
      <c r="G302" s="1">
        <f>'Paste cell here'!AA302</f>
        <v>0.9</v>
      </c>
      <c r="H302" s="43">
        <f>'Paste cell here'!U302</f>
        <v>9.3794254164704913</v>
      </c>
      <c r="I302" s="43">
        <f>'Paste cell here'!AE302</f>
        <v>248.03138021872104</v>
      </c>
      <c r="J302" s="44">
        <f>'Paste cell here'!U301+'Paste cell here'!AF302</f>
        <v>258.30603805084201</v>
      </c>
      <c r="K302" s="45">
        <f>'Paste cell here'!AG302</f>
        <v>241.21599404618604</v>
      </c>
      <c r="L302" s="41" t="str">
        <f t="shared" si="14"/>
        <v>NO</v>
      </c>
      <c r="M302" s="1">
        <f>(Sintesi!$C$29*F302*1000)</f>
        <v>23.3</v>
      </c>
      <c r="N302" s="1">
        <f>Sintesi!$C$30*F302*1000</f>
        <v>10.700000000000001</v>
      </c>
      <c r="O302" s="1">
        <f t="shared" si="12"/>
        <v>12.6</v>
      </c>
      <c r="P302" s="1">
        <f>Sintesi!$C$33*G302*1000</f>
        <v>231.3</v>
      </c>
      <c r="Q302" s="1">
        <f>Sintesi!$C$34*G302*1000</f>
        <v>115.20000000000002</v>
      </c>
      <c r="R302" s="1">
        <f t="shared" si="13"/>
        <v>116.1</v>
      </c>
    </row>
    <row r="303" spans="1:18">
      <c r="A303" s="41">
        <v>302</v>
      </c>
      <c r="B303" s="42">
        <f>DATE(Sintesi!$C$4-1,12,31)+A303</f>
        <v>44498</v>
      </c>
      <c r="C303" s="41">
        <f>'Paste cell here'!B303</f>
        <v>0.15999999999999945</v>
      </c>
      <c r="D303" s="41">
        <f>'Paste cell here'!I303</f>
        <v>0</v>
      </c>
      <c r="E303" s="1">
        <f>'Paste cell here'!H303</f>
        <v>0.15421257227470947</v>
      </c>
      <c r="F303" s="1">
        <f>Sintesi!$C$5</f>
        <v>0.1</v>
      </c>
      <c r="G303" s="1">
        <f>'Paste cell here'!AA303</f>
        <v>0.9</v>
      </c>
      <c r="H303" s="43">
        <f>'Paste cell here'!U303</f>
        <v>9.1425420440165048</v>
      </c>
      <c r="I303" s="43">
        <f>'Paste cell here'!AE303</f>
        <v>247.59846214960999</v>
      </c>
      <c r="J303" s="44">
        <f>'Paste cell here'!U302+'Paste cell here'!AF303</f>
        <v>257.41080563519154</v>
      </c>
      <c r="K303" s="45">
        <f>'Paste cell here'!AG303</f>
        <v>240.70698936377144</v>
      </c>
      <c r="L303" s="41" t="str">
        <f t="shared" si="14"/>
        <v>NO</v>
      </c>
      <c r="M303" s="1">
        <f>(Sintesi!$C$29*F303*1000)</f>
        <v>23.3</v>
      </c>
      <c r="N303" s="1">
        <f>Sintesi!$C$30*F303*1000</f>
        <v>10.700000000000001</v>
      </c>
      <c r="O303" s="1">
        <f t="shared" si="12"/>
        <v>12.6</v>
      </c>
      <c r="P303" s="1">
        <f>Sintesi!$C$33*G303*1000</f>
        <v>231.3</v>
      </c>
      <c r="Q303" s="1">
        <f>Sintesi!$C$34*G303*1000</f>
        <v>115.20000000000002</v>
      </c>
      <c r="R303" s="1">
        <f t="shared" si="13"/>
        <v>116.1</v>
      </c>
    </row>
    <row r="304" spans="1:18">
      <c r="A304" s="41">
        <v>303</v>
      </c>
      <c r="B304" s="42">
        <f>DATE(Sintesi!$C$4-1,12,31)+A304</f>
        <v>44499</v>
      </c>
      <c r="C304" s="41">
        <f>'Paste cell here'!B304</f>
        <v>1.1999999999999913</v>
      </c>
      <c r="D304" s="41">
        <f>'Paste cell here'!I304</f>
        <v>0</v>
      </c>
      <c r="E304" s="1">
        <f>'Paste cell here'!H304</f>
        <v>0.1562670611271634</v>
      </c>
      <c r="F304" s="1">
        <f>Sintesi!$C$5</f>
        <v>0.1</v>
      </c>
      <c r="G304" s="1">
        <f>'Paste cell here'!AA304</f>
        <v>0.9</v>
      </c>
      <c r="H304" s="43">
        <f>'Paste cell here'!U304</f>
        <v>10.028340489032756</v>
      </c>
      <c r="I304" s="43">
        <f>'Paste cell here'!AE304</f>
        <v>247.17539758572926</v>
      </c>
      <c r="J304" s="44">
        <f>'Paste cell here'!U303+'Paste cell here'!AF304</f>
        <v>256.74100419362651</v>
      </c>
      <c r="K304" s="45">
        <f>'Paste cell here'!AG304</f>
        <v>240.52190046305387</v>
      </c>
      <c r="L304" s="41" t="str">
        <f t="shared" si="14"/>
        <v>NO</v>
      </c>
      <c r="M304" s="1">
        <f>(Sintesi!$C$29*F304*1000)</f>
        <v>23.3</v>
      </c>
      <c r="N304" s="1">
        <f>Sintesi!$C$30*F304*1000</f>
        <v>10.700000000000001</v>
      </c>
      <c r="O304" s="1">
        <f t="shared" si="12"/>
        <v>12.6</v>
      </c>
      <c r="P304" s="1">
        <f>Sintesi!$C$33*G304*1000</f>
        <v>231.3</v>
      </c>
      <c r="Q304" s="1">
        <f>Sintesi!$C$34*G304*1000</f>
        <v>115.20000000000002</v>
      </c>
      <c r="R304" s="1">
        <f t="shared" si="13"/>
        <v>116.1</v>
      </c>
    </row>
    <row r="305" spans="1:18">
      <c r="A305" s="41">
        <v>304</v>
      </c>
      <c r="B305" s="42">
        <f>DATE(Sintesi!$C$4-1,12,31)+A305</f>
        <v>44500</v>
      </c>
      <c r="C305" s="41">
        <f>'Paste cell here'!B305</f>
        <v>0.3199999999999989</v>
      </c>
      <c r="D305" s="41">
        <f>'Paste cell here'!I305</f>
        <v>0</v>
      </c>
      <c r="E305" s="1">
        <f>'Paste cell here'!H305</f>
        <v>0.16803272017739443</v>
      </c>
      <c r="F305" s="1">
        <f>Sintesi!$C$5</f>
        <v>0.1</v>
      </c>
      <c r="G305" s="1">
        <f>'Paste cell here'!AA305</f>
        <v>0.9</v>
      </c>
      <c r="H305" s="43">
        <f>'Paste cell here'!U305</f>
        <v>10.025782073077041</v>
      </c>
      <c r="I305" s="43">
        <f>'Paste cell here'!AE305</f>
        <v>246.76176982823316</v>
      </c>
      <c r="J305" s="44">
        <f>'Paste cell here'!U304+'Paste cell here'!AF305</f>
        <v>257.20373807476204</v>
      </c>
      <c r="K305" s="45">
        <f>'Paste cell here'!AG305</f>
        <v>239.46193223921856</v>
      </c>
      <c r="L305" s="41" t="str">
        <f t="shared" si="14"/>
        <v>NO</v>
      </c>
      <c r="M305" s="1">
        <f>(Sintesi!$C$29*F305*1000)</f>
        <v>23.3</v>
      </c>
      <c r="N305" s="1">
        <f>Sintesi!$C$30*F305*1000</f>
        <v>10.700000000000001</v>
      </c>
      <c r="O305" s="1">
        <f t="shared" si="12"/>
        <v>12.6</v>
      </c>
      <c r="P305" s="1">
        <f>Sintesi!$C$33*G305*1000</f>
        <v>231.3</v>
      </c>
      <c r="Q305" s="1">
        <f>Sintesi!$C$34*G305*1000</f>
        <v>115.20000000000002</v>
      </c>
      <c r="R305" s="1">
        <f t="shared" si="13"/>
        <v>116.1</v>
      </c>
    </row>
    <row r="306" spans="1:18">
      <c r="A306" s="41">
        <v>305</v>
      </c>
      <c r="B306" s="42">
        <f>DATE(Sintesi!$C$4-1,12,31)+A306</f>
        <v>44501</v>
      </c>
      <c r="C306" s="41">
        <f>'Paste cell here'!B306</f>
        <v>30.079999999999878</v>
      </c>
      <c r="D306" s="41">
        <f>'Paste cell here'!I306</f>
        <v>0</v>
      </c>
      <c r="E306" s="1">
        <f>'Paste cell here'!H306</f>
        <v>0.17030207380121073</v>
      </c>
      <c r="F306" s="1">
        <f>Sintesi!$C$5</f>
        <v>0.1</v>
      </c>
      <c r="G306" s="1">
        <f>'Paste cell here'!AA306</f>
        <v>0.9</v>
      </c>
      <c r="H306" s="43">
        <f>'Paste cell here'!U306</f>
        <v>33.302470284990008</v>
      </c>
      <c r="I306" s="43">
        <f>'Paste cell here'!AE306</f>
        <v>247.09633545678878</v>
      </c>
      <c r="J306" s="44">
        <f>'Paste cell here'!U305+'Paste cell here'!AF306</f>
        <v>256.78755190131017</v>
      </c>
      <c r="K306" s="45">
        <f>'Paste cell here'!AG306</f>
        <v>239.25748617124896</v>
      </c>
      <c r="L306" s="41" t="str">
        <f t="shared" si="14"/>
        <v>NO</v>
      </c>
      <c r="M306" s="1">
        <f>(Sintesi!$C$29*F306*1000)</f>
        <v>23.3</v>
      </c>
      <c r="N306" s="1">
        <f>Sintesi!$C$30*F306*1000</f>
        <v>10.700000000000001</v>
      </c>
      <c r="O306" s="1">
        <f t="shared" si="12"/>
        <v>12.6</v>
      </c>
      <c r="P306" s="1">
        <f>Sintesi!$C$33*G306*1000</f>
        <v>231.3</v>
      </c>
      <c r="Q306" s="1">
        <f>Sintesi!$C$34*G306*1000</f>
        <v>115.20000000000002</v>
      </c>
      <c r="R306" s="1">
        <f t="shared" si="13"/>
        <v>116.1</v>
      </c>
    </row>
    <row r="307" spans="1:18">
      <c r="A307" s="41">
        <v>306</v>
      </c>
      <c r="B307" s="42">
        <f>DATE(Sintesi!$C$4-1,12,31)+A307</f>
        <v>44502</v>
      </c>
      <c r="C307" s="41">
        <f>'Paste cell here'!B307</f>
        <v>0.15999999999999945</v>
      </c>
      <c r="D307" s="41">
        <f>'Paste cell here'!I307</f>
        <v>0</v>
      </c>
      <c r="E307" s="1">
        <f>'Paste cell here'!H307</f>
        <v>0.17841546069950254</v>
      </c>
      <c r="F307" s="1">
        <f>Sintesi!$C$5</f>
        <v>0.1</v>
      </c>
      <c r="G307" s="1">
        <f>'Paste cell here'!AA307</f>
        <v>0.9</v>
      </c>
      <c r="H307" s="43">
        <f>'Paste cell here'!U307</f>
        <v>29.652325409394606</v>
      </c>
      <c r="I307" s="43">
        <f>'Paste cell here'!AE307</f>
        <v>249.62652721556427</v>
      </c>
      <c r="J307" s="44">
        <f>'Paste cell here'!U306+'Paste cell here'!AF307</f>
        <v>280.3988057417788</v>
      </c>
      <c r="K307" s="45">
        <f>'Paste cell here'!AG307</f>
        <v>238.52655114558183</v>
      </c>
      <c r="L307" s="41" t="str">
        <f t="shared" si="14"/>
        <v>NO</v>
      </c>
      <c r="M307" s="1">
        <f>(Sintesi!$C$29*F307*1000)</f>
        <v>23.3</v>
      </c>
      <c r="N307" s="1">
        <f>Sintesi!$C$30*F307*1000</f>
        <v>10.700000000000001</v>
      </c>
      <c r="O307" s="1">
        <f t="shared" si="12"/>
        <v>12.6</v>
      </c>
      <c r="P307" s="1">
        <f>Sintesi!$C$33*G307*1000</f>
        <v>231.3</v>
      </c>
      <c r="Q307" s="1">
        <f>Sintesi!$C$34*G307*1000</f>
        <v>115.20000000000002</v>
      </c>
      <c r="R307" s="1">
        <f t="shared" si="13"/>
        <v>116.1</v>
      </c>
    </row>
    <row r="308" spans="1:18">
      <c r="A308" s="41">
        <v>307</v>
      </c>
      <c r="B308" s="42">
        <f>DATE(Sintesi!$C$4-1,12,31)+A308</f>
        <v>44503</v>
      </c>
      <c r="C308" s="41">
        <f>'Paste cell here'!B308</f>
        <v>28.03999999999975</v>
      </c>
      <c r="D308" s="41">
        <f>'Paste cell here'!I308</f>
        <v>0</v>
      </c>
      <c r="E308" s="1">
        <f>'Paste cell here'!H308</f>
        <v>0.16696293350137859</v>
      </c>
      <c r="F308" s="1">
        <f>Sintesi!$C$5</f>
        <v>0.1</v>
      </c>
      <c r="G308" s="1">
        <f>'Paste cell here'!AA308</f>
        <v>0.9</v>
      </c>
      <c r="H308" s="43">
        <f>'Paste cell here'!U308</f>
        <v>35.035725854372714</v>
      </c>
      <c r="I308" s="43">
        <f>'Paste cell here'!AE308</f>
        <v>255.31838164305148</v>
      </c>
      <c r="J308" s="44">
        <f>'Paste cell here'!U307+'Paste cell here'!AF308</f>
        <v>279.27885262495886</v>
      </c>
      <c r="K308" s="45">
        <f>'Paste cell here'!AG308</f>
        <v>239.55830932086081</v>
      </c>
      <c r="L308" s="41" t="str">
        <f t="shared" si="14"/>
        <v>NO</v>
      </c>
      <c r="M308" s="1">
        <f>(Sintesi!$C$29*F308*1000)</f>
        <v>23.3</v>
      </c>
      <c r="N308" s="1">
        <f>Sintesi!$C$30*F308*1000</f>
        <v>10.700000000000001</v>
      </c>
      <c r="O308" s="1">
        <f t="shared" si="12"/>
        <v>12.6</v>
      </c>
      <c r="P308" s="1">
        <f>Sintesi!$C$33*G308*1000</f>
        <v>231.3</v>
      </c>
      <c r="Q308" s="1">
        <f>Sintesi!$C$34*G308*1000</f>
        <v>115.20000000000002</v>
      </c>
      <c r="R308" s="1">
        <f t="shared" si="13"/>
        <v>116.1</v>
      </c>
    </row>
    <row r="309" spans="1:18">
      <c r="A309" s="41">
        <v>308</v>
      </c>
      <c r="B309" s="42">
        <f>DATE(Sintesi!$C$4-1,12,31)+A309</f>
        <v>44504</v>
      </c>
      <c r="C309" s="41">
        <f>'Paste cell here'!B309</f>
        <v>6.8399999999998879</v>
      </c>
      <c r="D309" s="41">
        <f>'Paste cell here'!I309</f>
        <v>0</v>
      </c>
      <c r="E309" s="1">
        <f>'Paste cell here'!H309</f>
        <v>0.17513500009722607</v>
      </c>
      <c r="F309" s="1">
        <f>Sintesi!$C$5</f>
        <v>0.1</v>
      </c>
      <c r="G309" s="1">
        <f>'Paste cell here'!AA309</f>
        <v>0.9</v>
      </c>
      <c r="H309" s="43">
        <f>'Paste cell here'!U309</f>
        <v>33.071007823938551</v>
      </c>
      <c r="I309" s="43">
        <f>'Paste cell here'!AE309</f>
        <v>261.34832589848503</v>
      </c>
      <c r="J309" s="44">
        <f>'Paste cell here'!U308+'Paste cell here'!AF309</f>
        <v>290.3541074974242</v>
      </c>
      <c r="K309" s="45">
        <f>'Paste cell here'!AG309</f>
        <v>238.82208784124094</v>
      </c>
      <c r="L309" s="41" t="str">
        <f t="shared" si="14"/>
        <v>NO</v>
      </c>
      <c r="M309" s="1">
        <f>(Sintesi!$C$29*F309*1000)</f>
        <v>23.3</v>
      </c>
      <c r="N309" s="1">
        <f>Sintesi!$C$30*F309*1000</f>
        <v>10.700000000000001</v>
      </c>
      <c r="O309" s="1">
        <f t="shared" si="12"/>
        <v>12.6</v>
      </c>
      <c r="P309" s="1">
        <f>Sintesi!$C$33*G309*1000</f>
        <v>231.3</v>
      </c>
      <c r="Q309" s="1">
        <f>Sintesi!$C$34*G309*1000</f>
        <v>115.20000000000002</v>
      </c>
      <c r="R309" s="1">
        <f t="shared" si="13"/>
        <v>116.1</v>
      </c>
    </row>
    <row r="310" spans="1:18">
      <c r="A310" s="41">
        <v>309</v>
      </c>
      <c r="B310" s="42">
        <f>DATE(Sintesi!$C$4-1,12,31)+A310</f>
        <v>44505</v>
      </c>
      <c r="C310" s="41">
        <f>'Paste cell here'!B310</f>
        <v>0</v>
      </c>
      <c r="D310" s="41">
        <f>'Paste cell here'!I310</f>
        <v>0</v>
      </c>
      <c r="E310" s="1">
        <f>'Paste cell here'!H310</f>
        <v>0.15322948322133953</v>
      </c>
      <c r="F310" s="1">
        <f>Sintesi!$C$5</f>
        <v>0.1</v>
      </c>
      <c r="G310" s="1">
        <f>'Paste cell here'!AA310</f>
        <v>0.9</v>
      </c>
      <c r="H310" s="43">
        <f>'Paste cell here'!U310</f>
        <v>29.41773217177202</v>
      </c>
      <c r="I310" s="43">
        <f>'Paste cell here'!AE310</f>
        <v>263.18618772693435</v>
      </c>
      <c r="J310" s="44">
        <f>'Paste cell here'!U309+'Paste cell here'!AF310</f>
        <v>294.41933372242352</v>
      </c>
      <c r="K310" s="45">
        <f>'Paste cell here'!AG310</f>
        <v>240.79555585658952</v>
      </c>
      <c r="L310" s="41" t="str">
        <f t="shared" si="14"/>
        <v>NO</v>
      </c>
      <c r="M310" s="1">
        <f>(Sintesi!$C$29*F310*1000)</f>
        <v>23.3</v>
      </c>
      <c r="N310" s="1">
        <f>Sintesi!$C$30*F310*1000</f>
        <v>10.700000000000001</v>
      </c>
      <c r="O310" s="1">
        <f t="shared" si="12"/>
        <v>12.6</v>
      </c>
      <c r="P310" s="1">
        <f>Sintesi!$C$33*G310*1000</f>
        <v>231.3</v>
      </c>
      <c r="Q310" s="1">
        <f>Sintesi!$C$34*G310*1000</f>
        <v>115.20000000000002</v>
      </c>
      <c r="R310" s="1">
        <f t="shared" si="13"/>
        <v>116.1</v>
      </c>
    </row>
    <row r="311" spans="1:18">
      <c r="A311" s="41">
        <v>310</v>
      </c>
      <c r="B311" s="42">
        <f>DATE(Sintesi!$C$4-1,12,31)+A311</f>
        <v>44506</v>
      </c>
      <c r="C311" s="41">
        <f>'Paste cell here'!B311</f>
        <v>0</v>
      </c>
      <c r="D311" s="41">
        <f>'Paste cell here'!I311</f>
        <v>0</v>
      </c>
      <c r="E311" s="1">
        <f>'Paste cell here'!H311</f>
        <v>0.16450933236156001</v>
      </c>
      <c r="F311" s="1">
        <f>Sintesi!$C$5</f>
        <v>0.1</v>
      </c>
      <c r="G311" s="1">
        <f>'Paste cell here'!AA311</f>
        <v>0.9</v>
      </c>
      <c r="H311" s="43">
        <f>'Paste cell here'!U311</f>
        <v>27.570732215010153</v>
      </c>
      <c r="I311" s="43">
        <f>'Paste cell here'!AE311</f>
        <v>263.21511848708661</v>
      </c>
      <c r="J311" s="44">
        <f>'Paste cell here'!U310+'Paste cell here'!AF311</f>
        <v>292.60391989870635</v>
      </c>
      <c r="K311" s="45">
        <f>'Paste cell here'!AG311</f>
        <v>239.77935424754708</v>
      </c>
      <c r="L311" s="41" t="str">
        <f t="shared" si="14"/>
        <v>NO</v>
      </c>
      <c r="M311" s="1">
        <f>(Sintesi!$C$29*F311*1000)</f>
        <v>23.3</v>
      </c>
      <c r="N311" s="1">
        <f>Sintesi!$C$30*F311*1000</f>
        <v>10.700000000000001</v>
      </c>
      <c r="O311" s="1">
        <f t="shared" si="12"/>
        <v>12.6</v>
      </c>
      <c r="P311" s="1">
        <f>Sintesi!$C$33*G311*1000</f>
        <v>231.3</v>
      </c>
      <c r="Q311" s="1">
        <f>Sintesi!$C$34*G311*1000</f>
        <v>115.20000000000002</v>
      </c>
      <c r="R311" s="1">
        <f t="shared" si="13"/>
        <v>116.1</v>
      </c>
    </row>
    <row r="312" spans="1:18">
      <c r="A312" s="41">
        <v>311</v>
      </c>
      <c r="B312" s="42">
        <f>DATE(Sintesi!$C$4-1,12,31)+A312</f>
        <v>44507</v>
      </c>
      <c r="C312" s="41">
        <f>'Paste cell here'!B312</f>
        <v>0</v>
      </c>
      <c r="D312" s="41">
        <f>'Paste cell here'!I312</f>
        <v>0</v>
      </c>
      <c r="E312" s="1">
        <f>'Paste cell here'!H312</f>
        <v>0.16567515337692751</v>
      </c>
      <c r="F312" s="1">
        <f>Sintesi!$C$5</f>
        <v>0.1</v>
      </c>
      <c r="G312" s="1">
        <f>'Paste cell here'!AA312</f>
        <v>0.9</v>
      </c>
      <c r="H312" s="43">
        <f>'Paste cell here'!U312</f>
        <v>26.1888484003318</v>
      </c>
      <c r="I312" s="43">
        <f>'Paste cell here'!AE312</f>
        <v>262.76553880421943</v>
      </c>
      <c r="J312" s="44">
        <f>'Paste cell here'!U311+'Paste cell here'!AF312</f>
        <v>290.78585070209675</v>
      </c>
      <c r="K312" s="45">
        <f>'Paste cell here'!AG312</f>
        <v>239.67432543227261</v>
      </c>
      <c r="L312" s="41" t="str">
        <f t="shared" si="14"/>
        <v>NO</v>
      </c>
      <c r="M312" s="1">
        <f>(Sintesi!$C$29*F312*1000)</f>
        <v>23.3</v>
      </c>
      <c r="N312" s="1">
        <f>Sintesi!$C$30*F312*1000</f>
        <v>10.700000000000001</v>
      </c>
      <c r="O312" s="1">
        <f t="shared" si="12"/>
        <v>12.6</v>
      </c>
      <c r="P312" s="1">
        <f>Sintesi!$C$33*G312*1000</f>
        <v>231.3</v>
      </c>
      <c r="Q312" s="1">
        <f>Sintesi!$C$34*G312*1000</f>
        <v>115.20000000000002</v>
      </c>
      <c r="R312" s="1">
        <f t="shared" si="13"/>
        <v>116.1</v>
      </c>
    </row>
    <row r="313" spans="1:18">
      <c r="A313" s="41">
        <v>312</v>
      </c>
      <c r="B313" s="42">
        <f>DATE(Sintesi!$C$4-1,12,31)+A313</f>
        <v>44508</v>
      </c>
      <c r="C313" s="41">
        <f>'Paste cell here'!B313</f>
        <v>0.839999999999965</v>
      </c>
      <c r="D313" s="41">
        <f>'Paste cell here'!I313</f>
        <v>0</v>
      </c>
      <c r="E313" s="1">
        <f>'Paste cell here'!H313</f>
        <v>0.16466899653909736</v>
      </c>
      <c r="F313" s="1">
        <f>Sintesi!$C$5</f>
        <v>0.1</v>
      </c>
      <c r="G313" s="1">
        <f>'Paste cell here'!AA313</f>
        <v>0.9</v>
      </c>
      <c r="H313" s="43">
        <f>'Paste cell here'!U313</f>
        <v>26.09242312748302</v>
      </c>
      <c r="I313" s="43">
        <f>'Paste cell here'!AE313</f>
        <v>262.19340473060572</v>
      </c>
      <c r="J313" s="44">
        <f>'Paste cell here'!U312+'Paste cell here'!AF313</f>
        <v>288.95438720455121</v>
      </c>
      <c r="K313" s="45">
        <f>'Paste cell here'!AG313</f>
        <v>239.76497010179273</v>
      </c>
      <c r="L313" s="41" t="str">
        <f t="shared" si="14"/>
        <v>NO</v>
      </c>
      <c r="M313" s="1">
        <f>(Sintesi!$C$29*F313*1000)</f>
        <v>23.3</v>
      </c>
      <c r="N313" s="1">
        <f>Sintesi!$C$30*F313*1000</f>
        <v>10.700000000000001</v>
      </c>
      <c r="O313" s="1">
        <f t="shared" si="12"/>
        <v>12.6</v>
      </c>
      <c r="P313" s="1">
        <f>Sintesi!$C$33*G313*1000</f>
        <v>231.3</v>
      </c>
      <c r="Q313" s="1">
        <f>Sintesi!$C$34*G313*1000</f>
        <v>115.20000000000002</v>
      </c>
      <c r="R313" s="1">
        <f t="shared" si="13"/>
        <v>116.1</v>
      </c>
    </row>
    <row r="314" spans="1:18">
      <c r="A314" s="41">
        <v>313</v>
      </c>
      <c r="B314" s="42">
        <f>DATE(Sintesi!$C$4-1,12,31)+A314</f>
        <v>44509</v>
      </c>
      <c r="C314" s="41">
        <f>'Paste cell here'!B314</f>
        <v>0</v>
      </c>
      <c r="D314" s="41">
        <f>'Paste cell here'!I314</f>
        <v>0</v>
      </c>
      <c r="E314" s="1">
        <f>'Paste cell here'!H314</f>
        <v>0.1765876971094201</v>
      </c>
      <c r="F314" s="1">
        <f>Sintesi!$C$5</f>
        <v>0.1</v>
      </c>
      <c r="G314" s="1">
        <f>'Paste cell here'!AA314</f>
        <v>0.9</v>
      </c>
      <c r="H314" s="43">
        <f>'Paste cell here'!U314</f>
        <v>25.089418856404787</v>
      </c>
      <c r="I314" s="43">
        <f>'Paste cell here'!AE314</f>
        <v>261.57127342707906</v>
      </c>
      <c r="J314" s="44">
        <f>'Paste cell here'!U313+'Paste cell here'!AF314</f>
        <v>288.28582785808879</v>
      </c>
      <c r="K314" s="45">
        <f>'Paste cell here'!AG314</f>
        <v>238.69121436741236</v>
      </c>
      <c r="L314" s="41" t="str">
        <f t="shared" si="14"/>
        <v>NO</v>
      </c>
      <c r="M314" s="1">
        <f>(Sintesi!$C$29*F314*1000)</f>
        <v>23.3</v>
      </c>
      <c r="N314" s="1">
        <f>Sintesi!$C$30*F314*1000</f>
        <v>10.700000000000001</v>
      </c>
      <c r="O314" s="1">
        <f t="shared" si="12"/>
        <v>12.6</v>
      </c>
      <c r="P314" s="1">
        <f>Sintesi!$C$33*G314*1000</f>
        <v>231.3</v>
      </c>
      <c r="Q314" s="1">
        <f>Sintesi!$C$34*G314*1000</f>
        <v>115.20000000000002</v>
      </c>
      <c r="R314" s="1">
        <f t="shared" si="13"/>
        <v>116.1</v>
      </c>
    </row>
    <row r="315" spans="1:18">
      <c r="A315" s="41">
        <v>314</v>
      </c>
      <c r="B315" s="42">
        <f>DATE(Sintesi!$C$4-1,12,31)+A315</f>
        <v>44510</v>
      </c>
      <c r="C315" s="41">
        <f>'Paste cell here'!B315</f>
        <v>0</v>
      </c>
      <c r="D315" s="41">
        <f>'Paste cell here'!I315</f>
        <v>0</v>
      </c>
      <c r="E315" s="1">
        <f>'Paste cell here'!H315</f>
        <v>0.17086227251186228</v>
      </c>
      <c r="F315" s="1">
        <f>Sintesi!$C$5</f>
        <v>0.1</v>
      </c>
      <c r="G315" s="1">
        <f>'Paste cell here'!AA315</f>
        <v>0.9</v>
      </c>
      <c r="H315" s="43">
        <f>'Paste cell here'!U315</f>
        <v>24.089984669386567</v>
      </c>
      <c r="I315" s="43">
        <f>'Paste cell here'!AE315</f>
        <v>260.87276457572386</v>
      </c>
      <c r="J315" s="44">
        <f>'Paste cell here'!U314+'Paste cell here'!AF315</f>
        <v>286.66069228348385</v>
      </c>
      <c r="K315" s="45">
        <f>'Paste cell here'!AG315</f>
        <v>239.20701786940634</v>
      </c>
      <c r="L315" s="41" t="str">
        <f t="shared" si="14"/>
        <v>NO</v>
      </c>
      <c r="M315" s="1">
        <f>(Sintesi!$C$29*F315*1000)</f>
        <v>23.3</v>
      </c>
      <c r="N315" s="1">
        <f>Sintesi!$C$30*F315*1000</f>
        <v>10.700000000000001</v>
      </c>
      <c r="O315" s="1">
        <f t="shared" si="12"/>
        <v>12.6</v>
      </c>
      <c r="P315" s="1">
        <f>Sintesi!$C$33*G315*1000</f>
        <v>231.3</v>
      </c>
      <c r="Q315" s="1">
        <f>Sintesi!$C$34*G315*1000</f>
        <v>115.20000000000002</v>
      </c>
      <c r="R315" s="1">
        <f t="shared" si="13"/>
        <v>116.1</v>
      </c>
    </row>
    <row r="316" spans="1:18">
      <c r="A316" s="41">
        <v>315</v>
      </c>
      <c r="B316" s="42">
        <f>DATE(Sintesi!$C$4-1,12,31)+A316</f>
        <v>44511</v>
      </c>
      <c r="C316" s="41">
        <f>'Paste cell here'!B316</f>
        <v>7.9999999999999724E-2</v>
      </c>
      <c r="D316" s="41">
        <f>'Paste cell here'!I316</f>
        <v>0</v>
      </c>
      <c r="E316" s="1">
        <f>'Paste cell here'!H316</f>
        <v>0.16678093610662409</v>
      </c>
      <c r="F316" s="1">
        <f>Sintesi!$C$5</f>
        <v>0.1</v>
      </c>
      <c r="G316" s="1">
        <f>'Paste cell here'!AA316</f>
        <v>0.9</v>
      </c>
      <c r="H316" s="43">
        <f>'Paste cell here'!U316</f>
        <v>23.268934118678512</v>
      </c>
      <c r="I316" s="43">
        <f>'Paste cell here'!AE316</f>
        <v>260.14149494538464</v>
      </c>
      <c r="J316" s="44">
        <f>'Paste cell here'!U315+'Paste cell here'!AF316</f>
        <v>284.9627492451105</v>
      </c>
      <c r="K316" s="45">
        <f>'Paste cell here'!AG316</f>
        <v>239.57470546615426</v>
      </c>
      <c r="L316" s="41" t="str">
        <f t="shared" si="14"/>
        <v>NO</v>
      </c>
      <c r="M316" s="1">
        <f>(Sintesi!$C$29*F316*1000)</f>
        <v>23.3</v>
      </c>
      <c r="N316" s="1">
        <f>Sintesi!$C$30*F316*1000</f>
        <v>10.700000000000001</v>
      </c>
      <c r="O316" s="1">
        <f t="shared" si="12"/>
        <v>12.6</v>
      </c>
      <c r="P316" s="1">
        <f>Sintesi!$C$33*G316*1000</f>
        <v>231.3</v>
      </c>
      <c r="Q316" s="1">
        <f>Sintesi!$C$34*G316*1000</f>
        <v>115.20000000000002</v>
      </c>
      <c r="R316" s="1">
        <f t="shared" si="13"/>
        <v>116.1</v>
      </c>
    </row>
    <row r="317" spans="1:18">
      <c r="A317" s="41">
        <v>316</v>
      </c>
      <c r="B317" s="42">
        <f>DATE(Sintesi!$C$4-1,12,31)+A317</f>
        <v>44512</v>
      </c>
      <c r="C317" s="41">
        <f>'Paste cell here'!B317</f>
        <v>7.9999999999999724E-2</v>
      </c>
      <c r="D317" s="41">
        <f>'Paste cell here'!I317</f>
        <v>0</v>
      </c>
      <c r="E317" s="1">
        <f>'Paste cell here'!H317</f>
        <v>0.16817968079692369</v>
      </c>
      <c r="F317" s="1">
        <f>Sintesi!$C$5</f>
        <v>0.1</v>
      </c>
      <c r="G317" s="1">
        <f>'Paste cell here'!AA317</f>
        <v>0.9</v>
      </c>
      <c r="H317" s="43">
        <f>'Paste cell here'!U317</f>
        <v>22.560233344803027</v>
      </c>
      <c r="I317" s="43">
        <f>'Paste cell here'!AE317</f>
        <v>259.40465573214789</v>
      </c>
      <c r="J317" s="44">
        <f>'Paste cell here'!U316+'Paste cell here'!AF317</f>
        <v>283.41042906406312</v>
      </c>
      <c r="K317" s="45">
        <f>'Paste cell here'!AG317</f>
        <v>239.44869255700516</v>
      </c>
      <c r="L317" s="41" t="str">
        <f t="shared" si="14"/>
        <v>NO</v>
      </c>
      <c r="M317" s="1">
        <f>(Sintesi!$C$29*F317*1000)</f>
        <v>23.3</v>
      </c>
      <c r="N317" s="1">
        <f>Sintesi!$C$30*F317*1000</f>
        <v>10.700000000000001</v>
      </c>
      <c r="O317" s="1">
        <f t="shared" si="12"/>
        <v>12.6</v>
      </c>
      <c r="P317" s="1">
        <f>Sintesi!$C$33*G317*1000</f>
        <v>231.3</v>
      </c>
      <c r="Q317" s="1">
        <f>Sintesi!$C$34*G317*1000</f>
        <v>115.20000000000002</v>
      </c>
      <c r="R317" s="1">
        <f t="shared" si="13"/>
        <v>116.1</v>
      </c>
    </row>
    <row r="318" spans="1:18">
      <c r="A318" s="41">
        <v>317</v>
      </c>
      <c r="B318" s="42">
        <f>DATE(Sintesi!$C$4-1,12,31)+A318</f>
        <v>44513</v>
      </c>
      <c r="C318" s="41">
        <f>'Paste cell here'!B318</f>
        <v>18.159999999999762</v>
      </c>
      <c r="D318" s="41">
        <f>'Paste cell here'!I318</f>
        <v>0</v>
      </c>
      <c r="E318" s="1">
        <f>'Paste cell here'!H318</f>
        <v>0.17123546221594854</v>
      </c>
      <c r="F318" s="1">
        <f>Sintesi!$C$5</f>
        <v>0.1</v>
      </c>
      <c r="G318" s="1">
        <f>'Paste cell here'!AA318</f>
        <v>0.9</v>
      </c>
      <c r="H318" s="43">
        <f>'Paste cell here'!U318</f>
        <v>31.493492348094644</v>
      </c>
      <c r="I318" s="43">
        <f>'Paste cell here'!AE318</f>
        <v>259.54420749947036</v>
      </c>
      <c r="J318" s="44">
        <f>'Paste cell here'!U317+'Paste cell here'!AF318</f>
        <v>281.9648890769509</v>
      </c>
      <c r="K318" s="45">
        <f>'Paste cell here'!AG318</f>
        <v>239.17339720896521</v>
      </c>
      <c r="L318" s="41" t="str">
        <f t="shared" si="14"/>
        <v>NO</v>
      </c>
      <c r="M318" s="1">
        <f>(Sintesi!$C$29*F318*1000)</f>
        <v>23.3</v>
      </c>
      <c r="N318" s="1">
        <f>Sintesi!$C$30*F318*1000</f>
        <v>10.700000000000001</v>
      </c>
      <c r="O318" s="1">
        <f t="shared" si="12"/>
        <v>12.6</v>
      </c>
      <c r="P318" s="1">
        <f>Sintesi!$C$33*G318*1000</f>
        <v>231.3</v>
      </c>
      <c r="Q318" s="1">
        <f>Sintesi!$C$34*G318*1000</f>
        <v>115.20000000000002</v>
      </c>
      <c r="R318" s="1">
        <f t="shared" si="13"/>
        <v>116.1</v>
      </c>
    </row>
    <row r="319" spans="1:18">
      <c r="A319" s="41">
        <v>318</v>
      </c>
      <c r="B319" s="42">
        <f>DATE(Sintesi!$C$4-1,12,31)+A319</f>
        <v>44514</v>
      </c>
      <c r="C319" s="41">
        <f>'Paste cell here'!B319</f>
        <v>36.439999999999529</v>
      </c>
      <c r="D319" s="41">
        <f>'Paste cell here'!I319</f>
        <v>0</v>
      </c>
      <c r="E319" s="1">
        <f>'Paste cell here'!H319</f>
        <v>0.17385983998136698</v>
      </c>
      <c r="F319" s="1">
        <f>Sintesi!$C$5</f>
        <v>0.1</v>
      </c>
      <c r="G319" s="1">
        <f>'Paste cell here'!AA319</f>
        <v>0.9</v>
      </c>
      <c r="H319" s="43">
        <f>'Paste cell here'!U319</f>
        <v>35.499564840320048</v>
      </c>
      <c r="I319" s="43">
        <f>'Paste cell here'!AE319</f>
        <v>267.21748060358516</v>
      </c>
      <c r="J319" s="44">
        <f>'Paste cell here'!U318+'Paste cell here'!AF319</f>
        <v>291.03769984756497</v>
      </c>
      <c r="K319" s="45">
        <f>'Paste cell here'!AG319</f>
        <v>238.93696701607865</v>
      </c>
      <c r="L319" s="41" t="str">
        <f t="shared" si="14"/>
        <v>NO</v>
      </c>
      <c r="M319" s="1">
        <f>(Sintesi!$C$29*F319*1000)</f>
        <v>23.3</v>
      </c>
      <c r="N319" s="1">
        <f>Sintesi!$C$30*F319*1000</f>
        <v>10.700000000000001</v>
      </c>
      <c r="O319" s="1">
        <f t="shared" si="12"/>
        <v>12.6</v>
      </c>
      <c r="P319" s="1">
        <f>Sintesi!$C$33*G319*1000</f>
        <v>231.3</v>
      </c>
      <c r="Q319" s="1">
        <f>Sintesi!$C$34*G319*1000</f>
        <v>115.20000000000002</v>
      </c>
      <c r="R319" s="1">
        <f t="shared" si="13"/>
        <v>116.1</v>
      </c>
    </row>
    <row r="320" spans="1:18">
      <c r="A320" s="41">
        <v>319</v>
      </c>
      <c r="B320" s="42">
        <f>DATE(Sintesi!$C$4-1,12,31)+A320</f>
        <v>44515</v>
      </c>
      <c r="C320" s="41">
        <f>'Paste cell here'!B320</f>
        <v>4.2799999999999274</v>
      </c>
      <c r="D320" s="41">
        <f>'Paste cell here'!I320</f>
        <v>0</v>
      </c>
      <c r="E320" s="1">
        <f>'Paste cell here'!H320</f>
        <v>0.17997357017735413</v>
      </c>
      <c r="F320" s="1">
        <f>Sintesi!$C$5</f>
        <v>0.1</v>
      </c>
      <c r="G320" s="1">
        <f>'Paste cell here'!AA320</f>
        <v>0.9</v>
      </c>
      <c r="H320" s="43">
        <f>'Paste cell here'!U320</f>
        <v>32.537883570542981</v>
      </c>
      <c r="I320" s="43">
        <f>'Paste cell here'!AE320</f>
        <v>272.42121051034536</v>
      </c>
      <c r="J320" s="44">
        <f>'Paste cell here'!U319+'Paste cell here'!AF320</f>
        <v>302.71704544390525</v>
      </c>
      <c r="K320" s="45">
        <f>'Paste cell here'!AG320</f>
        <v>238.38618106272216</v>
      </c>
      <c r="L320" s="41" t="str">
        <f t="shared" si="14"/>
        <v>NO</v>
      </c>
      <c r="M320" s="1">
        <f>(Sintesi!$C$29*F320*1000)</f>
        <v>23.3</v>
      </c>
      <c r="N320" s="1">
        <f>Sintesi!$C$30*F320*1000</f>
        <v>10.700000000000001</v>
      </c>
      <c r="O320" s="1">
        <f t="shared" si="12"/>
        <v>12.6</v>
      </c>
      <c r="P320" s="1">
        <f>Sintesi!$C$33*G320*1000</f>
        <v>231.3</v>
      </c>
      <c r="Q320" s="1">
        <f>Sintesi!$C$34*G320*1000</f>
        <v>115.20000000000002</v>
      </c>
      <c r="R320" s="1">
        <f t="shared" si="13"/>
        <v>116.1</v>
      </c>
    </row>
    <row r="321" spans="1:18">
      <c r="A321" s="41">
        <v>320</v>
      </c>
      <c r="B321" s="42">
        <f>DATE(Sintesi!$C$4-1,12,31)+A321</f>
        <v>44516</v>
      </c>
      <c r="C321" s="41">
        <f>'Paste cell here'!B321</f>
        <v>2.9199999999999449</v>
      </c>
      <c r="D321" s="41">
        <f>'Paste cell here'!I321</f>
        <v>0</v>
      </c>
      <c r="E321" s="1">
        <f>'Paste cell here'!H321</f>
        <v>0.17766447334853844</v>
      </c>
      <c r="F321" s="1">
        <f>Sintesi!$C$5</f>
        <v>0.1</v>
      </c>
      <c r="G321" s="1">
        <f>'Paste cell here'!AA321</f>
        <v>0.9</v>
      </c>
      <c r="H321" s="43">
        <f>'Paste cell here'!U321</f>
        <v>31.283252039820045</v>
      </c>
      <c r="I321" s="43">
        <f>'Paste cell here'!AE321</f>
        <v>274.35711160048459</v>
      </c>
      <c r="J321" s="44">
        <f>'Paste cell here'!U320+'Paste cell here'!AF321</f>
        <v>304.95909408088841</v>
      </c>
      <c r="K321" s="45">
        <f>'Paste cell here'!AG321</f>
        <v>238.59420759603017</v>
      </c>
      <c r="L321" s="41" t="str">
        <f t="shared" si="14"/>
        <v>NO</v>
      </c>
      <c r="M321" s="1">
        <f>(Sintesi!$C$29*F321*1000)</f>
        <v>23.3</v>
      </c>
      <c r="N321" s="1">
        <f>Sintesi!$C$30*F321*1000</f>
        <v>10.700000000000001</v>
      </c>
      <c r="O321" s="1">
        <f t="shared" si="12"/>
        <v>12.6</v>
      </c>
      <c r="P321" s="1">
        <f>Sintesi!$C$33*G321*1000</f>
        <v>231.3</v>
      </c>
      <c r="Q321" s="1">
        <f>Sintesi!$C$34*G321*1000</f>
        <v>115.20000000000002</v>
      </c>
      <c r="R321" s="1">
        <f t="shared" si="13"/>
        <v>116.1</v>
      </c>
    </row>
    <row r="322" spans="1:18">
      <c r="A322" s="41">
        <v>321</v>
      </c>
      <c r="B322" s="42">
        <f>DATE(Sintesi!$C$4-1,12,31)+A322</f>
        <v>44517</v>
      </c>
      <c r="C322" s="41">
        <f>'Paste cell here'!B322</f>
        <v>2.3599999999999639</v>
      </c>
      <c r="D322" s="41">
        <f>'Paste cell here'!I322</f>
        <v>0</v>
      </c>
      <c r="E322" s="1">
        <f>'Paste cell here'!H322</f>
        <v>0.17343360960550136</v>
      </c>
      <c r="F322" s="1">
        <f>Sintesi!$C$5</f>
        <v>0.1</v>
      </c>
      <c r="G322" s="1">
        <f>'Paste cell here'!AA322</f>
        <v>0.9</v>
      </c>
      <c r="H322" s="43">
        <f>'Paste cell here'!U322</f>
        <v>30.539007762438658</v>
      </c>
      <c r="I322" s="43">
        <f>'Paste cell here'!AE322</f>
        <v>275.17458954732513</v>
      </c>
      <c r="J322" s="44">
        <f>'Paste cell here'!U321+'Paste cell here'!AF322</f>
        <v>305.64036364030466</v>
      </c>
      <c r="K322" s="45">
        <f>'Paste cell here'!AG322</f>
        <v>238.97536611064038</v>
      </c>
      <c r="L322" s="41" t="str">
        <f t="shared" si="14"/>
        <v>NO</v>
      </c>
      <c r="M322" s="1">
        <f>(Sintesi!$C$29*F322*1000)</f>
        <v>23.3</v>
      </c>
      <c r="N322" s="1">
        <f>Sintesi!$C$30*F322*1000</f>
        <v>10.700000000000001</v>
      </c>
      <c r="O322" s="1">
        <f t="shared" ref="O322:O366" si="15">M322-N322</f>
        <v>12.6</v>
      </c>
      <c r="P322" s="1">
        <f>Sintesi!$C$33*G322*1000</f>
        <v>231.3</v>
      </c>
      <c r="Q322" s="1">
        <f>Sintesi!$C$34*G322*1000</f>
        <v>115.20000000000002</v>
      </c>
      <c r="R322" s="1">
        <f t="shared" ref="R322:R366" si="16">P322-Q322</f>
        <v>116.1</v>
      </c>
    </row>
    <row r="323" spans="1:18">
      <c r="A323" s="41">
        <v>322</v>
      </c>
      <c r="B323" s="42">
        <f>DATE(Sintesi!$C$4-1,12,31)+A323</f>
        <v>44518</v>
      </c>
      <c r="C323" s="41">
        <f>'Paste cell here'!B323</f>
        <v>0.15999999999999945</v>
      </c>
      <c r="D323" s="41">
        <f>'Paste cell here'!I323</f>
        <v>0</v>
      </c>
      <c r="E323" s="1">
        <f>'Paste cell here'!H323</f>
        <v>0.17544724305625187</v>
      </c>
      <c r="F323" s="1">
        <f>Sintesi!$C$5</f>
        <v>0.1</v>
      </c>
      <c r="G323" s="1">
        <f>'Paste cell here'!AA323</f>
        <v>0.9</v>
      </c>
      <c r="H323" s="43">
        <f>'Paste cell here'!U323</f>
        <v>28.608839230790817</v>
      </c>
      <c r="I323" s="43">
        <f>'Paste cell here'!AE323</f>
        <v>274.97949614720193</v>
      </c>
      <c r="J323" s="44">
        <f>'Paste cell here'!U322+'Paste cell here'!AF323</f>
        <v>305.71359730976377</v>
      </c>
      <c r="K323" s="45">
        <f>'Paste cell here'!AG323</f>
        <v>238.79395787306228</v>
      </c>
      <c r="L323" s="41" t="str">
        <f t="shared" ref="L323:L366" si="17">IF(J323&lt;K323,"YES","NO")</f>
        <v>NO</v>
      </c>
      <c r="M323" s="1">
        <f>(Sintesi!$C$29*F323*1000)</f>
        <v>23.3</v>
      </c>
      <c r="N323" s="1">
        <f>Sintesi!$C$30*F323*1000</f>
        <v>10.700000000000001</v>
      </c>
      <c r="O323" s="1">
        <f t="shared" si="15"/>
        <v>12.6</v>
      </c>
      <c r="P323" s="1">
        <f>Sintesi!$C$33*G323*1000</f>
        <v>231.3</v>
      </c>
      <c r="Q323" s="1">
        <f>Sintesi!$C$34*G323*1000</f>
        <v>115.20000000000002</v>
      </c>
      <c r="R323" s="1">
        <f t="shared" si="16"/>
        <v>116.1</v>
      </c>
    </row>
    <row r="324" spans="1:18">
      <c r="A324" s="41">
        <v>323</v>
      </c>
      <c r="B324" s="42">
        <f>DATE(Sintesi!$C$4-1,12,31)+A324</f>
        <v>44519</v>
      </c>
      <c r="C324" s="41">
        <f>'Paste cell here'!B324</f>
        <v>0</v>
      </c>
      <c r="D324" s="41">
        <f>'Paste cell here'!I324</f>
        <v>0</v>
      </c>
      <c r="E324" s="1">
        <f>'Paste cell here'!H324</f>
        <v>0.17658585121811127</v>
      </c>
      <c r="F324" s="1">
        <f>Sintesi!$C$5</f>
        <v>0.1</v>
      </c>
      <c r="G324" s="1">
        <f>'Paste cell here'!AA324</f>
        <v>0.9</v>
      </c>
      <c r="H324" s="43">
        <f>'Paste cell here'!U324</f>
        <v>27.179610373831608</v>
      </c>
      <c r="I324" s="43">
        <f>'Paste cell here'!AE324</f>
        <v>274.09445187348882</v>
      </c>
      <c r="J324" s="44">
        <f>'Paste cell here'!U323+'Paste cell here'!AF324</f>
        <v>303.58833537799273</v>
      </c>
      <c r="K324" s="45">
        <f>'Paste cell here'!AG324</f>
        <v>238.69138066376038</v>
      </c>
      <c r="L324" s="41" t="str">
        <f t="shared" si="17"/>
        <v>NO</v>
      </c>
      <c r="M324" s="1">
        <f>(Sintesi!$C$29*F324*1000)</f>
        <v>23.3</v>
      </c>
      <c r="N324" s="1">
        <f>Sintesi!$C$30*F324*1000</f>
        <v>10.700000000000001</v>
      </c>
      <c r="O324" s="1">
        <f t="shared" si="15"/>
        <v>12.6</v>
      </c>
      <c r="P324" s="1">
        <f>Sintesi!$C$33*G324*1000</f>
        <v>231.3</v>
      </c>
      <c r="Q324" s="1">
        <f>Sintesi!$C$34*G324*1000</f>
        <v>115.20000000000002</v>
      </c>
      <c r="R324" s="1">
        <f t="shared" si="16"/>
        <v>116.1</v>
      </c>
    </row>
    <row r="325" spans="1:18">
      <c r="A325" s="41">
        <v>324</v>
      </c>
      <c r="B325" s="42">
        <f>DATE(Sintesi!$C$4-1,12,31)+A325</f>
        <v>44520</v>
      </c>
      <c r="C325" s="41">
        <f>'Paste cell here'!B325</f>
        <v>0</v>
      </c>
      <c r="D325" s="41">
        <f>'Paste cell here'!I325</f>
        <v>0</v>
      </c>
      <c r="E325" s="1">
        <f>'Paste cell here'!H325</f>
        <v>0.1735577190835563</v>
      </c>
      <c r="F325" s="1">
        <f>Sintesi!$C$5</f>
        <v>0.1</v>
      </c>
      <c r="G325" s="1">
        <f>'Paste cell here'!AA325</f>
        <v>0.9</v>
      </c>
      <c r="H325" s="43">
        <f>'Paste cell here'!U325</f>
        <v>26.181339002320271</v>
      </c>
      <c r="I325" s="43">
        <f>'Paste cell here'!AE325</f>
        <v>272.97133953417381</v>
      </c>
      <c r="J325" s="44">
        <f>'Paste cell here'!U324+'Paste cell here'!AF325</f>
        <v>301.27406224732044</v>
      </c>
      <c r="K325" s="45">
        <f>'Paste cell here'!AG325</f>
        <v>238.96418508776244</v>
      </c>
      <c r="L325" s="41" t="str">
        <f t="shared" si="17"/>
        <v>NO</v>
      </c>
      <c r="M325" s="1">
        <f>(Sintesi!$C$29*F325*1000)</f>
        <v>23.3</v>
      </c>
      <c r="N325" s="1">
        <f>Sintesi!$C$30*F325*1000</f>
        <v>10.700000000000001</v>
      </c>
      <c r="O325" s="1">
        <f t="shared" si="15"/>
        <v>12.6</v>
      </c>
      <c r="P325" s="1">
        <f>Sintesi!$C$33*G325*1000</f>
        <v>231.3</v>
      </c>
      <c r="Q325" s="1">
        <f>Sintesi!$C$34*G325*1000</f>
        <v>115.20000000000002</v>
      </c>
      <c r="R325" s="1">
        <f t="shared" si="16"/>
        <v>116.1</v>
      </c>
    </row>
    <row r="326" spans="1:18">
      <c r="A326" s="41">
        <v>325</v>
      </c>
      <c r="B326" s="42">
        <f>DATE(Sintesi!$C$4-1,12,31)+A326</f>
        <v>44521</v>
      </c>
      <c r="C326" s="41">
        <f>'Paste cell here'!B326</f>
        <v>1.9199999999999762</v>
      </c>
      <c r="D326" s="41">
        <f>'Paste cell here'!I326</f>
        <v>0</v>
      </c>
      <c r="E326" s="1">
        <f>'Paste cell here'!H326</f>
        <v>0.17816678799514984</v>
      </c>
      <c r="F326" s="1">
        <f>Sintesi!$C$5</f>
        <v>0.1</v>
      </c>
      <c r="G326" s="1">
        <f>'Paste cell here'!AA326</f>
        <v>0.9</v>
      </c>
      <c r="H326" s="43">
        <f>'Paste cell here'!U326</f>
        <v>27.117082017927114</v>
      </c>
      <c r="I326" s="43">
        <f>'Paste cell here'!AE326</f>
        <v>271.92459169022203</v>
      </c>
      <c r="J326" s="44">
        <f>'Paste cell here'!U325+'Paste cell here'!AF326</f>
        <v>299.15267853649408</v>
      </c>
      <c r="K326" s="45">
        <f>'Paste cell here'!AG326</f>
        <v>238.54895406951698</v>
      </c>
      <c r="L326" s="41" t="str">
        <f t="shared" si="17"/>
        <v>NO</v>
      </c>
      <c r="M326" s="1">
        <f>(Sintesi!$C$29*F326*1000)</f>
        <v>23.3</v>
      </c>
      <c r="N326" s="1">
        <f>Sintesi!$C$30*F326*1000</f>
        <v>10.700000000000001</v>
      </c>
      <c r="O326" s="1">
        <f t="shared" si="15"/>
        <v>12.6</v>
      </c>
      <c r="P326" s="1">
        <f>Sintesi!$C$33*G326*1000</f>
        <v>231.3</v>
      </c>
      <c r="Q326" s="1">
        <f>Sintesi!$C$34*G326*1000</f>
        <v>115.20000000000002</v>
      </c>
      <c r="R326" s="1">
        <f t="shared" si="16"/>
        <v>116.1</v>
      </c>
    </row>
    <row r="327" spans="1:18">
      <c r="A327" s="41">
        <v>326</v>
      </c>
      <c r="B327" s="42">
        <f>DATE(Sintesi!$C$4-1,12,31)+A327</f>
        <v>44522</v>
      </c>
      <c r="C327" s="41">
        <f>'Paste cell here'!B327</f>
        <v>12.039999999999832</v>
      </c>
      <c r="D327" s="41">
        <f>'Paste cell here'!I327</f>
        <v>0</v>
      </c>
      <c r="E327" s="1">
        <f>'Paste cell here'!H327</f>
        <v>0.17855063286690581</v>
      </c>
      <c r="F327" s="1">
        <f>Sintesi!$C$5</f>
        <v>0.1</v>
      </c>
      <c r="G327" s="1">
        <f>'Paste cell here'!AA327</f>
        <v>0.9</v>
      </c>
      <c r="H327" s="43">
        <f>'Paste cell here'!U327</f>
        <v>32.806736179290162</v>
      </c>
      <c r="I327" s="43">
        <f>'Paste cell here'!AE327</f>
        <v>272.85062279022634</v>
      </c>
      <c r="J327" s="44">
        <f>'Paste cell here'!U326+'Paste cell here'!AF327</f>
        <v>299.04167370814912</v>
      </c>
      <c r="K327" s="45">
        <f>'Paste cell here'!AG327</f>
        <v>238.51437348502046</v>
      </c>
      <c r="L327" s="41" t="str">
        <f t="shared" si="17"/>
        <v>NO</v>
      </c>
      <c r="M327" s="1">
        <f>(Sintesi!$C$29*F327*1000)</f>
        <v>23.3</v>
      </c>
      <c r="N327" s="1">
        <f>Sintesi!$C$30*F327*1000</f>
        <v>10.700000000000001</v>
      </c>
      <c r="O327" s="1">
        <f t="shared" si="15"/>
        <v>12.6</v>
      </c>
      <c r="P327" s="1">
        <f>Sintesi!$C$33*G327*1000</f>
        <v>231.3</v>
      </c>
      <c r="Q327" s="1">
        <f>Sintesi!$C$34*G327*1000</f>
        <v>115.20000000000002</v>
      </c>
      <c r="R327" s="1">
        <f t="shared" si="16"/>
        <v>116.1</v>
      </c>
    </row>
    <row r="328" spans="1:18">
      <c r="A328" s="41">
        <v>327</v>
      </c>
      <c r="B328" s="42">
        <f>DATE(Sintesi!$C$4-1,12,31)+A328</f>
        <v>44523</v>
      </c>
      <c r="C328" s="41">
        <f>'Paste cell here'!B328</f>
        <v>2.5199999999999756</v>
      </c>
      <c r="D328" s="41">
        <f>'Paste cell here'!I328</f>
        <v>0</v>
      </c>
      <c r="E328" s="1">
        <f>'Paste cell here'!H328</f>
        <v>0.18040308798180674</v>
      </c>
      <c r="F328" s="1">
        <f>Sintesi!$C$5</f>
        <v>0.1</v>
      </c>
      <c r="G328" s="1">
        <f>'Paste cell here'!AA328</f>
        <v>0.9</v>
      </c>
      <c r="H328" s="43">
        <f>'Paste cell here'!U328</f>
        <v>31.119046951365512</v>
      </c>
      <c r="I328" s="43">
        <f>'Paste cell here'!AE328</f>
        <v>274.78340564602104</v>
      </c>
      <c r="J328" s="44">
        <f>'Paste cell here'!U327+'Paste cell here'!AF328</f>
        <v>305.65735896951651</v>
      </c>
      <c r="K328" s="45">
        <f>'Paste cell here'!AG328</f>
        <v>238.34748580371905</v>
      </c>
      <c r="L328" s="41" t="str">
        <f t="shared" si="17"/>
        <v>NO</v>
      </c>
      <c r="M328" s="1">
        <f>(Sintesi!$C$29*F328*1000)</f>
        <v>23.3</v>
      </c>
      <c r="N328" s="1">
        <f>Sintesi!$C$30*F328*1000</f>
        <v>10.700000000000001</v>
      </c>
      <c r="O328" s="1">
        <f t="shared" si="15"/>
        <v>12.6</v>
      </c>
      <c r="P328" s="1">
        <f>Sintesi!$C$33*G328*1000</f>
        <v>231.3</v>
      </c>
      <c r="Q328" s="1">
        <f>Sintesi!$C$34*G328*1000</f>
        <v>115.20000000000002</v>
      </c>
      <c r="R328" s="1">
        <f t="shared" si="16"/>
        <v>116.1</v>
      </c>
    </row>
    <row r="329" spans="1:18">
      <c r="A329" s="41">
        <v>328</v>
      </c>
      <c r="B329" s="42">
        <f>DATE(Sintesi!$C$4-1,12,31)+A329</f>
        <v>44524</v>
      </c>
      <c r="C329" s="41">
        <f>'Paste cell here'!B329</f>
        <v>7.9999999999999724E-2</v>
      </c>
      <c r="D329" s="41">
        <f>'Paste cell here'!I329</f>
        <v>0</v>
      </c>
      <c r="E329" s="1">
        <f>'Paste cell here'!H329</f>
        <v>0.17341110527407336</v>
      </c>
      <c r="F329" s="1">
        <f>Sintesi!$C$5</f>
        <v>0.1</v>
      </c>
      <c r="G329" s="1">
        <f>'Paste cell here'!AA329</f>
        <v>0.9</v>
      </c>
      <c r="H329" s="43">
        <f>'Paste cell here'!U329</f>
        <v>28.970991998726866</v>
      </c>
      <c r="I329" s="43">
        <f>'Paste cell here'!AE329</f>
        <v>274.89609449609429</v>
      </c>
      <c r="J329" s="44">
        <f>'Paste cell here'!U328+'Paste cell here'!AF329</f>
        <v>305.90245259738657</v>
      </c>
      <c r="K329" s="45">
        <f>'Paste cell here'!AG329</f>
        <v>238.97739352585876</v>
      </c>
      <c r="L329" s="41" t="str">
        <f t="shared" si="17"/>
        <v>NO</v>
      </c>
      <c r="M329" s="1">
        <f>(Sintesi!$C$29*F329*1000)</f>
        <v>23.3</v>
      </c>
      <c r="N329" s="1">
        <f>Sintesi!$C$30*F329*1000</f>
        <v>10.700000000000001</v>
      </c>
      <c r="O329" s="1">
        <f t="shared" si="15"/>
        <v>12.6</v>
      </c>
      <c r="P329" s="1">
        <f>Sintesi!$C$33*G329*1000</f>
        <v>231.3</v>
      </c>
      <c r="Q329" s="1">
        <f>Sintesi!$C$34*G329*1000</f>
        <v>115.20000000000002</v>
      </c>
      <c r="R329" s="1">
        <f t="shared" si="16"/>
        <v>116.1</v>
      </c>
    </row>
    <row r="330" spans="1:18">
      <c r="A330" s="41">
        <v>329</v>
      </c>
      <c r="B330" s="42">
        <f>DATE(Sintesi!$C$4-1,12,31)+A330</f>
        <v>44525</v>
      </c>
      <c r="C330" s="41">
        <f>'Paste cell here'!B330</f>
        <v>11.039999999999857</v>
      </c>
      <c r="D330" s="41">
        <f>'Paste cell here'!I330</f>
        <v>0</v>
      </c>
      <c r="E330" s="1">
        <f>'Paste cell here'!H330</f>
        <v>0.18271344560215336</v>
      </c>
      <c r="F330" s="1">
        <f>Sintesi!$C$5</f>
        <v>0.1</v>
      </c>
      <c r="G330" s="1">
        <f>'Paste cell here'!AA330</f>
        <v>0.9</v>
      </c>
      <c r="H330" s="43">
        <f>'Paste cell here'!U330</f>
        <v>33.201317862936335</v>
      </c>
      <c r="I330" s="43">
        <f>'Paste cell here'!AE330</f>
        <v>276.55121040122663</v>
      </c>
      <c r="J330" s="44">
        <f>'Paste cell here'!U329+'Paste cell here'!AF330</f>
        <v>303.86708649482114</v>
      </c>
      <c r="K330" s="45">
        <f>'Paste cell here'!AG330</f>
        <v>238.13934568570201</v>
      </c>
      <c r="L330" s="41" t="str">
        <f t="shared" si="17"/>
        <v>NO</v>
      </c>
      <c r="M330" s="1">
        <f>(Sintesi!$C$29*F330*1000)</f>
        <v>23.3</v>
      </c>
      <c r="N330" s="1">
        <f>Sintesi!$C$30*F330*1000</f>
        <v>10.700000000000001</v>
      </c>
      <c r="O330" s="1">
        <f t="shared" si="15"/>
        <v>12.6</v>
      </c>
      <c r="P330" s="1">
        <f>Sintesi!$C$33*G330*1000</f>
        <v>231.3</v>
      </c>
      <c r="Q330" s="1">
        <f>Sintesi!$C$34*G330*1000</f>
        <v>115.20000000000002</v>
      </c>
      <c r="R330" s="1">
        <f t="shared" si="16"/>
        <v>116.1</v>
      </c>
    </row>
    <row r="331" spans="1:18">
      <c r="A331" s="41">
        <v>330</v>
      </c>
      <c r="B331" s="42">
        <f>DATE(Sintesi!$C$4-1,12,31)+A331</f>
        <v>44526</v>
      </c>
      <c r="C331" s="41">
        <f>'Paste cell here'!B331</f>
        <v>0</v>
      </c>
      <c r="D331" s="41">
        <f>'Paste cell here'!I331</f>
        <v>0</v>
      </c>
      <c r="E331" s="1">
        <f>'Paste cell here'!H331</f>
        <v>0.17779316954746946</v>
      </c>
      <c r="F331" s="1">
        <f>Sintesi!$C$5</f>
        <v>0.1</v>
      </c>
      <c r="G331" s="1">
        <f>'Paste cell here'!AA331</f>
        <v>0.9</v>
      </c>
      <c r="H331" s="43">
        <f>'Paste cell here'!U331</f>
        <v>29.765578945577104</v>
      </c>
      <c r="I331" s="43">
        <f>'Paste cell here'!AE331</f>
        <v>277.64844653620878</v>
      </c>
      <c r="J331" s="44">
        <f>'Paste cell here'!U330+'Paste cell here'!AF331</f>
        <v>309.75252826416295</v>
      </c>
      <c r="K331" s="45">
        <f>'Paste cell here'!AG331</f>
        <v>238.58261335546848</v>
      </c>
      <c r="L331" s="41" t="str">
        <f t="shared" si="17"/>
        <v>NO</v>
      </c>
      <c r="M331" s="1">
        <f>(Sintesi!$C$29*F331*1000)</f>
        <v>23.3</v>
      </c>
      <c r="N331" s="1">
        <f>Sintesi!$C$30*F331*1000</f>
        <v>10.700000000000001</v>
      </c>
      <c r="O331" s="1">
        <f t="shared" si="15"/>
        <v>12.6</v>
      </c>
      <c r="P331" s="1">
        <f>Sintesi!$C$33*G331*1000</f>
        <v>231.3</v>
      </c>
      <c r="Q331" s="1">
        <f>Sintesi!$C$34*G331*1000</f>
        <v>115.20000000000002</v>
      </c>
      <c r="R331" s="1">
        <f t="shared" si="16"/>
        <v>116.1</v>
      </c>
    </row>
    <row r="332" spans="1:18">
      <c r="A332" s="41">
        <v>331</v>
      </c>
      <c r="B332" s="42">
        <f>DATE(Sintesi!$C$4-1,12,31)+A332</f>
        <v>44527</v>
      </c>
      <c r="C332" s="41">
        <f>'Paste cell here'!B332</f>
        <v>2.1999999999998749</v>
      </c>
      <c r="D332" s="41">
        <f>'Paste cell here'!I332</f>
        <v>0</v>
      </c>
      <c r="E332" s="1">
        <f>'Paste cell here'!H332</f>
        <v>0.18188886162487522</v>
      </c>
      <c r="F332" s="1">
        <f>Sintesi!$C$5</f>
        <v>0.1</v>
      </c>
      <c r="G332" s="1">
        <f>'Paste cell here'!AA332</f>
        <v>0.9</v>
      </c>
      <c r="H332" s="43">
        <f>'Paste cell here'!U332</f>
        <v>29.816746425843633</v>
      </c>
      <c r="I332" s="43">
        <f>'Paste cell here'!AE332</f>
        <v>277.41015093020633</v>
      </c>
      <c r="J332" s="44">
        <f>'Paste cell here'!U331+'Paste cell here'!AF332</f>
        <v>307.41402548178587</v>
      </c>
      <c r="K332" s="45">
        <f>'Paste cell here'!AG332</f>
        <v>238.21363245621501</v>
      </c>
      <c r="L332" s="41" t="str">
        <f t="shared" si="17"/>
        <v>NO</v>
      </c>
      <c r="M332" s="1">
        <f>(Sintesi!$C$29*F332*1000)</f>
        <v>23.3</v>
      </c>
      <c r="N332" s="1">
        <f>Sintesi!$C$30*F332*1000</f>
        <v>10.700000000000001</v>
      </c>
      <c r="O332" s="1">
        <f t="shared" si="15"/>
        <v>12.6</v>
      </c>
      <c r="P332" s="1">
        <f>Sintesi!$C$33*G332*1000</f>
        <v>231.3</v>
      </c>
      <c r="Q332" s="1">
        <f>Sintesi!$C$34*G332*1000</f>
        <v>115.20000000000002</v>
      </c>
      <c r="R332" s="1">
        <f t="shared" si="16"/>
        <v>116.1</v>
      </c>
    </row>
    <row r="333" spans="1:18">
      <c r="A333" s="41">
        <v>332</v>
      </c>
      <c r="B333" s="42">
        <f>DATE(Sintesi!$C$4-1,12,31)+A333</f>
        <v>44528</v>
      </c>
      <c r="C333" s="41">
        <f>'Paste cell here'!B333</f>
        <v>0.71999999999998465</v>
      </c>
      <c r="D333" s="41">
        <f>'Paste cell here'!I333</f>
        <v>0</v>
      </c>
      <c r="E333" s="1">
        <f>'Paste cell here'!H333</f>
        <v>0.18034397454049522</v>
      </c>
      <c r="F333" s="1">
        <f>Sintesi!$C$5</f>
        <v>0.1</v>
      </c>
      <c r="G333" s="1">
        <f>'Paste cell here'!AA333</f>
        <v>0.9</v>
      </c>
      <c r="H333" s="43">
        <f>'Paste cell here'!U333</f>
        <v>28.676145661915243</v>
      </c>
      <c r="I333" s="43">
        <f>'Paste cell here'!AE333</f>
        <v>276.86776517241975</v>
      </c>
      <c r="J333" s="44">
        <f>'Paste cell here'!U332+'Paste cell here'!AF333</f>
        <v>307.22689735604996</v>
      </c>
      <c r="K333" s="45">
        <f>'Paste cell here'!AG333</f>
        <v>238.3528113336468</v>
      </c>
      <c r="L333" s="41" t="str">
        <f t="shared" si="17"/>
        <v>NO</v>
      </c>
      <c r="M333" s="1">
        <f>(Sintesi!$C$29*F333*1000)</f>
        <v>23.3</v>
      </c>
      <c r="N333" s="1">
        <f>Sintesi!$C$30*F333*1000</f>
        <v>10.700000000000001</v>
      </c>
      <c r="O333" s="1">
        <f t="shared" si="15"/>
        <v>12.6</v>
      </c>
      <c r="P333" s="1">
        <f>Sintesi!$C$33*G333*1000</f>
        <v>231.3</v>
      </c>
      <c r="Q333" s="1">
        <f>Sintesi!$C$34*G333*1000</f>
        <v>115.20000000000002</v>
      </c>
      <c r="R333" s="1">
        <f t="shared" si="16"/>
        <v>116.1</v>
      </c>
    </row>
    <row r="334" spans="1:18">
      <c r="A334" s="41">
        <v>333</v>
      </c>
      <c r="B334" s="42">
        <f>DATE(Sintesi!$C$4-1,12,31)+A334</f>
        <v>44529</v>
      </c>
      <c r="C334" s="41">
        <f>'Paste cell here'!B334</f>
        <v>0</v>
      </c>
      <c r="D334" s="41">
        <f>'Paste cell here'!I334</f>
        <v>0</v>
      </c>
      <c r="E334" s="1">
        <f>'Paste cell here'!H334</f>
        <v>0.17853904079542951</v>
      </c>
      <c r="F334" s="1">
        <f>Sintesi!$C$5</f>
        <v>0.1</v>
      </c>
      <c r="G334" s="1">
        <f>'Paste cell here'!AA334</f>
        <v>0.9</v>
      </c>
      <c r="H334" s="43">
        <f>'Paste cell here'!U334</f>
        <v>26.784354250069029</v>
      </c>
      <c r="I334" s="43">
        <f>'Paste cell here'!AE334</f>
        <v>275.79633903884354</v>
      </c>
      <c r="J334" s="44">
        <f>'Paste cell here'!U333+'Paste cell here'!AF334</f>
        <v>305.54391083433501</v>
      </c>
      <c r="K334" s="45">
        <f>'Paste cell here'!AG334</f>
        <v>238.51541781473978</v>
      </c>
      <c r="L334" s="41" t="str">
        <f t="shared" si="17"/>
        <v>NO</v>
      </c>
      <c r="M334" s="1">
        <f>(Sintesi!$C$29*F334*1000)</f>
        <v>23.3</v>
      </c>
      <c r="N334" s="1">
        <f>Sintesi!$C$30*F334*1000</f>
        <v>10.700000000000001</v>
      </c>
      <c r="O334" s="1">
        <f t="shared" si="15"/>
        <v>12.6</v>
      </c>
      <c r="P334" s="1">
        <f>Sintesi!$C$33*G334*1000</f>
        <v>231.3</v>
      </c>
      <c r="Q334" s="1">
        <f>Sintesi!$C$34*G334*1000</f>
        <v>115.20000000000002</v>
      </c>
      <c r="R334" s="1">
        <f t="shared" si="16"/>
        <v>116.1</v>
      </c>
    </row>
    <row r="335" spans="1:18">
      <c r="A335" s="41">
        <v>334</v>
      </c>
      <c r="B335" s="42">
        <f>DATE(Sintesi!$C$4-1,12,31)+A335</f>
        <v>44530</v>
      </c>
      <c r="C335" s="41">
        <f>'Paste cell here'!B335</f>
        <v>0</v>
      </c>
      <c r="D335" s="41">
        <f>'Paste cell here'!I335</f>
        <v>0</v>
      </c>
      <c r="E335" s="1">
        <f>'Paste cell here'!H335</f>
        <v>0.15341133939547255</v>
      </c>
      <c r="F335" s="1">
        <f>Sintesi!$C$5</f>
        <v>0.1</v>
      </c>
      <c r="G335" s="1">
        <f>'Paste cell here'!AA335</f>
        <v>0.9</v>
      </c>
      <c r="H335" s="43">
        <f>'Paste cell here'!U335</f>
        <v>25.026765643069393</v>
      </c>
      <c r="I335" s="43">
        <f>'Paste cell here'!AE335</f>
        <v>274.4272197981353</v>
      </c>
      <c r="J335" s="44">
        <f>'Paste cell here'!U334+'Paste cell here'!AF335</f>
        <v>302.58069328891258</v>
      </c>
      <c r="K335" s="45">
        <f>'Paste cell here'!AG335</f>
        <v>240.7791724338619</v>
      </c>
      <c r="L335" s="41" t="str">
        <f t="shared" si="17"/>
        <v>NO</v>
      </c>
      <c r="M335" s="1">
        <f>(Sintesi!$C$29*F335*1000)</f>
        <v>23.3</v>
      </c>
      <c r="N335" s="1">
        <f>Sintesi!$C$30*F335*1000</f>
        <v>10.700000000000001</v>
      </c>
      <c r="O335" s="1">
        <f t="shared" si="15"/>
        <v>12.6</v>
      </c>
      <c r="P335" s="1">
        <f>Sintesi!$C$33*G335*1000</f>
        <v>231.3</v>
      </c>
      <c r="Q335" s="1">
        <f>Sintesi!$C$34*G335*1000</f>
        <v>115.20000000000002</v>
      </c>
      <c r="R335" s="1">
        <f t="shared" si="16"/>
        <v>116.1</v>
      </c>
    </row>
    <row r="336" spans="1:18">
      <c r="A336" s="41">
        <v>335</v>
      </c>
      <c r="B336" s="42">
        <f>DATE(Sintesi!$C$4-1,12,31)+A336</f>
        <v>44531</v>
      </c>
      <c r="C336" s="41">
        <f>'Paste cell here'!B336</f>
        <v>0.47999999999999404</v>
      </c>
      <c r="D336" s="41">
        <f>'Paste cell here'!I336</f>
        <v>0</v>
      </c>
      <c r="E336" s="1">
        <f>'Paste cell here'!H336</f>
        <v>0.14281685766115346</v>
      </c>
      <c r="F336" s="1">
        <f>Sintesi!$C$5</f>
        <v>0.1</v>
      </c>
      <c r="G336" s="1">
        <f>'Paste cell here'!AA336</f>
        <v>0.9</v>
      </c>
      <c r="H336" s="43">
        <f>'Paste cell here'!U336</f>
        <v>24.64529360749054</v>
      </c>
      <c r="I336" s="43">
        <f>'Paste cell here'!AE336</f>
        <v>273.02676410608075</v>
      </c>
      <c r="J336" s="44">
        <f>'Paste cell here'!U335+'Paste cell here'!AF336</f>
        <v>299.45398544120474</v>
      </c>
      <c r="K336" s="45">
        <f>'Paste cell here'!AG336</f>
        <v>241.73362929330671</v>
      </c>
      <c r="L336" s="41" t="str">
        <f t="shared" si="17"/>
        <v>NO</v>
      </c>
      <c r="M336" s="1">
        <f>(Sintesi!$C$29*F336*1000)</f>
        <v>23.3</v>
      </c>
      <c r="N336" s="1">
        <f>Sintesi!$C$30*F336*1000</f>
        <v>10.700000000000001</v>
      </c>
      <c r="O336" s="1">
        <f t="shared" si="15"/>
        <v>12.6</v>
      </c>
      <c r="P336" s="1">
        <f>Sintesi!$C$33*G336*1000</f>
        <v>231.3</v>
      </c>
      <c r="Q336" s="1">
        <f>Sintesi!$C$34*G336*1000</f>
        <v>115.20000000000002</v>
      </c>
      <c r="R336" s="1">
        <f t="shared" si="16"/>
        <v>116.1</v>
      </c>
    </row>
    <row r="337" spans="1:18">
      <c r="A337" s="41">
        <v>336</v>
      </c>
      <c r="B337" s="42">
        <f>DATE(Sintesi!$C$4-1,12,31)+A337</f>
        <v>44532</v>
      </c>
      <c r="C337" s="41">
        <f>'Paste cell here'!B337</f>
        <v>0.39999999999999436</v>
      </c>
      <c r="D337" s="41">
        <f>'Paste cell here'!I337</f>
        <v>0</v>
      </c>
      <c r="E337" s="1">
        <f>'Paste cell here'!H337</f>
        <v>0.17308150544760806</v>
      </c>
      <c r="F337" s="1">
        <f>Sintesi!$C$5</f>
        <v>0.1</v>
      </c>
      <c r="G337" s="1">
        <f>'Paste cell here'!AA337</f>
        <v>0.9</v>
      </c>
      <c r="H337" s="43">
        <f>'Paste cell here'!U337</f>
        <v>24.531021041692597</v>
      </c>
      <c r="I337" s="43">
        <f>'Paste cell here'!AE337</f>
        <v>271.70282636906177</v>
      </c>
      <c r="J337" s="44">
        <f>'Paste cell here'!U336+'Paste cell here'!AF337</f>
        <v>297.67205771357129</v>
      </c>
      <c r="K337" s="45">
        <f>'Paste cell here'!AG337</f>
        <v>239.00708717422498</v>
      </c>
      <c r="L337" s="41" t="str">
        <f t="shared" si="17"/>
        <v>NO</v>
      </c>
      <c r="M337" s="1">
        <f>(Sintesi!$C$29*F337*1000)</f>
        <v>23.3</v>
      </c>
      <c r="N337" s="1">
        <f>Sintesi!$C$30*F337*1000</f>
        <v>10.700000000000001</v>
      </c>
      <c r="O337" s="1">
        <f t="shared" si="15"/>
        <v>12.6</v>
      </c>
      <c r="P337" s="1">
        <f>Sintesi!$C$33*G337*1000</f>
        <v>231.3</v>
      </c>
      <c r="Q337" s="1">
        <f>Sintesi!$C$34*G337*1000</f>
        <v>115.20000000000002</v>
      </c>
      <c r="R337" s="1">
        <f t="shared" si="16"/>
        <v>116.1</v>
      </c>
    </row>
    <row r="338" spans="1:18">
      <c r="A338" s="41">
        <v>337</v>
      </c>
      <c r="B338" s="42">
        <f>DATE(Sintesi!$C$4-1,12,31)+A338</f>
        <v>44533</v>
      </c>
      <c r="C338" s="41">
        <f>'Paste cell here'!B338</f>
        <v>7.9999999999999724E-2</v>
      </c>
      <c r="D338" s="41">
        <f>'Paste cell here'!I338</f>
        <v>0</v>
      </c>
      <c r="E338" s="1">
        <f>'Paste cell here'!H338</f>
        <v>0.1860728320506963</v>
      </c>
      <c r="F338" s="1">
        <f>Sintesi!$C$5</f>
        <v>0.1</v>
      </c>
      <c r="G338" s="1">
        <f>'Paste cell here'!AA338</f>
        <v>0.9</v>
      </c>
      <c r="H338" s="43">
        <f>'Paste cell here'!U338</f>
        <v>24.116601592060761</v>
      </c>
      <c r="I338" s="43">
        <f>'Paste cell here'!AE338</f>
        <v>270.44673351494839</v>
      </c>
      <c r="J338" s="44">
        <f>'Paste cell here'!U337+'Paste cell here'!AF338</f>
        <v>296.23384741075438</v>
      </c>
      <c r="K338" s="45">
        <f>'Paste cell here'!AG338</f>
        <v>237.8366985605528</v>
      </c>
      <c r="L338" s="41" t="str">
        <f t="shared" si="17"/>
        <v>NO</v>
      </c>
      <c r="M338" s="1">
        <f>(Sintesi!$C$29*F338*1000)</f>
        <v>23.3</v>
      </c>
      <c r="N338" s="1">
        <f>Sintesi!$C$30*F338*1000</f>
        <v>10.700000000000001</v>
      </c>
      <c r="O338" s="1">
        <f t="shared" si="15"/>
        <v>12.6</v>
      </c>
      <c r="P338" s="1">
        <f>Sintesi!$C$33*G338*1000</f>
        <v>231.3</v>
      </c>
      <c r="Q338" s="1">
        <f>Sintesi!$C$34*G338*1000</f>
        <v>115.20000000000002</v>
      </c>
      <c r="R338" s="1">
        <f t="shared" si="16"/>
        <v>116.1</v>
      </c>
    </row>
    <row r="339" spans="1:18">
      <c r="A339" s="41">
        <v>338</v>
      </c>
      <c r="B339" s="42">
        <f>DATE(Sintesi!$C$4-1,12,31)+A339</f>
        <v>44534</v>
      </c>
      <c r="C339" s="41">
        <f>'Paste cell here'!B339</f>
        <v>0</v>
      </c>
      <c r="D339" s="41">
        <f>'Paste cell here'!I339</f>
        <v>0</v>
      </c>
      <c r="E339" s="1">
        <f>'Paste cell here'!H339</f>
        <v>0.18605119722332442</v>
      </c>
      <c r="F339" s="1">
        <f>Sintesi!$C$5</f>
        <v>0.1</v>
      </c>
      <c r="G339" s="1">
        <f>'Paste cell here'!AA339</f>
        <v>0.9</v>
      </c>
      <c r="H339" s="43">
        <f>'Paste cell here'!U339</f>
        <v>23.491360875400343</v>
      </c>
      <c r="I339" s="43">
        <f>'Paste cell here'!AE339</f>
        <v>269.23679810615948</v>
      </c>
      <c r="J339" s="44">
        <f>'Paste cell here'!U338+'Paste cell here'!AF339</f>
        <v>294.56333510700915</v>
      </c>
      <c r="K339" s="45">
        <f>'Paste cell here'!AG339</f>
        <v>237.83864764215073</v>
      </c>
      <c r="L339" s="41" t="str">
        <f t="shared" si="17"/>
        <v>NO</v>
      </c>
      <c r="M339" s="1">
        <f>(Sintesi!$C$29*F339*1000)</f>
        <v>23.3</v>
      </c>
      <c r="N339" s="1">
        <f>Sintesi!$C$30*F339*1000</f>
        <v>10.700000000000001</v>
      </c>
      <c r="O339" s="1">
        <f t="shared" si="15"/>
        <v>12.6</v>
      </c>
      <c r="P339" s="1">
        <f>Sintesi!$C$33*G339*1000</f>
        <v>231.3</v>
      </c>
      <c r="Q339" s="1">
        <f>Sintesi!$C$34*G339*1000</f>
        <v>115.20000000000002</v>
      </c>
      <c r="R339" s="1">
        <f t="shared" si="16"/>
        <v>116.1</v>
      </c>
    </row>
    <row r="340" spans="1:18">
      <c r="A340" s="41">
        <v>339</v>
      </c>
      <c r="B340" s="42">
        <f>DATE(Sintesi!$C$4-1,12,31)+A340</f>
        <v>44535</v>
      </c>
      <c r="C340" s="41">
        <f>'Paste cell here'!B340</f>
        <v>0</v>
      </c>
      <c r="D340" s="41">
        <f>'Paste cell here'!I340</f>
        <v>0</v>
      </c>
      <c r="E340" s="1">
        <f>'Paste cell here'!H340</f>
        <v>0.17946525497649288</v>
      </c>
      <c r="F340" s="1">
        <f>Sintesi!$C$5</f>
        <v>0.1</v>
      </c>
      <c r="G340" s="1">
        <f>'Paste cell here'!AA340</f>
        <v>0.9</v>
      </c>
      <c r="H340" s="43">
        <f>'Paste cell here'!U340</f>
        <v>23.100712358544392</v>
      </c>
      <c r="I340" s="43">
        <f>'Paste cell here'!AE340</f>
        <v>268.07306226230429</v>
      </c>
      <c r="J340" s="44">
        <f>'Paste cell here'!U339+'Paste cell here'!AF340</f>
        <v>292.72815898155989</v>
      </c>
      <c r="K340" s="45">
        <f>'Paste cell here'!AG340</f>
        <v>238.43197517916778</v>
      </c>
      <c r="L340" s="41" t="str">
        <f t="shared" si="17"/>
        <v>NO</v>
      </c>
      <c r="M340" s="1">
        <f>(Sintesi!$C$29*F340*1000)</f>
        <v>23.3</v>
      </c>
      <c r="N340" s="1">
        <f>Sintesi!$C$30*F340*1000</f>
        <v>10.700000000000001</v>
      </c>
      <c r="O340" s="1">
        <f t="shared" si="15"/>
        <v>12.6</v>
      </c>
      <c r="P340" s="1">
        <f>Sintesi!$C$33*G340*1000</f>
        <v>231.3</v>
      </c>
      <c r="Q340" s="1">
        <f>Sintesi!$C$34*G340*1000</f>
        <v>115.20000000000002</v>
      </c>
      <c r="R340" s="1">
        <f t="shared" si="16"/>
        <v>116.1</v>
      </c>
    </row>
    <row r="341" spans="1:18">
      <c r="A341" s="41">
        <v>340</v>
      </c>
      <c r="B341" s="42">
        <f>DATE(Sintesi!$C$4-1,12,31)+A341</f>
        <v>44536</v>
      </c>
      <c r="C341" s="41">
        <f>'Paste cell here'!B341</f>
        <v>0.15999999999999945</v>
      </c>
      <c r="D341" s="41">
        <f>'Paste cell here'!I341</f>
        <v>0</v>
      </c>
      <c r="E341" s="1">
        <f>'Paste cell here'!H341</f>
        <v>0.18776597819778204</v>
      </c>
      <c r="F341" s="1">
        <f>Sintesi!$C$5</f>
        <v>0.1</v>
      </c>
      <c r="G341" s="1">
        <f>'Paste cell here'!AA341</f>
        <v>0.9</v>
      </c>
      <c r="H341" s="43">
        <f>'Paste cell here'!U341</f>
        <v>22.995994994105235</v>
      </c>
      <c r="I341" s="43">
        <f>'Paste cell here'!AE341</f>
        <v>266.96496665606026</v>
      </c>
      <c r="J341" s="44">
        <f>'Paste cell here'!U340+'Paste cell here'!AF341</f>
        <v>291.17377462084869</v>
      </c>
      <c r="K341" s="45">
        <f>'Paste cell here'!AG341</f>
        <v>237.68416302416182</v>
      </c>
      <c r="L341" s="41" t="str">
        <f t="shared" si="17"/>
        <v>NO</v>
      </c>
      <c r="M341" s="1">
        <f>(Sintesi!$C$29*F341*1000)</f>
        <v>23.3</v>
      </c>
      <c r="N341" s="1">
        <f>Sintesi!$C$30*F341*1000</f>
        <v>10.700000000000001</v>
      </c>
      <c r="O341" s="1">
        <f t="shared" si="15"/>
        <v>12.6</v>
      </c>
      <c r="P341" s="1">
        <f>Sintesi!$C$33*G341*1000</f>
        <v>231.3</v>
      </c>
      <c r="Q341" s="1">
        <f>Sintesi!$C$34*G341*1000</f>
        <v>115.20000000000002</v>
      </c>
      <c r="R341" s="1">
        <f t="shared" si="16"/>
        <v>116.1</v>
      </c>
    </row>
    <row r="342" spans="1:18">
      <c r="A342" s="41">
        <v>341</v>
      </c>
      <c r="B342" s="42">
        <f>DATE(Sintesi!$C$4-1,12,31)+A342</f>
        <v>44537</v>
      </c>
      <c r="C342" s="41">
        <f>'Paste cell here'!B342</f>
        <v>7.9999999999999724E-2</v>
      </c>
      <c r="D342" s="41">
        <f>'Paste cell here'!I342</f>
        <v>0</v>
      </c>
      <c r="E342" s="1">
        <f>'Paste cell here'!H342</f>
        <v>0.19236210527409228</v>
      </c>
      <c r="F342" s="1">
        <f>Sintesi!$C$5</f>
        <v>0.1</v>
      </c>
      <c r="G342" s="1">
        <f>'Paste cell here'!AA342</f>
        <v>0.9</v>
      </c>
      <c r="H342" s="43">
        <f>'Paste cell here'!U342</f>
        <v>22.666948006515415</v>
      </c>
      <c r="I342" s="43">
        <f>'Paste cell here'!AE342</f>
        <v>265.90913600161872</v>
      </c>
      <c r="J342" s="44">
        <f>'Paste cell here'!U341+'Paste cell here'!AF342</f>
        <v>289.96096165016547</v>
      </c>
      <c r="K342" s="45">
        <f>'Paste cell here'!AG342</f>
        <v>237.27009793585705</v>
      </c>
      <c r="L342" s="41" t="str">
        <f t="shared" si="17"/>
        <v>NO</v>
      </c>
      <c r="M342" s="1">
        <f>(Sintesi!$C$29*F342*1000)</f>
        <v>23.3</v>
      </c>
      <c r="N342" s="1">
        <f>Sintesi!$C$30*F342*1000</f>
        <v>10.700000000000001</v>
      </c>
      <c r="O342" s="1">
        <f t="shared" si="15"/>
        <v>12.6</v>
      </c>
      <c r="P342" s="1">
        <f>Sintesi!$C$33*G342*1000</f>
        <v>231.3</v>
      </c>
      <c r="Q342" s="1">
        <f>Sintesi!$C$34*G342*1000</f>
        <v>115.20000000000002</v>
      </c>
      <c r="R342" s="1">
        <f t="shared" si="16"/>
        <v>116.1</v>
      </c>
    </row>
    <row r="343" spans="1:18">
      <c r="A343" s="41">
        <v>342</v>
      </c>
      <c r="B343" s="42">
        <f>DATE(Sintesi!$C$4-1,12,31)+A343</f>
        <v>44538</v>
      </c>
      <c r="C343" s="41">
        <f>'Paste cell here'!B343</f>
        <v>17.919999999999789</v>
      </c>
      <c r="D343" s="41">
        <f>'Paste cell here'!I343</f>
        <v>0</v>
      </c>
      <c r="E343" s="1">
        <f>'Paste cell here'!H343</f>
        <v>0.18626345565987273</v>
      </c>
      <c r="F343" s="1">
        <f>Sintesi!$C$5</f>
        <v>0.1</v>
      </c>
      <c r="G343" s="1">
        <f>'Paste cell here'!AA343</f>
        <v>0.9</v>
      </c>
      <c r="H343" s="43">
        <f>'Paste cell here'!U343</f>
        <v>31.629660847735661</v>
      </c>
      <c r="I343" s="43">
        <f>'Paste cell here'!AE343</f>
        <v>265.81648341185485</v>
      </c>
      <c r="J343" s="44">
        <f>'Paste cell here'!U342+'Paste cell here'!AF343</f>
        <v>288.57608400813422</v>
      </c>
      <c r="K343" s="45">
        <f>'Paste cell here'!AG343</f>
        <v>237.81952527960209</v>
      </c>
      <c r="L343" s="41" t="str">
        <f t="shared" si="17"/>
        <v>NO</v>
      </c>
      <c r="M343" s="1">
        <f>(Sintesi!$C$29*F343*1000)</f>
        <v>23.3</v>
      </c>
      <c r="N343" s="1">
        <f>Sintesi!$C$30*F343*1000</f>
        <v>10.700000000000001</v>
      </c>
      <c r="O343" s="1">
        <f t="shared" si="15"/>
        <v>12.6</v>
      </c>
      <c r="P343" s="1">
        <f>Sintesi!$C$33*G343*1000</f>
        <v>231.3</v>
      </c>
      <c r="Q343" s="1">
        <f>Sintesi!$C$34*G343*1000</f>
        <v>115.20000000000002</v>
      </c>
      <c r="R343" s="1">
        <f t="shared" si="16"/>
        <v>116.1</v>
      </c>
    </row>
    <row r="344" spans="1:18">
      <c r="A344" s="41">
        <v>343</v>
      </c>
      <c r="B344" s="42">
        <f>DATE(Sintesi!$C$4-1,12,31)+A344</f>
        <v>44539</v>
      </c>
      <c r="C344" s="41">
        <f>'Paste cell here'!B344</f>
        <v>1.5999999999999943</v>
      </c>
      <c r="D344" s="41">
        <f>'Paste cell here'!I344</f>
        <v>0</v>
      </c>
      <c r="E344" s="1">
        <f>'Paste cell here'!H344</f>
        <v>0.18025132701107338</v>
      </c>
      <c r="F344" s="1">
        <f>Sintesi!$C$5</f>
        <v>0.1</v>
      </c>
      <c r="G344" s="1">
        <f>'Paste cell here'!AA344</f>
        <v>0.9</v>
      </c>
      <c r="H344" s="43">
        <f>'Paste cell here'!U344</f>
        <v>30.412744054217701</v>
      </c>
      <c r="I344" s="43">
        <f>'Paste cell here'!AE344</f>
        <v>267.2624567526052</v>
      </c>
      <c r="J344" s="44">
        <f>'Paste cell here'!U343+'Paste cell here'!AF344</f>
        <v>297.44614425959054</v>
      </c>
      <c r="K344" s="45">
        <f>'Paste cell here'!AG344</f>
        <v>238.3611579495724</v>
      </c>
      <c r="L344" s="41" t="str">
        <f t="shared" si="17"/>
        <v>NO</v>
      </c>
      <c r="M344" s="1">
        <f>(Sintesi!$C$29*F344*1000)</f>
        <v>23.3</v>
      </c>
      <c r="N344" s="1">
        <f>Sintesi!$C$30*F344*1000</f>
        <v>10.700000000000001</v>
      </c>
      <c r="O344" s="1">
        <f t="shared" si="15"/>
        <v>12.6</v>
      </c>
      <c r="P344" s="1">
        <f>Sintesi!$C$33*G344*1000</f>
        <v>231.3</v>
      </c>
      <c r="Q344" s="1">
        <f>Sintesi!$C$34*G344*1000</f>
        <v>115.20000000000002</v>
      </c>
      <c r="R344" s="1">
        <f t="shared" si="16"/>
        <v>116.1</v>
      </c>
    </row>
    <row r="345" spans="1:18">
      <c r="A345" s="41">
        <v>344</v>
      </c>
      <c r="B345" s="42">
        <f>DATE(Sintesi!$C$4-1,12,31)+A345</f>
        <v>44540</v>
      </c>
      <c r="C345" s="41">
        <f>'Paste cell here'!B345</f>
        <v>4.199999999999978</v>
      </c>
      <c r="D345" s="41">
        <f>'Paste cell here'!I345</f>
        <v>0</v>
      </c>
      <c r="E345" s="1">
        <f>'Paste cell here'!H345</f>
        <v>0.19044332563060817</v>
      </c>
      <c r="F345" s="1">
        <f>Sintesi!$C$5</f>
        <v>0.1</v>
      </c>
      <c r="G345" s="1">
        <f>'Paste cell here'!AA345</f>
        <v>0.9</v>
      </c>
      <c r="H345" s="43">
        <f>'Paste cell here'!U345</f>
        <v>31.480362064384902</v>
      </c>
      <c r="I345" s="43">
        <f>'Paste cell here'!AE345</f>
        <v>268.72423964987382</v>
      </c>
      <c r="J345" s="44">
        <f>'Paste cell here'!U344+'Paste cell here'!AF345</f>
        <v>297.67520080682294</v>
      </c>
      <c r="K345" s="45">
        <f>'Paste cell here'!AG345</f>
        <v>237.44296079393851</v>
      </c>
      <c r="L345" s="41" t="str">
        <f t="shared" si="17"/>
        <v>NO</v>
      </c>
      <c r="M345" s="1">
        <f>(Sintesi!$C$29*F345*1000)</f>
        <v>23.3</v>
      </c>
      <c r="N345" s="1">
        <f>Sintesi!$C$30*F345*1000</f>
        <v>10.700000000000001</v>
      </c>
      <c r="O345" s="1">
        <f t="shared" si="15"/>
        <v>12.6</v>
      </c>
      <c r="P345" s="1">
        <f>Sintesi!$C$33*G345*1000</f>
        <v>231.3</v>
      </c>
      <c r="Q345" s="1">
        <f>Sintesi!$C$34*G345*1000</f>
        <v>115.20000000000002</v>
      </c>
      <c r="R345" s="1">
        <f t="shared" si="16"/>
        <v>116.1</v>
      </c>
    </row>
    <row r="346" spans="1:18">
      <c r="A346" s="41">
        <v>345</v>
      </c>
      <c r="B346" s="42">
        <f>DATE(Sintesi!$C$4-1,12,31)+A346</f>
        <v>44541</v>
      </c>
      <c r="C346" s="41">
        <f>'Paste cell here'!B346</f>
        <v>7.9999999999999724E-2</v>
      </c>
      <c r="D346" s="41">
        <f>'Paste cell here'!I346</f>
        <v>0</v>
      </c>
      <c r="E346" s="1">
        <f>'Paste cell here'!H346</f>
        <v>0.18540444732023903</v>
      </c>
      <c r="F346" s="1">
        <f>Sintesi!$C$5</f>
        <v>0.1</v>
      </c>
      <c r="G346" s="1">
        <f>'Paste cell here'!AA346</f>
        <v>0.9</v>
      </c>
      <c r="H346" s="43">
        <f>'Paste cell here'!U346</f>
        <v>29.355498560712967</v>
      </c>
      <c r="I346" s="43">
        <f>'Paste cell here'!AE346</f>
        <v>269.49796032596339</v>
      </c>
      <c r="J346" s="44">
        <f>'Paste cell here'!U345+'Paste cell here'!AF346</f>
        <v>300.20460171425879</v>
      </c>
      <c r="K346" s="45">
        <f>'Paste cell here'!AG346</f>
        <v>237.89691334091967</v>
      </c>
      <c r="L346" s="41" t="str">
        <f t="shared" si="17"/>
        <v>NO</v>
      </c>
      <c r="M346" s="1">
        <f>(Sintesi!$C$29*F346*1000)</f>
        <v>23.3</v>
      </c>
      <c r="N346" s="1">
        <f>Sintesi!$C$30*F346*1000</f>
        <v>10.700000000000001</v>
      </c>
      <c r="O346" s="1">
        <f t="shared" si="15"/>
        <v>12.6</v>
      </c>
      <c r="P346" s="1">
        <f>Sintesi!$C$33*G346*1000</f>
        <v>231.3</v>
      </c>
      <c r="Q346" s="1">
        <f>Sintesi!$C$34*G346*1000</f>
        <v>115.20000000000002</v>
      </c>
      <c r="R346" s="1">
        <f t="shared" si="16"/>
        <v>116.1</v>
      </c>
    </row>
    <row r="347" spans="1:18">
      <c r="A347" s="41">
        <v>346</v>
      </c>
      <c r="B347" s="42">
        <f>DATE(Sintesi!$C$4-1,12,31)+A347</f>
        <v>44542</v>
      </c>
      <c r="C347" s="41">
        <f>'Paste cell here'!B347</f>
        <v>0.15999999999999945</v>
      </c>
      <c r="D347" s="41">
        <f>'Paste cell here'!I347</f>
        <v>0</v>
      </c>
      <c r="E347" s="1">
        <f>'Paste cell here'!H347</f>
        <v>0.19411647726630626</v>
      </c>
      <c r="F347" s="1">
        <f>Sintesi!$C$5</f>
        <v>0.1</v>
      </c>
      <c r="G347" s="1">
        <f>'Paste cell here'!AA347</f>
        <v>0.9</v>
      </c>
      <c r="H347" s="43">
        <f>'Paste cell here'!U347</f>
        <v>28.165127651002461</v>
      </c>
      <c r="I347" s="43">
        <f>'Paste cell here'!AE347</f>
        <v>269.29253070853275</v>
      </c>
      <c r="J347" s="44">
        <f>'Paste cell here'!U346+'Paste cell here'!AF347</f>
        <v>298.85345888667638</v>
      </c>
      <c r="K347" s="45">
        <f>'Paste cell here'!AG347</f>
        <v>237.11204656307848</v>
      </c>
      <c r="L347" s="41" t="str">
        <f t="shared" si="17"/>
        <v>NO</v>
      </c>
      <c r="M347" s="1">
        <f>(Sintesi!$C$29*F347*1000)</f>
        <v>23.3</v>
      </c>
      <c r="N347" s="1">
        <f>Sintesi!$C$30*F347*1000</f>
        <v>10.700000000000001</v>
      </c>
      <c r="O347" s="1">
        <f t="shared" si="15"/>
        <v>12.6</v>
      </c>
      <c r="P347" s="1">
        <f>Sintesi!$C$33*G347*1000</f>
        <v>231.3</v>
      </c>
      <c r="Q347" s="1">
        <f>Sintesi!$C$34*G347*1000</f>
        <v>115.20000000000002</v>
      </c>
      <c r="R347" s="1">
        <f t="shared" si="16"/>
        <v>116.1</v>
      </c>
    </row>
    <row r="348" spans="1:18">
      <c r="A348" s="41">
        <v>347</v>
      </c>
      <c r="B348" s="42">
        <f>DATE(Sintesi!$C$4-1,12,31)+A348</f>
        <v>44543</v>
      </c>
      <c r="C348" s="41">
        <f>'Paste cell here'!B348</f>
        <v>0</v>
      </c>
      <c r="D348" s="41">
        <f>'Paste cell here'!I348</f>
        <v>0</v>
      </c>
      <c r="E348" s="1">
        <f>'Paste cell here'!H348</f>
        <v>0.18961306781932244</v>
      </c>
      <c r="F348" s="1">
        <f>Sintesi!$C$5</f>
        <v>0.1</v>
      </c>
      <c r="G348" s="1">
        <f>'Paste cell here'!AA348</f>
        <v>0.9</v>
      </c>
      <c r="H348" s="43">
        <f>'Paste cell here'!U348</f>
        <v>27.142876961604824</v>
      </c>
      <c r="I348" s="43">
        <f>'Paste cell here'!AE348</f>
        <v>268.71215505785779</v>
      </c>
      <c r="J348" s="44">
        <f>'Paste cell here'!U347+'Paste cell here'!AF348</f>
        <v>297.45765835953523</v>
      </c>
      <c r="K348" s="45">
        <f>'Paste cell here'!AG348</f>
        <v>237.51775872015727</v>
      </c>
      <c r="L348" s="41" t="str">
        <f t="shared" si="17"/>
        <v>NO</v>
      </c>
      <c r="M348" s="1">
        <f>(Sintesi!$C$29*F348*1000)</f>
        <v>23.3</v>
      </c>
      <c r="N348" s="1">
        <f>Sintesi!$C$30*F348*1000</f>
        <v>10.700000000000001</v>
      </c>
      <c r="O348" s="1">
        <f t="shared" si="15"/>
        <v>12.6</v>
      </c>
      <c r="P348" s="1">
        <f>Sintesi!$C$33*G348*1000</f>
        <v>231.3</v>
      </c>
      <c r="Q348" s="1">
        <f>Sintesi!$C$34*G348*1000</f>
        <v>115.20000000000002</v>
      </c>
      <c r="R348" s="1">
        <f t="shared" si="16"/>
        <v>116.1</v>
      </c>
    </row>
    <row r="349" spans="1:18">
      <c r="A349" s="41">
        <v>348</v>
      </c>
      <c r="B349" s="42">
        <f>DATE(Sintesi!$C$4-1,12,31)+A349</f>
        <v>44544</v>
      </c>
      <c r="C349" s="41">
        <f>'Paste cell here'!B349</f>
        <v>7.9999999999999724E-2</v>
      </c>
      <c r="D349" s="41">
        <f>'Paste cell here'!I349</f>
        <v>0</v>
      </c>
      <c r="E349" s="1">
        <f>'Paste cell here'!H349</f>
        <v>0.18673026800729892</v>
      </c>
      <c r="F349" s="1">
        <f>Sintesi!$C$5</f>
        <v>0.1</v>
      </c>
      <c r="G349" s="1">
        <f>'Paste cell here'!AA349</f>
        <v>0.9</v>
      </c>
      <c r="H349" s="43">
        <f>'Paste cell here'!U349</f>
        <v>26.496641587533276</v>
      </c>
      <c r="I349" s="43">
        <f>'Paste cell here'!AE349</f>
        <v>267.96160197692876</v>
      </c>
      <c r="J349" s="44">
        <f>'Paste cell here'!U348+'Paste cell here'!AF349</f>
        <v>295.85503201946261</v>
      </c>
      <c r="K349" s="45">
        <f>'Paste cell here'!AG349</f>
        <v>237.77747015522243</v>
      </c>
      <c r="L349" s="41" t="str">
        <f t="shared" si="17"/>
        <v>NO</v>
      </c>
      <c r="M349" s="1">
        <f>(Sintesi!$C$29*F349*1000)</f>
        <v>23.3</v>
      </c>
      <c r="N349" s="1">
        <f>Sintesi!$C$30*F349*1000</f>
        <v>10.700000000000001</v>
      </c>
      <c r="O349" s="1">
        <f t="shared" si="15"/>
        <v>12.6</v>
      </c>
      <c r="P349" s="1">
        <f>Sintesi!$C$33*G349*1000</f>
        <v>231.3</v>
      </c>
      <c r="Q349" s="1">
        <f>Sintesi!$C$34*G349*1000</f>
        <v>115.20000000000002</v>
      </c>
      <c r="R349" s="1">
        <f t="shared" si="16"/>
        <v>116.1</v>
      </c>
    </row>
    <row r="350" spans="1:18">
      <c r="A350" s="41">
        <v>349</v>
      </c>
      <c r="B350" s="42">
        <f>DATE(Sintesi!$C$4-1,12,31)+A350</f>
        <v>44545</v>
      </c>
      <c r="C350" s="41">
        <f>'Paste cell here'!B350</f>
        <v>0</v>
      </c>
      <c r="D350" s="41">
        <f>'Paste cell here'!I350</f>
        <v>0</v>
      </c>
      <c r="E350" s="1">
        <f>'Paste cell here'!H350</f>
        <v>0.19012992896471395</v>
      </c>
      <c r="F350" s="1">
        <f>Sintesi!$C$5</f>
        <v>0.1</v>
      </c>
      <c r="G350" s="1">
        <f>'Paste cell here'!AA350</f>
        <v>0.9</v>
      </c>
      <c r="H350" s="43">
        <f>'Paste cell here'!U350</f>
        <v>25.883912069254325</v>
      </c>
      <c r="I350" s="43">
        <f>'Paste cell here'!AE350</f>
        <v>267.13803478431458</v>
      </c>
      <c r="J350" s="44">
        <f>'Paste cell here'!U349+'Paste cell here'!AF350</f>
        <v>294.45824356446212</v>
      </c>
      <c r="K350" s="45">
        <f>'Paste cell here'!AG350</f>
        <v>237.47119469956894</v>
      </c>
      <c r="L350" s="41" t="str">
        <f t="shared" si="17"/>
        <v>NO</v>
      </c>
      <c r="M350" s="1">
        <f>(Sintesi!$C$29*F350*1000)</f>
        <v>23.3</v>
      </c>
      <c r="N350" s="1">
        <f>Sintesi!$C$30*F350*1000</f>
        <v>10.700000000000001</v>
      </c>
      <c r="O350" s="1">
        <f t="shared" si="15"/>
        <v>12.6</v>
      </c>
      <c r="P350" s="1">
        <f>Sintesi!$C$33*G350*1000</f>
        <v>231.3</v>
      </c>
      <c r="Q350" s="1">
        <f>Sintesi!$C$34*G350*1000</f>
        <v>115.20000000000002</v>
      </c>
      <c r="R350" s="1">
        <f t="shared" si="16"/>
        <v>116.1</v>
      </c>
    </row>
    <row r="351" spans="1:18">
      <c r="A351" s="41">
        <v>350</v>
      </c>
      <c r="B351" s="42">
        <f>DATE(Sintesi!$C$4-1,12,31)+A351</f>
        <v>44546</v>
      </c>
      <c r="C351" s="41">
        <f>'Paste cell here'!B351</f>
        <v>0.15999999999999945</v>
      </c>
      <c r="D351" s="41">
        <f>'Paste cell here'!I351</f>
        <v>0</v>
      </c>
      <c r="E351" s="1">
        <f>'Paste cell here'!H351</f>
        <v>0.18990901200644558</v>
      </c>
      <c r="F351" s="1">
        <f>Sintesi!$C$5</f>
        <v>0.1</v>
      </c>
      <c r="G351" s="1">
        <f>'Paste cell here'!AA351</f>
        <v>0.9</v>
      </c>
      <c r="H351" s="43">
        <f>'Paste cell here'!U351</f>
        <v>25.558912954651646</v>
      </c>
      <c r="I351" s="43">
        <f>'Paste cell here'!AE351</f>
        <v>266.29040969135178</v>
      </c>
      <c r="J351" s="44">
        <f>'Paste cell here'!U350+'Paste cell here'!AF351</f>
        <v>293.02194685356898</v>
      </c>
      <c r="K351" s="45">
        <f>'Paste cell here'!AG351</f>
        <v>237.49109710833935</v>
      </c>
      <c r="L351" s="41" t="str">
        <f t="shared" si="17"/>
        <v>NO</v>
      </c>
      <c r="M351" s="1">
        <f>(Sintesi!$C$29*F351*1000)</f>
        <v>23.3</v>
      </c>
      <c r="N351" s="1">
        <f>Sintesi!$C$30*F351*1000</f>
        <v>10.700000000000001</v>
      </c>
      <c r="O351" s="1">
        <f t="shared" si="15"/>
        <v>12.6</v>
      </c>
      <c r="P351" s="1">
        <f>Sintesi!$C$33*G351*1000</f>
        <v>231.3</v>
      </c>
      <c r="Q351" s="1">
        <f>Sintesi!$C$34*G351*1000</f>
        <v>115.20000000000002</v>
      </c>
      <c r="R351" s="1">
        <f t="shared" si="16"/>
        <v>116.1</v>
      </c>
    </row>
    <row r="352" spans="1:18">
      <c r="A352" s="41">
        <v>351</v>
      </c>
      <c r="B352" s="42">
        <f>DATE(Sintesi!$C$4-1,12,31)+A352</f>
        <v>44547</v>
      </c>
      <c r="C352" s="41">
        <f>'Paste cell here'!B352</f>
        <v>7.9999999999999724E-2</v>
      </c>
      <c r="D352" s="41">
        <f>'Paste cell here'!I352</f>
        <v>0</v>
      </c>
      <c r="E352" s="1">
        <f>'Paste cell here'!H352</f>
        <v>0.19216489556818495</v>
      </c>
      <c r="F352" s="1">
        <f>Sintesi!$C$5</f>
        <v>0.1</v>
      </c>
      <c r="G352" s="1">
        <f>'Paste cell here'!AA352</f>
        <v>0.9</v>
      </c>
      <c r="H352" s="43">
        <f>'Paste cell here'!U352</f>
        <v>25.073208126323149</v>
      </c>
      <c r="I352" s="43">
        <f>'Paste cell here'!AE352</f>
        <v>265.4382882350659</v>
      </c>
      <c r="J352" s="44">
        <f>'Paste cell here'!U351+'Paste cell here'!AF352</f>
        <v>291.84932264600343</v>
      </c>
      <c r="K352" s="45">
        <f>'Paste cell here'!AG352</f>
        <v>237.28786455826221</v>
      </c>
      <c r="L352" s="41" t="str">
        <f t="shared" si="17"/>
        <v>NO</v>
      </c>
      <c r="M352" s="1">
        <f>(Sintesi!$C$29*F352*1000)</f>
        <v>23.3</v>
      </c>
      <c r="N352" s="1">
        <f>Sintesi!$C$30*F352*1000</f>
        <v>10.700000000000001</v>
      </c>
      <c r="O352" s="1">
        <f t="shared" si="15"/>
        <v>12.6</v>
      </c>
      <c r="P352" s="1">
        <f>Sintesi!$C$33*G352*1000</f>
        <v>231.3</v>
      </c>
      <c r="Q352" s="1">
        <f>Sintesi!$C$34*G352*1000</f>
        <v>115.20000000000002</v>
      </c>
      <c r="R352" s="1">
        <f t="shared" si="16"/>
        <v>116.1</v>
      </c>
    </row>
    <row r="353" spans="1:18">
      <c r="A353" s="41">
        <v>352</v>
      </c>
      <c r="B353" s="42">
        <f>DATE(Sintesi!$C$4-1,12,31)+A353</f>
        <v>44548</v>
      </c>
      <c r="C353" s="41">
        <f>'Paste cell here'!B353</f>
        <v>0.23999999999999913</v>
      </c>
      <c r="D353" s="41">
        <f>'Paste cell here'!I353</f>
        <v>0</v>
      </c>
      <c r="E353" s="1">
        <f>'Paste cell here'!H353</f>
        <v>0.18691735574672813</v>
      </c>
      <c r="F353" s="1">
        <f>Sintesi!$C$5</f>
        <v>0.1</v>
      </c>
      <c r="G353" s="1">
        <f>'Paste cell here'!AA353</f>
        <v>0.9</v>
      </c>
      <c r="H353" s="43">
        <f>'Paste cell here'!U353</f>
        <v>24.935237153488224</v>
      </c>
      <c r="I353" s="43">
        <f>'Paste cell here'!AE353</f>
        <v>264.59628408228906</v>
      </c>
      <c r="J353" s="44">
        <f>'Paste cell here'!U352+'Paste cell here'!AF353</f>
        <v>290.51149636138905</v>
      </c>
      <c r="K353" s="45">
        <f>'Paste cell here'!AG353</f>
        <v>237.76061542077727</v>
      </c>
      <c r="L353" s="41" t="str">
        <f t="shared" si="17"/>
        <v>NO</v>
      </c>
      <c r="M353" s="1">
        <f>(Sintesi!$C$29*F353*1000)</f>
        <v>23.3</v>
      </c>
      <c r="N353" s="1">
        <f>Sintesi!$C$30*F353*1000</f>
        <v>10.700000000000001</v>
      </c>
      <c r="O353" s="1">
        <f t="shared" si="15"/>
        <v>12.6</v>
      </c>
      <c r="P353" s="1">
        <f>Sintesi!$C$33*G353*1000</f>
        <v>231.3</v>
      </c>
      <c r="Q353" s="1">
        <f>Sintesi!$C$34*G353*1000</f>
        <v>115.20000000000002</v>
      </c>
      <c r="R353" s="1">
        <f t="shared" si="16"/>
        <v>116.1</v>
      </c>
    </row>
    <row r="354" spans="1:18">
      <c r="A354" s="41">
        <v>353</v>
      </c>
      <c r="B354" s="42">
        <f>DATE(Sintesi!$C$4-1,12,31)+A354</f>
        <v>44549</v>
      </c>
      <c r="C354" s="41">
        <f>'Paste cell here'!B354</f>
        <v>0</v>
      </c>
      <c r="D354" s="41">
        <f>'Paste cell here'!I354</f>
        <v>0</v>
      </c>
      <c r="E354" s="1">
        <f>'Paste cell here'!H354</f>
        <v>0.19305271341014457</v>
      </c>
      <c r="F354" s="1">
        <f>Sintesi!$C$5</f>
        <v>0.1</v>
      </c>
      <c r="G354" s="1">
        <f>'Paste cell here'!AA354</f>
        <v>0.9</v>
      </c>
      <c r="H354" s="43">
        <f>'Paste cell here'!U354</f>
        <v>24.449230144512999</v>
      </c>
      <c r="I354" s="43">
        <f>'Paste cell here'!AE354</f>
        <v>263.76753239843555</v>
      </c>
      <c r="J354" s="44">
        <f>'Paste cell here'!U353+'Paste cell here'!AF354</f>
        <v>289.53152123577729</v>
      </c>
      <c r="K354" s="45">
        <f>'Paste cell here'!AG354</f>
        <v>237.2078810488801</v>
      </c>
      <c r="L354" s="41" t="str">
        <f t="shared" si="17"/>
        <v>NO</v>
      </c>
      <c r="M354" s="1">
        <f>(Sintesi!$C$29*F354*1000)</f>
        <v>23.3</v>
      </c>
      <c r="N354" s="1">
        <f>Sintesi!$C$30*F354*1000</f>
        <v>10.700000000000001</v>
      </c>
      <c r="O354" s="1">
        <f t="shared" si="15"/>
        <v>12.6</v>
      </c>
      <c r="P354" s="1">
        <f>Sintesi!$C$33*G354*1000</f>
        <v>231.3</v>
      </c>
      <c r="Q354" s="1">
        <f>Sintesi!$C$34*G354*1000</f>
        <v>115.20000000000002</v>
      </c>
      <c r="R354" s="1">
        <f t="shared" si="16"/>
        <v>116.1</v>
      </c>
    </row>
    <row r="355" spans="1:18">
      <c r="A355" s="41">
        <v>354</v>
      </c>
      <c r="B355" s="42">
        <f>DATE(Sintesi!$C$4-1,12,31)+A355</f>
        <v>44550</v>
      </c>
      <c r="C355" s="41">
        <f>'Paste cell here'!B355</f>
        <v>0</v>
      </c>
      <c r="D355" s="41">
        <f>'Paste cell here'!I355</f>
        <v>0</v>
      </c>
      <c r="E355" s="1">
        <f>'Paste cell here'!H355</f>
        <v>0.18758490869483385</v>
      </c>
      <c r="F355" s="1">
        <f>Sintesi!$C$5</f>
        <v>0.1</v>
      </c>
      <c r="G355" s="1">
        <f>'Paste cell here'!AA355</f>
        <v>0.9</v>
      </c>
      <c r="H355" s="43">
        <f>'Paste cell here'!U355</f>
        <v>23.82894989432479</v>
      </c>
      <c r="I355" s="43">
        <f>'Paste cell here'!AE355</f>
        <v>262.93652962784552</v>
      </c>
      <c r="J355" s="44">
        <f>'Paste cell here'!U354+'Paste cell here'!AF355</f>
        <v>288.21676254294863</v>
      </c>
      <c r="K355" s="45">
        <f>'Paste cell here'!AG355</f>
        <v>237.70047557568245</v>
      </c>
      <c r="L355" s="41" t="str">
        <f t="shared" si="17"/>
        <v>NO</v>
      </c>
      <c r="M355" s="1">
        <f>(Sintesi!$C$29*F355*1000)</f>
        <v>23.3</v>
      </c>
      <c r="N355" s="1">
        <f>Sintesi!$C$30*F355*1000</f>
        <v>10.700000000000001</v>
      </c>
      <c r="O355" s="1">
        <f t="shared" si="15"/>
        <v>12.6</v>
      </c>
      <c r="P355" s="1">
        <f>Sintesi!$C$33*G355*1000</f>
        <v>231.3</v>
      </c>
      <c r="Q355" s="1">
        <f>Sintesi!$C$34*G355*1000</f>
        <v>115.20000000000002</v>
      </c>
      <c r="R355" s="1">
        <f t="shared" si="16"/>
        <v>116.1</v>
      </c>
    </row>
    <row r="356" spans="1:18">
      <c r="A356" s="41">
        <v>355</v>
      </c>
      <c r="B356" s="42">
        <f>DATE(Sintesi!$C$4-1,12,31)+A356</f>
        <v>44551</v>
      </c>
      <c r="C356" s="41">
        <f>'Paste cell here'!B356</f>
        <v>0</v>
      </c>
      <c r="D356" s="41">
        <f>'Paste cell here'!I356</f>
        <v>0</v>
      </c>
      <c r="E356" s="1">
        <f>'Paste cell here'!H356</f>
        <v>0.180513746750288</v>
      </c>
      <c r="F356" s="1">
        <f>Sintesi!$C$5</f>
        <v>0.1</v>
      </c>
      <c r="G356" s="1">
        <f>'Paste cell here'!AA356</f>
        <v>0.9</v>
      </c>
      <c r="H356" s="43">
        <f>'Paste cell here'!U356</f>
        <v>23.310573090287946</v>
      </c>
      <c r="I356" s="43">
        <f>'Paste cell here'!AE356</f>
        <v>262.10979280654846</v>
      </c>
      <c r="J356" s="44">
        <f>'Paste cell here'!U355+'Paste cell here'!AF356</f>
        <v>286.76547952217032</v>
      </c>
      <c r="K356" s="45">
        <f>'Paste cell here'!AG356</f>
        <v>238.33751655526657</v>
      </c>
      <c r="L356" s="41" t="str">
        <f t="shared" si="17"/>
        <v>NO</v>
      </c>
      <c r="M356" s="1">
        <f>(Sintesi!$C$29*F356*1000)</f>
        <v>23.3</v>
      </c>
      <c r="N356" s="1">
        <f>Sintesi!$C$30*F356*1000</f>
        <v>10.700000000000001</v>
      </c>
      <c r="O356" s="1">
        <f t="shared" si="15"/>
        <v>12.6</v>
      </c>
      <c r="P356" s="1">
        <f>Sintesi!$C$33*G356*1000</f>
        <v>231.3</v>
      </c>
      <c r="Q356" s="1">
        <f>Sintesi!$C$34*G356*1000</f>
        <v>115.20000000000002</v>
      </c>
      <c r="R356" s="1">
        <f t="shared" si="16"/>
        <v>116.1</v>
      </c>
    </row>
    <row r="357" spans="1:18">
      <c r="A357" s="41">
        <v>356</v>
      </c>
      <c r="B357" s="42">
        <f>DATE(Sintesi!$C$4-1,12,31)+A357</f>
        <v>44552</v>
      </c>
      <c r="C357" s="41">
        <f>'Paste cell here'!B357</f>
        <v>0</v>
      </c>
      <c r="D357" s="41">
        <f>'Paste cell here'!I357</f>
        <v>0</v>
      </c>
      <c r="E357" s="1">
        <f>'Paste cell here'!H357</f>
        <v>0.18320656468941005</v>
      </c>
      <c r="F357" s="1">
        <f>Sintesi!$C$5</f>
        <v>0.1</v>
      </c>
      <c r="G357" s="1">
        <f>'Paste cell here'!AA357</f>
        <v>0.9</v>
      </c>
      <c r="H357" s="43">
        <f>'Paste cell here'!U357</f>
        <v>22.978186739406372</v>
      </c>
      <c r="I357" s="43">
        <f>'Paste cell here'!AE357</f>
        <v>261.29947729444046</v>
      </c>
      <c r="J357" s="44">
        <f>'Paste cell here'!U356+'Paste cell here'!AF357</f>
        <v>285.42036589683642</v>
      </c>
      <c r="K357" s="45">
        <f>'Paste cell here'!AG357</f>
        <v>238.09492058713107</v>
      </c>
      <c r="L357" s="41" t="str">
        <f t="shared" si="17"/>
        <v>NO</v>
      </c>
      <c r="M357" s="1">
        <f>(Sintesi!$C$29*F357*1000)</f>
        <v>23.3</v>
      </c>
      <c r="N357" s="1">
        <f>Sintesi!$C$30*F357*1000</f>
        <v>10.700000000000001</v>
      </c>
      <c r="O357" s="1">
        <f t="shared" si="15"/>
        <v>12.6</v>
      </c>
      <c r="P357" s="1">
        <f>Sintesi!$C$33*G357*1000</f>
        <v>231.3</v>
      </c>
      <c r="Q357" s="1">
        <f>Sintesi!$C$34*G357*1000</f>
        <v>115.20000000000002</v>
      </c>
      <c r="R357" s="1">
        <f t="shared" si="16"/>
        <v>116.1</v>
      </c>
    </row>
    <row r="358" spans="1:18">
      <c r="A358" s="41">
        <v>357</v>
      </c>
      <c r="B358" s="42">
        <f>DATE(Sintesi!$C$4-1,12,31)+A358</f>
        <v>44553</v>
      </c>
      <c r="C358" s="41">
        <f>'Paste cell here'!B358</f>
        <v>0</v>
      </c>
      <c r="D358" s="41">
        <f>'Paste cell here'!I358</f>
        <v>0</v>
      </c>
      <c r="E358" s="1">
        <f>'Paste cell here'!H358</f>
        <v>0.18982384351476114</v>
      </c>
      <c r="F358" s="1">
        <f>Sintesi!$C$5</f>
        <v>0.1</v>
      </c>
      <c r="G358" s="1">
        <f>'Paste cell here'!AA358</f>
        <v>0.9</v>
      </c>
      <c r="H358" s="43">
        <f>'Paste cell here'!U358</f>
        <v>22.564214371529179</v>
      </c>
      <c r="I358" s="43">
        <f>'Paste cell here'!AE358</f>
        <v>260.50952965702237</v>
      </c>
      <c r="J358" s="44">
        <f>'Paste cell here'!U357+'Paste cell here'!AF358</f>
        <v>284.27766403384686</v>
      </c>
      <c r="K358" s="45">
        <f>'Paste cell here'!AG358</f>
        <v>237.49876993775518</v>
      </c>
      <c r="L358" s="41" t="str">
        <f t="shared" si="17"/>
        <v>NO</v>
      </c>
      <c r="M358" s="1">
        <f>(Sintesi!$C$29*F358*1000)</f>
        <v>23.3</v>
      </c>
      <c r="N358" s="1">
        <f>Sintesi!$C$30*F358*1000</f>
        <v>10.700000000000001</v>
      </c>
      <c r="O358" s="1">
        <f t="shared" si="15"/>
        <v>12.6</v>
      </c>
      <c r="P358" s="1">
        <f>Sintesi!$C$33*G358*1000</f>
        <v>231.3</v>
      </c>
      <c r="Q358" s="1">
        <f>Sintesi!$C$34*G358*1000</f>
        <v>115.20000000000002</v>
      </c>
      <c r="R358" s="1">
        <f t="shared" si="16"/>
        <v>116.1</v>
      </c>
    </row>
    <row r="359" spans="1:18">
      <c r="A359" s="41">
        <v>358</v>
      </c>
      <c r="B359" s="42">
        <f>DATE(Sintesi!$C$4-1,12,31)+A359</f>
        <v>44554</v>
      </c>
      <c r="C359" s="41">
        <f>'Paste cell here'!B359</f>
        <v>0</v>
      </c>
      <c r="D359" s="41">
        <f>'Paste cell here'!I359</f>
        <v>0</v>
      </c>
      <c r="E359" s="1">
        <f>'Paste cell here'!H359</f>
        <v>0.18598320405612614</v>
      </c>
      <c r="F359" s="1">
        <f>Sintesi!$C$5</f>
        <v>0.1</v>
      </c>
      <c r="G359" s="1">
        <f>'Paste cell here'!AA359</f>
        <v>0.9</v>
      </c>
      <c r="H359" s="43">
        <f>'Paste cell here'!U359</f>
        <v>21.946491554768723</v>
      </c>
      <c r="I359" s="43">
        <f>'Paste cell here'!AE359</f>
        <v>259.73655561786524</v>
      </c>
      <c r="J359" s="44">
        <f>'Paste cell here'!U358+'Paste cell here'!AF359</f>
        <v>283.07374402855157</v>
      </c>
      <c r="K359" s="45">
        <f>'Paste cell here'!AG359</f>
        <v>237.84477314658363</v>
      </c>
      <c r="L359" s="41" t="str">
        <f t="shared" si="17"/>
        <v>NO</v>
      </c>
      <c r="M359" s="1">
        <f>(Sintesi!$C$29*F359*1000)</f>
        <v>23.3</v>
      </c>
      <c r="N359" s="1">
        <f>Sintesi!$C$30*F359*1000</f>
        <v>10.700000000000001</v>
      </c>
      <c r="O359" s="1">
        <f t="shared" si="15"/>
        <v>12.6</v>
      </c>
      <c r="P359" s="1">
        <f>Sintesi!$C$33*G359*1000</f>
        <v>231.3</v>
      </c>
      <c r="Q359" s="1">
        <f>Sintesi!$C$34*G359*1000</f>
        <v>115.20000000000002</v>
      </c>
      <c r="R359" s="1">
        <f t="shared" si="16"/>
        <v>116.1</v>
      </c>
    </row>
    <row r="360" spans="1:18">
      <c r="A360" s="41">
        <v>359</v>
      </c>
      <c r="B360" s="42">
        <f>DATE(Sintesi!$C$4-1,12,31)+A360</f>
        <v>44555</v>
      </c>
      <c r="C360" s="41">
        <f>'Paste cell here'!B360</f>
        <v>1.6799999999999473</v>
      </c>
      <c r="D360" s="41">
        <f>'Paste cell here'!I360</f>
        <v>0</v>
      </c>
      <c r="E360" s="1">
        <f>'Paste cell here'!H360</f>
        <v>0.17720042120566448</v>
      </c>
      <c r="F360" s="1">
        <f>Sintesi!$C$5</f>
        <v>0.1</v>
      </c>
      <c r="G360" s="1">
        <f>'Paste cell here'!AA360</f>
        <v>0.9</v>
      </c>
      <c r="H360" s="43">
        <f>'Paste cell here'!U360</f>
        <v>23.099374102379318</v>
      </c>
      <c r="I360" s="43">
        <f>'Paste cell here'!AE360</f>
        <v>259.00183811808944</v>
      </c>
      <c r="J360" s="44">
        <f>'Paste cell here'!U359+'Paste cell here'!AF360</f>
        <v>281.68304717263396</v>
      </c>
      <c r="K360" s="45">
        <f>'Paste cell here'!AG360</f>
        <v>238.63601405358168</v>
      </c>
      <c r="L360" s="41" t="str">
        <f t="shared" si="17"/>
        <v>NO</v>
      </c>
      <c r="M360" s="1">
        <f>(Sintesi!$C$29*F360*1000)</f>
        <v>23.3</v>
      </c>
      <c r="N360" s="1">
        <f>Sintesi!$C$30*F360*1000</f>
        <v>10.700000000000001</v>
      </c>
      <c r="O360" s="1">
        <f t="shared" si="15"/>
        <v>12.6</v>
      </c>
      <c r="P360" s="1">
        <f>Sintesi!$C$33*G360*1000</f>
        <v>231.3</v>
      </c>
      <c r="Q360" s="1">
        <f>Sintesi!$C$34*G360*1000</f>
        <v>115.20000000000002</v>
      </c>
      <c r="R360" s="1">
        <f t="shared" si="16"/>
        <v>116.1</v>
      </c>
    </row>
    <row r="361" spans="1:18">
      <c r="A361" s="41">
        <v>360</v>
      </c>
      <c r="B361" s="42">
        <f>DATE(Sintesi!$C$4-1,12,31)+A361</f>
        <v>44556</v>
      </c>
      <c r="C361" s="41">
        <f>'Paste cell here'!B361</f>
        <v>7.9999999999999724E-2</v>
      </c>
      <c r="D361" s="41">
        <f>'Paste cell here'!I361</f>
        <v>0</v>
      </c>
      <c r="E361" s="1">
        <f>'Paste cell here'!H361</f>
        <v>0.18112459812746956</v>
      </c>
      <c r="F361" s="1">
        <f>Sintesi!$C$5</f>
        <v>0.1</v>
      </c>
      <c r="G361" s="1">
        <f>'Paste cell here'!AA361</f>
        <v>0.9</v>
      </c>
      <c r="H361" s="43">
        <f>'Paste cell here'!U361</f>
        <v>22.816003921462706</v>
      </c>
      <c r="I361" s="43">
        <f>'Paste cell here'!AE361</f>
        <v>258.3100626731914</v>
      </c>
      <c r="J361" s="44">
        <f>'Paste cell here'!U360+'Paste cell here'!AF361</f>
        <v>282.10121222046882</v>
      </c>
      <c r="K361" s="45">
        <f>'Paste cell here'!AG361</f>
        <v>238.28248495469626</v>
      </c>
      <c r="L361" s="41" t="str">
        <f t="shared" si="17"/>
        <v>NO</v>
      </c>
      <c r="M361" s="1">
        <f>(Sintesi!$C$29*F361*1000)</f>
        <v>23.3</v>
      </c>
      <c r="N361" s="1">
        <f>Sintesi!$C$30*F361*1000</f>
        <v>10.700000000000001</v>
      </c>
      <c r="O361" s="1">
        <f t="shared" si="15"/>
        <v>12.6</v>
      </c>
      <c r="P361" s="1">
        <f>Sintesi!$C$33*G361*1000</f>
        <v>231.3</v>
      </c>
      <c r="Q361" s="1">
        <f>Sintesi!$C$34*G361*1000</f>
        <v>115.20000000000002</v>
      </c>
      <c r="R361" s="1">
        <f t="shared" si="16"/>
        <v>116.1</v>
      </c>
    </row>
    <row r="362" spans="1:18">
      <c r="A362" s="41">
        <v>361</v>
      </c>
      <c r="B362" s="42">
        <f>DATE(Sintesi!$C$4-1,12,31)+A362</f>
        <v>44557</v>
      </c>
      <c r="C362" s="41">
        <f>'Paste cell here'!B362</f>
        <v>3.3199999999999692</v>
      </c>
      <c r="D362" s="41">
        <f>'Paste cell here'!I362</f>
        <v>0</v>
      </c>
      <c r="E362" s="1">
        <f>'Paste cell here'!H362</f>
        <v>0.18827854240041025</v>
      </c>
      <c r="F362" s="1">
        <f>Sintesi!$C$5</f>
        <v>0.1</v>
      </c>
      <c r="G362" s="1">
        <f>'Paste cell here'!AA362</f>
        <v>0.9</v>
      </c>
      <c r="H362" s="43">
        <f>'Paste cell here'!U362</f>
        <v>25.584830604998011</v>
      </c>
      <c r="I362" s="43">
        <f>'Paste cell here'!AE362</f>
        <v>257.7185220388771</v>
      </c>
      <c r="J362" s="44">
        <f>'Paste cell here'!U361+'Paste cell here'!AF362</f>
        <v>281.12606659465411</v>
      </c>
      <c r="K362" s="45">
        <f>'Paste cell here'!AG362</f>
        <v>237.63798611514704</v>
      </c>
      <c r="L362" s="41" t="str">
        <f t="shared" si="17"/>
        <v>NO</v>
      </c>
      <c r="M362" s="1">
        <f>(Sintesi!$C$29*F362*1000)</f>
        <v>23.3</v>
      </c>
      <c r="N362" s="1">
        <f>Sintesi!$C$30*F362*1000</f>
        <v>10.700000000000001</v>
      </c>
      <c r="O362" s="1">
        <f t="shared" si="15"/>
        <v>12.6</v>
      </c>
      <c r="P362" s="1">
        <f>Sintesi!$C$33*G362*1000</f>
        <v>231.3</v>
      </c>
      <c r="Q362" s="1">
        <f>Sintesi!$C$34*G362*1000</f>
        <v>115.20000000000002</v>
      </c>
      <c r="R362" s="1">
        <f t="shared" si="16"/>
        <v>116.1</v>
      </c>
    </row>
    <row r="363" spans="1:18">
      <c r="A363" s="41">
        <v>362</v>
      </c>
      <c r="B363" s="42">
        <f>DATE(Sintesi!$C$4-1,12,31)+A363</f>
        <v>44558</v>
      </c>
      <c r="C363" s="41">
        <f>'Paste cell here'!B363</f>
        <v>0</v>
      </c>
      <c r="D363" s="41">
        <f>'Paste cell here'!I363</f>
        <v>0</v>
      </c>
      <c r="E363" s="1">
        <f>'Paste cell here'!H363</f>
        <v>0.18406662786365716</v>
      </c>
      <c r="F363" s="1">
        <f>Sintesi!$C$5</f>
        <v>0.1</v>
      </c>
      <c r="G363" s="1">
        <f>'Paste cell here'!AA363</f>
        <v>0.9</v>
      </c>
      <c r="H363" s="43">
        <f>'Paste cell here'!U363</f>
        <v>24.942722066454337</v>
      </c>
      <c r="I363" s="43">
        <f>'Paste cell here'!AE363</f>
        <v>257.23362744375112</v>
      </c>
      <c r="J363" s="44">
        <f>'Paste cell here'!U362+'Paste cell here'!AF363</f>
        <v>283.30335264387509</v>
      </c>
      <c r="K363" s="45">
        <f>'Paste cell here'!AG363</f>
        <v>238.01743749576315</v>
      </c>
      <c r="L363" s="41" t="str">
        <f t="shared" si="17"/>
        <v>NO</v>
      </c>
      <c r="M363" s="1">
        <f>(Sintesi!$C$29*F363*1000)</f>
        <v>23.3</v>
      </c>
      <c r="N363" s="1">
        <f>Sintesi!$C$30*F363*1000</f>
        <v>10.700000000000001</v>
      </c>
      <c r="O363" s="1">
        <f t="shared" si="15"/>
        <v>12.6</v>
      </c>
      <c r="P363" s="1">
        <f>Sintesi!$C$33*G363*1000</f>
        <v>231.3</v>
      </c>
      <c r="Q363" s="1">
        <f>Sintesi!$C$34*G363*1000</f>
        <v>115.20000000000002</v>
      </c>
      <c r="R363" s="1">
        <f t="shared" si="16"/>
        <v>116.1</v>
      </c>
    </row>
    <row r="364" spans="1:18">
      <c r="A364" s="41">
        <v>363</v>
      </c>
      <c r="B364" s="42">
        <f>DATE(Sintesi!$C$4-1,12,31)+A364</f>
        <v>44559</v>
      </c>
      <c r="C364" s="41">
        <f>'Paste cell here'!B364</f>
        <v>7.9999999999999724E-2</v>
      </c>
      <c r="D364" s="41">
        <f>'Paste cell here'!I364</f>
        <v>0</v>
      </c>
      <c r="E364" s="1">
        <f>'Paste cell here'!H364</f>
        <v>0.18363744105590138</v>
      </c>
      <c r="F364" s="1">
        <f>Sintesi!$C$5</f>
        <v>0.1</v>
      </c>
      <c r="G364" s="1">
        <f>'Paste cell here'!AA364</f>
        <v>0.9</v>
      </c>
      <c r="H364" s="43">
        <f>'Paste cell here'!U364</f>
        <v>24.595222892062065</v>
      </c>
      <c r="I364" s="43">
        <f>'Paste cell here'!AE364</f>
        <v>256.71609567004396</v>
      </c>
      <c r="J364" s="44">
        <f>'Paste cell here'!U363+'Paste cell here'!AF364</f>
        <v>282.17634951020551</v>
      </c>
      <c r="K364" s="45">
        <f>'Paste cell here'!AG364</f>
        <v>238.05610293527386</v>
      </c>
      <c r="L364" s="41" t="str">
        <f t="shared" si="17"/>
        <v>NO</v>
      </c>
      <c r="M364" s="1">
        <f>(Sintesi!$C$29*F364*1000)</f>
        <v>23.3</v>
      </c>
      <c r="N364" s="1">
        <f>Sintesi!$C$30*F364*1000</f>
        <v>10.700000000000001</v>
      </c>
      <c r="O364" s="1">
        <f t="shared" si="15"/>
        <v>12.6</v>
      </c>
      <c r="P364" s="1">
        <f>Sintesi!$C$33*G364*1000</f>
        <v>231.3</v>
      </c>
      <c r="Q364" s="1">
        <f>Sintesi!$C$34*G364*1000</f>
        <v>115.20000000000002</v>
      </c>
      <c r="R364" s="1">
        <f t="shared" si="16"/>
        <v>116.1</v>
      </c>
    </row>
    <row r="365" spans="1:18">
      <c r="A365" s="41">
        <v>364</v>
      </c>
      <c r="B365" s="42">
        <f>DATE(Sintesi!$C$4-1,12,31)+A365</f>
        <v>44560</v>
      </c>
      <c r="C365" s="41">
        <f>'Paste cell here'!B365</f>
        <v>0</v>
      </c>
      <c r="D365" s="41">
        <f>'Paste cell here'!I365</f>
        <v>0</v>
      </c>
      <c r="E365" s="1">
        <f>'Paste cell here'!H365</f>
        <v>0.19018544661682274</v>
      </c>
      <c r="F365" s="1">
        <f>Sintesi!$C$5</f>
        <v>0.1</v>
      </c>
      <c r="G365" s="1">
        <f>'Paste cell here'!AA365</f>
        <v>0.9</v>
      </c>
      <c r="H365" s="43">
        <f>'Paste cell here'!U365</f>
        <v>24.138443755150714</v>
      </c>
      <c r="I365" s="43">
        <f>'Paste cell here'!AE365</f>
        <v>256.18393159516569</v>
      </c>
      <c r="J365" s="44">
        <f>'Paste cell here'!U364+'Paste cell here'!AF365</f>
        <v>281.31131856210601</v>
      </c>
      <c r="K365" s="45">
        <f>'Paste cell here'!AG365</f>
        <v>237.46619311429043</v>
      </c>
      <c r="L365" s="41" t="str">
        <f t="shared" si="17"/>
        <v>NO</v>
      </c>
      <c r="M365" s="1">
        <f>(Sintesi!$C$29*F365*1000)</f>
        <v>23.3</v>
      </c>
      <c r="N365" s="1">
        <f>Sintesi!$C$30*F365*1000</f>
        <v>10.700000000000001</v>
      </c>
      <c r="O365" s="1">
        <f t="shared" si="15"/>
        <v>12.6</v>
      </c>
      <c r="P365" s="1">
        <f>Sintesi!$C$33*G365*1000</f>
        <v>231.3</v>
      </c>
      <c r="Q365" s="1">
        <f>Sintesi!$C$34*G365*1000</f>
        <v>115.20000000000002</v>
      </c>
      <c r="R365" s="1">
        <f t="shared" si="16"/>
        <v>116.1</v>
      </c>
    </row>
    <row r="366" spans="1:18">
      <c r="A366" s="41">
        <v>365</v>
      </c>
      <c r="B366" s="42">
        <f>DATE(Sintesi!$C$4-1,12,31)+A366</f>
        <v>44561</v>
      </c>
      <c r="C366" s="41">
        <f>'Paste cell here'!B366</f>
        <v>0</v>
      </c>
      <c r="D366" s="41">
        <f>'Paste cell here'!I366</f>
        <v>0</v>
      </c>
      <c r="E366" s="1">
        <f>'Paste cell here'!H366</f>
        <v>0.18768802188694414</v>
      </c>
      <c r="F366" s="1">
        <f>Sintesi!$C$5</f>
        <v>0.1</v>
      </c>
      <c r="G366" s="1">
        <f>'Paste cell here'!AA366</f>
        <v>0.9</v>
      </c>
      <c r="H366" s="43">
        <f>'Paste cell here'!U366</f>
        <v>23.765266910410968</v>
      </c>
      <c r="I366" s="43">
        <f>'Paste cell here'!AE366</f>
        <v>255.64147179558969</v>
      </c>
      <c r="J366" s="44">
        <f>'Paste cell here'!U365+'Paste cell here'!AF366</f>
        <v>280.32237535031646</v>
      </c>
      <c r="K366" s="45">
        <f>'Paste cell here'!AG366</f>
        <v>237.69118610820522</v>
      </c>
      <c r="L366" s="41" t="str">
        <f t="shared" si="17"/>
        <v>NO</v>
      </c>
      <c r="M366" s="1">
        <f>(Sintesi!$C$29*F366*1000)</f>
        <v>23.3</v>
      </c>
      <c r="N366" s="1">
        <f>Sintesi!$C$30*F366*1000</f>
        <v>10.700000000000001</v>
      </c>
      <c r="O366" s="1">
        <f t="shared" si="15"/>
        <v>12.6</v>
      </c>
      <c r="P366" s="1">
        <f>Sintesi!$C$33*G366*1000</f>
        <v>231.3</v>
      </c>
      <c r="Q366" s="1">
        <f>Sintesi!$C$34*G366*1000</f>
        <v>115.20000000000002</v>
      </c>
      <c r="R366" s="1">
        <f t="shared" si="16"/>
        <v>116.1</v>
      </c>
    </row>
  </sheetData>
  <conditionalFormatting sqref="A2:R366">
    <cfRule type="expression" dxfId="9" priority="2">
      <formula>$L2="YES"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5"/>
  <dimension ref="A1:R366"/>
  <sheetViews>
    <sheetView zoomScale="81" zoomScaleNormal="100" workbookViewId="0">
      <selection activeCell="O97" sqref="O97"/>
    </sheetView>
  </sheetViews>
  <sheetFormatPr defaultColWidth="9.109375" defaultRowHeight="10.199999999999999"/>
  <cols>
    <col min="1" max="1" width="11.109375" style="1" bestFit="1" customWidth="1"/>
    <col min="2" max="7" width="11.109375" style="1" customWidth="1"/>
    <col min="8" max="8" width="9.109375" style="1" customWidth="1"/>
    <col min="9" max="10" width="14" style="1" customWidth="1"/>
    <col min="11" max="12" width="10.88671875" style="1" bestFit="1" customWidth="1"/>
    <col min="13" max="13" width="9.109375" style="1" customWidth="1"/>
    <col min="14" max="16384" width="9.109375" style="1"/>
  </cols>
  <sheetData>
    <row r="1" spans="1:18" ht="22.5" customHeight="1">
      <c r="A1" s="3" t="s">
        <v>90</v>
      </c>
      <c r="B1" s="3" t="s">
        <v>91</v>
      </c>
      <c r="C1" s="3" t="s">
        <v>92</v>
      </c>
      <c r="D1" s="4" t="s">
        <v>80</v>
      </c>
      <c r="E1" s="3" t="s">
        <v>93</v>
      </c>
      <c r="F1" s="3" t="s">
        <v>94</v>
      </c>
      <c r="G1" s="3" t="s">
        <v>95</v>
      </c>
      <c r="H1" s="4" t="s">
        <v>96</v>
      </c>
      <c r="I1" s="3" t="s">
        <v>97</v>
      </c>
      <c r="J1" s="3" t="s">
        <v>98</v>
      </c>
      <c r="K1" s="3" t="s">
        <v>99</v>
      </c>
      <c r="L1" s="4" t="s">
        <v>100</v>
      </c>
      <c r="M1" s="4" t="s">
        <v>85</v>
      </c>
      <c r="N1" s="4"/>
      <c r="O1" s="13" t="s">
        <v>101</v>
      </c>
      <c r="P1" s="13" t="s">
        <v>102</v>
      </c>
      <c r="Q1" s="13" t="s">
        <v>103</v>
      </c>
    </row>
    <row r="2" spans="1:18">
      <c r="A2" s="1">
        <f>'Paste cell here'!A2</f>
        <v>1</v>
      </c>
      <c r="B2" s="2">
        <f>DATE(Sintesi!$C$4-1,12,31)+A2</f>
        <v>44197</v>
      </c>
      <c r="C2" s="34">
        <f t="array" ref="C2">_xlfn.IFNA(MATCH(1,((_xlfn.ANCHORARRAY(Sintesi!$C$9)&gt;_xlfn.ANCHORARRAY(Sintesi!$C$10))*(A2&gt;=_xlfn.ANCHORARRAY(Sintesi!$C$9))+(_xlfn.ANCHORARRAY(Sintesi!$C$9)&gt;_xlfn.ANCHORARRAY(Sintesi!$C$10))*(A2&lt;=_xlfn.ANCHORARRAY(Sintesi!$C$10))+(_xlfn.ANCHORARRAY(Sintesi!$C$9)&lt;_xlfn.ANCHORARRAY(Sintesi!$C$10))*(A2&gt;=_xlfn.ANCHORARRAY(Sintesi!$C$9))*(A2&lt;=_xlfn.ANCHORARRAY(Sintesi!$C$10)))*(_xlfn.ANCHORARRAY(Sintesi!$C$15)&gt;=0)+(_xlfn.ANCHORARRAY(Sintesi!$C$15)&lt;0),0),0)</f>
        <v>0</v>
      </c>
      <c r="D2" s="1">
        <f t="array" ref="D2">IF(ISBLANK($E3),IF(ISNUMBER($E1),IF($C2&gt;0,IF(($E2=INDEX(_xlfn.ANCHORARRAY(Sintesi!$C$14),1,$C2))*(INDEX(_xlfn.ANCHORARRAY(Sintesi!$C$15),1,$C2)&gt;0),0,IF(($E2=INDEX(_xlfn.ANCHORARRAY(Sintesi!$C$14),1,$C2))*(INDEX(_xlfn.ANCHORARRAY(Sintesi!$C$15),1,$C2)&lt;0)+($E2&gt;=$E1)*($E2&lt;=INDEX($E:$E,MATCH(TRUE,INDEX((ISNUMBER($E:$E)),0),0)))*($E2&gt;INDEX(_xlfn.ANCHORARRAY(Sintesi!$C$14),1,$C2))*($E2&lt;=INDEX(_xlfn.ANCHORARRAY(Sintesi!$C$15),1,$C2))*(INDEX(_xlfn.ANCHORARRAY(Sintesi!$C$15),1,$C2)&gt;0),1,IF(($E2&gt;=$E1)*($E2&lt;=INDEX($E:$E,MATCH(TRUE,INDEX((ISNUMBER($E:$E)),0),0)))*($E2&gt;INDEX(_xlfn.ANCHORARRAY(Sintesi!$C$14),1,$C2))*($E2&lt;INDEX(_xlfn.ANCHORARRAY(Sintesi!$C$16),1,$C2))*(INDEX(_xlfn.ANCHORARRAY(Sintesi!$C$15),1,$C2)&lt;0)+($E2&gt;=$E1)*($E2&lt;=INDEX($E:$E,MATCH(TRUE,INDEX((ISNUMBER($E:$E)),0),0)))*($E2&gt;INDEX(_xlfn.ANCHORARRAY(Sintesi!$C$15),1,$C2))*($E2&lt;INDEX(_xlfn.ANCHORARRAY(Sintesi!$C$16),1,$C2))*(INDEX(_xlfn.ANCHORARRAY(Sintesi!$C$15),1,$C2)&gt;0),2,IF($E2=(INDEX(_xlfn.ANCHORARRAY(Sintesi!$C$16),1,$C2)),3,4)))),0),IF($C2&gt;0,IF(($E2=INDEX(_xlfn.ANCHORARRAY(Sintesi!$C$14),1,$C2))*(INDEX(_xlfn.ANCHORARRAY(Sintesi!$C$15),1,$C2)&gt;0),0,IF(($E2=INDEX(_xlfn.ANCHORARRAY(Sintesi!$C$14),1,$C2))*(INDEX(_xlfn.ANCHORARRAY(Sintesi!$C$15),1,$C2)&lt;0)+($E2&gt;=LOOKUP(2,1/($E:$E&lt;&gt;""),$E:$E))*($E2&lt;=INDEX($E:$E,MATCH(TRUE,INDEX((ISNUMBER($E:$E)),0),0)))*($E2&gt;INDEX(_xlfn.ANCHORARRAY(Sintesi!$C$14),1,$C2))*($E2&lt;=INDEX(_xlfn.ANCHORARRAY(Sintesi!$C$15),1,$C2))*(INDEX(_xlfn.ANCHORARRAY(Sintesi!$C$15),1,$C2)&gt;0),1,IF(($E2&gt;=LOOKUP(2,1/($E:$E&lt;&gt;""),$E:$E))*($E2&lt;=INDEX($E:$E,MATCH(TRUE,INDEX((ISNUMBER($E:$E)),0),0)))*($E2&gt;INDEX(_xlfn.ANCHORARRAY(Sintesi!$C$14),1,$C2))*($E2&lt;INDEX(_xlfn.ANCHORARRAY(Sintesi!$C$16),1,$C2))*(INDEX(_xlfn.ANCHORARRAY(Sintesi!$C$15),1,$C2)&lt;0)+($E2&gt;=LOOKUP(2,1/($E:$E&lt;&gt;""),$E:$E))*($E2&lt;=INDEX($E:$E,MATCH(TRUE,INDEX((ISNUMBER($E:$E)),0),0)))*($E2&gt;INDEX(_xlfn.ANCHORARRAY(Sintesi!$C$15),1,$C2))*($E2&lt;INDEX(_xlfn.ANCHORARRAY(Sintesi!$C$16),1,$C2))*(INDEX(_xlfn.ANCHORARRAY(Sintesi!$C$15),1,$C2)&gt;0),2,IF($E2=(INDEX(_xlfn.ANCHORARRAY(Sintesi!$C$16),1,$C2)),3,4)))),0)),IF(ISNUMBER($E1),IF($C2&gt;0,IF(($E2=INDEX(_xlfn.ANCHORARRAY(Sintesi!$C$14),1,$C2))*(INDEX(_xlfn.ANCHORARRAY(Sintesi!$C$15),1,$C2)&gt;0),0,IF(($E2=INDEX(_xlfn.ANCHORARRAY(Sintesi!$C$14),1,$C2))*(INDEX(_xlfn.ANCHORARRAY(Sintesi!$C$15),1,$C2)&lt;0)+($E2&gt;=$E1)*($E2&lt;=$E3)*($E2&gt;INDEX(_xlfn.ANCHORARRAY(Sintesi!$C$14),1,$C2))*($E2&lt;=INDEX(_xlfn.ANCHORARRAY(Sintesi!$C$15),1,$C2))*(INDEX(_xlfn.ANCHORARRAY(Sintesi!$C$15),1,$C2)&gt;0),1,IF(($E2&gt;=$E1)*($E2&lt;=$E3)*($E2&gt;INDEX(_xlfn.ANCHORARRAY(Sintesi!$C$14),1,$C2))*($E2&lt;INDEX(_xlfn.ANCHORARRAY(Sintesi!$C$16),1,$C2))*(INDEX(_xlfn.ANCHORARRAY(Sintesi!$C$15),1,$C2)&lt;0)+($E2&gt;=$E1)*($E2&lt;=$E3)*($E2&gt;INDEX(_xlfn.ANCHORARRAY(Sintesi!$C$15),1,$C2))*($E2&lt;INDEX(_xlfn.ANCHORARRAY(Sintesi!$C$16),1,$C2))*(INDEX(_xlfn.ANCHORARRAY(Sintesi!$C$15),1,$C2)&gt;0),2,IF($E2=(INDEX(_xlfn.ANCHORARRAY(Sintesi!$C$16),1,$C2)),3,4)))),0),IF($C2&gt;0,IF(($E2=INDEX(_xlfn.ANCHORARRAY(Sintesi!$C$14),1,$C2))*(INDEX(_xlfn.ANCHORARRAY(Sintesi!$C$15),1,$C2)&gt;0),0,IF(($E2=INDEX(_xlfn.ANCHORARRAY(Sintesi!$C$14),1,$C2))*(INDEX(_xlfn.ANCHORARRAY(Sintesi!$C$15),1,$C2)&lt;0)+($E2&gt;=LOOKUP(2,1/($E:$E&lt;&gt;""),$E:$E))*($E2&lt;=$E3)*($E2&gt;INDEX(_xlfn.ANCHORARRAY(Sintesi!$C$14),1,$C2))*($E2&lt;=INDEX(_xlfn.ANCHORARRAY(Sintesi!$C$15),1,$C2))*(INDEX(_xlfn.ANCHORARRAY(Sintesi!$C$15),1,$C2)&gt;0),1,IF(($E2&gt;=LOOKUP(2,1/($E:$E&lt;&gt;""),$E:$E))*($E2&lt;=$E3)*($E2&gt;INDEX(_xlfn.ANCHORARRAY(Sintesi!$C$14),1,$C2))*($E2&lt;INDEX(_xlfn.ANCHORARRAY(Sintesi!$C$16),1,$C2))*(INDEX(_xlfn.ANCHORARRAY(Sintesi!$C$15),1,$C2)&lt;0)+($E2&gt;=LOOKUP(2,1/($E:$E&lt;&gt;""),$E:$E))*($E2&lt;=$E3)*($E2&gt;INDEX(_xlfn.ANCHORARRAY(Sintesi!$C$15),1,$C2))*($E2&lt;INDEX(_xlfn.ANCHORARRAY(Sintesi!$C$16),1,$C2))*(INDEX(_xlfn.ANCHORARRAY(Sintesi!$C$15),1,$C2)&gt;0),2,IF($E2=(INDEX(_xlfn.ANCHORARRAY(Sintesi!$C$16),1,$C2)),3,4)))),0)))</f>
        <v>0</v>
      </c>
      <c r="E2" s="1">
        <f>'Paste cell here'!F2</f>
        <v>0</v>
      </c>
      <c r="F2" s="1">
        <f>'Paste cell here'!C2</f>
        <v>2.559999999999961</v>
      </c>
      <c r="G2" s="1">
        <f>'Paste cell here'!D2</f>
        <v>1.0199999999999931</v>
      </c>
      <c r="H2" s="1">
        <f>'Paste cell here'!E2</f>
        <v>0.2968442192080108</v>
      </c>
      <c r="I2" s="1">
        <f>'Paste cell here'!X2</f>
        <v>0</v>
      </c>
      <c r="J2" s="1">
        <f>'Paste cell here'!Y2+'Paste cell here'!S2</f>
        <v>0</v>
      </c>
      <c r="K2" s="1">
        <f t="shared" ref="K2:K65" si="0">I2/H2</f>
        <v>0</v>
      </c>
      <c r="L2" s="1">
        <f t="shared" ref="L2:L65" si="1">AVERAGE(($F2+$G2)/2-($F2-$G2)/2*COS(PI()*(8-VLOOKUP(MONTH(B2),$O$1:$Q$13,3))/(VLOOKUP(MONTH(B2),$O$1:$Q$13,2)-VLOOKUP(MONTH(B2),$O$1:$Q$13,3))),($F2+$G2)/2-($F2-$G2)/2*COS(PI()*(9-VLOOKUP(MONTH(B2),$O$1:$Q$13,3))/(VLOOKUP(MONTH(B2),$O$1:$Q$13,2)-VLOOKUP(MONTH(B2),$O$1:$Q$13,3))),($F2+$G2)/2-($F2-$G2)/2*COS(PI()*(10-VLOOKUP(MONTH(B2),$O$1:$Q$13,3))/(VLOOKUP(MONTH(B2),$O$1:$Q$13,2)-VLOOKUP(MONTH(B2),$O$1:$Q$13,3))),($F2+$G2)/2-($F2-$G2)/2*COS(PI()*(11-VLOOKUP(MONTH(B2),$O$1:$Q$13,3))/(VLOOKUP(MONTH(B2),$O$1:$Q$13,2)-VLOOKUP(MONTH(B2),$O$1:$Q$13,3))),($F2+$G2)/2-($F2-$G2)/2*COS(PI()*(12-VLOOKUP(MONTH(B2),$O$1:$Q$13,3))/(VLOOKUP(MONTH(B2),$O$1:$Q$13,2)-VLOOKUP(MONTH(B2),$O$1:$Q$13,3))),($F2+$G2)/2-($F2-$G2)/2*COS(PI()*(13-VLOOKUP(MONTH(B2),$O$1:$Q$13,3))/(VLOOKUP(MONTH(B2),$O$1:$Q$13,2)-VLOOKUP(MONTH(B2),$O$1:$Q$13,3))),($F2+$G2)/2-($F2-$G2)/2*COS(PI()*(14-VLOOKUP(MONTH(B2),$O$1:$Q$13,3))/(VLOOKUP(MONTH(B2),$O$1:$Q$13,2)-VLOOKUP(MONTH(B2),$O$1:$Q$13,3))))</f>
        <v>2.0016267485762143</v>
      </c>
      <c r="M2" s="1">
        <f t="array" ref="M2">IF(AND(A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&gt;=_xlfn.ANCHORARRAY(Sintesi!$C$9))+(_xlfn.ANCHORARRAY(Sintesi!$C$9)&gt;_xlfn.ANCHORARRAY(Sintesi!$C$10))*(A2&lt;=_xlfn.ANCHORARRAY(Sintesi!$C$10))+(_xlfn.ANCHORARRAY(Sintesi!$C$9)&lt;_xlfn.ANCHORARRAY(Sintesi!$C$10))*(A2&gt;=_xlfn.ANCHORARRAY(Sintesi!$C$9))*(A2&lt;=_xlfn.ANCHORARRAY(Sintesi!$C$10)),0)),0),A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&gt;=_xlfn.ANCHORARRAY(Sintesi!$C$9))+(_xlfn.ANCHORARRAY(Sintesi!$C$9)&gt;_xlfn.ANCHORARRAY(Sintesi!$C$10))*(A3&lt;=_xlfn.ANCHORARRAY(Sintesi!$C$10))+(_xlfn.ANCHORARRAY(Sintesi!$C$9)&lt;_xlfn.ANCHORARRAY(Sintesi!$C$10))*(A3&gt;=_xlfn.ANCHORARRAY(Sintesi!$C$9))*(A3&lt;=_xlfn.ANCHORARRAY(Sintesi!$C$10)),0)),0)),IF(L2&lt;_xlfn.IFNA(INDEX(_xlfn.ANCHORARRAY(Sintesi!$C$17),1,MATCH(1,(_xlfn.ANCHORARRAY(Sintesi!$C$9)&gt;_xlfn.ANCHORARRAY(Sintesi!$C$10))*(A1&gt;=_xlfn.ANCHORARRAY(Sintesi!$C$9))+(_xlfn.ANCHORARRAY(Sintesi!$C$9)&gt;_xlfn.ANCHORARRAY(Sintesi!$C$10))*(A1&lt;=_xlfn.ANCHORARRAY(Sintesi!$C$10))+(_xlfn.ANCHORARRAY(Sintesi!$C$9)&lt;_xlfn.ANCHORARRAY(Sintesi!$C$10))*(A1&gt;=_xlfn.ANCHORARRAY(Sintesi!$C$9))*(A1&lt;=_xlfn.ANCHORARRAY(Sintesi!$C$10)),0)),0),1,IF(L2&gt;=_xlfn.IFNA(INDEX(_xlfn.ANCHORARRAY(Sintesi!$C$18),1,MATCH(1,(_xlfn.ANCHORARRAY(Sintesi!$C$9)&gt;_xlfn.ANCHORARRAY(Sintesi!$C$10))*(A1&gt;=_xlfn.ANCHORARRAY(Sintesi!$C$9))+(_xlfn.ANCHORARRAY(Sintesi!$C$9)&gt;_xlfn.ANCHORARRAY(Sintesi!$C$10))*(A1&lt;=_xlfn.ANCHORARRAY(Sintesi!$C$10))+(_xlfn.ANCHORARRAY(Sintesi!$C$9)&lt;_xlfn.ANCHORARRAY(Sintesi!$C$10))*(A1&gt;=_xlfn.ANCHORARRAY(Sintesi!$C$9))*(A1&lt;=_xlfn.ANCHORARRAY(Sintesi!$C$10)),0)),0),0,1-(L2-_xlfn.IFNA(INDEX(_xlfn.ANCHORARRAY(Sintesi!$C$17),1,MATCH(1,(_xlfn.ANCHORARRAY(Sintesi!$C$9)&gt;_xlfn.ANCHORARRAY(Sintesi!$C$10))*(A1&gt;=_xlfn.ANCHORARRAY(Sintesi!$C$9))+(_xlfn.ANCHORARRAY(Sintesi!$C$9)&gt;_xlfn.ANCHORARRAY(Sintesi!$C$10))*(A1&lt;=_xlfn.ANCHORARRAY(Sintesi!$C$10))+(_xlfn.ANCHORARRAY(Sintesi!$C$9)&lt;_xlfn.ANCHORARRAY(Sintesi!$C$10))*(A1&gt;=_xlfn.ANCHORARRAY(Sintesi!$C$9))*(A1&lt;=_xlfn.ANCHORARRAY(Sintesi!$C$10)),0)),0))/(_xlfn.IFNA(INDEX(_xlfn.ANCHORARRAY(Sintesi!$C$18),1,MATCH(1,(_xlfn.ANCHORARRAY(Sintesi!$C$9)&gt;_xlfn.ANCHORARRAY(Sintesi!$C$10))*(A1&gt;=_xlfn.ANCHORARRAY(Sintesi!$C$9))+(_xlfn.ANCHORARRAY(Sintesi!$C$9)&gt;_xlfn.ANCHORARRAY(Sintesi!$C$10))*(A1&lt;=_xlfn.ANCHORARRAY(Sintesi!$C$10))+(_xlfn.ANCHORARRAY(Sintesi!$C$9)&lt;_xlfn.ANCHORARRAY(Sintesi!$C$10))*(A1&gt;=_xlfn.ANCHORARRAY(Sintesi!$C$9))*(A1&lt;=_xlfn.ANCHORARRAY(Sintesi!$C$10)),0)),0)-_xlfn.IFNA(INDEX(_xlfn.ANCHORARRAY(Sintesi!$C$17),1,MATCH(1,(_xlfn.ANCHORARRAY(Sintesi!$C$9)&gt;_xlfn.ANCHORARRAY(Sintesi!$C$10))*(A1&gt;=_xlfn.ANCHORARRAY(Sintesi!$C$9))+(_xlfn.ANCHORARRAY(Sintesi!$C$9)&gt;_xlfn.ANCHORARRAY(Sintesi!$C$10))*(A1&lt;=_xlfn.ANCHORARRAY(Sintesi!$C$10))+(_xlfn.ANCHORARRAY(Sintesi!$C$9)&lt;_xlfn.ANCHORARRAY(Sintesi!$C$10))*(A1&gt;=_xlfn.ANCHORARRAY(Sintesi!$C$9))*(A1&lt;=_xlfn.ANCHORARRAY(Sintesi!$C$10)),0)),0)))),0)</f>
        <v>0</v>
      </c>
      <c r="O2" s="14">
        <v>1</v>
      </c>
      <c r="P2" s="14">
        <v>14</v>
      </c>
      <c r="Q2" s="14">
        <v>6</v>
      </c>
    </row>
    <row r="3" spans="1:18">
      <c r="A3" s="1">
        <f>'Paste cell here'!A3</f>
        <v>2</v>
      </c>
      <c r="B3" s="2">
        <f>DATE(Sintesi!$C$4-1,12,31)+A3</f>
        <v>44198</v>
      </c>
      <c r="C3" s="34">
        <f t="array" ref="C3">_xlfn.IFNA(MATCH(1,((_xlfn.ANCHORARRAY(Sintesi!$C$9)&gt;_xlfn.ANCHORARRAY(Sintesi!$C$10))*(A3&gt;=_xlfn.ANCHORARRAY(Sintesi!$C$9))+(_xlfn.ANCHORARRAY(Sintesi!$C$9)&gt;_xlfn.ANCHORARRAY(Sintesi!$C$10))*(A3&lt;=_xlfn.ANCHORARRAY(Sintesi!$C$10))+(_xlfn.ANCHORARRAY(Sintesi!$C$9)&lt;_xlfn.ANCHORARRAY(Sintesi!$C$10))*(A3&gt;=_xlfn.ANCHORARRAY(Sintesi!$C$9))*(A3&lt;=_xlfn.ANCHORARRAY(Sintesi!$C$10)))*(_xlfn.ANCHORARRAY(Sintesi!$C$15)&gt;=0)+(_xlfn.ANCHORARRAY(Sintesi!$C$15)&lt;0),0),0)</f>
        <v>0</v>
      </c>
      <c r="D3" s="1">
        <f t="array" ref="D3">IF(ISBLANK($E4),IF(ISNUMBER($E2),IF($C3&gt;0,IF(($E3=INDEX(_xlfn.ANCHORARRAY(Sintesi!$C$14),1,$C3))*(INDEX(_xlfn.ANCHORARRAY(Sintesi!$C$15),1,$C3)&gt;0),0,IF(($E3=INDEX(_xlfn.ANCHORARRAY(Sintesi!$C$14),1,$C3))*(INDEX(_xlfn.ANCHORARRAY(Sintesi!$C$15),1,$C3)&lt;0)+($E3&gt;=$E2)*($E3&lt;=INDEX($E:$E,MATCH(TRUE,INDEX((ISNUMBER($E:$E)),0),0)))*($E3&gt;INDEX(_xlfn.ANCHORARRAY(Sintesi!$C$14),1,$C3))*($E3&lt;=INDEX(_xlfn.ANCHORARRAY(Sintesi!$C$15),1,$C3))*(INDEX(_xlfn.ANCHORARRAY(Sintesi!$C$15),1,$C3)&gt;0),1,IF(($E3&gt;=$E2)*($E3&lt;=INDEX($E:$E,MATCH(TRUE,INDEX((ISNUMBER($E:$E)),0),0)))*($E3&gt;INDEX(_xlfn.ANCHORARRAY(Sintesi!$C$14),1,$C3))*($E3&lt;INDEX(_xlfn.ANCHORARRAY(Sintesi!$C$16),1,$C3))*(INDEX(_xlfn.ANCHORARRAY(Sintesi!$C$15),1,$C3)&lt;0)+($E3&gt;=$E2)*($E3&lt;=INDEX($E:$E,MATCH(TRUE,INDEX((ISNUMBER($E:$E)),0),0)))*($E3&gt;INDEX(_xlfn.ANCHORARRAY(Sintesi!$C$15),1,$C3))*($E3&lt;INDEX(_xlfn.ANCHORARRAY(Sintesi!$C$16),1,$C3))*(INDEX(_xlfn.ANCHORARRAY(Sintesi!$C$15),1,$C3)&gt;0),2,IF($E3=(INDEX(_xlfn.ANCHORARRAY(Sintesi!$C$16),1,$C3)),3,4)))),0),IF($C3&gt;0,IF(($E3=INDEX(_xlfn.ANCHORARRAY(Sintesi!$C$14),1,$C3))*(INDEX(_xlfn.ANCHORARRAY(Sintesi!$C$15),1,$C3)&gt;0),0,IF(($E3=INDEX(_xlfn.ANCHORARRAY(Sintesi!$C$14),1,$C3))*(INDEX(_xlfn.ANCHORARRAY(Sintesi!$C$15),1,$C3)&lt;0)+($E3&gt;=LOOKUP(2,1/($E:$E&lt;&gt;""),$E:$E))*($E3&lt;=INDEX($E:$E,MATCH(TRUE,INDEX((ISNUMBER($E:$E)),0),0)))*($E3&gt;INDEX(_xlfn.ANCHORARRAY(Sintesi!$C$14),1,$C3))*($E3&lt;=INDEX(_xlfn.ANCHORARRAY(Sintesi!$C$15),1,$C3))*(INDEX(_xlfn.ANCHORARRAY(Sintesi!$C$15),1,$C3)&gt;0),1,IF(($E3&gt;=LOOKUP(2,1/($E:$E&lt;&gt;""),$E:$E))*($E3&lt;=INDEX($E:$E,MATCH(TRUE,INDEX((ISNUMBER($E:$E)),0),0)))*($E3&gt;INDEX(_xlfn.ANCHORARRAY(Sintesi!$C$14),1,$C3))*($E3&lt;INDEX(_xlfn.ANCHORARRAY(Sintesi!$C$16),1,$C3))*(INDEX(_xlfn.ANCHORARRAY(Sintesi!$C$15),1,$C3)&lt;0)+($E3&gt;=LOOKUP(2,1/($E:$E&lt;&gt;""),$E:$E))*($E3&lt;=INDEX($E:$E,MATCH(TRUE,INDEX((ISNUMBER($E:$E)),0),0)))*($E3&gt;INDEX(_xlfn.ANCHORARRAY(Sintesi!$C$15),1,$C3))*($E3&lt;INDEX(_xlfn.ANCHORARRAY(Sintesi!$C$16),1,$C3))*(INDEX(_xlfn.ANCHORARRAY(Sintesi!$C$15),1,$C3)&gt;0),2,IF($E3=(INDEX(_xlfn.ANCHORARRAY(Sintesi!$C$16),1,$C3)),3,4)))),0)),IF(ISNUMBER($E2),IF($C3&gt;0,IF(($E3=INDEX(_xlfn.ANCHORARRAY(Sintesi!$C$14),1,$C3))*(INDEX(_xlfn.ANCHORARRAY(Sintesi!$C$15),1,$C3)&gt;0),0,IF(($E3=INDEX(_xlfn.ANCHORARRAY(Sintesi!$C$14),1,$C3))*(INDEX(_xlfn.ANCHORARRAY(Sintesi!$C$15),1,$C3)&lt;0)+($E3&gt;=$E2)*($E3&lt;=$E4)*($E3&gt;INDEX(_xlfn.ANCHORARRAY(Sintesi!$C$14),1,$C3))*($E3&lt;=INDEX(_xlfn.ANCHORARRAY(Sintesi!$C$15),1,$C3))*(INDEX(_xlfn.ANCHORARRAY(Sintesi!$C$15),1,$C3)&gt;0),1,IF(($E3&gt;=$E2)*($E3&lt;=$E4)*($E3&gt;INDEX(_xlfn.ANCHORARRAY(Sintesi!$C$14),1,$C3))*($E3&lt;INDEX(_xlfn.ANCHORARRAY(Sintesi!$C$16),1,$C3))*(INDEX(_xlfn.ANCHORARRAY(Sintesi!$C$15),1,$C3)&lt;0)+($E3&gt;=$E2)*($E3&lt;=$E4)*($E3&gt;INDEX(_xlfn.ANCHORARRAY(Sintesi!$C$15),1,$C3))*($E3&lt;INDEX(_xlfn.ANCHORARRAY(Sintesi!$C$16),1,$C3))*(INDEX(_xlfn.ANCHORARRAY(Sintesi!$C$15),1,$C3)&gt;0),2,IF($E3=(INDEX(_xlfn.ANCHORARRAY(Sintesi!$C$16),1,$C3)),3,4)))),0),IF($C3&gt;0,IF(($E3=INDEX(_xlfn.ANCHORARRAY(Sintesi!$C$14),1,$C3))*(INDEX(_xlfn.ANCHORARRAY(Sintesi!$C$15),1,$C3)&gt;0),0,IF(($E3=INDEX(_xlfn.ANCHORARRAY(Sintesi!$C$14),1,$C3))*(INDEX(_xlfn.ANCHORARRAY(Sintesi!$C$15),1,$C3)&lt;0)+($E3&gt;=LOOKUP(2,1/($E:$E&lt;&gt;""),$E:$E))*($E3&lt;=$E4)*($E3&gt;INDEX(_xlfn.ANCHORARRAY(Sintesi!$C$14),1,$C3))*($E3&lt;=INDEX(_xlfn.ANCHORARRAY(Sintesi!$C$15),1,$C3))*(INDEX(_xlfn.ANCHORARRAY(Sintesi!$C$15),1,$C3)&gt;0),1,IF(($E3&gt;=LOOKUP(2,1/($E:$E&lt;&gt;""),$E:$E))*($E3&lt;=$E4)*($E3&gt;INDEX(_xlfn.ANCHORARRAY(Sintesi!$C$14),1,$C3))*($E3&lt;INDEX(_xlfn.ANCHORARRAY(Sintesi!$C$16),1,$C3))*(INDEX(_xlfn.ANCHORARRAY(Sintesi!$C$15),1,$C3)&lt;0)+($E3&gt;=LOOKUP(2,1/($E:$E&lt;&gt;""),$E:$E))*($E3&lt;=$E4)*($E3&gt;INDEX(_xlfn.ANCHORARRAY(Sintesi!$C$15),1,$C3))*($E3&lt;INDEX(_xlfn.ANCHORARRAY(Sintesi!$C$16),1,$C3))*(INDEX(_xlfn.ANCHORARRAY(Sintesi!$C$15),1,$C3)&gt;0),2,IF($E3=(INDEX(_xlfn.ANCHORARRAY(Sintesi!$C$16),1,$C3)),3,4)))),0)))</f>
        <v>0</v>
      </c>
      <c r="E3" s="1">
        <f>'Paste cell here'!F3</f>
        <v>0</v>
      </c>
      <c r="F3" s="1">
        <f>'Paste cell here'!C3</f>
        <v>4.9999999999999414</v>
      </c>
      <c r="G3" s="1">
        <f>'Paste cell here'!D3</f>
        <v>2.1799999999999784</v>
      </c>
      <c r="H3" s="1">
        <f>'Paste cell here'!E3</f>
        <v>0.30502590665286067</v>
      </c>
      <c r="I3" s="1">
        <f>'Paste cell here'!X3</f>
        <v>0</v>
      </c>
      <c r="J3" s="1">
        <f>'Paste cell here'!Y3+'Paste cell here'!S3</f>
        <v>0</v>
      </c>
      <c r="K3" s="1">
        <f t="shared" si="0"/>
        <v>0</v>
      </c>
      <c r="L3" s="1">
        <f t="shared" si="1"/>
        <v>3.977524305834371</v>
      </c>
      <c r="M3" s="1">
        <f t="array" ref="M3">IF(AND(A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&gt;=_xlfn.ANCHORARRAY(Sintesi!$C$9))+(_xlfn.ANCHORARRAY(Sintesi!$C$9)&gt;_xlfn.ANCHORARRAY(Sintesi!$C$10))*(A3&lt;=_xlfn.ANCHORARRAY(Sintesi!$C$10))+(_xlfn.ANCHORARRAY(Sintesi!$C$9)&lt;_xlfn.ANCHORARRAY(Sintesi!$C$10))*(A3&gt;=_xlfn.ANCHORARRAY(Sintesi!$C$9))*(A3&lt;=_xlfn.ANCHORARRAY(Sintesi!$C$10)),0)),0),A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4&gt;=_xlfn.ANCHORARRAY(Sintesi!$C$9))+(_xlfn.ANCHORARRAY(Sintesi!$C$9)&gt;_xlfn.ANCHORARRAY(Sintesi!$C$10))*(A4&lt;=_xlfn.ANCHORARRAY(Sintesi!$C$10))+(_xlfn.ANCHORARRAY(Sintesi!$C$9)&lt;_xlfn.ANCHORARRAY(Sintesi!$C$10))*(A4&gt;=_xlfn.ANCHORARRAY(Sintesi!$C$9))*(A4&lt;=_xlfn.ANCHORARRAY(Sintesi!$C$10)),0)),0)),IF(L3&lt;_xlfn.IFNA(INDEX(_xlfn.ANCHORARRAY(Sintesi!$C$17),1,MATCH(1,(_xlfn.ANCHORARRAY(Sintesi!$C$9)&gt;_xlfn.ANCHORARRAY(Sintesi!$C$10))*(A2&gt;=_xlfn.ANCHORARRAY(Sintesi!$C$9))+(_xlfn.ANCHORARRAY(Sintesi!$C$9)&gt;_xlfn.ANCHORARRAY(Sintesi!$C$10))*(A2&lt;=_xlfn.ANCHORARRAY(Sintesi!$C$10))+(_xlfn.ANCHORARRAY(Sintesi!$C$9)&lt;_xlfn.ANCHORARRAY(Sintesi!$C$10))*(A2&gt;=_xlfn.ANCHORARRAY(Sintesi!$C$9))*(A2&lt;=_xlfn.ANCHORARRAY(Sintesi!$C$10)),0)),0),1,IF(L3&gt;=_xlfn.IFNA(INDEX(_xlfn.ANCHORARRAY(Sintesi!$C$18),1,MATCH(1,(_xlfn.ANCHORARRAY(Sintesi!$C$9)&gt;_xlfn.ANCHORARRAY(Sintesi!$C$10))*(A2&gt;=_xlfn.ANCHORARRAY(Sintesi!$C$9))+(_xlfn.ANCHORARRAY(Sintesi!$C$9)&gt;_xlfn.ANCHORARRAY(Sintesi!$C$10))*(A2&lt;=_xlfn.ANCHORARRAY(Sintesi!$C$10))+(_xlfn.ANCHORARRAY(Sintesi!$C$9)&lt;_xlfn.ANCHORARRAY(Sintesi!$C$10))*(A2&gt;=_xlfn.ANCHORARRAY(Sintesi!$C$9))*(A2&lt;=_xlfn.ANCHORARRAY(Sintesi!$C$10)),0)),0),0,1-(L3-_xlfn.IFNA(INDEX(_xlfn.ANCHORARRAY(Sintesi!$C$17),1,MATCH(1,(_xlfn.ANCHORARRAY(Sintesi!$C$9)&gt;_xlfn.ANCHORARRAY(Sintesi!$C$10))*(A2&gt;=_xlfn.ANCHORARRAY(Sintesi!$C$9))+(_xlfn.ANCHORARRAY(Sintesi!$C$9)&gt;_xlfn.ANCHORARRAY(Sintesi!$C$10))*(A2&lt;=_xlfn.ANCHORARRAY(Sintesi!$C$10))+(_xlfn.ANCHORARRAY(Sintesi!$C$9)&lt;_xlfn.ANCHORARRAY(Sintesi!$C$10))*(A2&gt;=_xlfn.ANCHORARRAY(Sintesi!$C$9))*(A2&lt;=_xlfn.ANCHORARRAY(Sintesi!$C$10)),0)),0))/(_xlfn.IFNA(INDEX(_xlfn.ANCHORARRAY(Sintesi!$C$18),1,MATCH(1,(_xlfn.ANCHORARRAY(Sintesi!$C$9)&gt;_xlfn.ANCHORARRAY(Sintesi!$C$10))*(A2&gt;=_xlfn.ANCHORARRAY(Sintesi!$C$9))+(_xlfn.ANCHORARRAY(Sintesi!$C$9)&gt;_xlfn.ANCHORARRAY(Sintesi!$C$10))*(A2&lt;=_xlfn.ANCHORARRAY(Sintesi!$C$10))+(_xlfn.ANCHORARRAY(Sintesi!$C$9)&lt;_xlfn.ANCHORARRAY(Sintesi!$C$10))*(A2&gt;=_xlfn.ANCHORARRAY(Sintesi!$C$9))*(A2&lt;=_xlfn.ANCHORARRAY(Sintesi!$C$10)),0)),0)-_xlfn.IFNA(INDEX(_xlfn.ANCHORARRAY(Sintesi!$C$17),1,MATCH(1,(_xlfn.ANCHORARRAY(Sintesi!$C$9)&gt;_xlfn.ANCHORARRAY(Sintesi!$C$10))*(A2&gt;=_xlfn.ANCHORARRAY(Sintesi!$C$9))+(_xlfn.ANCHORARRAY(Sintesi!$C$9)&gt;_xlfn.ANCHORARRAY(Sintesi!$C$10))*(A2&lt;=_xlfn.ANCHORARRAY(Sintesi!$C$10))+(_xlfn.ANCHORARRAY(Sintesi!$C$9)&lt;_xlfn.ANCHORARRAY(Sintesi!$C$10))*(A2&gt;=_xlfn.ANCHORARRAY(Sintesi!$C$9))*(A2&lt;=_xlfn.ANCHORARRAY(Sintesi!$C$10)),0)),0)))),0)</f>
        <v>0</v>
      </c>
      <c r="O3" s="14">
        <v>2</v>
      </c>
      <c r="P3" s="14">
        <v>14</v>
      </c>
      <c r="Q3" s="14">
        <v>6</v>
      </c>
    </row>
    <row r="4" spans="1:18">
      <c r="A4" s="1">
        <f>'Paste cell here'!A4</f>
        <v>3</v>
      </c>
      <c r="B4" s="2">
        <f>DATE(Sintesi!$C$4-1,12,31)+A4</f>
        <v>44199</v>
      </c>
      <c r="C4" s="34">
        <f t="array" ref="C4">_xlfn.IFNA(MATCH(1,((_xlfn.ANCHORARRAY(Sintesi!$C$9)&gt;_xlfn.ANCHORARRAY(Sintesi!$C$10))*(A4&gt;=_xlfn.ANCHORARRAY(Sintesi!$C$9))+(_xlfn.ANCHORARRAY(Sintesi!$C$9)&gt;_xlfn.ANCHORARRAY(Sintesi!$C$10))*(A4&lt;=_xlfn.ANCHORARRAY(Sintesi!$C$10))+(_xlfn.ANCHORARRAY(Sintesi!$C$9)&lt;_xlfn.ANCHORARRAY(Sintesi!$C$10))*(A4&gt;=_xlfn.ANCHORARRAY(Sintesi!$C$9))*(A4&lt;=_xlfn.ANCHORARRAY(Sintesi!$C$10)))*(_xlfn.ANCHORARRAY(Sintesi!$C$15)&gt;=0)+(_xlfn.ANCHORARRAY(Sintesi!$C$15)&lt;0),0),0)</f>
        <v>0</v>
      </c>
      <c r="D4" s="1">
        <f t="array" ref="D4">IF(ISBLANK($E5),IF(ISNUMBER($E3),IF($C4&gt;0,IF(($E4=INDEX(_xlfn.ANCHORARRAY(Sintesi!$C$14),1,$C4))*(INDEX(_xlfn.ANCHORARRAY(Sintesi!$C$15),1,$C4)&gt;0),0,IF(($E4=INDEX(_xlfn.ANCHORARRAY(Sintesi!$C$14),1,$C4))*(INDEX(_xlfn.ANCHORARRAY(Sintesi!$C$15),1,$C4)&lt;0)+($E4&gt;=$E3)*($E4&lt;=INDEX($E:$E,MATCH(TRUE,INDEX((ISNUMBER($E:$E)),0),0)))*($E4&gt;INDEX(_xlfn.ANCHORARRAY(Sintesi!$C$14),1,$C4))*($E4&lt;=INDEX(_xlfn.ANCHORARRAY(Sintesi!$C$15),1,$C4))*(INDEX(_xlfn.ANCHORARRAY(Sintesi!$C$15),1,$C4)&gt;0),1,IF(($E4&gt;=$E3)*($E4&lt;=INDEX($E:$E,MATCH(TRUE,INDEX((ISNUMBER($E:$E)),0),0)))*($E4&gt;INDEX(_xlfn.ANCHORARRAY(Sintesi!$C$14),1,$C4))*($E4&lt;INDEX(_xlfn.ANCHORARRAY(Sintesi!$C$16),1,$C4))*(INDEX(_xlfn.ANCHORARRAY(Sintesi!$C$15),1,$C4)&lt;0)+($E4&gt;=$E3)*($E4&lt;=INDEX($E:$E,MATCH(TRUE,INDEX((ISNUMBER($E:$E)),0),0)))*($E4&gt;INDEX(_xlfn.ANCHORARRAY(Sintesi!$C$15),1,$C4))*($E4&lt;INDEX(_xlfn.ANCHORARRAY(Sintesi!$C$16),1,$C4))*(INDEX(_xlfn.ANCHORARRAY(Sintesi!$C$15),1,$C4)&gt;0),2,IF($E4=(INDEX(_xlfn.ANCHORARRAY(Sintesi!$C$16),1,$C4)),3,4)))),0),IF($C4&gt;0,IF(($E4=INDEX(_xlfn.ANCHORARRAY(Sintesi!$C$14),1,$C4))*(INDEX(_xlfn.ANCHORARRAY(Sintesi!$C$15),1,$C4)&gt;0),0,IF(($E4=INDEX(_xlfn.ANCHORARRAY(Sintesi!$C$14),1,$C4))*(INDEX(_xlfn.ANCHORARRAY(Sintesi!$C$15),1,$C4)&lt;0)+($E4&gt;=LOOKUP(2,1/($E:$E&lt;&gt;""),$E:$E))*($E4&lt;=INDEX($E:$E,MATCH(TRUE,INDEX((ISNUMBER($E:$E)),0),0)))*($E4&gt;INDEX(_xlfn.ANCHORARRAY(Sintesi!$C$14),1,$C4))*($E4&lt;=INDEX(_xlfn.ANCHORARRAY(Sintesi!$C$15),1,$C4))*(INDEX(_xlfn.ANCHORARRAY(Sintesi!$C$15),1,$C4)&gt;0),1,IF(($E4&gt;=LOOKUP(2,1/($E:$E&lt;&gt;""),$E:$E))*($E4&lt;=INDEX($E:$E,MATCH(TRUE,INDEX((ISNUMBER($E:$E)),0),0)))*($E4&gt;INDEX(_xlfn.ANCHORARRAY(Sintesi!$C$14),1,$C4))*($E4&lt;INDEX(_xlfn.ANCHORARRAY(Sintesi!$C$16),1,$C4))*(INDEX(_xlfn.ANCHORARRAY(Sintesi!$C$15),1,$C4)&lt;0)+($E4&gt;=LOOKUP(2,1/($E:$E&lt;&gt;""),$E:$E))*($E4&lt;=INDEX($E:$E,MATCH(TRUE,INDEX((ISNUMBER($E:$E)),0),0)))*($E4&gt;INDEX(_xlfn.ANCHORARRAY(Sintesi!$C$15),1,$C4))*($E4&lt;INDEX(_xlfn.ANCHORARRAY(Sintesi!$C$16),1,$C4))*(INDEX(_xlfn.ANCHORARRAY(Sintesi!$C$15),1,$C4)&gt;0),2,IF($E4=(INDEX(_xlfn.ANCHORARRAY(Sintesi!$C$16),1,$C4)),3,4)))),0)),IF(ISNUMBER($E3),IF($C4&gt;0,IF(($E4=INDEX(_xlfn.ANCHORARRAY(Sintesi!$C$14),1,$C4))*(INDEX(_xlfn.ANCHORARRAY(Sintesi!$C$15),1,$C4)&gt;0),0,IF(($E4=INDEX(_xlfn.ANCHORARRAY(Sintesi!$C$14),1,$C4))*(INDEX(_xlfn.ANCHORARRAY(Sintesi!$C$15),1,$C4)&lt;0)+($E4&gt;=$E3)*($E4&lt;=$E5)*($E4&gt;INDEX(_xlfn.ANCHORARRAY(Sintesi!$C$14),1,$C4))*($E4&lt;=INDEX(_xlfn.ANCHORARRAY(Sintesi!$C$15),1,$C4))*(INDEX(_xlfn.ANCHORARRAY(Sintesi!$C$15),1,$C4)&gt;0),1,IF(($E4&gt;=$E3)*($E4&lt;=$E5)*($E4&gt;INDEX(_xlfn.ANCHORARRAY(Sintesi!$C$14),1,$C4))*($E4&lt;INDEX(_xlfn.ANCHORARRAY(Sintesi!$C$16),1,$C4))*(INDEX(_xlfn.ANCHORARRAY(Sintesi!$C$15),1,$C4)&lt;0)+($E4&gt;=$E3)*($E4&lt;=$E5)*($E4&gt;INDEX(_xlfn.ANCHORARRAY(Sintesi!$C$15),1,$C4))*($E4&lt;INDEX(_xlfn.ANCHORARRAY(Sintesi!$C$16),1,$C4))*(INDEX(_xlfn.ANCHORARRAY(Sintesi!$C$15),1,$C4)&gt;0),2,IF($E4=(INDEX(_xlfn.ANCHORARRAY(Sintesi!$C$16),1,$C4)),3,4)))),0),IF($C4&gt;0,IF(($E4=INDEX(_xlfn.ANCHORARRAY(Sintesi!$C$14),1,$C4))*(INDEX(_xlfn.ANCHORARRAY(Sintesi!$C$15),1,$C4)&gt;0),0,IF(($E4=INDEX(_xlfn.ANCHORARRAY(Sintesi!$C$14),1,$C4))*(INDEX(_xlfn.ANCHORARRAY(Sintesi!$C$15),1,$C4)&lt;0)+($E4&gt;=LOOKUP(2,1/($E:$E&lt;&gt;""),$E:$E))*($E4&lt;=$E5)*($E4&gt;INDEX(_xlfn.ANCHORARRAY(Sintesi!$C$14),1,$C4))*($E4&lt;=INDEX(_xlfn.ANCHORARRAY(Sintesi!$C$15),1,$C4))*(INDEX(_xlfn.ANCHORARRAY(Sintesi!$C$15),1,$C4)&gt;0),1,IF(($E4&gt;=LOOKUP(2,1/($E:$E&lt;&gt;""),$E:$E))*($E4&lt;=$E5)*($E4&gt;INDEX(_xlfn.ANCHORARRAY(Sintesi!$C$14),1,$C4))*($E4&lt;INDEX(_xlfn.ANCHORARRAY(Sintesi!$C$16),1,$C4))*(INDEX(_xlfn.ANCHORARRAY(Sintesi!$C$15),1,$C4)&lt;0)+($E4&gt;=LOOKUP(2,1/($E:$E&lt;&gt;""),$E:$E))*($E4&lt;=$E5)*($E4&gt;INDEX(_xlfn.ANCHORARRAY(Sintesi!$C$15),1,$C4))*($E4&lt;INDEX(_xlfn.ANCHORARRAY(Sintesi!$C$16),1,$C4))*(INDEX(_xlfn.ANCHORARRAY(Sintesi!$C$15),1,$C4)&gt;0),2,IF($E4=(INDEX(_xlfn.ANCHORARRAY(Sintesi!$C$16),1,$C4)),3,4)))),0)))</f>
        <v>0</v>
      </c>
      <c r="E4" s="1">
        <f>'Paste cell here'!F4</f>
        <v>0</v>
      </c>
      <c r="F4" s="1">
        <f>'Paste cell here'!C4</f>
        <v>8.7199999999998852</v>
      </c>
      <c r="G4" s="1">
        <f>'Paste cell here'!D4</f>
        <v>3.5199999999999703</v>
      </c>
      <c r="H4" s="1">
        <f>'Paste cell here'!E4</f>
        <v>0.23241082565946319</v>
      </c>
      <c r="I4" s="1">
        <f>'Paste cell here'!X4</f>
        <v>0</v>
      </c>
      <c r="J4" s="1">
        <f>'Paste cell here'!Y4+'Paste cell here'!S4</f>
        <v>0</v>
      </c>
      <c r="K4" s="1">
        <f t="shared" si="0"/>
        <v>0</v>
      </c>
      <c r="L4" s="1">
        <f t="shared" si="1"/>
        <v>6.8345838263612517</v>
      </c>
      <c r="M4" s="1">
        <f t="array" ref="M4">IF(AND(A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4&gt;=_xlfn.ANCHORARRAY(Sintesi!$C$9))+(_xlfn.ANCHORARRAY(Sintesi!$C$9)&gt;_xlfn.ANCHORARRAY(Sintesi!$C$10))*(A4&lt;=_xlfn.ANCHORARRAY(Sintesi!$C$10))+(_xlfn.ANCHORARRAY(Sintesi!$C$9)&lt;_xlfn.ANCHORARRAY(Sintesi!$C$10))*(A4&gt;=_xlfn.ANCHORARRAY(Sintesi!$C$9))*(A4&lt;=_xlfn.ANCHORARRAY(Sintesi!$C$10)),0)),0),A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5&gt;=_xlfn.ANCHORARRAY(Sintesi!$C$9))+(_xlfn.ANCHORARRAY(Sintesi!$C$9)&gt;_xlfn.ANCHORARRAY(Sintesi!$C$10))*(A5&lt;=_xlfn.ANCHORARRAY(Sintesi!$C$10))+(_xlfn.ANCHORARRAY(Sintesi!$C$9)&lt;_xlfn.ANCHORARRAY(Sintesi!$C$10))*(A5&gt;=_xlfn.ANCHORARRAY(Sintesi!$C$9))*(A5&lt;=_xlfn.ANCHORARRAY(Sintesi!$C$10)),0)),0)),IF(L4&lt;_xlfn.IFNA(INDEX(_xlfn.ANCHORARRAY(Sintesi!$C$17),1,MATCH(1,(_xlfn.ANCHORARRAY(Sintesi!$C$9)&gt;_xlfn.ANCHORARRAY(Sintesi!$C$10))*(A3&gt;=_xlfn.ANCHORARRAY(Sintesi!$C$9))+(_xlfn.ANCHORARRAY(Sintesi!$C$9)&gt;_xlfn.ANCHORARRAY(Sintesi!$C$10))*(A3&lt;=_xlfn.ANCHORARRAY(Sintesi!$C$10))+(_xlfn.ANCHORARRAY(Sintesi!$C$9)&lt;_xlfn.ANCHORARRAY(Sintesi!$C$10))*(A3&gt;=_xlfn.ANCHORARRAY(Sintesi!$C$9))*(A3&lt;=_xlfn.ANCHORARRAY(Sintesi!$C$10)),0)),0),1,IF(L4&gt;=_xlfn.IFNA(INDEX(_xlfn.ANCHORARRAY(Sintesi!$C$18),1,MATCH(1,(_xlfn.ANCHORARRAY(Sintesi!$C$9)&gt;_xlfn.ANCHORARRAY(Sintesi!$C$10))*(A3&gt;=_xlfn.ANCHORARRAY(Sintesi!$C$9))+(_xlfn.ANCHORARRAY(Sintesi!$C$9)&gt;_xlfn.ANCHORARRAY(Sintesi!$C$10))*(A3&lt;=_xlfn.ANCHORARRAY(Sintesi!$C$10))+(_xlfn.ANCHORARRAY(Sintesi!$C$9)&lt;_xlfn.ANCHORARRAY(Sintesi!$C$10))*(A3&gt;=_xlfn.ANCHORARRAY(Sintesi!$C$9))*(A3&lt;=_xlfn.ANCHORARRAY(Sintesi!$C$10)),0)),0),0,1-(L4-_xlfn.IFNA(INDEX(_xlfn.ANCHORARRAY(Sintesi!$C$17),1,MATCH(1,(_xlfn.ANCHORARRAY(Sintesi!$C$9)&gt;_xlfn.ANCHORARRAY(Sintesi!$C$10))*(A3&gt;=_xlfn.ANCHORARRAY(Sintesi!$C$9))+(_xlfn.ANCHORARRAY(Sintesi!$C$9)&gt;_xlfn.ANCHORARRAY(Sintesi!$C$10))*(A3&lt;=_xlfn.ANCHORARRAY(Sintesi!$C$10))+(_xlfn.ANCHORARRAY(Sintesi!$C$9)&lt;_xlfn.ANCHORARRAY(Sintesi!$C$10))*(A3&gt;=_xlfn.ANCHORARRAY(Sintesi!$C$9))*(A3&lt;=_xlfn.ANCHORARRAY(Sintesi!$C$10)),0)),0))/(_xlfn.IFNA(INDEX(_xlfn.ANCHORARRAY(Sintesi!$C$18),1,MATCH(1,(_xlfn.ANCHORARRAY(Sintesi!$C$9)&gt;_xlfn.ANCHORARRAY(Sintesi!$C$10))*(A3&gt;=_xlfn.ANCHORARRAY(Sintesi!$C$9))+(_xlfn.ANCHORARRAY(Sintesi!$C$9)&gt;_xlfn.ANCHORARRAY(Sintesi!$C$10))*(A3&lt;=_xlfn.ANCHORARRAY(Sintesi!$C$10))+(_xlfn.ANCHORARRAY(Sintesi!$C$9)&lt;_xlfn.ANCHORARRAY(Sintesi!$C$10))*(A3&gt;=_xlfn.ANCHORARRAY(Sintesi!$C$9))*(A3&lt;=_xlfn.ANCHORARRAY(Sintesi!$C$10)),0)),0)-_xlfn.IFNA(INDEX(_xlfn.ANCHORARRAY(Sintesi!$C$17),1,MATCH(1,(_xlfn.ANCHORARRAY(Sintesi!$C$9)&gt;_xlfn.ANCHORARRAY(Sintesi!$C$10))*(A3&gt;=_xlfn.ANCHORARRAY(Sintesi!$C$9))+(_xlfn.ANCHORARRAY(Sintesi!$C$9)&gt;_xlfn.ANCHORARRAY(Sintesi!$C$10))*(A3&lt;=_xlfn.ANCHORARRAY(Sintesi!$C$10))+(_xlfn.ANCHORARRAY(Sintesi!$C$9)&lt;_xlfn.ANCHORARRAY(Sintesi!$C$10))*(A3&gt;=_xlfn.ANCHORARRAY(Sintesi!$C$9))*(A3&lt;=_xlfn.ANCHORARRAY(Sintesi!$C$10)),0)),0)))),0)</f>
        <v>0</v>
      </c>
      <c r="O4" s="14">
        <v>3</v>
      </c>
      <c r="P4" s="14">
        <v>14</v>
      </c>
      <c r="Q4" s="14">
        <v>5</v>
      </c>
    </row>
    <row r="5" spans="1:18">
      <c r="A5" s="1">
        <f>'Paste cell here'!A5</f>
        <v>4</v>
      </c>
      <c r="B5" s="2">
        <f>DATE(Sintesi!$C$4-1,12,31)+A5</f>
        <v>44200</v>
      </c>
      <c r="C5" s="34">
        <f t="array" ref="C5">_xlfn.IFNA(MATCH(1,((_xlfn.ANCHORARRAY(Sintesi!$C$9)&gt;_xlfn.ANCHORARRAY(Sintesi!$C$10))*(A5&gt;=_xlfn.ANCHORARRAY(Sintesi!$C$9))+(_xlfn.ANCHORARRAY(Sintesi!$C$9)&gt;_xlfn.ANCHORARRAY(Sintesi!$C$10))*(A5&lt;=_xlfn.ANCHORARRAY(Sintesi!$C$10))+(_xlfn.ANCHORARRAY(Sintesi!$C$9)&lt;_xlfn.ANCHORARRAY(Sintesi!$C$10))*(A5&gt;=_xlfn.ANCHORARRAY(Sintesi!$C$9))*(A5&lt;=_xlfn.ANCHORARRAY(Sintesi!$C$10)))*(_xlfn.ANCHORARRAY(Sintesi!$C$15)&gt;=0)+(_xlfn.ANCHORARRAY(Sintesi!$C$15)&lt;0),0),0)</f>
        <v>0</v>
      </c>
      <c r="D5" s="1">
        <f t="array" ref="D5">IF(ISBLANK($E6),IF(ISNUMBER($E4),IF($C5&gt;0,IF(($E5=INDEX(_xlfn.ANCHORARRAY(Sintesi!$C$14),1,$C5))*(INDEX(_xlfn.ANCHORARRAY(Sintesi!$C$15),1,$C5)&gt;0),0,IF(($E5=INDEX(_xlfn.ANCHORARRAY(Sintesi!$C$14),1,$C5))*(INDEX(_xlfn.ANCHORARRAY(Sintesi!$C$15),1,$C5)&lt;0)+($E5&gt;=$E4)*($E5&lt;=INDEX($E:$E,MATCH(TRUE,INDEX((ISNUMBER($E:$E)),0),0)))*($E5&gt;INDEX(_xlfn.ANCHORARRAY(Sintesi!$C$14),1,$C5))*($E5&lt;=INDEX(_xlfn.ANCHORARRAY(Sintesi!$C$15),1,$C5))*(INDEX(_xlfn.ANCHORARRAY(Sintesi!$C$15),1,$C5)&gt;0),1,IF(($E5&gt;=$E4)*($E5&lt;=INDEX($E:$E,MATCH(TRUE,INDEX((ISNUMBER($E:$E)),0),0)))*($E5&gt;INDEX(_xlfn.ANCHORARRAY(Sintesi!$C$14),1,$C5))*($E5&lt;INDEX(_xlfn.ANCHORARRAY(Sintesi!$C$16),1,$C5))*(INDEX(_xlfn.ANCHORARRAY(Sintesi!$C$15),1,$C5)&lt;0)+($E5&gt;=$E4)*($E5&lt;=INDEX($E:$E,MATCH(TRUE,INDEX((ISNUMBER($E:$E)),0),0)))*($E5&gt;INDEX(_xlfn.ANCHORARRAY(Sintesi!$C$15),1,$C5))*($E5&lt;INDEX(_xlfn.ANCHORARRAY(Sintesi!$C$16),1,$C5))*(INDEX(_xlfn.ANCHORARRAY(Sintesi!$C$15),1,$C5)&gt;0),2,IF($E5=(INDEX(_xlfn.ANCHORARRAY(Sintesi!$C$16),1,$C5)),3,4)))),0),IF($C5&gt;0,IF(($E5=INDEX(_xlfn.ANCHORARRAY(Sintesi!$C$14),1,$C5))*(INDEX(_xlfn.ANCHORARRAY(Sintesi!$C$15),1,$C5)&gt;0),0,IF(($E5=INDEX(_xlfn.ANCHORARRAY(Sintesi!$C$14),1,$C5))*(INDEX(_xlfn.ANCHORARRAY(Sintesi!$C$15),1,$C5)&lt;0)+($E5&gt;=LOOKUP(2,1/($E:$E&lt;&gt;""),$E:$E))*($E5&lt;=INDEX($E:$E,MATCH(TRUE,INDEX((ISNUMBER($E:$E)),0),0)))*($E5&gt;INDEX(_xlfn.ANCHORARRAY(Sintesi!$C$14),1,$C5))*($E5&lt;=INDEX(_xlfn.ANCHORARRAY(Sintesi!$C$15),1,$C5))*(INDEX(_xlfn.ANCHORARRAY(Sintesi!$C$15),1,$C5)&gt;0),1,IF(($E5&gt;=LOOKUP(2,1/($E:$E&lt;&gt;""),$E:$E))*($E5&lt;=INDEX($E:$E,MATCH(TRUE,INDEX((ISNUMBER($E:$E)),0),0)))*($E5&gt;INDEX(_xlfn.ANCHORARRAY(Sintesi!$C$14),1,$C5))*($E5&lt;INDEX(_xlfn.ANCHORARRAY(Sintesi!$C$16),1,$C5))*(INDEX(_xlfn.ANCHORARRAY(Sintesi!$C$15),1,$C5)&lt;0)+($E5&gt;=LOOKUP(2,1/($E:$E&lt;&gt;""),$E:$E))*($E5&lt;=INDEX($E:$E,MATCH(TRUE,INDEX((ISNUMBER($E:$E)),0),0)))*($E5&gt;INDEX(_xlfn.ANCHORARRAY(Sintesi!$C$15),1,$C5))*($E5&lt;INDEX(_xlfn.ANCHORARRAY(Sintesi!$C$16),1,$C5))*(INDEX(_xlfn.ANCHORARRAY(Sintesi!$C$15),1,$C5)&gt;0),2,IF($E5=(INDEX(_xlfn.ANCHORARRAY(Sintesi!$C$16),1,$C5)),3,4)))),0)),IF(ISNUMBER($E4),IF($C5&gt;0,IF(($E5=INDEX(_xlfn.ANCHORARRAY(Sintesi!$C$14),1,$C5))*(INDEX(_xlfn.ANCHORARRAY(Sintesi!$C$15),1,$C5)&gt;0),0,IF(($E5=INDEX(_xlfn.ANCHORARRAY(Sintesi!$C$14),1,$C5))*(INDEX(_xlfn.ANCHORARRAY(Sintesi!$C$15),1,$C5)&lt;0)+($E5&gt;=$E4)*($E5&lt;=$E6)*($E5&gt;INDEX(_xlfn.ANCHORARRAY(Sintesi!$C$14),1,$C5))*($E5&lt;=INDEX(_xlfn.ANCHORARRAY(Sintesi!$C$15),1,$C5))*(INDEX(_xlfn.ANCHORARRAY(Sintesi!$C$15),1,$C5)&gt;0),1,IF(($E5&gt;=$E4)*($E5&lt;=$E6)*($E5&gt;INDEX(_xlfn.ANCHORARRAY(Sintesi!$C$14),1,$C5))*($E5&lt;INDEX(_xlfn.ANCHORARRAY(Sintesi!$C$16),1,$C5))*(INDEX(_xlfn.ANCHORARRAY(Sintesi!$C$15),1,$C5)&lt;0)+($E5&gt;=$E4)*($E5&lt;=$E6)*($E5&gt;INDEX(_xlfn.ANCHORARRAY(Sintesi!$C$15),1,$C5))*($E5&lt;INDEX(_xlfn.ANCHORARRAY(Sintesi!$C$16),1,$C5))*(INDEX(_xlfn.ANCHORARRAY(Sintesi!$C$15),1,$C5)&gt;0),2,IF($E5=(INDEX(_xlfn.ANCHORARRAY(Sintesi!$C$16),1,$C5)),3,4)))),0),IF($C5&gt;0,IF(($E5=INDEX(_xlfn.ANCHORARRAY(Sintesi!$C$14),1,$C5))*(INDEX(_xlfn.ANCHORARRAY(Sintesi!$C$15),1,$C5)&gt;0),0,IF(($E5=INDEX(_xlfn.ANCHORARRAY(Sintesi!$C$14),1,$C5))*(INDEX(_xlfn.ANCHORARRAY(Sintesi!$C$15),1,$C5)&lt;0)+($E5&gt;=LOOKUP(2,1/($E:$E&lt;&gt;""),$E:$E))*($E5&lt;=$E6)*($E5&gt;INDEX(_xlfn.ANCHORARRAY(Sintesi!$C$14),1,$C5))*($E5&lt;=INDEX(_xlfn.ANCHORARRAY(Sintesi!$C$15),1,$C5))*(INDEX(_xlfn.ANCHORARRAY(Sintesi!$C$15),1,$C5)&gt;0),1,IF(($E5&gt;=LOOKUP(2,1/($E:$E&lt;&gt;""),$E:$E))*($E5&lt;=$E6)*($E5&gt;INDEX(_xlfn.ANCHORARRAY(Sintesi!$C$14),1,$C5))*($E5&lt;INDEX(_xlfn.ANCHORARRAY(Sintesi!$C$16),1,$C5))*(INDEX(_xlfn.ANCHORARRAY(Sintesi!$C$15),1,$C5)&lt;0)+($E5&gt;=LOOKUP(2,1/($E:$E&lt;&gt;""),$E:$E))*($E5&lt;=$E6)*($E5&gt;INDEX(_xlfn.ANCHORARRAY(Sintesi!$C$15),1,$C5))*($E5&lt;INDEX(_xlfn.ANCHORARRAY(Sintesi!$C$16),1,$C5))*(INDEX(_xlfn.ANCHORARRAY(Sintesi!$C$15),1,$C5)&gt;0),2,IF($E5=(INDEX(_xlfn.ANCHORARRAY(Sintesi!$C$16),1,$C5)),3,4)))),0)))</f>
        <v>0</v>
      </c>
      <c r="E5" s="1">
        <f>'Paste cell here'!F5</f>
        <v>0</v>
      </c>
      <c r="F5" s="1">
        <f>'Paste cell here'!C5</f>
        <v>6.5599999999999046</v>
      </c>
      <c r="G5" s="1">
        <f>'Paste cell here'!D5</f>
        <v>4.6999999999999371</v>
      </c>
      <c r="H5" s="1">
        <f>'Paste cell here'!E5</f>
        <v>0.31225401808139308</v>
      </c>
      <c r="I5" s="1">
        <f>'Paste cell here'!X5</f>
        <v>0</v>
      </c>
      <c r="J5" s="1">
        <f>'Paste cell here'!Y5+'Paste cell here'!S5</f>
        <v>0</v>
      </c>
      <c r="K5" s="1">
        <f t="shared" si="0"/>
        <v>0</v>
      </c>
      <c r="L5" s="1">
        <f t="shared" si="1"/>
        <v>5.8856011378907018</v>
      </c>
      <c r="M5" s="1">
        <f t="array" ref="M5">IF(AND(A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5&gt;=_xlfn.ANCHORARRAY(Sintesi!$C$9))+(_xlfn.ANCHORARRAY(Sintesi!$C$9)&gt;_xlfn.ANCHORARRAY(Sintesi!$C$10))*(A5&lt;=_xlfn.ANCHORARRAY(Sintesi!$C$10))+(_xlfn.ANCHORARRAY(Sintesi!$C$9)&lt;_xlfn.ANCHORARRAY(Sintesi!$C$10))*(A5&gt;=_xlfn.ANCHORARRAY(Sintesi!$C$9))*(A5&lt;=_xlfn.ANCHORARRAY(Sintesi!$C$10)),0)),0),A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6&gt;=_xlfn.ANCHORARRAY(Sintesi!$C$9))+(_xlfn.ANCHORARRAY(Sintesi!$C$9)&gt;_xlfn.ANCHORARRAY(Sintesi!$C$10))*(A6&lt;=_xlfn.ANCHORARRAY(Sintesi!$C$10))+(_xlfn.ANCHORARRAY(Sintesi!$C$9)&lt;_xlfn.ANCHORARRAY(Sintesi!$C$10))*(A6&gt;=_xlfn.ANCHORARRAY(Sintesi!$C$9))*(A6&lt;=_xlfn.ANCHORARRAY(Sintesi!$C$10)),0)),0)),IF(L5&lt;_xlfn.IFNA(INDEX(_xlfn.ANCHORARRAY(Sintesi!$C$17),1,MATCH(1,(_xlfn.ANCHORARRAY(Sintesi!$C$9)&gt;_xlfn.ANCHORARRAY(Sintesi!$C$10))*(A4&gt;=_xlfn.ANCHORARRAY(Sintesi!$C$9))+(_xlfn.ANCHORARRAY(Sintesi!$C$9)&gt;_xlfn.ANCHORARRAY(Sintesi!$C$10))*(A4&lt;=_xlfn.ANCHORARRAY(Sintesi!$C$10))+(_xlfn.ANCHORARRAY(Sintesi!$C$9)&lt;_xlfn.ANCHORARRAY(Sintesi!$C$10))*(A4&gt;=_xlfn.ANCHORARRAY(Sintesi!$C$9))*(A4&lt;=_xlfn.ANCHORARRAY(Sintesi!$C$10)),0)),0),1,IF(L5&gt;=_xlfn.IFNA(INDEX(_xlfn.ANCHORARRAY(Sintesi!$C$18),1,MATCH(1,(_xlfn.ANCHORARRAY(Sintesi!$C$9)&gt;_xlfn.ANCHORARRAY(Sintesi!$C$10))*(A4&gt;=_xlfn.ANCHORARRAY(Sintesi!$C$9))+(_xlfn.ANCHORARRAY(Sintesi!$C$9)&gt;_xlfn.ANCHORARRAY(Sintesi!$C$10))*(A4&lt;=_xlfn.ANCHORARRAY(Sintesi!$C$10))+(_xlfn.ANCHORARRAY(Sintesi!$C$9)&lt;_xlfn.ANCHORARRAY(Sintesi!$C$10))*(A4&gt;=_xlfn.ANCHORARRAY(Sintesi!$C$9))*(A4&lt;=_xlfn.ANCHORARRAY(Sintesi!$C$10)),0)),0),0,1-(L5-_xlfn.IFNA(INDEX(_xlfn.ANCHORARRAY(Sintesi!$C$17),1,MATCH(1,(_xlfn.ANCHORARRAY(Sintesi!$C$9)&gt;_xlfn.ANCHORARRAY(Sintesi!$C$10))*(A4&gt;=_xlfn.ANCHORARRAY(Sintesi!$C$9))+(_xlfn.ANCHORARRAY(Sintesi!$C$9)&gt;_xlfn.ANCHORARRAY(Sintesi!$C$10))*(A4&lt;=_xlfn.ANCHORARRAY(Sintesi!$C$10))+(_xlfn.ANCHORARRAY(Sintesi!$C$9)&lt;_xlfn.ANCHORARRAY(Sintesi!$C$10))*(A4&gt;=_xlfn.ANCHORARRAY(Sintesi!$C$9))*(A4&lt;=_xlfn.ANCHORARRAY(Sintesi!$C$10)),0)),0))/(_xlfn.IFNA(INDEX(_xlfn.ANCHORARRAY(Sintesi!$C$18),1,MATCH(1,(_xlfn.ANCHORARRAY(Sintesi!$C$9)&gt;_xlfn.ANCHORARRAY(Sintesi!$C$10))*(A4&gt;=_xlfn.ANCHORARRAY(Sintesi!$C$9))+(_xlfn.ANCHORARRAY(Sintesi!$C$9)&gt;_xlfn.ANCHORARRAY(Sintesi!$C$10))*(A4&lt;=_xlfn.ANCHORARRAY(Sintesi!$C$10))+(_xlfn.ANCHORARRAY(Sintesi!$C$9)&lt;_xlfn.ANCHORARRAY(Sintesi!$C$10))*(A4&gt;=_xlfn.ANCHORARRAY(Sintesi!$C$9))*(A4&lt;=_xlfn.ANCHORARRAY(Sintesi!$C$10)),0)),0)-_xlfn.IFNA(INDEX(_xlfn.ANCHORARRAY(Sintesi!$C$17),1,MATCH(1,(_xlfn.ANCHORARRAY(Sintesi!$C$9)&gt;_xlfn.ANCHORARRAY(Sintesi!$C$10))*(A4&gt;=_xlfn.ANCHORARRAY(Sintesi!$C$9))+(_xlfn.ANCHORARRAY(Sintesi!$C$9)&gt;_xlfn.ANCHORARRAY(Sintesi!$C$10))*(A4&lt;=_xlfn.ANCHORARRAY(Sintesi!$C$10))+(_xlfn.ANCHORARRAY(Sintesi!$C$9)&lt;_xlfn.ANCHORARRAY(Sintesi!$C$10))*(A4&gt;=_xlfn.ANCHORARRAY(Sintesi!$C$9))*(A4&lt;=_xlfn.ANCHORARRAY(Sintesi!$C$10)),0)),0)))),0)</f>
        <v>0</v>
      </c>
      <c r="O5" s="14">
        <v>4</v>
      </c>
      <c r="P5" s="14">
        <v>15</v>
      </c>
      <c r="Q5" s="14">
        <v>5</v>
      </c>
    </row>
    <row r="6" spans="1:18">
      <c r="A6" s="1">
        <f>'Paste cell here'!A6</f>
        <v>5</v>
      </c>
      <c r="B6" s="2">
        <f>DATE(Sintesi!$C$4-1,12,31)+A6</f>
        <v>44201</v>
      </c>
      <c r="C6" s="34">
        <f t="array" ref="C6">_xlfn.IFNA(MATCH(1,((_xlfn.ANCHORARRAY(Sintesi!$C$9)&gt;_xlfn.ANCHORARRAY(Sintesi!$C$10))*(A6&gt;=_xlfn.ANCHORARRAY(Sintesi!$C$9))+(_xlfn.ANCHORARRAY(Sintesi!$C$9)&gt;_xlfn.ANCHORARRAY(Sintesi!$C$10))*(A6&lt;=_xlfn.ANCHORARRAY(Sintesi!$C$10))+(_xlfn.ANCHORARRAY(Sintesi!$C$9)&lt;_xlfn.ANCHORARRAY(Sintesi!$C$10))*(A6&gt;=_xlfn.ANCHORARRAY(Sintesi!$C$9))*(A6&lt;=_xlfn.ANCHORARRAY(Sintesi!$C$10)))*(_xlfn.ANCHORARRAY(Sintesi!$C$15)&gt;=0)+(_xlfn.ANCHORARRAY(Sintesi!$C$15)&lt;0),0),0)</f>
        <v>0</v>
      </c>
      <c r="D6" s="1">
        <f t="array" ref="D6">IF(ISBLANK($E7),IF(ISNUMBER($E5),IF($C6&gt;0,IF(($E6=INDEX(_xlfn.ANCHORARRAY(Sintesi!$C$14),1,$C6))*(INDEX(_xlfn.ANCHORARRAY(Sintesi!$C$15),1,$C6)&gt;0),0,IF(($E6=INDEX(_xlfn.ANCHORARRAY(Sintesi!$C$14),1,$C6))*(INDEX(_xlfn.ANCHORARRAY(Sintesi!$C$15),1,$C6)&lt;0)+($E6&gt;=$E5)*($E6&lt;=INDEX($E:$E,MATCH(TRUE,INDEX((ISNUMBER($E:$E)),0),0)))*($E6&gt;INDEX(_xlfn.ANCHORARRAY(Sintesi!$C$14),1,$C6))*($E6&lt;=INDEX(_xlfn.ANCHORARRAY(Sintesi!$C$15),1,$C6))*(INDEX(_xlfn.ANCHORARRAY(Sintesi!$C$15),1,$C6)&gt;0),1,IF(($E6&gt;=$E5)*($E6&lt;=INDEX($E:$E,MATCH(TRUE,INDEX((ISNUMBER($E:$E)),0),0)))*($E6&gt;INDEX(_xlfn.ANCHORARRAY(Sintesi!$C$14),1,$C6))*($E6&lt;INDEX(_xlfn.ANCHORARRAY(Sintesi!$C$16),1,$C6))*(INDEX(_xlfn.ANCHORARRAY(Sintesi!$C$15),1,$C6)&lt;0)+($E6&gt;=$E5)*($E6&lt;=INDEX($E:$E,MATCH(TRUE,INDEX((ISNUMBER($E:$E)),0),0)))*($E6&gt;INDEX(_xlfn.ANCHORARRAY(Sintesi!$C$15),1,$C6))*($E6&lt;INDEX(_xlfn.ANCHORARRAY(Sintesi!$C$16),1,$C6))*(INDEX(_xlfn.ANCHORARRAY(Sintesi!$C$15),1,$C6)&gt;0),2,IF($E6=(INDEX(_xlfn.ANCHORARRAY(Sintesi!$C$16),1,$C6)),3,4)))),0),IF($C6&gt;0,IF(($E6=INDEX(_xlfn.ANCHORARRAY(Sintesi!$C$14),1,$C6))*(INDEX(_xlfn.ANCHORARRAY(Sintesi!$C$15),1,$C6)&gt;0),0,IF(($E6=INDEX(_xlfn.ANCHORARRAY(Sintesi!$C$14),1,$C6))*(INDEX(_xlfn.ANCHORARRAY(Sintesi!$C$15),1,$C6)&lt;0)+($E6&gt;=LOOKUP(2,1/($E:$E&lt;&gt;""),$E:$E))*($E6&lt;=INDEX($E:$E,MATCH(TRUE,INDEX((ISNUMBER($E:$E)),0),0)))*($E6&gt;INDEX(_xlfn.ANCHORARRAY(Sintesi!$C$14),1,$C6))*($E6&lt;=INDEX(_xlfn.ANCHORARRAY(Sintesi!$C$15),1,$C6))*(INDEX(_xlfn.ANCHORARRAY(Sintesi!$C$15),1,$C6)&gt;0),1,IF(($E6&gt;=LOOKUP(2,1/($E:$E&lt;&gt;""),$E:$E))*($E6&lt;=INDEX($E:$E,MATCH(TRUE,INDEX((ISNUMBER($E:$E)),0),0)))*($E6&gt;INDEX(_xlfn.ANCHORARRAY(Sintesi!$C$14),1,$C6))*($E6&lt;INDEX(_xlfn.ANCHORARRAY(Sintesi!$C$16),1,$C6))*(INDEX(_xlfn.ANCHORARRAY(Sintesi!$C$15),1,$C6)&lt;0)+($E6&gt;=LOOKUP(2,1/($E:$E&lt;&gt;""),$E:$E))*($E6&lt;=INDEX($E:$E,MATCH(TRUE,INDEX((ISNUMBER($E:$E)),0),0)))*($E6&gt;INDEX(_xlfn.ANCHORARRAY(Sintesi!$C$15),1,$C6))*($E6&lt;INDEX(_xlfn.ANCHORARRAY(Sintesi!$C$16),1,$C6))*(INDEX(_xlfn.ANCHORARRAY(Sintesi!$C$15),1,$C6)&gt;0),2,IF($E6=(INDEX(_xlfn.ANCHORARRAY(Sintesi!$C$16),1,$C6)),3,4)))),0)),IF(ISNUMBER($E5),IF($C6&gt;0,IF(($E6=INDEX(_xlfn.ANCHORARRAY(Sintesi!$C$14),1,$C6))*(INDEX(_xlfn.ANCHORARRAY(Sintesi!$C$15),1,$C6)&gt;0),0,IF(($E6=INDEX(_xlfn.ANCHORARRAY(Sintesi!$C$14),1,$C6))*(INDEX(_xlfn.ANCHORARRAY(Sintesi!$C$15),1,$C6)&lt;0)+($E6&gt;=$E5)*($E6&lt;=$E7)*($E6&gt;INDEX(_xlfn.ANCHORARRAY(Sintesi!$C$14),1,$C6))*($E6&lt;=INDEX(_xlfn.ANCHORARRAY(Sintesi!$C$15),1,$C6))*(INDEX(_xlfn.ANCHORARRAY(Sintesi!$C$15),1,$C6)&gt;0),1,IF(($E6&gt;=$E5)*($E6&lt;=$E7)*($E6&gt;INDEX(_xlfn.ANCHORARRAY(Sintesi!$C$14),1,$C6))*($E6&lt;INDEX(_xlfn.ANCHORARRAY(Sintesi!$C$16),1,$C6))*(INDEX(_xlfn.ANCHORARRAY(Sintesi!$C$15),1,$C6)&lt;0)+($E6&gt;=$E5)*($E6&lt;=$E7)*($E6&gt;INDEX(_xlfn.ANCHORARRAY(Sintesi!$C$15),1,$C6))*($E6&lt;INDEX(_xlfn.ANCHORARRAY(Sintesi!$C$16),1,$C6))*(INDEX(_xlfn.ANCHORARRAY(Sintesi!$C$15),1,$C6)&gt;0),2,IF($E6=(INDEX(_xlfn.ANCHORARRAY(Sintesi!$C$16),1,$C6)),3,4)))),0),IF($C6&gt;0,IF(($E6=INDEX(_xlfn.ANCHORARRAY(Sintesi!$C$14),1,$C6))*(INDEX(_xlfn.ANCHORARRAY(Sintesi!$C$15),1,$C6)&gt;0),0,IF(($E6=INDEX(_xlfn.ANCHORARRAY(Sintesi!$C$14),1,$C6))*(INDEX(_xlfn.ANCHORARRAY(Sintesi!$C$15),1,$C6)&lt;0)+($E6&gt;=LOOKUP(2,1/($E:$E&lt;&gt;""),$E:$E))*($E6&lt;=$E7)*($E6&gt;INDEX(_xlfn.ANCHORARRAY(Sintesi!$C$14),1,$C6))*($E6&lt;=INDEX(_xlfn.ANCHORARRAY(Sintesi!$C$15),1,$C6))*(INDEX(_xlfn.ANCHORARRAY(Sintesi!$C$15),1,$C6)&gt;0),1,IF(($E6&gt;=LOOKUP(2,1/($E:$E&lt;&gt;""),$E:$E))*($E6&lt;=$E7)*($E6&gt;INDEX(_xlfn.ANCHORARRAY(Sintesi!$C$14),1,$C6))*($E6&lt;INDEX(_xlfn.ANCHORARRAY(Sintesi!$C$16),1,$C6))*(INDEX(_xlfn.ANCHORARRAY(Sintesi!$C$15),1,$C6)&lt;0)+($E6&gt;=LOOKUP(2,1/($E:$E&lt;&gt;""),$E:$E))*($E6&lt;=$E7)*($E6&gt;INDEX(_xlfn.ANCHORARRAY(Sintesi!$C$15),1,$C6))*($E6&lt;INDEX(_xlfn.ANCHORARRAY(Sintesi!$C$16),1,$C6))*(INDEX(_xlfn.ANCHORARRAY(Sintesi!$C$15),1,$C6)&gt;0),2,IF($E6=(INDEX(_xlfn.ANCHORARRAY(Sintesi!$C$16),1,$C6)),3,4)))),0)))</f>
        <v>0</v>
      </c>
      <c r="E6" s="1">
        <f>'Paste cell here'!F6</f>
        <v>0</v>
      </c>
      <c r="F6" s="1">
        <f>'Paste cell here'!C6</f>
        <v>6.8999999999999027</v>
      </c>
      <c r="G6" s="1">
        <f>'Paste cell here'!D6</f>
        <v>2.9199999999999577</v>
      </c>
      <c r="H6" s="1">
        <f>'Paste cell here'!E6</f>
        <v>0.37866394554597321</v>
      </c>
      <c r="I6" s="1">
        <f>'Paste cell here'!X6</f>
        <v>0</v>
      </c>
      <c r="J6" s="1">
        <f>'Paste cell here'!Y6+'Paste cell here'!S6</f>
        <v>0</v>
      </c>
      <c r="K6" s="1">
        <f t="shared" si="0"/>
        <v>0</v>
      </c>
      <c r="L6" s="1">
        <f t="shared" si="1"/>
        <v>5.456931467099559</v>
      </c>
      <c r="M6" s="1">
        <f t="array" ref="M6">IF(AND(A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6&gt;=_xlfn.ANCHORARRAY(Sintesi!$C$9))+(_xlfn.ANCHORARRAY(Sintesi!$C$9)&gt;_xlfn.ANCHORARRAY(Sintesi!$C$10))*(A6&lt;=_xlfn.ANCHORARRAY(Sintesi!$C$10))+(_xlfn.ANCHORARRAY(Sintesi!$C$9)&lt;_xlfn.ANCHORARRAY(Sintesi!$C$10))*(A6&gt;=_xlfn.ANCHORARRAY(Sintesi!$C$9))*(A6&lt;=_xlfn.ANCHORARRAY(Sintesi!$C$10)),0)),0),A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7&gt;=_xlfn.ANCHORARRAY(Sintesi!$C$9))+(_xlfn.ANCHORARRAY(Sintesi!$C$9)&gt;_xlfn.ANCHORARRAY(Sintesi!$C$10))*(A7&lt;=_xlfn.ANCHORARRAY(Sintesi!$C$10))+(_xlfn.ANCHORARRAY(Sintesi!$C$9)&lt;_xlfn.ANCHORARRAY(Sintesi!$C$10))*(A7&gt;=_xlfn.ANCHORARRAY(Sintesi!$C$9))*(A7&lt;=_xlfn.ANCHORARRAY(Sintesi!$C$10)),0)),0)),IF(L6&lt;_xlfn.IFNA(INDEX(_xlfn.ANCHORARRAY(Sintesi!$C$17),1,MATCH(1,(_xlfn.ANCHORARRAY(Sintesi!$C$9)&gt;_xlfn.ANCHORARRAY(Sintesi!$C$10))*(A5&gt;=_xlfn.ANCHORARRAY(Sintesi!$C$9))+(_xlfn.ANCHORARRAY(Sintesi!$C$9)&gt;_xlfn.ANCHORARRAY(Sintesi!$C$10))*(A5&lt;=_xlfn.ANCHORARRAY(Sintesi!$C$10))+(_xlfn.ANCHORARRAY(Sintesi!$C$9)&lt;_xlfn.ANCHORARRAY(Sintesi!$C$10))*(A5&gt;=_xlfn.ANCHORARRAY(Sintesi!$C$9))*(A5&lt;=_xlfn.ANCHORARRAY(Sintesi!$C$10)),0)),0),1,IF(L6&gt;=_xlfn.IFNA(INDEX(_xlfn.ANCHORARRAY(Sintesi!$C$18),1,MATCH(1,(_xlfn.ANCHORARRAY(Sintesi!$C$9)&gt;_xlfn.ANCHORARRAY(Sintesi!$C$10))*(A5&gt;=_xlfn.ANCHORARRAY(Sintesi!$C$9))+(_xlfn.ANCHORARRAY(Sintesi!$C$9)&gt;_xlfn.ANCHORARRAY(Sintesi!$C$10))*(A5&lt;=_xlfn.ANCHORARRAY(Sintesi!$C$10))+(_xlfn.ANCHORARRAY(Sintesi!$C$9)&lt;_xlfn.ANCHORARRAY(Sintesi!$C$10))*(A5&gt;=_xlfn.ANCHORARRAY(Sintesi!$C$9))*(A5&lt;=_xlfn.ANCHORARRAY(Sintesi!$C$10)),0)),0),0,1-(L6-_xlfn.IFNA(INDEX(_xlfn.ANCHORARRAY(Sintesi!$C$17),1,MATCH(1,(_xlfn.ANCHORARRAY(Sintesi!$C$9)&gt;_xlfn.ANCHORARRAY(Sintesi!$C$10))*(A5&gt;=_xlfn.ANCHORARRAY(Sintesi!$C$9))+(_xlfn.ANCHORARRAY(Sintesi!$C$9)&gt;_xlfn.ANCHORARRAY(Sintesi!$C$10))*(A5&lt;=_xlfn.ANCHORARRAY(Sintesi!$C$10))+(_xlfn.ANCHORARRAY(Sintesi!$C$9)&lt;_xlfn.ANCHORARRAY(Sintesi!$C$10))*(A5&gt;=_xlfn.ANCHORARRAY(Sintesi!$C$9))*(A5&lt;=_xlfn.ANCHORARRAY(Sintesi!$C$10)),0)),0))/(_xlfn.IFNA(INDEX(_xlfn.ANCHORARRAY(Sintesi!$C$18),1,MATCH(1,(_xlfn.ANCHORARRAY(Sintesi!$C$9)&gt;_xlfn.ANCHORARRAY(Sintesi!$C$10))*(A5&gt;=_xlfn.ANCHORARRAY(Sintesi!$C$9))+(_xlfn.ANCHORARRAY(Sintesi!$C$9)&gt;_xlfn.ANCHORARRAY(Sintesi!$C$10))*(A5&lt;=_xlfn.ANCHORARRAY(Sintesi!$C$10))+(_xlfn.ANCHORARRAY(Sintesi!$C$9)&lt;_xlfn.ANCHORARRAY(Sintesi!$C$10))*(A5&gt;=_xlfn.ANCHORARRAY(Sintesi!$C$9))*(A5&lt;=_xlfn.ANCHORARRAY(Sintesi!$C$10)),0)),0)-_xlfn.IFNA(INDEX(_xlfn.ANCHORARRAY(Sintesi!$C$17),1,MATCH(1,(_xlfn.ANCHORARRAY(Sintesi!$C$9)&gt;_xlfn.ANCHORARRAY(Sintesi!$C$10))*(A5&gt;=_xlfn.ANCHORARRAY(Sintesi!$C$9))+(_xlfn.ANCHORARRAY(Sintesi!$C$9)&gt;_xlfn.ANCHORARRAY(Sintesi!$C$10))*(A5&lt;=_xlfn.ANCHORARRAY(Sintesi!$C$10))+(_xlfn.ANCHORARRAY(Sintesi!$C$9)&lt;_xlfn.ANCHORARRAY(Sintesi!$C$10))*(A5&gt;=_xlfn.ANCHORARRAY(Sintesi!$C$9))*(A5&lt;=_xlfn.ANCHORARRAY(Sintesi!$C$10)),0)),0)))),0)</f>
        <v>0</v>
      </c>
      <c r="O6" s="14">
        <v>5</v>
      </c>
      <c r="P6" s="14">
        <v>15</v>
      </c>
      <c r="Q6" s="14">
        <v>4</v>
      </c>
    </row>
    <row r="7" spans="1:18" ht="11.25" customHeight="1">
      <c r="A7" s="1">
        <f>'Paste cell here'!A7</f>
        <v>6</v>
      </c>
      <c r="B7" s="2">
        <f>DATE(Sintesi!$C$4-1,12,31)+A7</f>
        <v>44202</v>
      </c>
      <c r="C7" s="34">
        <f t="array" ref="C7">_xlfn.IFNA(MATCH(1,((_xlfn.ANCHORARRAY(Sintesi!$C$9)&gt;_xlfn.ANCHORARRAY(Sintesi!$C$10))*(A7&gt;=_xlfn.ANCHORARRAY(Sintesi!$C$9))+(_xlfn.ANCHORARRAY(Sintesi!$C$9)&gt;_xlfn.ANCHORARRAY(Sintesi!$C$10))*(A7&lt;=_xlfn.ANCHORARRAY(Sintesi!$C$10))+(_xlfn.ANCHORARRAY(Sintesi!$C$9)&lt;_xlfn.ANCHORARRAY(Sintesi!$C$10))*(A7&gt;=_xlfn.ANCHORARRAY(Sintesi!$C$9))*(A7&lt;=_xlfn.ANCHORARRAY(Sintesi!$C$10)))*(_xlfn.ANCHORARRAY(Sintesi!$C$15)&gt;=0)+(_xlfn.ANCHORARRAY(Sintesi!$C$15)&lt;0),0),0)</f>
        <v>0</v>
      </c>
      <c r="D7" s="1">
        <f t="array" ref="D7">IF(ISBLANK($E8),IF(ISNUMBER($E6),IF($C7&gt;0,IF(($E7=INDEX(_xlfn.ANCHORARRAY(Sintesi!$C$14),1,$C7))*(INDEX(_xlfn.ANCHORARRAY(Sintesi!$C$15),1,$C7)&gt;0),0,IF(($E7=INDEX(_xlfn.ANCHORARRAY(Sintesi!$C$14),1,$C7))*(INDEX(_xlfn.ANCHORARRAY(Sintesi!$C$15),1,$C7)&lt;0)+($E7&gt;=$E6)*($E7&lt;=INDEX($E:$E,MATCH(TRUE,INDEX((ISNUMBER($E:$E)),0),0)))*($E7&gt;INDEX(_xlfn.ANCHORARRAY(Sintesi!$C$14),1,$C7))*($E7&lt;=INDEX(_xlfn.ANCHORARRAY(Sintesi!$C$15),1,$C7))*(INDEX(_xlfn.ANCHORARRAY(Sintesi!$C$15),1,$C7)&gt;0),1,IF(($E7&gt;=$E6)*($E7&lt;=INDEX($E:$E,MATCH(TRUE,INDEX((ISNUMBER($E:$E)),0),0)))*($E7&gt;INDEX(_xlfn.ANCHORARRAY(Sintesi!$C$14),1,$C7))*($E7&lt;INDEX(_xlfn.ANCHORARRAY(Sintesi!$C$16),1,$C7))*(INDEX(_xlfn.ANCHORARRAY(Sintesi!$C$15),1,$C7)&lt;0)+($E7&gt;=$E6)*($E7&lt;=INDEX($E:$E,MATCH(TRUE,INDEX((ISNUMBER($E:$E)),0),0)))*($E7&gt;INDEX(_xlfn.ANCHORARRAY(Sintesi!$C$15),1,$C7))*($E7&lt;INDEX(_xlfn.ANCHORARRAY(Sintesi!$C$16),1,$C7))*(INDEX(_xlfn.ANCHORARRAY(Sintesi!$C$15),1,$C7)&gt;0),2,IF($E7=(INDEX(_xlfn.ANCHORARRAY(Sintesi!$C$16),1,$C7)),3,4)))),0),IF($C7&gt;0,IF(($E7=INDEX(_xlfn.ANCHORARRAY(Sintesi!$C$14),1,$C7))*(INDEX(_xlfn.ANCHORARRAY(Sintesi!$C$15),1,$C7)&gt;0),0,IF(($E7=INDEX(_xlfn.ANCHORARRAY(Sintesi!$C$14),1,$C7))*(INDEX(_xlfn.ANCHORARRAY(Sintesi!$C$15),1,$C7)&lt;0)+($E7&gt;=LOOKUP(2,1/($E:$E&lt;&gt;""),$E:$E))*($E7&lt;=INDEX($E:$E,MATCH(TRUE,INDEX((ISNUMBER($E:$E)),0),0)))*($E7&gt;INDEX(_xlfn.ANCHORARRAY(Sintesi!$C$14),1,$C7))*($E7&lt;=INDEX(_xlfn.ANCHORARRAY(Sintesi!$C$15),1,$C7))*(INDEX(_xlfn.ANCHORARRAY(Sintesi!$C$15),1,$C7)&gt;0),1,IF(($E7&gt;=LOOKUP(2,1/($E:$E&lt;&gt;""),$E:$E))*($E7&lt;=INDEX($E:$E,MATCH(TRUE,INDEX((ISNUMBER($E:$E)),0),0)))*($E7&gt;INDEX(_xlfn.ANCHORARRAY(Sintesi!$C$14),1,$C7))*($E7&lt;INDEX(_xlfn.ANCHORARRAY(Sintesi!$C$16),1,$C7))*(INDEX(_xlfn.ANCHORARRAY(Sintesi!$C$15),1,$C7)&lt;0)+($E7&gt;=LOOKUP(2,1/($E:$E&lt;&gt;""),$E:$E))*($E7&lt;=INDEX($E:$E,MATCH(TRUE,INDEX((ISNUMBER($E:$E)),0),0)))*($E7&gt;INDEX(_xlfn.ANCHORARRAY(Sintesi!$C$15),1,$C7))*($E7&lt;INDEX(_xlfn.ANCHORARRAY(Sintesi!$C$16),1,$C7))*(INDEX(_xlfn.ANCHORARRAY(Sintesi!$C$15),1,$C7)&gt;0),2,IF($E7=(INDEX(_xlfn.ANCHORARRAY(Sintesi!$C$16),1,$C7)),3,4)))),0)),IF(ISNUMBER($E6),IF($C7&gt;0,IF(($E7=INDEX(_xlfn.ANCHORARRAY(Sintesi!$C$14),1,$C7))*(INDEX(_xlfn.ANCHORARRAY(Sintesi!$C$15),1,$C7)&gt;0),0,IF(($E7=INDEX(_xlfn.ANCHORARRAY(Sintesi!$C$14),1,$C7))*(INDEX(_xlfn.ANCHORARRAY(Sintesi!$C$15),1,$C7)&lt;0)+($E7&gt;=$E6)*($E7&lt;=$E8)*($E7&gt;INDEX(_xlfn.ANCHORARRAY(Sintesi!$C$14),1,$C7))*($E7&lt;=INDEX(_xlfn.ANCHORARRAY(Sintesi!$C$15),1,$C7))*(INDEX(_xlfn.ANCHORARRAY(Sintesi!$C$15),1,$C7)&gt;0),1,IF(($E7&gt;=$E6)*($E7&lt;=$E8)*($E7&gt;INDEX(_xlfn.ANCHORARRAY(Sintesi!$C$14),1,$C7))*($E7&lt;INDEX(_xlfn.ANCHORARRAY(Sintesi!$C$16),1,$C7))*(INDEX(_xlfn.ANCHORARRAY(Sintesi!$C$15),1,$C7)&lt;0)+($E7&gt;=$E6)*($E7&lt;=$E8)*($E7&gt;INDEX(_xlfn.ANCHORARRAY(Sintesi!$C$15),1,$C7))*($E7&lt;INDEX(_xlfn.ANCHORARRAY(Sintesi!$C$16),1,$C7))*(INDEX(_xlfn.ANCHORARRAY(Sintesi!$C$15),1,$C7)&gt;0),2,IF($E7=(INDEX(_xlfn.ANCHORARRAY(Sintesi!$C$16),1,$C7)),3,4)))),0),IF($C7&gt;0,IF(($E7=INDEX(_xlfn.ANCHORARRAY(Sintesi!$C$14),1,$C7))*(INDEX(_xlfn.ANCHORARRAY(Sintesi!$C$15),1,$C7)&gt;0),0,IF(($E7=INDEX(_xlfn.ANCHORARRAY(Sintesi!$C$14),1,$C7))*(INDEX(_xlfn.ANCHORARRAY(Sintesi!$C$15),1,$C7)&lt;0)+($E7&gt;=LOOKUP(2,1/($E:$E&lt;&gt;""),$E:$E))*($E7&lt;=$E8)*($E7&gt;INDEX(_xlfn.ANCHORARRAY(Sintesi!$C$14),1,$C7))*($E7&lt;=INDEX(_xlfn.ANCHORARRAY(Sintesi!$C$15),1,$C7))*(INDEX(_xlfn.ANCHORARRAY(Sintesi!$C$15),1,$C7)&gt;0),1,IF(($E7&gt;=LOOKUP(2,1/($E:$E&lt;&gt;""),$E:$E))*($E7&lt;=$E8)*($E7&gt;INDEX(_xlfn.ANCHORARRAY(Sintesi!$C$14),1,$C7))*($E7&lt;INDEX(_xlfn.ANCHORARRAY(Sintesi!$C$16),1,$C7))*(INDEX(_xlfn.ANCHORARRAY(Sintesi!$C$15),1,$C7)&lt;0)+($E7&gt;=LOOKUP(2,1/($E:$E&lt;&gt;""),$E:$E))*($E7&lt;=$E8)*($E7&gt;INDEX(_xlfn.ANCHORARRAY(Sintesi!$C$15),1,$C7))*($E7&lt;INDEX(_xlfn.ANCHORARRAY(Sintesi!$C$16),1,$C7))*(INDEX(_xlfn.ANCHORARRAY(Sintesi!$C$15),1,$C7)&gt;0),2,IF($E7=(INDEX(_xlfn.ANCHORARRAY(Sintesi!$C$16),1,$C7)),3,4)))),0)))</f>
        <v>0</v>
      </c>
      <c r="E7" s="1">
        <f>'Paste cell here'!F7</f>
        <v>0</v>
      </c>
      <c r="F7" s="1">
        <f>'Paste cell here'!C7</f>
        <v>5.1199999999999175</v>
      </c>
      <c r="G7" s="1">
        <f>'Paste cell here'!D7</f>
        <v>2.4799999999999658</v>
      </c>
      <c r="H7" s="1">
        <f>'Paste cell here'!E7</f>
        <v>0.33193167567098736</v>
      </c>
      <c r="I7" s="1">
        <f>'Paste cell here'!X7</f>
        <v>0</v>
      </c>
      <c r="J7" s="1">
        <f>'Paste cell here'!Y7+'Paste cell here'!S7</f>
        <v>0</v>
      </c>
      <c r="K7" s="1">
        <f t="shared" si="0"/>
        <v>0</v>
      </c>
      <c r="L7" s="1">
        <f t="shared" si="1"/>
        <v>4.1627887118449207</v>
      </c>
      <c r="M7" s="1">
        <f t="array" ref="M7">IF(AND(A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7&gt;=_xlfn.ANCHORARRAY(Sintesi!$C$9))+(_xlfn.ANCHORARRAY(Sintesi!$C$9)&gt;_xlfn.ANCHORARRAY(Sintesi!$C$10))*(A7&lt;=_xlfn.ANCHORARRAY(Sintesi!$C$10))+(_xlfn.ANCHORARRAY(Sintesi!$C$9)&lt;_xlfn.ANCHORARRAY(Sintesi!$C$10))*(A7&gt;=_xlfn.ANCHORARRAY(Sintesi!$C$9))*(A7&lt;=_xlfn.ANCHORARRAY(Sintesi!$C$10)),0)),0),A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8&gt;=_xlfn.ANCHORARRAY(Sintesi!$C$9))+(_xlfn.ANCHORARRAY(Sintesi!$C$9)&gt;_xlfn.ANCHORARRAY(Sintesi!$C$10))*(A8&lt;=_xlfn.ANCHORARRAY(Sintesi!$C$10))+(_xlfn.ANCHORARRAY(Sintesi!$C$9)&lt;_xlfn.ANCHORARRAY(Sintesi!$C$10))*(A8&gt;=_xlfn.ANCHORARRAY(Sintesi!$C$9))*(A8&lt;=_xlfn.ANCHORARRAY(Sintesi!$C$10)),0)),0)),IF(L7&lt;_xlfn.IFNA(INDEX(_xlfn.ANCHORARRAY(Sintesi!$C$17),1,MATCH(1,(_xlfn.ANCHORARRAY(Sintesi!$C$9)&gt;_xlfn.ANCHORARRAY(Sintesi!$C$10))*(A6&gt;=_xlfn.ANCHORARRAY(Sintesi!$C$9))+(_xlfn.ANCHORARRAY(Sintesi!$C$9)&gt;_xlfn.ANCHORARRAY(Sintesi!$C$10))*(A6&lt;=_xlfn.ANCHORARRAY(Sintesi!$C$10))+(_xlfn.ANCHORARRAY(Sintesi!$C$9)&lt;_xlfn.ANCHORARRAY(Sintesi!$C$10))*(A6&gt;=_xlfn.ANCHORARRAY(Sintesi!$C$9))*(A6&lt;=_xlfn.ANCHORARRAY(Sintesi!$C$10)),0)),0),1,IF(L7&gt;=_xlfn.IFNA(INDEX(_xlfn.ANCHORARRAY(Sintesi!$C$18),1,MATCH(1,(_xlfn.ANCHORARRAY(Sintesi!$C$9)&gt;_xlfn.ANCHORARRAY(Sintesi!$C$10))*(A6&gt;=_xlfn.ANCHORARRAY(Sintesi!$C$9))+(_xlfn.ANCHORARRAY(Sintesi!$C$9)&gt;_xlfn.ANCHORARRAY(Sintesi!$C$10))*(A6&lt;=_xlfn.ANCHORARRAY(Sintesi!$C$10))+(_xlfn.ANCHORARRAY(Sintesi!$C$9)&lt;_xlfn.ANCHORARRAY(Sintesi!$C$10))*(A6&gt;=_xlfn.ANCHORARRAY(Sintesi!$C$9))*(A6&lt;=_xlfn.ANCHORARRAY(Sintesi!$C$10)),0)),0),0,1-(L7-_xlfn.IFNA(INDEX(_xlfn.ANCHORARRAY(Sintesi!$C$17),1,MATCH(1,(_xlfn.ANCHORARRAY(Sintesi!$C$9)&gt;_xlfn.ANCHORARRAY(Sintesi!$C$10))*(A6&gt;=_xlfn.ANCHORARRAY(Sintesi!$C$9))+(_xlfn.ANCHORARRAY(Sintesi!$C$9)&gt;_xlfn.ANCHORARRAY(Sintesi!$C$10))*(A6&lt;=_xlfn.ANCHORARRAY(Sintesi!$C$10))+(_xlfn.ANCHORARRAY(Sintesi!$C$9)&lt;_xlfn.ANCHORARRAY(Sintesi!$C$10))*(A6&gt;=_xlfn.ANCHORARRAY(Sintesi!$C$9))*(A6&lt;=_xlfn.ANCHORARRAY(Sintesi!$C$10)),0)),0))/(_xlfn.IFNA(INDEX(_xlfn.ANCHORARRAY(Sintesi!$C$18),1,MATCH(1,(_xlfn.ANCHORARRAY(Sintesi!$C$9)&gt;_xlfn.ANCHORARRAY(Sintesi!$C$10))*(A6&gt;=_xlfn.ANCHORARRAY(Sintesi!$C$9))+(_xlfn.ANCHORARRAY(Sintesi!$C$9)&gt;_xlfn.ANCHORARRAY(Sintesi!$C$10))*(A6&lt;=_xlfn.ANCHORARRAY(Sintesi!$C$10))+(_xlfn.ANCHORARRAY(Sintesi!$C$9)&lt;_xlfn.ANCHORARRAY(Sintesi!$C$10))*(A6&gt;=_xlfn.ANCHORARRAY(Sintesi!$C$9))*(A6&lt;=_xlfn.ANCHORARRAY(Sintesi!$C$10)),0)),0)-_xlfn.IFNA(INDEX(_xlfn.ANCHORARRAY(Sintesi!$C$17),1,MATCH(1,(_xlfn.ANCHORARRAY(Sintesi!$C$9)&gt;_xlfn.ANCHORARRAY(Sintesi!$C$10))*(A6&gt;=_xlfn.ANCHORARRAY(Sintesi!$C$9))+(_xlfn.ANCHORARRAY(Sintesi!$C$9)&gt;_xlfn.ANCHORARRAY(Sintesi!$C$10))*(A6&lt;=_xlfn.ANCHORARRAY(Sintesi!$C$10))+(_xlfn.ANCHORARRAY(Sintesi!$C$9)&lt;_xlfn.ANCHORARRAY(Sintesi!$C$10))*(A6&gt;=_xlfn.ANCHORARRAY(Sintesi!$C$9))*(A6&lt;=_xlfn.ANCHORARRAY(Sintesi!$C$10)),0)),0)))),0)</f>
        <v>0</v>
      </c>
      <c r="N7" s="31"/>
      <c r="O7" s="14">
        <v>6</v>
      </c>
      <c r="P7" s="14">
        <v>16</v>
      </c>
      <c r="Q7" s="14">
        <v>4</v>
      </c>
      <c r="R7" s="36"/>
    </row>
    <row r="8" spans="1:18">
      <c r="A8" s="1">
        <f>'Paste cell here'!A8</f>
        <v>7</v>
      </c>
      <c r="B8" s="2">
        <f>DATE(Sintesi!$C$4-1,12,31)+A8</f>
        <v>44203</v>
      </c>
      <c r="C8" s="34">
        <f t="array" ref="C8">_xlfn.IFNA(MATCH(1,((_xlfn.ANCHORARRAY(Sintesi!$C$9)&gt;_xlfn.ANCHORARRAY(Sintesi!$C$10))*(A8&gt;=_xlfn.ANCHORARRAY(Sintesi!$C$9))+(_xlfn.ANCHORARRAY(Sintesi!$C$9)&gt;_xlfn.ANCHORARRAY(Sintesi!$C$10))*(A8&lt;=_xlfn.ANCHORARRAY(Sintesi!$C$10))+(_xlfn.ANCHORARRAY(Sintesi!$C$9)&lt;_xlfn.ANCHORARRAY(Sintesi!$C$10))*(A8&gt;=_xlfn.ANCHORARRAY(Sintesi!$C$9))*(A8&lt;=_xlfn.ANCHORARRAY(Sintesi!$C$10)))*(_xlfn.ANCHORARRAY(Sintesi!$C$15)&gt;=0)+(_xlfn.ANCHORARRAY(Sintesi!$C$15)&lt;0),0),0)</f>
        <v>0</v>
      </c>
      <c r="D8" s="1">
        <f t="array" ref="D8">IF(ISBLANK($E9),IF(ISNUMBER($E7),IF($C8&gt;0,IF(($E8=INDEX(_xlfn.ANCHORARRAY(Sintesi!$C$14),1,$C8))*(INDEX(_xlfn.ANCHORARRAY(Sintesi!$C$15),1,$C8)&gt;0),0,IF(($E8=INDEX(_xlfn.ANCHORARRAY(Sintesi!$C$14),1,$C8))*(INDEX(_xlfn.ANCHORARRAY(Sintesi!$C$15),1,$C8)&lt;0)+($E8&gt;=$E7)*($E8&lt;=INDEX($E:$E,MATCH(TRUE,INDEX((ISNUMBER($E:$E)),0),0)))*($E8&gt;INDEX(_xlfn.ANCHORARRAY(Sintesi!$C$14),1,$C8))*($E8&lt;=INDEX(_xlfn.ANCHORARRAY(Sintesi!$C$15),1,$C8))*(INDEX(_xlfn.ANCHORARRAY(Sintesi!$C$15),1,$C8)&gt;0),1,IF(($E8&gt;=$E7)*($E8&lt;=INDEX($E:$E,MATCH(TRUE,INDEX((ISNUMBER($E:$E)),0),0)))*($E8&gt;INDEX(_xlfn.ANCHORARRAY(Sintesi!$C$14),1,$C8))*($E8&lt;INDEX(_xlfn.ANCHORARRAY(Sintesi!$C$16),1,$C8))*(INDEX(_xlfn.ANCHORARRAY(Sintesi!$C$15),1,$C8)&lt;0)+($E8&gt;=$E7)*($E8&lt;=INDEX($E:$E,MATCH(TRUE,INDEX((ISNUMBER($E:$E)),0),0)))*($E8&gt;INDEX(_xlfn.ANCHORARRAY(Sintesi!$C$15),1,$C8))*($E8&lt;INDEX(_xlfn.ANCHORARRAY(Sintesi!$C$16),1,$C8))*(INDEX(_xlfn.ANCHORARRAY(Sintesi!$C$15),1,$C8)&gt;0),2,IF($E8=(INDEX(_xlfn.ANCHORARRAY(Sintesi!$C$16),1,$C8)),3,4)))),0),IF($C8&gt;0,IF(($E8=INDEX(_xlfn.ANCHORARRAY(Sintesi!$C$14),1,$C8))*(INDEX(_xlfn.ANCHORARRAY(Sintesi!$C$15),1,$C8)&gt;0),0,IF(($E8=INDEX(_xlfn.ANCHORARRAY(Sintesi!$C$14),1,$C8))*(INDEX(_xlfn.ANCHORARRAY(Sintesi!$C$15),1,$C8)&lt;0)+($E8&gt;=LOOKUP(2,1/($E:$E&lt;&gt;""),$E:$E))*($E8&lt;=INDEX($E:$E,MATCH(TRUE,INDEX((ISNUMBER($E:$E)),0),0)))*($E8&gt;INDEX(_xlfn.ANCHORARRAY(Sintesi!$C$14),1,$C8))*($E8&lt;=INDEX(_xlfn.ANCHORARRAY(Sintesi!$C$15),1,$C8))*(INDEX(_xlfn.ANCHORARRAY(Sintesi!$C$15),1,$C8)&gt;0),1,IF(($E8&gt;=LOOKUP(2,1/($E:$E&lt;&gt;""),$E:$E))*($E8&lt;=INDEX($E:$E,MATCH(TRUE,INDEX((ISNUMBER($E:$E)),0),0)))*($E8&gt;INDEX(_xlfn.ANCHORARRAY(Sintesi!$C$14),1,$C8))*($E8&lt;INDEX(_xlfn.ANCHORARRAY(Sintesi!$C$16),1,$C8))*(INDEX(_xlfn.ANCHORARRAY(Sintesi!$C$15),1,$C8)&lt;0)+($E8&gt;=LOOKUP(2,1/($E:$E&lt;&gt;""),$E:$E))*($E8&lt;=INDEX($E:$E,MATCH(TRUE,INDEX((ISNUMBER($E:$E)),0),0)))*($E8&gt;INDEX(_xlfn.ANCHORARRAY(Sintesi!$C$15),1,$C8))*($E8&lt;INDEX(_xlfn.ANCHORARRAY(Sintesi!$C$16),1,$C8))*(INDEX(_xlfn.ANCHORARRAY(Sintesi!$C$15),1,$C8)&gt;0),2,IF($E8=(INDEX(_xlfn.ANCHORARRAY(Sintesi!$C$16),1,$C8)),3,4)))),0)),IF(ISNUMBER($E7),IF($C8&gt;0,IF(($E8=INDEX(_xlfn.ANCHORARRAY(Sintesi!$C$14),1,$C8))*(INDEX(_xlfn.ANCHORARRAY(Sintesi!$C$15),1,$C8)&gt;0),0,IF(($E8=INDEX(_xlfn.ANCHORARRAY(Sintesi!$C$14),1,$C8))*(INDEX(_xlfn.ANCHORARRAY(Sintesi!$C$15),1,$C8)&lt;0)+($E8&gt;=$E7)*($E8&lt;=$E9)*($E8&gt;INDEX(_xlfn.ANCHORARRAY(Sintesi!$C$14),1,$C8))*($E8&lt;=INDEX(_xlfn.ANCHORARRAY(Sintesi!$C$15),1,$C8))*(INDEX(_xlfn.ANCHORARRAY(Sintesi!$C$15),1,$C8)&gt;0),1,IF(($E8&gt;=$E7)*($E8&lt;=$E9)*($E8&gt;INDEX(_xlfn.ANCHORARRAY(Sintesi!$C$14),1,$C8))*($E8&lt;INDEX(_xlfn.ANCHORARRAY(Sintesi!$C$16),1,$C8))*(INDEX(_xlfn.ANCHORARRAY(Sintesi!$C$15),1,$C8)&lt;0)+($E8&gt;=$E7)*($E8&lt;=$E9)*($E8&gt;INDEX(_xlfn.ANCHORARRAY(Sintesi!$C$15),1,$C8))*($E8&lt;INDEX(_xlfn.ANCHORARRAY(Sintesi!$C$16),1,$C8))*(INDEX(_xlfn.ANCHORARRAY(Sintesi!$C$15),1,$C8)&gt;0),2,IF($E8=(INDEX(_xlfn.ANCHORARRAY(Sintesi!$C$16),1,$C8)),3,4)))),0),IF($C8&gt;0,IF(($E8=INDEX(_xlfn.ANCHORARRAY(Sintesi!$C$14),1,$C8))*(INDEX(_xlfn.ANCHORARRAY(Sintesi!$C$15),1,$C8)&gt;0),0,IF(($E8=INDEX(_xlfn.ANCHORARRAY(Sintesi!$C$14),1,$C8))*(INDEX(_xlfn.ANCHORARRAY(Sintesi!$C$15),1,$C8)&lt;0)+($E8&gt;=LOOKUP(2,1/($E:$E&lt;&gt;""),$E:$E))*($E8&lt;=$E9)*($E8&gt;INDEX(_xlfn.ANCHORARRAY(Sintesi!$C$14),1,$C8))*($E8&lt;=INDEX(_xlfn.ANCHORARRAY(Sintesi!$C$15),1,$C8))*(INDEX(_xlfn.ANCHORARRAY(Sintesi!$C$15),1,$C8)&gt;0),1,IF(($E8&gt;=LOOKUP(2,1/($E:$E&lt;&gt;""),$E:$E))*($E8&lt;=$E9)*($E8&gt;INDEX(_xlfn.ANCHORARRAY(Sintesi!$C$14),1,$C8))*($E8&lt;INDEX(_xlfn.ANCHORARRAY(Sintesi!$C$16),1,$C8))*(INDEX(_xlfn.ANCHORARRAY(Sintesi!$C$15),1,$C8)&lt;0)+($E8&gt;=LOOKUP(2,1/($E:$E&lt;&gt;""),$E:$E))*($E8&lt;=$E9)*($E8&gt;INDEX(_xlfn.ANCHORARRAY(Sintesi!$C$15),1,$C8))*($E8&lt;INDEX(_xlfn.ANCHORARRAY(Sintesi!$C$16),1,$C8))*(INDEX(_xlfn.ANCHORARRAY(Sintesi!$C$15),1,$C8)&gt;0),2,IF($E8=(INDEX(_xlfn.ANCHORARRAY(Sintesi!$C$16),1,$C8)),3,4)))),0)))</f>
        <v>0</v>
      </c>
      <c r="E8" s="1">
        <f>'Paste cell here'!F8</f>
        <v>0</v>
      </c>
      <c r="F8" s="1">
        <f>'Paste cell here'!C8</f>
        <v>6.5999999999998931</v>
      </c>
      <c r="G8" s="1">
        <f>'Paste cell here'!D8</f>
        <v>1.8199999999999732</v>
      </c>
      <c r="H8" s="1">
        <f>'Paste cell here'!E8</f>
        <v>0.38470107276590348</v>
      </c>
      <c r="I8" s="1">
        <f>'Paste cell here'!X8</f>
        <v>0</v>
      </c>
      <c r="J8" s="1">
        <f>'Paste cell here'!Y8+'Paste cell here'!S8</f>
        <v>0</v>
      </c>
      <c r="K8" s="1">
        <f t="shared" si="0"/>
        <v>0</v>
      </c>
      <c r="L8" s="1">
        <f t="shared" si="1"/>
        <v>4.8668674403859189</v>
      </c>
      <c r="M8" s="1">
        <f t="array" ref="M8">IF(AND(A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8&gt;=_xlfn.ANCHORARRAY(Sintesi!$C$9))+(_xlfn.ANCHORARRAY(Sintesi!$C$9)&gt;_xlfn.ANCHORARRAY(Sintesi!$C$10))*(A8&lt;=_xlfn.ANCHORARRAY(Sintesi!$C$10))+(_xlfn.ANCHORARRAY(Sintesi!$C$9)&lt;_xlfn.ANCHORARRAY(Sintesi!$C$10))*(A8&gt;=_xlfn.ANCHORARRAY(Sintesi!$C$9))*(A8&lt;=_xlfn.ANCHORARRAY(Sintesi!$C$10)),0)),0),A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9&gt;=_xlfn.ANCHORARRAY(Sintesi!$C$9))+(_xlfn.ANCHORARRAY(Sintesi!$C$9)&gt;_xlfn.ANCHORARRAY(Sintesi!$C$10))*(A9&lt;=_xlfn.ANCHORARRAY(Sintesi!$C$10))+(_xlfn.ANCHORARRAY(Sintesi!$C$9)&lt;_xlfn.ANCHORARRAY(Sintesi!$C$10))*(A9&gt;=_xlfn.ANCHORARRAY(Sintesi!$C$9))*(A9&lt;=_xlfn.ANCHORARRAY(Sintesi!$C$10)),0)),0)),IF(L8&lt;_xlfn.IFNA(INDEX(_xlfn.ANCHORARRAY(Sintesi!$C$17),1,MATCH(1,(_xlfn.ANCHORARRAY(Sintesi!$C$9)&gt;_xlfn.ANCHORARRAY(Sintesi!$C$10))*(A7&gt;=_xlfn.ANCHORARRAY(Sintesi!$C$9))+(_xlfn.ANCHORARRAY(Sintesi!$C$9)&gt;_xlfn.ANCHORARRAY(Sintesi!$C$10))*(A7&lt;=_xlfn.ANCHORARRAY(Sintesi!$C$10))+(_xlfn.ANCHORARRAY(Sintesi!$C$9)&lt;_xlfn.ANCHORARRAY(Sintesi!$C$10))*(A7&gt;=_xlfn.ANCHORARRAY(Sintesi!$C$9))*(A7&lt;=_xlfn.ANCHORARRAY(Sintesi!$C$10)),0)),0),1,IF(L8&gt;=_xlfn.IFNA(INDEX(_xlfn.ANCHORARRAY(Sintesi!$C$18),1,MATCH(1,(_xlfn.ANCHORARRAY(Sintesi!$C$9)&gt;_xlfn.ANCHORARRAY(Sintesi!$C$10))*(A7&gt;=_xlfn.ANCHORARRAY(Sintesi!$C$9))+(_xlfn.ANCHORARRAY(Sintesi!$C$9)&gt;_xlfn.ANCHORARRAY(Sintesi!$C$10))*(A7&lt;=_xlfn.ANCHORARRAY(Sintesi!$C$10))+(_xlfn.ANCHORARRAY(Sintesi!$C$9)&lt;_xlfn.ANCHORARRAY(Sintesi!$C$10))*(A7&gt;=_xlfn.ANCHORARRAY(Sintesi!$C$9))*(A7&lt;=_xlfn.ANCHORARRAY(Sintesi!$C$10)),0)),0),0,1-(L8-_xlfn.IFNA(INDEX(_xlfn.ANCHORARRAY(Sintesi!$C$17),1,MATCH(1,(_xlfn.ANCHORARRAY(Sintesi!$C$9)&gt;_xlfn.ANCHORARRAY(Sintesi!$C$10))*(A7&gt;=_xlfn.ANCHORARRAY(Sintesi!$C$9))+(_xlfn.ANCHORARRAY(Sintesi!$C$9)&gt;_xlfn.ANCHORARRAY(Sintesi!$C$10))*(A7&lt;=_xlfn.ANCHORARRAY(Sintesi!$C$10))+(_xlfn.ANCHORARRAY(Sintesi!$C$9)&lt;_xlfn.ANCHORARRAY(Sintesi!$C$10))*(A7&gt;=_xlfn.ANCHORARRAY(Sintesi!$C$9))*(A7&lt;=_xlfn.ANCHORARRAY(Sintesi!$C$10)),0)),0))/(_xlfn.IFNA(INDEX(_xlfn.ANCHORARRAY(Sintesi!$C$18),1,MATCH(1,(_xlfn.ANCHORARRAY(Sintesi!$C$9)&gt;_xlfn.ANCHORARRAY(Sintesi!$C$10))*(A7&gt;=_xlfn.ANCHORARRAY(Sintesi!$C$9))+(_xlfn.ANCHORARRAY(Sintesi!$C$9)&gt;_xlfn.ANCHORARRAY(Sintesi!$C$10))*(A7&lt;=_xlfn.ANCHORARRAY(Sintesi!$C$10))+(_xlfn.ANCHORARRAY(Sintesi!$C$9)&lt;_xlfn.ANCHORARRAY(Sintesi!$C$10))*(A7&gt;=_xlfn.ANCHORARRAY(Sintesi!$C$9))*(A7&lt;=_xlfn.ANCHORARRAY(Sintesi!$C$10)),0)),0)-_xlfn.IFNA(INDEX(_xlfn.ANCHORARRAY(Sintesi!$C$17),1,MATCH(1,(_xlfn.ANCHORARRAY(Sintesi!$C$9)&gt;_xlfn.ANCHORARRAY(Sintesi!$C$10))*(A7&gt;=_xlfn.ANCHORARRAY(Sintesi!$C$9))+(_xlfn.ANCHORARRAY(Sintesi!$C$9)&gt;_xlfn.ANCHORARRAY(Sintesi!$C$10))*(A7&lt;=_xlfn.ANCHORARRAY(Sintesi!$C$10))+(_xlfn.ANCHORARRAY(Sintesi!$C$9)&lt;_xlfn.ANCHORARRAY(Sintesi!$C$10))*(A7&gt;=_xlfn.ANCHORARRAY(Sintesi!$C$9))*(A7&lt;=_xlfn.ANCHORARRAY(Sintesi!$C$10)),0)),0)))),0)</f>
        <v>0</v>
      </c>
      <c r="O8" s="14">
        <v>7</v>
      </c>
      <c r="P8" s="14">
        <v>15</v>
      </c>
      <c r="Q8" s="14">
        <v>4</v>
      </c>
    </row>
    <row r="9" spans="1:18" ht="11.25" customHeight="1">
      <c r="A9" s="1">
        <f>'Paste cell here'!A9</f>
        <v>8</v>
      </c>
      <c r="B9" s="2">
        <f>DATE(Sintesi!$C$4-1,12,31)+A9</f>
        <v>44204</v>
      </c>
      <c r="C9" s="34">
        <f t="array" ref="C9">_xlfn.IFNA(MATCH(1,((_xlfn.ANCHORARRAY(Sintesi!$C$9)&gt;_xlfn.ANCHORARRAY(Sintesi!$C$10))*(A9&gt;=_xlfn.ANCHORARRAY(Sintesi!$C$9))+(_xlfn.ANCHORARRAY(Sintesi!$C$9)&gt;_xlfn.ANCHORARRAY(Sintesi!$C$10))*(A9&lt;=_xlfn.ANCHORARRAY(Sintesi!$C$10))+(_xlfn.ANCHORARRAY(Sintesi!$C$9)&lt;_xlfn.ANCHORARRAY(Sintesi!$C$10))*(A9&gt;=_xlfn.ANCHORARRAY(Sintesi!$C$9))*(A9&lt;=_xlfn.ANCHORARRAY(Sintesi!$C$10)))*(_xlfn.ANCHORARRAY(Sintesi!$C$15)&gt;=0)+(_xlfn.ANCHORARRAY(Sintesi!$C$15)&lt;0),0),0)</f>
        <v>0</v>
      </c>
      <c r="D9" s="1">
        <f t="array" ref="D9">IF(ISBLANK($E10),IF(ISNUMBER($E8),IF($C9&gt;0,IF(($E9=INDEX(_xlfn.ANCHORARRAY(Sintesi!$C$14),1,$C9))*(INDEX(_xlfn.ANCHORARRAY(Sintesi!$C$15),1,$C9)&gt;0),0,IF(($E9=INDEX(_xlfn.ANCHORARRAY(Sintesi!$C$14),1,$C9))*(INDEX(_xlfn.ANCHORARRAY(Sintesi!$C$15),1,$C9)&lt;0)+($E9&gt;=$E8)*($E9&lt;=INDEX($E:$E,MATCH(TRUE,INDEX((ISNUMBER($E:$E)),0),0)))*($E9&gt;INDEX(_xlfn.ANCHORARRAY(Sintesi!$C$14),1,$C9))*($E9&lt;=INDEX(_xlfn.ANCHORARRAY(Sintesi!$C$15),1,$C9))*(INDEX(_xlfn.ANCHORARRAY(Sintesi!$C$15),1,$C9)&gt;0),1,IF(($E9&gt;=$E8)*($E9&lt;=INDEX($E:$E,MATCH(TRUE,INDEX((ISNUMBER($E:$E)),0),0)))*($E9&gt;INDEX(_xlfn.ANCHORARRAY(Sintesi!$C$14),1,$C9))*($E9&lt;INDEX(_xlfn.ANCHORARRAY(Sintesi!$C$16),1,$C9))*(INDEX(_xlfn.ANCHORARRAY(Sintesi!$C$15),1,$C9)&lt;0)+($E9&gt;=$E8)*($E9&lt;=INDEX($E:$E,MATCH(TRUE,INDEX((ISNUMBER($E:$E)),0),0)))*($E9&gt;INDEX(_xlfn.ANCHORARRAY(Sintesi!$C$15),1,$C9))*($E9&lt;INDEX(_xlfn.ANCHORARRAY(Sintesi!$C$16),1,$C9))*(INDEX(_xlfn.ANCHORARRAY(Sintesi!$C$15),1,$C9)&gt;0),2,IF($E9=(INDEX(_xlfn.ANCHORARRAY(Sintesi!$C$16),1,$C9)),3,4)))),0),IF($C9&gt;0,IF(($E9=INDEX(_xlfn.ANCHORARRAY(Sintesi!$C$14),1,$C9))*(INDEX(_xlfn.ANCHORARRAY(Sintesi!$C$15),1,$C9)&gt;0),0,IF(($E9=INDEX(_xlfn.ANCHORARRAY(Sintesi!$C$14),1,$C9))*(INDEX(_xlfn.ANCHORARRAY(Sintesi!$C$15),1,$C9)&lt;0)+($E9&gt;=LOOKUP(2,1/($E:$E&lt;&gt;""),$E:$E))*($E9&lt;=INDEX($E:$E,MATCH(TRUE,INDEX((ISNUMBER($E:$E)),0),0)))*($E9&gt;INDEX(_xlfn.ANCHORARRAY(Sintesi!$C$14),1,$C9))*($E9&lt;=INDEX(_xlfn.ANCHORARRAY(Sintesi!$C$15),1,$C9))*(INDEX(_xlfn.ANCHORARRAY(Sintesi!$C$15),1,$C9)&gt;0),1,IF(($E9&gt;=LOOKUP(2,1/($E:$E&lt;&gt;""),$E:$E))*($E9&lt;=INDEX($E:$E,MATCH(TRUE,INDEX((ISNUMBER($E:$E)),0),0)))*($E9&gt;INDEX(_xlfn.ANCHORARRAY(Sintesi!$C$14),1,$C9))*($E9&lt;INDEX(_xlfn.ANCHORARRAY(Sintesi!$C$16),1,$C9))*(INDEX(_xlfn.ANCHORARRAY(Sintesi!$C$15),1,$C9)&lt;0)+($E9&gt;=LOOKUP(2,1/($E:$E&lt;&gt;""),$E:$E))*($E9&lt;=INDEX($E:$E,MATCH(TRUE,INDEX((ISNUMBER($E:$E)),0),0)))*($E9&gt;INDEX(_xlfn.ANCHORARRAY(Sintesi!$C$15),1,$C9))*($E9&lt;INDEX(_xlfn.ANCHORARRAY(Sintesi!$C$16),1,$C9))*(INDEX(_xlfn.ANCHORARRAY(Sintesi!$C$15),1,$C9)&gt;0),2,IF($E9=(INDEX(_xlfn.ANCHORARRAY(Sintesi!$C$16),1,$C9)),3,4)))),0)),IF(ISNUMBER($E8),IF($C9&gt;0,IF(($E9=INDEX(_xlfn.ANCHORARRAY(Sintesi!$C$14),1,$C9))*(INDEX(_xlfn.ANCHORARRAY(Sintesi!$C$15),1,$C9)&gt;0),0,IF(($E9=INDEX(_xlfn.ANCHORARRAY(Sintesi!$C$14),1,$C9))*(INDEX(_xlfn.ANCHORARRAY(Sintesi!$C$15),1,$C9)&lt;0)+($E9&gt;=$E8)*($E9&lt;=$E10)*($E9&gt;INDEX(_xlfn.ANCHORARRAY(Sintesi!$C$14),1,$C9))*($E9&lt;=INDEX(_xlfn.ANCHORARRAY(Sintesi!$C$15),1,$C9))*(INDEX(_xlfn.ANCHORARRAY(Sintesi!$C$15),1,$C9)&gt;0),1,IF(($E9&gt;=$E8)*($E9&lt;=$E10)*($E9&gt;INDEX(_xlfn.ANCHORARRAY(Sintesi!$C$14),1,$C9))*($E9&lt;INDEX(_xlfn.ANCHORARRAY(Sintesi!$C$16),1,$C9))*(INDEX(_xlfn.ANCHORARRAY(Sintesi!$C$15),1,$C9)&lt;0)+($E9&gt;=$E8)*($E9&lt;=$E10)*($E9&gt;INDEX(_xlfn.ANCHORARRAY(Sintesi!$C$15),1,$C9))*($E9&lt;INDEX(_xlfn.ANCHORARRAY(Sintesi!$C$16),1,$C9))*(INDEX(_xlfn.ANCHORARRAY(Sintesi!$C$15),1,$C9)&gt;0),2,IF($E9=(INDEX(_xlfn.ANCHORARRAY(Sintesi!$C$16),1,$C9)),3,4)))),0),IF($C9&gt;0,IF(($E9=INDEX(_xlfn.ANCHORARRAY(Sintesi!$C$14),1,$C9))*(INDEX(_xlfn.ANCHORARRAY(Sintesi!$C$15),1,$C9)&gt;0),0,IF(($E9=INDEX(_xlfn.ANCHORARRAY(Sintesi!$C$14),1,$C9))*(INDEX(_xlfn.ANCHORARRAY(Sintesi!$C$15),1,$C9)&lt;0)+($E9&gt;=LOOKUP(2,1/($E:$E&lt;&gt;""),$E:$E))*($E9&lt;=$E10)*($E9&gt;INDEX(_xlfn.ANCHORARRAY(Sintesi!$C$14),1,$C9))*($E9&lt;=INDEX(_xlfn.ANCHORARRAY(Sintesi!$C$15),1,$C9))*(INDEX(_xlfn.ANCHORARRAY(Sintesi!$C$15),1,$C9)&gt;0),1,IF(($E9&gt;=LOOKUP(2,1/($E:$E&lt;&gt;""),$E:$E))*($E9&lt;=$E10)*($E9&gt;INDEX(_xlfn.ANCHORARRAY(Sintesi!$C$14),1,$C9))*($E9&lt;INDEX(_xlfn.ANCHORARRAY(Sintesi!$C$16),1,$C9))*(INDEX(_xlfn.ANCHORARRAY(Sintesi!$C$15),1,$C9)&lt;0)+($E9&gt;=LOOKUP(2,1/($E:$E&lt;&gt;""),$E:$E))*($E9&lt;=$E10)*($E9&gt;INDEX(_xlfn.ANCHORARRAY(Sintesi!$C$15),1,$C9))*($E9&lt;INDEX(_xlfn.ANCHORARRAY(Sintesi!$C$16),1,$C9))*(INDEX(_xlfn.ANCHORARRAY(Sintesi!$C$15),1,$C9)&gt;0),2,IF($E9=(INDEX(_xlfn.ANCHORARRAY(Sintesi!$C$16),1,$C9)),3,4)))),0)))</f>
        <v>0</v>
      </c>
      <c r="E9" s="1">
        <f>'Paste cell here'!F9</f>
        <v>0</v>
      </c>
      <c r="F9" s="1">
        <f>'Paste cell here'!C9</f>
        <v>6.6199999999999006</v>
      </c>
      <c r="G9" s="1">
        <f>'Paste cell here'!D9</f>
        <v>-2.2599999999999612</v>
      </c>
      <c r="H9" s="1">
        <f>'Paste cell here'!E9</f>
        <v>0.15715295740200816</v>
      </c>
      <c r="I9" s="1">
        <f>'Paste cell here'!X9</f>
        <v>0</v>
      </c>
      <c r="J9" s="1">
        <f>'Paste cell here'!Y9+'Paste cell here'!S9</f>
        <v>0</v>
      </c>
      <c r="K9" s="1">
        <f t="shared" si="0"/>
        <v>0</v>
      </c>
      <c r="L9" s="1">
        <f t="shared" si="1"/>
        <v>3.4002893034785378</v>
      </c>
      <c r="M9" s="1">
        <f t="array" ref="M9">IF(AND(A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9&gt;=_xlfn.ANCHORARRAY(Sintesi!$C$9))+(_xlfn.ANCHORARRAY(Sintesi!$C$9)&gt;_xlfn.ANCHORARRAY(Sintesi!$C$10))*(A9&lt;=_xlfn.ANCHORARRAY(Sintesi!$C$10))+(_xlfn.ANCHORARRAY(Sintesi!$C$9)&lt;_xlfn.ANCHORARRAY(Sintesi!$C$10))*(A9&gt;=_xlfn.ANCHORARRAY(Sintesi!$C$9))*(A9&lt;=_xlfn.ANCHORARRAY(Sintesi!$C$10)),0)),0),A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10&gt;=_xlfn.ANCHORARRAY(Sintesi!$C$9))+(_xlfn.ANCHORARRAY(Sintesi!$C$9)&gt;_xlfn.ANCHORARRAY(Sintesi!$C$10))*(A10&lt;=_xlfn.ANCHORARRAY(Sintesi!$C$10))+(_xlfn.ANCHORARRAY(Sintesi!$C$9)&lt;_xlfn.ANCHORARRAY(Sintesi!$C$10))*(A10&gt;=_xlfn.ANCHORARRAY(Sintesi!$C$9))*(A10&lt;=_xlfn.ANCHORARRAY(Sintesi!$C$10)),0)),0)),IF(L9&lt;_xlfn.IFNA(INDEX(_xlfn.ANCHORARRAY(Sintesi!$C$17),1,MATCH(1,(_xlfn.ANCHORARRAY(Sintesi!$C$9)&gt;_xlfn.ANCHORARRAY(Sintesi!$C$10))*(A8&gt;=_xlfn.ANCHORARRAY(Sintesi!$C$9))+(_xlfn.ANCHORARRAY(Sintesi!$C$9)&gt;_xlfn.ANCHORARRAY(Sintesi!$C$10))*(A8&lt;=_xlfn.ANCHORARRAY(Sintesi!$C$10))+(_xlfn.ANCHORARRAY(Sintesi!$C$9)&lt;_xlfn.ANCHORARRAY(Sintesi!$C$10))*(A8&gt;=_xlfn.ANCHORARRAY(Sintesi!$C$9))*(A8&lt;=_xlfn.ANCHORARRAY(Sintesi!$C$10)),0)),0),1,IF(L9&gt;=_xlfn.IFNA(INDEX(_xlfn.ANCHORARRAY(Sintesi!$C$18),1,MATCH(1,(_xlfn.ANCHORARRAY(Sintesi!$C$9)&gt;_xlfn.ANCHORARRAY(Sintesi!$C$10))*(A8&gt;=_xlfn.ANCHORARRAY(Sintesi!$C$9))+(_xlfn.ANCHORARRAY(Sintesi!$C$9)&gt;_xlfn.ANCHORARRAY(Sintesi!$C$10))*(A8&lt;=_xlfn.ANCHORARRAY(Sintesi!$C$10))+(_xlfn.ANCHORARRAY(Sintesi!$C$9)&lt;_xlfn.ANCHORARRAY(Sintesi!$C$10))*(A8&gt;=_xlfn.ANCHORARRAY(Sintesi!$C$9))*(A8&lt;=_xlfn.ANCHORARRAY(Sintesi!$C$10)),0)),0),0,1-(L9-_xlfn.IFNA(INDEX(_xlfn.ANCHORARRAY(Sintesi!$C$17),1,MATCH(1,(_xlfn.ANCHORARRAY(Sintesi!$C$9)&gt;_xlfn.ANCHORARRAY(Sintesi!$C$10))*(A8&gt;=_xlfn.ANCHORARRAY(Sintesi!$C$9))+(_xlfn.ANCHORARRAY(Sintesi!$C$9)&gt;_xlfn.ANCHORARRAY(Sintesi!$C$10))*(A8&lt;=_xlfn.ANCHORARRAY(Sintesi!$C$10))+(_xlfn.ANCHORARRAY(Sintesi!$C$9)&lt;_xlfn.ANCHORARRAY(Sintesi!$C$10))*(A8&gt;=_xlfn.ANCHORARRAY(Sintesi!$C$9))*(A8&lt;=_xlfn.ANCHORARRAY(Sintesi!$C$10)),0)),0))/(_xlfn.IFNA(INDEX(_xlfn.ANCHORARRAY(Sintesi!$C$18),1,MATCH(1,(_xlfn.ANCHORARRAY(Sintesi!$C$9)&gt;_xlfn.ANCHORARRAY(Sintesi!$C$10))*(A8&gt;=_xlfn.ANCHORARRAY(Sintesi!$C$9))+(_xlfn.ANCHORARRAY(Sintesi!$C$9)&gt;_xlfn.ANCHORARRAY(Sintesi!$C$10))*(A8&lt;=_xlfn.ANCHORARRAY(Sintesi!$C$10))+(_xlfn.ANCHORARRAY(Sintesi!$C$9)&lt;_xlfn.ANCHORARRAY(Sintesi!$C$10))*(A8&gt;=_xlfn.ANCHORARRAY(Sintesi!$C$9))*(A8&lt;=_xlfn.ANCHORARRAY(Sintesi!$C$10)),0)),0)-_xlfn.IFNA(INDEX(_xlfn.ANCHORARRAY(Sintesi!$C$17),1,MATCH(1,(_xlfn.ANCHORARRAY(Sintesi!$C$9)&gt;_xlfn.ANCHORARRAY(Sintesi!$C$10))*(A8&gt;=_xlfn.ANCHORARRAY(Sintesi!$C$9))+(_xlfn.ANCHORARRAY(Sintesi!$C$9)&gt;_xlfn.ANCHORARRAY(Sintesi!$C$10))*(A8&lt;=_xlfn.ANCHORARRAY(Sintesi!$C$10))+(_xlfn.ANCHORARRAY(Sintesi!$C$9)&lt;_xlfn.ANCHORARRAY(Sintesi!$C$10))*(A8&gt;=_xlfn.ANCHORARRAY(Sintesi!$C$9))*(A8&lt;=_xlfn.ANCHORARRAY(Sintesi!$C$10)),0)),0)))),0)</f>
        <v>0</v>
      </c>
      <c r="N9" s="32"/>
      <c r="O9" s="14">
        <v>8</v>
      </c>
      <c r="P9" s="14">
        <v>15</v>
      </c>
      <c r="Q9" s="14">
        <v>5</v>
      </c>
    </row>
    <row r="10" spans="1:18">
      <c r="A10" s="1">
        <f>'Paste cell here'!A10</f>
        <v>9</v>
      </c>
      <c r="B10" s="2">
        <f>DATE(Sintesi!$C$4-1,12,31)+A10</f>
        <v>44205</v>
      </c>
      <c r="C10" s="34">
        <f t="array" ref="C10">_xlfn.IFNA(MATCH(1,((_xlfn.ANCHORARRAY(Sintesi!$C$9)&gt;_xlfn.ANCHORARRAY(Sintesi!$C$10))*(A10&gt;=_xlfn.ANCHORARRAY(Sintesi!$C$9))+(_xlfn.ANCHORARRAY(Sintesi!$C$9)&gt;_xlfn.ANCHORARRAY(Sintesi!$C$10))*(A10&lt;=_xlfn.ANCHORARRAY(Sintesi!$C$10))+(_xlfn.ANCHORARRAY(Sintesi!$C$9)&lt;_xlfn.ANCHORARRAY(Sintesi!$C$10))*(A10&gt;=_xlfn.ANCHORARRAY(Sintesi!$C$9))*(A10&lt;=_xlfn.ANCHORARRAY(Sintesi!$C$10)))*(_xlfn.ANCHORARRAY(Sintesi!$C$15)&gt;=0)+(_xlfn.ANCHORARRAY(Sintesi!$C$15)&lt;0),0),0)</f>
        <v>0</v>
      </c>
      <c r="D10" s="1">
        <f t="array" ref="D10">IF(ISBLANK($E11),IF(ISNUMBER($E9),IF($C10&gt;0,IF(($E10=INDEX(_xlfn.ANCHORARRAY(Sintesi!$C$14),1,$C10))*(INDEX(_xlfn.ANCHORARRAY(Sintesi!$C$15),1,$C10)&gt;0),0,IF(($E10=INDEX(_xlfn.ANCHORARRAY(Sintesi!$C$14),1,$C10))*(INDEX(_xlfn.ANCHORARRAY(Sintesi!$C$15),1,$C10)&lt;0)+($E10&gt;=$E9)*($E10&lt;=INDEX($E:$E,MATCH(TRUE,INDEX((ISNUMBER($E:$E)),0),0)))*($E10&gt;INDEX(_xlfn.ANCHORARRAY(Sintesi!$C$14),1,$C10))*($E10&lt;=INDEX(_xlfn.ANCHORARRAY(Sintesi!$C$15),1,$C10))*(INDEX(_xlfn.ANCHORARRAY(Sintesi!$C$15),1,$C10)&gt;0),1,IF(($E10&gt;=$E9)*($E10&lt;=INDEX($E:$E,MATCH(TRUE,INDEX((ISNUMBER($E:$E)),0),0)))*($E10&gt;INDEX(_xlfn.ANCHORARRAY(Sintesi!$C$14),1,$C10))*($E10&lt;INDEX(_xlfn.ANCHORARRAY(Sintesi!$C$16),1,$C10))*(INDEX(_xlfn.ANCHORARRAY(Sintesi!$C$15),1,$C10)&lt;0)+($E10&gt;=$E9)*($E10&lt;=INDEX($E:$E,MATCH(TRUE,INDEX((ISNUMBER($E:$E)),0),0)))*($E10&gt;INDEX(_xlfn.ANCHORARRAY(Sintesi!$C$15),1,$C10))*($E10&lt;INDEX(_xlfn.ANCHORARRAY(Sintesi!$C$16),1,$C10))*(INDEX(_xlfn.ANCHORARRAY(Sintesi!$C$15),1,$C10)&gt;0),2,IF($E10=(INDEX(_xlfn.ANCHORARRAY(Sintesi!$C$16),1,$C10)),3,4)))),0),IF($C10&gt;0,IF(($E10=INDEX(_xlfn.ANCHORARRAY(Sintesi!$C$14),1,$C10))*(INDEX(_xlfn.ANCHORARRAY(Sintesi!$C$15),1,$C10)&gt;0),0,IF(($E10=INDEX(_xlfn.ANCHORARRAY(Sintesi!$C$14),1,$C10))*(INDEX(_xlfn.ANCHORARRAY(Sintesi!$C$15),1,$C10)&lt;0)+($E10&gt;=LOOKUP(2,1/($E:$E&lt;&gt;""),$E:$E))*($E10&lt;=INDEX($E:$E,MATCH(TRUE,INDEX((ISNUMBER($E:$E)),0),0)))*($E10&gt;INDEX(_xlfn.ANCHORARRAY(Sintesi!$C$14),1,$C10))*($E10&lt;=INDEX(_xlfn.ANCHORARRAY(Sintesi!$C$15),1,$C10))*(INDEX(_xlfn.ANCHORARRAY(Sintesi!$C$15),1,$C10)&gt;0),1,IF(($E10&gt;=LOOKUP(2,1/($E:$E&lt;&gt;""),$E:$E))*($E10&lt;=INDEX($E:$E,MATCH(TRUE,INDEX((ISNUMBER($E:$E)),0),0)))*($E10&gt;INDEX(_xlfn.ANCHORARRAY(Sintesi!$C$14),1,$C10))*($E10&lt;INDEX(_xlfn.ANCHORARRAY(Sintesi!$C$16),1,$C10))*(INDEX(_xlfn.ANCHORARRAY(Sintesi!$C$15),1,$C10)&lt;0)+($E10&gt;=LOOKUP(2,1/($E:$E&lt;&gt;""),$E:$E))*($E10&lt;=INDEX($E:$E,MATCH(TRUE,INDEX((ISNUMBER($E:$E)),0),0)))*($E10&gt;INDEX(_xlfn.ANCHORARRAY(Sintesi!$C$15),1,$C10))*($E10&lt;INDEX(_xlfn.ANCHORARRAY(Sintesi!$C$16),1,$C10))*(INDEX(_xlfn.ANCHORARRAY(Sintesi!$C$15),1,$C10)&gt;0),2,IF($E10=(INDEX(_xlfn.ANCHORARRAY(Sintesi!$C$16),1,$C10)),3,4)))),0)),IF(ISNUMBER($E9),IF($C10&gt;0,IF(($E10=INDEX(_xlfn.ANCHORARRAY(Sintesi!$C$14),1,$C10))*(INDEX(_xlfn.ANCHORARRAY(Sintesi!$C$15),1,$C10)&gt;0),0,IF(($E10=INDEX(_xlfn.ANCHORARRAY(Sintesi!$C$14),1,$C10))*(INDEX(_xlfn.ANCHORARRAY(Sintesi!$C$15),1,$C10)&lt;0)+($E10&gt;=$E9)*($E10&lt;=$E11)*($E10&gt;INDEX(_xlfn.ANCHORARRAY(Sintesi!$C$14),1,$C10))*($E10&lt;=INDEX(_xlfn.ANCHORARRAY(Sintesi!$C$15),1,$C10))*(INDEX(_xlfn.ANCHORARRAY(Sintesi!$C$15),1,$C10)&gt;0),1,IF(($E10&gt;=$E9)*($E10&lt;=$E11)*($E10&gt;INDEX(_xlfn.ANCHORARRAY(Sintesi!$C$14),1,$C10))*($E10&lt;INDEX(_xlfn.ANCHORARRAY(Sintesi!$C$16),1,$C10))*(INDEX(_xlfn.ANCHORARRAY(Sintesi!$C$15),1,$C10)&lt;0)+($E10&gt;=$E9)*($E10&lt;=$E11)*($E10&gt;INDEX(_xlfn.ANCHORARRAY(Sintesi!$C$15),1,$C10))*($E10&lt;INDEX(_xlfn.ANCHORARRAY(Sintesi!$C$16),1,$C10))*(INDEX(_xlfn.ANCHORARRAY(Sintesi!$C$15),1,$C10)&gt;0),2,IF($E10=(INDEX(_xlfn.ANCHORARRAY(Sintesi!$C$16),1,$C10)),3,4)))),0),IF($C10&gt;0,IF(($E10=INDEX(_xlfn.ANCHORARRAY(Sintesi!$C$14),1,$C10))*(INDEX(_xlfn.ANCHORARRAY(Sintesi!$C$15),1,$C10)&gt;0),0,IF(($E10=INDEX(_xlfn.ANCHORARRAY(Sintesi!$C$14),1,$C10))*(INDEX(_xlfn.ANCHORARRAY(Sintesi!$C$15),1,$C10)&lt;0)+($E10&gt;=LOOKUP(2,1/($E:$E&lt;&gt;""),$E:$E))*($E10&lt;=$E11)*($E10&gt;INDEX(_xlfn.ANCHORARRAY(Sintesi!$C$14),1,$C10))*($E10&lt;=INDEX(_xlfn.ANCHORARRAY(Sintesi!$C$15),1,$C10))*(INDEX(_xlfn.ANCHORARRAY(Sintesi!$C$15),1,$C10)&gt;0),1,IF(($E10&gt;=LOOKUP(2,1/($E:$E&lt;&gt;""),$E:$E))*($E10&lt;=$E11)*($E10&gt;INDEX(_xlfn.ANCHORARRAY(Sintesi!$C$14),1,$C10))*($E10&lt;INDEX(_xlfn.ANCHORARRAY(Sintesi!$C$16),1,$C10))*(INDEX(_xlfn.ANCHORARRAY(Sintesi!$C$15),1,$C10)&lt;0)+($E10&gt;=LOOKUP(2,1/($E:$E&lt;&gt;""),$E:$E))*($E10&lt;=$E11)*($E10&gt;INDEX(_xlfn.ANCHORARRAY(Sintesi!$C$15),1,$C10))*($E10&lt;INDEX(_xlfn.ANCHORARRAY(Sintesi!$C$16),1,$C10))*(INDEX(_xlfn.ANCHORARRAY(Sintesi!$C$15),1,$C10)&gt;0),2,IF($E10=(INDEX(_xlfn.ANCHORARRAY(Sintesi!$C$16),1,$C10)),3,4)))),0)))</f>
        <v>0</v>
      </c>
      <c r="E10" s="1">
        <f>'Paste cell here'!F10</f>
        <v>0</v>
      </c>
      <c r="F10" s="1">
        <f>'Paste cell here'!C10</f>
        <v>5.4799999999999267</v>
      </c>
      <c r="G10" s="1">
        <f>'Paste cell here'!D10</f>
        <v>-1.9399999999999664</v>
      </c>
      <c r="H10" s="1">
        <f>'Paste cell here'!E10</f>
        <v>0.36296888760609419</v>
      </c>
      <c r="I10" s="1">
        <f>'Paste cell here'!X10</f>
        <v>0</v>
      </c>
      <c r="J10" s="1">
        <f>'Paste cell here'!Y10+'Paste cell here'!S10</f>
        <v>0</v>
      </c>
      <c r="K10" s="1">
        <f t="shared" si="0"/>
        <v>0</v>
      </c>
      <c r="L10" s="1">
        <f t="shared" si="1"/>
        <v>2.7896561522309469</v>
      </c>
      <c r="M10" s="1">
        <f t="array" ref="M10">IF(AND(A10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10&gt;=_xlfn.ANCHORARRAY(Sintesi!$C$9))+(_xlfn.ANCHORARRAY(Sintesi!$C$9)&gt;_xlfn.ANCHORARRAY(Sintesi!$C$10))*(A10&lt;=_xlfn.ANCHORARRAY(Sintesi!$C$10))+(_xlfn.ANCHORARRAY(Sintesi!$C$9)&lt;_xlfn.ANCHORARRAY(Sintesi!$C$10))*(A10&gt;=_xlfn.ANCHORARRAY(Sintesi!$C$9))*(A10&lt;=_xlfn.ANCHORARRAY(Sintesi!$C$10)),0)),0),A10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11&gt;=_xlfn.ANCHORARRAY(Sintesi!$C$9))+(_xlfn.ANCHORARRAY(Sintesi!$C$9)&gt;_xlfn.ANCHORARRAY(Sintesi!$C$10))*(A11&lt;=_xlfn.ANCHORARRAY(Sintesi!$C$10))+(_xlfn.ANCHORARRAY(Sintesi!$C$9)&lt;_xlfn.ANCHORARRAY(Sintesi!$C$10))*(A11&gt;=_xlfn.ANCHORARRAY(Sintesi!$C$9))*(A11&lt;=_xlfn.ANCHORARRAY(Sintesi!$C$10)),0)),0)),IF(L10&lt;_xlfn.IFNA(INDEX(_xlfn.ANCHORARRAY(Sintesi!$C$17),1,MATCH(1,(_xlfn.ANCHORARRAY(Sintesi!$C$9)&gt;_xlfn.ANCHORARRAY(Sintesi!$C$10))*(A9&gt;=_xlfn.ANCHORARRAY(Sintesi!$C$9))+(_xlfn.ANCHORARRAY(Sintesi!$C$9)&gt;_xlfn.ANCHORARRAY(Sintesi!$C$10))*(A9&lt;=_xlfn.ANCHORARRAY(Sintesi!$C$10))+(_xlfn.ANCHORARRAY(Sintesi!$C$9)&lt;_xlfn.ANCHORARRAY(Sintesi!$C$10))*(A9&gt;=_xlfn.ANCHORARRAY(Sintesi!$C$9))*(A9&lt;=_xlfn.ANCHORARRAY(Sintesi!$C$10)),0)),0),1,IF(L10&gt;=_xlfn.IFNA(INDEX(_xlfn.ANCHORARRAY(Sintesi!$C$18),1,MATCH(1,(_xlfn.ANCHORARRAY(Sintesi!$C$9)&gt;_xlfn.ANCHORARRAY(Sintesi!$C$10))*(A9&gt;=_xlfn.ANCHORARRAY(Sintesi!$C$9))+(_xlfn.ANCHORARRAY(Sintesi!$C$9)&gt;_xlfn.ANCHORARRAY(Sintesi!$C$10))*(A9&lt;=_xlfn.ANCHORARRAY(Sintesi!$C$10))+(_xlfn.ANCHORARRAY(Sintesi!$C$9)&lt;_xlfn.ANCHORARRAY(Sintesi!$C$10))*(A9&gt;=_xlfn.ANCHORARRAY(Sintesi!$C$9))*(A9&lt;=_xlfn.ANCHORARRAY(Sintesi!$C$10)),0)),0),0,1-(L10-_xlfn.IFNA(INDEX(_xlfn.ANCHORARRAY(Sintesi!$C$17),1,MATCH(1,(_xlfn.ANCHORARRAY(Sintesi!$C$9)&gt;_xlfn.ANCHORARRAY(Sintesi!$C$10))*(A9&gt;=_xlfn.ANCHORARRAY(Sintesi!$C$9))+(_xlfn.ANCHORARRAY(Sintesi!$C$9)&gt;_xlfn.ANCHORARRAY(Sintesi!$C$10))*(A9&lt;=_xlfn.ANCHORARRAY(Sintesi!$C$10))+(_xlfn.ANCHORARRAY(Sintesi!$C$9)&lt;_xlfn.ANCHORARRAY(Sintesi!$C$10))*(A9&gt;=_xlfn.ANCHORARRAY(Sintesi!$C$9))*(A9&lt;=_xlfn.ANCHORARRAY(Sintesi!$C$10)),0)),0))/(_xlfn.IFNA(INDEX(_xlfn.ANCHORARRAY(Sintesi!$C$18),1,MATCH(1,(_xlfn.ANCHORARRAY(Sintesi!$C$9)&gt;_xlfn.ANCHORARRAY(Sintesi!$C$10))*(A9&gt;=_xlfn.ANCHORARRAY(Sintesi!$C$9))+(_xlfn.ANCHORARRAY(Sintesi!$C$9)&gt;_xlfn.ANCHORARRAY(Sintesi!$C$10))*(A9&lt;=_xlfn.ANCHORARRAY(Sintesi!$C$10))+(_xlfn.ANCHORARRAY(Sintesi!$C$9)&lt;_xlfn.ANCHORARRAY(Sintesi!$C$10))*(A9&gt;=_xlfn.ANCHORARRAY(Sintesi!$C$9))*(A9&lt;=_xlfn.ANCHORARRAY(Sintesi!$C$10)),0)),0)-_xlfn.IFNA(INDEX(_xlfn.ANCHORARRAY(Sintesi!$C$17),1,MATCH(1,(_xlfn.ANCHORARRAY(Sintesi!$C$9)&gt;_xlfn.ANCHORARRAY(Sintesi!$C$10))*(A9&gt;=_xlfn.ANCHORARRAY(Sintesi!$C$9))+(_xlfn.ANCHORARRAY(Sintesi!$C$9)&gt;_xlfn.ANCHORARRAY(Sintesi!$C$10))*(A9&lt;=_xlfn.ANCHORARRAY(Sintesi!$C$10))+(_xlfn.ANCHORARRAY(Sintesi!$C$9)&lt;_xlfn.ANCHORARRAY(Sintesi!$C$10))*(A9&gt;=_xlfn.ANCHORARRAY(Sintesi!$C$9))*(A9&lt;=_xlfn.ANCHORARRAY(Sintesi!$C$10)),0)),0)))),0)</f>
        <v>0</v>
      </c>
      <c r="O10" s="14">
        <v>9</v>
      </c>
      <c r="P10" s="14">
        <v>15</v>
      </c>
      <c r="Q10" s="14">
        <v>5</v>
      </c>
    </row>
    <row r="11" spans="1:18" ht="12.75" customHeight="1">
      <c r="A11" s="1">
        <f>'Paste cell here'!A11</f>
        <v>10</v>
      </c>
      <c r="B11" s="2">
        <f>DATE(Sintesi!$C$4-1,12,31)+A11</f>
        <v>44206</v>
      </c>
      <c r="C11" s="34">
        <f t="array" ref="C11">_xlfn.IFNA(MATCH(1,((_xlfn.ANCHORARRAY(Sintesi!$C$9)&gt;_xlfn.ANCHORARRAY(Sintesi!$C$10))*(A11&gt;=_xlfn.ANCHORARRAY(Sintesi!$C$9))+(_xlfn.ANCHORARRAY(Sintesi!$C$9)&gt;_xlfn.ANCHORARRAY(Sintesi!$C$10))*(A11&lt;=_xlfn.ANCHORARRAY(Sintesi!$C$10))+(_xlfn.ANCHORARRAY(Sintesi!$C$9)&lt;_xlfn.ANCHORARRAY(Sintesi!$C$10))*(A11&gt;=_xlfn.ANCHORARRAY(Sintesi!$C$9))*(A11&lt;=_xlfn.ANCHORARRAY(Sintesi!$C$10)))*(_xlfn.ANCHORARRAY(Sintesi!$C$15)&gt;=0)+(_xlfn.ANCHORARRAY(Sintesi!$C$15)&lt;0),0),0)</f>
        <v>0</v>
      </c>
      <c r="D11" s="1">
        <f t="array" ref="D11">IF(ISBLANK($E12),IF(ISNUMBER($E10),IF($C11&gt;0,IF(($E11=INDEX(_xlfn.ANCHORARRAY(Sintesi!$C$14),1,$C11))*(INDEX(_xlfn.ANCHORARRAY(Sintesi!$C$15),1,$C11)&gt;0),0,IF(($E11=INDEX(_xlfn.ANCHORARRAY(Sintesi!$C$14),1,$C11))*(INDEX(_xlfn.ANCHORARRAY(Sintesi!$C$15),1,$C11)&lt;0)+($E11&gt;=$E10)*($E11&lt;=INDEX($E:$E,MATCH(TRUE,INDEX((ISNUMBER($E:$E)),0),0)))*($E11&gt;INDEX(_xlfn.ANCHORARRAY(Sintesi!$C$14),1,$C11))*($E11&lt;=INDEX(_xlfn.ANCHORARRAY(Sintesi!$C$15),1,$C11))*(INDEX(_xlfn.ANCHORARRAY(Sintesi!$C$15),1,$C11)&gt;0),1,IF(($E11&gt;=$E10)*($E11&lt;=INDEX($E:$E,MATCH(TRUE,INDEX((ISNUMBER($E:$E)),0),0)))*($E11&gt;INDEX(_xlfn.ANCHORARRAY(Sintesi!$C$14),1,$C11))*($E11&lt;INDEX(_xlfn.ANCHORARRAY(Sintesi!$C$16),1,$C11))*(INDEX(_xlfn.ANCHORARRAY(Sintesi!$C$15),1,$C11)&lt;0)+($E11&gt;=$E10)*($E11&lt;=INDEX($E:$E,MATCH(TRUE,INDEX((ISNUMBER($E:$E)),0),0)))*($E11&gt;INDEX(_xlfn.ANCHORARRAY(Sintesi!$C$15),1,$C11))*($E11&lt;INDEX(_xlfn.ANCHORARRAY(Sintesi!$C$16),1,$C11))*(INDEX(_xlfn.ANCHORARRAY(Sintesi!$C$15),1,$C11)&gt;0),2,IF($E11=(INDEX(_xlfn.ANCHORARRAY(Sintesi!$C$16),1,$C11)),3,4)))),0),IF($C11&gt;0,IF(($E11=INDEX(_xlfn.ANCHORARRAY(Sintesi!$C$14),1,$C11))*(INDEX(_xlfn.ANCHORARRAY(Sintesi!$C$15),1,$C11)&gt;0),0,IF(($E11=INDEX(_xlfn.ANCHORARRAY(Sintesi!$C$14),1,$C11))*(INDEX(_xlfn.ANCHORARRAY(Sintesi!$C$15),1,$C11)&lt;0)+($E11&gt;=LOOKUP(2,1/($E:$E&lt;&gt;""),$E:$E))*($E11&lt;=INDEX($E:$E,MATCH(TRUE,INDEX((ISNUMBER($E:$E)),0),0)))*($E11&gt;INDEX(_xlfn.ANCHORARRAY(Sintesi!$C$14),1,$C11))*($E11&lt;=INDEX(_xlfn.ANCHORARRAY(Sintesi!$C$15),1,$C11))*(INDEX(_xlfn.ANCHORARRAY(Sintesi!$C$15),1,$C11)&gt;0),1,IF(($E11&gt;=LOOKUP(2,1/($E:$E&lt;&gt;""),$E:$E))*($E11&lt;=INDEX($E:$E,MATCH(TRUE,INDEX((ISNUMBER($E:$E)),0),0)))*($E11&gt;INDEX(_xlfn.ANCHORARRAY(Sintesi!$C$14),1,$C11))*($E11&lt;INDEX(_xlfn.ANCHORARRAY(Sintesi!$C$16),1,$C11))*(INDEX(_xlfn.ANCHORARRAY(Sintesi!$C$15),1,$C11)&lt;0)+($E11&gt;=LOOKUP(2,1/($E:$E&lt;&gt;""),$E:$E))*($E11&lt;=INDEX($E:$E,MATCH(TRUE,INDEX((ISNUMBER($E:$E)),0),0)))*($E11&gt;INDEX(_xlfn.ANCHORARRAY(Sintesi!$C$15),1,$C11))*($E11&lt;INDEX(_xlfn.ANCHORARRAY(Sintesi!$C$16),1,$C11))*(INDEX(_xlfn.ANCHORARRAY(Sintesi!$C$15),1,$C11)&gt;0),2,IF($E11=(INDEX(_xlfn.ANCHORARRAY(Sintesi!$C$16),1,$C11)),3,4)))),0)),IF(ISNUMBER($E10),IF($C11&gt;0,IF(($E11=INDEX(_xlfn.ANCHORARRAY(Sintesi!$C$14),1,$C11))*(INDEX(_xlfn.ANCHORARRAY(Sintesi!$C$15),1,$C11)&gt;0),0,IF(($E11=INDEX(_xlfn.ANCHORARRAY(Sintesi!$C$14),1,$C11))*(INDEX(_xlfn.ANCHORARRAY(Sintesi!$C$15),1,$C11)&lt;0)+($E11&gt;=$E10)*($E11&lt;=$E12)*($E11&gt;INDEX(_xlfn.ANCHORARRAY(Sintesi!$C$14),1,$C11))*($E11&lt;=INDEX(_xlfn.ANCHORARRAY(Sintesi!$C$15),1,$C11))*(INDEX(_xlfn.ANCHORARRAY(Sintesi!$C$15),1,$C11)&gt;0),1,IF(($E11&gt;=$E10)*($E11&lt;=$E12)*($E11&gt;INDEX(_xlfn.ANCHORARRAY(Sintesi!$C$14),1,$C11))*($E11&lt;INDEX(_xlfn.ANCHORARRAY(Sintesi!$C$16),1,$C11))*(INDEX(_xlfn.ANCHORARRAY(Sintesi!$C$15),1,$C11)&lt;0)+($E11&gt;=$E10)*($E11&lt;=$E12)*($E11&gt;INDEX(_xlfn.ANCHORARRAY(Sintesi!$C$15),1,$C11))*($E11&lt;INDEX(_xlfn.ANCHORARRAY(Sintesi!$C$16),1,$C11))*(INDEX(_xlfn.ANCHORARRAY(Sintesi!$C$15),1,$C11)&gt;0),2,IF($E11=(INDEX(_xlfn.ANCHORARRAY(Sintesi!$C$16),1,$C11)),3,4)))),0),IF($C11&gt;0,IF(($E11=INDEX(_xlfn.ANCHORARRAY(Sintesi!$C$14),1,$C11))*(INDEX(_xlfn.ANCHORARRAY(Sintesi!$C$15),1,$C11)&gt;0),0,IF(($E11=INDEX(_xlfn.ANCHORARRAY(Sintesi!$C$14),1,$C11))*(INDEX(_xlfn.ANCHORARRAY(Sintesi!$C$15),1,$C11)&lt;0)+($E11&gt;=LOOKUP(2,1/($E:$E&lt;&gt;""),$E:$E))*($E11&lt;=$E12)*($E11&gt;INDEX(_xlfn.ANCHORARRAY(Sintesi!$C$14),1,$C11))*($E11&lt;=INDEX(_xlfn.ANCHORARRAY(Sintesi!$C$15),1,$C11))*(INDEX(_xlfn.ANCHORARRAY(Sintesi!$C$15),1,$C11)&gt;0),1,IF(($E11&gt;=LOOKUP(2,1/($E:$E&lt;&gt;""),$E:$E))*($E11&lt;=$E12)*($E11&gt;INDEX(_xlfn.ANCHORARRAY(Sintesi!$C$14),1,$C11))*($E11&lt;INDEX(_xlfn.ANCHORARRAY(Sintesi!$C$16),1,$C11))*(INDEX(_xlfn.ANCHORARRAY(Sintesi!$C$15),1,$C11)&lt;0)+($E11&gt;=LOOKUP(2,1/($E:$E&lt;&gt;""),$E:$E))*($E11&lt;=$E12)*($E11&gt;INDEX(_xlfn.ANCHORARRAY(Sintesi!$C$15),1,$C11))*($E11&lt;INDEX(_xlfn.ANCHORARRAY(Sintesi!$C$16),1,$C11))*(INDEX(_xlfn.ANCHORARRAY(Sintesi!$C$15),1,$C11)&gt;0),2,IF($E11=(INDEX(_xlfn.ANCHORARRAY(Sintesi!$C$16),1,$C11)),3,4)))),0)))</f>
        <v>0</v>
      </c>
      <c r="E11" s="1">
        <f>'Paste cell here'!F11</f>
        <v>0</v>
      </c>
      <c r="F11" s="1">
        <f>'Paste cell here'!C11</f>
        <v>4.4199999999999315</v>
      </c>
      <c r="G11" s="1">
        <f>'Paste cell here'!D11</f>
        <v>-3.2399999999999523</v>
      </c>
      <c r="H11" s="1">
        <f>'Paste cell here'!E11</f>
        <v>0.4237972662065857</v>
      </c>
      <c r="I11" s="1">
        <f>'Paste cell here'!X11</f>
        <v>0</v>
      </c>
      <c r="J11" s="1">
        <f>'Paste cell here'!Y11+'Paste cell here'!S11</f>
        <v>0</v>
      </c>
      <c r="K11" s="1">
        <f t="shared" si="0"/>
        <v>0</v>
      </c>
      <c r="L11" s="1">
        <f t="shared" si="1"/>
        <v>1.6426369442168631</v>
      </c>
      <c r="M11" s="1">
        <f t="array" ref="M11">IF(AND(A11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11&gt;=_xlfn.ANCHORARRAY(Sintesi!$C$9))+(_xlfn.ANCHORARRAY(Sintesi!$C$9)&gt;_xlfn.ANCHORARRAY(Sintesi!$C$10))*(A11&lt;=_xlfn.ANCHORARRAY(Sintesi!$C$10))+(_xlfn.ANCHORARRAY(Sintesi!$C$9)&lt;_xlfn.ANCHORARRAY(Sintesi!$C$10))*(A11&gt;=_xlfn.ANCHORARRAY(Sintesi!$C$9))*(A11&lt;=_xlfn.ANCHORARRAY(Sintesi!$C$10)),0)),0),A11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12&gt;=_xlfn.ANCHORARRAY(Sintesi!$C$9))+(_xlfn.ANCHORARRAY(Sintesi!$C$9)&gt;_xlfn.ANCHORARRAY(Sintesi!$C$10))*(A12&lt;=_xlfn.ANCHORARRAY(Sintesi!$C$10))+(_xlfn.ANCHORARRAY(Sintesi!$C$9)&lt;_xlfn.ANCHORARRAY(Sintesi!$C$10))*(A12&gt;=_xlfn.ANCHORARRAY(Sintesi!$C$9))*(A12&lt;=_xlfn.ANCHORARRAY(Sintesi!$C$10)),0)),0)),IF(L11&lt;_xlfn.IFNA(INDEX(_xlfn.ANCHORARRAY(Sintesi!$C$17),1,MATCH(1,(_xlfn.ANCHORARRAY(Sintesi!$C$9)&gt;_xlfn.ANCHORARRAY(Sintesi!$C$10))*(A10&gt;=_xlfn.ANCHORARRAY(Sintesi!$C$9))+(_xlfn.ANCHORARRAY(Sintesi!$C$9)&gt;_xlfn.ANCHORARRAY(Sintesi!$C$10))*(A10&lt;=_xlfn.ANCHORARRAY(Sintesi!$C$10))+(_xlfn.ANCHORARRAY(Sintesi!$C$9)&lt;_xlfn.ANCHORARRAY(Sintesi!$C$10))*(A10&gt;=_xlfn.ANCHORARRAY(Sintesi!$C$9))*(A10&lt;=_xlfn.ANCHORARRAY(Sintesi!$C$10)),0)),0),1,IF(L11&gt;=_xlfn.IFNA(INDEX(_xlfn.ANCHORARRAY(Sintesi!$C$18),1,MATCH(1,(_xlfn.ANCHORARRAY(Sintesi!$C$9)&gt;_xlfn.ANCHORARRAY(Sintesi!$C$10))*(A10&gt;=_xlfn.ANCHORARRAY(Sintesi!$C$9))+(_xlfn.ANCHORARRAY(Sintesi!$C$9)&gt;_xlfn.ANCHORARRAY(Sintesi!$C$10))*(A10&lt;=_xlfn.ANCHORARRAY(Sintesi!$C$10))+(_xlfn.ANCHORARRAY(Sintesi!$C$9)&lt;_xlfn.ANCHORARRAY(Sintesi!$C$10))*(A10&gt;=_xlfn.ANCHORARRAY(Sintesi!$C$9))*(A10&lt;=_xlfn.ANCHORARRAY(Sintesi!$C$10)),0)),0),0,1-(L11-_xlfn.IFNA(INDEX(_xlfn.ANCHORARRAY(Sintesi!$C$17),1,MATCH(1,(_xlfn.ANCHORARRAY(Sintesi!$C$9)&gt;_xlfn.ANCHORARRAY(Sintesi!$C$10))*(A10&gt;=_xlfn.ANCHORARRAY(Sintesi!$C$9))+(_xlfn.ANCHORARRAY(Sintesi!$C$9)&gt;_xlfn.ANCHORARRAY(Sintesi!$C$10))*(A10&lt;=_xlfn.ANCHORARRAY(Sintesi!$C$10))+(_xlfn.ANCHORARRAY(Sintesi!$C$9)&lt;_xlfn.ANCHORARRAY(Sintesi!$C$10))*(A10&gt;=_xlfn.ANCHORARRAY(Sintesi!$C$9))*(A10&lt;=_xlfn.ANCHORARRAY(Sintesi!$C$10)),0)),0))/(_xlfn.IFNA(INDEX(_xlfn.ANCHORARRAY(Sintesi!$C$18),1,MATCH(1,(_xlfn.ANCHORARRAY(Sintesi!$C$9)&gt;_xlfn.ANCHORARRAY(Sintesi!$C$10))*(A10&gt;=_xlfn.ANCHORARRAY(Sintesi!$C$9))+(_xlfn.ANCHORARRAY(Sintesi!$C$9)&gt;_xlfn.ANCHORARRAY(Sintesi!$C$10))*(A10&lt;=_xlfn.ANCHORARRAY(Sintesi!$C$10))+(_xlfn.ANCHORARRAY(Sintesi!$C$9)&lt;_xlfn.ANCHORARRAY(Sintesi!$C$10))*(A10&gt;=_xlfn.ANCHORARRAY(Sintesi!$C$9))*(A10&lt;=_xlfn.ANCHORARRAY(Sintesi!$C$10)),0)),0)-_xlfn.IFNA(INDEX(_xlfn.ANCHORARRAY(Sintesi!$C$17),1,MATCH(1,(_xlfn.ANCHORARRAY(Sintesi!$C$9)&gt;_xlfn.ANCHORARRAY(Sintesi!$C$10))*(A10&gt;=_xlfn.ANCHORARRAY(Sintesi!$C$9))+(_xlfn.ANCHORARRAY(Sintesi!$C$9)&gt;_xlfn.ANCHORARRAY(Sintesi!$C$10))*(A10&lt;=_xlfn.ANCHORARRAY(Sintesi!$C$10))+(_xlfn.ANCHORARRAY(Sintesi!$C$9)&lt;_xlfn.ANCHORARRAY(Sintesi!$C$10))*(A10&gt;=_xlfn.ANCHORARRAY(Sintesi!$C$9))*(A10&lt;=_xlfn.ANCHORARRAY(Sintesi!$C$10)),0)),0)))),0)</f>
        <v>0</v>
      </c>
      <c r="N11" s="31"/>
      <c r="O11" s="14">
        <v>10</v>
      </c>
      <c r="P11" s="14">
        <v>14</v>
      </c>
      <c r="Q11" s="14">
        <v>6</v>
      </c>
    </row>
    <row r="12" spans="1:18" ht="12.75" customHeight="1">
      <c r="A12" s="1">
        <f>'Paste cell here'!A12</f>
        <v>11</v>
      </c>
      <c r="B12" s="2">
        <f>DATE(Sintesi!$C$4-1,12,31)+A12</f>
        <v>44207</v>
      </c>
      <c r="C12" s="34">
        <f t="array" ref="C12">_xlfn.IFNA(MATCH(1,((_xlfn.ANCHORARRAY(Sintesi!$C$9)&gt;_xlfn.ANCHORARRAY(Sintesi!$C$10))*(A12&gt;=_xlfn.ANCHORARRAY(Sintesi!$C$9))+(_xlfn.ANCHORARRAY(Sintesi!$C$9)&gt;_xlfn.ANCHORARRAY(Sintesi!$C$10))*(A12&lt;=_xlfn.ANCHORARRAY(Sintesi!$C$10))+(_xlfn.ANCHORARRAY(Sintesi!$C$9)&lt;_xlfn.ANCHORARRAY(Sintesi!$C$10))*(A12&gt;=_xlfn.ANCHORARRAY(Sintesi!$C$9))*(A12&lt;=_xlfn.ANCHORARRAY(Sintesi!$C$10)))*(_xlfn.ANCHORARRAY(Sintesi!$C$15)&gt;=0)+(_xlfn.ANCHORARRAY(Sintesi!$C$15)&lt;0),0),0)</f>
        <v>0</v>
      </c>
      <c r="D12" s="1">
        <f t="array" ref="D12">IF(ISBLANK($E13),IF(ISNUMBER($E11),IF($C12&gt;0,IF(($E12=INDEX(_xlfn.ANCHORARRAY(Sintesi!$C$14),1,$C12))*(INDEX(_xlfn.ANCHORARRAY(Sintesi!$C$15),1,$C12)&gt;0),0,IF(($E12=INDEX(_xlfn.ANCHORARRAY(Sintesi!$C$14),1,$C12))*(INDEX(_xlfn.ANCHORARRAY(Sintesi!$C$15),1,$C12)&lt;0)+($E12&gt;=$E11)*($E12&lt;=INDEX($E:$E,MATCH(TRUE,INDEX((ISNUMBER($E:$E)),0),0)))*($E12&gt;INDEX(_xlfn.ANCHORARRAY(Sintesi!$C$14),1,$C12))*($E12&lt;=INDEX(_xlfn.ANCHORARRAY(Sintesi!$C$15),1,$C12))*(INDEX(_xlfn.ANCHORARRAY(Sintesi!$C$15),1,$C12)&gt;0),1,IF(($E12&gt;=$E11)*($E12&lt;=INDEX($E:$E,MATCH(TRUE,INDEX((ISNUMBER($E:$E)),0),0)))*($E12&gt;INDEX(_xlfn.ANCHORARRAY(Sintesi!$C$14),1,$C12))*($E12&lt;INDEX(_xlfn.ANCHORARRAY(Sintesi!$C$16),1,$C12))*(INDEX(_xlfn.ANCHORARRAY(Sintesi!$C$15),1,$C12)&lt;0)+($E12&gt;=$E11)*($E12&lt;=INDEX($E:$E,MATCH(TRUE,INDEX((ISNUMBER($E:$E)),0),0)))*($E12&gt;INDEX(_xlfn.ANCHORARRAY(Sintesi!$C$15),1,$C12))*($E12&lt;INDEX(_xlfn.ANCHORARRAY(Sintesi!$C$16),1,$C12))*(INDEX(_xlfn.ANCHORARRAY(Sintesi!$C$15),1,$C12)&gt;0),2,IF($E12=(INDEX(_xlfn.ANCHORARRAY(Sintesi!$C$16),1,$C12)),3,4)))),0),IF($C12&gt;0,IF(($E12=INDEX(_xlfn.ANCHORARRAY(Sintesi!$C$14),1,$C12))*(INDEX(_xlfn.ANCHORARRAY(Sintesi!$C$15),1,$C12)&gt;0),0,IF(($E12=INDEX(_xlfn.ANCHORARRAY(Sintesi!$C$14),1,$C12))*(INDEX(_xlfn.ANCHORARRAY(Sintesi!$C$15),1,$C12)&lt;0)+($E12&gt;=LOOKUP(2,1/($E:$E&lt;&gt;""),$E:$E))*($E12&lt;=INDEX($E:$E,MATCH(TRUE,INDEX((ISNUMBER($E:$E)),0),0)))*($E12&gt;INDEX(_xlfn.ANCHORARRAY(Sintesi!$C$14),1,$C12))*($E12&lt;=INDEX(_xlfn.ANCHORARRAY(Sintesi!$C$15),1,$C12))*(INDEX(_xlfn.ANCHORARRAY(Sintesi!$C$15),1,$C12)&gt;0),1,IF(($E12&gt;=LOOKUP(2,1/($E:$E&lt;&gt;""),$E:$E))*($E12&lt;=INDEX($E:$E,MATCH(TRUE,INDEX((ISNUMBER($E:$E)),0),0)))*($E12&gt;INDEX(_xlfn.ANCHORARRAY(Sintesi!$C$14),1,$C12))*($E12&lt;INDEX(_xlfn.ANCHORARRAY(Sintesi!$C$16),1,$C12))*(INDEX(_xlfn.ANCHORARRAY(Sintesi!$C$15),1,$C12)&lt;0)+($E12&gt;=LOOKUP(2,1/($E:$E&lt;&gt;""),$E:$E))*($E12&lt;=INDEX($E:$E,MATCH(TRUE,INDEX((ISNUMBER($E:$E)),0),0)))*($E12&gt;INDEX(_xlfn.ANCHORARRAY(Sintesi!$C$15),1,$C12))*($E12&lt;INDEX(_xlfn.ANCHORARRAY(Sintesi!$C$16),1,$C12))*(INDEX(_xlfn.ANCHORARRAY(Sintesi!$C$15),1,$C12)&gt;0),2,IF($E12=(INDEX(_xlfn.ANCHORARRAY(Sintesi!$C$16),1,$C12)),3,4)))),0)),IF(ISNUMBER($E11),IF($C12&gt;0,IF(($E12=INDEX(_xlfn.ANCHORARRAY(Sintesi!$C$14),1,$C12))*(INDEX(_xlfn.ANCHORARRAY(Sintesi!$C$15),1,$C12)&gt;0),0,IF(($E12=INDEX(_xlfn.ANCHORARRAY(Sintesi!$C$14),1,$C12))*(INDEX(_xlfn.ANCHORARRAY(Sintesi!$C$15),1,$C12)&lt;0)+($E12&gt;=$E11)*($E12&lt;=$E13)*($E12&gt;INDEX(_xlfn.ANCHORARRAY(Sintesi!$C$14),1,$C12))*($E12&lt;=INDEX(_xlfn.ANCHORARRAY(Sintesi!$C$15),1,$C12))*(INDEX(_xlfn.ANCHORARRAY(Sintesi!$C$15),1,$C12)&gt;0),1,IF(($E12&gt;=$E11)*($E12&lt;=$E13)*($E12&gt;INDEX(_xlfn.ANCHORARRAY(Sintesi!$C$14),1,$C12))*($E12&lt;INDEX(_xlfn.ANCHORARRAY(Sintesi!$C$16),1,$C12))*(INDEX(_xlfn.ANCHORARRAY(Sintesi!$C$15),1,$C12)&lt;0)+($E12&gt;=$E11)*($E12&lt;=$E13)*($E12&gt;INDEX(_xlfn.ANCHORARRAY(Sintesi!$C$15),1,$C12))*($E12&lt;INDEX(_xlfn.ANCHORARRAY(Sintesi!$C$16),1,$C12))*(INDEX(_xlfn.ANCHORARRAY(Sintesi!$C$15),1,$C12)&gt;0),2,IF($E12=(INDEX(_xlfn.ANCHORARRAY(Sintesi!$C$16),1,$C12)),3,4)))),0),IF($C12&gt;0,IF(($E12=INDEX(_xlfn.ANCHORARRAY(Sintesi!$C$14),1,$C12))*(INDEX(_xlfn.ANCHORARRAY(Sintesi!$C$15),1,$C12)&gt;0),0,IF(($E12=INDEX(_xlfn.ANCHORARRAY(Sintesi!$C$14),1,$C12))*(INDEX(_xlfn.ANCHORARRAY(Sintesi!$C$15),1,$C12)&lt;0)+($E12&gt;=LOOKUP(2,1/($E:$E&lt;&gt;""),$E:$E))*($E12&lt;=$E13)*($E12&gt;INDEX(_xlfn.ANCHORARRAY(Sintesi!$C$14),1,$C12))*($E12&lt;=INDEX(_xlfn.ANCHORARRAY(Sintesi!$C$15),1,$C12))*(INDEX(_xlfn.ANCHORARRAY(Sintesi!$C$15),1,$C12)&gt;0),1,IF(($E12&gt;=LOOKUP(2,1/($E:$E&lt;&gt;""),$E:$E))*($E12&lt;=$E13)*($E12&gt;INDEX(_xlfn.ANCHORARRAY(Sintesi!$C$14),1,$C12))*($E12&lt;INDEX(_xlfn.ANCHORARRAY(Sintesi!$C$16),1,$C12))*(INDEX(_xlfn.ANCHORARRAY(Sintesi!$C$15),1,$C12)&lt;0)+($E12&gt;=LOOKUP(2,1/($E:$E&lt;&gt;""),$E:$E))*($E12&lt;=$E13)*($E12&gt;INDEX(_xlfn.ANCHORARRAY(Sintesi!$C$15),1,$C12))*($E12&lt;INDEX(_xlfn.ANCHORARRAY(Sintesi!$C$16),1,$C12))*(INDEX(_xlfn.ANCHORARRAY(Sintesi!$C$15),1,$C12)&gt;0),2,IF($E12=(INDEX(_xlfn.ANCHORARRAY(Sintesi!$C$16),1,$C12)),3,4)))),0)))</f>
        <v>0</v>
      </c>
      <c r="E12" s="1">
        <f>'Paste cell here'!F12</f>
        <v>0</v>
      </c>
      <c r="F12" s="1">
        <f>'Paste cell here'!C12</f>
        <v>5.399999999999924</v>
      </c>
      <c r="G12" s="1">
        <f>'Paste cell here'!D12</f>
        <v>-4.6399999999999242</v>
      </c>
      <c r="H12" s="1">
        <f>'Paste cell here'!E12</f>
        <v>0.1936855334101909</v>
      </c>
      <c r="I12" s="1">
        <f>'Paste cell here'!X12</f>
        <v>0</v>
      </c>
      <c r="J12" s="1">
        <f>'Paste cell here'!Y12+'Paste cell here'!S12</f>
        <v>0</v>
      </c>
      <c r="K12" s="1">
        <f t="shared" si="0"/>
        <v>0</v>
      </c>
      <c r="L12" s="1">
        <f t="shared" si="1"/>
        <v>1.7596964647437872</v>
      </c>
      <c r="M12" s="1">
        <f t="array" ref="M12">IF(AND(A12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12&gt;=_xlfn.ANCHORARRAY(Sintesi!$C$9))+(_xlfn.ANCHORARRAY(Sintesi!$C$9)&gt;_xlfn.ANCHORARRAY(Sintesi!$C$10))*(A12&lt;=_xlfn.ANCHORARRAY(Sintesi!$C$10))+(_xlfn.ANCHORARRAY(Sintesi!$C$9)&lt;_xlfn.ANCHORARRAY(Sintesi!$C$10))*(A12&gt;=_xlfn.ANCHORARRAY(Sintesi!$C$9))*(A12&lt;=_xlfn.ANCHORARRAY(Sintesi!$C$10)),0)),0),A12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13&gt;=_xlfn.ANCHORARRAY(Sintesi!$C$9))+(_xlfn.ANCHORARRAY(Sintesi!$C$9)&gt;_xlfn.ANCHORARRAY(Sintesi!$C$10))*(A13&lt;=_xlfn.ANCHORARRAY(Sintesi!$C$10))+(_xlfn.ANCHORARRAY(Sintesi!$C$9)&lt;_xlfn.ANCHORARRAY(Sintesi!$C$10))*(A13&gt;=_xlfn.ANCHORARRAY(Sintesi!$C$9))*(A13&lt;=_xlfn.ANCHORARRAY(Sintesi!$C$10)),0)),0)),IF(L12&lt;_xlfn.IFNA(INDEX(_xlfn.ANCHORARRAY(Sintesi!$C$17),1,MATCH(1,(_xlfn.ANCHORARRAY(Sintesi!$C$9)&gt;_xlfn.ANCHORARRAY(Sintesi!$C$10))*(A11&gt;=_xlfn.ANCHORARRAY(Sintesi!$C$9))+(_xlfn.ANCHORARRAY(Sintesi!$C$9)&gt;_xlfn.ANCHORARRAY(Sintesi!$C$10))*(A11&lt;=_xlfn.ANCHORARRAY(Sintesi!$C$10))+(_xlfn.ANCHORARRAY(Sintesi!$C$9)&lt;_xlfn.ANCHORARRAY(Sintesi!$C$10))*(A11&gt;=_xlfn.ANCHORARRAY(Sintesi!$C$9))*(A11&lt;=_xlfn.ANCHORARRAY(Sintesi!$C$10)),0)),0),1,IF(L12&gt;=_xlfn.IFNA(INDEX(_xlfn.ANCHORARRAY(Sintesi!$C$18),1,MATCH(1,(_xlfn.ANCHORARRAY(Sintesi!$C$9)&gt;_xlfn.ANCHORARRAY(Sintesi!$C$10))*(A11&gt;=_xlfn.ANCHORARRAY(Sintesi!$C$9))+(_xlfn.ANCHORARRAY(Sintesi!$C$9)&gt;_xlfn.ANCHORARRAY(Sintesi!$C$10))*(A11&lt;=_xlfn.ANCHORARRAY(Sintesi!$C$10))+(_xlfn.ANCHORARRAY(Sintesi!$C$9)&lt;_xlfn.ANCHORARRAY(Sintesi!$C$10))*(A11&gt;=_xlfn.ANCHORARRAY(Sintesi!$C$9))*(A11&lt;=_xlfn.ANCHORARRAY(Sintesi!$C$10)),0)),0),0,1-(L12-_xlfn.IFNA(INDEX(_xlfn.ANCHORARRAY(Sintesi!$C$17),1,MATCH(1,(_xlfn.ANCHORARRAY(Sintesi!$C$9)&gt;_xlfn.ANCHORARRAY(Sintesi!$C$10))*(A11&gt;=_xlfn.ANCHORARRAY(Sintesi!$C$9))+(_xlfn.ANCHORARRAY(Sintesi!$C$9)&gt;_xlfn.ANCHORARRAY(Sintesi!$C$10))*(A11&lt;=_xlfn.ANCHORARRAY(Sintesi!$C$10))+(_xlfn.ANCHORARRAY(Sintesi!$C$9)&lt;_xlfn.ANCHORARRAY(Sintesi!$C$10))*(A11&gt;=_xlfn.ANCHORARRAY(Sintesi!$C$9))*(A11&lt;=_xlfn.ANCHORARRAY(Sintesi!$C$10)),0)),0))/(_xlfn.IFNA(INDEX(_xlfn.ANCHORARRAY(Sintesi!$C$18),1,MATCH(1,(_xlfn.ANCHORARRAY(Sintesi!$C$9)&gt;_xlfn.ANCHORARRAY(Sintesi!$C$10))*(A11&gt;=_xlfn.ANCHORARRAY(Sintesi!$C$9))+(_xlfn.ANCHORARRAY(Sintesi!$C$9)&gt;_xlfn.ANCHORARRAY(Sintesi!$C$10))*(A11&lt;=_xlfn.ANCHORARRAY(Sintesi!$C$10))+(_xlfn.ANCHORARRAY(Sintesi!$C$9)&lt;_xlfn.ANCHORARRAY(Sintesi!$C$10))*(A11&gt;=_xlfn.ANCHORARRAY(Sintesi!$C$9))*(A11&lt;=_xlfn.ANCHORARRAY(Sintesi!$C$10)),0)),0)-_xlfn.IFNA(INDEX(_xlfn.ANCHORARRAY(Sintesi!$C$17),1,MATCH(1,(_xlfn.ANCHORARRAY(Sintesi!$C$9)&gt;_xlfn.ANCHORARRAY(Sintesi!$C$10))*(A11&gt;=_xlfn.ANCHORARRAY(Sintesi!$C$9))+(_xlfn.ANCHORARRAY(Sintesi!$C$9)&gt;_xlfn.ANCHORARRAY(Sintesi!$C$10))*(A11&lt;=_xlfn.ANCHORARRAY(Sintesi!$C$10))+(_xlfn.ANCHORARRAY(Sintesi!$C$9)&lt;_xlfn.ANCHORARRAY(Sintesi!$C$10))*(A11&gt;=_xlfn.ANCHORARRAY(Sintesi!$C$9))*(A11&lt;=_xlfn.ANCHORARRAY(Sintesi!$C$10)),0)),0)))),0)</f>
        <v>0</v>
      </c>
      <c r="N12" s="31"/>
      <c r="O12" s="14">
        <v>11</v>
      </c>
      <c r="P12" s="14">
        <v>14</v>
      </c>
      <c r="Q12" s="14">
        <v>6</v>
      </c>
    </row>
    <row r="13" spans="1:18">
      <c r="A13" s="1">
        <f>'Paste cell here'!A13</f>
        <v>12</v>
      </c>
      <c r="B13" s="2">
        <f>DATE(Sintesi!$C$4-1,12,31)+A13</f>
        <v>44208</v>
      </c>
      <c r="C13" s="34">
        <f t="array" ref="C13">_xlfn.IFNA(MATCH(1,((_xlfn.ANCHORARRAY(Sintesi!$C$9)&gt;_xlfn.ANCHORARRAY(Sintesi!$C$10))*(A13&gt;=_xlfn.ANCHORARRAY(Sintesi!$C$9))+(_xlfn.ANCHORARRAY(Sintesi!$C$9)&gt;_xlfn.ANCHORARRAY(Sintesi!$C$10))*(A13&lt;=_xlfn.ANCHORARRAY(Sintesi!$C$10))+(_xlfn.ANCHORARRAY(Sintesi!$C$9)&lt;_xlfn.ANCHORARRAY(Sintesi!$C$10))*(A13&gt;=_xlfn.ANCHORARRAY(Sintesi!$C$9))*(A13&lt;=_xlfn.ANCHORARRAY(Sintesi!$C$10)))*(_xlfn.ANCHORARRAY(Sintesi!$C$15)&gt;=0)+(_xlfn.ANCHORARRAY(Sintesi!$C$15)&lt;0),0),0)</f>
        <v>0</v>
      </c>
      <c r="D13" s="1">
        <f t="array" ref="D13">IF(ISBLANK($E14),IF(ISNUMBER($E12),IF($C13&gt;0,IF(($E13=INDEX(_xlfn.ANCHORARRAY(Sintesi!$C$14),1,$C13))*(INDEX(_xlfn.ANCHORARRAY(Sintesi!$C$15),1,$C13)&gt;0),0,IF(($E13=INDEX(_xlfn.ANCHORARRAY(Sintesi!$C$14),1,$C13))*(INDEX(_xlfn.ANCHORARRAY(Sintesi!$C$15),1,$C13)&lt;0)+($E13&gt;=$E12)*($E13&lt;=INDEX($E:$E,MATCH(TRUE,INDEX((ISNUMBER($E:$E)),0),0)))*($E13&gt;INDEX(_xlfn.ANCHORARRAY(Sintesi!$C$14),1,$C13))*($E13&lt;=INDEX(_xlfn.ANCHORARRAY(Sintesi!$C$15),1,$C13))*(INDEX(_xlfn.ANCHORARRAY(Sintesi!$C$15),1,$C13)&gt;0),1,IF(($E13&gt;=$E12)*($E13&lt;=INDEX($E:$E,MATCH(TRUE,INDEX((ISNUMBER($E:$E)),0),0)))*($E13&gt;INDEX(_xlfn.ANCHORARRAY(Sintesi!$C$14),1,$C13))*($E13&lt;INDEX(_xlfn.ANCHORARRAY(Sintesi!$C$16),1,$C13))*(INDEX(_xlfn.ANCHORARRAY(Sintesi!$C$15),1,$C13)&lt;0)+($E13&gt;=$E12)*($E13&lt;=INDEX($E:$E,MATCH(TRUE,INDEX((ISNUMBER($E:$E)),0),0)))*($E13&gt;INDEX(_xlfn.ANCHORARRAY(Sintesi!$C$15),1,$C13))*($E13&lt;INDEX(_xlfn.ANCHORARRAY(Sintesi!$C$16),1,$C13))*(INDEX(_xlfn.ANCHORARRAY(Sintesi!$C$15),1,$C13)&gt;0),2,IF($E13=(INDEX(_xlfn.ANCHORARRAY(Sintesi!$C$16),1,$C13)),3,4)))),0),IF($C13&gt;0,IF(($E13=INDEX(_xlfn.ANCHORARRAY(Sintesi!$C$14),1,$C13))*(INDEX(_xlfn.ANCHORARRAY(Sintesi!$C$15),1,$C13)&gt;0),0,IF(($E13=INDEX(_xlfn.ANCHORARRAY(Sintesi!$C$14),1,$C13))*(INDEX(_xlfn.ANCHORARRAY(Sintesi!$C$15),1,$C13)&lt;0)+($E13&gt;=LOOKUP(2,1/($E:$E&lt;&gt;""),$E:$E))*($E13&lt;=INDEX($E:$E,MATCH(TRUE,INDEX((ISNUMBER($E:$E)),0),0)))*($E13&gt;INDEX(_xlfn.ANCHORARRAY(Sintesi!$C$14),1,$C13))*($E13&lt;=INDEX(_xlfn.ANCHORARRAY(Sintesi!$C$15),1,$C13))*(INDEX(_xlfn.ANCHORARRAY(Sintesi!$C$15),1,$C13)&gt;0),1,IF(($E13&gt;=LOOKUP(2,1/($E:$E&lt;&gt;""),$E:$E))*($E13&lt;=INDEX($E:$E,MATCH(TRUE,INDEX((ISNUMBER($E:$E)),0),0)))*($E13&gt;INDEX(_xlfn.ANCHORARRAY(Sintesi!$C$14),1,$C13))*($E13&lt;INDEX(_xlfn.ANCHORARRAY(Sintesi!$C$16),1,$C13))*(INDEX(_xlfn.ANCHORARRAY(Sintesi!$C$15),1,$C13)&lt;0)+($E13&gt;=LOOKUP(2,1/($E:$E&lt;&gt;""),$E:$E))*($E13&lt;=INDEX($E:$E,MATCH(TRUE,INDEX((ISNUMBER($E:$E)),0),0)))*($E13&gt;INDEX(_xlfn.ANCHORARRAY(Sintesi!$C$15),1,$C13))*($E13&lt;INDEX(_xlfn.ANCHORARRAY(Sintesi!$C$16),1,$C13))*(INDEX(_xlfn.ANCHORARRAY(Sintesi!$C$15),1,$C13)&gt;0),2,IF($E13=(INDEX(_xlfn.ANCHORARRAY(Sintesi!$C$16),1,$C13)),3,4)))),0)),IF(ISNUMBER($E12),IF($C13&gt;0,IF(($E13=INDEX(_xlfn.ANCHORARRAY(Sintesi!$C$14),1,$C13))*(INDEX(_xlfn.ANCHORARRAY(Sintesi!$C$15),1,$C13)&gt;0),0,IF(($E13=INDEX(_xlfn.ANCHORARRAY(Sintesi!$C$14),1,$C13))*(INDEX(_xlfn.ANCHORARRAY(Sintesi!$C$15),1,$C13)&lt;0)+($E13&gt;=$E12)*($E13&lt;=$E14)*($E13&gt;INDEX(_xlfn.ANCHORARRAY(Sintesi!$C$14),1,$C13))*($E13&lt;=INDEX(_xlfn.ANCHORARRAY(Sintesi!$C$15),1,$C13))*(INDEX(_xlfn.ANCHORARRAY(Sintesi!$C$15),1,$C13)&gt;0),1,IF(($E13&gt;=$E12)*($E13&lt;=$E14)*($E13&gt;INDEX(_xlfn.ANCHORARRAY(Sintesi!$C$14),1,$C13))*($E13&lt;INDEX(_xlfn.ANCHORARRAY(Sintesi!$C$16),1,$C13))*(INDEX(_xlfn.ANCHORARRAY(Sintesi!$C$15),1,$C13)&lt;0)+($E13&gt;=$E12)*($E13&lt;=$E14)*($E13&gt;INDEX(_xlfn.ANCHORARRAY(Sintesi!$C$15),1,$C13))*($E13&lt;INDEX(_xlfn.ANCHORARRAY(Sintesi!$C$16),1,$C13))*(INDEX(_xlfn.ANCHORARRAY(Sintesi!$C$15),1,$C13)&gt;0),2,IF($E13=(INDEX(_xlfn.ANCHORARRAY(Sintesi!$C$16),1,$C13)),3,4)))),0),IF($C13&gt;0,IF(($E13=INDEX(_xlfn.ANCHORARRAY(Sintesi!$C$14),1,$C13))*(INDEX(_xlfn.ANCHORARRAY(Sintesi!$C$15),1,$C13)&gt;0),0,IF(($E13=INDEX(_xlfn.ANCHORARRAY(Sintesi!$C$14),1,$C13))*(INDEX(_xlfn.ANCHORARRAY(Sintesi!$C$15),1,$C13)&lt;0)+($E13&gt;=LOOKUP(2,1/($E:$E&lt;&gt;""),$E:$E))*($E13&lt;=$E14)*($E13&gt;INDEX(_xlfn.ANCHORARRAY(Sintesi!$C$14),1,$C13))*($E13&lt;=INDEX(_xlfn.ANCHORARRAY(Sintesi!$C$15),1,$C13))*(INDEX(_xlfn.ANCHORARRAY(Sintesi!$C$15),1,$C13)&gt;0),1,IF(($E13&gt;=LOOKUP(2,1/($E:$E&lt;&gt;""),$E:$E))*($E13&lt;=$E14)*($E13&gt;INDEX(_xlfn.ANCHORARRAY(Sintesi!$C$14),1,$C13))*($E13&lt;INDEX(_xlfn.ANCHORARRAY(Sintesi!$C$16),1,$C13))*(INDEX(_xlfn.ANCHORARRAY(Sintesi!$C$15),1,$C13)&lt;0)+($E13&gt;=LOOKUP(2,1/($E:$E&lt;&gt;""),$E:$E))*($E13&lt;=$E14)*($E13&gt;INDEX(_xlfn.ANCHORARRAY(Sintesi!$C$15),1,$C13))*($E13&lt;INDEX(_xlfn.ANCHORARRAY(Sintesi!$C$16),1,$C13))*(INDEX(_xlfn.ANCHORARRAY(Sintesi!$C$15),1,$C13)&gt;0),2,IF($E13=(INDEX(_xlfn.ANCHORARRAY(Sintesi!$C$16),1,$C13)),3,4)))),0)))</f>
        <v>0</v>
      </c>
      <c r="E13" s="1">
        <f>'Paste cell here'!F13</f>
        <v>0</v>
      </c>
      <c r="F13" s="1">
        <f>'Paste cell here'!C13</f>
        <v>5.399999999999924</v>
      </c>
      <c r="G13" s="1">
        <f>'Paste cell here'!D13</f>
        <v>-4.4999999999999272</v>
      </c>
      <c r="H13" s="1">
        <f>'Paste cell here'!E13</f>
        <v>0.34309907195468714</v>
      </c>
      <c r="I13" s="1">
        <f>'Paste cell here'!X13</f>
        <v>0</v>
      </c>
      <c r="J13" s="1">
        <f>'Paste cell here'!Y13+'Paste cell here'!S13</f>
        <v>0</v>
      </c>
      <c r="K13" s="1">
        <f t="shared" si="0"/>
        <v>0</v>
      </c>
      <c r="L13" s="1">
        <f t="shared" si="1"/>
        <v>1.8104576694186731</v>
      </c>
      <c r="M13" s="1">
        <f t="array" ref="M13">IF(AND(A13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13&gt;=_xlfn.ANCHORARRAY(Sintesi!$C$9))+(_xlfn.ANCHORARRAY(Sintesi!$C$9)&gt;_xlfn.ANCHORARRAY(Sintesi!$C$10))*(A13&lt;=_xlfn.ANCHORARRAY(Sintesi!$C$10))+(_xlfn.ANCHORARRAY(Sintesi!$C$9)&lt;_xlfn.ANCHORARRAY(Sintesi!$C$10))*(A13&gt;=_xlfn.ANCHORARRAY(Sintesi!$C$9))*(A13&lt;=_xlfn.ANCHORARRAY(Sintesi!$C$10)),0)),0),A13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14&gt;=_xlfn.ANCHORARRAY(Sintesi!$C$9))+(_xlfn.ANCHORARRAY(Sintesi!$C$9)&gt;_xlfn.ANCHORARRAY(Sintesi!$C$10))*(A14&lt;=_xlfn.ANCHORARRAY(Sintesi!$C$10))+(_xlfn.ANCHORARRAY(Sintesi!$C$9)&lt;_xlfn.ANCHORARRAY(Sintesi!$C$10))*(A14&gt;=_xlfn.ANCHORARRAY(Sintesi!$C$9))*(A14&lt;=_xlfn.ANCHORARRAY(Sintesi!$C$10)),0)),0)),IF(L13&lt;_xlfn.IFNA(INDEX(_xlfn.ANCHORARRAY(Sintesi!$C$17),1,MATCH(1,(_xlfn.ANCHORARRAY(Sintesi!$C$9)&gt;_xlfn.ANCHORARRAY(Sintesi!$C$10))*(A12&gt;=_xlfn.ANCHORARRAY(Sintesi!$C$9))+(_xlfn.ANCHORARRAY(Sintesi!$C$9)&gt;_xlfn.ANCHORARRAY(Sintesi!$C$10))*(A12&lt;=_xlfn.ANCHORARRAY(Sintesi!$C$10))+(_xlfn.ANCHORARRAY(Sintesi!$C$9)&lt;_xlfn.ANCHORARRAY(Sintesi!$C$10))*(A12&gt;=_xlfn.ANCHORARRAY(Sintesi!$C$9))*(A12&lt;=_xlfn.ANCHORARRAY(Sintesi!$C$10)),0)),0),1,IF(L13&gt;=_xlfn.IFNA(INDEX(_xlfn.ANCHORARRAY(Sintesi!$C$18),1,MATCH(1,(_xlfn.ANCHORARRAY(Sintesi!$C$9)&gt;_xlfn.ANCHORARRAY(Sintesi!$C$10))*(A12&gt;=_xlfn.ANCHORARRAY(Sintesi!$C$9))+(_xlfn.ANCHORARRAY(Sintesi!$C$9)&gt;_xlfn.ANCHORARRAY(Sintesi!$C$10))*(A12&lt;=_xlfn.ANCHORARRAY(Sintesi!$C$10))+(_xlfn.ANCHORARRAY(Sintesi!$C$9)&lt;_xlfn.ANCHORARRAY(Sintesi!$C$10))*(A12&gt;=_xlfn.ANCHORARRAY(Sintesi!$C$9))*(A12&lt;=_xlfn.ANCHORARRAY(Sintesi!$C$10)),0)),0),0,1-(L13-_xlfn.IFNA(INDEX(_xlfn.ANCHORARRAY(Sintesi!$C$17),1,MATCH(1,(_xlfn.ANCHORARRAY(Sintesi!$C$9)&gt;_xlfn.ANCHORARRAY(Sintesi!$C$10))*(A12&gt;=_xlfn.ANCHORARRAY(Sintesi!$C$9))+(_xlfn.ANCHORARRAY(Sintesi!$C$9)&gt;_xlfn.ANCHORARRAY(Sintesi!$C$10))*(A12&lt;=_xlfn.ANCHORARRAY(Sintesi!$C$10))+(_xlfn.ANCHORARRAY(Sintesi!$C$9)&lt;_xlfn.ANCHORARRAY(Sintesi!$C$10))*(A12&gt;=_xlfn.ANCHORARRAY(Sintesi!$C$9))*(A12&lt;=_xlfn.ANCHORARRAY(Sintesi!$C$10)),0)),0))/(_xlfn.IFNA(INDEX(_xlfn.ANCHORARRAY(Sintesi!$C$18),1,MATCH(1,(_xlfn.ANCHORARRAY(Sintesi!$C$9)&gt;_xlfn.ANCHORARRAY(Sintesi!$C$10))*(A12&gt;=_xlfn.ANCHORARRAY(Sintesi!$C$9))+(_xlfn.ANCHORARRAY(Sintesi!$C$9)&gt;_xlfn.ANCHORARRAY(Sintesi!$C$10))*(A12&lt;=_xlfn.ANCHORARRAY(Sintesi!$C$10))+(_xlfn.ANCHORARRAY(Sintesi!$C$9)&lt;_xlfn.ANCHORARRAY(Sintesi!$C$10))*(A12&gt;=_xlfn.ANCHORARRAY(Sintesi!$C$9))*(A12&lt;=_xlfn.ANCHORARRAY(Sintesi!$C$10)),0)),0)-_xlfn.IFNA(INDEX(_xlfn.ANCHORARRAY(Sintesi!$C$17),1,MATCH(1,(_xlfn.ANCHORARRAY(Sintesi!$C$9)&gt;_xlfn.ANCHORARRAY(Sintesi!$C$10))*(A12&gt;=_xlfn.ANCHORARRAY(Sintesi!$C$9))+(_xlfn.ANCHORARRAY(Sintesi!$C$9)&gt;_xlfn.ANCHORARRAY(Sintesi!$C$10))*(A12&lt;=_xlfn.ANCHORARRAY(Sintesi!$C$10))+(_xlfn.ANCHORARRAY(Sintesi!$C$9)&lt;_xlfn.ANCHORARRAY(Sintesi!$C$10))*(A12&gt;=_xlfn.ANCHORARRAY(Sintesi!$C$9))*(A12&lt;=_xlfn.ANCHORARRAY(Sintesi!$C$10)),0)),0)))),0)</f>
        <v>0</v>
      </c>
      <c r="O13" s="14">
        <v>12</v>
      </c>
      <c r="P13" s="14">
        <v>14</v>
      </c>
      <c r="Q13" s="14">
        <v>7</v>
      </c>
    </row>
    <row r="14" spans="1:18">
      <c r="A14" s="1">
        <f>'Paste cell here'!A14</f>
        <v>13</v>
      </c>
      <c r="B14" s="2">
        <f>DATE(Sintesi!$C$4-1,12,31)+A14</f>
        <v>44209</v>
      </c>
      <c r="C14" s="34">
        <f t="array" ref="C14">_xlfn.IFNA(MATCH(1,((_xlfn.ANCHORARRAY(Sintesi!$C$9)&gt;_xlfn.ANCHORARRAY(Sintesi!$C$10))*(A14&gt;=_xlfn.ANCHORARRAY(Sintesi!$C$9))+(_xlfn.ANCHORARRAY(Sintesi!$C$9)&gt;_xlfn.ANCHORARRAY(Sintesi!$C$10))*(A14&lt;=_xlfn.ANCHORARRAY(Sintesi!$C$10))+(_xlfn.ANCHORARRAY(Sintesi!$C$9)&lt;_xlfn.ANCHORARRAY(Sintesi!$C$10))*(A14&gt;=_xlfn.ANCHORARRAY(Sintesi!$C$9))*(A14&lt;=_xlfn.ANCHORARRAY(Sintesi!$C$10)))*(_xlfn.ANCHORARRAY(Sintesi!$C$15)&gt;=0)+(_xlfn.ANCHORARRAY(Sintesi!$C$15)&lt;0),0),0)</f>
        <v>0</v>
      </c>
      <c r="D14" s="1">
        <f t="array" ref="D14">IF(ISBLANK($E15),IF(ISNUMBER($E13),IF($C14&gt;0,IF(($E14=INDEX(_xlfn.ANCHORARRAY(Sintesi!$C$14),1,$C14))*(INDEX(_xlfn.ANCHORARRAY(Sintesi!$C$15),1,$C14)&gt;0),0,IF(($E14=INDEX(_xlfn.ANCHORARRAY(Sintesi!$C$14),1,$C14))*(INDEX(_xlfn.ANCHORARRAY(Sintesi!$C$15),1,$C14)&lt;0)+($E14&gt;=$E13)*($E14&lt;=INDEX($E:$E,MATCH(TRUE,INDEX((ISNUMBER($E:$E)),0),0)))*($E14&gt;INDEX(_xlfn.ANCHORARRAY(Sintesi!$C$14),1,$C14))*($E14&lt;=INDEX(_xlfn.ANCHORARRAY(Sintesi!$C$15),1,$C14))*(INDEX(_xlfn.ANCHORARRAY(Sintesi!$C$15),1,$C14)&gt;0),1,IF(($E14&gt;=$E13)*($E14&lt;=INDEX($E:$E,MATCH(TRUE,INDEX((ISNUMBER($E:$E)),0),0)))*($E14&gt;INDEX(_xlfn.ANCHORARRAY(Sintesi!$C$14),1,$C14))*($E14&lt;INDEX(_xlfn.ANCHORARRAY(Sintesi!$C$16),1,$C14))*(INDEX(_xlfn.ANCHORARRAY(Sintesi!$C$15),1,$C14)&lt;0)+($E14&gt;=$E13)*($E14&lt;=INDEX($E:$E,MATCH(TRUE,INDEX((ISNUMBER($E:$E)),0),0)))*($E14&gt;INDEX(_xlfn.ANCHORARRAY(Sintesi!$C$15),1,$C14))*($E14&lt;INDEX(_xlfn.ANCHORARRAY(Sintesi!$C$16),1,$C14))*(INDEX(_xlfn.ANCHORARRAY(Sintesi!$C$15),1,$C14)&gt;0),2,IF($E14=(INDEX(_xlfn.ANCHORARRAY(Sintesi!$C$16),1,$C14)),3,4)))),0),IF($C14&gt;0,IF(($E14=INDEX(_xlfn.ANCHORARRAY(Sintesi!$C$14),1,$C14))*(INDEX(_xlfn.ANCHORARRAY(Sintesi!$C$15),1,$C14)&gt;0),0,IF(($E14=INDEX(_xlfn.ANCHORARRAY(Sintesi!$C$14),1,$C14))*(INDEX(_xlfn.ANCHORARRAY(Sintesi!$C$15),1,$C14)&lt;0)+($E14&gt;=LOOKUP(2,1/($E:$E&lt;&gt;""),$E:$E))*($E14&lt;=INDEX($E:$E,MATCH(TRUE,INDEX((ISNUMBER($E:$E)),0),0)))*($E14&gt;INDEX(_xlfn.ANCHORARRAY(Sintesi!$C$14),1,$C14))*($E14&lt;=INDEX(_xlfn.ANCHORARRAY(Sintesi!$C$15),1,$C14))*(INDEX(_xlfn.ANCHORARRAY(Sintesi!$C$15),1,$C14)&gt;0),1,IF(($E14&gt;=LOOKUP(2,1/($E:$E&lt;&gt;""),$E:$E))*($E14&lt;=INDEX($E:$E,MATCH(TRUE,INDEX((ISNUMBER($E:$E)),0),0)))*($E14&gt;INDEX(_xlfn.ANCHORARRAY(Sintesi!$C$14),1,$C14))*($E14&lt;INDEX(_xlfn.ANCHORARRAY(Sintesi!$C$16),1,$C14))*(INDEX(_xlfn.ANCHORARRAY(Sintesi!$C$15),1,$C14)&lt;0)+($E14&gt;=LOOKUP(2,1/($E:$E&lt;&gt;""),$E:$E))*($E14&lt;=INDEX($E:$E,MATCH(TRUE,INDEX((ISNUMBER($E:$E)),0),0)))*($E14&gt;INDEX(_xlfn.ANCHORARRAY(Sintesi!$C$15),1,$C14))*($E14&lt;INDEX(_xlfn.ANCHORARRAY(Sintesi!$C$16),1,$C14))*(INDEX(_xlfn.ANCHORARRAY(Sintesi!$C$15),1,$C14)&gt;0),2,IF($E14=(INDEX(_xlfn.ANCHORARRAY(Sintesi!$C$16),1,$C14)),3,4)))),0)),IF(ISNUMBER($E13),IF($C14&gt;0,IF(($E14=INDEX(_xlfn.ANCHORARRAY(Sintesi!$C$14),1,$C14))*(INDEX(_xlfn.ANCHORARRAY(Sintesi!$C$15),1,$C14)&gt;0),0,IF(($E14=INDEX(_xlfn.ANCHORARRAY(Sintesi!$C$14),1,$C14))*(INDEX(_xlfn.ANCHORARRAY(Sintesi!$C$15),1,$C14)&lt;0)+($E14&gt;=$E13)*($E14&lt;=$E15)*($E14&gt;INDEX(_xlfn.ANCHORARRAY(Sintesi!$C$14),1,$C14))*($E14&lt;=INDEX(_xlfn.ANCHORARRAY(Sintesi!$C$15),1,$C14))*(INDEX(_xlfn.ANCHORARRAY(Sintesi!$C$15),1,$C14)&gt;0),1,IF(($E14&gt;=$E13)*($E14&lt;=$E15)*($E14&gt;INDEX(_xlfn.ANCHORARRAY(Sintesi!$C$14),1,$C14))*($E14&lt;INDEX(_xlfn.ANCHORARRAY(Sintesi!$C$16),1,$C14))*(INDEX(_xlfn.ANCHORARRAY(Sintesi!$C$15),1,$C14)&lt;0)+($E14&gt;=$E13)*($E14&lt;=$E15)*($E14&gt;INDEX(_xlfn.ANCHORARRAY(Sintesi!$C$15),1,$C14))*($E14&lt;INDEX(_xlfn.ANCHORARRAY(Sintesi!$C$16),1,$C14))*(INDEX(_xlfn.ANCHORARRAY(Sintesi!$C$15),1,$C14)&gt;0),2,IF($E14=(INDEX(_xlfn.ANCHORARRAY(Sintesi!$C$16),1,$C14)),3,4)))),0),IF($C14&gt;0,IF(($E14=INDEX(_xlfn.ANCHORARRAY(Sintesi!$C$14),1,$C14))*(INDEX(_xlfn.ANCHORARRAY(Sintesi!$C$15),1,$C14)&gt;0),0,IF(($E14=INDEX(_xlfn.ANCHORARRAY(Sintesi!$C$14),1,$C14))*(INDEX(_xlfn.ANCHORARRAY(Sintesi!$C$15),1,$C14)&lt;0)+($E14&gt;=LOOKUP(2,1/($E:$E&lt;&gt;""),$E:$E))*($E14&lt;=$E15)*($E14&gt;INDEX(_xlfn.ANCHORARRAY(Sintesi!$C$14),1,$C14))*($E14&lt;=INDEX(_xlfn.ANCHORARRAY(Sintesi!$C$15),1,$C14))*(INDEX(_xlfn.ANCHORARRAY(Sintesi!$C$15),1,$C14)&gt;0),1,IF(($E14&gt;=LOOKUP(2,1/($E:$E&lt;&gt;""),$E:$E))*($E14&lt;=$E15)*($E14&gt;INDEX(_xlfn.ANCHORARRAY(Sintesi!$C$14),1,$C14))*($E14&lt;INDEX(_xlfn.ANCHORARRAY(Sintesi!$C$16),1,$C14))*(INDEX(_xlfn.ANCHORARRAY(Sintesi!$C$15),1,$C14)&lt;0)+($E14&gt;=LOOKUP(2,1/($E:$E&lt;&gt;""),$E:$E))*($E14&lt;=$E15)*($E14&gt;INDEX(_xlfn.ANCHORARRAY(Sintesi!$C$15),1,$C14))*($E14&lt;INDEX(_xlfn.ANCHORARRAY(Sintesi!$C$16),1,$C14))*(INDEX(_xlfn.ANCHORARRAY(Sintesi!$C$15),1,$C14)&gt;0),2,IF($E14=(INDEX(_xlfn.ANCHORARRAY(Sintesi!$C$16),1,$C14)),3,4)))),0)))</f>
        <v>0</v>
      </c>
      <c r="E14" s="1">
        <f>'Paste cell here'!F14</f>
        <v>0</v>
      </c>
      <c r="F14" s="1">
        <f>'Paste cell here'!C14</f>
        <v>13.279999999999825</v>
      </c>
      <c r="G14" s="1">
        <f>'Paste cell here'!D14</f>
        <v>-1.8999999999999604</v>
      </c>
      <c r="H14" s="1">
        <f>'Paste cell here'!E14</f>
        <v>0.6029275548172266</v>
      </c>
      <c r="I14" s="1">
        <f>'Paste cell here'!X14</f>
        <v>0</v>
      </c>
      <c r="J14" s="1">
        <f>'Paste cell here'!Y14+'Paste cell here'!S14</f>
        <v>0</v>
      </c>
      <c r="K14" s="1">
        <f t="shared" si="0"/>
        <v>0</v>
      </c>
      <c r="L14" s="1">
        <f t="shared" si="1"/>
        <v>7.7760350931085682</v>
      </c>
      <c r="M14" s="1">
        <f t="array" ref="M14">IF(AND(A14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14&gt;=_xlfn.ANCHORARRAY(Sintesi!$C$9))+(_xlfn.ANCHORARRAY(Sintesi!$C$9)&gt;_xlfn.ANCHORARRAY(Sintesi!$C$10))*(A14&lt;=_xlfn.ANCHORARRAY(Sintesi!$C$10))+(_xlfn.ANCHORARRAY(Sintesi!$C$9)&lt;_xlfn.ANCHORARRAY(Sintesi!$C$10))*(A14&gt;=_xlfn.ANCHORARRAY(Sintesi!$C$9))*(A14&lt;=_xlfn.ANCHORARRAY(Sintesi!$C$10)),0)),0),A14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15&gt;=_xlfn.ANCHORARRAY(Sintesi!$C$9))+(_xlfn.ANCHORARRAY(Sintesi!$C$9)&gt;_xlfn.ANCHORARRAY(Sintesi!$C$10))*(A15&lt;=_xlfn.ANCHORARRAY(Sintesi!$C$10))+(_xlfn.ANCHORARRAY(Sintesi!$C$9)&lt;_xlfn.ANCHORARRAY(Sintesi!$C$10))*(A15&gt;=_xlfn.ANCHORARRAY(Sintesi!$C$9))*(A15&lt;=_xlfn.ANCHORARRAY(Sintesi!$C$10)),0)),0)),IF(L14&lt;_xlfn.IFNA(INDEX(_xlfn.ANCHORARRAY(Sintesi!$C$17),1,MATCH(1,(_xlfn.ANCHORARRAY(Sintesi!$C$9)&gt;_xlfn.ANCHORARRAY(Sintesi!$C$10))*(A13&gt;=_xlfn.ANCHORARRAY(Sintesi!$C$9))+(_xlfn.ANCHORARRAY(Sintesi!$C$9)&gt;_xlfn.ANCHORARRAY(Sintesi!$C$10))*(A13&lt;=_xlfn.ANCHORARRAY(Sintesi!$C$10))+(_xlfn.ANCHORARRAY(Sintesi!$C$9)&lt;_xlfn.ANCHORARRAY(Sintesi!$C$10))*(A13&gt;=_xlfn.ANCHORARRAY(Sintesi!$C$9))*(A13&lt;=_xlfn.ANCHORARRAY(Sintesi!$C$10)),0)),0),1,IF(L14&gt;=_xlfn.IFNA(INDEX(_xlfn.ANCHORARRAY(Sintesi!$C$18),1,MATCH(1,(_xlfn.ANCHORARRAY(Sintesi!$C$9)&gt;_xlfn.ANCHORARRAY(Sintesi!$C$10))*(A13&gt;=_xlfn.ANCHORARRAY(Sintesi!$C$9))+(_xlfn.ANCHORARRAY(Sintesi!$C$9)&gt;_xlfn.ANCHORARRAY(Sintesi!$C$10))*(A13&lt;=_xlfn.ANCHORARRAY(Sintesi!$C$10))+(_xlfn.ANCHORARRAY(Sintesi!$C$9)&lt;_xlfn.ANCHORARRAY(Sintesi!$C$10))*(A13&gt;=_xlfn.ANCHORARRAY(Sintesi!$C$9))*(A13&lt;=_xlfn.ANCHORARRAY(Sintesi!$C$10)),0)),0),0,1-(L14-_xlfn.IFNA(INDEX(_xlfn.ANCHORARRAY(Sintesi!$C$17),1,MATCH(1,(_xlfn.ANCHORARRAY(Sintesi!$C$9)&gt;_xlfn.ANCHORARRAY(Sintesi!$C$10))*(A13&gt;=_xlfn.ANCHORARRAY(Sintesi!$C$9))+(_xlfn.ANCHORARRAY(Sintesi!$C$9)&gt;_xlfn.ANCHORARRAY(Sintesi!$C$10))*(A13&lt;=_xlfn.ANCHORARRAY(Sintesi!$C$10))+(_xlfn.ANCHORARRAY(Sintesi!$C$9)&lt;_xlfn.ANCHORARRAY(Sintesi!$C$10))*(A13&gt;=_xlfn.ANCHORARRAY(Sintesi!$C$9))*(A13&lt;=_xlfn.ANCHORARRAY(Sintesi!$C$10)),0)),0))/(_xlfn.IFNA(INDEX(_xlfn.ANCHORARRAY(Sintesi!$C$18),1,MATCH(1,(_xlfn.ANCHORARRAY(Sintesi!$C$9)&gt;_xlfn.ANCHORARRAY(Sintesi!$C$10))*(A13&gt;=_xlfn.ANCHORARRAY(Sintesi!$C$9))+(_xlfn.ANCHORARRAY(Sintesi!$C$9)&gt;_xlfn.ANCHORARRAY(Sintesi!$C$10))*(A13&lt;=_xlfn.ANCHORARRAY(Sintesi!$C$10))+(_xlfn.ANCHORARRAY(Sintesi!$C$9)&lt;_xlfn.ANCHORARRAY(Sintesi!$C$10))*(A13&gt;=_xlfn.ANCHORARRAY(Sintesi!$C$9))*(A13&lt;=_xlfn.ANCHORARRAY(Sintesi!$C$10)),0)),0)-_xlfn.IFNA(INDEX(_xlfn.ANCHORARRAY(Sintesi!$C$17),1,MATCH(1,(_xlfn.ANCHORARRAY(Sintesi!$C$9)&gt;_xlfn.ANCHORARRAY(Sintesi!$C$10))*(A13&gt;=_xlfn.ANCHORARRAY(Sintesi!$C$9))+(_xlfn.ANCHORARRAY(Sintesi!$C$9)&gt;_xlfn.ANCHORARRAY(Sintesi!$C$10))*(A13&lt;=_xlfn.ANCHORARRAY(Sintesi!$C$10))+(_xlfn.ANCHORARRAY(Sintesi!$C$9)&lt;_xlfn.ANCHORARRAY(Sintesi!$C$10))*(A13&gt;=_xlfn.ANCHORARRAY(Sintesi!$C$9))*(A13&lt;=_xlfn.ANCHORARRAY(Sintesi!$C$10)),0)),0)))),0)</f>
        <v>0</v>
      </c>
    </row>
    <row r="15" spans="1:18">
      <c r="A15" s="1">
        <f>'Paste cell here'!A15</f>
        <v>14</v>
      </c>
      <c r="B15" s="2">
        <f>DATE(Sintesi!$C$4-1,12,31)+A15</f>
        <v>44210</v>
      </c>
      <c r="C15" s="34">
        <f t="array" ref="C15">_xlfn.IFNA(MATCH(1,((_xlfn.ANCHORARRAY(Sintesi!$C$9)&gt;_xlfn.ANCHORARRAY(Sintesi!$C$10))*(A15&gt;=_xlfn.ANCHORARRAY(Sintesi!$C$9))+(_xlfn.ANCHORARRAY(Sintesi!$C$9)&gt;_xlfn.ANCHORARRAY(Sintesi!$C$10))*(A15&lt;=_xlfn.ANCHORARRAY(Sintesi!$C$10))+(_xlfn.ANCHORARRAY(Sintesi!$C$9)&lt;_xlfn.ANCHORARRAY(Sintesi!$C$10))*(A15&gt;=_xlfn.ANCHORARRAY(Sintesi!$C$9))*(A15&lt;=_xlfn.ANCHORARRAY(Sintesi!$C$10)))*(_xlfn.ANCHORARRAY(Sintesi!$C$15)&gt;=0)+(_xlfn.ANCHORARRAY(Sintesi!$C$15)&lt;0),0),0)</f>
        <v>0</v>
      </c>
      <c r="D15" s="1">
        <f t="array" ref="D15">IF(ISBLANK($E16),IF(ISNUMBER($E14),IF($C15&gt;0,IF(($E15=INDEX(_xlfn.ANCHORARRAY(Sintesi!$C$14),1,$C15))*(INDEX(_xlfn.ANCHORARRAY(Sintesi!$C$15),1,$C15)&gt;0),0,IF(($E15=INDEX(_xlfn.ANCHORARRAY(Sintesi!$C$14),1,$C15))*(INDEX(_xlfn.ANCHORARRAY(Sintesi!$C$15),1,$C15)&lt;0)+($E15&gt;=$E14)*($E15&lt;=INDEX($E:$E,MATCH(TRUE,INDEX((ISNUMBER($E:$E)),0),0)))*($E15&gt;INDEX(_xlfn.ANCHORARRAY(Sintesi!$C$14),1,$C15))*($E15&lt;=INDEX(_xlfn.ANCHORARRAY(Sintesi!$C$15),1,$C15))*(INDEX(_xlfn.ANCHORARRAY(Sintesi!$C$15),1,$C15)&gt;0),1,IF(($E15&gt;=$E14)*($E15&lt;=INDEX($E:$E,MATCH(TRUE,INDEX((ISNUMBER($E:$E)),0),0)))*($E15&gt;INDEX(_xlfn.ANCHORARRAY(Sintesi!$C$14),1,$C15))*($E15&lt;INDEX(_xlfn.ANCHORARRAY(Sintesi!$C$16),1,$C15))*(INDEX(_xlfn.ANCHORARRAY(Sintesi!$C$15),1,$C15)&lt;0)+($E15&gt;=$E14)*($E15&lt;=INDEX($E:$E,MATCH(TRUE,INDEX((ISNUMBER($E:$E)),0),0)))*($E15&gt;INDEX(_xlfn.ANCHORARRAY(Sintesi!$C$15),1,$C15))*($E15&lt;INDEX(_xlfn.ANCHORARRAY(Sintesi!$C$16),1,$C15))*(INDEX(_xlfn.ANCHORARRAY(Sintesi!$C$15),1,$C15)&gt;0),2,IF($E15=(INDEX(_xlfn.ANCHORARRAY(Sintesi!$C$16),1,$C15)),3,4)))),0),IF($C15&gt;0,IF(($E15=INDEX(_xlfn.ANCHORARRAY(Sintesi!$C$14),1,$C15))*(INDEX(_xlfn.ANCHORARRAY(Sintesi!$C$15),1,$C15)&gt;0),0,IF(($E15=INDEX(_xlfn.ANCHORARRAY(Sintesi!$C$14),1,$C15))*(INDEX(_xlfn.ANCHORARRAY(Sintesi!$C$15),1,$C15)&lt;0)+($E15&gt;=LOOKUP(2,1/($E:$E&lt;&gt;""),$E:$E))*($E15&lt;=INDEX($E:$E,MATCH(TRUE,INDEX((ISNUMBER($E:$E)),0),0)))*($E15&gt;INDEX(_xlfn.ANCHORARRAY(Sintesi!$C$14),1,$C15))*($E15&lt;=INDEX(_xlfn.ANCHORARRAY(Sintesi!$C$15),1,$C15))*(INDEX(_xlfn.ANCHORARRAY(Sintesi!$C$15),1,$C15)&gt;0),1,IF(($E15&gt;=LOOKUP(2,1/($E:$E&lt;&gt;""),$E:$E))*($E15&lt;=INDEX($E:$E,MATCH(TRUE,INDEX((ISNUMBER($E:$E)),0),0)))*($E15&gt;INDEX(_xlfn.ANCHORARRAY(Sintesi!$C$14),1,$C15))*($E15&lt;INDEX(_xlfn.ANCHORARRAY(Sintesi!$C$16),1,$C15))*(INDEX(_xlfn.ANCHORARRAY(Sintesi!$C$15),1,$C15)&lt;0)+($E15&gt;=LOOKUP(2,1/($E:$E&lt;&gt;""),$E:$E))*($E15&lt;=INDEX($E:$E,MATCH(TRUE,INDEX((ISNUMBER($E:$E)),0),0)))*($E15&gt;INDEX(_xlfn.ANCHORARRAY(Sintesi!$C$15),1,$C15))*($E15&lt;INDEX(_xlfn.ANCHORARRAY(Sintesi!$C$16),1,$C15))*(INDEX(_xlfn.ANCHORARRAY(Sintesi!$C$15),1,$C15)&gt;0),2,IF($E15=(INDEX(_xlfn.ANCHORARRAY(Sintesi!$C$16),1,$C15)),3,4)))),0)),IF(ISNUMBER($E14),IF($C15&gt;0,IF(($E15=INDEX(_xlfn.ANCHORARRAY(Sintesi!$C$14),1,$C15))*(INDEX(_xlfn.ANCHORARRAY(Sintesi!$C$15),1,$C15)&gt;0),0,IF(($E15=INDEX(_xlfn.ANCHORARRAY(Sintesi!$C$14),1,$C15))*(INDEX(_xlfn.ANCHORARRAY(Sintesi!$C$15),1,$C15)&lt;0)+($E15&gt;=$E14)*($E15&lt;=$E16)*($E15&gt;INDEX(_xlfn.ANCHORARRAY(Sintesi!$C$14),1,$C15))*($E15&lt;=INDEX(_xlfn.ANCHORARRAY(Sintesi!$C$15),1,$C15))*(INDEX(_xlfn.ANCHORARRAY(Sintesi!$C$15),1,$C15)&gt;0),1,IF(($E15&gt;=$E14)*($E15&lt;=$E16)*($E15&gt;INDEX(_xlfn.ANCHORARRAY(Sintesi!$C$14),1,$C15))*($E15&lt;INDEX(_xlfn.ANCHORARRAY(Sintesi!$C$16),1,$C15))*(INDEX(_xlfn.ANCHORARRAY(Sintesi!$C$15),1,$C15)&lt;0)+($E15&gt;=$E14)*($E15&lt;=$E16)*($E15&gt;INDEX(_xlfn.ANCHORARRAY(Sintesi!$C$15),1,$C15))*($E15&lt;INDEX(_xlfn.ANCHORARRAY(Sintesi!$C$16),1,$C15))*(INDEX(_xlfn.ANCHORARRAY(Sintesi!$C$15),1,$C15)&gt;0),2,IF($E15=(INDEX(_xlfn.ANCHORARRAY(Sintesi!$C$16),1,$C15)),3,4)))),0),IF($C15&gt;0,IF(($E15=INDEX(_xlfn.ANCHORARRAY(Sintesi!$C$14),1,$C15))*(INDEX(_xlfn.ANCHORARRAY(Sintesi!$C$15),1,$C15)&gt;0),0,IF(($E15=INDEX(_xlfn.ANCHORARRAY(Sintesi!$C$14),1,$C15))*(INDEX(_xlfn.ANCHORARRAY(Sintesi!$C$15),1,$C15)&lt;0)+($E15&gt;=LOOKUP(2,1/($E:$E&lt;&gt;""),$E:$E))*($E15&lt;=$E16)*($E15&gt;INDEX(_xlfn.ANCHORARRAY(Sintesi!$C$14),1,$C15))*($E15&lt;=INDEX(_xlfn.ANCHORARRAY(Sintesi!$C$15),1,$C15))*(INDEX(_xlfn.ANCHORARRAY(Sintesi!$C$15),1,$C15)&gt;0),1,IF(($E15&gt;=LOOKUP(2,1/($E:$E&lt;&gt;""),$E:$E))*($E15&lt;=$E16)*($E15&gt;INDEX(_xlfn.ANCHORARRAY(Sintesi!$C$14),1,$C15))*($E15&lt;INDEX(_xlfn.ANCHORARRAY(Sintesi!$C$16),1,$C15))*(INDEX(_xlfn.ANCHORARRAY(Sintesi!$C$15),1,$C15)&lt;0)+($E15&gt;=LOOKUP(2,1/($E:$E&lt;&gt;""),$E:$E))*($E15&lt;=$E16)*($E15&gt;INDEX(_xlfn.ANCHORARRAY(Sintesi!$C$15),1,$C15))*($E15&lt;INDEX(_xlfn.ANCHORARRAY(Sintesi!$C$16),1,$C15))*(INDEX(_xlfn.ANCHORARRAY(Sintesi!$C$15),1,$C15)&gt;0),2,IF($E15=(INDEX(_xlfn.ANCHORARRAY(Sintesi!$C$16),1,$C15)),3,4)))),0)))</f>
        <v>0</v>
      </c>
      <c r="E15" s="1">
        <f>'Paste cell here'!F15</f>
        <v>0</v>
      </c>
      <c r="F15" s="1">
        <f>'Paste cell here'!C15</f>
        <v>11.059999999999874</v>
      </c>
      <c r="G15" s="1">
        <f>'Paste cell here'!D15</f>
        <v>-2.1199999999999561</v>
      </c>
      <c r="H15" s="1">
        <f>'Paste cell here'!E15</f>
        <v>0.68325825495596382</v>
      </c>
      <c r="I15" s="1">
        <f>'Paste cell here'!X15</f>
        <v>0</v>
      </c>
      <c r="J15" s="1">
        <f>'Paste cell here'!Y15+'Paste cell here'!S15</f>
        <v>0</v>
      </c>
      <c r="K15" s="1">
        <f t="shared" si="0"/>
        <v>0</v>
      </c>
      <c r="L15" s="1">
        <f t="shared" si="1"/>
        <v>6.2811951598927038</v>
      </c>
      <c r="M15" s="1">
        <f t="array" ref="M15">IF(AND(A15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15&gt;=_xlfn.ANCHORARRAY(Sintesi!$C$9))+(_xlfn.ANCHORARRAY(Sintesi!$C$9)&gt;_xlfn.ANCHORARRAY(Sintesi!$C$10))*(A15&lt;=_xlfn.ANCHORARRAY(Sintesi!$C$10))+(_xlfn.ANCHORARRAY(Sintesi!$C$9)&lt;_xlfn.ANCHORARRAY(Sintesi!$C$10))*(A15&gt;=_xlfn.ANCHORARRAY(Sintesi!$C$9))*(A15&lt;=_xlfn.ANCHORARRAY(Sintesi!$C$10)),0)),0),A15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16&gt;=_xlfn.ANCHORARRAY(Sintesi!$C$9))+(_xlfn.ANCHORARRAY(Sintesi!$C$9)&gt;_xlfn.ANCHORARRAY(Sintesi!$C$10))*(A16&lt;=_xlfn.ANCHORARRAY(Sintesi!$C$10))+(_xlfn.ANCHORARRAY(Sintesi!$C$9)&lt;_xlfn.ANCHORARRAY(Sintesi!$C$10))*(A16&gt;=_xlfn.ANCHORARRAY(Sintesi!$C$9))*(A16&lt;=_xlfn.ANCHORARRAY(Sintesi!$C$10)),0)),0)),IF(L15&lt;_xlfn.IFNA(INDEX(_xlfn.ANCHORARRAY(Sintesi!$C$17),1,MATCH(1,(_xlfn.ANCHORARRAY(Sintesi!$C$9)&gt;_xlfn.ANCHORARRAY(Sintesi!$C$10))*(A14&gt;=_xlfn.ANCHORARRAY(Sintesi!$C$9))+(_xlfn.ANCHORARRAY(Sintesi!$C$9)&gt;_xlfn.ANCHORARRAY(Sintesi!$C$10))*(A14&lt;=_xlfn.ANCHORARRAY(Sintesi!$C$10))+(_xlfn.ANCHORARRAY(Sintesi!$C$9)&lt;_xlfn.ANCHORARRAY(Sintesi!$C$10))*(A14&gt;=_xlfn.ANCHORARRAY(Sintesi!$C$9))*(A14&lt;=_xlfn.ANCHORARRAY(Sintesi!$C$10)),0)),0),1,IF(L15&gt;=_xlfn.IFNA(INDEX(_xlfn.ANCHORARRAY(Sintesi!$C$18),1,MATCH(1,(_xlfn.ANCHORARRAY(Sintesi!$C$9)&gt;_xlfn.ANCHORARRAY(Sintesi!$C$10))*(A14&gt;=_xlfn.ANCHORARRAY(Sintesi!$C$9))+(_xlfn.ANCHORARRAY(Sintesi!$C$9)&gt;_xlfn.ANCHORARRAY(Sintesi!$C$10))*(A14&lt;=_xlfn.ANCHORARRAY(Sintesi!$C$10))+(_xlfn.ANCHORARRAY(Sintesi!$C$9)&lt;_xlfn.ANCHORARRAY(Sintesi!$C$10))*(A14&gt;=_xlfn.ANCHORARRAY(Sintesi!$C$9))*(A14&lt;=_xlfn.ANCHORARRAY(Sintesi!$C$10)),0)),0),0,1-(L15-_xlfn.IFNA(INDEX(_xlfn.ANCHORARRAY(Sintesi!$C$17),1,MATCH(1,(_xlfn.ANCHORARRAY(Sintesi!$C$9)&gt;_xlfn.ANCHORARRAY(Sintesi!$C$10))*(A14&gt;=_xlfn.ANCHORARRAY(Sintesi!$C$9))+(_xlfn.ANCHORARRAY(Sintesi!$C$9)&gt;_xlfn.ANCHORARRAY(Sintesi!$C$10))*(A14&lt;=_xlfn.ANCHORARRAY(Sintesi!$C$10))+(_xlfn.ANCHORARRAY(Sintesi!$C$9)&lt;_xlfn.ANCHORARRAY(Sintesi!$C$10))*(A14&gt;=_xlfn.ANCHORARRAY(Sintesi!$C$9))*(A14&lt;=_xlfn.ANCHORARRAY(Sintesi!$C$10)),0)),0))/(_xlfn.IFNA(INDEX(_xlfn.ANCHORARRAY(Sintesi!$C$18),1,MATCH(1,(_xlfn.ANCHORARRAY(Sintesi!$C$9)&gt;_xlfn.ANCHORARRAY(Sintesi!$C$10))*(A14&gt;=_xlfn.ANCHORARRAY(Sintesi!$C$9))+(_xlfn.ANCHORARRAY(Sintesi!$C$9)&gt;_xlfn.ANCHORARRAY(Sintesi!$C$10))*(A14&lt;=_xlfn.ANCHORARRAY(Sintesi!$C$10))+(_xlfn.ANCHORARRAY(Sintesi!$C$9)&lt;_xlfn.ANCHORARRAY(Sintesi!$C$10))*(A14&gt;=_xlfn.ANCHORARRAY(Sintesi!$C$9))*(A14&lt;=_xlfn.ANCHORARRAY(Sintesi!$C$10)),0)),0)-_xlfn.IFNA(INDEX(_xlfn.ANCHORARRAY(Sintesi!$C$17),1,MATCH(1,(_xlfn.ANCHORARRAY(Sintesi!$C$9)&gt;_xlfn.ANCHORARRAY(Sintesi!$C$10))*(A14&gt;=_xlfn.ANCHORARRAY(Sintesi!$C$9))+(_xlfn.ANCHORARRAY(Sintesi!$C$9)&gt;_xlfn.ANCHORARRAY(Sintesi!$C$10))*(A14&lt;=_xlfn.ANCHORARRAY(Sintesi!$C$10))+(_xlfn.ANCHORARRAY(Sintesi!$C$9)&lt;_xlfn.ANCHORARRAY(Sintesi!$C$10))*(A14&gt;=_xlfn.ANCHORARRAY(Sintesi!$C$9))*(A14&lt;=_xlfn.ANCHORARRAY(Sintesi!$C$10)),0)),0)))),0)</f>
        <v>0</v>
      </c>
    </row>
    <row r="16" spans="1:18">
      <c r="A16" s="1">
        <f>'Paste cell here'!A16</f>
        <v>15</v>
      </c>
      <c r="B16" s="2">
        <f>DATE(Sintesi!$C$4-1,12,31)+A16</f>
        <v>44211</v>
      </c>
      <c r="C16" s="34">
        <f t="array" ref="C16">_xlfn.IFNA(MATCH(1,((_xlfn.ANCHORARRAY(Sintesi!$C$9)&gt;_xlfn.ANCHORARRAY(Sintesi!$C$10))*(A16&gt;=_xlfn.ANCHORARRAY(Sintesi!$C$9))+(_xlfn.ANCHORARRAY(Sintesi!$C$9)&gt;_xlfn.ANCHORARRAY(Sintesi!$C$10))*(A16&lt;=_xlfn.ANCHORARRAY(Sintesi!$C$10))+(_xlfn.ANCHORARRAY(Sintesi!$C$9)&lt;_xlfn.ANCHORARRAY(Sintesi!$C$10))*(A16&gt;=_xlfn.ANCHORARRAY(Sintesi!$C$9))*(A16&lt;=_xlfn.ANCHORARRAY(Sintesi!$C$10)))*(_xlfn.ANCHORARRAY(Sintesi!$C$15)&gt;=0)+(_xlfn.ANCHORARRAY(Sintesi!$C$15)&lt;0),0),0)</f>
        <v>0</v>
      </c>
      <c r="D16" s="1">
        <f t="array" ref="D16">IF(ISBLANK($E17),IF(ISNUMBER($E15),IF($C16&gt;0,IF(($E16=INDEX(_xlfn.ANCHORARRAY(Sintesi!$C$14),1,$C16))*(INDEX(_xlfn.ANCHORARRAY(Sintesi!$C$15),1,$C16)&gt;0),0,IF(($E16=INDEX(_xlfn.ANCHORARRAY(Sintesi!$C$14),1,$C16))*(INDEX(_xlfn.ANCHORARRAY(Sintesi!$C$15),1,$C16)&lt;0)+($E16&gt;=$E15)*($E16&lt;=INDEX($E:$E,MATCH(TRUE,INDEX((ISNUMBER($E:$E)),0),0)))*($E16&gt;INDEX(_xlfn.ANCHORARRAY(Sintesi!$C$14),1,$C16))*($E16&lt;=INDEX(_xlfn.ANCHORARRAY(Sintesi!$C$15),1,$C16))*(INDEX(_xlfn.ANCHORARRAY(Sintesi!$C$15),1,$C16)&gt;0),1,IF(($E16&gt;=$E15)*($E16&lt;=INDEX($E:$E,MATCH(TRUE,INDEX((ISNUMBER($E:$E)),0),0)))*($E16&gt;INDEX(_xlfn.ANCHORARRAY(Sintesi!$C$14),1,$C16))*($E16&lt;INDEX(_xlfn.ANCHORARRAY(Sintesi!$C$16),1,$C16))*(INDEX(_xlfn.ANCHORARRAY(Sintesi!$C$15),1,$C16)&lt;0)+($E16&gt;=$E15)*($E16&lt;=INDEX($E:$E,MATCH(TRUE,INDEX((ISNUMBER($E:$E)),0),0)))*($E16&gt;INDEX(_xlfn.ANCHORARRAY(Sintesi!$C$15),1,$C16))*($E16&lt;INDEX(_xlfn.ANCHORARRAY(Sintesi!$C$16),1,$C16))*(INDEX(_xlfn.ANCHORARRAY(Sintesi!$C$15),1,$C16)&gt;0),2,IF($E16=(INDEX(_xlfn.ANCHORARRAY(Sintesi!$C$16),1,$C16)),3,4)))),0),IF($C16&gt;0,IF(($E16=INDEX(_xlfn.ANCHORARRAY(Sintesi!$C$14),1,$C16))*(INDEX(_xlfn.ANCHORARRAY(Sintesi!$C$15),1,$C16)&gt;0),0,IF(($E16=INDEX(_xlfn.ANCHORARRAY(Sintesi!$C$14),1,$C16))*(INDEX(_xlfn.ANCHORARRAY(Sintesi!$C$15),1,$C16)&lt;0)+($E16&gt;=LOOKUP(2,1/($E:$E&lt;&gt;""),$E:$E))*($E16&lt;=INDEX($E:$E,MATCH(TRUE,INDEX((ISNUMBER($E:$E)),0),0)))*($E16&gt;INDEX(_xlfn.ANCHORARRAY(Sintesi!$C$14),1,$C16))*($E16&lt;=INDEX(_xlfn.ANCHORARRAY(Sintesi!$C$15),1,$C16))*(INDEX(_xlfn.ANCHORARRAY(Sintesi!$C$15),1,$C16)&gt;0),1,IF(($E16&gt;=LOOKUP(2,1/($E:$E&lt;&gt;""),$E:$E))*($E16&lt;=INDEX($E:$E,MATCH(TRUE,INDEX((ISNUMBER($E:$E)),0),0)))*($E16&gt;INDEX(_xlfn.ANCHORARRAY(Sintesi!$C$14),1,$C16))*($E16&lt;INDEX(_xlfn.ANCHORARRAY(Sintesi!$C$16),1,$C16))*(INDEX(_xlfn.ANCHORARRAY(Sintesi!$C$15),1,$C16)&lt;0)+($E16&gt;=LOOKUP(2,1/($E:$E&lt;&gt;""),$E:$E))*($E16&lt;=INDEX($E:$E,MATCH(TRUE,INDEX((ISNUMBER($E:$E)),0),0)))*($E16&gt;INDEX(_xlfn.ANCHORARRAY(Sintesi!$C$15),1,$C16))*($E16&lt;INDEX(_xlfn.ANCHORARRAY(Sintesi!$C$16),1,$C16))*(INDEX(_xlfn.ANCHORARRAY(Sintesi!$C$15),1,$C16)&gt;0),2,IF($E16=(INDEX(_xlfn.ANCHORARRAY(Sintesi!$C$16),1,$C16)),3,4)))),0)),IF(ISNUMBER($E15),IF($C16&gt;0,IF(($E16=INDEX(_xlfn.ANCHORARRAY(Sintesi!$C$14),1,$C16))*(INDEX(_xlfn.ANCHORARRAY(Sintesi!$C$15),1,$C16)&gt;0),0,IF(($E16=INDEX(_xlfn.ANCHORARRAY(Sintesi!$C$14),1,$C16))*(INDEX(_xlfn.ANCHORARRAY(Sintesi!$C$15),1,$C16)&lt;0)+($E16&gt;=$E15)*($E16&lt;=$E17)*($E16&gt;INDEX(_xlfn.ANCHORARRAY(Sintesi!$C$14),1,$C16))*($E16&lt;=INDEX(_xlfn.ANCHORARRAY(Sintesi!$C$15),1,$C16))*(INDEX(_xlfn.ANCHORARRAY(Sintesi!$C$15),1,$C16)&gt;0),1,IF(($E16&gt;=$E15)*($E16&lt;=$E17)*($E16&gt;INDEX(_xlfn.ANCHORARRAY(Sintesi!$C$14),1,$C16))*($E16&lt;INDEX(_xlfn.ANCHORARRAY(Sintesi!$C$16),1,$C16))*(INDEX(_xlfn.ANCHORARRAY(Sintesi!$C$15),1,$C16)&lt;0)+($E16&gt;=$E15)*($E16&lt;=$E17)*($E16&gt;INDEX(_xlfn.ANCHORARRAY(Sintesi!$C$15),1,$C16))*($E16&lt;INDEX(_xlfn.ANCHORARRAY(Sintesi!$C$16),1,$C16))*(INDEX(_xlfn.ANCHORARRAY(Sintesi!$C$15),1,$C16)&gt;0),2,IF($E16=(INDEX(_xlfn.ANCHORARRAY(Sintesi!$C$16),1,$C16)),3,4)))),0),IF($C16&gt;0,IF(($E16=INDEX(_xlfn.ANCHORARRAY(Sintesi!$C$14),1,$C16))*(INDEX(_xlfn.ANCHORARRAY(Sintesi!$C$15),1,$C16)&gt;0),0,IF(($E16=INDEX(_xlfn.ANCHORARRAY(Sintesi!$C$14),1,$C16))*(INDEX(_xlfn.ANCHORARRAY(Sintesi!$C$15),1,$C16)&lt;0)+($E16&gt;=LOOKUP(2,1/($E:$E&lt;&gt;""),$E:$E))*($E16&lt;=$E17)*($E16&gt;INDEX(_xlfn.ANCHORARRAY(Sintesi!$C$14),1,$C16))*($E16&lt;=INDEX(_xlfn.ANCHORARRAY(Sintesi!$C$15),1,$C16))*(INDEX(_xlfn.ANCHORARRAY(Sintesi!$C$15),1,$C16)&gt;0),1,IF(($E16&gt;=LOOKUP(2,1/($E:$E&lt;&gt;""),$E:$E))*($E16&lt;=$E17)*($E16&gt;INDEX(_xlfn.ANCHORARRAY(Sintesi!$C$14),1,$C16))*($E16&lt;INDEX(_xlfn.ANCHORARRAY(Sintesi!$C$16),1,$C16))*(INDEX(_xlfn.ANCHORARRAY(Sintesi!$C$15),1,$C16)&lt;0)+($E16&gt;=LOOKUP(2,1/($E:$E&lt;&gt;""),$E:$E))*($E16&lt;=$E17)*($E16&gt;INDEX(_xlfn.ANCHORARRAY(Sintesi!$C$15),1,$C16))*($E16&lt;INDEX(_xlfn.ANCHORARRAY(Sintesi!$C$16),1,$C16))*(INDEX(_xlfn.ANCHORARRAY(Sintesi!$C$15),1,$C16)&gt;0),2,IF($E16=(INDEX(_xlfn.ANCHORARRAY(Sintesi!$C$16),1,$C16)),3,4)))),0)))</f>
        <v>0</v>
      </c>
      <c r="E16" s="1">
        <f>'Paste cell here'!F16</f>
        <v>0</v>
      </c>
      <c r="F16" s="1">
        <f>'Paste cell here'!C16</f>
        <v>6.5599999999999046</v>
      </c>
      <c r="G16" s="1">
        <f>'Paste cell here'!D16</f>
        <v>-1.4199999999999704</v>
      </c>
      <c r="H16" s="1">
        <f>'Paste cell here'!E16</f>
        <v>0.57091823509670481</v>
      </c>
      <c r="I16" s="1">
        <f>'Paste cell here'!X16</f>
        <v>0</v>
      </c>
      <c r="J16" s="1">
        <f>'Paste cell here'!Y16+'Paste cell here'!S16</f>
        <v>0</v>
      </c>
      <c r="K16" s="1">
        <f t="shared" si="0"/>
        <v>0</v>
      </c>
      <c r="L16" s="1">
        <f t="shared" si="1"/>
        <v>3.666611333531383</v>
      </c>
      <c r="M16" s="1">
        <f t="array" ref="M16">IF(AND(A16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16&gt;=_xlfn.ANCHORARRAY(Sintesi!$C$9))+(_xlfn.ANCHORARRAY(Sintesi!$C$9)&gt;_xlfn.ANCHORARRAY(Sintesi!$C$10))*(A16&lt;=_xlfn.ANCHORARRAY(Sintesi!$C$10))+(_xlfn.ANCHORARRAY(Sintesi!$C$9)&lt;_xlfn.ANCHORARRAY(Sintesi!$C$10))*(A16&gt;=_xlfn.ANCHORARRAY(Sintesi!$C$9))*(A16&lt;=_xlfn.ANCHORARRAY(Sintesi!$C$10)),0)),0),A16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17&gt;=_xlfn.ANCHORARRAY(Sintesi!$C$9))+(_xlfn.ANCHORARRAY(Sintesi!$C$9)&gt;_xlfn.ANCHORARRAY(Sintesi!$C$10))*(A17&lt;=_xlfn.ANCHORARRAY(Sintesi!$C$10))+(_xlfn.ANCHORARRAY(Sintesi!$C$9)&lt;_xlfn.ANCHORARRAY(Sintesi!$C$10))*(A17&gt;=_xlfn.ANCHORARRAY(Sintesi!$C$9))*(A17&lt;=_xlfn.ANCHORARRAY(Sintesi!$C$10)),0)),0)),IF(L16&lt;_xlfn.IFNA(INDEX(_xlfn.ANCHORARRAY(Sintesi!$C$17),1,MATCH(1,(_xlfn.ANCHORARRAY(Sintesi!$C$9)&gt;_xlfn.ANCHORARRAY(Sintesi!$C$10))*(A15&gt;=_xlfn.ANCHORARRAY(Sintesi!$C$9))+(_xlfn.ANCHORARRAY(Sintesi!$C$9)&gt;_xlfn.ANCHORARRAY(Sintesi!$C$10))*(A15&lt;=_xlfn.ANCHORARRAY(Sintesi!$C$10))+(_xlfn.ANCHORARRAY(Sintesi!$C$9)&lt;_xlfn.ANCHORARRAY(Sintesi!$C$10))*(A15&gt;=_xlfn.ANCHORARRAY(Sintesi!$C$9))*(A15&lt;=_xlfn.ANCHORARRAY(Sintesi!$C$10)),0)),0),1,IF(L16&gt;=_xlfn.IFNA(INDEX(_xlfn.ANCHORARRAY(Sintesi!$C$18),1,MATCH(1,(_xlfn.ANCHORARRAY(Sintesi!$C$9)&gt;_xlfn.ANCHORARRAY(Sintesi!$C$10))*(A15&gt;=_xlfn.ANCHORARRAY(Sintesi!$C$9))+(_xlfn.ANCHORARRAY(Sintesi!$C$9)&gt;_xlfn.ANCHORARRAY(Sintesi!$C$10))*(A15&lt;=_xlfn.ANCHORARRAY(Sintesi!$C$10))+(_xlfn.ANCHORARRAY(Sintesi!$C$9)&lt;_xlfn.ANCHORARRAY(Sintesi!$C$10))*(A15&gt;=_xlfn.ANCHORARRAY(Sintesi!$C$9))*(A15&lt;=_xlfn.ANCHORARRAY(Sintesi!$C$10)),0)),0),0,1-(L16-_xlfn.IFNA(INDEX(_xlfn.ANCHORARRAY(Sintesi!$C$17),1,MATCH(1,(_xlfn.ANCHORARRAY(Sintesi!$C$9)&gt;_xlfn.ANCHORARRAY(Sintesi!$C$10))*(A15&gt;=_xlfn.ANCHORARRAY(Sintesi!$C$9))+(_xlfn.ANCHORARRAY(Sintesi!$C$9)&gt;_xlfn.ANCHORARRAY(Sintesi!$C$10))*(A15&lt;=_xlfn.ANCHORARRAY(Sintesi!$C$10))+(_xlfn.ANCHORARRAY(Sintesi!$C$9)&lt;_xlfn.ANCHORARRAY(Sintesi!$C$10))*(A15&gt;=_xlfn.ANCHORARRAY(Sintesi!$C$9))*(A15&lt;=_xlfn.ANCHORARRAY(Sintesi!$C$10)),0)),0))/(_xlfn.IFNA(INDEX(_xlfn.ANCHORARRAY(Sintesi!$C$18),1,MATCH(1,(_xlfn.ANCHORARRAY(Sintesi!$C$9)&gt;_xlfn.ANCHORARRAY(Sintesi!$C$10))*(A15&gt;=_xlfn.ANCHORARRAY(Sintesi!$C$9))+(_xlfn.ANCHORARRAY(Sintesi!$C$9)&gt;_xlfn.ANCHORARRAY(Sintesi!$C$10))*(A15&lt;=_xlfn.ANCHORARRAY(Sintesi!$C$10))+(_xlfn.ANCHORARRAY(Sintesi!$C$9)&lt;_xlfn.ANCHORARRAY(Sintesi!$C$10))*(A15&gt;=_xlfn.ANCHORARRAY(Sintesi!$C$9))*(A15&lt;=_xlfn.ANCHORARRAY(Sintesi!$C$10)),0)),0)-_xlfn.IFNA(INDEX(_xlfn.ANCHORARRAY(Sintesi!$C$17),1,MATCH(1,(_xlfn.ANCHORARRAY(Sintesi!$C$9)&gt;_xlfn.ANCHORARRAY(Sintesi!$C$10))*(A15&gt;=_xlfn.ANCHORARRAY(Sintesi!$C$9))+(_xlfn.ANCHORARRAY(Sintesi!$C$9)&gt;_xlfn.ANCHORARRAY(Sintesi!$C$10))*(A15&lt;=_xlfn.ANCHORARRAY(Sintesi!$C$10))+(_xlfn.ANCHORARRAY(Sintesi!$C$9)&lt;_xlfn.ANCHORARRAY(Sintesi!$C$10))*(A15&gt;=_xlfn.ANCHORARRAY(Sintesi!$C$9))*(A15&lt;=_xlfn.ANCHORARRAY(Sintesi!$C$10)),0)),0)))),0)</f>
        <v>0</v>
      </c>
    </row>
    <row r="17" spans="1:13">
      <c r="A17" s="1">
        <f>'Paste cell here'!A17</f>
        <v>16</v>
      </c>
      <c r="B17" s="2">
        <f>DATE(Sintesi!$C$4-1,12,31)+A17</f>
        <v>44212</v>
      </c>
      <c r="C17" s="34">
        <f t="array" ref="C17">_xlfn.IFNA(MATCH(1,((_xlfn.ANCHORARRAY(Sintesi!$C$9)&gt;_xlfn.ANCHORARRAY(Sintesi!$C$10))*(A17&gt;=_xlfn.ANCHORARRAY(Sintesi!$C$9))+(_xlfn.ANCHORARRAY(Sintesi!$C$9)&gt;_xlfn.ANCHORARRAY(Sintesi!$C$10))*(A17&lt;=_xlfn.ANCHORARRAY(Sintesi!$C$10))+(_xlfn.ANCHORARRAY(Sintesi!$C$9)&lt;_xlfn.ANCHORARRAY(Sintesi!$C$10))*(A17&gt;=_xlfn.ANCHORARRAY(Sintesi!$C$9))*(A17&lt;=_xlfn.ANCHORARRAY(Sintesi!$C$10)))*(_xlfn.ANCHORARRAY(Sintesi!$C$15)&gt;=0)+(_xlfn.ANCHORARRAY(Sintesi!$C$15)&lt;0),0),0)</f>
        <v>0</v>
      </c>
      <c r="D17" s="1">
        <f t="array" ref="D17">IF(ISBLANK($E18),IF(ISNUMBER($E16),IF($C17&gt;0,IF(($E17=INDEX(_xlfn.ANCHORARRAY(Sintesi!$C$14),1,$C17))*(INDEX(_xlfn.ANCHORARRAY(Sintesi!$C$15),1,$C17)&gt;0),0,IF(($E17=INDEX(_xlfn.ANCHORARRAY(Sintesi!$C$14),1,$C17))*(INDEX(_xlfn.ANCHORARRAY(Sintesi!$C$15),1,$C17)&lt;0)+($E17&gt;=$E16)*($E17&lt;=INDEX($E:$E,MATCH(TRUE,INDEX((ISNUMBER($E:$E)),0),0)))*($E17&gt;INDEX(_xlfn.ANCHORARRAY(Sintesi!$C$14),1,$C17))*($E17&lt;=INDEX(_xlfn.ANCHORARRAY(Sintesi!$C$15),1,$C17))*(INDEX(_xlfn.ANCHORARRAY(Sintesi!$C$15),1,$C17)&gt;0),1,IF(($E17&gt;=$E16)*($E17&lt;=INDEX($E:$E,MATCH(TRUE,INDEX((ISNUMBER($E:$E)),0),0)))*($E17&gt;INDEX(_xlfn.ANCHORARRAY(Sintesi!$C$14),1,$C17))*($E17&lt;INDEX(_xlfn.ANCHORARRAY(Sintesi!$C$16),1,$C17))*(INDEX(_xlfn.ANCHORARRAY(Sintesi!$C$15),1,$C17)&lt;0)+($E17&gt;=$E16)*($E17&lt;=INDEX($E:$E,MATCH(TRUE,INDEX((ISNUMBER($E:$E)),0),0)))*($E17&gt;INDEX(_xlfn.ANCHORARRAY(Sintesi!$C$15),1,$C17))*($E17&lt;INDEX(_xlfn.ANCHORARRAY(Sintesi!$C$16),1,$C17))*(INDEX(_xlfn.ANCHORARRAY(Sintesi!$C$15),1,$C17)&gt;0),2,IF($E17=(INDEX(_xlfn.ANCHORARRAY(Sintesi!$C$16),1,$C17)),3,4)))),0),IF($C17&gt;0,IF(($E17=INDEX(_xlfn.ANCHORARRAY(Sintesi!$C$14),1,$C17))*(INDEX(_xlfn.ANCHORARRAY(Sintesi!$C$15),1,$C17)&gt;0),0,IF(($E17=INDEX(_xlfn.ANCHORARRAY(Sintesi!$C$14),1,$C17))*(INDEX(_xlfn.ANCHORARRAY(Sintesi!$C$15),1,$C17)&lt;0)+($E17&gt;=LOOKUP(2,1/($E:$E&lt;&gt;""),$E:$E))*($E17&lt;=INDEX($E:$E,MATCH(TRUE,INDEX((ISNUMBER($E:$E)),0),0)))*($E17&gt;INDEX(_xlfn.ANCHORARRAY(Sintesi!$C$14),1,$C17))*($E17&lt;=INDEX(_xlfn.ANCHORARRAY(Sintesi!$C$15),1,$C17))*(INDEX(_xlfn.ANCHORARRAY(Sintesi!$C$15),1,$C17)&gt;0),1,IF(($E17&gt;=LOOKUP(2,1/($E:$E&lt;&gt;""),$E:$E))*($E17&lt;=INDEX($E:$E,MATCH(TRUE,INDEX((ISNUMBER($E:$E)),0),0)))*($E17&gt;INDEX(_xlfn.ANCHORARRAY(Sintesi!$C$14),1,$C17))*($E17&lt;INDEX(_xlfn.ANCHORARRAY(Sintesi!$C$16),1,$C17))*(INDEX(_xlfn.ANCHORARRAY(Sintesi!$C$15),1,$C17)&lt;0)+($E17&gt;=LOOKUP(2,1/($E:$E&lt;&gt;""),$E:$E))*($E17&lt;=INDEX($E:$E,MATCH(TRUE,INDEX((ISNUMBER($E:$E)),0),0)))*($E17&gt;INDEX(_xlfn.ANCHORARRAY(Sintesi!$C$15),1,$C17))*($E17&lt;INDEX(_xlfn.ANCHORARRAY(Sintesi!$C$16),1,$C17))*(INDEX(_xlfn.ANCHORARRAY(Sintesi!$C$15),1,$C17)&gt;0),2,IF($E17=(INDEX(_xlfn.ANCHORARRAY(Sintesi!$C$16),1,$C17)),3,4)))),0)),IF(ISNUMBER($E16),IF($C17&gt;0,IF(($E17=INDEX(_xlfn.ANCHORARRAY(Sintesi!$C$14),1,$C17))*(INDEX(_xlfn.ANCHORARRAY(Sintesi!$C$15),1,$C17)&gt;0),0,IF(($E17=INDEX(_xlfn.ANCHORARRAY(Sintesi!$C$14),1,$C17))*(INDEX(_xlfn.ANCHORARRAY(Sintesi!$C$15),1,$C17)&lt;0)+($E17&gt;=$E16)*($E17&lt;=$E18)*($E17&gt;INDEX(_xlfn.ANCHORARRAY(Sintesi!$C$14),1,$C17))*($E17&lt;=INDEX(_xlfn.ANCHORARRAY(Sintesi!$C$15),1,$C17))*(INDEX(_xlfn.ANCHORARRAY(Sintesi!$C$15),1,$C17)&gt;0),1,IF(($E17&gt;=$E16)*($E17&lt;=$E18)*($E17&gt;INDEX(_xlfn.ANCHORARRAY(Sintesi!$C$14),1,$C17))*($E17&lt;INDEX(_xlfn.ANCHORARRAY(Sintesi!$C$16),1,$C17))*(INDEX(_xlfn.ANCHORARRAY(Sintesi!$C$15),1,$C17)&lt;0)+($E17&gt;=$E16)*($E17&lt;=$E18)*($E17&gt;INDEX(_xlfn.ANCHORARRAY(Sintesi!$C$15),1,$C17))*($E17&lt;INDEX(_xlfn.ANCHORARRAY(Sintesi!$C$16),1,$C17))*(INDEX(_xlfn.ANCHORARRAY(Sintesi!$C$15),1,$C17)&gt;0),2,IF($E17=(INDEX(_xlfn.ANCHORARRAY(Sintesi!$C$16),1,$C17)),3,4)))),0),IF($C17&gt;0,IF(($E17=INDEX(_xlfn.ANCHORARRAY(Sintesi!$C$14),1,$C17))*(INDEX(_xlfn.ANCHORARRAY(Sintesi!$C$15),1,$C17)&gt;0),0,IF(($E17=INDEX(_xlfn.ANCHORARRAY(Sintesi!$C$14),1,$C17))*(INDEX(_xlfn.ANCHORARRAY(Sintesi!$C$15),1,$C17)&lt;0)+($E17&gt;=LOOKUP(2,1/($E:$E&lt;&gt;""),$E:$E))*($E17&lt;=$E18)*($E17&gt;INDEX(_xlfn.ANCHORARRAY(Sintesi!$C$14),1,$C17))*($E17&lt;=INDEX(_xlfn.ANCHORARRAY(Sintesi!$C$15),1,$C17))*(INDEX(_xlfn.ANCHORARRAY(Sintesi!$C$15),1,$C17)&gt;0),1,IF(($E17&gt;=LOOKUP(2,1/($E:$E&lt;&gt;""),$E:$E))*($E17&lt;=$E18)*($E17&gt;INDEX(_xlfn.ANCHORARRAY(Sintesi!$C$14),1,$C17))*($E17&lt;INDEX(_xlfn.ANCHORARRAY(Sintesi!$C$16),1,$C17))*(INDEX(_xlfn.ANCHORARRAY(Sintesi!$C$15),1,$C17)&lt;0)+($E17&gt;=LOOKUP(2,1/($E:$E&lt;&gt;""),$E:$E))*($E17&lt;=$E18)*($E17&gt;INDEX(_xlfn.ANCHORARRAY(Sintesi!$C$15),1,$C17))*($E17&lt;INDEX(_xlfn.ANCHORARRAY(Sintesi!$C$16),1,$C17))*(INDEX(_xlfn.ANCHORARRAY(Sintesi!$C$15),1,$C17)&gt;0),2,IF($E17=(INDEX(_xlfn.ANCHORARRAY(Sintesi!$C$16),1,$C17)),3,4)))),0)))</f>
        <v>0</v>
      </c>
      <c r="E17" s="1">
        <f>'Paste cell here'!F17</f>
        <v>0</v>
      </c>
      <c r="F17" s="1">
        <f>'Paste cell here'!C17</f>
        <v>7.0799999999998962</v>
      </c>
      <c r="G17" s="1">
        <f>'Paste cell here'!D17</f>
        <v>-2.9399999999999435</v>
      </c>
      <c r="H17" s="1">
        <f>'Paste cell here'!E17</f>
        <v>0.32786830966952457</v>
      </c>
      <c r="I17" s="1">
        <f>'Paste cell here'!X17</f>
        <v>0</v>
      </c>
      <c r="J17" s="1">
        <f>'Paste cell here'!Y17+'Paste cell here'!S17</f>
        <v>0</v>
      </c>
      <c r="K17" s="1">
        <f t="shared" si="0"/>
        <v>0</v>
      </c>
      <c r="L17" s="1">
        <f t="shared" si="1"/>
        <v>3.4469480654116036</v>
      </c>
      <c r="M17" s="1">
        <f t="array" ref="M17">IF(AND(A17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17&gt;=_xlfn.ANCHORARRAY(Sintesi!$C$9))+(_xlfn.ANCHORARRAY(Sintesi!$C$9)&gt;_xlfn.ANCHORARRAY(Sintesi!$C$10))*(A17&lt;=_xlfn.ANCHORARRAY(Sintesi!$C$10))+(_xlfn.ANCHORARRAY(Sintesi!$C$9)&lt;_xlfn.ANCHORARRAY(Sintesi!$C$10))*(A17&gt;=_xlfn.ANCHORARRAY(Sintesi!$C$9))*(A17&lt;=_xlfn.ANCHORARRAY(Sintesi!$C$10)),0)),0),A17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18&gt;=_xlfn.ANCHORARRAY(Sintesi!$C$9))+(_xlfn.ANCHORARRAY(Sintesi!$C$9)&gt;_xlfn.ANCHORARRAY(Sintesi!$C$10))*(A18&lt;=_xlfn.ANCHORARRAY(Sintesi!$C$10))+(_xlfn.ANCHORARRAY(Sintesi!$C$9)&lt;_xlfn.ANCHORARRAY(Sintesi!$C$10))*(A18&gt;=_xlfn.ANCHORARRAY(Sintesi!$C$9))*(A18&lt;=_xlfn.ANCHORARRAY(Sintesi!$C$10)),0)),0)),IF(L17&lt;_xlfn.IFNA(INDEX(_xlfn.ANCHORARRAY(Sintesi!$C$17),1,MATCH(1,(_xlfn.ANCHORARRAY(Sintesi!$C$9)&gt;_xlfn.ANCHORARRAY(Sintesi!$C$10))*(A16&gt;=_xlfn.ANCHORARRAY(Sintesi!$C$9))+(_xlfn.ANCHORARRAY(Sintesi!$C$9)&gt;_xlfn.ANCHORARRAY(Sintesi!$C$10))*(A16&lt;=_xlfn.ANCHORARRAY(Sintesi!$C$10))+(_xlfn.ANCHORARRAY(Sintesi!$C$9)&lt;_xlfn.ANCHORARRAY(Sintesi!$C$10))*(A16&gt;=_xlfn.ANCHORARRAY(Sintesi!$C$9))*(A16&lt;=_xlfn.ANCHORARRAY(Sintesi!$C$10)),0)),0),1,IF(L17&gt;=_xlfn.IFNA(INDEX(_xlfn.ANCHORARRAY(Sintesi!$C$18),1,MATCH(1,(_xlfn.ANCHORARRAY(Sintesi!$C$9)&gt;_xlfn.ANCHORARRAY(Sintesi!$C$10))*(A16&gt;=_xlfn.ANCHORARRAY(Sintesi!$C$9))+(_xlfn.ANCHORARRAY(Sintesi!$C$9)&gt;_xlfn.ANCHORARRAY(Sintesi!$C$10))*(A16&lt;=_xlfn.ANCHORARRAY(Sintesi!$C$10))+(_xlfn.ANCHORARRAY(Sintesi!$C$9)&lt;_xlfn.ANCHORARRAY(Sintesi!$C$10))*(A16&gt;=_xlfn.ANCHORARRAY(Sintesi!$C$9))*(A16&lt;=_xlfn.ANCHORARRAY(Sintesi!$C$10)),0)),0),0,1-(L17-_xlfn.IFNA(INDEX(_xlfn.ANCHORARRAY(Sintesi!$C$17),1,MATCH(1,(_xlfn.ANCHORARRAY(Sintesi!$C$9)&gt;_xlfn.ANCHORARRAY(Sintesi!$C$10))*(A16&gt;=_xlfn.ANCHORARRAY(Sintesi!$C$9))+(_xlfn.ANCHORARRAY(Sintesi!$C$9)&gt;_xlfn.ANCHORARRAY(Sintesi!$C$10))*(A16&lt;=_xlfn.ANCHORARRAY(Sintesi!$C$10))+(_xlfn.ANCHORARRAY(Sintesi!$C$9)&lt;_xlfn.ANCHORARRAY(Sintesi!$C$10))*(A16&gt;=_xlfn.ANCHORARRAY(Sintesi!$C$9))*(A16&lt;=_xlfn.ANCHORARRAY(Sintesi!$C$10)),0)),0))/(_xlfn.IFNA(INDEX(_xlfn.ANCHORARRAY(Sintesi!$C$18),1,MATCH(1,(_xlfn.ANCHORARRAY(Sintesi!$C$9)&gt;_xlfn.ANCHORARRAY(Sintesi!$C$10))*(A16&gt;=_xlfn.ANCHORARRAY(Sintesi!$C$9))+(_xlfn.ANCHORARRAY(Sintesi!$C$9)&gt;_xlfn.ANCHORARRAY(Sintesi!$C$10))*(A16&lt;=_xlfn.ANCHORARRAY(Sintesi!$C$10))+(_xlfn.ANCHORARRAY(Sintesi!$C$9)&lt;_xlfn.ANCHORARRAY(Sintesi!$C$10))*(A16&gt;=_xlfn.ANCHORARRAY(Sintesi!$C$9))*(A16&lt;=_xlfn.ANCHORARRAY(Sintesi!$C$10)),0)),0)-_xlfn.IFNA(INDEX(_xlfn.ANCHORARRAY(Sintesi!$C$17),1,MATCH(1,(_xlfn.ANCHORARRAY(Sintesi!$C$9)&gt;_xlfn.ANCHORARRAY(Sintesi!$C$10))*(A16&gt;=_xlfn.ANCHORARRAY(Sintesi!$C$9))+(_xlfn.ANCHORARRAY(Sintesi!$C$9)&gt;_xlfn.ANCHORARRAY(Sintesi!$C$10))*(A16&lt;=_xlfn.ANCHORARRAY(Sintesi!$C$10))+(_xlfn.ANCHORARRAY(Sintesi!$C$9)&lt;_xlfn.ANCHORARRAY(Sintesi!$C$10))*(A16&gt;=_xlfn.ANCHORARRAY(Sintesi!$C$9))*(A16&lt;=_xlfn.ANCHORARRAY(Sintesi!$C$10)),0)),0)))),0)</f>
        <v>0</v>
      </c>
    </row>
    <row r="18" spans="1:13">
      <c r="A18" s="1">
        <f>'Paste cell here'!A18</f>
        <v>17</v>
      </c>
      <c r="B18" s="2">
        <f>DATE(Sintesi!$C$4-1,12,31)+A18</f>
        <v>44213</v>
      </c>
      <c r="C18" s="34">
        <f t="array" ref="C18">_xlfn.IFNA(MATCH(1,((_xlfn.ANCHORARRAY(Sintesi!$C$9)&gt;_xlfn.ANCHORARRAY(Sintesi!$C$10))*(A18&gt;=_xlfn.ANCHORARRAY(Sintesi!$C$9))+(_xlfn.ANCHORARRAY(Sintesi!$C$9)&gt;_xlfn.ANCHORARRAY(Sintesi!$C$10))*(A18&lt;=_xlfn.ANCHORARRAY(Sintesi!$C$10))+(_xlfn.ANCHORARRAY(Sintesi!$C$9)&lt;_xlfn.ANCHORARRAY(Sintesi!$C$10))*(A18&gt;=_xlfn.ANCHORARRAY(Sintesi!$C$9))*(A18&lt;=_xlfn.ANCHORARRAY(Sintesi!$C$10)))*(_xlfn.ANCHORARRAY(Sintesi!$C$15)&gt;=0)+(_xlfn.ANCHORARRAY(Sintesi!$C$15)&lt;0),0),0)</f>
        <v>0</v>
      </c>
      <c r="D18" s="1">
        <f t="array" ref="D18">IF(ISBLANK($E19),IF(ISNUMBER($E17),IF($C18&gt;0,IF(($E18=INDEX(_xlfn.ANCHORARRAY(Sintesi!$C$14),1,$C18))*(INDEX(_xlfn.ANCHORARRAY(Sintesi!$C$15),1,$C18)&gt;0),0,IF(($E18=INDEX(_xlfn.ANCHORARRAY(Sintesi!$C$14),1,$C18))*(INDEX(_xlfn.ANCHORARRAY(Sintesi!$C$15),1,$C18)&lt;0)+($E18&gt;=$E17)*($E18&lt;=INDEX($E:$E,MATCH(TRUE,INDEX((ISNUMBER($E:$E)),0),0)))*($E18&gt;INDEX(_xlfn.ANCHORARRAY(Sintesi!$C$14),1,$C18))*($E18&lt;=INDEX(_xlfn.ANCHORARRAY(Sintesi!$C$15),1,$C18))*(INDEX(_xlfn.ANCHORARRAY(Sintesi!$C$15),1,$C18)&gt;0),1,IF(($E18&gt;=$E17)*($E18&lt;=INDEX($E:$E,MATCH(TRUE,INDEX((ISNUMBER($E:$E)),0),0)))*($E18&gt;INDEX(_xlfn.ANCHORARRAY(Sintesi!$C$14),1,$C18))*($E18&lt;INDEX(_xlfn.ANCHORARRAY(Sintesi!$C$16),1,$C18))*(INDEX(_xlfn.ANCHORARRAY(Sintesi!$C$15),1,$C18)&lt;0)+($E18&gt;=$E17)*($E18&lt;=INDEX($E:$E,MATCH(TRUE,INDEX((ISNUMBER($E:$E)),0),0)))*($E18&gt;INDEX(_xlfn.ANCHORARRAY(Sintesi!$C$15),1,$C18))*($E18&lt;INDEX(_xlfn.ANCHORARRAY(Sintesi!$C$16),1,$C18))*(INDEX(_xlfn.ANCHORARRAY(Sintesi!$C$15),1,$C18)&gt;0),2,IF($E18=(INDEX(_xlfn.ANCHORARRAY(Sintesi!$C$16),1,$C18)),3,4)))),0),IF($C18&gt;0,IF(($E18=INDEX(_xlfn.ANCHORARRAY(Sintesi!$C$14),1,$C18))*(INDEX(_xlfn.ANCHORARRAY(Sintesi!$C$15),1,$C18)&gt;0),0,IF(($E18=INDEX(_xlfn.ANCHORARRAY(Sintesi!$C$14),1,$C18))*(INDEX(_xlfn.ANCHORARRAY(Sintesi!$C$15),1,$C18)&lt;0)+($E18&gt;=LOOKUP(2,1/($E:$E&lt;&gt;""),$E:$E))*($E18&lt;=INDEX($E:$E,MATCH(TRUE,INDEX((ISNUMBER($E:$E)),0),0)))*($E18&gt;INDEX(_xlfn.ANCHORARRAY(Sintesi!$C$14),1,$C18))*($E18&lt;=INDEX(_xlfn.ANCHORARRAY(Sintesi!$C$15),1,$C18))*(INDEX(_xlfn.ANCHORARRAY(Sintesi!$C$15),1,$C18)&gt;0),1,IF(($E18&gt;=LOOKUP(2,1/($E:$E&lt;&gt;""),$E:$E))*($E18&lt;=INDEX($E:$E,MATCH(TRUE,INDEX((ISNUMBER($E:$E)),0),0)))*($E18&gt;INDEX(_xlfn.ANCHORARRAY(Sintesi!$C$14),1,$C18))*($E18&lt;INDEX(_xlfn.ANCHORARRAY(Sintesi!$C$16),1,$C18))*(INDEX(_xlfn.ANCHORARRAY(Sintesi!$C$15),1,$C18)&lt;0)+($E18&gt;=LOOKUP(2,1/($E:$E&lt;&gt;""),$E:$E))*($E18&lt;=INDEX($E:$E,MATCH(TRUE,INDEX((ISNUMBER($E:$E)),0),0)))*($E18&gt;INDEX(_xlfn.ANCHORARRAY(Sintesi!$C$15),1,$C18))*($E18&lt;INDEX(_xlfn.ANCHORARRAY(Sintesi!$C$16),1,$C18))*(INDEX(_xlfn.ANCHORARRAY(Sintesi!$C$15),1,$C18)&gt;0),2,IF($E18=(INDEX(_xlfn.ANCHORARRAY(Sintesi!$C$16),1,$C18)),3,4)))),0)),IF(ISNUMBER($E17),IF($C18&gt;0,IF(($E18=INDEX(_xlfn.ANCHORARRAY(Sintesi!$C$14),1,$C18))*(INDEX(_xlfn.ANCHORARRAY(Sintesi!$C$15),1,$C18)&gt;0),0,IF(($E18=INDEX(_xlfn.ANCHORARRAY(Sintesi!$C$14),1,$C18))*(INDEX(_xlfn.ANCHORARRAY(Sintesi!$C$15),1,$C18)&lt;0)+($E18&gt;=$E17)*($E18&lt;=$E19)*($E18&gt;INDEX(_xlfn.ANCHORARRAY(Sintesi!$C$14),1,$C18))*($E18&lt;=INDEX(_xlfn.ANCHORARRAY(Sintesi!$C$15),1,$C18))*(INDEX(_xlfn.ANCHORARRAY(Sintesi!$C$15),1,$C18)&gt;0),1,IF(($E18&gt;=$E17)*($E18&lt;=$E19)*($E18&gt;INDEX(_xlfn.ANCHORARRAY(Sintesi!$C$14),1,$C18))*($E18&lt;INDEX(_xlfn.ANCHORARRAY(Sintesi!$C$16),1,$C18))*(INDEX(_xlfn.ANCHORARRAY(Sintesi!$C$15),1,$C18)&lt;0)+($E18&gt;=$E17)*($E18&lt;=$E19)*($E18&gt;INDEX(_xlfn.ANCHORARRAY(Sintesi!$C$15),1,$C18))*($E18&lt;INDEX(_xlfn.ANCHORARRAY(Sintesi!$C$16),1,$C18))*(INDEX(_xlfn.ANCHORARRAY(Sintesi!$C$15),1,$C18)&gt;0),2,IF($E18=(INDEX(_xlfn.ANCHORARRAY(Sintesi!$C$16),1,$C18)),3,4)))),0),IF($C18&gt;0,IF(($E18=INDEX(_xlfn.ANCHORARRAY(Sintesi!$C$14),1,$C18))*(INDEX(_xlfn.ANCHORARRAY(Sintesi!$C$15),1,$C18)&gt;0),0,IF(($E18=INDEX(_xlfn.ANCHORARRAY(Sintesi!$C$14),1,$C18))*(INDEX(_xlfn.ANCHORARRAY(Sintesi!$C$15),1,$C18)&lt;0)+($E18&gt;=LOOKUP(2,1/($E:$E&lt;&gt;""),$E:$E))*($E18&lt;=$E19)*($E18&gt;INDEX(_xlfn.ANCHORARRAY(Sintesi!$C$14),1,$C18))*($E18&lt;=INDEX(_xlfn.ANCHORARRAY(Sintesi!$C$15),1,$C18))*(INDEX(_xlfn.ANCHORARRAY(Sintesi!$C$15),1,$C18)&gt;0),1,IF(($E18&gt;=LOOKUP(2,1/($E:$E&lt;&gt;""),$E:$E))*($E18&lt;=$E19)*($E18&gt;INDEX(_xlfn.ANCHORARRAY(Sintesi!$C$14),1,$C18))*($E18&lt;INDEX(_xlfn.ANCHORARRAY(Sintesi!$C$16),1,$C18))*(INDEX(_xlfn.ANCHORARRAY(Sintesi!$C$15),1,$C18)&lt;0)+($E18&gt;=LOOKUP(2,1/($E:$E&lt;&gt;""),$E:$E))*($E18&lt;=$E19)*($E18&gt;INDEX(_xlfn.ANCHORARRAY(Sintesi!$C$15),1,$C18))*($E18&lt;INDEX(_xlfn.ANCHORARRAY(Sintesi!$C$16),1,$C18))*(INDEX(_xlfn.ANCHORARRAY(Sintesi!$C$15),1,$C18)&gt;0),2,IF($E18=(INDEX(_xlfn.ANCHORARRAY(Sintesi!$C$16),1,$C18)),3,4)))),0)))</f>
        <v>0</v>
      </c>
      <c r="E18" s="1">
        <f>'Paste cell here'!F18</f>
        <v>0</v>
      </c>
      <c r="F18" s="1">
        <f>'Paste cell here'!C18</f>
        <v>5.099999999999941</v>
      </c>
      <c r="G18" s="1">
        <f>'Paste cell here'!D18</f>
        <v>-2.2199999999999633</v>
      </c>
      <c r="H18" s="1">
        <f>'Paste cell here'!E18</f>
        <v>0.34358446324240666</v>
      </c>
      <c r="I18" s="1">
        <f>'Paste cell here'!X18</f>
        <v>0</v>
      </c>
      <c r="J18" s="1">
        <f>'Paste cell here'!Y18+'Paste cell here'!S18</f>
        <v>0</v>
      </c>
      <c r="K18" s="1">
        <f t="shared" si="0"/>
        <v>0</v>
      </c>
      <c r="L18" s="1">
        <f t="shared" si="1"/>
        <v>2.4459141555701622</v>
      </c>
      <c r="M18" s="1">
        <f t="array" ref="M18">IF(AND(A18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18&gt;=_xlfn.ANCHORARRAY(Sintesi!$C$9))+(_xlfn.ANCHORARRAY(Sintesi!$C$9)&gt;_xlfn.ANCHORARRAY(Sintesi!$C$10))*(A18&lt;=_xlfn.ANCHORARRAY(Sintesi!$C$10))+(_xlfn.ANCHORARRAY(Sintesi!$C$9)&lt;_xlfn.ANCHORARRAY(Sintesi!$C$10))*(A18&gt;=_xlfn.ANCHORARRAY(Sintesi!$C$9))*(A18&lt;=_xlfn.ANCHORARRAY(Sintesi!$C$10)),0)),0),A18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19&gt;=_xlfn.ANCHORARRAY(Sintesi!$C$9))+(_xlfn.ANCHORARRAY(Sintesi!$C$9)&gt;_xlfn.ANCHORARRAY(Sintesi!$C$10))*(A19&lt;=_xlfn.ANCHORARRAY(Sintesi!$C$10))+(_xlfn.ANCHORARRAY(Sintesi!$C$9)&lt;_xlfn.ANCHORARRAY(Sintesi!$C$10))*(A19&gt;=_xlfn.ANCHORARRAY(Sintesi!$C$9))*(A19&lt;=_xlfn.ANCHORARRAY(Sintesi!$C$10)),0)),0)),IF(L18&lt;_xlfn.IFNA(INDEX(_xlfn.ANCHORARRAY(Sintesi!$C$17),1,MATCH(1,(_xlfn.ANCHORARRAY(Sintesi!$C$9)&gt;_xlfn.ANCHORARRAY(Sintesi!$C$10))*(A17&gt;=_xlfn.ANCHORARRAY(Sintesi!$C$9))+(_xlfn.ANCHORARRAY(Sintesi!$C$9)&gt;_xlfn.ANCHORARRAY(Sintesi!$C$10))*(A17&lt;=_xlfn.ANCHORARRAY(Sintesi!$C$10))+(_xlfn.ANCHORARRAY(Sintesi!$C$9)&lt;_xlfn.ANCHORARRAY(Sintesi!$C$10))*(A17&gt;=_xlfn.ANCHORARRAY(Sintesi!$C$9))*(A17&lt;=_xlfn.ANCHORARRAY(Sintesi!$C$10)),0)),0),1,IF(L18&gt;=_xlfn.IFNA(INDEX(_xlfn.ANCHORARRAY(Sintesi!$C$18),1,MATCH(1,(_xlfn.ANCHORARRAY(Sintesi!$C$9)&gt;_xlfn.ANCHORARRAY(Sintesi!$C$10))*(A17&gt;=_xlfn.ANCHORARRAY(Sintesi!$C$9))+(_xlfn.ANCHORARRAY(Sintesi!$C$9)&gt;_xlfn.ANCHORARRAY(Sintesi!$C$10))*(A17&lt;=_xlfn.ANCHORARRAY(Sintesi!$C$10))+(_xlfn.ANCHORARRAY(Sintesi!$C$9)&lt;_xlfn.ANCHORARRAY(Sintesi!$C$10))*(A17&gt;=_xlfn.ANCHORARRAY(Sintesi!$C$9))*(A17&lt;=_xlfn.ANCHORARRAY(Sintesi!$C$10)),0)),0),0,1-(L18-_xlfn.IFNA(INDEX(_xlfn.ANCHORARRAY(Sintesi!$C$17),1,MATCH(1,(_xlfn.ANCHORARRAY(Sintesi!$C$9)&gt;_xlfn.ANCHORARRAY(Sintesi!$C$10))*(A17&gt;=_xlfn.ANCHORARRAY(Sintesi!$C$9))+(_xlfn.ANCHORARRAY(Sintesi!$C$9)&gt;_xlfn.ANCHORARRAY(Sintesi!$C$10))*(A17&lt;=_xlfn.ANCHORARRAY(Sintesi!$C$10))+(_xlfn.ANCHORARRAY(Sintesi!$C$9)&lt;_xlfn.ANCHORARRAY(Sintesi!$C$10))*(A17&gt;=_xlfn.ANCHORARRAY(Sintesi!$C$9))*(A17&lt;=_xlfn.ANCHORARRAY(Sintesi!$C$10)),0)),0))/(_xlfn.IFNA(INDEX(_xlfn.ANCHORARRAY(Sintesi!$C$18),1,MATCH(1,(_xlfn.ANCHORARRAY(Sintesi!$C$9)&gt;_xlfn.ANCHORARRAY(Sintesi!$C$10))*(A17&gt;=_xlfn.ANCHORARRAY(Sintesi!$C$9))+(_xlfn.ANCHORARRAY(Sintesi!$C$9)&gt;_xlfn.ANCHORARRAY(Sintesi!$C$10))*(A17&lt;=_xlfn.ANCHORARRAY(Sintesi!$C$10))+(_xlfn.ANCHORARRAY(Sintesi!$C$9)&lt;_xlfn.ANCHORARRAY(Sintesi!$C$10))*(A17&gt;=_xlfn.ANCHORARRAY(Sintesi!$C$9))*(A17&lt;=_xlfn.ANCHORARRAY(Sintesi!$C$10)),0)),0)-_xlfn.IFNA(INDEX(_xlfn.ANCHORARRAY(Sintesi!$C$17),1,MATCH(1,(_xlfn.ANCHORARRAY(Sintesi!$C$9)&gt;_xlfn.ANCHORARRAY(Sintesi!$C$10))*(A17&gt;=_xlfn.ANCHORARRAY(Sintesi!$C$9))+(_xlfn.ANCHORARRAY(Sintesi!$C$9)&gt;_xlfn.ANCHORARRAY(Sintesi!$C$10))*(A17&lt;=_xlfn.ANCHORARRAY(Sintesi!$C$10))+(_xlfn.ANCHORARRAY(Sintesi!$C$9)&lt;_xlfn.ANCHORARRAY(Sintesi!$C$10))*(A17&gt;=_xlfn.ANCHORARRAY(Sintesi!$C$9))*(A17&lt;=_xlfn.ANCHORARRAY(Sintesi!$C$10)),0)),0)))),0)</f>
        <v>0</v>
      </c>
    </row>
    <row r="19" spans="1:13">
      <c r="A19" s="1">
        <f>'Paste cell here'!A19</f>
        <v>18</v>
      </c>
      <c r="B19" s="2">
        <f>DATE(Sintesi!$C$4-1,12,31)+A19</f>
        <v>44214</v>
      </c>
      <c r="C19" s="34">
        <f t="array" ref="C19">_xlfn.IFNA(MATCH(1,((_xlfn.ANCHORARRAY(Sintesi!$C$9)&gt;_xlfn.ANCHORARRAY(Sintesi!$C$10))*(A19&gt;=_xlfn.ANCHORARRAY(Sintesi!$C$9))+(_xlfn.ANCHORARRAY(Sintesi!$C$9)&gt;_xlfn.ANCHORARRAY(Sintesi!$C$10))*(A19&lt;=_xlfn.ANCHORARRAY(Sintesi!$C$10))+(_xlfn.ANCHORARRAY(Sintesi!$C$9)&lt;_xlfn.ANCHORARRAY(Sintesi!$C$10))*(A19&gt;=_xlfn.ANCHORARRAY(Sintesi!$C$9))*(A19&lt;=_xlfn.ANCHORARRAY(Sintesi!$C$10)))*(_xlfn.ANCHORARRAY(Sintesi!$C$15)&gt;=0)+(_xlfn.ANCHORARRAY(Sintesi!$C$15)&lt;0),0),0)</f>
        <v>0</v>
      </c>
      <c r="D19" s="1">
        <f t="array" ref="D19">IF(ISBLANK($E20),IF(ISNUMBER($E18),IF($C19&gt;0,IF(($E19=INDEX(_xlfn.ANCHORARRAY(Sintesi!$C$14),1,$C19))*(INDEX(_xlfn.ANCHORARRAY(Sintesi!$C$15),1,$C19)&gt;0),0,IF(($E19=INDEX(_xlfn.ANCHORARRAY(Sintesi!$C$14),1,$C19))*(INDEX(_xlfn.ANCHORARRAY(Sintesi!$C$15),1,$C19)&lt;0)+($E19&gt;=$E18)*($E19&lt;=INDEX($E:$E,MATCH(TRUE,INDEX((ISNUMBER($E:$E)),0),0)))*($E19&gt;INDEX(_xlfn.ANCHORARRAY(Sintesi!$C$14),1,$C19))*($E19&lt;=INDEX(_xlfn.ANCHORARRAY(Sintesi!$C$15),1,$C19))*(INDEX(_xlfn.ANCHORARRAY(Sintesi!$C$15),1,$C19)&gt;0),1,IF(($E19&gt;=$E18)*($E19&lt;=INDEX($E:$E,MATCH(TRUE,INDEX((ISNUMBER($E:$E)),0),0)))*($E19&gt;INDEX(_xlfn.ANCHORARRAY(Sintesi!$C$14),1,$C19))*($E19&lt;INDEX(_xlfn.ANCHORARRAY(Sintesi!$C$16),1,$C19))*(INDEX(_xlfn.ANCHORARRAY(Sintesi!$C$15),1,$C19)&lt;0)+($E19&gt;=$E18)*($E19&lt;=INDEX($E:$E,MATCH(TRUE,INDEX((ISNUMBER($E:$E)),0),0)))*($E19&gt;INDEX(_xlfn.ANCHORARRAY(Sintesi!$C$15),1,$C19))*($E19&lt;INDEX(_xlfn.ANCHORARRAY(Sintesi!$C$16),1,$C19))*(INDEX(_xlfn.ANCHORARRAY(Sintesi!$C$15),1,$C19)&gt;0),2,IF($E19=(INDEX(_xlfn.ANCHORARRAY(Sintesi!$C$16),1,$C19)),3,4)))),0),IF($C19&gt;0,IF(($E19=INDEX(_xlfn.ANCHORARRAY(Sintesi!$C$14),1,$C19))*(INDEX(_xlfn.ANCHORARRAY(Sintesi!$C$15),1,$C19)&gt;0),0,IF(($E19=INDEX(_xlfn.ANCHORARRAY(Sintesi!$C$14),1,$C19))*(INDEX(_xlfn.ANCHORARRAY(Sintesi!$C$15),1,$C19)&lt;0)+($E19&gt;=LOOKUP(2,1/($E:$E&lt;&gt;""),$E:$E))*($E19&lt;=INDEX($E:$E,MATCH(TRUE,INDEX((ISNUMBER($E:$E)),0),0)))*($E19&gt;INDEX(_xlfn.ANCHORARRAY(Sintesi!$C$14),1,$C19))*($E19&lt;=INDEX(_xlfn.ANCHORARRAY(Sintesi!$C$15),1,$C19))*(INDEX(_xlfn.ANCHORARRAY(Sintesi!$C$15),1,$C19)&gt;0),1,IF(($E19&gt;=LOOKUP(2,1/($E:$E&lt;&gt;""),$E:$E))*($E19&lt;=INDEX($E:$E,MATCH(TRUE,INDEX((ISNUMBER($E:$E)),0),0)))*($E19&gt;INDEX(_xlfn.ANCHORARRAY(Sintesi!$C$14),1,$C19))*($E19&lt;INDEX(_xlfn.ANCHORARRAY(Sintesi!$C$16),1,$C19))*(INDEX(_xlfn.ANCHORARRAY(Sintesi!$C$15),1,$C19)&lt;0)+($E19&gt;=LOOKUP(2,1/($E:$E&lt;&gt;""),$E:$E))*($E19&lt;=INDEX($E:$E,MATCH(TRUE,INDEX((ISNUMBER($E:$E)),0),0)))*($E19&gt;INDEX(_xlfn.ANCHORARRAY(Sintesi!$C$15),1,$C19))*($E19&lt;INDEX(_xlfn.ANCHORARRAY(Sintesi!$C$16),1,$C19))*(INDEX(_xlfn.ANCHORARRAY(Sintesi!$C$15),1,$C19)&gt;0),2,IF($E19=(INDEX(_xlfn.ANCHORARRAY(Sintesi!$C$16),1,$C19)),3,4)))),0)),IF(ISNUMBER($E18),IF($C19&gt;0,IF(($E19=INDEX(_xlfn.ANCHORARRAY(Sintesi!$C$14),1,$C19))*(INDEX(_xlfn.ANCHORARRAY(Sintesi!$C$15),1,$C19)&gt;0),0,IF(($E19=INDEX(_xlfn.ANCHORARRAY(Sintesi!$C$14),1,$C19))*(INDEX(_xlfn.ANCHORARRAY(Sintesi!$C$15),1,$C19)&lt;0)+($E19&gt;=$E18)*($E19&lt;=$E20)*($E19&gt;INDEX(_xlfn.ANCHORARRAY(Sintesi!$C$14),1,$C19))*($E19&lt;=INDEX(_xlfn.ANCHORARRAY(Sintesi!$C$15),1,$C19))*(INDEX(_xlfn.ANCHORARRAY(Sintesi!$C$15),1,$C19)&gt;0),1,IF(($E19&gt;=$E18)*($E19&lt;=$E20)*($E19&gt;INDEX(_xlfn.ANCHORARRAY(Sintesi!$C$14),1,$C19))*($E19&lt;INDEX(_xlfn.ANCHORARRAY(Sintesi!$C$16),1,$C19))*(INDEX(_xlfn.ANCHORARRAY(Sintesi!$C$15),1,$C19)&lt;0)+($E19&gt;=$E18)*($E19&lt;=$E20)*($E19&gt;INDEX(_xlfn.ANCHORARRAY(Sintesi!$C$15),1,$C19))*($E19&lt;INDEX(_xlfn.ANCHORARRAY(Sintesi!$C$16),1,$C19))*(INDEX(_xlfn.ANCHORARRAY(Sintesi!$C$15),1,$C19)&gt;0),2,IF($E19=(INDEX(_xlfn.ANCHORARRAY(Sintesi!$C$16),1,$C19)),3,4)))),0),IF($C19&gt;0,IF(($E19=INDEX(_xlfn.ANCHORARRAY(Sintesi!$C$14),1,$C19))*(INDEX(_xlfn.ANCHORARRAY(Sintesi!$C$15),1,$C19)&gt;0),0,IF(($E19=INDEX(_xlfn.ANCHORARRAY(Sintesi!$C$14),1,$C19))*(INDEX(_xlfn.ANCHORARRAY(Sintesi!$C$15),1,$C19)&lt;0)+($E19&gt;=LOOKUP(2,1/($E:$E&lt;&gt;""),$E:$E))*($E19&lt;=$E20)*($E19&gt;INDEX(_xlfn.ANCHORARRAY(Sintesi!$C$14),1,$C19))*($E19&lt;=INDEX(_xlfn.ANCHORARRAY(Sintesi!$C$15),1,$C19))*(INDEX(_xlfn.ANCHORARRAY(Sintesi!$C$15),1,$C19)&gt;0),1,IF(($E19&gt;=LOOKUP(2,1/($E:$E&lt;&gt;""),$E:$E))*($E19&lt;=$E20)*($E19&gt;INDEX(_xlfn.ANCHORARRAY(Sintesi!$C$14),1,$C19))*($E19&lt;INDEX(_xlfn.ANCHORARRAY(Sintesi!$C$16),1,$C19))*(INDEX(_xlfn.ANCHORARRAY(Sintesi!$C$15),1,$C19)&lt;0)+($E19&gt;=LOOKUP(2,1/($E:$E&lt;&gt;""),$E:$E))*($E19&lt;=$E20)*($E19&gt;INDEX(_xlfn.ANCHORARRAY(Sintesi!$C$15),1,$C19))*($E19&lt;INDEX(_xlfn.ANCHORARRAY(Sintesi!$C$16),1,$C19))*(INDEX(_xlfn.ANCHORARRAY(Sintesi!$C$15),1,$C19)&gt;0),2,IF($E19=(INDEX(_xlfn.ANCHORARRAY(Sintesi!$C$16),1,$C19)),3,4)))),0)))</f>
        <v>0</v>
      </c>
      <c r="E19" s="1">
        <f>'Paste cell here'!F19</f>
        <v>0</v>
      </c>
      <c r="F19" s="1">
        <f>'Paste cell here'!C19</f>
        <v>2.5399999999999876</v>
      </c>
      <c r="G19" s="1">
        <f>'Paste cell here'!D19</f>
        <v>-3.6799999999999313</v>
      </c>
      <c r="H19" s="1">
        <f>'Paste cell here'!E19</f>
        <v>0.19495026485432193</v>
      </c>
      <c r="I19" s="1">
        <f>'Paste cell here'!X19</f>
        <v>0</v>
      </c>
      <c r="J19" s="1">
        <f>'Paste cell here'!Y19+'Paste cell here'!S19</f>
        <v>0</v>
      </c>
      <c r="K19" s="1">
        <f t="shared" si="0"/>
        <v>0</v>
      </c>
      <c r="L19" s="1">
        <f t="shared" si="1"/>
        <v>0.28475219230146004</v>
      </c>
      <c r="M19" s="1">
        <f t="array" ref="M19">IF(AND(A19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19&gt;=_xlfn.ANCHORARRAY(Sintesi!$C$9))+(_xlfn.ANCHORARRAY(Sintesi!$C$9)&gt;_xlfn.ANCHORARRAY(Sintesi!$C$10))*(A19&lt;=_xlfn.ANCHORARRAY(Sintesi!$C$10))+(_xlfn.ANCHORARRAY(Sintesi!$C$9)&lt;_xlfn.ANCHORARRAY(Sintesi!$C$10))*(A19&gt;=_xlfn.ANCHORARRAY(Sintesi!$C$9))*(A19&lt;=_xlfn.ANCHORARRAY(Sintesi!$C$10)),0)),0),A19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20&gt;=_xlfn.ANCHORARRAY(Sintesi!$C$9))+(_xlfn.ANCHORARRAY(Sintesi!$C$9)&gt;_xlfn.ANCHORARRAY(Sintesi!$C$10))*(A20&lt;=_xlfn.ANCHORARRAY(Sintesi!$C$10))+(_xlfn.ANCHORARRAY(Sintesi!$C$9)&lt;_xlfn.ANCHORARRAY(Sintesi!$C$10))*(A20&gt;=_xlfn.ANCHORARRAY(Sintesi!$C$9))*(A20&lt;=_xlfn.ANCHORARRAY(Sintesi!$C$10)),0)),0)),IF(L19&lt;_xlfn.IFNA(INDEX(_xlfn.ANCHORARRAY(Sintesi!$C$17),1,MATCH(1,(_xlfn.ANCHORARRAY(Sintesi!$C$9)&gt;_xlfn.ANCHORARRAY(Sintesi!$C$10))*(A18&gt;=_xlfn.ANCHORARRAY(Sintesi!$C$9))+(_xlfn.ANCHORARRAY(Sintesi!$C$9)&gt;_xlfn.ANCHORARRAY(Sintesi!$C$10))*(A18&lt;=_xlfn.ANCHORARRAY(Sintesi!$C$10))+(_xlfn.ANCHORARRAY(Sintesi!$C$9)&lt;_xlfn.ANCHORARRAY(Sintesi!$C$10))*(A18&gt;=_xlfn.ANCHORARRAY(Sintesi!$C$9))*(A18&lt;=_xlfn.ANCHORARRAY(Sintesi!$C$10)),0)),0),1,IF(L19&gt;=_xlfn.IFNA(INDEX(_xlfn.ANCHORARRAY(Sintesi!$C$18),1,MATCH(1,(_xlfn.ANCHORARRAY(Sintesi!$C$9)&gt;_xlfn.ANCHORARRAY(Sintesi!$C$10))*(A18&gt;=_xlfn.ANCHORARRAY(Sintesi!$C$9))+(_xlfn.ANCHORARRAY(Sintesi!$C$9)&gt;_xlfn.ANCHORARRAY(Sintesi!$C$10))*(A18&lt;=_xlfn.ANCHORARRAY(Sintesi!$C$10))+(_xlfn.ANCHORARRAY(Sintesi!$C$9)&lt;_xlfn.ANCHORARRAY(Sintesi!$C$10))*(A18&gt;=_xlfn.ANCHORARRAY(Sintesi!$C$9))*(A18&lt;=_xlfn.ANCHORARRAY(Sintesi!$C$10)),0)),0),0,1-(L19-_xlfn.IFNA(INDEX(_xlfn.ANCHORARRAY(Sintesi!$C$17),1,MATCH(1,(_xlfn.ANCHORARRAY(Sintesi!$C$9)&gt;_xlfn.ANCHORARRAY(Sintesi!$C$10))*(A18&gt;=_xlfn.ANCHORARRAY(Sintesi!$C$9))+(_xlfn.ANCHORARRAY(Sintesi!$C$9)&gt;_xlfn.ANCHORARRAY(Sintesi!$C$10))*(A18&lt;=_xlfn.ANCHORARRAY(Sintesi!$C$10))+(_xlfn.ANCHORARRAY(Sintesi!$C$9)&lt;_xlfn.ANCHORARRAY(Sintesi!$C$10))*(A18&gt;=_xlfn.ANCHORARRAY(Sintesi!$C$9))*(A18&lt;=_xlfn.ANCHORARRAY(Sintesi!$C$10)),0)),0))/(_xlfn.IFNA(INDEX(_xlfn.ANCHORARRAY(Sintesi!$C$18),1,MATCH(1,(_xlfn.ANCHORARRAY(Sintesi!$C$9)&gt;_xlfn.ANCHORARRAY(Sintesi!$C$10))*(A18&gt;=_xlfn.ANCHORARRAY(Sintesi!$C$9))+(_xlfn.ANCHORARRAY(Sintesi!$C$9)&gt;_xlfn.ANCHORARRAY(Sintesi!$C$10))*(A18&lt;=_xlfn.ANCHORARRAY(Sintesi!$C$10))+(_xlfn.ANCHORARRAY(Sintesi!$C$9)&lt;_xlfn.ANCHORARRAY(Sintesi!$C$10))*(A18&gt;=_xlfn.ANCHORARRAY(Sintesi!$C$9))*(A18&lt;=_xlfn.ANCHORARRAY(Sintesi!$C$10)),0)),0)-_xlfn.IFNA(INDEX(_xlfn.ANCHORARRAY(Sintesi!$C$17),1,MATCH(1,(_xlfn.ANCHORARRAY(Sintesi!$C$9)&gt;_xlfn.ANCHORARRAY(Sintesi!$C$10))*(A18&gt;=_xlfn.ANCHORARRAY(Sintesi!$C$9))+(_xlfn.ANCHORARRAY(Sintesi!$C$9)&gt;_xlfn.ANCHORARRAY(Sintesi!$C$10))*(A18&lt;=_xlfn.ANCHORARRAY(Sintesi!$C$10))+(_xlfn.ANCHORARRAY(Sintesi!$C$9)&lt;_xlfn.ANCHORARRAY(Sintesi!$C$10))*(A18&gt;=_xlfn.ANCHORARRAY(Sintesi!$C$9))*(A18&lt;=_xlfn.ANCHORARRAY(Sintesi!$C$10)),0)),0)))),0)</f>
        <v>0</v>
      </c>
    </row>
    <row r="20" spans="1:13">
      <c r="A20" s="1">
        <f>'Paste cell here'!A20</f>
        <v>19</v>
      </c>
      <c r="B20" s="2">
        <f>DATE(Sintesi!$C$4-1,12,31)+A20</f>
        <v>44215</v>
      </c>
      <c r="C20" s="34">
        <f t="array" ref="C20">_xlfn.IFNA(MATCH(1,((_xlfn.ANCHORARRAY(Sintesi!$C$9)&gt;_xlfn.ANCHORARRAY(Sintesi!$C$10))*(A20&gt;=_xlfn.ANCHORARRAY(Sintesi!$C$9))+(_xlfn.ANCHORARRAY(Sintesi!$C$9)&gt;_xlfn.ANCHORARRAY(Sintesi!$C$10))*(A20&lt;=_xlfn.ANCHORARRAY(Sintesi!$C$10))+(_xlfn.ANCHORARRAY(Sintesi!$C$9)&lt;_xlfn.ANCHORARRAY(Sintesi!$C$10))*(A20&gt;=_xlfn.ANCHORARRAY(Sintesi!$C$9))*(A20&lt;=_xlfn.ANCHORARRAY(Sintesi!$C$10)))*(_xlfn.ANCHORARRAY(Sintesi!$C$15)&gt;=0)+(_xlfn.ANCHORARRAY(Sintesi!$C$15)&lt;0),0),0)</f>
        <v>0</v>
      </c>
      <c r="D20" s="1">
        <f t="array" ref="D20">IF(ISBLANK($E21),IF(ISNUMBER($E19),IF($C20&gt;0,IF(($E20=INDEX(_xlfn.ANCHORARRAY(Sintesi!$C$14),1,$C20))*(INDEX(_xlfn.ANCHORARRAY(Sintesi!$C$15),1,$C20)&gt;0),0,IF(($E20=INDEX(_xlfn.ANCHORARRAY(Sintesi!$C$14),1,$C20))*(INDEX(_xlfn.ANCHORARRAY(Sintesi!$C$15),1,$C20)&lt;0)+($E20&gt;=$E19)*($E20&lt;=INDEX($E:$E,MATCH(TRUE,INDEX((ISNUMBER($E:$E)),0),0)))*($E20&gt;INDEX(_xlfn.ANCHORARRAY(Sintesi!$C$14),1,$C20))*($E20&lt;=INDEX(_xlfn.ANCHORARRAY(Sintesi!$C$15),1,$C20))*(INDEX(_xlfn.ANCHORARRAY(Sintesi!$C$15),1,$C20)&gt;0),1,IF(($E20&gt;=$E19)*($E20&lt;=INDEX($E:$E,MATCH(TRUE,INDEX((ISNUMBER($E:$E)),0),0)))*($E20&gt;INDEX(_xlfn.ANCHORARRAY(Sintesi!$C$14),1,$C20))*($E20&lt;INDEX(_xlfn.ANCHORARRAY(Sintesi!$C$16),1,$C20))*(INDEX(_xlfn.ANCHORARRAY(Sintesi!$C$15),1,$C20)&lt;0)+($E20&gt;=$E19)*($E20&lt;=INDEX($E:$E,MATCH(TRUE,INDEX((ISNUMBER($E:$E)),0),0)))*($E20&gt;INDEX(_xlfn.ANCHORARRAY(Sintesi!$C$15),1,$C20))*($E20&lt;INDEX(_xlfn.ANCHORARRAY(Sintesi!$C$16),1,$C20))*(INDEX(_xlfn.ANCHORARRAY(Sintesi!$C$15),1,$C20)&gt;0),2,IF($E20=(INDEX(_xlfn.ANCHORARRAY(Sintesi!$C$16),1,$C20)),3,4)))),0),IF($C20&gt;0,IF(($E20=INDEX(_xlfn.ANCHORARRAY(Sintesi!$C$14),1,$C20))*(INDEX(_xlfn.ANCHORARRAY(Sintesi!$C$15),1,$C20)&gt;0),0,IF(($E20=INDEX(_xlfn.ANCHORARRAY(Sintesi!$C$14),1,$C20))*(INDEX(_xlfn.ANCHORARRAY(Sintesi!$C$15),1,$C20)&lt;0)+($E20&gt;=LOOKUP(2,1/($E:$E&lt;&gt;""),$E:$E))*($E20&lt;=INDEX($E:$E,MATCH(TRUE,INDEX((ISNUMBER($E:$E)),0),0)))*($E20&gt;INDEX(_xlfn.ANCHORARRAY(Sintesi!$C$14),1,$C20))*($E20&lt;=INDEX(_xlfn.ANCHORARRAY(Sintesi!$C$15),1,$C20))*(INDEX(_xlfn.ANCHORARRAY(Sintesi!$C$15),1,$C20)&gt;0),1,IF(($E20&gt;=LOOKUP(2,1/($E:$E&lt;&gt;""),$E:$E))*($E20&lt;=INDEX($E:$E,MATCH(TRUE,INDEX((ISNUMBER($E:$E)),0),0)))*($E20&gt;INDEX(_xlfn.ANCHORARRAY(Sintesi!$C$14),1,$C20))*($E20&lt;INDEX(_xlfn.ANCHORARRAY(Sintesi!$C$16),1,$C20))*(INDEX(_xlfn.ANCHORARRAY(Sintesi!$C$15),1,$C20)&lt;0)+($E20&gt;=LOOKUP(2,1/($E:$E&lt;&gt;""),$E:$E))*($E20&lt;=INDEX($E:$E,MATCH(TRUE,INDEX((ISNUMBER($E:$E)),0),0)))*($E20&gt;INDEX(_xlfn.ANCHORARRAY(Sintesi!$C$15),1,$C20))*($E20&lt;INDEX(_xlfn.ANCHORARRAY(Sintesi!$C$16),1,$C20))*(INDEX(_xlfn.ANCHORARRAY(Sintesi!$C$15),1,$C20)&gt;0),2,IF($E20=(INDEX(_xlfn.ANCHORARRAY(Sintesi!$C$16),1,$C20)),3,4)))),0)),IF(ISNUMBER($E19),IF($C20&gt;0,IF(($E20=INDEX(_xlfn.ANCHORARRAY(Sintesi!$C$14),1,$C20))*(INDEX(_xlfn.ANCHORARRAY(Sintesi!$C$15),1,$C20)&gt;0),0,IF(($E20=INDEX(_xlfn.ANCHORARRAY(Sintesi!$C$14),1,$C20))*(INDEX(_xlfn.ANCHORARRAY(Sintesi!$C$15),1,$C20)&lt;0)+($E20&gt;=$E19)*($E20&lt;=$E21)*($E20&gt;INDEX(_xlfn.ANCHORARRAY(Sintesi!$C$14),1,$C20))*($E20&lt;=INDEX(_xlfn.ANCHORARRAY(Sintesi!$C$15),1,$C20))*(INDEX(_xlfn.ANCHORARRAY(Sintesi!$C$15),1,$C20)&gt;0),1,IF(($E20&gt;=$E19)*($E20&lt;=$E21)*($E20&gt;INDEX(_xlfn.ANCHORARRAY(Sintesi!$C$14),1,$C20))*($E20&lt;INDEX(_xlfn.ANCHORARRAY(Sintesi!$C$16),1,$C20))*(INDEX(_xlfn.ANCHORARRAY(Sintesi!$C$15),1,$C20)&lt;0)+($E20&gt;=$E19)*($E20&lt;=$E21)*($E20&gt;INDEX(_xlfn.ANCHORARRAY(Sintesi!$C$15),1,$C20))*($E20&lt;INDEX(_xlfn.ANCHORARRAY(Sintesi!$C$16),1,$C20))*(INDEX(_xlfn.ANCHORARRAY(Sintesi!$C$15),1,$C20)&gt;0),2,IF($E20=(INDEX(_xlfn.ANCHORARRAY(Sintesi!$C$16),1,$C20)),3,4)))),0),IF($C20&gt;0,IF(($E20=INDEX(_xlfn.ANCHORARRAY(Sintesi!$C$14),1,$C20))*(INDEX(_xlfn.ANCHORARRAY(Sintesi!$C$15),1,$C20)&gt;0),0,IF(($E20=INDEX(_xlfn.ANCHORARRAY(Sintesi!$C$14),1,$C20))*(INDEX(_xlfn.ANCHORARRAY(Sintesi!$C$15),1,$C20)&lt;0)+($E20&gt;=LOOKUP(2,1/($E:$E&lt;&gt;""),$E:$E))*($E20&lt;=$E21)*($E20&gt;INDEX(_xlfn.ANCHORARRAY(Sintesi!$C$14),1,$C20))*($E20&lt;=INDEX(_xlfn.ANCHORARRAY(Sintesi!$C$15),1,$C20))*(INDEX(_xlfn.ANCHORARRAY(Sintesi!$C$15),1,$C20)&gt;0),1,IF(($E20&gt;=LOOKUP(2,1/($E:$E&lt;&gt;""),$E:$E))*($E20&lt;=$E21)*($E20&gt;INDEX(_xlfn.ANCHORARRAY(Sintesi!$C$14),1,$C20))*($E20&lt;INDEX(_xlfn.ANCHORARRAY(Sintesi!$C$16),1,$C20))*(INDEX(_xlfn.ANCHORARRAY(Sintesi!$C$15),1,$C20)&lt;0)+($E20&gt;=LOOKUP(2,1/($E:$E&lt;&gt;""),$E:$E))*($E20&lt;=$E21)*($E20&gt;INDEX(_xlfn.ANCHORARRAY(Sintesi!$C$15),1,$C20))*($E20&lt;INDEX(_xlfn.ANCHORARRAY(Sintesi!$C$16),1,$C20))*(INDEX(_xlfn.ANCHORARRAY(Sintesi!$C$15),1,$C20)&gt;0),2,IF($E20=(INDEX(_xlfn.ANCHORARRAY(Sintesi!$C$16),1,$C20)),3,4)))),0)))</f>
        <v>0</v>
      </c>
      <c r="E20" s="1">
        <f>'Paste cell here'!F20</f>
        <v>0</v>
      </c>
      <c r="F20" s="1">
        <f>'Paste cell here'!C20</f>
        <v>2.2399999999999793</v>
      </c>
      <c r="G20" s="1">
        <f>'Paste cell here'!D20</f>
        <v>-3.7999999999999456</v>
      </c>
      <c r="H20" s="1">
        <f>'Paste cell here'!E20</f>
        <v>0.2646930488179044</v>
      </c>
      <c r="I20" s="1">
        <f>'Paste cell here'!X20</f>
        <v>0</v>
      </c>
      <c r="J20" s="1">
        <f>'Paste cell here'!Y20+'Paste cell here'!S20</f>
        <v>0</v>
      </c>
      <c r="K20" s="1">
        <f t="shared" si="0"/>
        <v>0</v>
      </c>
      <c r="L20" s="1">
        <f t="shared" si="1"/>
        <v>5.0016598312018622E-2</v>
      </c>
      <c r="M20" s="1">
        <f t="array" ref="M20">IF(AND(A20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20&gt;=_xlfn.ANCHORARRAY(Sintesi!$C$9))+(_xlfn.ANCHORARRAY(Sintesi!$C$9)&gt;_xlfn.ANCHORARRAY(Sintesi!$C$10))*(A20&lt;=_xlfn.ANCHORARRAY(Sintesi!$C$10))+(_xlfn.ANCHORARRAY(Sintesi!$C$9)&lt;_xlfn.ANCHORARRAY(Sintesi!$C$10))*(A20&gt;=_xlfn.ANCHORARRAY(Sintesi!$C$9))*(A20&lt;=_xlfn.ANCHORARRAY(Sintesi!$C$10)),0)),0),A20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21&gt;=_xlfn.ANCHORARRAY(Sintesi!$C$9))+(_xlfn.ANCHORARRAY(Sintesi!$C$9)&gt;_xlfn.ANCHORARRAY(Sintesi!$C$10))*(A21&lt;=_xlfn.ANCHORARRAY(Sintesi!$C$10))+(_xlfn.ANCHORARRAY(Sintesi!$C$9)&lt;_xlfn.ANCHORARRAY(Sintesi!$C$10))*(A21&gt;=_xlfn.ANCHORARRAY(Sintesi!$C$9))*(A21&lt;=_xlfn.ANCHORARRAY(Sintesi!$C$10)),0)),0)),IF(L20&lt;_xlfn.IFNA(INDEX(_xlfn.ANCHORARRAY(Sintesi!$C$17),1,MATCH(1,(_xlfn.ANCHORARRAY(Sintesi!$C$9)&gt;_xlfn.ANCHORARRAY(Sintesi!$C$10))*(A19&gt;=_xlfn.ANCHORARRAY(Sintesi!$C$9))+(_xlfn.ANCHORARRAY(Sintesi!$C$9)&gt;_xlfn.ANCHORARRAY(Sintesi!$C$10))*(A19&lt;=_xlfn.ANCHORARRAY(Sintesi!$C$10))+(_xlfn.ANCHORARRAY(Sintesi!$C$9)&lt;_xlfn.ANCHORARRAY(Sintesi!$C$10))*(A19&gt;=_xlfn.ANCHORARRAY(Sintesi!$C$9))*(A19&lt;=_xlfn.ANCHORARRAY(Sintesi!$C$10)),0)),0),1,IF(L20&gt;=_xlfn.IFNA(INDEX(_xlfn.ANCHORARRAY(Sintesi!$C$18),1,MATCH(1,(_xlfn.ANCHORARRAY(Sintesi!$C$9)&gt;_xlfn.ANCHORARRAY(Sintesi!$C$10))*(A19&gt;=_xlfn.ANCHORARRAY(Sintesi!$C$9))+(_xlfn.ANCHORARRAY(Sintesi!$C$9)&gt;_xlfn.ANCHORARRAY(Sintesi!$C$10))*(A19&lt;=_xlfn.ANCHORARRAY(Sintesi!$C$10))+(_xlfn.ANCHORARRAY(Sintesi!$C$9)&lt;_xlfn.ANCHORARRAY(Sintesi!$C$10))*(A19&gt;=_xlfn.ANCHORARRAY(Sintesi!$C$9))*(A19&lt;=_xlfn.ANCHORARRAY(Sintesi!$C$10)),0)),0),0,1-(L20-_xlfn.IFNA(INDEX(_xlfn.ANCHORARRAY(Sintesi!$C$17),1,MATCH(1,(_xlfn.ANCHORARRAY(Sintesi!$C$9)&gt;_xlfn.ANCHORARRAY(Sintesi!$C$10))*(A19&gt;=_xlfn.ANCHORARRAY(Sintesi!$C$9))+(_xlfn.ANCHORARRAY(Sintesi!$C$9)&gt;_xlfn.ANCHORARRAY(Sintesi!$C$10))*(A19&lt;=_xlfn.ANCHORARRAY(Sintesi!$C$10))+(_xlfn.ANCHORARRAY(Sintesi!$C$9)&lt;_xlfn.ANCHORARRAY(Sintesi!$C$10))*(A19&gt;=_xlfn.ANCHORARRAY(Sintesi!$C$9))*(A19&lt;=_xlfn.ANCHORARRAY(Sintesi!$C$10)),0)),0))/(_xlfn.IFNA(INDEX(_xlfn.ANCHORARRAY(Sintesi!$C$18),1,MATCH(1,(_xlfn.ANCHORARRAY(Sintesi!$C$9)&gt;_xlfn.ANCHORARRAY(Sintesi!$C$10))*(A19&gt;=_xlfn.ANCHORARRAY(Sintesi!$C$9))+(_xlfn.ANCHORARRAY(Sintesi!$C$9)&gt;_xlfn.ANCHORARRAY(Sintesi!$C$10))*(A19&lt;=_xlfn.ANCHORARRAY(Sintesi!$C$10))+(_xlfn.ANCHORARRAY(Sintesi!$C$9)&lt;_xlfn.ANCHORARRAY(Sintesi!$C$10))*(A19&gt;=_xlfn.ANCHORARRAY(Sintesi!$C$9))*(A19&lt;=_xlfn.ANCHORARRAY(Sintesi!$C$10)),0)),0)-_xlfn.IFNA(INDEX(_xlfn.ANCHORARRAY(Sintesi!$C$17),1,MATCH(1,(_xlfn.ANCHORARRAY(Sintesi!$C$9)&gt;_xlfn.ANCHORARRAY(Sintesi!$C$10))*(A19&gt;=_xlfn.ANCHORARRAY(Sintesi!$C$9))+(_xlfn.ANCHORARRAY(Sintesi!$C$9)&gt;_xlfn.ANCHORARRAY(Sintesi!$C$10))*(A19&lt;=_xlfn.ANCHORARRAY(Sintesi!$C$10))+(_xlfn.ANCHORARRAY(Sintesi!$C$9)&lt;_xlfn.ANCHORARRAY(Sintesi!$C$10))*(A19&gt;=_xlfn.ANCHORARRAY(Sintesi!$C$9))*(A19&lt;=_xlfn.ANCHORARRAY(Sintesi!$C$10)),0)),0)))),0)</f>
        <v>0</v>
      </c>
    </row>
    <row r="21" spans="1:13">
      <c r="A21" s="1">
        <f>'Paste cell here'!A21</f>
        <v>20</v>
      </c>
      <c r="B21" s="2">
        <f>DATE(Sintesi!$C$4-1,12,31)+A21</f>
        <v>44216</v>
      </c>
      <c r="C21" s="34">
        <f t="array" ref="C21">_xlfn.IFNA(MATCH(1,((_xlfn.ANCHORARRAY(Sintesi!$C$9)&gt;_xlfn.ANCHORARRAY(Sintesi!$C$10))*(A21&gt;=_xlfn.ANCHORARRAY(Sintesi!$C$9))+(_xlfn.ANCHORARRAY(Sintesi!$C$9)&gt;_xlfn.ANCHORARRAY(Sintesi!$C$10))*(A21&lt;=_xlfn.ANCHORARRAY(Sintesi!$C$10))+(_xlfn.ANCHORARRAY(Sintesi!$C$9)&lt;_xlfn.ANCHORARRAY(Sintesi!$C$10))*(A21&gt;=_xlfn.ANCHORARRAY(Sintesi!$C$9))*(A21&lt;=_xlfn.ANCHORARRAY(Sintesi!$C$10)))*(_xlfn.ANCHORARRAY(Sintesi!$C$15)&gt;=0)+(_xlfn.ANCHORARRAY(Sintesi!$C$15)&lt;0),0),0)</f>
        <v>0</v>
      </c>
      <c r="D21" s="1">
        <f t="array" ref="D21">IF(ISBLANK($E22),IF(ISNUMBER($E20),IF($C21&gt;0,IF(($E21=INDEX(_xlfn.ANCHORARRAY(Sintesi!$C$14),1,$C21))*(INDEX(_xlfn.ANCHORARRAY(Sintesi!$C$15),1,$C21)&gt;0),0,IF(($E21=INDEX(_xlfn.ANCHORARRAY(Sintesi!$C$14),1,$C21))*(INDEX(_xlfn.ANCHORARRAY(Sintesi!$C$15),1,$C21)&lt;0)+($E21&gt;=$E20)*($E21&lt;=INDEX($E:$E,MATCH(TRUE,INDEX((ISNUMBER($E:$E)),0),0)))*($E21&gt;INDEX(_xlfn.ANCHORARRAY(Sintesi!$C$14),1,$C21))*($E21&lt;=INDEX(_xlfn.ANCHORARRAY(Sintesi!$C$15),1,$C21))*(INDEX(_xlfn.ANCHORARRAY(Sintesi!$C$15),1,$C21)&gt;0),1,IF(($E21&gt;=$E20)*($E21&lt;=INDEX($E:$E,MATCH(TRUE,INDEX((ISNUMBER($E:$E)),0),0)))*($E21&gt;INDEX(_xlfn.ANCHORARRAY(Sintesi!$C$14),1,$C21))*($E21&lt;INDEX(_xlfn.ANCHORARRAY(Sintesi!$C$16),1,$C21))*(INDEX(_xlfn.ANCHORARRAY(Sintesi!$C$15),1,$C21)&lt;0)+($E21&gt;=$E20)*($E21&lt;=INDEX($E:$E,MATCH(TRUE,INDEX((ISNUMBER($E:$E)),0),0)))*($E21&gt;INDEX(_xlfn.ANCHORARRAY(Sintesi!$C$15),1,$C21))*($E21&lt;INDEX(_xlfn.ANCHORARRAY(Sintesi!$C$16),1,$C21))*(INDEX(_xlfn.ANCHORARRAY(Sintesi!$C$15),1,$C21)&gt;0),2,IF($E21=(INDEX(_xlfn.ANCHORARRAY(Sintesi!$C$16),1,$C21)),3,4)))),0),IF($C21&gt;0,IF(($E21=INDEX(_xlfn.ANCHORARRAY(Sintesi!$C$14),1,$C21))*(INDEX(_xlfn.ANCHORARRAY(Sintesi!$C$15),1,$C21)&gt;0),0,IF(($E21=INDEX(_xlfn.ANCHORARRAY(Sintesi!$C$14),1,$C21))*(INDEX(_xlfn.ANCHORARRAY(Sintesi!$C$15),1,$C21)&lt;0)+($E21&gt;=LOOKUP(2,1/($E:$E&lt;&gt;""),$E:$E))*($E21&lt;=INDEX($E:$E,MATCH(TRUE,INDEX((ISNUMBER($E:$E)),0),0)))*($E21&gt;INDEX(_xlfn.ANCHORARRAY(Sintesi!$C$14),1,$C21))*($E21&lt;=INDEX(_xlfn.ANCHORARRAY(Sintesi!$C$15),1,$C21))*(INDEX(_xlfn.ANCHORARRAY(Sintesi!$C$15),1,$C21)&gt;0),1,IF(($E21&gt;=LOOKUP(2,1/($E:$E&lt;&gt;""),$E:$E))*($E21&lt;=INDEX($E:$E,MATCH(TRUE,INDEX((ISNUMBER($E:$E)),0),0)))*($E21&gt;INDEX(_xlfn.ANCHORARRAY(Sintesi!$C$14),1,$C21))*($E21&lt;INDEX(_xlfn.ANCHORARRAY(Sintesi!$C$16),1,$C21))*(INDEX(_xlfn.ANCHORARRAY(Sintesi!$C$15),1,$C21)&lt;0)+($E21&gt;=LOOKUP(2,1/($E:$E&lt;&gt;""),$E:$E))*($E21&lt;=INDEX($E:$E,MATCH(TRUE,INDEX((ISNUMBER($E:$E)),0),0)))*($E21&gt;INDEX(_xlfn.ANCHORARRAY(Sintesi!$C$15),1,$C21))*($E21&lt;INDEX(_xlfn.ANCHORARRAY(Sintesi!$C$16),1,$C21))*(INDEX(_xlfn.ANCHORARRAY(Sintesi!$C$15),1,$C21)&gt;0),2,IF($E21=(INDEX(_xlfn.ANCHORARRAY(Sintesi!$C$16),1,$C21)),3,4)))),0)),IF(ISNUMBER($E20),IF($C21&gt;0,IF(($E21=INDEX(_xlfn.ANCHORARRAY(Sintesi!$C$14),1,$C21))*(INDEX(_xlfn.ANCHORARRAY(Sintesi!$C$15),1,$C21)&gt;0),0,IF(($E21=INDEX(_xlfn.ANCHORARRAY(Sintesi!$C$14),1,$C21))*(INDEX(_xlfn.ANCHORARRAY(Sintesi!$C$15),1,$C21)&lt;0)+($E21&gt;=$E20)*($E21&lt;=$E22)*($E21&gt;INDEX(_xlfn.ANCHORARRAY(Sintesi!$C$14),1,$C21))*($E21&lt;=INDEX(_xlfn.ANCHORARRAY(Sintesi!$C$15),1,$C21))*(INDEX(_xlfn.ANCHORARRAY(Sintesi!$C$15),1,$C21)&gt;0),1,IF(($E21&gt;=$E20)*($E21&lt;=$E22)*($E21&gt;INDEX(_xlfn.ANCHORARRAY(Sintesi!$C$14),1,$C21))*($E21&lt;INDEX(_xlfn.ANCHORARRAY(Sintesi!$C$16),1,$C21))*(INDEX(_xlfn.ANCHORARRAY(Sintesi!$C$15),1,$C21)&lt;0)+($E21&gt;=$E20)*($E21&lt;=$E22)*($E21&gt;INDEX(_xlfn.ANCHORARRAY(Sintesi!$C$15),1,$C21))*($E21&lt;INDEX(_xlfn.ANCHORARRAY(Sintesi!$C$16),1,$C21))*(INDEX(_xlfn.ANCHORARRAY(Sintesi!$C$15),1,$C21)&gt;0),2,IF($E21=(INDEX(_xlfn.ANCHORARRAY(Sintesi!$C$16),1,$C21)),3,4)))),0),IF($C21&gt;0,IF(($E21=INDEX(_xlfn.ANCHORARRAY(Sintesi!$C$14),1,$C21))*(INDEX(_xlfn.ANCHORARRAY(Sintesi!$C$15),1,$C21)&gt;0),0,IF(($E21=INDEX(_xlfn.ANCHORARRAY(Sintesi!$C$14),1,$C21))*(INDEX(_xlfn.ANCHORARRAY(Sintesi!$C$15),1,$C21)&lt;0)+($E21&gt;=LOOKUP(2,1/($E:$E&lt;&gt;""),$E:$E))*($E21&lt;=$E22)*($E21&gt;INDEX(_xlfn.ANCHORARRAY(Sintesi!$C$14),1,$C21))*($E21&lt;=INDEX(_xlfn.ANCHORARRAY(Sintesi!$C$15),1,$C21))*(INDEX(_xlfn.ANCHORARRAY(Sintesi!$C$15),1,$C21)&gt;0),1,IF(($E21&gt;=LOOKUP(2,1/($E:$E&lt;&gt;""),$E:$E))*($E21&lt;=$E22)*($E21&gt;INDEX(_xlfn.ANCHORARRAY(Sintesi!$C$14),1,$C21))*($E21&lt;INDEX(_xlfn.ANCHORARRAY(Sintesi!$C$16),1,$C21))*(INDEX(_xlfn.ANCHORARRAY(Sintesi!$C$15),1,$C21)&lt;0)+($E21&gt;=LOOKUP(2,1/($E:$E&lt;&gt;""),$E:$E))*($E21&lt;=$E22)*($E21&gt;INDEX(_xlfn.ANCHORARRAY(Sintesi!$C$15),1,$C21))*($E21&lt;INDEX(_xlfn.ANCHORARRAY(Sintesi!$C$16),1,$C21))*(INDEX(_xlfn.ANCHORARRAY(Sintesi!$C$15),1,$C21)&gt;0),2,IF($E21=(INDEX(_xlfn.ANCHORARRAY(Sintesi!$C$16),1,$C21)),3,4)))),0)))</f>
        <v>0</v>
      </c>
      <c r="E21" s="1">
        <f>'Paste cell here'!F21</f>
        <v>0</v>
      </c>
      <c r="F21" s="1">
        <f>'Paste cell here'!C21</f>
        <v>2.5399999999999623</v>
      </c>
      <c r="G21" s="1">
        <f>'Paste cell here'!D21</f>
        <v>1.2399999999999849</v>
      </c>
      <c r="H21" s="1">
        <f>'Paste cell here'!E21</f>
        <v>0.33095810142260473</v>
      </c>
      <c r="I21" s="1">
        <f>'Paste cell here'!X21</f>
        <v>0</v>
      </c>
      <c r="J21" s="1">
        <f>'Paste cell here'!Y21+'Paste cell here'!S21</f>
        <v>0</v>
      </c>
      <c r="K21" s="1">
        <f t="shared" si="0"/>
        <v>0</v>
      </c>
      <c r="L21" s="1">
        <f t="shared" si="1"/>
        <v>2.0686459565903044</v>
      </c>
      <c r="M21" s="1">
        <f t="array" ref="M21">IF(AND(A21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21&gt;=_xlfn.ANCHORARRAY(Sintesi!$C$9))+(_xlfn.ANCHORARRAY(Sintesi!$C$9)&gt;_xlfn.ANCHORARRAY(Sintesi!$C$10))*(A21&lt;=_xlfn.ANCHORARRAY(Sintesi!$C$10))+(_xlfn.ANCHORARRAY(Sintesi!$C$9)&lt;_xlfn.ANCHORARRAY(Sintesi!$C$10))*(A21&gt;=_xlfn.ANCHORARRAY(Sintesi!$C$9))*(A21&lt;=_xlfn.ANCHORARRAY(Sintesi!$C$10)),0)),0),A21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22&gt;=_xlfn.ANCHORARRAY(Sintesi!$C$9))+(_xlfn.ANCHORARRAY(Sintesi!$C$9)&gt;_xlfn.ANCHORARRAY(Sintesi!$C$10))*(A22&lt;=_xlfn.ANCHORARRAY(Sintesi!$C$10))+(_xlfn.ANCHORARRAY(Sintesi!$C$9)&lt;_xlfn.ANCHORARRAY(Sintesi!$C$10))*(A22&gt;=_xlfn.ANCHORARRAY(Sintesi!$C$9))*(A22&lt;=_xlfn.ANCHORARRAY(Sintesi!$C$10)),0)),0)),IF(L21&lt;_xlfn.IFNA(INDEX(_xlfn.ANCHORARRAY(Sintesi!$C$17),1,MATCH(1,(_xlfn.ANCHORARRAY(Sintesi!$C$9)&gt;_xlfn.ANCHORARRAY(Sintesi!$C$10))*(A20&gt;=_xlfn.ANCHORARRAY(Sintesi!$C$9))+(_xlfn.ANCHORARRAY(Sintesi!$C$9)&gt;_xlfn.ANCHORARRAY(Sintesi!$C$10))*(A20&lt;=_xlfn.ANCHORARRAY(Sintesi!$C$10))+(_xlfn.ANCHORARRAY(Sintesi!$C$9)&lt;_xlfn.ANCHORARRAY(Sintesi!$C$10))*(A20&gt;=_xlfn.ANCHORARRAY(Sintesi!$C$9))*(A20&lt;=_xlfn.ANCHORARRAY(Sintesi!$C$10)),0)),0),1,IF(L21&gt;=_xlfn.IFNA(INDEX(_xlfn.ANCHORARRAY(Sintesi!$C$18),1,MATCH(1,(_xlfn.ANCHORARRAY(Sintesi!$C$9)&gt;_xlfn.ANCHORARRAY(Sintesi!$C$10))*(A20&gt;=_xlfn.ANCHORARRAY(Sintesi!$C$9))+(_xlfn.ANCHORARRAY(Sintesi!$C$9)&gt;_xlfn.ANCHORARRAY(Sintesi!$C$10))*(A20&lt;=_xlfn.ANCHORARRAY(Sintesi!$C$10))+(_xlfn.ANCHORARRAY(Sintesi!$C$9)&lt;_xlfn.ANCHORARRAY(Sintesi!$C$10))*(A20&gt;=_xlfn.ANCHORARRAY(Sintesi!$C$9))*(A20&lt;=_xlfn.ANCHORARRAY(Sintesi!$C$10)),0)),0),0,1-(L21-_xlfn.IFNA(INDEX(_xlfn.ANCHORARRAY(Sintesi!$C$17),1,MATCH(1,(_xlfn.ANCHORARRAY(Sintesi!$C$9)&gt;_xlfn.ANCHORARRAY(Sintesi!$C$10))*(A20&gt;=_xlfn.ANCHORARRAY(Sintesi!$C$9))+(_xlfn.ANCHORARRAY(Sintesi!$C$9)&gt;_xlfn.ANCHORARRAY(Sintesi!$C$10))*(A20&lt;=_xlfn.ANCHORARRAY(Sintesi!$C$10))+(_xlfn.ANCHORARRAY(Sintesi!$C$9)&lt;_xlfn.ANCHORARRAY(Sintesi!$C$10))*(A20&gt;=_xlfn.ANCHORARRAY(Sintesi!$C$9))*(A20&lt;=_xlfn.ANCHORARRAY(Sintesi!$C$10)),0)),0))/(_xlfn.IFNA(INDEX(_xlfn.ANCHORARRAY(Sintesi!$C$18),1,MATCH(1,(_xlfn.ANCHORARRAY(Sintesi!$C$9)&gt;_xlfn.ANCHORARRAY(Sintesi!$C$10))*(A20&gt;=_xlfn.ANCHORARRAY(Sintesi!$C$9))+(_xlfn.ANCHORARRAY(Sintesi!$C$9)&gt;_xlfn.ANCHORARRAY(Sintesi!$C$10))*(A20&lt;=_xlfn.ANCHORARRAY(Sintesi!$C$10))+(_xlfn.ANCHORARRAY(Sintesi!$C$9)&lt;_xlfn.ANCHORARRAY(Sintesi!$C$10))*(A20&gt;=_xlfn.ANCHORARRAY(Sintesi!$C$9))*(A20&lt;=_xlfn.ANCHORARRAY(Sintesi!$C$10)),0)),0)-_xlfn.IFNA(INDEX(_xlfn.ANCHORARRAY(Sintesi!$C$17),1,MATCH(1,(_xlfn.ANCHORARRAY(Sintesi!$C$9)&gt;_xlfn.ANCHORARRAY(Sintesi!$C$10))*(A20&gt;=_xlfn.ANCHORARRAY(Sintesi!$C$9))+(_xlfn.ANCHORARRAY(Sintesi!$C$9)&gt;_xlfn.ANCHORARRAY(Sintesi!$C$10))*(A20&lt;=_xlfn.ANCHORARRAY(Sintesi!$C$10))+(_xlfn.ANCHORARRAY(Sintesi!$C$9)&lt;_xlfn.ANCHORARRAY(Sintesi!$C$10))*(A20&gt;=_xlfn.ANCHORARRAY(Sintesi!$C$9))*(A20&lt;=_xlfn.ANCHORARRAY(Sintesi!$C$10)),0)),0)))),0)</f>
        <v>0</v>
      </c>
    </row>
    <row r="22" spans="1:13">
      <c r="A22" s="1">
        <f>'Paste cell here'!A22</f>
        <v>21</v>
      </c>
      <c r="B22" s="2">
        <f>DATE(Sintesi!$C$4-1,12,31)+A22</f>
        <v>44217</v>
      </c>
      <c r="C22" s="34">
        <f t="array" ref="C22">_xlfn.IFNA(MATCH(1,((_xlfn.ANCHORARRAY(Sintesi!$C$9)&gt;_xlfn.ANCHORARRAY(Sintesi!$C$10))*(A22&gt;=_xlfn.ANCHORARRAY(Sintesi!$C$9))+(_xlfn.ANCHORARRAY(Sintesi!$C$9)&gt;_xlfn.ANCHORARRAY(Sintesi!$C$10))*(A22&lt;=_xlfn.ANCHORARRAY(Sintesi!$C$10))+(_xlfn.ANCHORARRAY(Sintesi!$C$9)&lt;_xlfn.ANCHORARRAY(Sintesi!$C$10))*(A22&gt;=_xlfn.ANCHORARRAY(Sintesi!$C$9))*(A22&lt;=_xlfn.ANCHORARRAY(Sintesi!$C$10)))*(_xlfn.ANCHORARRAY(Sintesi!$C$15)&gt;=0)+(_xlfn.ANCHORARRAY(Sintesi!$C$15)&lt;0),0),0)</f>
        <v>0</v>
      </c>
      <c r="D22" s="1">
        <f t="array" ref="D22">IF(ISBLANK($E23),IF(ISNUMBER($E21),IF($C22&gt;0,IF(($E22=INDEX(_xlfn.ANCHORARRAY(Sintesi!$C$14),1,$C22))*(INDEX(_xlfn.ANCHORARRAY(Sintesi!$C$15),1,$C22)&gt;0),0,IF(($E22=INDEX(_xlfn.ANCHORARRAY(Sintesi!$C$14),1,$C22))*(INDEX(_xlfn.ANCHORARRAY(Sintesi!$C$15),1,$C22)&lt;0)+($E22&gt;=$E21)*($E22&lt;=INDEX($E:$E,MATCH(TRUE,INDEX((ISNUMBER($E:$E)),0),0)))*($E22&gt;INDEX(_xlfn.ANCHORARRAY(Sintesi!$C$14),1,$C22))*($E22&lt;=INDEX(_xlfn.ANCHORARRAY(Sintesi!$C$15),1,$C22))*(INDEX(_xlfn.ANCHORARRAY(Sintesi!$C$15),1,$C22)&gt;0),1,IF(($E22&gt;=$E21)*($E22&lt;=INDEX($E:$E,MATCH(TRUE,INDEX((ISNUMBER($E:$E)),0),0)))*($E22&gt;INDEX(_xlfn.ANCHORARRAY(Sintesi!$C$14),1,$C22))*($E22&lt;INDEX(_xlfn.ANCHORARRAY(Sintesi!$C$16),1,$C22))*(INDEX(_xlfn.ANCHORARRAY(Sintesi!$C$15),1,$C22)&lt;0)+($E22&gt;=$E21)*($E22&lt;=INDEX($E:$E,MATCH(TRUE,INDEX((ISNUMBER($E:$E)),0),0)))*($E22&gt;INDEX(_xlfn.ANCHORARRAY(Sintesi!$C$15),1,$C22))*($E22&lt;INDEX(_xlfn.ANCHORARRAY(Sintesi!$C$16),1,$C22))*(INDEX(_xlfn.ANCHORARRAY(Sintesi!$C$15),1,$C22)&gt;0),2,IF($E22=(INDEX(_xlfn.ANCHORARRAY(Sintesi!$C$16),1,$C22)),3,4)))),0),IF($C22&gt;0,IF(($E22=INDEX(_xlfn.ANCHORARRAY(Sintesi!$C$14),1,$C22))*(INDEX(_xlfn.ANCHORARRAY(Sintesi!$C$15),1,$C22)&gt;0),0,IF(($E22=INDEX(_xlfn.ANCHORARRAY(Sintesi!$C$14),1,$C22))*(INDEX(_xlfn.ANCHORARRAY(Sintesi!$C$15),1,$C22)&lt;0)+($E22&gt;=LOOKUP(2,1/($E:$E&lt;&gt;""),$E:$E))*($E22&lt;=INDEX($E:$E,MATCH(TRUE,INDEX((ISNUMBER($E:$E)),0),0)))*($E22&gt;INDEX(_xlfn.ANCHORARRAY(Sintesi!$C$14),1,$C22))*($E22&lt;=INDEX(_xlfn.ANCHORARRAY(Sintesi!$C$15),1,$C22))*(INDEX(_xlfn.ANCHORARRAY(Sintesi!$C$15),1,$C22)&gt;0),1,IF(($E22&gt;=LOOKUP(2,1/($E:$E&lt;&gt;""),$E:$E))*($E22&lt;=INDEX($E:$E,MATCH(TRUE,INDEX((ISNUMBER($E:$E)),0),0)))*($E22&gt;INDEX(_xlfn.ANCHORARRAY(Sintesi!$C$14),1,$C22))*($E22&lt;INDEX(_xlfn.ANCHORARRAY(Sintesi!$C$16),1,$C22))*(INDEX(_xlfn.ANCHORARRAY(Sintesi!$C$15),1,$C22)&lt;0)+($E22&gt;=LOOKUP(2,1/($E:$E&lt;&gt;""),$E:$E))*($E22&lt;=INDEX($E:$E,MATCH(TRUE,INDEX((ISNUMBER($E:$E)),0),0)))*($E22&gt;INDEX(_xlfn.ANCHORARRAY(Sintesi!$C$15),1,$C22))*($E22&lt;INDEX(_xlfn.ANCHORARRAY(Sintesi!$C$16),1,$C22))*(INDEX(_xlfn.ANCHORARRAY(Sintesi!$C$15),1,$C22)&gt;0),2,IF($E22=(INDEX(_xlfn.ANCHORARRAY(Sintesi!$C$16),1,$C22)),3,4)))),0)),IF(ISNUMBER($E21),IF($C22&gt;0,IF(($E22=INDEX(_xlfn.ANCHORARRAY(Sintesi!$C$14),1,$C22))*(INDEX(_xlfn.ANCHORARRAY(Sintesi!$C$15),1,$C22)&gt;0),0,IF(($E22=INDEX(_xlfn.ANCHORARRAY(Sintesi!$C$14),1,$C22))*(INDEX(_xlfn.ANCHORARRAY(Sintesi!$C$15),1,$C22)&lt;0)+($E22&gt;=$E21)*($E22&lt;=$E23)*($E22&gt;INDEX(_xlfn.ANCHORARRAY(Sintesi!$C$14),1,$C22))*($E22&lt;=INDEX(_xlfn.ANCHORARRAY(Sintesi!$C$15),1,$C22))*(INDEX(_xlfn.ANCHORARRAY(Sintesi!$C$15),1,$C22)&gt;0),1,IF(($E22&gt;=$E21)*($E22&lt;=$E23)*($E22&gt;INDEX(_xlfn.ANCHORARRAY(Sintesi!$C$14),1,$C22))*($E22&lt;INDEX(_xlfn.ANCHORARRAY(Sintesi!$C$16),1,$C22))*(INDEX(_xlfn.ANCHORARRAY(Sintesi!$C$15),1,$C22)&lt;0)+($E22&gt;=$E21)*($E22&lt;=$E23)*($E22&gt;INDEX(_xlfn.ANCHORARRAY(Sintesi!$C$15),1,$C22))*($E22&lt;INDEX(_xlfn.ANCHORARRAY(Sintesi!$C$16),1,$C22))*(INDEX(_xlfn.ANCHORARRAY(Sintesi!$C$15),1,$C22)&gt;0),2,IF($E22=(INDEX(_xlfn.ANCHORARRAY(Sintesi!$C$16),1,$C22)),3,4)))),0),IF($C22&gt;0,IF(($E22=INDEX(_xlfn.ANCHORARRAY(Sintesi!$C$14),1,$C22))*(INDEX(_xlfn.ANCHORARRAY(Sintesi!$C$15),1,$C22)&gt;0),0,IF(($E22=INDEX(_xlfn.ANCHORARRAY(Sintesi!$C$14),1,$C22))*(INDEX(_xlfn.ANCHORARRAY(Sintesi!$C$15),1,$C22)&lt;0)+($E22&gt;=LOOKUP(2,1/($E:$E&lt;&gt;""),$E:$E))*($E22&lt;=$E23)*($E22&gt;INDEX(_xlfn.ANCHORARRAY(Sintesi!$C$14),1,$C22))*($E22&lt;=INDEX(_xlfn.ANCHORARRAY(Sintesi!$C$15),1,$C22))*(INDEX(_xlfn.ANCHORARRAY(Sintesi!$C$15),1,$C22)&gt;0),1,IF(($E22&gt;=LOOKUP(2,1/($E:$E&lt;&gt;""),$E:$E))*($E22&lt;=$E23)*($E22&gt;INDEX(_xlfn.ANCHORARRAY(Sintesi!$C$14),1,$C22))*($E22&lt;INDEX(_xlfn.ANCHORARRAY(Sintesi!$C$16),1,$C22))*(INDEX(_xlfn.ANCHORARRAY(Sintesi!$C$15),1,$C22)&lt;0)+($E22&gt;=LOOKUP(2,1/($E:$E&lt;&gt;""),$E:$E))*($E22&lt;=$E23)*($E22&gt;INDEX(_xlfn.ANCHORARRAY(Sintesi!$C$15),1,$C22))*($E22&lt;INDEX(_xlfn.ANCHORARRAY(Sintesi!$C$16),1,$C22))*(INDEX(_xlfn.ANCHORARRAY(Sintesi!$C$15),1,$C22)&gt;0),2,IF($E22=(INDEX(_xlfn.ANCHORARRAY(Sintesi!$C$16),1,$C22)),3,4)))),0)))</f>
        <v>0</v>
      </c>
      <c r="E22" s="1">
        <f>'Paste cell here'!F22</f>
        <v>0</v>
      </c>
      <c r="F22" s="1">
        <f>'Paste cell here'!C22</f>
        <v>3.8199999999999443</v>
      </c>
      <c r="G22" s="1">
        <f>'Paste cell here'!D22</f>
        <v>2.3999999999999657</v>
      </c>
      <c r="H22" s="1">
        <f>'Paste cell here'!E22</f>
        <v>0.36987974858242656</v>
      </c>
      <c r="I22" s="1">
        <f>'Paste cell here'!X22</f>
        <v>0</v>
      </c>
      <c r="J22" s="1">
        <f>'Paste cell here'!Y22+'Paste cell here'!S22</f>
        <v>0</v>
      </c>
      <c r="K22" s="1">
        <f t="shared" si="0"/>
        <v>0</v>
      </c>
      <c r="L22" s="1">
        <f t="shared" si="1"/>
        <v>3.30513635258324</v>
      </c>
      <c r="M22" s="1">
        <f t="array" ref="M22">IF(AND(A22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22&gt;=_xlfn.ANCHORARRAY(Sintesi!$C$9))+(_xlfn.ANCHORARRAY(Sintesi!$C$9)&gt;_xlfn.ANCHORARRAY(Sintesi!$C$10))*(A22&lt;=_xlfn.ANCHORARRAY(Sintesi!$C$10))+(_xlfn.ANCHORARRAY(Sintesi!$C$9)&lt;_xlfn.ANCHORARRAY(Sintesi!$C$10))*(A22&gt;=_xlfn.ANCHORARRAY(Sintesi!$C$9))*(A22&lt;=_xlfn.ANCHORARRAY(Sintesi!$C$10)),0)),0),A22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23&gt;=_xlfn.ANCHORARRAY(Sintesi!$C$9))+(_xlfn.ANCHORARRAY(Sintesi!$C$9)&gt;_xlfn.ANCHORARRAY(Sintesi!$C$10))*(A23&lt;=_xlfn.ANCHORARRAY(Sintesi!$C$10))+(_xlfn.ANCHORARRAY(Sintesi!$C$9)&lt;_xlfn.ANCHORARRAY(Sintesi!$C$10))*(A23&gt;=_xlfn.ANCHORARRAY(Sintesi!$C$9))*(A23&lt;=_xlfn.ANCHORARRAY(Sintesi!$C$10)),0)),0)),IF(L22&lt;_xlfn.IFNA(INDEX(_xlfn.ANCHORARRAY(Sintesi!$C$17),1,MATCH(1,(_xlfn.ANCHORARRAY(Sintesi!$C$9)&gt;_xlfn.ANCHORARRAY(Sintesi!$C$10))*(A21&gt;=_xlfn.ANCHORARRAY(Sintesi!$C$9))+(_xlfn.ANCHORARRAY(Sintesi!$C$9)&gt;_xlfn.ANCHORARRAY(Sintesi!$C$10))*(A21&lt;=_xlfn.ANCHORARRAY(Sintesi!$C$10))+(_xlfn.ANCHORARRAY(Sintesi!$C$9)&lt;_xlfn.ANCHORARRAY(Sintesi!$C$10))*(A21&gt;=_xlfn.ANCHORARRAY(Sintesi!$C$9))*(A21&lt;=_xlfn.ANCHORARRAY(Sintesi!$C$10)),0)),0),1,IF(L22&gt;=_xlfn.IFNA(INDEX(_xlfn.ANCHORARRAY(Sintesi!$C$18),1,MATCH(1,(_xlfn.ANCHORARRAY(Sintesi!$C$9)&gt;_xlfn.ANCHORARRAY(Sintesi!$C$10))*(A21&gt;=_xlfn.ANCHORARRAY(Sintesi!$C$9))+(_xlfn.ANCHORARRAY(Sintesi!$C$9)&gt;_xlfn.ANCHORARRAY(Sintesi!$C$10))*(A21&lt;=_xlfn.ANCHORARRAY(Sintesi!$C$10))+(_xlfn.ANCHORARRAY(Sintesi!$C$9)&lt;_xlfn.ANCHORARRAY(Sintesi!$C$10))*(A21&gt;=_xlfn.ANCHORARRAY(Sintesi!$C$9))*(A21&lt;=_xlfn.ANCHORARRAY(Sintesi!$C$10)),0)),0),0,1-(L22-_xlfn.IFNA(INDEX(_xlfn.ANCHORARRAY(Sintesi!$C$17),1,MATCH(1,(_xlfn.ANCHORARRAY(Sintesi!$C$9)&gt;_xlfn.ANCHORARRAY(Sintesi!$C$10))*(A21&gt;=_xlfn.ANCHORARRAY(Sintesi!$C$9))+(_xlfn.ANCHORARRAY(Sintesi!$C$9)&gt;_xlfn.ANCHORARRAY(Sintesi!$C$10))*(A21&lt;=_xlfn.ANCHORARRAY(Sintesi!$C$10))+(_xlfn.ANCHORARRAY(Sintesi!$C$9)&lt;_xlfn.ANCHORARRAY(Sintesi!$C$10))*(A21&gt;=_xlfn.ANCHORARRAY(Sintesi!$C$9))*(A21&lt;=_xlfn.ANCHORARRAY(Sintesi!$C$10)),0)),0))/(_xlfn.IFNA(INDEX(_xlfn.ANCHORARRAY(Sintesi!$C$18),1,MATCH(1,(_xlfn.ANCHORARRAY(Sintesi!$C$9)&gt;_xlfn.ANCHORARRAY(Sintesi!$C$10))*(A21&gt;=_xlfn.ANCHORARRAY(Sintesi!$C$9))+(_xlfn.ANCHORARRAY(Sintesi!$C$9)&gt;_xlfn.ANCHORARRAY(Sintesi!$C$10))*(A21&lt;=_xlfn.ANCHORARRAY(Sintesi!$C$10))+(_xlfn.ANCHORARRAY(Sintesi!$C$9)&lt;_xlfn.ANCHORARRAY(Sintesi!$C$10))*(A21&gt;=_xlfn.ANCHORARRAY(Sintesi!$C$9))*(A21&lt;=_xlfn.ANCHORARRAY(Sintesi!$C$10)),0)),0)-_xlfn.IFNA(INDEX(_xlfn.ANCHORARRAY(Sintesi!$C$17),1,MATCH(1,(_xlfn.ANCHORARRAY(Sintesi!$C$9)&gt;_xlfn.ANCHORARRAY(Sintesi!$C$10))*(A21&gt;=_xlfn.ANCHORARRAY(Sintesi!$C$9))+(_xlfn.ANCHORARRAY(Sintesi!$C$9)&gt;_xlfn.ANCHORARRAY(Sintesi!$C$10))*(A21&lt;=_xlfn.ANCHORARRAY(Sintesi!$C$10))+(_xlfn.ANCHORARRAY(Sintesi!$C$9)&lt;_xlfn.ANCHORARRAY(Sintesi!$C$10))*(A21&gt;=_xlfn.ANCHORARRAY(Sintesi!$C$9))*(A21&lt;=_xlfn.ANCHORARRAY(Sintesi!$C$10)),0)),0)))),0)</f>
        <v>0</v>
      </c>
    </row>
    <row r="23" spans="1:13">
      <c r="A23" s="1">
        <f>'Paste cell here'!A23</f>
        <v>22</v>
      </c>
      <c r="B23" s="2">
        <f>DATE(Sintesi!$C$4-1,12,31)+A23</f>
        <v>44218</v>
      </c>
      <c r="C23" s="34">
        <f t="array" ref="C23">_xlfn.IFNA(MATCH(1,((_xlfn.ANCHORARRAY(Sintesi!$C$9)&gt;_xlfn.ANCHORARRAY(Sintesi!$C$10))*(A23&gt;=_xlfn.ANCHORARRAY(Sintesi!$C$9))+(_xlfn.ANCHORARRAY(Sintesi!$C$9)&gt;_xlfn.ANCHORARRAY(Sintesi!$C$10))*(A23&lt;=_xlfn.ANCHORARRAY(Sintesi!$C$10))+(_xlfn.ANCHORARRAY(Sintesi!$C$9)&lt;_xlfn.ANCHORARRAY(Sintesi!$C$10))*(A23&gt;=_xlfn.ANCHORARRAY(Sintesi!$C$9))*(A23&lt;=_xlfn.ANCHORARRAY(Sintesi!$C$10)))*(_xlfn.ANCHORARRAY(Sintesi!$C$15)&gt;=0)+(_xlfn.ANCHORARRAY(Sintesi!$C$15)&lt;0),0),0)</f>
        <v>0</v>
      </c>
      <c r="D23" s="1">
        <f t="array" ref="D23">IF(ISBLANK($E24),IF(ISNUMBER($E22),IF($C23&gt;0,IF(($E23=INDEX(_xlfn.ANCHORARRAY(Sintesi!$C$14),1,$C23))*(INDEX(_xlfn.ANCHORARRAY(Sintesi!$C$15),1,$C23)&gt;0),0,IF(($E23=INDEX(_xlfn.ANCHORARRAY(Sintesi!$C$14),1,$C23))*(INDEX(_xlfn.ANCHORARRAY(Sintesi!$C$15),1,$C23)&lt;0)+($E23&gt;=$E22)*($E23&lt;=INDEX($E:$E,MATCH(TRUE,INDEX((ISNUMBER($E:$E)),0),0)))*($E23&gt;INDEX(_xlfn.ANCHORARRAY(Sintesi!$C$14),1,$C23))*($E23&lt;=INDEX(_xlfn.ANCHORARRAY(Sintesi!$C$15),1,$C23))*(INDEX(_xlfn.ANCHORARRAY(Sintesi!$C$15),1,$C23)&gt;0),1,IF(($E23&gt;=$E22)*($E23&lt;=INDEX($E:$E,MATCH(TRUE,INDEX((ISNUMBER($E:$E)),0),0)))*($E23&gt;INDEX(_xlfn.ANCHORARRAY(Sintesi!$C$14),1,$C23))*($E23&lt;INDEX(_xlfn.ANCHORARRAY(Sintesi!$C$16),1,$C23))*(INDEX(_xlfn.ANCHORARRAY(Sintesi!$C$15),1,$C23)&lt;0)+($E23&gt;=$E22)*($E23&lt;=INDEX($E:$E,MATCH(TRUE,INDEX((ISNUMBER($E:$E)),0),0)))*($E23&gt;INDEX(_xlfn.ANCHORARRAY(Sintesi!$C$15),1,$C23))*($E23&lt;INDEX(_xlfn.ANCHORARRAY(Sintesi!$C$16),1,$C23))*(INDEX(_xlfn.ANCHORARRAY(Sintesi!$C$15),1,$C23)&gt;0),2,IF($E23=(INDEX(_xlfn.ANCHORARRAY(Sintesi!$C$16),1,$C23)),3,4)))),0),IF($C23&gt;0,IF(($E23=INDEX(_xlfn.ANCHORARRAY(Sintesi!$C$14),1,$C23))*(INDEX(_xlfn.ANCHORARRAY(Sintesi!$C$15),1,$C23)&gt;0),0,IF(($E23=INDEX(_xlfn.ANCHORARRAY(Sintesi!$C$14),1,$C23))*(INDEX(_xlfn.ANCHORARRAY(Sintesi!$C$15),1,$C23)&lt;0)+($E23&gt;=LOOKUP(2,1/($E:$E&lt;&gt;""),$E:$E))*($E23&lt;=INDEX($E:$E,MATCH(TRUE,INDEX((ISNUMBER($E:$E)),0),0)))*($E23&gt;INDEX(_xlfn.ANCHORARRAY(Sintesi!$C$14),1,$C23))*($E23&lt;=INDEX(_xlfn.ANCHORARRAY(Sintesi!$C$15),1,$C23))*(INDEX(_xlfn.ANCHORARRAY(Sintesi!$C$15),1,$C23)&gt;0),1,IF(($E23&gt;=LOOKUP(2,1/($E:$E&lt;&gt;""),$E:$E))*($E23&lt;=INDEX($E:$E,MATCH(TRUE,INDEX((ISNUMBER($E:$E)),0),0)))*($E23&gt;INDEX(_xlfn.ANCHORARRAY(Sintesi!$C$14),1,$C23))*($E23&lt;INDEX(_xlfn.ANCHORARRAY(Sintesi!$C$16),1,$C23))*(INDEX(_xlfn.ANCHORARRAY(Sintesi!$C$15),1,$C23)&lt;0)+($E23&gt;=LOOKUP(2,1/($E:$E&lt;&gt;""),$E:$E))*($E23&lt;=INDEX($E:$E,MATCH(TRUE,INDEX((ISNUMBER($E:$E)),0),0)))*($E23&gt;INDEX(_xlfn.ANCHORARRAY(Sintesi!$C$15),1,$C23))*($E23&lt;INDEX(_xlfn.ANCHORARRAY(Sintesi!$C$16),1,$C23))*(INDEX(_xlfn.ANCHORARRAY(Sintesi!$C$15),1,$C23)&gt;0),2,IF($E23=(INDEX(_xlfn.ANCHORARRAY(Sintesi!$C$16),1,$C23)),3,4)))),0)),IF(ISNUMBER($E22),IF($C23&gt;0,IF(($E23=INDEX(_xlfn.ANCHORARRAY(Sintesi!$C$14),1,$C23))*(INDEX(_xlfn.ANCHORARRAY(Sintesi!$C$15),1,$C23)&gt;0),0,IF(($E23=INDEX(_xlfn.ANCHORARRAY(Sintesi!$C$14),1,$C23))*(INDEX(_xlfn.ANCHORARRAY(Sintesi!$C$15),1,$C23)&lt;0)+($E23&gt;=$E22)*($E23&lt;=$E24)*($E23&gt;INDEX(_xlfn.ANCHORARRAY(Sintesi!$C$14),1,$C23))*($E23&lt;=INDEX(_xlfn.ANCHORARRAY(Sintesi!$C$15),1,$C23))*(INDEX(_xlfn.ANCHORARRAY(Sintesi!$C$15),1,$C23)&gt;0),1,IF(($E23&gt;=$E22)*($E23&lt;=$E24)*($E23&gt;INDEX(_xlfn.ANCHORARRAY(Sintesi!$C$14),1,$C23))*($E23&lt;INDEX(_xlfn.ANCHORARRAY(Sintesi!$C$16),1,$C23))*(INDEX(_xlfn.ANCHORARRAY(Sintesi!$C$15),1,$C23)&lt;0)+($E23&gt;=$E22)*($E23&lt;=$E24)*($E23&gt;INDEX(_xlfn.ANCHORARRAY(Sintesi!$C$15),1,$C23))*($E23&lt;INDEX(_xlfn.ANCHORARRAY(Sintesi!$C$16),1,$C23))*(INDEX(_xlfn.ANCHORARRAY(Sintesi!$C$15),1,$C23)&gt;0),2,IF($E23=(INDEX(_xlfn.ANCHORARRAY(Sintesi!$C$16),1,$C23)),3,4)))),0),IF($C23&gt;0,IF(($E23=INDEX(_xlfn.ANCHORARRAY(Sintesi!$C$14),1,$C23))*(INDEX(_xlfn.ANCHORARRAY(Sintesi!$C$15),1,$C23)&gt;0),0,IF(($E23=INDEX(_xlfn.ANCHORARRAY(Sintesi!$C$14),1,$C23))*(INDEX(_xlfn.ANCHORARRAY(Sintesi!$C$15),1,$C23)&lt;0)+($E23&gt;=LOOKUP(2,1/($E:$E&lt;&gt;""),$E:$E))*($E23&lt;=$E24)*($E23&gt;INDEX(_xlfn.ANCHORARRAY(Sintesi!$C$14),1,$C23))*($E23&lt;=INDEX(_xlfn.ANCHORARRAY(Sintesi!$C$15),1,$C23))*(INDEX(_xlfn.ANCHORARRAY(Sintesi!$C$15),1,$C23)&gt;0),1,IF(($E23&gt;=LOOKUP(2,1/($E:$E&lt;&gt;""),$E:$E))*($E23&lt;=$E24)*($E23&gt;INDEX(_xlfn.ANCHORARRAY(Sintesi!$C$14),1,$C23))*($E23&lt;INDEX(_xlfn.ANCHORARRAY(Sintesi!$C$16),1,$C23))*(INDEX(_xlfn.ANCHORARRAY(Sintesi!$C$15),1,$C23)&lt;0)+($E23&gt;=LOOKUP(2,1/($E:$E&lt;&gt;""),$E:$E))*($E23&lt;=$E24)*($E23&gt;INDEX(_xlfn.ANCHORARRAY(Sintesi!$C$15),1,$C23))*($E23&lt;INDEX(_xlfn.ANCHORARRAY(Sintesi!$C$16),1,$C23))*(INDEX(_xlfn.ANCHORARRAY(Sintesi!$C$15),1,$C23)&gt;0),2,IF($E23=(INDEX(_xlfn.ANCHORARRAY(Sintesi!$C$16),1,$C23)),3,4)))),0)))</f>
        <v>0</v>
      </c>
      <c r="E23" s="1">
        <f>'Paste cell here'!F23</f>
        <v>0</v>
      </c>
      <c r="F23" s="1">
        <f>'Paste cell here'!C23</f>
        <v>4.8199999999999301</v>
      </c>
      <c r="G23" s="1">
        <f>'Paste cell here'!D23</f>
        <v>3.0399999999999552</v>
      </c>
      <c r="H23" s="1">
        <f>'Paste cell here'!E23</f>
        <v>0.35936796625406647</v>
      </c>
      <c r="I23" s="1">
        <f>'Paste cell here'!X23</f>
        <v>0</v>
      </c>
      <c r="J23" s="1">
        <f>'Paste cell here'!Y23+'Paste cell here'!S23</f>
        <v>0</v>
      </c>
      <c r="K23" s="1">
        <f t="shared" si="0"/>
        <v>0</v>
      </c>
      <c r="L23" s="1">
        <f t="shared" si="1"/>
        <v>4.1746075405620884</v>
      </c>
      <c r="M23" s="1">
        <f t="array" ref="M23">IF(AND(A23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23&gt;=_xlfn.ANCHORARRAY(Sintesi!$C$9))+(_xlfn.ANCHORARRAY(Sintesi!$C$9)&gt;_xlfn.ANCHORARRAY(Sintesi!$C$10))*(A23&lt;=_xlfn.ANCHORARRAY(Sintesi!$C$10))+(_xlfn.ANCHORARRAY(Sintesi!$C$9)&lt;_xlfn.ANCHORARRAY(Sintesi!$C$10))*(A23&gt;=_xlfn.ANCHORARRAY(Sintesi!$C$9))*(A23&lt;=_xlfn.ANCHORARRAY(Sintesi!$C$10)),0)),0),A23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24&gt;=_xlfn.ANCHORARRAY(Sintesi!$C$9))+(_xlfn.ANCHORARRAY(Sintesi!$C$9)&gt;_xlfn.ANCHORARRAY(Sintesi!$C$10))*(A24&lt;=_xlfn.ANCHORARRAY(Sintesi!$C$10))+(_xlfn.ANCHORARRAY(Sintesi!$C$9)&lt;_xlfn.ANCHORARRAY(Sintesi!$C$10))*(A24&gt;=_xlfn.ANCHORARRAY(Sintesi!$C$9))*(A24&lt;=_xlfn.ANCHORARRAY(Sintesi!$C$10)),0)),0)),IF(L23&lt;_xlfn.IFNA(INDEX(_xlfn.ANCHORARRAY(Sintesi!$C$17),1,MATCH(1,(_xlfn.ANCHORARRAY(Sintesi!$C$9)&gt;_xlfn.ANCHORARRAY(Sintesi!$C$10))*(A22&gt;=_xlfn.ANCHORARRAY(Sintesi!$C$9))+(_xlfn.ANCHORARRAY(Sintesi!$C$9)&gt;_xlfn.ANCHORARRAY(Sintesi!$C$10))*(A22&lt;=_xlfn.ANCHORARRAY(Sintesi!$C$10))+(_xlfn.ANCHORARRAY(Sintesi!$C$9)&lt;_xlfn.ANCHORARRAY(Sintesi!$C$10))*(A22&gt;=_xlfn.ANCHORARRAY(Sintesi!$C$9))*(A22&lt;=_xlfn.ANCHORARRAY(Sintesi!$C$10)),0)),0),1,IF(L23&gt;=_xlfn.IFNA(INDEX(_xlfn.ANCHORARRAY(Sintesi!$C$18),1,MATCH(1,(_xlfn.ANCHORARRAY(Sintesi!$C$9)&gt;_xlfn.ANCHORARRAY(Sintesi!$C$10))*(A22&gt;=_xlfn.ANCHORARRAY(Sintesi!$C$9))+(_xlfn.ANCHORARRAY(Sintesi!$C$9)&gt;_xlfn.ANCHORARRAY(Sintesi!$C$10))*(A22&lt;=_xlfn.ANCHORARRAY(Sintesi!$C$10))+(_xlfn.ANCHORARRAY(Sintesi!$C$9)&lt;_xlfn.ANCHORARRAY(Sintesi!$C$10))*(A22&gt;=_xlfn.ANCHORARRAY(Sintesi!$C$9))*(A22&lt;=_xlfn.ANCHORARRAY(Sintesi!$C$10)),0)),0),0,1-(L23-_xlfn.IFNA(INDEX(_xlfn.ANCHORARRAY(Sintesi!$C$17),1,MATCH(1,(_xlfn.ANCHORARRAY(Sintesi!$C$9)&gt;_xlfn.ANCHORARRAY(Sintesi!$C$10))*(A22&gt;=_xlfn.ANCHORARRAY(Sintesi!$C$9))+(_xlfn.ANCHORARRAY(Sintesi!$C$9)&gt;_xlfn.ANCHORARRAY(Sintesi!$C$10))*(A22&lt;=_xlfn.ANCHORARRAY(Sintesi!$C$10))+(_xlfn.ANCHORARRAY(Sintesi!$C$9)&lt;_xlfn.ANCHORARRAY(Sintesi!$C$10))*(A22&gt;=_xlfn.ANCHORARRAY(Sintesi!$C$9))*(A22&lt;=_xlfn.ANCHORARRAY(Sintesi!$C$10)),0)),0))/(_xlfn.IFNA(INDEX(_xlfn.ANCHORARRAY(Sintesi!$C$18),1,MATCH(1,(_xlfn.ANCHORARRAY(Sintesi!$C$9)&gt;_xlfn.ANCHORARRAY(Sintesi!$C$10))*(A22&gt;=_xlfn.ANCHORARRAY(Sintesi!$C$9))+(_xlfn.ANCHORARRAY(Sintesi!$C$9)&gt;_xlfn.ANCHORARRAY(Sintesi!$C$10))*(A22&lt;=_xlfn.ANCHORARRAY(Sintesi!$C$10))+(_xlfn.ANCHORARRAY(Sintesi!$C$9)&lt;_xlfn.ANCHORARRAY(Sintesi!$C$10))*(A22&gt;=_xlfn.ANCHORARRAY(Sintesi!$C$9))*(A22&lt;=_xlfn.ANCHORARRAY(Sintesi!$C$10)),0)),0)-_xlfn.IFNA(INDEX(_xlfn.ANCHORARRAY(Sintesi!$C$17),1,MATCH(1,(_xlfn.ANCHORARRAY(Sintesi!$C$9)&gt;_xlfn.ANCHORARRAY(Sintesi!$C$10))*(A22&gt;=_xlfn.ANCHORARRAY(Sintesi!$C$9))+(_xlfn.ANCHORARRAY(Sintesi!$C$9)&gt;_xlfn.ANCHORARRAY(Sintesi!$C$10))*(A22&lt;=_xlfn.ANCHORARRAY(Sintesi!$C$10))+(_xlfn.ANCHORARRAY(Sintesi!$C$9)&lt;_xlfn.ANCHORARRAY(Sintesi!$C$10))*(A22&gt;=_xlfn.ANCHORARRAY(Sintesi!$C$9))*(A22&lt;=_xlfn.ANCHORARRAY(Sintesi!$C$10)),0)),0)))),0)</f>
        <v>0</v>
      </c>
    </row>
    <row r="24" spans="1:13">
      <c r="A24" s="1">
        <f>'Paste cell here'!A24</f>
        <v>23</v>
      </c>
      <c r="B24" s="2">
        <f>DATE(Sintesi!$C$4-1,12,31)+A24</f>
        <v>44219</v>
      </c>
      <c r="C24" s="34">
        <f t="array" ref="C24">_xlfn.IFNA(MATCH(1,((_xlfn.ANCHORARRAY(Sintesi!$C$9)&gt;_xlfn.ANCHORARRAY(Sintesi!$C$10))*(A24&gt;=_xlfn.ANCHORARRAY(Sintesi!$C$9))+(_xlfn.ANCHORARRAY(Sintesi!$C$9)&gt;_xlfn.ANCHORARRAY(Sintesi!$C$10))*(A24&lt;=_xlfn.ANCHORARRAY(Sintesi!$C$10))+(_xlfn.ANCHORARRAY(Sintesi!$C$9)&lt;_xlfn.ANCHORARRAY(Sintesi!$C$10))*(A24&gt;=_xlfn.ANCHORARRAY(Sintesi!$C$9))*(A24&lt;=_xlfn.ANCHORARRAY(Sintesi!$C$10)))*(_xlfn.ANCHORARRAY(Sintesi!$C$15)&gt;=0)+(_xlfn.ANCHORARRAY(Sintesi!$C$15)&lt;0),0),0)</f>
        <v>0</v>
      </c>
      <c r="D24" s="1">
        <f t="array" ref="D24">IF(ISBLANK($E25),IF(ISNUMBER($E23),IF($C24&gt;0,IF(($E24=INDEX(_xlfn.ANCHORARRAY(Sintesi!$C$14),1,$C24))*(INDEX(_xlfn.ANCHORARRAY(Sintesi!$C$15),1,$C24)&gt;0),0,IF(($E24=INDEX(_xlfn.ANCHORARRAY(Sintesi!$C$14),1,$C24))*(INDEX(_xlfn.ANCHORARRAY(Sintesi!$C$15),1,$C24)&lt;0)+($E24&gt;=$E23)*($E24&lt;=INDEX($E:$E,MATCH(TRUE,INDEX((ISNUMBER($E:$E)),0),0)))*($E24&gt;INDEX(_xlfn.ANCHORARRAY(Sintesi!$C$14),1,$C24))*($E24&lt;=INDEX(_xlfn.ANCHORARRAY(Sintesi!$C$15),1,$C24))*(INDEX(_xlfn.ANCHORARRAY(Sintesi!$C$15),1,$C24)&gt;0),1,IF(($E24&gt;=$E23)*($E24&lt;=INDEX($E:$E,MATCH(TRUE,INDEX((ISNUMBER($E:$E)),0),0)))*($E24&gt;INDEX(_xlfn.ANCHORARRAY(Sintesi!$C$14),1,$C24))*($E24&lt;INDEX(_xlfn.ANCHORARRAY(Sintesi!$C$16),1,$C24))*(INDEX(_xlfn.ANCHORARRAY(Sintesi!$C$15),1,$C24)&lt;0)+($E24&gt;=$E23)*($E24&lt;=INDEX($E:$E,MATCH(TRUE,INDEX((ISNUMBER($E:$E)),0),0)))*($E24&gt;INDEX(_xlfn.ANCHORARRAY(Sintesi!$C$15),1,$C24))*($E24&lt;INDEX(_xlfn.ANCHORARRAY(Sintesi!$C$16),1,$C24))*(INDEX(_xlfn.ANCHORARRAY(Sintesi!$C$15),1,$C24)&gt;0),2,IF($E24=(INDEX(_xlfn.ANCHORARRAY(Sintesi!$C$16),1,$C24)),3,4)))),0),IF($C24&gt;0,IF(($E24=INDEX(_xlfn.ANCHORARRAY(Sintesi!$C$14),1,$C24))*(INDEX(_xlfn.ANCHORARRAY(Sintesi!$C$15),1,$C24)&gt;0),0,IF(($E24=INDEX(_xlfn.ANCHORARRAY(Sintesi!$C$14),1,$C24))*(INDEX(_xlfn.ANCHORARRAY(Sintesi!$C$15),1,$C24)&lt;0)+($E24&gt;=LOOKUP(2,1/($E:$E&lt;&gt;""),$E:$E))*($E24&lt;=INDEX($E:$E,MATCH(TRUE,INDEX((ISNUMBER($E:$E)),0),0)))*($E24&gt;INDEX(_xlfn.ANCHORARRAY(Sintesi!$C$14),1,$C24))*($E24&lt;=INDEX(_xlfn.ANCHORARRAY(Sintesi!$C$15),1,$C24))*(INDEX(_xlfn.ANCHORARRAY(Sintesi!$C$15),1,$C24)&gt;0),1,IF(($E24&gt;=LOOKUP(2,1/($E:$E&lt;&gt;""),$E:$E))*($E24&lt;=INDEX($E:$E,MATCH(TRUE,INDEX((ISNUMBER($E:$E)),0),0)))*($E24&gt;INDEX(_xlfn.ANCHORARRAY(Sintesi!$C$14),1,$C24))*($E24&lt;INDEX(_xlfn.ANCHORARRAY(Sintesi!$C$16),1,$C24))*(INDEX(_xlfn.ANCHORARRAY(Sintesi!$C$15),1,$C24)&lt;0)+($E24&gt;=LOOKUP(2,1/($E:$E&lt;&gt;""),$E:$E))*($E24&lt;=INDEX($E:$E,MATCH(TRUE,INDEX((ISNUMBER($E:$E)),0),0)))*($E24&gt;INDEX(_xlfn.ANCHORARRAY(Sintesi!$C$15),1,$C24))*($E24&lt;INDEX(_xlfn.ANCHORARRAY(Sintesi!$C$16),1,$C24))*(INDEX(_xlfn.ANCHORARRAY(Sintesi!$C$15),1,$C24)&gt;0),2,IF($E24=(INDEX(_xlfn.ANCHORARRAY(Sintesi!$C$16),1,$C24)),3,4)))),0)),IF(ISNUMBER($E23),IF($C24&gt;0,IF(($E24=INDEX(_xlfn.ANCHORARRAY(Sintesi!$C$14),1,$C24))*(INDEX(_xlfn.ANCHORARRAY(Sintesi!$C$15),1,$C24)&gt;0),0,IF(($E24=INDEX(_xlfn.ANCHORARRAY(Sintesi!$C$14),1,$C24))*(INDEX(_xlfn.ANCHORARRAY(Sintesi!$C$15),1,$C24)&lt;0)+($E24&gt;=$E23)*($E24&lt;=$E25)*($E24&gt;INDEX(_xlfn.ANCHORARRAY(Sintesi!$C$14),1,$C24))*($E24&lt;=INDEX(_xlfn.ANCHORARRAY(Sintesi!$C$15),1,$C24))*(INDEX(_xlfn.ANCHORARRAY(Sintesi!$C$15),1,$C24)&gt;0),1,IF(($E24&gt;=$E23)*($E24&lt;=$E25)*($E24&gt;INDEX(_xlfn.ANCHORARRAY(Sintesi!$C$14),1,$C24))*($E24&lt;INDEX(_xlfn.ANCHORARRAY(Sintesi!$C$16),1,$C24))*(INDEX(_xlfn.ANCHORARRAY(Sintesi!$C$15),1,$C24)&lt;0)+($E24&gt;=$E23)*($E24&lt;=$E25)*($E24&gt;INDEX(_xlfn.ANCHORARRAY(Sintesi!$C$15),1,$C24))*($E24&lt;INDEX(_xlfn.ANCHORARRAY(Sintesi!$C$16),1,$C24))*(INDEX(_xlfn.ANCHORARRAY(Sintesi!$C$15),1,$C24)&gt;0),2,IF($E24=(INDEX(_xlfn.ANCHORARRAY(Sintesi!$C$16),1,$C24)),3,4)))),0),IF($C24&gt;0,IF(($E24=INDEX(_xlfn.ANCHORARRAY(Sintesi!$C$14),1,$C24))*(INDEX(_xlfn.ANCHORARRAY(Sintesi!$C$15),1,$C24)&gt;0),0,IF(($E24=INDEX(_xlfn.ANCHORARRAY(Sintesi!$C$14),1,$C24))*(INDEX(_xlfn.ANCHORARRAY(Sintesi!$C$15),1,$C24)&lt;0)+($E24&gt;=LOOKUP(2,1/($E:$E&lt;&gt;""),$E:$E))*($E24&lt;=$E25)*($E24&gt;INDEX(_xlfn.ANCHORARRAY(Sintesi!$C$14),1,$C24))*($E24&lt;=INDEX(_xlfn.ANCHORARRAY(Sintesi!$C$15),1,$C24))*(INDEX(_xlfn.ANCHORARRAY(Sintesi!$C$15),1,$C24)&gt;0),1,IF(($E24&gt;=LOOKUP(2,1/($E:$E&lt;&gt;""),$E:$E))*($E24&lt;=$E25)*($E24&gt;INDEX(_xlfn.ANCHORARRAY(Sintesi!$C$14),1,$C24))*($E24&lt;INDEX(_xlfn.ANCHORARRAY(Sintesi!$C$16),1,$C24))*(INDEX(_xlfn.ANCHORARRAY(Sintesi!$C$15),1,$C24)&lt;0)+($E24&gt;=LOOKUP(2,1/($E:$E&lt;&gt;""),$E:$E))*($E24&lt;=$E25)*($E24&gt;INDEX(_xlfn.ANCHORARRAY(Sintesi!$C$15),1,$C24))*($E24&lt;INDEX(_xlfn.ANCHORARRAY(Sintesi!$C$16),1,$C24))*(INDEX(_xlfn.ANCHORARRAY(Sintesi!$C$15),1,$C24)&gt;0),2,IF($E24=(INDEX(_xlfn.ANCHORARRAY(Sintesi!$C$16),1,$C24)),3,4)))),0)))</f>
        <v>0</v>
      </c>
      <c r="E24" s="1">
        <f>'Paste cell here'!F24</f>
        <v>0</v>
      </c>
      <c r="F24" s="1">
        <f>'Paste cell here'!C24</f>
        <v>11.419999999999849</v>
      </c>
      <c r="G24" s="1">
        <f>'Paste cell here'!D24</f>
        <v>2.3999999999999826</v>
      </c>
      <c r="H24" s="1">
        <f>'Paste cell here'!E24</f>
        <v>0.6626552809916576</v>
      </c>
      <c r="I24" s="1">
        <f>'Paste cell here'!X24</f>
        <v>0</v>
      </c>
      <c r="J24" s="1">
        <f>'Paste cell here'!Y24+'Paste cell here'!S24</f>
        <v>0</v>
      </c>
      <c r="K24" s="1">
        <f t="shared" si="0"/>
        <v>0</v>
      </c>
      <c r="L24" s="1">
        <f t="shared" si="1"/>
        <v>8.1495280988035983</v>
      </c>
      <c r="M24" s="1">
        <f t="array" ref="M24">IF(AND(A24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24&gt;=_xlfn.ANCHORARRAY(Sintesi!$C$9))+(_xlfn.ANCHORARRAY(Sintesi!$C$9)&gt;_xlfn.ANCHORARRAY(Sintesi!$C$10))*(A24&lt;=_xlfn.ANCHORARRAY(Sintesi!$C$10))+(_xlfn.ANCHORARRAY(Sintesi!$C$9)&lt;_xlfn.ANCHORARRAY(Sintesi!$C$10))*(A24&gt;=_xlfn.ANCHORARRAY(Sintesi!$C$9))*(A24&lt;=_xlfn.ANCHORARRAY(Sintesi!$C$10)),0)),0),A24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25&gt;=_xlfn.ANCHORARRAY(Sintesi!$C$9))+(_xlfn.ANCHORARRAY(Sintesi!$C$9)&gt;_xlfn.ANCHORARRAY(Sintesi!$C$10))*(A25&lt;=_xlfn.ANCHORARRAY(Sintesi!$C$10))+(_xlfn.ANCHORARRAY(Sintesi!$C$9)&lt;_xlfn.ANCHORARRAY(Sintesi!$C$10))*(A25&gt;=_xlfn.ANCHORARRAY(Sintesi!$C$9))*(A25&lt;=_xlfn.ANCHORARRAY(Sintesi!$C$10)),0)),0)),IF(L24&lt;_xlfn.IFNA(INDEX(_xlfn.ANCHORARRAY(Sintesi!$C$17),1,MATCH(1,(_xlfn.ANCHORARRAY(Sintesi!$C$9)&gt;_xlfn.ANCHORARRAY(Sintesi!$C$10))*(A23&gt;=_xlfn.ANCHORARRAY(Sintesi!$C$9))+(_xlfn.ANCHORARRAY(Sintesi!$C$9)&gt;_xlfn.ANCHORARRAY(Sintesi!$C$10))*(A23&lt;=_xlfn.ANCHORARRAY(Sintesi!$C$10))+(_xlfn.ANCHORARRAY(Sintesi!$C$9)&lt;_xlfn.ANCHORARRAY(Sintesi!$C$10))*(A23&gt;=_xlfn.ANCHORARRAY(Sintesi!$C$9))*(A23&lt;=_xlfn.ANCHORARRAY(Sintesi!$C$10)),0)),0),1,IF(L24&gt;=_xlfn.IFNA(INDEX(_xlfn.ANCHORARRAY(Sintesi!$C$18),1,MATCH(1,(_xlfn.ANCHORARRAY(Sintesi!$C$9)&gt;_xlfn.ANCHORARRAY(Sintesi!$C$10))*(A23&gt;=_xlfn.ANCHORARRAY(Sintesi!$C$9))+(_xlfn.ANCHORARRAY(Sintesi!$C$9)&gt;_xlfn.ANCHORARRAY(Sintesi!$C$10))*(A23&lt;=_xlfn.ANCHORARRAY(Sintesi!$C$10))+(_xlfn.ANCHORARRAY(Sintesi!$C$9)&lt;_xlfn.ANCHORARRAY(Sintesi!$C$10))*(A23&gt;=_xlfn.ANCHORARRAY(Sintesi!$C$9))*(A23&lt;=_xlfn.ANCHORARRAY(Sintesi!$C$10)),0)),0),0,1-(L24-_xlfn.IFNA(INDEX(_xlfn.ANCHORARRAY(Sintesi!$C$17),1,MATCH(1,(_xlfn.ANCHORARRAY(Sintesi!$C$9)&gt;_xlfn.ANCHORARRAY(Sintesi!$C$10))*(A23&gt;=_xlfn.ANCHORARRAY(Sintesi!$C$9))+(_xlfn.ANCHORARRAY(Sintesi!$C$9)&gt;_xlfn.ANCHORARRAY(Sintesi!$C$10))*(A23&lt;=_xlfn.ANCHORARRAY(Sintesi!$C$10))+(_xlfn.ANCHORARRAY(Sintesi!$C$9)&lt;_xlfn.ANCHORARRAY(Sintesi!$C$10))*(A23&gt;=_xlfn.ANCHORARRAY(Sintesi!$C$9))*(A23&lt;=_xlfn.ANCHORARRAY(Sintesi!$C$10)),0)),0))/(_xlfn.IFNA(INDEX(_xlfn.ANCHORARRAY(Sintesi!$C$18),1,MATCH(1,(_xlfn.ANCHORARRAY(Sintesi!$C$9)&gt;_xlfn.ANCHORARRAY(Sintesi!$C$10))*(A23&gt;=_xlfn.ANCHORARRAY(Sintesi!$C$9))+(_xlfn.ANCHORARRAY(Sintesi!$C$9)&gt;_xlfn.ANCHORARRAY(Sintesi!$C$10))*(A23&lt;=_xlfn.ANCHORARRAY(Sintesi!$C$10))+(_xlfn.ANCHORARRAY(Sintesi!$C$9)&lt;_xlfn.ANCHORARRAY(Sintesi!$C$10))*(A23&gt;=_xlfn.ANCHORARRAY(Sintesi!$C$9))*(A23&lt;=_xlfn.ANCHORARRAY(Sintesi!$C$10)),0)),0)-_xlfn.IFNA(INDEX(_xlfn.ANCHORARRAY(Sintesi!$C$17),1,MATCH(1,(_xlfn.ANCHORARRAY(Sintesi!$C$9)&gt;_xlfn.ANCHORARRAY(Sintesi!$C$10))*(A23&gt;=_xlfn.ANCHORARRAY(Sintesi!$C$9))+(_xlfn.ANCHORARRAY(Sintesi!$C$9)&gt;_xlfn.ANCHORARRAY(Sintesi!$C$10))*(A23&lt;=_xlfn.ANCHORARRAY(Sintesi!$C$10))+(_xlfn.ANCHORARRAY(Sintesi!$C$9)&lt;_xlfn.ANCHORARRAY(Sintesi!$C$10))*(A23&gt;=_xlfn.ANCHORARRAY(Sintesi!$C$9))*(A23&lt;=_xlfn.ANCHORARRAY(Sintesi!$C$10)),0)),0)))),0)</f>
        <v>0</v>
      </c>
    </row>
    <row r="25" spans="1:13">
      <c r="A25" s="1">
        <f>'Paste cell here'!A25</f>
        <v>24</v>
      </c>
      <c r="B25" s="2">
        <f>DATE(Sintesi!$C$4-1,12,31)+A25</f>
        <v>44220</v>
      </c>
      <c r="C25" s="34">
        <f t="array" ref="C25">_xlfn.IFNA(MATCH(1,((_xlfn.ANCHORARRAY(Sintesi!$C$9)&gt;_xlfn.ANCHORARRAY(Sintesi!$C$10))*(A25&gt;=_xlfn.ANCHORARRAY(Sintesi!$C$9))+(_xlfn.ANCHORARRAY(Sintesi!$C$9)&gt;_xlfn.ANCHORARRAY(Sintesi!$C$10))*(A25&lt;=_xlfn.ANCHORARRAY(Sintesi!$C$10))+(_xlfn.ANCHORARRAY(Sintesi!$C$9)&lt;_xlfn.ANCHORARRAY(Sintesi!$C$10))*(A25&gt;=_xlfn.ANCHORARRAY(Sintesi!$C$9))*(A25&lt;=_xlfn.ANCHORARRAY(Sintesi!$C$10)))*(_xlfn.ANCHORARRAY(Sintesi!$C$15)&gt;=0)+(_xlfn.ANCHORARRAY(Sintesi!$C$15)&lt;0),0),0)</f>
        <v>0</v>
      </c>
      <c r="D25" s="1">
        <f t="array" ref="D25">IF(ISBLANK($E26),IF(ISNUMBER($E24),IF($C25&gt;0,IF(($E25=INDEX(_xlfn.ANCHORARRAY(Sintesi!$C$14),1,$C25))*(INDEX(_xlfn.ANCHORARRAY(Sintesi!$C$15),1,$C25)&gt;0),0,IF(($E25=INDEX(_xlfn.ANCHORARRAY(Sintesi!$C$14),1,$C25))*(INDEX(_xlfn.ANCHORARRAY(Sintesi!$C$15),1,$C25)&lt;0)+($E25&gt;=$E24)*($E25&lt;=INDEX($E:$E,MATCH(TRUE,INDEX((ISNUMBER($E:$E)),0),0)))*($E25&gt;INDEX(_xlfn.ANCHORARRAY(Sintesi!$C$14),1,$C25))*($E25&lt;=INDEX(_xlfn.ANCHORARRAY(Sintesi!$C$15),1,$C25))*(INDEX(_xlfn.ANCHORARRAY(Sintesi!$C$15),1,$C25)&gt;0),1,IF(($E25&gt;=$E24)*($E25&lt;=INDEX($E:$E,MATCH(TRUE,INDEX((ISNUMBER($E:$E)),0),0)))*($E25&gt;INDEX(_xlfn.ANCHORARRAY(Sintesi!$C$14),1,$C25))*($E25&lt;INDEX(_xlfn.ANCHORARRAY(Sintesi!$C$16),1,$C25))*(INDEX(_xlfn.ANCHORARRAY(Sintesi!$C$15),1,$C25)&lt;0)+($E25&gt;=$E24)*($E25&lt;=INDEX($E:$E,MATCH(TRUE,INDEX((ISNUMBER($E:$E)),0),0)))*($E25&gt;INDEX(_xlfn.ANCHORARRAY(Sintesi!$C$15),1,$C25))*($E25&lt;INDEX(_xlfn.ANCHORARRAY(Sintesi!$C$16),1,$C25))*(INDEX(_xlfn.ANCHORARRAY(Sintesi!$C$15),1,$C25)&gt;0),2,IF($E25=(INDEX(_xlfn.ANCHORARRAY(Sintesi!$C$16),1,$C25)),3,4)))),0),IF($C25&gt;0,IF(($E25=INDEX(_xlfn.ANCHORARRAY(Sintesi!$C$14),1,$C25))*(INDEX(_xlfn.ANCHORARRAY(Sintesi!$C$15),1,$C25)&gt;0),0,IF(($E25=INDEX(_xlfn.ANCHORARRAY(Sintesi!$C$14),1,$C25))*(INDEX(_xlfn.ANCHORARRAY(Sintesi!$C$15),1,$C25)&lt;0)+($E25&gt;=LOOKUP(2,1/($E:$E&lt;&gt;""),$E:$E))*($E25&lt;=INDEX($E:$E,MATCH(TRUE,INDEX((ISNUMBER($E:$E)),0),0)))*($E25&gt;INDEX(_xlfn.ANCHORARRAY(Sintesi!$C$14),1,$C25))*($E25&lt;=INDEX(_xlfn.ANCHORARRAY(Sintesi!$C$15),1,$C25))*(INDEX(_xlfn.ANCHORARRAY(Sintesi!$C$15),1,$C25)&gt;0),1,IF(($E25&gt;=LOOKUP(2,1/($E:$E&lt;&gt;""),$E:$E))*($E25&lt;=INDEX($E:$E,MATCH(TRUE,INDEX((ISNUMBER($E:$E)),0),0)))*($E25&gt;INDEX(_xlfn.ANCHORARRAY(Sintesi!$C$14),1,$C25))*($E25&lt;INDEX(_xlfn.ANCHORARRAY(Sintesi!$C$16),1,$C25))*(INDEX(_xlfn.ANCHORARRAY(Sintesi!$C$15),1,$C25)&lt;0)+($E25&gt;=LOOKUP(2,1/($E:$E&lt;&gt;""),$E:$E))*($E25&lt;=INDEX($E:$E,MATCH(TRUE,INDEX((ISNUMBER($E:$E)),0),0)))*($E25&gt;INDEX(_xlfn.ANCHORARRAY(Sintesi!$C$15),1,$C25))*($E25&lt;INDEX(_xlfn.ANCHORARRAY(Sintesi!$C$16),1,$C25))*(INDEX(_xlfn.ANCHORARRAY(Sintesi!$C$15),1,$C25)&gt;0),2,IF($E25=(INDEX(_xlfn.ANCHORARRAY(Sintesi!$C$16),1,$C25)),3,4)))),0)),IF(ISNUMBER($E24),IF($C25&gt;0,IF(($E25=INDEX(_xlfn.ANCHORARRAY(Sintesi!$C$14),1,$C25))*(INDEX(_xlfn.ANCHORARRAY(Sintesi!$C$15),1,$C25)&gt;0),0,IF(($E25=INDEX(_xlfn.ANCHORARRAY(Sintesi!$C$14),1,$C25))*(INDEX(_xlfn.ANCHORARRAY(Sintesi!$C$15),1,$C25)&lt;0)+($E25&gt;=$E24)*($E25&lt;=$E26)*($E25&gt;INDEX(_xlfn.ANCHORARRAY(Sintesi!$C$14),1,$C25))*($E25&lt;=INDEX(_xlfn.ANCHORARRAY(Sintesi!$C$15),1,$C25))*(INDEX(_xlfn.ANCHORARRAY(Sintesi!$C$15),1,$C25)&gt;0),1,IF(($E25&gt;=$E24)*($E25&lt;=$E26)*($E25&gt;INDEX(_xlfn.ANCHORARRAY(Sintesi!$C$14),1,$C25))*($E25&lt;INDEX(_xlfn.ANCHORARRAY(Sintesi!$C$16),1,$C25))*(INDEX(_xlfn.ANCHORARRAY(Sintesi!$C$15),1,$C25)&lt;0)+($E25&gt;=$E24)*($E25&lt;=$E26)*($E25&gt;INDEX(_xlfn.ANCHORARRAY(Sintesi!$C$15),1,$C25))*($E25&lt;INDEX(_xlfn.ANCHORARRAY(Sintesi!$C$16),1,$C25))*(INDEX(_xlfn.ANCHORARRAY(Sintesi!$C$15),1,$C25)&gt;0),2,IF($E25=(INDEX(_xlfn.ANCHORARRAY(Sintesi!$C$16),1,$C25)),3,4)))),0),IF($C25&gt;0,IF(($E25=INDEX(_xlfn.ANCHORARRAY(Sintesi!$C$14),1,$C25))*(INDEX(_xlfn.ANCHORARRAY(Sintesi!$C$15),1,$C25)&gt;0),0,IF(($E25=INDEX(_xlfn.ANCHORARRAY(Sintesi!$C$14),1,$C25))*(INDEX(_xlfn.ANCHORARRAY(Sintesi!$C$15),1,$C25)&lt;0)+($E25&gt;=LOOKUP(2,1/($E:$E&lt;&gt;""),$E:$E))*($E25&lt;=$E26)*($E25&gt;INDEX(_xlfn.ANCHORARRAY(Sintesi!$C$14),1,$C25))*($E25&lt;=INDEX(_xlfn.ANCHORARRAY(Sintesi!$C$15),1,$C25))*(INDEX(_xlfn.ANCHORARRAY(Sintesi!$C$15),1,$C25)&gt;0),1,IF(($E25&gt;=LOOKUP(2,1/($E:$E&lt;&gt;""),$E:$E))*($E25&lt;=$E26)*($E25&gt;INDEX(_xlfn.ANCHORARRAY(Sintesi!$C$14),1,$C25))*($E25&lt;INDEX(_xlfn.ANCHORARRAY(Sintesi!$C$16),1,$C25))*(INDEX(_xlfn.ANCHORARRAY(Sintesi!$C$15),1,$C25)&lt;0)+($E25&gt;=LOOKUP(2,1/($E:$E&lt;&gt;""),$E:$E))*($E25&lt;=$E26)*($E25&gt;INDEX(_xlfn.ANCHORARRAY(Sintesi!$C$15),1,$C25))*($E25&lt;INDEX(_xlfn.ANCHORARRAY(Sintesi!$C$16),1,$C25))*(INDEX(_xlfn.ANCHORARRAY(Sintesi!$C$15),1,$C25)&gt;0),2,IF($E25=(INDEX(_xlfn.ANCHORARRAY(Sintesi!$C$16),1,$C25)),3,4)))),0)))</f>
        <v>0</v>
      </c>
      <c r="E25" s="1">
        <f>'Paste cell here'!F25</f>
        <v>0</v>
      </c>
      <c r="F25" s="1">
        <f>'Paste cell here'!C25</f>
        <v>11.119999999999854</v>
      </c>
      <c r="G25" s="1">
        <f>'Paste cell here'!D25</f>
        <v>-0.41999999999998894</v>
      </c>
      <c r="H25" s="1">
        <f>'Paste cell here'!E25</f>
        <v>0.76282152260855851</v>
      </c>
      <c r="I25" s="1">
        <f>'Paste cell here'!X25</f>
        <v>0</v>
      </c>
      <c r="J25" s="1">
        <f>'Paste cell here'!Y25+'Paste cell here'!S25</f>
        <v>0</v>
      </c>
      <c r="K25" s="1">
        <f t="shared" si="0"/>
        <v>0</v>
      </c>
      <c r="L25" s="1">
        <f t="shared" si="1"/>
        <v>6.9358264146556428</v>
      </c>
      <c r="M25" s="1">
        <f t="array" ref="M25">IF(AND(A25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25&gt;=_xlfn.ANCHORARRAY(Sintesi!$C$9))+(_xlfn.ANCHORARRAY(Sintesi!$C$9)&gt;_xlfn.ANCHORARRAY(Sintesi!$C$10))*(A25&lt;=_xlfn.ANCHORARRAY(Sintesi!$C$10))+(_xlfn.ANCHORARRAY(Sintesi!$C$9)&lt;_xlfn.ANCHORARRAY(Sintesi!$C$10))*(A25&gt;=_xlfn.ANCHORARRAY(Sintesi!$C$9))*(A25&lt;=_xlfn.ANCHORARRAY(Sintesi!$C$10)),0)),0),A25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26&gt;=_xlfn.ANCHORARRAY(Sintesi!$C$9))+(_xlfn.ANCHORARRAY(Sintesi!$C$9)&gt;_xlfn.ANCHORARRAY(Sintesi!$C$10))*(A26&lt;=_xlfn.ANCHORARRAY(Sintesi!$C$10))+(_xlfn.ANCHORARRAY(Sintesi!$C$9)&lt;_xlfn.ANCHORARRAY(Sintesi!$C$10))*(A26&gt;=_xlfn.ANCHORARRAY(Sintesi!$C$9))*(A26&lt;=_xlfn.ANCHORARRAY(Sintesi!$C$10)),0)),0)),IF(L25&lt;_xlfn.IFNA(INDEX(_xlfn.ANCHORARRAY(Sintesi!$C$17),1,MATCH(1,(_xlfn.ANCHORARRAY(Sintesi!$C$9)&gt;_xlfn.ANCHORARRAY(Sintesi!$C$10))*(A24&gt;=_xlfn.ANCHORARRAY(Sintesi!$C$9))+(_xlfn.ANCHORARRAY(Sintesi!$C$9)&gt;_xlfn.ANCHORARRAY(Sintesi!$C$10))*(A24&lt;=_xlfn.ANCHORARRAY(Sintesi!$C$10))+(_xlfn.ANCHORARRAY(Sintesi!$C$9)&lt;_xlfn.ANCHORARRAY(Sintesi!$C$10))*(A24&gt;=_xlfn.ANCHORARRAY(Sintesi!$C$9))*(A24&lt;=_xlfn.ANCHORARRAY(Sintesi!$C$10)),0)),0),1,IF(L25&gt;=_xlfn.IFNA(INDEX(_xlfn.ANCHORARRAY(Sintesi!$C$18),1,MATCH(1,(_xlfn.ANCHORARRAY(Sintesi!$C$9)&gt;_xlfn.ANCHORARRAY(Sintesi!$C$10))*(A24&gt;=_xlfn.ANCHORARRAY(Sintesi!$C$9))+(_xlfn.ANCHORARRAY(Sintesi!$C$9)&gt;_xlfn.ANCHORARRAY(Sintesi!$C$10))*(A24&lt;=_xlfn.ANCHORARRAY(Sintesi!$C$10))+(_xlfn.ANCHORARRAY(Sintesi!$C$9)&lt;_xlfn.ANCHORARRAY(Sintesi!$C$10))*(A24&gt;=_xlfn.ANCHORARRAY(Sintesi!$C$9))*(A24&lt;=_xlfn.ANCHORARRAY(Sintesi!$C$10)),0)),0),0,1-(L25-_xlfn.IFNA(INDEX(_xlfn.ANCHORARRAY(Sintesi!$C$17),1,MATCH(1,(_xlfn.ANCHORARRAY(Sintesi!$C$9)&gt;_xlfn.ANCHORARRAY(Sintesi!$C$10))*(A24&gt;=_xlfn.ANCHORARRAY(Sintesi!$C$9))+(_xlfn.ANCHORARRAY(Sintesi!$C$9)&gt;_xlfn.ANCHORARRAY(Sintesi!$C$10))*(A24&lt;=_xlfn.ANCHORARRAY(Sintesi!$C$10))+(_xlfn.ANCHORARRAY(Sintesi!$C$9)&lt;_xlfn.ANCHORARRAY(Sintesi!$C$10))*(A24&gt;=_xlfn.ANCHORARRAY(Sintesi!$C$9))*(A24&lt;=_xlfn.ANCHORARRAY(Sintesi!$C$10)),0)),0))/(_xlfn.IFNA(INDEX(_xlfn.ANCHORARRAY(Sintesi!$C$18),1,MATCH(1,(_xlfn.ANCHORARRAY(Sintesi!$C$9)&gt;_xlfn.ANCHORARRAY(Sintesi!$C$10))*(A24&gt;=_xlfn.ANCHORARRAY(Sintesi!$C$9))+(_xlfn.ANCHORARRAY(Sintesi!$C$9)&gt;_xlfn.ANCHORARRAY(Sintesi!$C$10))*(A24&lt;=_xlfn.ANCHORARRAY(Sintesi!$C$10))+(_xlfn.ANCHORARRAY(Sintesi!$C$9)&lt;_xlfn.ANCHORARRAY(Sintesi!$C$10))*(A24&gt;=_xlfn.ANCHORARRAY(Sintesi!$C$9))*(A24&lt;=_xlfn.ANCHORARRAY(Sintesi!$C$10)),0)),0)-_xlfn.IFNA(INDEX(_xlfn.ANCHORARRAY(Sintesi!$C$17),1,MATCH(1,(_xlfn.ANCHORARRAY(Sintesi!$C$9)&gt;_xlfn.ANCHORARRAY(Sintesi!$C$10))*(A24&gt;=_xlfn.ANCHORARRAY(Sintesi!$C$9))+(_xlfn.ANCHORARRAY(Sintesi!$C$9)&gt;_xlfn.ANCHORARRAY(Sintesi!$C$10))*(A24&lt;=_xlfn.ANCHORARRAY(Sintesi!$C$10))+(_xlfn.ANCHORARRAY(Sintesi!$C$9)&lt;_xlfn.ANCHORARRAY(Sintesi!$C$10))*(A24&gt;=_xlfn.ANCHORARRAY(Sintesi!$C$9))*(A24&lt;=_xlfn.ANCHORARRAY(Sintesi!$C$10)),0)),0)))),0)</f>
        <v>0</v>
      </c>
    </row>
    <row r="26" spans="1:13">
      <c r="A26" s="1">
        <f>'Paste cell here'!A26</f>
        <v>25</v>
      </c>
      <c r="B26" s="2">
        <f>DATE(Sintesi!$C$4-1,12,31)+A26</f>
        <v>44221</v>
      </c>
      <c r="C26" s="34">
        <f t="array" ref="C26">_xlfn.IFNA(MATCH(1,((_xlfn.ANCHORARRAY(Sintesi!$C$9)&gt;_xlfn.ANCHORARRAY(Sintesi!$C$10))*(A26&gt;=_xlfn.ANCHORARRAY(Sintesi!$C$9))+(_xlfn.ANCHORARRAY(Sintesi!$C$9)&gt;_xlfn.ANCHORARRAY(Sintesi!$C$10))*(A26&lt;=_xlfn.ANCHORARRAY(Sintesi!$C$10))+(_xlfn.ANCHORARRAY(Sintesi!$C$9)&lt;_xlfn.ANCHORARRAY(Sintesi!$C$10))*(A26&gt;=_xlfn.ANCHORARRAY(Sintesi!$C$9))*(A26&lt;=_xlfn.ANCHORARRAY(Sintesi!$C$10)))*(_xlfn.ANCHORARRAY(Sintesi!$C$15)&gt;=0)+(_xlfn.ANCHORARRAY(Sintesi!$C$15)&lt;0),0),0)</f>
        <v>0</v>
      </c>
      <c r="D26" s="1">
        <f t="array" ref="D26">IF(ISBLANK($E27),IF(ISNUMBER($E25),IF($C26&gt;0,IF(($E26=INDEX(_xlfn.ANCHORARRAY(Sintesi!$C$14),1,$C26))*(INDEX(_xlfn.ANCHORARRAY(Sintesi!$C$15),1,$C26)&gt;0),0,IF(($E26=INDEX(_xlfn.ANCHORARRAY(Sintesi!$C$14),1,$C26))*(INDEX(_xlfn.ANCHORARRAY(Sintesi!$C$15),1,$C26)&lt;0)+($E26&gt;=$E25)*($E26&lt;=INDEX($E:$E,MATCH(TRUE,INDEX((ISNUMBER($E:$E)),0),0)))*($E26&gt;INDEX(_xlfn.ANCHORARRAY(Sintesi!$C$14),1,$C26))*($E26&lt;=INDEX(_xlfn.ANCHORARRAY(Sintesi!$C$15),1,$C26))*(INDEX(_xlfn.ANCHORARRAY(Sintesi!$C$15),1,$C26)&gt;0),1,IF(($E26&gt;=$E25)*($E26&lt;=INDEX($E:$E,MATCH(TRUE,INDEX((ISNUMBER($E:$E)),0),0)))*($E26&gt;INDEX(_xlfn.ANCHORARRAY(Sintesi!$C$14),1,$C26))*($E26&lt;INDEX(_xlfn.ANCHORARRAY(Sintesi!$C$16),1,$C26))*(INDEX(_xlfn.ANCHORARRAY(Sintesi!$C$15),1,$C26)&lt;0)+($E26&gt;=$E25)*($E26&lt;=INDEX($E:$E,MATCH(TRUE,INDEX((ISNUMBER($E:$E)),0),0)))*($E26&gt;INDEX(_xlfn.ANCHORARRAY(Sintesi!$C$15),1,$C26))*($E26&lt;INDEX(_xlfn.ANCHORARRAY(Sintesi!$C$16),1,$C26))*(INDEX(_xlfn.ANCHORARRAY(Sintesi!$C$15),1,$C26)&gt;0),2,IF($E26=(INDEX(_xlfn.ANCHORARRAY(Sintesi!$C$16),1,$C26)),3,4)))),0),IF($C26&gt;0,IF(($E26=INDEX(_xlfn.ANCHORARRAY(Sintesi!$C$14),1,$C26))*(INDEX(_xlfn.ANCHORARRAY(Sintesi!$C$15),1,$C26)&gt;0),0,IF(($E26=INDEX(_xlfn.ANCHORARRAY(Sintesi!$C$14),1,$C26))*(INDEX(_xlfn.ANCHORARRAY(Sintesi!$C$15),1,$C26)&lt;0)+($E26&gt;=LOOKUP(2,1/($E:$E&lt;&gt;""),$E:$E))*($E26&lt;=INDEX($E:$E,MATCH(TRUE,INDEX((ISNUMBER($E:$E)),0),0)))*($E26&gt;INDEX(_xlfn.ANCHORARRAY(Sintesi!$C$14),1,$C26))*($E26&lt;=INDEX(_xlfn.ANCHORARRAY(Sintesi!$C$15),1,$C26))*(INDEX(_xlfn.ANCHORARRAY(Sintesi!$C$15),1,$C26)&gt;0),1,IF(($E26&gt;=LOOKUP(2,1/($E:$E&lt;&gt;""),$E:$E))*($E26&lt;=INDEX($E:$E,MATCH(TRUE,INDEX((ISNUMBER($E:$E)),0),0)))*($E26&gt;INDEX(_xlfn.ANCHORARRAY(Sintesi!$C$14),1,$C26))*($E26&lt;INDEX(_xlfn.ANCHORARRAY(Sintesi!$C$16),1,$C26))*(INDEX(_xlfn.ANCHORARRAY(Sintesi!$C$15),1,$C26)&lt;0)+($E26&gt;=LOOKUP(2,1/($E:$E&lt;&gt;""),$E:$E))*($E26&lt;=INDEX($E:$E,MATCH(TRUE,INDEX((ISNUMBER($E:$E)),0),0)))*($E26&gt;INDEX(_xlfn.ANCHORARRAY(Sintesi!$C$15),1,$C26))*($E26&lt;INDEX(_xlfn.ANCHORARRAY(Sintesi!$C$16),1,$C26))*(INDEX(_xlfn.ANCHORARRAY(Sintesi!$C$15),1,$C26)&gt;0),2,IF($E26=(INDEX(_xlfn.ANCHORARRAY(Sintesi!$C$16),1,$C26)),3,4)))),0)),IF(ISNUMBER($E25),IF($C26&gt;0,IF(($E26=INDEX(_xlfn.ANCHORARRAY(Sintesi!$C$14),1,$C26))*(INDEX(_xlfn.ANCHORARRAY(Sintesi!$C$15),1,$C26)&gt;0),0,IF(($E26=INDEX(_xlfn.ANCHORARRAY(Sintesi!$C$14),1,$C26))*(INDEX(_xlfn.ANCHORARRAY(Sintesi!$C$15),1,$C26)&lt;0)+($E26&gt;=$E25)*($E26&lt;=$E27)*($E26&gt;INDEX(_xlfn.ANCHORARRAY(Sintesi!$C$14),1,$C26))*($E26&lt;=INDEX(_xlfn.ANCHORARRAY(Sintesi!$C$15),1,$C26))*(INDEX(_xlfn.ANCHORARRAY(Sintesi!$C$15),1,$C26)&gt;0),1,IF(($E26&gt;=$E25)*($E26&lt;=$E27)*($E26&gt;INDEX(_xlfn.ANCHORARRAY(Sintesi!$C$14),1,$C26))*($E26&lt;INDEX(_xlfn.ANCHORARRAY(Sintesi!$C$16),1,$C26))*(INDEX(_xlfn.ANCHORARRAY(Sintesi!$C$15),1,$C26)&lt;0)+($E26&gt;=$E25)*($E26&lt;=$E27)*($E26&gt;INDEX(_xlfn.ANCHORARRAY(Sintesi!$C$15),1,$C26))*($E26&lt;INDEX(_xlfn.ANCHORARRAY(Sintesi!$C$16),1,$C26))*(INDEX(_xlfn.ANCHORARRAY(Sintesi!$C$15),1,$C26)&gt;0),2,IF($E26=(INDEX(_xlfn.ANCHORARRAY(Sintesi!$C$16),1,$C26)),3,4)))),0),IF($C26&gt;0,IF(($E26=INDEX(_xlfn.ANCHORARRAY(Sintesi!$C$14),1,$C26))*(INDEX(_xlfn.ANCHORARRAY(Sintesi!$C$15),1,$C26)&gt;0),0,IF(($E26=INDEX(_xlfn.ANCHORARRAY(Sintesi!$C$14),1,$C26))*(INDEX(_xlfn.ANCHORARRAY(Sintesi!$C$15),1,$C26)&lt;0)+($E26&gt;=LOOKUP(2,1/($E:$E&lt;&gt;""),$E:$E))*($E26&lt;=$E27)*($E26&gt;INDEX(_xlfn.ANCHORARRAY(Sintesi!$C$14),1,$C26))*($E26&lt;=INDEX(_xlfn.ANCHORARRAY(Sintesi!$C$15),1,$C26))*(INDEX(_xlfn.ANCHORARRAY(Sintesi!$C$15),1,$C26)&gt;0),1,IF(($E26&gt;=LOOKUP(2,1/($E:$E&lt;&gt;""),$E:$E))*($E26&lt;=$E27)*($E26&gt;INDEX(_xlfn.ANCHORARRAY(Sintesi!$C$14),1,$C26))*($E26&lt;INDEX(_xlfn.ANCHORARRAY(Sintesi!$C$16),1,$C26))*(INDEX(_xlfn.ANCHORARRAY(Sintesi!$C$15),1,$C26)&lt;0)+($E26&gt;=LOOKUP(2,1/($E:$E&lt;&gt;""),$E:$E))*($E26&lt;=$E27)*($E26&gt;INDEX(_xlfn.ANCHORARRAY(Sintesi!$C$15),1,$C26))*($E26&lt;INDEX(_xlfn.ANCHORARRAY(Sintesi!$C$16),1,$C26))*(INDEX(_xlfn.ANCHORARRAY(Sintesi!$C$15),1,$C26)&gt;0),2,IF($E26=(INDEX(_xlfn.ANCHORARRAY(Sintesi!$C$16),1,$C26)),3,4)))),0)))</f>
        <v>0</v>
      </c>
      <c r="E26" s="1">
        <f>'Paste cell here'!F26</f>
        <v>0</v>
      </c>
      <c r="F26" s="1">
        <f>'Paste cell here'!C26</f>
        <v>8.939999999999884</v>
      </c>
      <c r="G26" s="1">
        <f>'Paste cell here'!D26</f>
        <v>-1.4799999999999756</v>
      </c>
      <c r="H26" s="1">
        <f>'Paste cell here'!E26</f>
        <v>0.75721445389833442</v>
      </c>
      <c r="I26" s="1">
        <f>'Paste cell here'!X26</f>
        <v>0</v>
      </c>
      <c r="J26" s="1">
        <f>'Paste cell here'!Y26+'Paste cell here'!S26</f>
        <v>0</v>
      </c>
      <c r="K26" s="1">
        <f t="shared" si="0"/>
        <v>0</v>
      </c>
      <c r="L26" s="1">
        <f t="shared" si="1"/>
        <v>5.1619160520547638</v>
      </c>
      <c r="M26" s="1">
        <f t="array" ref="M26">IF(AND(A26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26&gt;=_xlfn.ANCHORARRAY(Sintesi!$C$9))+(_xlfn.ANCHORARRAY(Sintesi!$C$9)&gt;_xlfn.ANCHORARRAY(Sintesi!$C$10))*(A26&lt;=_xlfn.ANCHORARRAY(Sintesi!$C$10))+(_xlfn.ANCHORARRAY(Sintesi!$C$9)&lt;_xlfn.ANCHORARRAY(Sintesi!$C$10))*(A26&gt;=_xlfn.ANCHORARRAY(Sintesi!$C$9))*(A26&lt;=_xlfn.ANCHORARRAY(Sintesi!$C$10)),0)),0),A26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27&gt;=_xlfn.ANCHORARRAY(Sintesi!$C$9))+(_xlfn.ANCHORARRAY(Sintesi!$C$9)&gt;_xlfn.ANCHORARRAY(Sintesi!$C$10))*(A27&lt;=_xlfn.ANCHORARRAY(Sintesi!$C$10))+(_xlfn.ANCHORARRAY(Sintesi!$C$9)&lt;_xlfn.ANCHORARRAY(Sintesi!$C$10))*(A27&gt;=_xlfn.ANCHORARRAY(Sintesi!$C$9))*(A27&lt;=_xlfn.ANCHORARRAY(Sintesi!$C$10)),0)),0)),IF(L26&lt;_xlfn.IFNA(INDEX(_xlfn.ANCHORARRAY(Sintesi!$C$17),1,MATCH(1,(_xlfn.ANCHORARRAY(Sintesi!$C$9)&gt;_xlfn.ANCHORARRAY(Sintesi!$C$10))*(A25&gt;=_xlfn.ANCHORARRAY(Sintesi!$C$9))+(_xlfn.ANCHORARRAY(Sintesi!$C$9)&gt;_xlfn.ANCHORARRAY(Sintesi!$C$10))*(A25&lt;=_xlfn.ANCHORARRAY(Sintesi!$C$10))+(_xlfn.ANCHORARRAY(Sintesi!$C$9)&lt;_xlfn.ANCHORARRAY(Sintesi!$C$10))*(A25&gt;=_xlfn.ANCHORARRAY(Sintesi!$C$9))*(A25&lt;=_xlfn.ANCHORARRAY(Sintesi!$C$10)),0)),0),1,IF(L26&gt;=_xlfn.IFNA(INDEX(_xlfn.ANCHORARRAY(Sintesi!$C$18),1,MATCH(1,(_xlfn.ANCHORARRAY(Sintesi!$C$9)&gt;_xlfn.ANCHORARRAY(Sintesi!$C$10))*(A25&gt;=_xlfn.ANCHORARRAY(Sintesi!$C$9))+(_xlfn.ANCHORARRAY(Sintesi!$C$9)&gt;_xlfn.ANCHORARRAY(Sintesi!$C$10))*(A25&lt;=_xlfn.ANCHORARRAY(Sintesi!$C$10))+(_xlfn.ANCHORARRAY(Sintesi!$C$9)&lt;_xlfn.ANCHORARRAY(Sintesi!$C$10))*(A25&gt;=_xlfn.ANCHORARRAY(Sintesi!$C$9))*(A25&lt;=_xlfn.ANCHORARRAY(Sintesi!$C$10)),0)),0),0,1-(L26-_xlfn.IFNA(INDEX(_xlfn.ANCHORARRAY(Sintesi!$C$17),1,MATCH(1,(_xlfn.ANCHORARRAY(Sintesi!$C$9)&gt;_xlfn.ANCHORARRAY(Sintesi!$C$10))*(A25&gt;=_xlfn.ANCHORARRAY(Sintesi!$C$9))+(_xlfn.ANCHORARRAY(Sintesi!$C$9)&gt;_xlfn.ANCHORARRAY(Sintesi!$C$10))*(A25&lt;=_xlfn.ANCHORARRAY(Sintesi!$C$10))+(_xlfn.ANCHORARRAY(Sintesi!$C$9)&lt;_xlfn.ANCHORARRAY(Sintesi!$C$10))*(A25&gt;=_xlfn.ANCHORARRAY(Sintesi!$C$9))*(A25&lt;=_xlfn.ANCHORARRAY(Sintesi!$C$10)),0)),0))/(_xlfn.IFNA(INDEX(_xlfn.ANCHORARRAY(Sintesi!$C$18),1,MATCH(1,(_xlfn.ANCHORARRAY(Sintesi!$C$9)&gt;_xlfn.ANCHORARRAY(Sintesi!$C$10))*(A25&gt;=_xlfn.ANCHORARRAY(Sintesi!$C$9))+(_xlfn.ANCHORARRAY(Sintesi!$C$9)&gt;_xlfn.ANCHORARRAY(Sintesi!$C$10))*(A25&lt;=_xlfn.ANCHORARRAY(Sintesi!$C$10))+(_xlfn.ANCHORARRAY(Sintesi!$C$9)&lt;_xlfn.ANCHORARRAY(Sintesi!$C$10))*(A25&gt;=_xlfn.ANCHORARRAY(Sintesi!$C$9))*(A25&lt;=_xlfn.ANCHORARRAY(Sintesi!$C$10)),0)),0)-_xlfn.IFNA(INDEX(_xlfn.ANCHORARRAY(Sintesi!$C$17),1,MATCH(1,(_xlfn.ANCHORARRAY(Sintesi!$C$9)&gt;_xlfn.ANCHORARRAY(Sintesi!$C$10))*(A25&gt;=_xlfn.ANCHORARRAY(Sintesi!$C$9))+(_xlfn.ANCHORARRAY(Sintesi!$C$9)&gt;_xlfn.ANCHORARRAY(Sintesi!$C$10))*(A25&lt;=_xlfn.ANCHORARRAY(Sintesi!$C$10))+(_xlfn.ANCHORARRAY(Sintesi!$C$9)&lt;_xlfn.ANCHORARRAY(Sintesi!$C$10))*(A25&gt;=_xlfn.ANCHORARRAY(Sintesi!$C$9))*(A25&lt;=_xlfn.ANCHORARRAY(Sintesi!$C$10)),0)),0)))),0)</f>
        <v>0</v>
      </c>
    </row>
    <row r="27" spans="1:13">
      <c r="A27" s="1">
        <f>'Paste cell here'!A27</f>
        <v>26</v>
      </c>
      <c r="B27" s="2">
        <f>DATE(Sintesi!$C$4-1,12,31)+A27</f>
        <v>44222</v>
      </c>
      <c r="C27" s="34">
        <f t="array" ref="C27">_xlfn.IFNA(MATCH(1,((_xlfn.ANCHORARRAY(Sintesi!$C$9)&gt;_xlfn.ANCHORARRAY(Sintesi!$C$10))*(A27&gt;=_xlfn.ANCHORARRAY(Sintesi!$C$9))+(_xlfn.ANCHORARRAY(Sintesi!$C$9)&gt;_xlfn.ANCHORARRAY(Sintesi!$C$10))*(A27&lt;=_xlfn.ANCHORARRAY(Sintesi!$C$10))+(_xlfn.ANCHORARRAY(Sintesi!$C$9)&lt;_xlfn.ANCHORARRAY(Sintesi!$C$10))*(A27&gt;=_xlfn.ANCHORARRAY(Sintesi!$C$9))*(A27&lt;=_xlfn.ANCHORARRAY(Sintesi!$C$10)))*(_xlfn.ANCHORARRAY(Sintesi!$C$15)&gt;=0)+(_xlfn.ANCHORARRAY(Sintesi!$C$15)&lt;0),0),0)</f>
        <v>0</v>
      </c>
      <c r="D27" s="1">
        <f t="array" ref="D27">IF(ISBLANK($E28),IF(ISNUMBER($E26),IF($C27&gt;0,IF(($E27=INDEX(_xlfn.ANCHORARRAY(Sintesi!$C$14),1,$C27))*(INDEX(_xlfn.ANCHORARRAY(Sintesi!$C$15),1,$C27)&gt;0),0,IF(($E27=INDEX(_xlfn.ANCHORARRAY(Sintesi!$C$14),1,$C27))*(INDEX(_xlfn.ANCHORARRAY(Sintesi!$C$15),1,$C27)&lt;0)+($E27&gt;=$E26)*($E27&lt;=INDEX($E:$E,MATCH(TRUE,INDEX((ISNUMBER($E:$E)),0),0)))*($E27&gt;INDEX(_xlfn.ANCHORARRAY(Sintesi!$C$14),1,$C27))*($E27&lt;=INDEX(_xlfn.ANCHORARRAY(Sintesi!$C$15),1,$C27))*(INDEX(_xlfn.ANCHORARRAY(Sintesi!$C$15),1,$C27)&gt;0),1,IF(($E27&gt;=$E26)*($E27&lt;=INDEX($E:$E,MATCH(TRUE,INDEX((ISNUMBER($E:$E)),0),0)))*($E27&gt;INDEX(_xlfn.ANCHORARRAY(Sintesi!$C$14),1,$C27))*($E27&lt;INDEX(_xlfn.ANCHORARRAY(Sintesi!$C$16),1,$C27))*(INDEX(_xlfn.ANCHORARRAY(Sintesi!$C$15),1,$C27)&lt;0)+($E27&gt;=$E26)*($E27&lt;=INDEX($E:$E,MATCH(TRUE,INDEX((ISNUMBER($E:$E)),0),0)))*($E27&gt;INDEX(_xlfn.ANCHORARRAY(Sintesi!$C$15),1,$C27))*($E27&lt;INDEX(_xlfn.ANCHORARRAY(Sintesi!$C$16),1,$C27))*(INDEX(_xlfn.ANCHORARRAY(Sintesi!$C$15),1,$C27)&gt;0),2,IF($E27=(INDEX(_xlfn.ANCHORARRAY(Sintesi!$C$16),1,$C27)),3,4)))),0),IF($C27&gt;0,IF(($E27=INDEX(_xlfn.ANCHORARRAY(Sintesi!$C$14),1,$C27))*(INDEX(_xlfn.ANCHORARRAY(Sintesi!$C$15),1,$C27)&gt;0),0,IF(($E27=INDEX(_xlfn.ANCHORARRAY(Sintesi!$C$14),1,$C27))*(INDEX(_xlfn.ANCHORARRAY(Sintesi!$C$15),1,$C27)&lt;0)+($E27&gt;=LOOKUP(2,1/($E:$E&lt;&gt;""),$E:$E))*($E27&lt;=INDEX($E:$E,MATCH(TRUE,INDEX((ISNUMBER($E:$E)),0),0)))*($E27&gt;INDEX(_xlfn.ANCHORARRAY(Sintesi!$C$14),1,$C27))*($E27&lt;=INDEX(_xlfn.ANCHORARRAY(Sintesi!$C$15),1,$C27))*(INDEX(_xlfn.ANCHORARRAY(Sintesi!$C$15),1,$C27)&gt;0),1,IF(($E27&gt;=LOOKUP(2,1/($E:$E&lt;&gt;""),$E:$E))*($E27&lt;=INDEX($E:$E,MATCH(TRUE,INDEX((ISNUMBER($E:$E)),0),0)))*($E27&gt;INDEX(_xlfn.ANCHORARRAY(Sintesi!$C$14),1,$C27))*($E27&lt;INDEX(_xlfn.ANCHORARRAY(Sintesi!$C$16),1,$C27))*(INDEX(_xlfn.ANCHORARRAY(Sintesi!$C$15),1,$C27)&lt;0)+($E27&gt;=LOOKUP(2,1/($E:$E&lt;&gt;""),$E:$E))*($E27&lt;=INDEX($E:$E,MATCH(TRUE,INDEX((ISNUMBER($E:$E)),0),0)))*($E27&gt;INDEX(_xlfn.ANCHORARRAY(Sintesi!$C$15),1,$C27))*($E27&lt;INDEX(_xlfn.ANCHORARRAY(Sintesi!$C$16),1,$C27))*(INDEX(_xlfn.ANCHORARRAY(Sintesi!$C$15),1,$C27)&gt;0),2,IF($E27=(INDEX(_xlfn.ANCHORARRAY(Sintesi!$C$16),1,$C27)),3,4)))),0)),IF(ISNUMBER($E26),IF($C27&gt;0,IF(($E27=INDEX(_xlfn.ANCHORARRAY(Sintesi!$C$14),1,$C27))*(INDEX(_xlfn.ANCHORARRAY(Sintesi!$C$15),1,$C27)&gt;0),0,IF(($E27=INDEX(_xlfn.ANCHORARRAY(Sintesi!$C$14),1,$C27))*(INDEX(_xlfn.ANCHORARRAY(Sintesi!$C$15),1,$C27)&lt;0)+($E27&gt;=$E26)*($E27&lt;=$E28)*($E27&gt;INDEX(_xlfn.ANCHORARRAY(Sintesi!$C$14),1,$C27))*($E27&lt;=INDEX(_xlfn.ANCHORARRAY(Sintesi!$C$15),1,$C27))*(INDEX(_xlfn.ANCHORARRAY(Sintesi!$C$15),1,$C27)&gt;0),1,IF(($E27&gt;=$E26)*($E27&lt;=$E28)*($E27&gt;INDEX(_xlfn.ANCHORARRAY(Sintesi!$C$14),1,$C27))*($E27&lt;INDEX(_xlfn.ANCHORARRAY(Sintesi!$C$16),1,$C27))*(INDEX(_xlfn.ANCHORARRAY(Sintesi!$C$15),1,$C27)&lt;0)+($E27&gt;=$E26)*($E27&lt;=$E28)*($E27&gt;INDEX(_xlfn.ANCHORARRAY(Sintesi!$C$15),1,$C27))*($E27&lt;INDEX(_xlfn.ANCHORARRAY(Sintesi!$C$16),1,$C27))*(INDEX(_xlfn.ANCHORARRAY(Sintesi!$C$15),1,$C27)&gt;0),2,IF($E27=(INDEX(_xlfn.ANCHORARRAY(Sintesi!$C$16),1,$C27)),3,4)))),0),IF($C27&gt;0,IF(($E27=INDEX(_xlfn.ANCHORARRAY(Sintesi!$C$14),1,$C27))*(INDEX(_xlfn.ANCHORARRAY(Sintesi!$C$15),1,$C27)&gt;0),0,IF(($E27=INDEX(_xlfn.ANCHORARRAY(Sintesi!$C$14),1,$C27))*(INDEX(_xlfn.ANCHORARRAY(Sintesi!$C$15),1,$C27)&lt;0)+($E27&gt;=LOOKUP(2,1/($E:$E&lt;&gt;""),$E:$E))*($E27&lt;=$E28)*($E27&gt;INDEX(_xlfn.ANCHORARRAY(Sintesi!$C$14),1,$C27))*($E27&lt;=INDEX(_xlfn.ANCHORARRAY(Sintesi!$C$15),1,$C27))*(INDEX(_xlfn.ANCHORARRAY(Sintesi!$C$15),1,$C27)&gt;0),1,IF(($E27&gt;=LOOKUP(2,1/($E:$E&lt;&gt;""),$E:$E))*($E27&lt;=$E28)*($E27&gt;INDEX(_xlfn.ANCHORARRAY(Sintesi!$C$14),1,$C27))*($E27&lt;INDEX(_xlfn.ANCHORARRAY(Sintesi!$C$16),1,$C27))*(INDEX(_xlfn.ANCHORARRAY(Sintesi!$C$15),1,$C27)&lt;0)+($E27&gt;=LOOKUP(2,1/($E:$E&lt;&gt;""),$E:$E))*($E27&lt;=$E28)*($E27&gt;INDEX(_xlfn.ANCHORARRAY(Sintesi!$C$15),1,$C27))*($E27&lt;INDEX(_xlfn.ANCHORARRAY(Sintesi!$C$16),1,$C27))*(INDEX(_xlfn.ANCHORARRAY(Sintesi!$C$15),1,$C27)&gt;0),2,IF($E27=(INDEX(_xlfn.ANCHORARRAY(Sintesi!$C$16),1,$C27)),3,4)))),0)))</f>
        <v>0</v>
      </c>
      <c r="E27" s="1">
        <f>'Paste cell here'!F27</f>
        <v>0</v>
      </c>
      <c r="F27" s="1">
        <f>'Paste cell here'!C27</f>
        <v>10.339999999999854</v>
      </c>
      <c r="G27" s="1">
        <f>'Paste cell here'!D27</f>
        <v>0.94000000000000616</v>
      </c>
      <c r="H27" s="1">
        <f>'Paste cell here'!E27</f>
        <v>1.7906822744917517</v>
      </c>
      <c r="I27" s="1">
        <f>'Paste cell here'!X27</f>
        <v>0</v>
      </c>
      <c r="J27" s="1">
        <f>'Paste cell here'!Y27+'Paste cell here'!S27</f>
        <v>0</v>
      </c>
      <c r="K27" s="1">
        <f t="shared" si="0"/>
        <v>0</v>
      </c>
      <c r="L27" s="1">
        <f t="shared" si="1"/>
        <v>6.9317476861146314</v>
      </c>
      <c r="M27" s="1">
        <f t="array" ref="M27">IF(AND(A27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27&gt;=_xlfn.ANCHORARRAY(Sintesi!$C$9))+(_xlfn.ANCHORARRAY(Sintesi!$C$9)&gt;_xlfn.ANCHORARRAY(Sintesi!$C$10))*(A27&lt;=_xlfn.ANCHORARRAY(Sintesi!$C$10))+(_xlfn.ANCHORARRAY(Sintesi!$C$9)&lt;_xlfn.ANCHORARRAY(Sintesi!$C$10))*(A27&gt;=_xlfn.ANCHORARRAY(Sintesi!$C$9))*(A27&lt;=_xlfn.ANCHORARRAY(Sintesi!$C$10)),0)),0),A27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28&gt;=_xlfn.ANCHORARRAY(Sintesi!$C$9))+(_xlfn.ANCHORARRAY(Sintesi!$C$9)&gt;_xlfn.ANCHORARRAY(Sintesi!$C$10))*(A28&lt;=_xlfn.ANCHORARRAY(Sintesi!$C$10))+(_xlfn.ANCHORARRAY(Sintesi!$C$9)&lt;_xlfn.ANCHORARRAY(Sintesi!$C$10))*(A28&gt;=_xlfn.ANCHORARRAY(Sintesi!$C$9))*(A28&lt;=_xlfn.ANCHORARRAY(Sintesi!$C$10)),0)),0)),IF(L27&lt;_xlfn.IFNA(INDEX(_xlfn.ANCHORARRAY(Sintesi!$C$17),1,MATCH(1,(_xlfn.ANCHORARRAY(Sintesi!$C$9)&gt;_xlfn.ANCHORARRAY(Sintesi!$C$10))*(A26&gt;=_xlfn.ANCHORARRAY(Sintesi!$C$9))+(_xlfn.ANCHORARRAY(Sintesi!$C$9)&gt;_xlfn.ANCHORARRAY(Sintesi!$C$10))*(A26&lt;=_xlfn.ANCHORARRAY(Sintesi!$C$10))+(_xlfn.ANCHORARRAY(Sintesi!$C$9)&lt;_xlfn.ANCHORARRAY(Sintesi!$C$10))*(A26&gt;=_xlfn.ANCHORARRAY(Sintesi!$C$9))*(A26&lt;=_xlfn.ANCHORARRAY(Sintesi!$C$10)),0)),0),1,IF(L27&gt;=_xlfn.IFNA(INDEX(_xlfn.ANCHORARRAY(Sintesi!$C$18),1,MATCH(1,(_xlfn.ANCHORARRAY(Sintesi!$C$9)&gt;_xlfn.ANCHORARRAY(Sintesi!$C$10))*(A26&gt;=_xlfn.ANCHORARRAY(Sintesi!$C$9))+(_xlfn.ANCHORARRAY(Sintesi!$C$9)&gt;_xlfn.ANCHORARRAY(Sintesi!$C$10))*(A26&lt;=_xlfn.ANCHORARRAY(Sintesi!$C$10))+(_xlfn.ANCHORARRAY(Sintesi!$C$9)&lt;_xlfn.ANCHORARRAY(Sintesi!$C$10))*(A26&gt;=_xlfn.ANCHORARRAY(Sintesi!$C$9))*(A26&lt;=_xlfn.ANCHORARRAY(Sintesi!$C$10)),0)),0),0,1-(L27-_xlfn.IFNA(INDEX(_xlfn.ANCHORARRAY(Sintesi!$C$17),1,MATCH(1,(_xlfn.ANCHORARRAY(Sintesi!$C$9)&gt;_xlfn.ANCHORARRAY(Sintesi!$C$10))*(A26&gt;=_xlfn.ANCHORARRAY(Sintesi!$C$9))+(_xlfn.ANCHORARRAY(Sintesi!$C$9)&gt;_xlfn.ANCHORARRAY(Sintesi!$C$10))*(A26&lt;=_xlfn.ANCHORARRAY(Sintesi!$C$10))+(_xlfn.ANCHORARRAY(Sintesi!$C$9)&lt;_xlfn.ANCHORARRAY(Sintesi!$C$10))*(A26&gt;=_xlfn.ANCHORARRAY(Sintesi!$C$9))*(A26&lt;=_xlfn.ANCHORARRAY(Sintesi!$C$10)),0)),0))/(_xlfn.IFNA(INDEX(_xlfn.ANCHORARRAY(Sintesi!$C$18),1,MATCH(1,(_xlfn.ANCHORARRAY(Sintesi!$C$9)&gt;_xlfn.ANCHORARRAY(Sintesi!$C$10))*(A26&gt;=_xlfn.ANCHORARRAY(Sintesi!$C$9))+(_xlfn.ANCHORARRAY(Sintesi!$C$9)&gt;_xlfn.ANCHORARRAY(Sintesi!$C$10))*(A26&lt;=_xlfn.ANCHORARRAY(Sintesi!$C$10))+(_xlfn.ANCHORARRAY(Sintesi!$C$9)&lt;_xlfn.ANCHORARRAY(Sintesi!$C$10))*(A26&gt;=_xlfn.ANCHORARRAY(Sintesi!$C$9))*(A26&lt;=_xlfn.ANCHORARRAY(Sintesi!$C$10)),0)),0)-_xlfn.IFNA(INDEX(_xlfn.ANCHORARRAY(Sintesi!$C$17),1,MATCH(1,(_xlfn.ANCHORARRAY(Sintesi!$C$9)&gt;_xlfn.ANCHORARRAY(Sintesi!$C$10))*(A26&gt;=_xlfn.ANCHORARRAY(Sintesi!$C$9))+(_xlfn.ANCHORARRAY(Sintesi!$C$9)&gt;_xlfn.ANCHORARRAY(Sintesi!$C$10))*(A26&lt;=_xlfn.ANCHORARRAY(Sintesi!$C$10))+(_xlfn.ANCHORARRAY(Sintesi!$C$9)&lt;_xlfn.ANCHORARRAY(Sintesi!$C$10))*(A26&gt;=_xlfn.ANCHORARRAY(Sintesi!$C$9))*(A26&lt;=_xlfn.ANCHORARRAY(Sintesi!$C$10)),0)),0)))),0)</f>
        <v>0</v>
      </c>
    </row>
    <row r="28" spans="1:13">
      <c r="A28" s="1">
        <f>'Paste cell here'!A28</f>
        <v>27</v>
      </c>
      <c r="B28" s="2">
        <f>DATE(Sintesi!$C$4-1,12,31)+A28</f>
        <v>44223</v>
      </c>
      <c r="C28" s="34">
        <f t="array" ref="C28">_xlfn.IFNA(MATCH(1,((_xlfn.ANCHORARRAY(Sintesi!$C$9)&gt;_xlfn.ANCHORARRAY(Sintesi!$C$10))*(A28&gt;=_xlfn.ANCHORARRAY(Sintesi!$C$9))+(_xlfn.ANCHORARRAY(Sintesi!$C$9)&gt;_xlfn.ANCHORARRAY(Sintesi!$C$10))*(A28&lt;=_xlfn.ANCHORARRAY(Sintesi!$C$10))+(_xlfn.ANCHORARRAY(Sintesi!$C$9)&lt;_xlfn.ANCHORARRAY(Sintesi!$C$10))*(A28&gt;=_xlfn.ANCHORARRAY(Sintesi!$C$9))*(A28&lt;=_xlfn.ANCHORARRAY(Sintesi!$C$10)))*(_xlfn.ANCHORARRAY(Sintesi!$C$15)&gt;=0)+(_xlfn.ANCHORARRAY(Sintesi!$C$15)&lt;0),0),0)</f>
        <v>0</v>
      </c>
      <c r="D28" s="1">
        <f t="array" ref="D28">IF(ISBLANK($E29),IF(ISNUMBER($E27),IF($C28&gt;0,IF(($E28=INDEX(_xlfn.ANCHORARRAY(Sintesi!$C$14),1,$C28))*(INDEX(_xlfn.ANCHORARRAY(Sintesi!$C$15),1,$C28)&gt;0),0,IF(($E28=INDEX(_xlfn.ANCHORARRAY(Sintesi!$C$14),1,$C28))*(INDEX(_xlfn.ANCHORARRAY(Sintesi!$C$15),1,$C28)&lt;0)+($E28&gt;=$E27)*($E28&lt;=INDEX($E:$E,MATCH(TRUE,INDEX((ISNUMBER($E:$E)),0),0)))*($E28&gt;INDEX(_xlfn.ANCHORARRAY(Sintesi!$C$14),1,$C28))*($E28&lt;=INDEX(_xlfn.ANCHORARRAY(Sintesi!$C$15),1,$C28))*(INDEX(_xlfn.ANCHORARRAY(Sintesi!$C$15),1,$C28)&gt;0),1,IF(($E28&gt;=$E27)*($E28&lt;=INDEX($E:$E,MATCH(TRUE,INDEX((ISNUMBER($E:$E)),0),0)))*($E28&gt;INDEX(_xlfn.ANCHORARRAY(Sintesi!$C$14),1,$C28))*($E28&lt;INDEX(_xlfn.ANCHORARRAY(Sintesi!$C$16),1,$C28))*(INDEX(_xlfn.ANCHORARRAY(Sintesi!$C$15),1,$C28)&lt;0)+($E28&gt;=$E27)*($E28&lt;=INDEX($E:$E,MATCH(TRUE,INDEX((ISNUMBER($E:$E)),0),0)))*($E28&gt;INDEX(_xlfn.ANCHORARRAY(Sintesi!$C$15),1,$C28))*($E28&lt;INDEX(_xlfn.ANCHORARRAY(Sintesi!$C$16),1,$C28))*(INDEX(_xlfn.ANCHORARRAY(Sintesi!$C$15),1,$C28)&gt;0),2,IF($E28=(INDEX(_xlfn.ANCHORARRAY(Sintesi!$C$16),1,$C28)),3,4)))),0),IF($C28&gt;0,IF(($E28=INDEX(_xlfn.ANCHORARRAY(Sintesi!$C$14),1,$C28))*(INDEX(_xlfn.ANCHORARRAY(Sintesi!$C$15),1,$C28)&gt;0),0,IF(($E28=INDEX(_xlfn.ANCHORARRAY(Sintesi!$C$14),1,$C28))*(INDEX(_xlfn.ANCHORARRAY(Sintesi!$C$15),1,$C28)&lt;0)+($E28&gt;=LOOKUP(2,1/($E:$E&lt;&gt;""),$E:$E))*($E28&lt;=INDEX($E:$E,MATCH(TRUE,INDEX((ISNUMBER($E:$E)),0),0)))*($E28&gt;INDEX(_xlfn.ANCHORARRAY(Sintesi!$C$14),1,$C28))*($E28&lt;=INDEX(_xlfn.ANCHORARRAY(Sintesi!$C$15),1,$C28))*(INDEX(_xlfn.ANCHORARRAY(Sintesi!$C$15),1,$C28)&gt;0),1,IF(($E28&gt;=LOOKUP(2,1/($E:$E&lt;&gt;""),$E:$E))*($E28&lt;=INDEX($E:$E,MATCH(TRUE,INDEX((ISNUMBER($E:$E)),0),0)))*($E28&gt;INDEX(_xlfn.ANCHORARRAY(Sintesi!$C$14),1,$C28))*($E28&lt;INDEX(_xlfn.ANCHORARRAY(Sintesi!$C$16),1,$C28))*(INDEX(_xlfn.ANCHORARRAY(Sintesi!$C$15),1,$C28)&lt;0)+($E28&gt;=LOOKUP(2,1/($E:$E&lt;&gt;""),$E:$E))*($E28&lt;=INDEX($E:$E,MATCH(TRUE,INDEX((ISNUMBER($E:$E)),0),0)))*($E28&gt;INDEX(_xlfn.ANCHORARRAY(Sintesi!$C$15),1,$C28))*($E28&lt;INDEX(_xlfn.ANCHORARRAY(Sintesi!$C$16),1,$C28))*(INDEX(_xlfn.ANCHORARRAY(Sintesi!$C$15),1,$C28)&gt;0),2,IF($E28=(INDEX(_xlfn.ANCHORARRAY(Sintesi!$C$16),1,$C28)),3,4)))),0)),IF(ISNUMBER($E27),IF($C28&gt;0,IF(($E28=INDEX(_xlfn.ANCHORARRAY(Sintesi!$C$14),1,$C28))*(INDEX(_xlfn.ANCHORARRAY(Sintesi!$C$15),1,$C28)&gt;0),0,IF(($E28=INDEX(_xlfn.ANCHORARRAY(Sintesi!$C$14),1,$C28))*(INDEX(_xlfn.ANCHORARRAY(Sintesi!$C$15),1,$C28)&lt;0)+($E28&gt;=$E27)*($E28&lt;=$E29)*($E28&gt;INDEX(_xlfn.ANCHORARRAY(Sintesi!$C$14),1,$C28))*($E28&lt;=INDEX(_xlfn.ANCHORARRAY(Sintesi!$C$15),1,$C28))*(INDEX(_xlfn.ANCHORARRAY(Sintesi!$C$15),1,$C28)&gt;0),1,IF(($E28&gt;=$E27)*($E28&lt;=$E29)*($E28&gt;INDEX(_xlfn.ANCHORARRAY(Sintesi!$C$14),1,$C28))*($E28&lt;INDEX(_xlfn.ANCHORARRAY(Sintesi!$C$16),1,$C28))*(INDEX(_xlfn.ANCHORARRAY(Sintesi!$C$15),1,$C28)&lt;0)+($E28&gt;=$E27)*($E28&lt;=$E29)*($E28&gt;INDEX(_xlfn.ANCHORARRAY(Sintesi!$C$15),1,$C28))*($E28&lt;INDEX(_xlfn.ANCHORARRAY(Sintesi!$C$16),1,$C28))*(INDEX(_xlfn.ANCHORARRAY(Sintesi!$C$15),1,$C28)&gt;0),2,IF($E28=(INDEX(_xlfn.ANCHORARRAY(Sintesi!$C$16),1,$C28)),3,4)))),0),IF($C28&gt;0,IF(($E28=INDEX(_xlfn.ANCHORARRAY(Sintesi!$C$14),1,$C28))*(INDEX(_xlfn.ANCHORARRAY(Sintesi!$C$15),1,$C28)&gt;0),0,IF(($E28=INDEX(_xlfn.ANCHORARRAY(Sintesi!$C$14),1,$C28))*(INDEX(_xlfn.ANCHORARRAY(Sintesi!$C$15),1,$C28)&lt;0)+($E28&gt;=LOOKUP(2,1/($E:$E&lt;&gt;""),$E:$E))*($E28&lt;=$E29)*($E28&gt;INDEX(_xlfn.ANCHORARRAY(Sintesi!$C$14),1,$C28))*($E28&lt;=INDEX(_xlfn.ANCHORARRAY(Sintesi!$C$15),1,$C28))*(INDEX(_xlfn.ANCHORARRAY(Sintesi!$C$15),1,$C28)&gt;0),1,IF(($E28&gt;=LOOKUP(2,1/($E:$E&lt;&gt;""),$E:$E))*($E28&lt;=$E29)*($E28&gt;INDEX(_xlfn.ANCHORARRAY(Sintesi!$C$14),1,$C28))*($E28&lt;INDEX(_xlfn.ANCHORARRAY(Sintesi!$C$16),1,$C28))*(INDEX(_xlfn.ANCHORARRAY(Sintesi!$C$15),1,$C28)&lt;0)+($E28&gt;=LOOKUP(2,1/($E:$E&lt;&gt;""),$E:$E))*($E28&lt;=$E29)*($E28&gt;INDEX(_xlfn.ANCHORARRAY(Sintesi!$C$15),1,$C28))*($E28&lt;INDEX(_xlfn.ANCHORARRAY(Sintesi!$C$16),1,$C28))*(INDEX(_xlfn.ANCHORARRAY(Sintesi!$C$15),1,$C28)&gt;0),2,IF($E28=(INDEX(_xlfn.ANCHORARRAY(Sintesi!$C$16),1,$C28)),3,4)))),0)))</f>
        <v>0</v>
      </c>
      <c r="E28" s="1">
        <f>'Paste cell here'!F28</f>
        <v>0</v>
      </c>
      <c r="F28" s="1">
        <f>'Paste cell here'!C28</f>
        <v>9.0199999999998752</v>
      </c>
      <c r="G28" s="1">
        <f>'Paste cell here'!D28</f>
        <v>-3.1199999999999335</v>
      </c>
      <c r="H28" s="1">
        <f>'Paste cell here'!E28</f>
        <v>0.6914420517582005</v>
      </c>
      <c r="I28" s="1">
        <f>'Paste cell here'!X28</f>
        <v>0</v>
      </c>
      <c r="J28" s="1">
        <f>'Paste cell here'!Y28+'Paste cell here'!S28</f>
        <v>0</v>
      </c>
      <c r="K28" s="1">
        <f t="shared" si="0"/>
        <v>0</v>
      </c>
      <c r="L28" s="1">
        <f t="shared" si="1"/>
        <v>4.6182783946204458</v>
      </c>
      <c r="M28" s="1">
        <f t="array" ref="M28">IF(AND(A28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28&gt;=_xlfn.ANCHORARRAY(Sintesi!$C$9))+(_xlfn.ANCHORARRAY(Sintesi!$C$9)&gt;_xlfn.ANCHORARRAY(Sintesi!$C$10))*(A28&lt;=_xlfn.ANCHORARRAY(Sintesi!$C$10))+(_xlfn.ANCHORARRAY(Sintesi!$C$9)&lt;_xlfn.ANCHORARRAY(Sintesi!$C$10))*(A28&gt;=_xlfn.ANCHORARRAY(Sintesi!$C$9))*(A28&lt;=_xlfn.ANCHORARRAY(Sintesi!$C$10)),0)),0),A28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29&gt;=_xlfn.ANCHORARRAY(Sintesi!$C$9))+(_xlfn.ANCHORARRAY(Sintesi!$C$9)&gt;_xlfn.ANCHORARRAY(Sintesi!$C$10))*(A29&lt;=_xlfn.ANCHORARRAY(Sintesi!$C$10))+(_xlfn.ANCHORARRAY(Sintesi!$C$9)&lt;_xlfn.ANCHORARRAY(Sintesi!$C$10))*(A29&gt;=_xlfn.ANCHORARRAY(Sintesi!$C$9))*(A29&lt;=_xlfn.ANCHORARRAY(Sintesi!$C$10)),0)),0)),IF(L28&lt;_xlfn.IFNA(INDEX(_xlfn.ANCHORARRAY(Sintesi!$C$17),1,MATCH(1,(_xlfn.ANCHORARRAY(Sintesi!$C$9)&gt;_xlfn.ANCHORARRAY(Sintesi!$C$10))*(A27&gt;=_xlfn.ANCHORARRAY(Sintesi!$C$9))+(_xlfn.ANCHORARRAY(Sintesi!$C$9)&gt;_xlfn.ANCHORARRAY(Sintesi!$C$10))*(A27&lt;=_xlfn.ANCHORARRAY(Sintesi!$C$10))+(_xlfn.ANCHORARRAY(Sintesi!$C$9)&lt;_xlfn.ANCHORARRAY(Sintesi!$C$10))*(A27&gt;=_xlfn.ANCHORARRAY(Sintesi!$C$9))*(A27&lt;=_xlfn.ANCHORARRAY(Sintesi!$C$10)),0)),0),1,IF(L28&gt;=_xlfn.IFNA(INDEX(_xlfn.ANCHORARRAY(Sintesi!$C$18),1,MATCH(1,(_xlfn.ANCHORARRAY(Sintesi!$C$9)&gt;_xlfn.ANCHORARRAY(Sintesi!$C$10))*(A27&gt;=_xlfn.ANCHORARRAY(Sintesi!$C$9))+(_xlfn.ANCHORARRAY(Sintesi!$C$9)&gt;_xlfn.ANCHORARRAY(Sintesi!$C$10))*(A27&lt;=_xlfn.ANCHORARRAY(Sintesi!$C$10))+(_xlfn.ANCHORARRAY(Sintesi!$C$9)&lt;_xlfn.ANCHORARRAY(Sintesi!$C$10))*(A27&gt;=_xlfn.ANCHORARRAY(Sintesi!$C$9))*(A27&lt;=_xlfn.ANCHORARRAY(Sintesi!$C$10)),0)),0),0,1-(L28-_xlfn.IFNA(INDEX(_xlfn.ANCHORARRAY(Sintesi!$C$17),1,MATCH(1,(_xlfn.ANCHORARRAY(Sintesi!$C$9)&gt;_xlfn.ANCHORARRAY(Sintesi!$C$10))*(A27&gt;=_xlfn.ANCHORARRAY(Sintesi!$C$9))+(_xlfn.ANCHORARRAY(Sintesi!$C$9)&gt;_xlfn.ANCHORARRAY(Sintesi!$C$10))*(A27&lt;=_xlfn.ANCHORARRAY(Sintesi!$C$10))+(_xlfn.ANCHORARRAY(Sintesi!$C$9)&lt;_xlfn.ANCHORARRAY(Sintesi!$C$10))*(A27&gt;=_xlfn.ANCHORARRAY(Sintesi!$C$9))*(A27&lt;=_xlfn.ANCHORARRAY(Sintesi!$C$10)),0)),0))/(_xlfn.IFNA(INDEX(_xlfn.ANCHORARRAY(Sintesi!$C$18),1,MATCH(1,(_xlfn.ANCHORARRAY(Sintesi!$C$9)&gt;_xlfn.ANCHORARRAY(Sintesi!$C$10))*(A27&gt;=_xlfn.ANCHORARRAY(Sintesi!$C$9))+(_xlfn.ANCHORARRAY(Sintesi!$C$9)&gt;_xlfn.ANCHORARRAY(Sintesi!$C$10))*(A27&lt;=_xlfn.ANCHORARRAY(Sintesi!$C$10))+(_xlfn.ANCHORARRAY(Sintesi!$C$9)&lt;_xlfn.ANCHORARRAY(Sintesi!$C$10))*(A27&gt;=_xlfn.ANCHORARRAY(Sintesi!$C$9))*(A27&lt;=_xlfn.ANCHORARRAY(Sintesi!$C$10)),0)),0)-_xlfn.IFNA(INDEX(_xlfn.ANCHORARRAY(Sintesi!$C$17),1,MATCH(1,(_xlfn.ANCHORARRAY(Sintesi!$C$9)&gt;_xlfn.ANCHORARRAY(Sintesi!$C$10))*(A27&gt;=_xlfn.ANCHORARRAY(Sintesi!$C$9))+(_xlfn.ANCHORARRAY(Sintesi!$C$9)&gt;_xlfn.ANCHORARRAY(Sintesi!$C$10))*(A27&lt;=_xlfn.ANCHORARRAY(Sintesi!$C$10))+(_xlfn.ANCHORARRAY(Sintesi!$C$9)&lt;_xlfn.ANCHORARRAY(Sintesi!$C$10))*(A27&gt;=_xlfn.ANCHORARRAY(Sintesi!$C$9))*(A27&lt;=_xlfn.ANCHORARRAY(Sintesi!$C$10)),0)),0)))),0)</f>
        <v>0</v>
      </c>
    </row>
    <row r="29" spans="1:13">
      <c r="A29" s="1">
        <f>'Paste cell here'!A29</f>
        <v>28</v>
      </c>
      <c r="B29" s="2">
        <f>DATE(Sintesi!$C$4-1,12,31)+A29</f>
        <v>44224</v>
      </c>
      <c r="C29" s="34">
        <f t="array" ref="C29">_xlfn.IFNA(MATCH(1,((_xlfn.ANCHORARRAY(Sintesi!$C$9)&gt;_xlfn.ANCHORARRAY(Sintesi!$C$10))*(A29&gt;=_xlfn.ANCHORARRAY(Sintesi!$C$9))+(_xlfn.ANCHORARRAY(Sintesi!$C$9)&gt;_xlfn.ANCHORARRAY(Sintesi!$C$10))*(A29&lt;=_xlfn.ANCHORARRAY(Sintesi!$C$10))+(_xlfn.ANCHORARRAY(Sintesi!$C$9)&lt;_xlfn.ANCHORARRAY(Sintesi!$C$10))*(A29&gt;=_xlfn.ANCHORARRAY(Sintesi!$C$9))*(A29&lt;=_xlfn.ANCHORARRAY(Sintesi!$C$10)))*(_xlfn.ANCHORARRAY(Sintesi!$C$15)&gt;=0)+(_xlfn.ANCHORARRAY(Sintesi!$C$15)&lt;0),0),0)</f>
        <v>0</v>
      </c>
      <c r="D29" s="1">
        <f t="array" ref="D29">IF(ISBLANK($E30),IF(ISNUMBER($E28),IF($C29&gt;0,IF(($E29=INDEX(_xlfn.ANCHORARRAY(Sintesi!$C$14),1,$C29))*(INDEX(_xlfn.ANCHORARRAY(Sintesi!$C$15),1,$C29)&gt;0),0,IF(($E29=INDEX(_xlfn.ANCHORARRAY(Sintesi!$C$14),1,$C29))*(INDEX(_xlfn.ANCHORARRAY(Sintesi!$C$15),1,$C29)&lt;0)+($E29&gt;=$E28)*($E29&lt;=INDEX($E:$E,MATCH(TRUE,INDEX((ISNUMBER($E:$E)),0),0)))*($E29&gt;INDEX(_xlfn.ANCHORARRAY(Sintesi!$C$14),1,$C29))*($E29&lt;=INDEX(_xlfn.ANCHORARRAY(Sintesi!$C$15),1,$C29))*(INDEX(_xlfn.ANCHORARRAY(Sintesi!$C$15),1,$C29)&gt;0),1,IF(($E29&gt;=$E28)*($E29&lt;=INDEX($E:$E,MATCH(TRUE,INDEX((ISNUMBER($E:$E)),0),0)))*($E29&gt;INDEX(_xlfn.ANCHORARRAY(Sintesi!$C$14),1,$C29))*($E29&lt;INDEX(_xlfn.ANCHORARRAY(Sintesi!$C$16),1,$C29))*(INDEX(_xlfn.ANCHORARRAY(Sintesi!$C$15),1,$C29)&lt;0)+($E29&gt;=$E28)*($E29&lt;=INDEX($E:$E,MATCH(TRUE,INDEX((ISNUMBER($E:$E)),0),0)))*($E29&gt;INDEX(_xlfn.ANCHORARRAY(Sintesi!$C$15),1,$C29))*($E29&lt;INDEX(_xlfn.ANCHORARRAY(Sintesi!$C$16),1,$C29))*(INDEX(_xlfn.ANCHORARRAY(Sintesi!$C$15),1,$C29)&gt;0),2,IF($E29=(INDEX(_xlfn.ANCHORARRAY(Sintesi!$C$16),1,$C29)),3,4)))),0),IF($C29&gt;0,IF(($E29=INDEX(_xlfn.ANCHORARRAY(Sintesi!$C$14),1,$C29))*(INDEX(_xlfn.ANCHORARRAY(Sintesi!$C$15),1,$C29)&gt;0),0,IF(($E29=INDEX(_xlfn.ANCHORARRAY(Sintesi!$C$14),1,$C29))*(INDEX(_xlfn.ANCHORARRAY(Sintesi!$C$15),1,$C29)&lt;0)+($E29&gt;=LOOKUP(2,1/($E:$E&lt;&gt;""),$E:$E))*($E29&lt;=INDEX($E:$E,MATCH(TRUE,INDEX((ISNUMBER($E:$E)),0),0)))*($E29&gt;INDEX(_xlfn.ANCHORARRAY(Sintesi!$C$14),1,$C29))*($E29&lt;=INDEX(_xlfn.ANCHORARRAY(Sintesi!$C$15),1,$C29))*(INDEX(_xlfn.ANCHORARRAY(Sintesi!$C$15),1,$C29)&gt;0),1,IF(($E29&gt;=LOOKUP(2,1/($E:$E&lt;&gt;""),$E:$E))*($E29&lt;=INDEX($E:$E,MATCH(TRUE,INDEX((ISNUMBER($E:$E)),0),0)))*($E29&gt;INDEX(_xlfn.ANCHORARRAY(Sintesi!$C$14),1,$C29))*($E29&lt;INDEX(_xlfn.ANCHORARRAY(Sintesi!$C$16),1,$C29))*(INDEX(_xlfn.ANCHORARRAY(Sintesi!$C$15),1,$C29)&lt;0)+($E29&gt;=LOOKUP(2,1/($E:$E&lt;&gt;""),$E:$E))*($E29&lt;=INDEX($E:$E,MATCH(TRUE,INDEX((ISNUMBER($E:$E)),0),0)))*($E29&gt;INDEX(_xlfn.ANCHORARRAY(Sintesi!$C$15),1,$C29))*($E29&lt;INDEX(_xlfn.ANCHORARRAY(Sintesi!$C$16),1,$C29))*(INDEX(_xlfn.ANCHORARRAY(Sintesi!$C$15),1,$C29)&gt;0),2,IF($E29=(INDEX(_xlfn.ANCHORARRAY(Sintesi!$C$16),1,$C29)),3,4)))),0)),IF(ISNUMBER($E28),IF($C29&gt;0,IF(($E29=INDEX(_xlfn.ANCHORARRAY(Sintesi!$C$14),1,$C29))*(INDEX(_xlfn.ANCHORARRAY(Sintesi!$C$15),1,$C29)&gt;0),0,IF(($E29=INDEX(_xlfn.ANCHORARRAY(Sintesi!$C$14),1,$C29))*(INDEX(_xlfn.ANCHORARRAY(Sintesi!$C$15),1,$C29)&lt;0)+($E29&gt;=$E28)*($E29&lt;=$E30)*($E29&gt;INDEX(_xlfn.ANCHORARRAY(Sintesi!$C$14),1,$C29))*($E29&lt;=INDEX(_xlfn.ANCHORARRAY(Sintesi!$C$15),1,$C29))*(INDEX(_xlfn.ANCHORARRAY(Sintesi!$C$15),1,$C29)&gt;0),1,IF(($E29&gt;=$E28)*($E29&lt;=$E30)*($E29&gt;INDEX(_xlfn.ANCHORARRAY(Sintesi!$C$14),1,$C29))*($E29&lt;INDEX(_xlfn.ANCHORARRAY(Sintesi!$C$16),1,$C29))*(INDEX(_xlfn.ANCHORARRAY(Sintesi!$C$15),1,$C29)&lt;0)+($E29&gt;=$E28)*($E29&lt;=$E30)*($E29&gt;INDEX(_xlfn.ANCHORARRAY(Sintesi!$C$15),1,$C29))*($E29&lt;INDEX(_xlfn.ANCHORARRAY(Sintesi!$C$16),1,$C29))*(INDEX(_xlfn.ANCHORARRAY(Sintesi!$C$15),1,$C29)&gt;0),2,IF($E29=(INDEX(_xlfn.ANCHORARRAY(Sintesi!$C$16),1,$C29)),3,4)))),0),IF($C29&gt;0,IF(($E29=INDEX(_xlfn.ANCHORARRAY(Sintesi!$C$14),1,$C29))*(INDEX(_xlfn.ANCHORARRAY(Sintesi!$C$15),1,$C29)&gt;0),0,IF(($E29=INDEX(_xlfn.ANCHORARRAY(Sintesi!$C$14),1,$C29))*(INDEX(_xlfn.ANCHORARRAY(Sintesi!$C$15),1,$C29)&lt;0)+($E29&gt;=LOOKUP(2,1/($E:$E&lt;&gt;""),$E:$E))*($E29&lt;=$E30)*($E29&gt;INDEX(_xlfn.ANCHORARRAY(Sintesi!$C$14),1,$C29))*($E29&lt;=INDEX(_xlfn.ANCHORARRAY(Sintesi!$C$15),1,$C29))*(INDEX(_xlfn.ANCHORARRAY(Sintesi!$C$15),1,$C29)&gt;0),1,IF(($E29&gt;=LOOKUP(2,1/($E:$E&lt;&gt;""),$E:$E))*($E29&lt;=$E30)*($E29&gt;INDEX(_xlfn.ANCHORARRAY(Sintesi!$C$14),1,$C29))*($E29&lt;INDEX(_xlfn.ANCHORARRAY(Sintesi!$C$16),1,$C29))*(INDEX(_xlfn.ANCHORARRAY(Sintesi!$C$15),1,$C29)&lt;0)+($E29&gt;=LOOKUP(2,1/($E:$E&lt;&gt;""),$E:$E))*($E29&lt;=$E30)*($E29&gt;INDEX(_xlfn.ANCHORARRAY(Sintesi!$C$15),1,$C29))*($E29&lt;INDEX(_xlfn.ANCHORARRAY(Sintesi!$C$16),1,$C29))*(INDEX(_xlfn.ANCHORARRAY(Sintesi!$C$15),1,$C29)&gt;0),2,IF($E29=(INDEX(_xlfn.ANCHORARRAY(Sintesi!$C$16),1,$C29)),3,4)))),0)))</f>
        <v>0</v>
      </c>
      <c r="E29" s="1">
        <f>'Paste cell here'!F29</f>
        <v>0</v>
      </c>
      <c r="F29" s="1">
        <f>'Paste cell here'!C29</f>
        <v>8.5599999999998797</v>
      </c>
      <c r="G29" s="1">
        <f>'Paste cell here'!D29</f>
        <v>0.38000000000001677</v>
      </c>
      <c r="H29" s="1">
        <f>'Paste cell here'!E29</f>
        <v>0.55299839984741894</v>
      </c>
      <c r="I29" s="1">
        <f>'Paste cell here'!X29</f>
        <v>0</v>
      </c>
      <c r="J29" s="1">
        <f>'Paste cell here'!Y29+'Paste cell here'!S29</f>
        <v>0</v>
      </c>
      <c r="K29" s="1">
        <f t="shared" si="0"/>
        <v>0</v>
      </c>
      <c r="L29" s="1">
        <f t="shared" si="1"/>
        <v>5.5940953268529521</v>
      </c>
      <c r="M29" s="1">
        <f t="array" ref="M29">IF(AND(A29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29&gt;=_xlfn.ANCHORARRAY(Sintesi!$C$9))+(_xlfn.ANCHORARRAY(Sintesi!$C$9)&gt;_xlfn.ANCHORARRAY(Sintesi!$C$10))*(A29&lt;=_xlfn.ANCHORARRAY(Sintesi!$C$10))+(_xlfn.ANCHORARRAY(Sintesi!$C$9)&lt;_xlfn.ANCHORARRAY(Sintesi!$C$10))*(A29&gt;=_xlfn.ANCHORARRAY(Sintesi!$C$9))*(A29&lt;=_xlfn.ANCHORARRAY(Sintesi!$C$10)),0)),0),A29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30&gt;=_xlfn.ANCHORARRAY(Sintesi!$C$9))+(_xlfn.ANCHORARRAY(Sintesi!$C$9)&gt;_xlfn.ANCHORARRAY(Sintesi!$C$10))*(A30&lt;=_xlfn.ANCHORARRAY(Sintesi!$C$10))+(_xlfn.ANCHORARRAY(Sintesi!$C$9)&lt;_xlfn.ANCHORARRAY(Sintesi!$C$10))*(A30&gt;=_xlfn.ANCHORARRAY(Sintesi!$C$9))*(A30&lt;=_xlfn.ANCHORARRAY(Sintesi!$C$10)),0)),0)),IF(L29&lt;_xlfn.IFNA(INDEX(_xlfn.ANCHORARRAY(Sintesi!$C$17),1,MATCH(1,(_xlfn.ANCHORARRAY(Sintesi!$C$9)&gt;_xlfn.ANCHORARRAY(Sintesi!$C$10))*(A28&gt;=_xlfn.ANCHORARRAY(Sintesi!$C$9))+(_xlfn.ANCHORARRAY(Sintesi!$C$9)&gt;_xlfn.ANCHORARRAY(Sintesi!$C$10))*(A28&lt;=_xlfn.ANCHORARRAY(Sintesi!$C$10))+(_xlfn.ANCHORARRAY(Sintesi!$C$9)&lt;_xlfn.ANCHORARRAY(Sintesi!$C$10))*(A28&gt;=_xlfn.ANCHORARRAY(Sintesi!$C$9))*(A28&lt;=_xlfn.ANCHORARRAY(Sintesi!$C$10)),0)),0),1,IF(L29&gt;=_xlfn.IFNA(INDEX(_xlfn.ANCHORARRAY(Sintesi!$C$18),1,MATCH(1,(_xlfn.ANCHORARRAY(Sintesi!$C$9)&gt;_xlfn.ANCHORARRAY(Sintesi!$C$10))*(A28&gt;=_xlfn.ANCHORARRAY(Sintesi!$C$9))+(_xlfn.ANCHORARRAY(Sintesi!$C$9)&gt;_xlfn.ANCHORARRAY(Sintesi!$C$10))*(A28&lt;=_xlfn.ANCHORARRAY(Sintesi!$C$10))+(_xlfn.ANCHORARRAY(Sintesi!$C$9)&lt;_xlfn.ANCHORARRAY(Sintesi!$C$10))*(A28&gt;=_xlfn.ANCHORARRAY(Sintesi!$C$9))*(A28&lt;=_xlfn.ANCHORARRAY(Sintesi!$C$10)),0)),0),0,1-(L29-_xlfn.IFNA(INDEX(_xlfn.ANCHORARRAY(Sintesi!$C$17),1,MATCH(1,(_xlfn.ANCHORARRAY(Sintesi!$C$9)&gt;_xlfn.ANCHORARRAY(Sintesi!$C$10))*(A28&gt;=_xlfn.ANCHORARRAY(Sintesi!$C$9))+(_xlfn.ANCHORARRAY(Sintesi!$C$9)&gt;_xlfn.ANCHORARRAY(Sintesi!$C$10))*(A28&lt;=_xlfn.ANCHORARRAY(Sintesi!$C$10))+(_xlfn.ANCHORARRAY(Sintesi!$C$9)&lt;_xlfn.ANCHORARRAY(Sintesi!$C$10))*(A28&gt;=_xlfn.ANCHORARRAY(Sintesi!$C$9))*(A28&lt;=_xlfn.ANCHORARRAY(Sintesi!$C$10)),0)),0))/(_xlfn.IFNA(INDEX(_xlfn.ANCHORARRAY(Sintesi!$C$18),1,MATCH(1,(_xlfn.ANCHORARRAY(Sintesi!$C$9)&gt;_xlfn.ANCHORARRAY(Sintesi!$C$10))*(A28&gt;=_xlfn.ANCHORARRAY(Sintesi!$C$9))+(_xlfn.ANCHORARRAY(Sintesi!$C$9)&gt;_xlfn.ANCHORARRAY(Sintesi!$C$10))*(A28&lt;=_xlfn.ANCHORARRAY(Sintesi!$C$10))+(_xlfn.ANCHORARRAY(Sintesi!$C$9)&lt;_xlfn.ANCHORARRAY(Sintesi!$C$10))*(A28&gt;=_xlfn.ANCHORARRAY(Sintesi!$C$9))*(A28&lt;=_xlfn.ANCHORARRAY(Sintesi!$C$10)),0)),0)-_xlfn.IFNA(INDEX(_xlfn.ANCHORARRAY(Sintesi!$C$17),1,MATCH(1,(_xlfn.ANCHORARRAY(Sintesi!$C$9)&gt;_xlfn.ANCHORARRAY(Sintesi!$C$10))*(A28&gt;=_xlfn.ANCHORARRAY(Sintesi!$C$9))+(_xlfn.ANCHORARRAY(Sintesi!$C$9)&gt;_xlfn.ANCHORARRAY(Sintesi!$C$10))*(A28&lt;=_xlfn.ANCHORARRAY(Sintesi!$C$10))+(_xlfn.ANCHORARRAY(Sintesi!$C$9)&lt;_xlfn.ANCHORARRAY(Sintesi!$C$10))*(A28&gt;=_xlfn.ANCHORARRAY(Sintesi!$C$9))*(A28&lt;=_xlfn.ANCHORARRAY(Sintesi!$C$10)),0)),0)))),0)</f>
        <v>0</v>
      </c>
    </row>
    <row r="30" spans="1:13">
      <c r="A30" s="1">
        <f>'Paste cell here'!A30</f>
        <v>29</v>
      </c>
      <c r="B30" s="2">
        <f>DATE(Sintesi!$C$4-1,12,31)+A30</f>
        <v>44225</v>
      </c>
      <c r="C30" s="34">
        <f t="array" ref="C30">_xlfn.IFNA(MATCH(1,((_xlfn.ANCHORARRAY(Sintesi!$C$9)&gt;_xlfn.ANCHORARRAY(Sintesi!$C$10))*(A30&gt;=_xlfn.ANCHORARRAY(Sintesi!$C$9))+(_xlfn.ANCHORARRAY(Sintesi!$C$9)&gt;_xlfn.ANCHORARRAY(Sintesi!$C$10))*(A30&lt;=_xlfn.ANCHORARRAY(Sintesi!$C$10))+(_xlfn.ANCHORARRAY(Sintesi!$C$9)&lt;_xlfn.ANCHORARRAY(Sintesi!$C$10))*(A30&gt;=_xlfn.ANCHORARRAY(Sintesi!$C$9))*(A30&lt;=_xlfn.ANCHORARRAY(Sintesi!$C$10)))*(_xlfn.ANCHORARRAY(Sintesi!$C$15)&gt;=0)+(_xlfn.ANCHORARRAY(Sintesi!$C$15)&lt;0),0),0)</f>
        <v>0</v>
      </c>
      <c r="D30" s="1">
        <f t="array" ref="D30">IF(ISBLANK($E31),IF(ISNUMBER($E29),IF($C30&gt;0,IF(($E30=INDEX(_xlfn.ANCHORARRAY(Sintesi!$C$14),1,$C30))*(INDEX(_xlfn.ANCHORARRAY(Sintesi!$C$15),1,$C30)&gt;0),0,IF(($E30=INDEX(_xlfn.ANCHORARRAY(Sintesi!$C$14),1,$C30))*(INDEX(_xlfn.ANCHORARRAY(Sintesi!$C$15),1,$C30)&lt;0)+($E30&gt;=$E29)*($E30&lt;=INDEX($E:$E,MATCH(TRUE,INDEX((ISNUMBER($E:$E)),0),0)))*($E30&gt;INDEX(_xlfn.ANCHORARRAY(Sintesi!$C$14),1,$C30))*($E30&lt;=INDEX(_xlfn.ANCHORARRAY(Sintesi!$C$15),1,$C30))*(INDEX(_xlfn.ANCHORARRAY(Sintesi!$C$15),1,$C30)&gt;0),1,IF(($E30&gt;=$E29)*($E30&lt;=INDEX($E:$E,MATCH(TRUE,INDEX((ISNUMBER($E:$E)),0),0)))*($E30&gt;INDEX(_xlfn.ANCHORARRAY(Sintesi!$C$14),1,$C30))*($E30&lt;INDEX(_xlfn.ANCHORARRAY(Sintesi!$C$16),1,$C30))*(INDEX(_xlfn.ANCHORARRAY(Sintesi!$C$15),1,$C30)&lt;0)+($E30&gt;=$E29)*($E30&lt;=INDEX($E:$E,MATCH(TRUE,INDEX((ISNUMBER($E:$E)),0),0)))*($E30&gt;INDEX(_xlfn.ANCHORARRAY(Sintesi!$C$15),1,$C30))*($E30&lt;INDEX(_xlfn.ANCHORARRAY(Sintesi!$C$16),1,$C30))*(INDEX(_xlfn.ANCHORARRAY(Sintesi!$C$15),1,$C30)&gt;0),2,IF($E30=(INDEX(_xlfn.ANCHORARRAY(Sintesi!$C$16),1,$C30)),3,4)))),0),IF($C30&gt;0,IF(($E30=INDEX(_xlfn.ANCHORARRAY(Sintesi!$C$14),1,$C30))*(INDEX(_xlfn.ANCHORARRAY(Sintesi!$C$15),1,$C30)&gt;0),0,IF(($E30=INDEX(_xlfn.ANCHORARRAY(Sintesi!$C$14),1,$C30))*(INDEX(_xlfn.ANCHORARRAY(Sintesi!$C$15),1,$C30)&lt;0)+($E30&gt;=LOOKUP(2,1/($E:$E&lt;&gt;""),$E:$E))*($E30&lt;=INDEX($E:$E,MATCH(TRUE,INDEX((ISNUMBER($E:$E)),0),0)))*($E30&gt;INDEX(_xlfn.ANCHORARRAY(Sintesi!$C$14),1,$C30))*($E30&lt;=INDEX(_xlfn.ANCHORARRAY(Sintesi!$C$15),1,$C30))*(INDEX(_xlfn.ANCHORARRAY(Sintesi!$C$15),1,$C30)&gt;0),1,IF(($E30&gt;=LOOKUP(2,1/($E:$E&lt;&gt;""),$E:$E))*($E30&lt;=INDEX($E:$E,MATCH(TRUE,INDEX((ISNUMBER($E:$E)),0),0)))*($E30&gt;INDEX(_xlfn.ANCHORARRAY(Sintesi!$C$14),1,$C30))*($E30&lt;INDEX(_xlfn.ANCHORARRAY(Sintesi!$C$16),1,$C30))*(INDEX(_xlfn.ANCHORARRAY(Sintesi!$C$15),1,$C30)&lt;0)+($E30&gt;=LOOKUP(2,1/($E:$E&lt;&gt;""),$E:$E))*($E30&lt;=INDEX($E:$E,MATCH(TRUE,INDEX((ISNUMBER($E:$E)),0),0)))*($E30&gt;INDEX(_xlfn.ANCHORARRAY(Sintesi!$C$15),1,$C30))*($E30&lt;INDEX(_xlfn.ANCHORARRAY(Sintesi!$C$16),1,$C30))*(INDEX(_xlfn.ANCHORARRAY(Sintesi!$C$15),1,$C30)&gt;0),2,IF($E30=(INDEX(_xlfn.ANCHORARRAY(Sintesi!$C$16),1,$C30)),3,4)))),0)),IF(ISNUMBER($E29),IF($C30&gt;0,IF(($E30=INDEX(_xlfn.ANCHORARRAY(Sintesi!$C$14),1,$C30))*(INDEX(_xlfn.ANCHORARRAY(Sintesi!$C$15),1,$C30)&gt;0),0,IF(($E30=INDEX(_xlfn.ANCHORARRAY(Sintesi!$C$14),1,$C30))*(INDEX(_xlfn.ANCHORARRAY(Sintesi!$C$15),1,$C30)&lt;0)+($E30&gt;=$E29)*($E30&lt;=$E31)*($E30&gt;INDEX(_xlfn.ANCHORARRAY(Sintesi!$C$14),1,$C30))*($E30&lt;=INDEX(_xlfn.ANCHORARRAY(Sintesi!$C$15),1,$C30))*(INDEX(_xlfn.ANCHORARRAY(Sintesi!$C$15),1,$C30)&gt;0),1,IF(($E30&gt;=$E29)*($E30&lt;=$E31)*($E30&gt;INDEX(_xlfn.ANCHORARRAY(Sintesi!$C$14),1,$C30))*($E30&lt;INDEX(_xlfn.ANCHORARRAY(Sintesi!$C$16),1,$C30))*(INDEX(_xlfn.ANCHORARRAY(Sintesi!$C$15),1,$C30)&lt;0)+($E30&gt;=$E29)*($E30&lt;=$E31)*($E30&gt;INDEX(_xlfn.ANCHORARRAY(Sintesi!$C$15),1,$C30))*($E30&lt;INDEX(_xlfn.ANCHORARRAY(Sintesi!$C$16),1,$C30))*(INDEX(_xlfn.ANCHORARRAY(Sintesi!$C$15),1,$C30)&gt;0),2,IF($E30=(INDEX(_xlfn.ANCHORARRAY(Sintesi!$C$16),1,$C30)),3,4)))),0),IF($C30&gt;0,IF(($E30=INDEX(_xlfn.ANCHORARRAY(Sintesi!$C$14),1,$C30))*(INDEX(_xlfn.ANCHORARRAY(Sintesi!$C$15),1,$C30)&gt;0),0,IF(($E30=INDEX(_xlfn.ANCHORARRAY(Sintesi!$C$14),1,$C30))*(INDEX(_xlfn.ANCHORARRAY(Sintesi!$C$15),1,$C30)&lt;0)+($E30&gt;=LOOKUP(2,1/($E:$E&lt;&gt;""),$E:$E))*($E30&lt;=$E31)*($E30&gt;INDEX(_xlfn.ANCHORARRAY(Sintesi!$C$14),1,$C30))*($E30&lt;=INDEX(_xlfn.ANCHORARRAY(Sintesi!$C$15),1,$C30))*(INDEX(_xlfn.ANCHORARRAY(Sintesi!$C$15),1,$C30)&gt;0),1,IF(($E30&gt;=LOOKUP(2,1/($E:$E&lt;&gt;""),$E:$E))*($E30&lt;=$E31)*($E30&gt;INDEX(_xlfn.ANCHORARRAY(Sintesi!$C$14),1,$C30))*($E30&lt;INDEX(_xlfn.ANCHORARRAY(Sintesi!$C$16),1,$C30))*(INDEX(_xlfn.ANCHORARRAY(Sintesi!$C$15),1,$C30)&lt;0)+($E30&gt;=LOOKUP(2,1/($E:$E&lt;&gt;""),$E:$E))*($E30&lt;=$E31)*($E30&gt;INDEX(_xlfn.ANCHORARRAY(Sintesi!$C$15),1,$C30))*($E30&lt;INDEX(_xlfn.ANCHORARRAY(Sintesi!$C$16),1,$C30))*(INDEX(_xlfn.ANCHORARRAY(Sintesi!$C$15),1,$C30)&gt;0),2,IF($E30=(INDEX(_xlfn.ANCHORARRAY(Sintesi!$C$16),1,$C30)),3,4)))),0)))</f>
        <v>0</v>
      </c>
      <c r="E30" s="1">
        <f>'Paste cell here'!F30</f>
        <v>0</v>
      </c>
      <c r="F30" s="1">
        <f>'Paste cell here'!C30</f>
        <v>7.6799999999999047</v>
      </c>
      <c r="G30" s="1">
        <f>'Paste cell here'!D30</f>
        <v>0.10000000000001563</v>
      </c>
      <c r="H30" s="1">
        <f>'Paste cell here'!E30</f>
        <v>0.53204710525785626</v>
      </c>
      <c r="I30" s="1">
        <f>'Paste cell here'!X30</f>
        <v>0</v>
      </c>
      <c r="J30" s="1">
        <f>'Paste cell here'!Y30+'Paste cell here'!S30</f>
        <v>0</v>
      </c>
      <c r="K30" s="1">
        <f t="shared" si="0"/>
        <v>0</v>
      </c>
      <c r="L30" s="1">
        <f t="shared" si="1"/>
        <v>4.9316433468881993</v>
      </c>
      <c r="M30" s="1">
        <f t="array" ref="M30">IF(AND(A30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30&gt;=_xlfn.ANCHORARRAY(Sintesi!$C$9))+(_xlfn.ANCHORARRAY(Sintesi!$C$9)&gt;_xlfn.ANCHORARRAY(Sintesi!$C$10))*(A30&lt;=_xlfn.ANCHORARRAY(Sintesi!$C$10))+(_xlfn.ANCHORARRAY(Sintesi!$C$9)&lt;_xlfn.ANCHORARRAY(Sintesi!$C$10))*(A30&gt;=_xlfn.ANCHORARRAY(Sintesi!$C$9))*(A30&lt;=_xlfn.ANCHORARRAY(Sintesi!$C$10)),0)),0),A30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31&gt;=_xlfn.ANCHORARRAY(Sintesi!$C$9))+(_xlfn.ANCHORARRAY(Sintesi!$C$9)&gt;_xlfn.ANCHORARRAY(Sintesi!$C$10))*(A31&lt;=_xlfn.ANCHORARRAY(Sintesi!$C$10))+(_xlfn.ANCHORARRAY(Sintesi!$C$9)&lt;_xlfn.ANCHORARRAY(Sintesi!$C$10))*(A31&gt;=_xlfn.ANCHORARRAY(Sintesi!$C$9))*(A31&lt;=_xlfn.ANCHORARRAY(Sintesi!$C$10)),0)),0)),IF(L30&lt;_xlfn.IFNA(INDEX(_xlfn.ANCHORARRAY(Sintesi!$C$17),1,MATCH(1,(_xlfn.ANCHORARRAY(Sintesi!$C$9)&gt;_xlfn.ANCHORARRAY(Sintesi!$C$10))*(A29&gt;=_xlfn.ANCHORARRAY(Sintesi!$C$9))+(_xlfn.ANCHORARRAY(Sintesi!$C$9)&gt;_xlfn.ANCHORARRAY(Sintesi!$C$10))*(A29&lt;=_xlfn.ANCHORARRAY(Sintesi!$C$10))+(_xlfn.ANCHORARRAY(Sintesi!$C$9)&lt;_xlfn.ANCHORARRAY(Sintesi!$C$10))*(A29&gt;=_xlfn.ANCHORARRAY(Sintesi!$C$9))*(A29&lt;=_xlfn.ANCHORARRAY(Sintesi!$C$10)),0)),0),1,IF(L30&gt;=_xlfn.IFNA(INDEX(_xlfn.ANCHORARRAY(Sintesi!$C$18),1,MATCH(1,(_xlfn.ANCHORARRAY(Sintesi!$C$9)&gt;_xlfn.ANCHORARRAY(Sintesi!$C$10))*(A29&gt;=_xlfn.ANCHORARRAY(Sintesi!$C$9))+(_xlfn.ANCHORARRAY(Sintesi!$C$9)&gt;_xlfn.ANCHORARRAY(Sintesi!$C$10))*(A29&lt;=_xlfn.ANCHORARRAY(Sintesi!$C$10))+(_xlfn.ANCHORARRAY(Sintesi!$C$9)&lt;_xlfn.ANCHORARRAY(Sintesi!$C$10))*(A29&gt;=_xlfn.ANCHORARRAY(Sintesi!$C$9))*(A29&lt;=_xlfn.ANCHORARRAY(Sintesi!$C$10)),0)),0),0,1-(L30-_xlfn.IFNA(INDEX(_xlfn.ANCHORARRAY(Sintesi!$C$17),1,MATCH(1,(_xlfn.ANCHORARRAY(Sintesi!$C$9)&gt;_xlfn.ANCHORARRAY(Sintesi!$C$10))*(A29&gt;=_xlfn.ANCHORARRAY(Sintesi!$C$9))+(_xlfn.ANCHORARRAY(Sintesi!$C$9)&gt;_xlfn.ANCHORARRAY(Sintesi!$C$10))*(A29&lt;=_xlfn.ANCHORARRAY(Sintesi!$C$10))+(_xlfn.ANCHORARRAY(Sintesi!$C$9)&lt;_xlfn.ANCHORARRAY(Sintesi!$C$10))*(A29&gt;=_xlfn.ANCHORARRAY(Sintesi!$C$9))*(A29&lt;=_xlfn.ANCHORARRAY(Sintesi!$C$10)),0)),0))/(_xlfn.IFNA(INDEX(_xlfn.ANCHORARRAY(Sintesi!$C$18),1,MATCH(1,(_xlfn.ANCHORARRAY(Sintesi!$C$9)&gt;_xlfn.ANCHORARRAY(Sintesi!$C$10))*(A29&gt;=_xlfn.ANCHORARRAY(Sintesi!$C$9))+(_xlfn.ANCHORARRAY(Sintesi!$C$9)&gt;_xlfn.ANCHORARRAY(Sintesi!$C$10))*(A29&lt;=_xlfn.ANCHORARRAY(Sintesi!$C$10))+(_xlfn.ANCHORARRAY(Sintesi!$C$9)&lt;_xlfn.ANCHORARRAY(Sintesi!$C$10))*(A29&gt;=_xlfn.ANCHORARRAY(Sintesi!$C$9))*(A29&lt;=_xlfn.ANCHORARRAY(Sintesi!$C$10)),0)),0)-_xlfn.IFNA(INDEX(_xlfn.ANCHORARRAY(Sintesi!$C$17),1,MATCH(1,(_xlfn.ANCHORARRAY(Sintesi!$C$9)&gt;_xlfn.ANCHORARRAY(Sintesi!$C$10))*(A29&gt;=_xlfn.ANCHORARRAY(Sintesi!$C$9))+(_xlfn.ANCHORARRAY(Sintesi!$C$9)&gt;_xlfn.ANCHORARRAY(Sintesi!$C$10))*(A29&lt;=_xlfn.ANCHORARRAY(Sintesi!$C$10))+(_xlfn.ANCHORARRAY(Sintesi!$C$9)&lt;_xlfn.ANCHORARRAY(Sintesi!$C$10))*(A29&gt;=_xlfn.ANCHORARRAY(Sintesi!$C$9))*(A29&lt;=_xlfn.ANCHORARRAY(Sintesi!$C$10)),0)),0)))),0)</f>
        <v>0</v>
      </c>
    </row>
    <row r="31" spans="1:13">
      <c r="A31" s="1">
        <f>'Paste cell here'!A31</f>
        <v>30</v>
      </c>
      <c r="B31" s="2">
        <f>DATE(Sintesi!$C$4-1,12,31)+A31</f>
        <v>44226</v>
      </c>
      <c r="C31" s="34">
        <f t="array" ref="C31">_xlfn.IFNA(MATCH(1,((_xlfn.ANCHORARRAY(Sintesi!$C$9)&gt;_xlfn.ANCHORARRAY(Sintesi!$C$10))*(A31&gt;=_xlfn.ANCHORARRAY(Sintesi!$C$9))+(_xlfn.ANCHORARRAY(Sintesi!$C$9)&gt;_xlfn.ANCHORARRAY(Sintesi!$C$10))*(A31&lt;=_xlfn.ANCHORARRAY(Sintesi!$C$10))+(_xlfn.ANCHORARRAY(Sintesi!$C$9)&lt;_xlfn.ANCHORARRAY(Sintesi!$C$10))*(A31&gt;=_xlfn.ANCHORARRAY(Sintesi!$C$9))*(A31&lt;=_xlfn.ANCHORARRAY(Sintesi!$C$10)))*(_xlfn.ANCHORARRAY(Sintesi!$C$15)&gt;=0)+(_xlfn.ANCHORARRAY(Sintesi!$C$15)&lt;0),0),0)</f>
        <v>0</v>
      </c>
      <c r="D31" s="1">
        <f t="array" ref="D31">IF(ISBLANK($E32),IF(ISNUMBER($E30),IF($C31&gt;0,IF(($E31=INDEX(_xlfn.ANCHORARRAY(Sintesi!$C$14),1,$C31))*(INDEX(_xlfn.ANCHORARRAY(Sintesi!$C$15),1,$C31)&gt;0),0,IF(($E31=INDEX(_xlfn.ANCHORARRAY(Sintesi!$C$14),1,$C31))*(INDEX(_xlfn.ANCHORARRAY(Sintesi!$C$15),1,$C31)&lt;0)+($E31&gt;=$E30)*($E31&lt;=INDEX($E:$E,MATCH(TRUE,INDEX((ISNUMBER($E:$E)),0),0)))*($E31&gt;INDEX(_xlfn.ANCHORARRAY(Sintesi!$C$14),1,$C31))*($E31&lt;=INDEX(_xlfn.ANCHORARRAY(Sintesi!$C$15),1,$C31))*(INDEX(_xlfn.ANCHORARRAY(Sintesi!$C$15),1,$C31)&gt;0),1,IF(($E31&gt;=$E30)*($E31&lt;=INDEX($E:$E,MATCH(TRUE,INDEX((ISNUMBER($E:$E)),0),0)))*($E31&gt;INDEX(_xlfn.ANCHORARRAY(Sintesi!$C$14),1,$C31))*($E31&lt;INDEX(_xlfn.ANCHORARRAY(Sintesi!$C$16),1,$C31))*(INDEX(_xlfn.ANCHORARRAY(Sintesi!$C$15),1,$C31)&lt;0)+($E31&gt;=$E30)*($E31&lt;=INDEX($E:$E,MATCH(TRUE,INDEX((ISNUMBER($E:$E)),0),0)))*($E31&gt;INDEX(_xlfn.ANCHORARRAY(Sintesi!$C$15),1,$C31))*($E31&lt;INDEX(_xlfn.ANCHORARRAY(Sintesi!$C$16),1,$C31))*(INDEX(_xlfn.ANCHORARRAY(Sintesi!$C$15),1,$C31)&gt;0),2,IF($E31=(INDEX(_xlfn.ANCHORARRAY(Sintesi!$C$16),1,$C31)),3,4)))),0),IF($C31&gt;0,IF(($E31=INDEX(_xlfn.ANCHORARRAY(Sintesi!$C$14),1,$C31))*(INDEX(_xlfn.ANCHORARRAY(Sintesi!$C$15),1,$C31)&gt;0),0,IF(($E31=INDEX(_xlfn.ANCHORARRAY(Sintesi!$C$14),1,$C31))*(INDEX(_xlfn.ANCHORARRAY(Sintesi!$C$15),1,$C31)&lt;0)+($E31&gt;=LOOKUP(2,1/($E:$E&lt;&gt;""),$E:$E))*($E31&lt;=INDEX($E:$E,MATCH(TRUE,INDEX((ISNUMBER($E:$E)),0),0)))*($E31&gt;INDEX(_xlfn.ANCHORARRAY(Sintesi!$C$14),1,$C31))*($E31&lt;=INDEX(_xlfn.ANCHORARRAY(Sintesi!$C$15),1,$C31))*(INDEX(_xlfn.ANCHORARRAY(Sintesi!$C$15),1,$C31)&gt;0),1,IF(($E31&gt;=LOOKUP(2,1/($E:$E&lt;&gt;""),$E:$E))*($E31&lt;=INDEX($E:$E,MATCH(TRUE,INDEX((ISNUMBER($E:$E)),0),0)))*($E31&gt;INDEX(_xlfn.ANCHORARRAY(Sintesi!$C$14),1,$C31))*($E31&lt;INDEX(_xlfn.ANCHORARRAY(Sintesi!$C$16),1,$C31))*(INDEX(_xlfn.ANCHORARRAY(Sintesi!$C$15),1,$C31)&lt;0)+($E31&gt;=LOOKUP(2,1/($E:$E&lt;&gt;""),$E:$E))*($E31&lt;=INDEX($E:$E,MATCH(TRUE,INDEX((ISNUMBER($E:$E)),0),0)))*($E31&gt;INDEX(_xlfn.ANCHORARRAY(Sintesi!$C$15),1,$C31))*($E31&lt;INDEX(_xlfn.ANCHORARRAY(Sintesi!$C$16),1,$C31))*(INDEX(_xlfn.ANCHORARRAY(Sintesi!$C$15),1,$C31)&gt;0),2,IF($E31=(INDEX(_xlfn.ANCHORARRAY(Sintesi!$C$16),1,$C31)),3,4)))),0)),IF(ISNUMBER($E30),IF($C31&gt;0,IF(($E31=INDEX(_xlfn.ANCHORARRAY(Sintesi!$C$14),1,$C31))*(INDEX(_xlfn.ANCHORARRAY(Sintesi!$C$15),1,$C31)&gt;0),0,IF(($E31=INDEX(_xlfn.ANCHORARRAY(Sintesi!$C$14),1,$C31))*(INDEX(_xlfn.ANCHORARRAY(Sintesi!$C$15),1,$C31)&lt;0)+($E31&gt;=$E30)*($E31&lt;=$E32)*($E31&gt;INDEX(_xlfn.ANCHORARRAY(Sintesi!$C$14),1,$C31))*($E31&lt;=INDEX(_xlfn.ANCHORARRAY(Sintesi!$C$15),1,$C31))*(INDEX(_xlfn.ANCHORARRAY(Sintesi!$C$15),1,$C31)&gt;0),1,IF(($E31&gt;=$E30)*($E31&lt;=$E32)*($E31&gt;INDEX(_xlfn.ANCHORARRAY(Sintesi!$C$14),1,$C31))*($E31&lt;INDEX(_xlfn.ANCHORARRAY(Sintesi!$C$16),1,$C31))*(INDEX(_xlfn.ANCHORARRAY(Sintesi!$C$15),1,$C31)&lt;0)+($E31&gt;=$E30)*($E31&lt;=$E32)*($E31&gt;INDEX(_xlfn.ANCHORARRAY(Sintesi!$C$15),1,$C31))*($E31&lt;INDEX(_xlfn.ANCHORARRAY(Sintesi!$C$16),1,$C31))*(INDEX(_xlfn.ANCHORARRAY(Sintesi!$C$15),1,$C31)&gt;0),2,IF($E31=(INDEX(_xlfn.ANCHORARRAY(Sintesi!$C$16),1,$C31)),3,4)))),0),IF($C31&gt;0,IF(($E31=INDEX(_xlfn.ANCHORARRAY(Sintesi!$C$14),1,$C31))*(INDEX(_xlfn.ANCHORARRAY(Sintesi!$C$15),1,$C31)&gt;0),0,IF(($E31=INDEX(_xlfn.ANCHORARRAY(Sintesi!$C$14),1,$C31))*(INDEX(_xlfn.ANCHORARRAY(Sintesi!$C$15),1,$C31)&lt;0)+($E31&gt;=LOOKUP(2,1/($E:$E&lt;&gt;""),$E:$E))*($E31&lt;=$E32)*($E31&gt;INDEX(_xlfn.ANCHORARRAY(Sintesi!$C$14),1,$C31))*($E31&lt;=INDEX(_xlfn.ANCHORARRAY(Sintesi!$C$15),1,$C31))*(INDEX(_xlfn.ANCHORARRAY(Sintesi!$C$15),1,$C31)&gt;0),1,IF(($E31&gt;=LOOKUP(2,1/($E:$E&lt;&gt;""),$E:$E))*($E31&lt;=$E32)*($E31&gt;INDEX(_xlfn.ANCHORARRAY(Sintesi!$C$14),1,$C31))*($E31&lt;INDEX(_xlfn.ANCHORARRAY(Sintesi!$C$16),1,$C31))*(INDEX(_xlfn.ANCHORARRAY(Sintesi!$C$15),1,$C31)&lt;0)+($E31&gt;=LOOKUP(2,1/($E:$E&lt;&gt;""),$E:$E))*($E31&lt;=$E32)*($E31&gt;INDEX(_xlfn.ANCHORARRAY(Sintesi!$C$15),1,$C31))*($E31&lt;INDEX(_xlfn.ANCHORARRAY(Sintesi!$C$16),1,$C31))*(INDEX(_xlfn.ANCHORARRAY(Sintesi!$C$15),1,$C31)&gt;0),2,IF($E31=(INDEX(_xlfn.ANCHORARRAY(Sintesi!$C$16),1,$C31)),3,4)))),0)))</f>
        <v>0</v>
      </c>
      <c r="E31" s="1">
        <f>'Paste cell here'!F31</f>
        <v>0</v>
      </c>
      <c r="F31" s="1">
        <f>'Paste cell here'!C31</f>
        <v>11.619999999999855</v>
      </c>
      <c r="G31" s="1">
        <f>'Paste cell here'!D31</f>
        <v>2.4199999999999688</v>
      </c>
      <c r="H31" s="1">
        <f>'Paste cell here'!E31</f>
        <v>0.7706198029553647</v>
      </c>
      <c r="I31" s="1">
        <f>'Paste cell here'!X31</f>
        <v>0</v>
      </c>
      <c r="J31" s="1">
        <f>'Paste cell here'!Y31+'Paste cell here'!S31</f>
        <v>0</v>
      </c>
      <c r="K31" s="1">
        <f t="shared" si="0"/>
        <v>0</v>
      </c>
      <c r="L31" s="1">
        <f t="shared" si="1"/>
        <v>8.2842636927930275</v>
      </c>
      <c r="M31" s="1">
        <f t="array" ref="M31">IF(AND(A31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31&gt;=_xlfn.ANCHORARRAY(Sintesi!$C$9))+(_xlfn.ANCHORARRAY(Sintesi!$C$9)&gt;_xlfn.ANCHORARRAY(Sintesi!$C$10))*(A31&lt;=_xlfn.ANCHORARRAY(Sintesi!$C$10))+(_xlfn.ANCHORARRAY(Sintesi!$C$9)&lt;_xlfn.ANCHORARRAY(Sintesi!$C$10))*(A31&gt;=_xlfn.ANCHORARRAY(Sintesi!$C$9))*(A31&lt;=_xlfn.ANCHORARRAY(Sintesi!$C$10)),0)),0),A31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32&gt;=_xlfn.ANCHORARRAY(Sintesi!$C$9))+(_xlfn.ANCHORARRAY(Sintesi!$C$9)&gt;_xlfn.ANCHORARRAY(Sintesi!$C$10))*(A32&lt;=_xlfn.ANCHORARRAY(Sintesi!$C$10))+(_xlfn.ANCHORARRAY(Sintesi!$C$9)&lt;_xlfn.ANCHORARRAY(Sintesi!$C$10))*(A32&gt;=_xlfn.ANCHORARRAY(Sintesi!$C$9))*(A32&lt;=_xlfn.ANCHORARRAY(Sintesi!$C$10)),0)),0)),IF(L31&lt;_xlfn.IFNA(INDEX(_xlfn.ANCHORARRAY(Sintesi!$C$17),1,MATCH(1,(_xlfn.ANCHORARRAY(Sintesi!$C$9)&gt;_xlfn.ANCHORARRAY(Sintesi!$C$10))*(A30&gt;=_xlfn.ANCHORARRAY(Sintesi!$C$9))+(_xlfn.ANCHORARRAY(Sintesi!$C$9)&gt;_xlfn.ANCHORARRAY(Sintesi!$C$10))*(A30&lt;=_xlfn.ANCHORARRAY(Sintesi!$C$10))+(_xlfn.ANCHORARRAY(Sintesi!$C$9)&lt;_xlfn.ANCHORARRAY(Sintesi!$C$10))*(A30&gt;=_xlfn.ANCHORARRAY(Sintesi!$C$9))*(A30&lt;=_xlfn.ANCHORARRAY(Sintesi!$C$10)),0)),0),1,IF(L31&gt;=_xlfn.IFNA(INDEX(_xlfn.ANCHORARRAY(Sintesi!$C$18),1,MATCH(1,(_xlfn.ANCHORARRAY(Sintesi!$C$9)&gt;_xlfn.ANCHORARRAY(Sintesi!$C$10))*(A30&gt;=_xlfn.ANCHORARRAY(Sintesi!$C$9))+(_xlfn.ANCHORARRAY(Sintesi!$C$9)&gt;_xlfn.ANCHORARRAY(Sintesi!$C$10))*(A30&lt;=_xlfn.ANCHORARRAY(Sintesi!$C$10))+(_xlfn.ANCHORARRAY(Sintesi!$C$9)&lt;_xlfn.ANCHORARRAY(Sintesi!$C$10))*(A30&gt;=_xlfn.ANCHORARRAY(Sintesi!$C$9))*(A30&lt;=_xlfn.ANCHORARRAY(Sintesi!$C$10)),0)),0),0,1-(L31-_xlfn.IFNA(INDEX(_xlfn.ANCHORARRAY(Sintesi!$C$17),1,MATCH(1,(_xlfn.ANCHORARRAY(Sintesi!$C$9)&gt;_xlfn.ANCHORARRAY(Sintesi!$C$10))*(A30&gt;=_xlfn.ANCHORARRAY(Sintesi!$C$9))+(_xlfn.ANCHORARRAY(Sintesi!$C$9)&gt;_xlfn.ANCHORARRAY(Sintesi!$C$10))*(A30&lt;=_xlfn.ANCHORARRAY(Sintesi!$C$10))+(_xlfn.ANCHORARRAY(Sintesi!$C$9)&lt;_xlfn.ANCHORARRAY(Sintesi!$C$10))*(A30&gt;=_xlfn.ANCHORARRAY(Sintesi!$C$9))*(A30&lt;=_xlfn.ANCHORARRAY(Sintesi!$C$10)),0)),0))/(_xlfn.IFNA(INDEX(_xlfn.ANCHORARRAY(Sintesi!$C$18),1,MATCH(1,(_xlfn.ANCHORARRAY(Sintesi!$C$9)&gt;_xlfn.ANCHORARRAY(Sintesi!$C$10))*(A30&gt;=_xlfn.ANCHORARRAY(Sintesi!$C$9))+(_xlfn.ANCHORARRAY(Sintesi!$C$9)&gt;_xlfn.ANCHORARRAY(Sintesi!$C$10))*(A30&lt;=_xlfn.ANCHORARRAY(Sintesi!$C$10))+(_xlfn.ANCHORARRAY(Sintesi!$C$9)&lt;_xlfn.ANCHORARRAY(Sintesi!$C$10))*(A30&gt;=_xlfn.ANCHORARRAY(Sintesi!$C$9))*(A30&lt;=_xlfn.ANCHORARRAY(Sintesi!$C$10)),0)),0)-_xlfn.IFNA(INDEX(_xlfn.ANCHORARRAY(Sintesi!$C$17),1,MATCH(1,(_xlfn.ANCHORARRAY(Sintesi!$C$9)&gt;_xlfn.ANCHORARRAY(Sintesi!$C$10))*(A30&gt;=_xlfn.ANCHORARRAY(Sintesi!$C$9))+(_xlfn.ANCHORARRAY(Sintesi!$C$9)&gt;_xlfn.ANCHORARRAY(Sintesi!$C$10))*(A30&lt;=_xlfn.ANCHORARRAY(Sintesi!$C$10))+(_xlfn.ANCHORARRAY(Sintesi!$C$9)&lt;_xlfn.ANCHORARRAY(Sintesi!$C$10))*(A30&gt;=_xlfn.ANCHORARRAY(Sintesi!$C$9))*(A30&lt;=_xlfn.ANCHORARRAY(Sintesi!$C$10)),0)),0)))),0)</f>
        <v>0</v>
      </c>
    </row>
    <row r="32" spans="1:13">
      <c r="A32" s="1">
        <f>'Paste cell here'!A32</f>
        <v>31</v>
      </c>
      <c r="B32" s="2">
        <f>DATE(Sintesi!$C$4-1,12,31)+A32</f>
        <v>44227</v>
      </c>
      <c r="C32" s="34">
        <f t="array" ref="C32">_xlfn.IFNA(MATCH(1,((_xlfn.ANCHORARRAY(Sintesi!$C$9)&gt;_xlfn.ANCHORARRAY(Sintesi!$C$10))*(A32&gt;=_xlfn.ANCHORARRAY(Sintesi!$C$9))+(_xlfn.ANCHORARRAY(Sintesi!$C$9)&gt;_xlfn.ANCHORARRAY(Sintesi!$C$10))*(A32&lt;=_xlfn.ANCHORARRAY(Sintesi!$C$10))+(_xlfn.ANCHORARRAY(Sintesi!$C$9)&lt;_xlfn.ANCHORARRAY(Sintesi!$C$10))*(A32&gt;=_xlfn.ANCHORARRAY(Sintesi!$C$9))*(A32&lt;=_xlfn.ANCHORARRAY(Sintesi!$C$10)))*(_xlfn.ANCHORARRAY(Sintesi!$C$15)&gt;=0)+(_xlfn.ANCHORARRAY(Sintesi!$C$15)&lt;0),0),0)</f>
        <v>0</v>
      </c>
      <c r="D32" s="1">
        <f t="array" ref="D32">IF(ISBLANK($E33),IF(ISNUMBER($E31),IF($C32&gt;0,IF(($E32=INDEX(_xlfn.ANCHORARRAY(Sintesi!$C$14),1,$C32))*(INDEX(_xlfn.ANCHORARRAY(Sintesi!$C$15),1,$C32)&gt;0),0,IF(($E32=INDEX(_xlfn.ANCHORARRAY(Sintesi!$C$14),1,$C32))*(INDEX(_xlfn.ANCHORARRAY(Sintesi!$C$15),1,$C32)&lt;0)+($E32&gt;=$E31)*($E32&lt;=INDEX($E:$E,MATCH(TRUE,INDEX((ISNUMBER($E:$E)),0),0)))*($E32&gt;INDEX(_xlfn.ANCHORARRAY(Sintesi!$C$14),1,$C32))*($E32&lt;=INDEX(_xlfn.ANCHORARRAY(Sintesi!$C$15),1,$C32))*(INDEX(_xlfn.ANCHORARRAY(Sintesi!$C$15),1,$C32)&gt;0),1,IF(($E32&gt;=$E31)*($E32&lt;=INDEX($E:$E,MATCH(TRUE,INDEX((ISNUMBER($E:$E)),0),0)))*($E32&gt;INDEX(_xlfn.ANCHORARRAY(Sintesi!$C$14),1,$C32))*($E32&lt;INDEX(_xlfn.ANCHORARRAY(Sintesi!$C$16),1,$C32))*(INDEX(_xlfn.ANCHORARRAY(Sintesi!$C$15),1,$C32)&lt;0)+($E32&gt;=$E31)*($E32&lt;=INDEX($E:$E,MATCH(TRUE,INDEX((ISNUMBER($E:$E)),0),0)))*($E32&gt;INDEX(_xlfn.ANCHORARRAY(Sintesi!$C$15),1,$C32))*($E32&lt;INDEX(_xlfn.ANCHORARRAY(Sintesi!$C$16),1,$C32))*(INDEX(_xlfn.ANCHORARRAY(Sintesi!$C$15),1,$C32)&gt;0),2,IF($E32=(INDEX(_xlfn.ANCHORARRAY(Sintesi!$C$16),1,$C32)),3,4)))),0),IF($C32&gt;0,IF(($E32=INDEX(_xlfn.ANCHORARRAY(Sintesi!$C$14),1,$C32))*(INDEX(_xlfn.ANCHORARRAY(Sintesi!$C$15),1,$C32)&gt;0),0,IF(($E32=INDEX(_xlfn.ANCHORARRAY(Sintesi!$C$14),1,$C32))*(INDEX(_xlfn.ANCHORARRAY(Sintesi!$C$15),1,$C32)&lt;0)+($E32&gt;=LOOKUP(2,1/($E:$E&lt;&gt;""),$E:$E))*($E32&lt;=INDEX($E:$E,MATCH(TRUE,INDEX((ISNUMBER($E:$E)),0),0)))*($E32&gt;INDEX(_xlfn.ANCHORARRAY(Sintesi!$C$14),1,$C32))*($E32&lt;=INDEX(_xlfn.ANCHORARRAY(Sintesi!$C$15),1,$C32))*(INDEX(_xlfn.ANCHORARRAY(Sintesi!$C$15),1,$C32)&gt;0),1,IF(($E32&gt;=LOOKUP(2,1/($E:$E&lt;&gt;""),$E:$E))*($E32&lt;=INDEX($E:$E,MATCH(TRUE,INDEX((ISNUMBER($E:$E)),0),0)))*($E32&gt;INDEX(_xlfn.ANCHORARRAY(Sintesi!$C$14),1,$C32))*($E32&lt;INDEX(_xlfn.ANCHORARRAY(Sintesi!$C$16),1,$C32))*(INDEX(_xlfn.ANCHORARRAY(Sintesi!$C$15),1,$C32)&lt;0)+($E32&gt;=LOOKUP(2,1/($E:$E&lt;&gt;""),$E:$E))*($E32&lt;=INDEX($E:$E,MATCH(TRUE,INDEX((ISNUMBER($E:$E)),0),0)))*($E32&gt;INDEX(_xlfn.ANCHORARRAY(Sintesi!$C$15),1,$C32))*($E32&lt;INDEX(_xlfn.ANCHORARRAY(Sintesi!$C$16),1,$C32))*(INDEX(_xlfn.ANCHORARRAY(Sintesi!$C$15),1,$C32)&gt;0),2,IF($E32=(INDEX(_xlfn.ANCHORARRAY(Sintesi!$C$16),1,$C32)),3,4)))),0)),IF(ISNUMBER($E31),IF($C32&gt;0,IF(($E32=INDEX(_xlfn.ANCHORARRAY(Sintesi!$C$14),1,$C32))*(INDEX(_xlfn.ANCHORARRAY(Sintesi!$C$15),1,$C32)&gt;0),0,IF(($E32=INDEX(_xlfn.ANCHORARRAY(Sintesi!$C$14),1,$C32))*(INDEX(_xlfn.ANCHORARRAY(Sintesi!$C$15),1,$C32)&lt;0)+($E32&gt;=$E31)*($E32&lt;=$E33)*($E32&gt;INDEX(_xlfn.ANCHORARRAY(Sintesi!$C$14),1,$C32))*($E32&lt;=INDEX(_xlfn.ANCHORARRAY(Sintesi!$C$15),1,$C32))*(INDEX(_xlfn.ANCHORARRAY(Sintesi!$C$15),1,$C32)&gt;0),1,IF(($E32&gt;=$E31)*($E32&lt;=$E33)*($E32&gt;INDEX(_xlfn.ANCHORARRAY(Sintesi!$C$14),1,$C32))*($E32&lt;INDEX(_xlfn.ANCHORARRAY(Sintesi!$C$16),1,$C32))*(INDEX(_xlfn.ANCHORARRAY(Sintesi!$C$15),1,$C32)&lt;0)+($E32&gt;=$E31)*($E32&lt;=$E33)*($E32&gt;INDEX(_xlfn.ANCHORARRAY(Sintesi!$C$15),1,$C32))*($E32&lt;INDEX(_xlfn.ANCHORARRAY(Sintesi!$C$16),1,$C32))*(INDEX(_xlfn.ANCHORARRAY(Sintesi!$C$15),1,$C32)&gt;0),2,IF($E32=(INDEX(_xlfn.ANCHORARRAY(Sintesi!$C$16),1,$C32)),3,4)))),0),IF($C32&gt;0,IF(($E32=INDEX(_xlfn.ANCHORARRAY(Sintesi!$C$14),1,$C32))*(INDEX(_xlfn.ANCHORARRAY(Sintesi!$C$15),1,$C32)&gt;0),0,IF(($E32=INDEX(_xlfn.ANCHORARRAY(Sintesi!$C$14),1,$C32))*(INDEX(_xlfn.ANCHORARRAY(Sintesi!$C$15),1,$C32)&lt;0)+($E32&gt;=LOOKUP(2,1/($E:$E&lt;&gt;""),$E:$E))*($E32&lt;=$E33)*($E32&gt;INDEX(_xlfn.ANCHORARRAY(Sintesi!$C$14),1,$C32))*($E32&lt;=INDEX(_xlfn.ANCHORARRAY(Sintesi!$C$15),1,$C32))*(INDEX(_xlfn.ANCHORARRAY(Sintesi!$C$15),1,$C32)&gt;0),1,IF(($E32&gt;=LOOKUP(2,1/($E:$E&lt;&gt;""),$E:$E))*($E32&lt;=$E33)*($E32&gt;INDEX(_xlfn.ANCHORARRAY(Sintesi!$C$14),1,$C32))*($E32&lt;INDEX(_xlfn.ANCHORARRAY(Sintesi!$C$16),1,$C32))*(INDEX(_xlfn.ANCHORARRAY(Sintesi!$C$15),1,$C32)&lt;0)+($E32&gt;=LOOKUP(2,1/($E:$E&lt;&gt;""),$E:$E))*($E32&lt;=$E33)*($E32&gt;INDEX(_xlfn.ANCHORARRAY(Sintesi!$C$15),1,$C32))*($E32&lt;INDEX(_xlfn.ANCHORARRAY(Sintesi!$C$16),1,$C32))*(INDEX(_xlfn.ANCHORARRAY(Sintesi!$C$15),1,$C32)&gt;0),2,IF($E32=(INDEX(_xlfn.ANCHORARRAY(Sintesi!$C$16),1,$C32)),3,4)))),0)))</f>
        <v>0</v>
      </c>
      <c r="E32" s="1">
        <f>'Paste cell here'!F32</f>
        <v>0</v>
      </c>
      <c r="F32" s="1">
        <f>'Paste cell here'!C32</f>
        <v>12.759999999999815</v>
      </c>
      <c r="G32" s="1">
        <f>'Paste cell here'!D32</f>
        <v>4.0999999999999543</v>
      </c>
      <c r="H32" s="1">
        <f>'Paste cell here'!E32</f>
        <v>0.69056345505615668</v>
      </c>
      <c r="I32" s="1">
        <f>'Paste cell here'!X32</f>
        <v>0</v>
      </c>
      <c r="J32" s="1">
        <f>'Paste cell here'!Y32+'Paste cell here'!S32</f>
        <v>0</v>
      </c>
      <c r="K32" s="1">
        <f t="shared" si="0"/>
        <v>0</v>
      </c>
      <c r="L32" s="1">
        <f t="shared" si="1"/>
        <v>9.6200569108247045</v>
      </c>
      <c r="M32" s="1">
        <f t="array" ref="M32">IF(AND(A32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32&gt;=_xlfn.ANCHORARRAY(Sintesi!$C$9))+(_xlfn.ANCHORARRAY(Sintesi!$C$9)&gt;_xlfn.ANCHORARRAY(Sintesi!$C$10))*(A32&lt;=_xlfn.ANCHORARRAY(Sintesi!$C$10))+(_xlfn.ANCHORARRAY(Sintesi!$C$9)&lt;_xlfn.ANCHORARRAY(Sintesi!$C$10))*(A32&gt;=_xlfn.ANCHORARRAY(Sintesi!$C$9))*(A32&lt;=_xlfn.ANCHORARRAY(Sintesi!$C$10)),0)),0),A32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33&gt;=_xlfn.ANCHORARRAY(Sintesi!$C$9))+(_xlfn.ANCHORARRAY(Sintesi!$C$9)&gt;_xlfn.ANCHORARRAY(Sintesi!$C$10))*(A33&lt;=_xlfn.ANCHORARRAY(Sintesi!$C$10))+(_xlfn.ANCHORARRAY(Sintesi!$C$9)&lt;_xlfn.ANCHORARRAY(Sintesi!$C$10))*(A33&gt;=_xlfn.ANCHORARRAY(Sintesi!$C$9))*(A33&lt;=_xlfn.ANCHORARRAY(Sintesi!$C$10)),0)),0)),IF(L32&lt;_xlfn.IFNA(INDEX(_xlfn.ANCHORARRAY(Sintesi!$C$17),1,MATCH(1,(_xlfn.ANCHORARRAY(Sintesi!$C$9)&gt;_xlfn.ANCHORARRAY(Sintesi!$C$10))*(A31&gt;=_xlfn.ANCHORARRAY(Sintesi!$C$9))+(_xlfn.ANCHORARRAY(Sintesi!$C$9)&gt;_xlfn.ANCHORARRAY(Sintesi!$C$10))*(A31&lt;=_xlfn.ANCHORARRAY(Sintesi!$C$10))+(_xlfn.ANCHORARRAY(Sintesi!$C$9)&lt;_xlfn.ANCHORARRAY(Sintesi!$C$10))*(A31&gt;=_xlfn.ANCHORARRAY(Sintesi!$C$9))*(A31&lt;=_xlfn.ANCHORARRAY(Sintesi!$C$10)),0)),0),1,IF(L32&gt;=_xlfn.IFNA(INDEX(_xlfn.ANCHORARRAY(Sintesi!$C$18),1,MATCH(1,(_xlfn.ANCHORARRAY(Sintesi!$C$9)&gt;_xlfn.ANCHORARRAY(Sintesi!$C$10))*(A31&gt;=_xlfn.ANCHORARRAY(Sintesi!$C$9))+(_xlfn.ANCHORARRAY(Sintesi!$C$9)&gt;_xlfn.ANCHORARRAY(Sintesi!$C$10))*(A31&lt;=_xlfn.ANCHORARRAY(Sintesi!$C$10))+(_xlfn.ANCHORARRAY(Sintesi!$C$9)&lt;_xlfn.ANCHORARRAY(Sintesi!$C$10))*(A31&gt;=_xlfn.ANCHORARRAY(Sintesi!$C$9))*(A31&lt;=_xlfn.ANCHORARRAY(Sintesi!$C$10)),0)),0),0,1-(L32-_xlfn.IFNA(INDEX(_xlfn.ANCHORARRAY(Sintesi!$C$17),1,MATCH(1,(_xlfn.ANCHORARRAY(Sintesi!$C$9)&gt;_xlfn.ANCHORARRAY(Sintesi!$C$10))*(A31&gt;=_xlfn.ANCHORARRAY(Sintesi!$C$9))+(_xlfn.ANCHORARRAY(Sintesi!$C$9)&gt;_xlfn.ANCHORARRAY(Sintesi!$C$10))*(A31&lt;=_xlfn.ANCHORARRAY(Sintesi!$C$10))+(_xlfn.ANCHORARRAY(Sintesi!$C$9)&lt;_xlfn.ANCHORARRAY(Sintesi!$C$10))*(A31&gt;=_xlfn.ANCHORARRAY(Sintesi!$C$9))*(A31&lt;=_xlfn.ANCHORARRAY(Sintesi!$C$10)),0)),0))/(_xlfn.IFNA(INDEX(_xlfn.ANCHORARRAY(Sintesi!$C$18),1,MATCH(1,(_xlfn.ANCHORARRAY(Sintesi!$C$9)&gt;_xlfn.ANCHORARRAY(Sintesi!$C$10))*(A31&gt;=_xlfn.ANCHORARRAY(Sintesi!$C$9))+(_xlfn.ANCHORARRAY(Sintesi!$C$9)&gt;_xlfn.ANCHORARRAY(Sintesi!$C$10))*(A31&lt;=_xlfn.ANCHORARRAY(Sintesi!$C$10))+(_xlfn.ANCHORARRAY(Sintesi!$C$9)&lt;_xlfn.ANCHORARRAY(Sintesi!$C$10))*(A31&gt;=_xlfn.ANCHORARRAY(Sintesi!$C$9))*(A31&lt;=_xlfn.ANCHORARRAY(Sintesi!$C$10)),0)),0)-_xlfn.IFNA(INDEX(_xlfn.ANCHORARRAY(Sintesi!$C$17),1,MATCH(1,(_xlfn.ANCHORARRAY(Sintesi!$C$9)&gt;_xlfn.ANCHORARRAY(Sintesi!$C$10))*(A31&gt;=_xlfn.ANCHORARRAY(Sintesi!$C$9))+(_xlfn.ANCHORARRAY(Sintesi!$C$9)&gt;_xlfn.ANCHORARRAY(Sintesi!$C$10))*(A31&lt;=_xlfn.ANCHORARRAY(Sintesi!$C$10))+(_xlfn.ANCHORARRAY(Sintesi!$C$9)&lt;_xlfn.ANCHORARRAY(Sintesi!$C$10))*(A31&gt;=_xlfn.ANCHORARRAY(Sintesi!$C$9))*(A31&lt;=_xlfn.ANCHORARRAY(Sintesi!$C$10)),0)),0)))),0)</f>
        <v>0</v>
      </c>
    </row>
    <row r="33" spans="1:13">
      <c r="A33" s="1">
        <f>'Paste cell here'!A33</f>
        <v>32</v>
      </c>
      <c r="B33" s="2">
        <f>DATE(Sintesi!$C$4-1,12,31)+A33</f>
        <v>44228</v>
      </c>
      <c r="C33" s="34">
        <f t="array" ref="C33">_xlfn.IFNA(MATCH(1,((_xlfn.ANCHORARRAY(Sintesi!$C$9)&gt;_xlfn.ANCHORARRAY(Sintesi!$C$10))*(A33&gt;=_xlfn.ANCHORARRAY(Sintesi!$C$9))+(_xlfn.ANCHORARRAY(Sintesi!$C$9)&gt;_xlfn.ANCHORARRAY(Sintesi!$C$10))*(A33&lt;=_xlfn.ANCHORARRAY(Sintesi!$C$10))+(_xlfn.ANCHORARRAY(Sintesi!$C$9)&lt;_xlfn.ANCHORARRAY(Sintesi!$C$10))*(A33&gt;=_xlfn.ANCHORARRAY(Sintesi!$C$9))*(A33&lt;=_xlfn.ANCHORARRAY(Sintesi!$C$10)))*(_xlfn.ANCHORARRAY(Sintesi!$C$15)&gt;=0)+(_xlfn.ANCHORARRAY(Sintesi!$C$15)&lt;0),0),0)</f>
        <v>0</v>
      </c>
      <c r="D33" s="1">
        <f t="array" ref="D33">IF(ISBLANK($E34),IF(ISNUMBER($E32),IF($C33&gt;0,IF(($E33=INDEX(_xlfn.ANCHORARRAY(Sintesi!$C$14),1,$C33))*(INDEX(_xlfn.ANCHORARRAY(Sintesi!$C$15),1,$C33)&gt;0),0,IF(($E33=INDEX(_xlfn.ANCHORARRAY(Sintesi!$C$14),1,$C33))*(INDEX(_xlfn.ANCHORARRAY(Sintesi!$C$15),1,$C33)&lt;0)+($E33&gt;=$E32)*($E33&lt;=INDEX($E:$E,MATCH(TRUE,INDEX((ISNUMBER($E:$E)),0),0)))*($E33&gt;INDEX(_xlfn.ANCHORARRAY(Sintesi!$C$14),1,$C33))*($E33&lt;=INDEX(_xlfn.ANCHORARRAY(Sintesi!$C$15),1,$C33))*(INDEX(_xlfn.ANCHORARRAY(Sintesi!$C$15),1,$C33)&gt;0),1,IF(($E33&gt;=$E32)*($E33&lt;=INDEX($E:$E,MATCH(TRUE,INDEX((ISNUMBER($E:$E)),0),0)))*($E33&gt;INDEX(_xlfn.ANCHORARRAY(Sintesi!$C$14),1,$C33))*($E33&lt;INDEX(_xlfn.ANCHORARRAY(Sintesi!$C$16),1,$C33))*(INDEX(_xlfn.ANCHORARRAY(Sintesi!$C$15),1,$C33)&lt;0)+($E33&gt;=$E32)*($E33&lt;=INDEX($E:$E,MATCH(TRUE,INDEX((ISNUMBER($E:$E)),0),0)))*($E33&gt;INDEX(_xlfn.ANCHORARRAY(Sintesi!$C$15),1,$C33))*($E33&lt;INDEX(_xlfn.ANCHORARRAY(Sintesi!$C$16),1,$C33))*(INDEX(_xlfn.ANCHORARRAY(Sintesi!$C$15),1,$C33)&gt;0),2,IF($E33=(INDEX(_xlfn.ANCHORARRAY(Sintesi!$C$16),1,$C33)),3,4)))),0),IF($C33&gt;0,IF(($E33=INDEX(_xlfn.ANCHORARRAY(Sintesi!$C$14),1,$C33))*(INDEX(_xlfn.ANCHORARRAY(Sintesi!$C$15),1,$C33)&gt;0),0,IF(($E33=INDEX(_xlfn.ANCHORARRAY(Sintesi!$C$14),1,$C33))*(INDEX(_xlfn.ANCHORARRAY(Sintesi!$C$15),1,$C33)&lt;0)+($E33&gt;=LOOKUP(2,1/($E:$E&lt;&gt;""),$E:$E))*($E33&lt;=INDEX($E:$E,MATCH(TRUE,INDEX((ISNUMBER($E:$E)),0),0)))*($E33&gt;INDEX(_xlfn.ANCHORARRAY(Sintesi!$C$14),1,$C33))*($E33&lt;=INDEX(_xlfn.ANCHORARRAY(Sintesi!$C$15),1,$C33))*(INDEX(_xlfn.ANCHORARRAY(Sintesi!$C$15),1,$C33)&gt;0),1,IF(($E33&gt;=LOOKUP(2,1/($E:$E&lt;&gt;""),$E:$E))*($E33&lt;=INDEX($E:$E,MATCH(TRUE,INDEX((ISNUMBER($E:$E)),0),0)))*($E33&gt;INDEX(_xlfn.ANCHORARRAY(Sintesi!$C$14),1,$C33))*($E33&lt;INDEX(_xlfn.ANCHORARRAY(Sintesi!$C$16),1,$C33))*(INDEX(_xlfn.ANCHORARRAY(Sintesi!$C$15),1,$C33)&lt;0)+($E33&gt;=LOOKUP(2,1/($E:$E&lt;&gt;""),$E:$E))*($E33&lt;=INDEX($E:$E,MATCH(TRUE,INDEX((ISNUMBER($E:$E)),0),0)))*($E33&gt;INDEX(_xlfn.ANCHORARRAY(Sintesi!$C$15),1,$C33))*($E33&lt;INDEX(_xlfn.ANCHORARRAY(Sintesi!$C$16),1,$C33))*(INDEX(_xlfn.ANCHORARRAY(Sintesi!$C$15),1,$C33)&gt;0),2,IF($E33=(INDEX(_xlfn.ANCHORARRAY(Sintesi!$C$16),1,$C33)),3,4)))),0)),IF(ISNUMBER($E32),IF($C33&gt;0,IF(($E33=INDEX(_xlfn.ANCHORARRAY(Sintesi!$C$14),1,$C33))*(INDEX(_xlfn.ANCHORARRAY(Sintesi!$C$15),1,$C33)&gt;0),0,IF(($E33=INDEX(_xlfn.ANCHORARRAY(Sintesi!$C$14),1,$C33))*(INDEX(_xlfn.ANCHORARRAY(Sintesi!$C$15),1,$C33)&lt;0)+($E33&gt;=$E32)*($E33&lt;=$E34)*($E33&gt;INDEX(_xlfn.ANCHORARRAY(Sintesi!$C$14),1,$C33))*($E33&lt;=INDEX(_xlfn.ANCHORARRAY(Sintesi!$C$15),1,$C33))*(INDEX(_xlfn.ANCHORARRAY(Sintesi!$C$15),1,$C33)&gt;0),1,IF(($E33&gt;=$E32)*($E33&lt;=$E34)*($E33&gt;INDEX(_xlfn.ANCHORARRAY(Sintesi!$C$14),1,$C33))*($E33&lt;INDEX(_xlfn.ANCHORARRAY(Sintesi!$C$16),1,$C33))*(INDEX(_xlfn.ANCHORARRAY(Sintesi!$C$15),1,$C33)&lt;0)+($E33&gt;=$E32)*($E33&lt;=$E34)*($E33&gt;INDEX(_xlfn.ANCHORARRAY(Sintesi!$C$15),1,$C33))*($E33&lt;INDEX(_xlfn.ANCHORARRAY(Sintesi!$C$16),1,$C33))*(INDEX(_xlfn.ANCHORARRAY(Sintesi!$C$15),1,$C33)&gt;0),2,IF($E33=(INDEX(_xlfn.ANCHORARRAY(Sintesi!$C$16),1,$C33)),3,4)))),0),IF($C33&gt;0,IF(($E33=INDEX(_xlfn.ANCHORARRAY(Sintesi!$C$14),1,$C33))*(INDEX(_xlfn.ANCHORARRAY(Sintesi!$C$15),1,$C33)&gt;0),0,IF(($E33=INDEX(_xlfn.ANCHORARRAY(Sintesi!$C$14),1,$C33))*(INDEX(_xlfn.ANCHORARRAY(Sintesi!$C$15),1,$C33)&lt;0)+($E33&gt;=LOOKUP(2,1/($E:$E&lt;&gt;""),$E:$E))*($E33&lt;=$E34)*($E33&gt;INDEX(_xlfn.ANCHORARRAY(Sintesi!$C$14),1,$C33))*($E33&lt;=INDEX(_xlfn.ANCHORARRAY(Sintesi!$C$15),1,$C33))*(INDEX(_xlfn.ANCHORARRAY(Sintesi!$C$15),1,$C33)&gt;0),1,IF(($E33&gt;=LOOKUP(2,1/($E:$E&lt;&gt;""),$E:$E))*($E33&lt;=$E34)*($E33&gt;INDEX(_xlfn.ANCHORARRAY(Sintesi!$C$14),1,$C33))*($E33&lt;INDEX(_xlfn.ANCHORARRAY(Sintesi!$C$16),1,$C33))*(INDEX(_xlfn.ANCHORARRAY(Sintesi!$C$15),1,$C33)&lt;0)+($E33&gt;=LOOKUP(2,1/($E:$E&lt;&gt;""),$E:$E))*($E33&lt;=$E34)*($E33&gt;INDEX(_xlfn.ANCHORARRAY(Sintesi!$C$15),1,$C33))*($E33&lt;INDEX(_xlfn.ANCHORARRAY(Sintesi!$C$16),1,$C33))*(INDEX(_xlfn.ANCHORARRAY(Sintesi!$C$15),1,$C33)&gt;0),2,IF($E33=(INDEX(_xlfn.ANCHORARRAY(Sintesi!$C$16),1,$C33)),3,4)))),0)))</f>
        <v>0</v>
      </c>
      <c r="E33" s="1">
        <f>'Paste cell here'!F33</f>
        <v>0</v>
      </c>
      <c r="F33" s="1">
        <f>'Paste cell here'!C33</f>
        <v>8.9999999999998721</v>
      </c>
      <c r="G33" s="1">
        <f>'Paste cell here'!D33</f>
        <v>2.6799999999999713</v>
      </c>
      <c r="H33" s="1">
        <f>'Paste cell here'!E33</f>
        <v>0.59861563384682637</v>
      </c>
      <c r="I33" s="1">
        <f>'Paste cell here'!X33</f>
        <v>0</v>
      </c>
      <c r="J33" s="1">
        <f>'Paste cell here'!Y33+'Paste cell here'!S33</f>
        <v>0</v>
      </c>
      <c r="K33" s="1">
        <f t="shared" si="0"/>
        <v>0</v>
      </c>
      <c r="L33" s="1">
        <f t="shared" si="1"/>
        <v>6.7084941889621463</v>
      </c>
      <c r="M33" s="1">
        <f t="array" ref="M33">IF(AND(A33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33&gt;=_xlfn.ANCHORARRAY(Sintesi!$C$9))+(_xlfn.ANCHORARRAY(Sintesi!$C$9)&gt;_xlfn.ANCHORARRAY(Sintesi!$C$10))*(A33&lt;=_xlfn.ANCHORARRAY(Sintesi!$C$10))+(_xlfn.ANCHORARRAY(Sintesi!$C$9)&lt;_xlfn.ANCHORARRAY(Sintesi!$C$10))*(A33&gt;=_xlfn.ANCHORARRAY(Sintesi!$C$9))*(A33&lt;=_xlfn.ANCHORARRAY(Sintesi!$C$10)),0)),0),A33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34&gt;=_xlfn.ANCHORARRAY(Sintesi!$C$9))+(_xlfn.ANCHORARRAY(Sintesi!$C$9)&gt;_xlfn.ANCHORARRAY(Sintesi!$C$10))*(A34&lt;=_xlfn.ANCHORARRAY(Sintesi!$C$10))+(_xlfn.ANCHORARRAY(Sintesi!$C$9)&lt;_xlfn.ANCHORARRAY(Sintesi!$C$10))*(A34&gt;=_xlfn.ANCHORARRAY(Sintesi!$C$9))*(A34&lt;=_xlfn.ANCHORARRAY(Sintesi!$C$10)),0)),0)),IF(L33&lt;_xlfn.IFNA(INDEX(_xlfn.ANCHORARRAY(Sintesi!$C$17),1,MATCH(1,(_xlfn.ANCHORARRAY(Sintesi!$C$9)&gt;_xlfn.ANCHORARRAY(Sintesi!$C$10))*(A32&gt;=_xlfn.ANCHORARRAY(Sintesi!$C$9))+(_xlfn.ANCHORARRAY(Sintesi!$C$9)&gt;_xlfn.ANCHORARRAY(Sintesi!$C$10))*(A32&lt;=_xlfn.ANCHORARRAY(Sintesi!$C$10))+(_xlfn.ANCHORARRAY(Sintesi!$C$9)&lt;_xlfn.ANCHORARRAY(Sintesi!$C$10))*(A32&gt;=_xlfn.ANCHORARRAY(Sintesi!$C$9))*(A32&lt;=_xlfn.ANCHORARRAY(Sintesi!$C$10)),0)),0),1,IF(L33&gt;=_xlfn.IFNA(INDEX(_xlfn.ANCHORARRAY(Sintesi!$C$18),1,MATCH(1,(_xlfn.ANCHORARRAY(Sintesi!$C$9)&gt;_xlfn.ANCHORARRAY(Sintesi!$C$10))*(A32&gt;=_xlfn.ANCHORARRAY(Sintesi!$C$9))+(_xlfn.ANCHORARRAY(Sintesi!$C$9)&gt;_xlfn.ANCHORARRAY(Sintesi!$C$10))*(A32&lt;=_xlfn.ANCHORARRAY(Sintesi!$C$10))+(_xlfn.ANCHORARRAY(Sintesi!$C$9)&lt;_xlfn.ANCHORARRAY(Sintesi!$C$10))*(A32&gt;=_xlfn.ANCHORARRAY(Sintesi!$C$9))*(A32&lt;=_xlfn.ANCHORARRAY(Sintesi!$C$10)),0)),0),0,1-(L33-_xlfn.IFNA(INDEX(_xlfn.ANCHORARRAY(Sintesi!$C$17),1,MATCH(1,(_xlfn.ANCHORARRAY(Sintesi!$C$9)&gt;_xlfn.ANCHORARRAY(Sintesi!$C$10))*(A32&gt;=_xlfn.ANCHORARRAY(Sintesi!$C$9))+(_xlfn.ANCHORARRAY(Sintesi!$C$9)&gt;_xlfn.ANCHORARRAY(Sintesi!$C$10))*(A32&lt;=_xlfn.ANCHORARRAY(Sintesi!$C$10))+(_xlfn.ANCHORARRAY(Sintesi!$C$9)&lt;_xlfn.ANCHORARRAY(Sintesi!$C$10))*(A32&gt;=_xlfn.ANCHORARRAY(Sintesi!$C$9))*(A32&lt;=_xlfn.ANCHORARRAY(Sintesi!$C$10)),0)),0))/(_xlfn.IFNA(INDEX(_xlfn.ANCHORARRAY(Sintesi!$C$18),1,MATCH(1,(_xlfn.ANCHORARRAY(Sintesi!$C$9)&gt;_xlfn.ANCHORARRAY(Sintesi!$C$10))*(A32&gt;=_xlfn.ANCHORARRAY(Sintesi!$C$9))+(_xlfn.ANCHORARRAY(Sintesi!$C$9)&gt;_xlfn.ANCHORARRAY(Sintesi!$C$10))*(A32&lt;=_xlfn.ANCHORARRAY(Sintesi!$C$10))+(_xlfn.ANCHORARRAY(Sintesi!$C$9)&lt;_xlfn.ANCHORARRAY(Sintesi!$C$10))*(A32&gt;=_xlfn.ANCHORARRAY(Sintesi!$C$9))*(A32&lt;=_xlfn.ANCHORARRAY(Sintesi!$C$10)),0)),0)-_xlfn.IFNA(INDEX(_xlfn.ANCHORARRAY(Sintesi!$C$17),1,MATCH(1,(_xlfn.ANCHORARRAY(Sintesi!$C$9)&gt;_xlfn.ANCHORARRAY(Sintesi!$C$10))*(A32&gt;=_xlfn.ANCHORARRAY(Sintesi!$C$9))+(_xlfn.ANCHORARRAY(Sintesi!$C$9)&gt;_xlfn.ANCHORARRAY(Sintesi!$C$10))*(A32&lt;=_xlfn.ANCHORARRAY(Sintesi!$C$10))+(_xlfn.ANCHORARRAY(Sintesi!$C$9)&lt;_xlfn.ANCHORARRAY(Sintesi!$C$10))*(A32&gt;=_xlfn.ANCHORARRAY(Sintesi!$C$9))*(A32&lt;=_xlfn.ANCHORARRAY(Sintesi!$C$10)),0)),0)))),0)</f>
        <v>0</v>
      </c>
    </row>
    <row r="34" spans="1:13">
      <c r="A34" s="1">
        <f>'Paste cell here'!A34</f>
        <v>33</v>
      </c>
      <c r="B34" s="2">
        <f>DATE(Sintesi!$C$4-1,12,31)+A34</f>
        <v>44229</v>
      </c>
      <c r="C34" s="34">
        <f t="array" ref="C34">_xlfn.IFNA(MATCH(1,((_xlfn.ANCHORARRAY(Sintesi!$C$9)&gt;_xlfn.ANCHORARRAY(Sintesi!$C$10))*(A34&gt;=_xlfn.ANCHORARRAY(Sintesi!$C$9))+(_xlfn.ANCHORARRAY(Sintesi!$C$9)&gt;_xlfn.ANCHORARRAY(Sintesi!$C$10))*(A34&lt;=_xlfn.ANCHORARRAY(Sintesi!$C$10))+(_xlfn.ANCHORARRAY(Sintesi!$C$9)&lt;_xlfn.ANCHORARRAY(Sintesi!$C$10))*(A34&gt;=_xlfn.ANCHORARRAY(Sintesi!$C$9))*(A34&lt;=_xlfn.ANCHORARRAY(Sintesi!$C$10)))*(_xlfn.ANCHORARRAY(Sintesi!$C$15)&gt;=0)+(_xlfn.ANCHORARRAY(Sintesi!$C$15)&lt;0),0),0)</f>
        <v>0</v>
      </c>
      <c r="D34" s="1">
        <f t="array" ref="D34">IF(ISBLANK($E35),IF(ISNUMBER($E33),IF($C34&gt;0,IF(($E34=INDEX(_xlfn.ANCHORARRAY(Sintesi!$C$14),1,$C34))*(INDEX(_xlfn.ANCHORARRAY(Sintesi!$C$15),1,$C34)&gt;0),0,IF(($E34=INDEX(_xlfn.ANCHORARRAY(Sintesi!$C$14),1,$C34))*(INDEX(_xlfn.ANCHORARRAY(Sintesi!$C$15),1,$C34)&lt;0)+($E34&gt;=$E33)*($E34&lt;=INDEX($E:$E,MATCH(TRUE,INDEX((ISNUMBER($E:$E)),0),0)))*($E34&gt;INDEX(_xlfn.ANCHORARRAY(Sintesi!$C$14),1,$C34))*($E34&lt;=INDEX(_xlfn.ANCHORARRAY(Sintesi!$C$15),1,$C34))*(INDEX(_xlfn.ANCHORARRAY(Sintesi!$C$15),1,$C34)&gt;0),1,IF(($E34&gt;=$E33)*($E34&lt;=INDEX($E:$E,MATCH(TRUE,INDEX((ISNUMBER($E:$E)),0),0)))*($E34&gt;INDEX(_xlfn.ANCHORARRAY(Sintesi!$C$14),1,$C34))*($E34&lt;INDEX(_xlfn.ANCHORARRAY(Sintesi!$C$16),1,$C34))*(INDEX(_xlfn.ANCHORARRAY(Sintesi!$C$15),1,$C34)&lt;0)+($E34&gt;=$E33)*($E34&lt;=INDEX($E:$E,MATCH(TRUE,INDEX((ISNUMBER($E:$E)),0),0)))*($E34&gt;INDEX(_xlfn.ANCHORARRAY(Sintesi!$C$15),1,$C34))*($E34&lt;INDEX(_xlfn.ANCHORARRAY(Sintesi!$C$16),1,$C34))*(INDEX(_xlfn.ANCHORARRAY(Sintesi!$C$15),1,$C34)&gt;0),2,IF($E34=(INDEX(_xlfn.ANCHORARRAY(Sintesi!$C$16),1,$C34)),3,4)))),0),IF($C34&gt;0,IF(($E34=INDEX(_xlfn.ANCHORARRAY(Sintesi!$C$14),1,$C34))*(INDEX(_xlfn.ANCHORARRAY(Sintesi!$C$15),1,$C34)&gt;0),0,IF(($E34=INDEX(_xlfn.ANCHORARRAY(Sintesi!$C$14),1,$C34))*(INDEX(_xlfn.ANCHORARRAY(Sintesi!$C$15),1,$C34)&lt;0)+($E34&gt;=LOOKUP(2,1/($E:$E&lt;&gt;""),$E:$E))*($E34&lt;=INDEX($E:$E,MATCH(TRUE,INDEX((ISNUMBER($E:$E)),0),0)))*($E34&gt;INDEX(_xlfn.ANCHORARRAY(Sintesi!$C$14),1,$C34))*($E34&lt;=INDEX(_xlfn.ANCHORARRAY(Sintesi!$C$15),1,$C34))*(INDEX(_xlfn.ANCHORARRAY(Sintesi!$C$15),1,$C34)&gt;0),1,IF(($E34&gt;=LOOKUP(2,1/($E:$E&lt;&gt;""),$E:$E))*($E34&lt;=INDEX($E:$E,MATCH(TRUE,INDEX((ISNUMBER($E:$E)),0),0)))*($E34&gt;INDEX(_xlfn.ANCHORARRAY(Sintesi!$C$14),1,$C34))*($E34&lt;INDEX(_xlfn.ANCHORARRAY(Sintesi!$C$16),1,$C34))*(INDEX(_xlfn.ANCHORARRAY(Sintesi!$C$15),1,$C34)&lt;0)+($E34&gt;=LOOKUP(2,1/($E:$E&lt;&gt;""),$E:$E))*($E34&lt;=INDEX($E:$E,MATCH(TRUE,INDEX((ISNUMBER($E:$E)),0),0)))*($E34&gt;INDEX(_xlfn.ANCHORARRAY(Sintesi!$C$15),1,$C34))*($E34&lt;INDEX(_xlfn.ANCHORARRAY(Sintesi!$C$16),1,$C34))*(INDEX(_xlfn.ANCHORARRAY(Sintesi!$C$15),1,$C34)&gt;0),2,IF($E34=(INDEX(_xlfn.ANCHORARRAY(Sintesi!$C$16),1,$C34)),3,4)))),0)),IF(ISNUMBER($E33),IF($C34&gt;0,IF(($E34=INDEX(_xlfn.ANCHORARRAY(Sintesi!$C$14),1,$C34))*(INDEX(_xlfn.ANCHORARRAY(Sintesi!$C$15),1,$C34)&gt;0),0,IF(($E34=INDEX(_xlfn.ANCHORARRAY(Sintesi!$C$14),1,$C34))*(INDEX(_xlfn.ANCHORARRAY(Sintesi!$C$15),1,$C34)&lt;0)+($E34&gt;=$E33)*($E34&lt;=$E35)*($E34&gt;INDEX(_xlfn.ANCHORARRAY(Sintesi!$C$14),1,$C34))*($E34&lt;=INDEX(_xlfn.ANCHORARRAY(Sintesi!$C$15),1,$C34))*(INDEX(_xlfn.ANCHORARRAY(Sintesi!$C$15),1,$C34)&gt;0),1,IF(($E34&gt;=$E33)*($E34&lt;=$E35)*($E34&gt;INDEX(_xlfn.ANCHORARRAY(Sintesi!$C$14),1,$C34))*($E34&lt;INDEX(_xlfn.ANCHORARRAY(Sintesi!$C$16),1,$C34))*(INDEX(_xlfn.ANCHORARRAY(Sintesi!$C$15),1,$C34)&lt;0)+($E34&gt;=$E33)*($E34&lt;=$E35)*($E34&gt;INDEX(_xlfn.ANCHORARRAY(Sintesi!$C$15),1,$C34))*($E34&lt;INDEX(_xlfn.ANCHORARRAY(Sintesi!$C$16),1,$C34))*(INDEX(_xlfn.ANCHORARRAY(Sintesi!$C$15),1,$C34)&gt;0),2,IF($E34=(INDEX(_xlfn.ANCHORARRAY(Sintesi!$C$16),1,$C34)),3,4)))),0),IF($C34&gt;0,IF(($E34=INDEX(_xlfn.ANCHORARRAY(Sintesi!$C$14),1,$C34))*(INDEX(_xlfn.ANCHORARRAY(Sintesi!$C$15),1,$C34)&gt;0),0,IF(($E34=INDEX(_xlfn.ANCHORARRAY(Sintesi!$C$14),1,$C34))*(INDEX(_xlfn.ANCHORARRAY(Sintesi!$C$15),1,$C34)&lt;0)+($E34&gt;=LOOKUP(2,1/($E:$E&lt;&gt;""),$E:$E))*($E34&lt;=$E35)*($E34&gt;INDEX(_xlfn.ANCHORARRAY(Sintesi!$C$14),1,$C34))*($E34&lt;=INDEX(_xlfn.ANCHORARRAY(Sintesi!$C$15),1,$C34))*(INDEX(_xlfn.ANCHORARRAY(Sintesi!$C$15),1,$C34)&gt;0),1,IF(($E34&gt;=LOOKUP(2,1/($E:$E&lt;&gt;""),$E:$E))*($E34&lt;=$E35)*($E34&gt;INDEX(_xlfn.ANCHORARRAY(Sintesi!$C$14),1,$C34))*($E34&lt;INDEX(_xlfn.ANCHORARRAY(Sintesi!$C$16),1,$C34))*(INDEX(_xlfn.ANCHORARRAY(Sintesi!$C$15),1,$C34)&lt;0)+($E34&gt;=LOOKUP(2,1/($E:$E&lt;&gt;""),$E:$E))*($E34&lt;=$E35)*($E34&gt;INDEX(_xlfn.ANCHORARRAY(Sintesi!$C$15),1,$C34))*($E34&lt;INDEX(_xlfn.ANCHORARRAY(Sintesi!$C$16),1,$C34))*(INDEX(_xlfn.ANCHORARRAY(Sintesi!$C$15),1,$C34)&gt;0),2,IF($E34=(INDEX(_xlfn.ANCHORARRAY(Sintesi!$C$16),1,$C34)),3,4)))),0)))</f>
        <v>0</v>
      </c>
      <c r="E34" s="1">
        <f>'Paste cell here'!F34</f>
        <v>0</v>
      </c>
      <c r="F34" s="1">
        <f>'Paste cell here'!C34</f>
        <v>8.0799999999999059</v>
      </c>
      <c r="G34" s="1">
        <f>'Paste cell here'!D34</f>
        <v>0.6200000000000031</v>
      </c>
      <c r="H34" s="1">
        <f>'Paste cell here'!E34</f>
        <v>0.44314425730918777</v>
      </c>
      <c r="I34" s="1">
        <f>'Paste cell here'!X34</f>
        <v>0</v>
      </c>
      <c r="J34" s="1">
        <f>'Paste cell here'!Y34+'Paste cell here'!S34</f>
        <v>0</v>
      </c>
      <c r="K34" s="1">
        <f t="shared" si="0"/>
        <v>0</v>
      </c>
      <c r="L34" s="1">
        <f t="shared" si="1"/>
        <v>5.3751529508952416</v>
      </c>
      <c r="M34" s="1">
        <f t="array" ref="M34">IF(AND(A34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34&gt;=_xlfn.ANCHORARRAY(Sintesi!$C$9))+(_xlfn.ANCHORARRAY(Sintesi!$C$9)&gt;_xlfn.ANCHORARRAY(Sintesi!$C$10))*(A34&lt;=_xlfn.ANCHORARRAY(Sintesi!$C$10))+(_xlfn.ANCHORARRAY(Sintesi!$C$9)&lt;_xlfn.ANCHORARRAY(Sintesi!$C$10))*(A34&gt;=_xlfn.ANCHORARRAY(Sintesi!$C$9))*(A34&lt;=_xlfn.ANCHORARRAY(Sintesi!$C$10)),0)),0),A34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35&gt;=_xlfn.ANCHORARRAY(Sintesi!$C$9))+(_xlfn.ANCHORARRAY(Sintesi!$C$9)&gt;_xlfn.ANCHORARRAY(Sintesi!$C$10))*(A35&lt;=_xlfn.ANCHORARRAY(Sintesi!$C$10))+(_xlfn.ANCHORARRAY(Sintesi!$C$9)&lt;_xlfn.ANCHORARRAY(Sintesi!$C$10))*(A35&gt;=_xlfn.ANCHORARRAY(Sintesi!$C$9))*(A35&lt;=_xlfn.ANCHORARRAY(Sintesi!$C$10)),0)),0)),IF(L34&lt;_xlfn.IFNA(INDEX(_xlfn.ANCHORARRAY(Sintesi!$C$17),1,MATCH(1,(_xlfn.ANCHORARRAY(Sintesi!$C$9)&gt;_xlfn.ANCHORARRAY(Sintesi!$C$10))*(A33&gt;=_xlfn.ANCHORARRAY(Sintesi!$C$9))+(_xlfn.ANCHORARRAY(Sintesi!$C$9)&gt;_xlfn.ANCHORARRAY(Sintesi!$C$10))*(A33&lt;=_xlfn.ANCHORARRAY(Sintesi!$C$10))+(_xlfn.ANCHORARRAY(Sintesi!$C$9)&lt;_xlfn.ANCHORARRAY(Sintesi!$C$10))*(A33&gt;=_xlfn.ANCHORARRAY(Sintesi!$C$9))*(A33&lt;=_xlfn.ANCHORARRAY(Sintesi!$C$10)),0)),0),1,IF(L34&gt;=_xlfn.IFNA(INDEX(_xlfn.ANCHORARRAY(Sintesi!$C$18),1,MATCH(1,(_xlfn.ANCHORARRAY(Sintesi!$C$9)&gt;_xlfn.ANCHORARRAY(Sintesi!$C$10))*(A33&gt;=_xlfn.ANCHORARRAY(Sintesi!$C$9))+(_xlfn.ANCHORARRAY(Sintesi!$C$9)&gt;_xlfn.ANCHORARRAY(Sintesi!$C$10))*(A33&lt;=_xlfn.ANCHORARRAY(Sintesi!$C$10))+(_xlfn.ANCHORARRAY(Sintesi!$C$9)&lt;_xlfn.ANCHORARRAY(Sintesi!$C$10))*(A33&gt;=_xlfn.ANCHORARRAY(Sintesi!$C$9))*(A33&lt;=_xlfn.ANCHORARRAY(Sintesi!$C$10)),0)),0),0,1-(L34-_xlfn.IFNA(INDEX(_xlfn.ANCHORARRAY(Sintesi!$C$17),1,MATCH(1,(_xlfn.ANCHORARRAY(Sintesi!$C$9)&gt;_xlfn.ANCHORARRAY(Sintesi!$C$10))*(A33&gt;=_xlfn.ANCHORARRAY(Sintesi!$C$9))+(_xlfn.ANCHORARRAY(Sintesi!$C$9)&gt;_xlfn.ANCHORARRAY(Sintesi!$C$10))*(A33&lt;=_xlfn.ANCHORARRAY(Sintesi!$C$10))+(_xlfn.ANCHORARRAY(Sintesi!$C$9)&lt;_xlfn.ANCHORARRAY(Sintesi!$C$10))*(A33&gt;=_xlfn.ANCHORARRAY(Sintesi!$C$9))*(A33&lt;=_xlfn.ANCHORARRAY(Sintesi!$C$10)),0)),0))/(_xlfn.IFNA(INDEX(_xlfn.ANCHORARRAY(Sintesi!$C$18),1,MATCH(1,(_xlfn.ANCHORARRAY(Sintesi!$C$9)&gt;_xlfn.ANCHORARRAY(Sintesi!$C$10))*(A33&gt;=_xlfn.ANCHORARRAY(Sintesi!$C$9))+(_xlfn.ANCHORARRAY(Sintesi!$C$9)&gt;_xlfn.ANCHORARRAY(Sintesi!$C$10))*(A33&lt;=_xlfn.ANCHORARRAY(Sintesi!$C$10))+(_xlfn.ANCHORARRAY(Sintesi!$C$9)&lt;_xlfn.ANCHORARRAY(Sintesi!$C$10))*(A33&gt;=_xlfn.ANCHORARRAY(Sintesi!$C$9))*(A33&lt;=_xlfn.ANCHORARRAY(Sintesi!$C$10)),0)),0)-_xlfn.IFNA(INDEX(_xlfn.ANCHORARRAY(Sintesi!$C$17),1,MATCH(1,(_xlfn.ANCHORARRAY(Sintesi!$C$9)&gt;_xlfn.ANCHORARRAY(Sintesi!$C$10))*(A33&gt;=_xlfn.ANCHORARRAY(Sintesi!$C$9))+(_xlfn.ANCHORARRAY(Sintesi!$C$9)&gt;_xlfn.ANCHORARRAY(Sintesi!$C$10))*(A33&lt;=_xlfn.ANCHORARRAY(Sintesi!$C$10))+(_xlfn.ANCHORARRAY(Sintesi!$C$9)&lt;_xlfn.ANCHORARRAY(Sintesi!$C$10))*(A33&gt;=_xlfn.ANCHORARRAY(Sintesi!$C$9))*(A33&lt;=_xlfn.ANCHORARRAY(Sintesi!$C$10)),0)),0)))),0)</f>
        <v>0</v>
      </c>
    </row>
    <row r="35" spans="1:13">
      <c r="A35" s="1">
        <f>'Paste cell here'!A35</f>
        <v>34</v>
      </c>
      <c r="B35" s="2">
        <f>DATE(Sintesi!$C$4-1,12,31)+A35</f>
        <v>44230</v>
      </c>
      <c r="C35" s="34">
        <f t="array" ref="C35">_xlfn.IFNA(MATCH(1,((_xlfn.ANCHORARRAY(Sintesi!$C$9)&gt;_xlfn.ANCHORARRAY(Sintesi!$C$10))*(A35&gt;=_xlfn.ANCHORARRAY(Sintesi!$C$9))+(_xlfn.ANCHORARRAY(Sintesi!$C$9)&gt;_xlfn.ANCHORARRAY(Sintesi!$C$10))*(A35&lt;=_xlfn.ANCHORARRAY(Sintesi!$C$10))+(_xlfn.ANCHORARRAY(Sintesi!$C$9)&lt;_xlfn.ANCHORARRAY(Sintesi!$C$10))*(A35&gt;=_xlfn.ANCHORARRAY(Sintesi!$C$9))*(A35&lt;=_xlfn.ANCHORARRAY(Sintesi!$C$10)))*(_xlfn.ANCHORARRAY(Sintesi!$C$15)&gt;=0)+(_xlfn.ANCHORARRAY(Sintesi!$C$15)&lt;0),0),0)</f>
        <v>0</v>
      </c>
      <c r="D35" s="1">
        <f t="array" ref="D35">IF(ISBLANK($E36),IF(ISNUMBER($E34),IF($C35&gt;0,IF(($E35=INDEX(_xlfn.ANCHORARRAY(Sintesi!$C$14),1,$C35))*(INDEX(_xlfn.ANCHORARRAY(Sintesi!$C$15),1,$C35)&gt;0),0,IF(($E35=INDEX(_xlfn.ANCHORARRAY(Sintesi!$C$14),1,$C35))*(INDEX(_xlfn.ANCHORARRAY(Sintesi!$C$15),1,$C35)&lt;0)+($E35&gt;=$E34)*($E35&lt;=INDEX($E:$E,MATCH(TRUE,INDEX((ISNUMBER($E:$E)),0),0)))*($E35&gt;INDEX(_xlfn.ANCHORARRAY(Sintesi!$C$14),1,$C35))*($E35&lt;=INDEX(_xlfn.ANCHORARRAY(Sintesi!$C$15),1,$C35))*(INDEX(_xlfn.ANCHORARRAY(Sintesi!$C$15),1,$C35)&gt;0),1,IF(($E35&gt;=$E34)*($E35&lt;=INDEX($E:$E,MATCH(TRUE,INDEX((ISNUMBER($E:$E)),0),0)))*($E35&gt;INDEX(_xlfn.ANCHORARRAY(Sintesi!$C$14),1,$C35))*($E35&lt;INDEX(_xlfn.ANCHORARRAY(Sintesi!$C$16),1,$C35))*(INDEX(_xlfn.ANCHORARRAY(Sintesi!$C$15),1,$C35)&lt;0)+($E35&gt;=$E34)*($E35&lt;=INDEX($E:$E,MATCH(TRUE,INDEX((ISNUMBER($E:$E)),0),0)))*($E35&gt;INDEX(_xlfn.ANCHORARRAY(Sintesi!$C$15),1,$C35))*($E35&lt;INDEX(_xlfn.ANCHORARRAY(Sintesi!$C$16),1,$C35))*(INDEX(_xlfn.ANCHORARRAY(Sintesi!$C$15),1,$C35)&gt;0),2,IF($E35=(INDEX(_xlfn.ANCHORARRAY(Sintesi!$C$16),1,$C35)),3,4)))),0),IF($C35&gt;0,IF(($E35=INDEX(_xlfn.ANCHORARRAY(Sintesi!$C$14),1,$C35))*(INDEX(_xlfn.ANCHORARRAY(Sintesi!$C$15),1,$C35)&gt;0),0,IF(($E35=INDEX(_xlfn.ANCHORARRAY(Sintesi!$C$14),1,$C35))*(INDEX(_xlfn.ANCHORARRAY(Sintesi!$C$15),1,$C35)&lt;0)+($E35&gt;=LOOKUP(2,1/($E:$E&lt;&gt;""),$E:$E))*($E35&lt;=INDEX($E:$E,MATCH(TRUE,INDEX((ISNUMBER($E:$E)),0),0)))*($E35&gt;INDEX(_xlfn.ANCHORARRAY(Sintesi!$C$14),1,$C35))*($E35&lt;=INDEX(_xlfn.ANCHORARRAY(Sintesi!$C$15),1,$C35))*(INDEX(_xlfn.ANCHORARRAY(Sintesi!$C$15),1,$C35)&gt;0),1,IF(($E35&gt;=LOOKUP(2,1/($E:$E&lt;&gt;""),$E:$E))*($E35&lt;=INDEX($E:$E,MATCH(TRUE,INDEX((ISNUMBER($E:$E)),0),0)))*($E35&gt;INDEX(_xlfn.ANCHORARRAY(Sintesi!$C$14),1,$C35))*($E35&lt;INDEX(_xlfn.ANCHORARRAY(Sintesi!$C$16),1,$C35))*(INDEX(_xlfn.ANCHORARRAY(Sintesi!$C$15),1,$C35)&lt;0)+($E35&gt;=LOOKUP(2,1/($E:$E&lt;&gt;""),$E:$E))*($E35&lt;=INDEX($E:$E,MATCH(TRUE,INDEX((ISNUMBER($E:$E)),0),0)))*($E35&gt;INDEX(_xlfn.ANCHORARRAY(Sintesi!$C$15),1,$C35))*($E35&lt;INDEX(_xlfn.ANCHORARRAY(Sintesi!$C$16),1,$C35))*(INDEX(_xlfn.ANCHORARRAY(Sintesi!$C$15),1,$C35)&gt;0),2,IF($E35=(INDEX(_xlfn.ANCHORARRAY(Sintesi!$C$16),1,$C35)),3,4)))),0)),IF(ISNUMBER($E34),IF($C35&gt;0,IF(($E35=INDEX(_xlfn.ANCHORARRAY(Sintesi!$C$14),1,$C35))*(INDEX(_xlfn.ANCHORARRAY(Sintesi!$C$15),1,$C35)&gt;0),0,IF(($E35=INDEX(_xlfn.ANCHORARRAY(Sintesi!$C$14),1,$C35))*(INDEX(_xlfn.ANCHORARRAY(Sintesi!$C$15),1,$C35)&lt;0)+($E35&gt;=$E34)*($E35&lt;=$E36)*($E35&gt;INDEX(_xlfn.ANCHORARRAY(Sintesi!$C$14),1,$C35))*($E35&lt;=INDEX(_xlfn.ANCHORARRAY(Sintesi!$C$15),1,$C35))*(INDEX(_xlfn.ANCHORARRAY(Sintesi!$C$15),1,$C35)&gt;0),1,IF(($E35&gt;=$E34)*($E35&lt;=$E36)*($E35&gt;INDEX(_xlfn.ANCHORARRAY(Sintesi!$C$14),1,$C35))*($E35&lt;INDEX(_xlfn.ANCHORARRAY(Sintesi!$C$16),1,$C35))*(INDEX(_xlfn.ANCHORARRAY(Sintesi!$C$15),1,$C35)&lt;0)+($E35&gt;=$E34)*($E35&lt;=$E36)*($E35&gt;INDEX(_xlfn.ANCHORARRAY(Sintesi!$C$15),1,$C35))*($E35&lt;INDEX(_xlfn.ANCHORARRAY(Sintesi!$C$16),1,$C35))*(INDEX(_xlfn.ANCHORARRAY(Sintesi!$C$15),1,$C35)&gt;0),2,IF($E35=(INDEX(_xlfn.ANCHORARRAY(Sintesi!$C$16),1,$C35)),3,4)))),0),IF($C35&gt;0,IF(($E35=INDEX(_xlfn.ANCHORARRAY(Sintesi!$C$14),1,$C35))*(INDEX(_xlfn.ANCHORARRAY(Sintesi!$C$15),1,$C35)&gt;0),0,IF(($E35=INDEX(_xlfn.ANCHORARRAY(Sintesi!$C$14),1,$C35))*(INDEX(_xlfn.ANCHORARRAY(Sintesi!$C$15),1,$C35)&lt;0)+($E35&gt;=LOOKUP(2,1/($E:$E&lt;&gt;""),$E:$E))*($E35&lt;=$E36)*($E35&gt;INDEX(_xlfn.ANCHORARRAY(Sintesi!$C$14),1,$C35))*($E35&lt;=INDEX(_xlfn.ANCHORARRAY(Sintesi!$C$15),1,$C35))*(INDEX(_xlfn.ANCHORARRAY(Sintesi!$C$15),1,$C35)&gt;0),1,IF(($E35&gt;=LOOKUP(2,1/($E:$E&lt;&gt;""),$E:$E))*($E35&lt;=$E36)*($E35&gt;INDEX(_xlfn.ANCHORARRAY(Sintesi!$C$14),1,$C35))*($E35&lt;INDEX(_xlfn.ANCHORARRAY(Sintesi!$C$16),1,$C35))*(INDEX(_xlfn.ANCHORARRAY(Sintesi!$C$15),1,$C35)&lt;0)+($E35&gt;=LOOKUP(2,1/($E:$E&lt;&gt;""),$E:$E))*($E35&lt;=$E36)*($E35&gt;INDEX(_xlfn.ANCHORARRAY(Sintesi!$C$15),1,$C35))*($E35&lt;INDEX(_xlfn.ANCHORARRAY(Sintesi!$C$16),1,$C35))*(INDEX(_xlfn.ANCHORARRAY(Sintesi!$C$15),1,$C35)&gt;0),2,IF($E35=(INDEX(_xlfn.ANCHORARRAY(Sintesi!$C$16),1,$C35)),3,4)))),0)))</f>
        <v>0</v>
      </c>
      <c r="E35" s="1">
        <f>'Paste cell here'!F35</f>
        <v>0</v>
      </c>
      <c r="F35" s="1">
        <f>'Paste cell here'!C35</f>
        <v>6.5199999999999063</v>
      </c>
      <c r="G35" s="1">
        <f>'Paste cell here'!D35</f>
        <v>4.7599999999999341</v>
      </c>
      <c r="H35" s="1">
        <f>'Paste cell here'!E35</f>
        <v>0.3995895954464021</v>
      </c>
      <c r="I35" s="1">
        <f>'Paste cell here'!X35</f>
        <v>0</v>
      </c>
      <c r="J35" s="1">
        <f>'Paste cell here'!Y35+'Paste cell here'!S35</f>
        <v>0</v>
      </c>
      <c r="K35" s="1">
        <f t="shared" si="0"/>
        <v>0</v>
      </c>
      <c r="L35" s="1">
        <f t="shared" si="1"/>
        <v>5.8818591412299082</v>
      </c>
      <c r="M35" s="1">
        <f t="array" ref="M35">IF(AND(A35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35&gt;=_xlfn.ANCHORARRAY(Sintesi!$C$9))+(_xlfn.ANCHORARRAY(Sintesi!$C$9)&gt;_xlfn.ANCHORARRAY(Sintesi!$C$10))*(A35&lt;=_xlfn.ANCHORARRAY(Sintesi!$C$10))+(_xlfn.ANCHORARRAY(Sintesi!$C$9)&lt;_xlfn.ANCHORARRAY(Sintesi!$C$10))*(A35&gt;=_xlfn.ANCHORARRAY(Sintesi!$C$9))*(A35&lt;=_xlfn.ANCHORARRAY(Sintesi!$C$10)),0)),0),A35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36&gt;=_xlfn.ANCHORARRAY(Sintesi!$C$9))+(_xlfn.ANCHORARRAY(Sintesi!$C$9)&gt;_xlfn.ANCHORARRAY(Sintesi!$C$10))*(A36&lt;=_xlfn.ANCHORARRAY(Sintesi!$C$10))+(_xlfn.ANCHORARRAY(Sintesi!$C$9)&lt;_xlfn.ANCHORARRAY(Sintesi!$C$10))*(A36&gt;=_xlfn.ANCHORARRAY(Sintesi!$C$9))*(A36&lt;=_xlfn.ANCHORARRAY(Sintesi!$C$10)),0)),0)),IF(L35&lt;_xlfn.IFNA(INDEX(_xlfn.ANCHORARRAY(Sintesi!$C$17),1,MATCH(1,(_xlfn.ANCHORARRAY(Sintesi!$C$9)&gt;_xlfn.ANCHORARRAY(Sintesi!$C$10))*(A34&gt;=_xlfn.ANCHORARRAY(Sintesi!$C$9))+(_xlfn.ANCHORARRAY(Sintesi!$C$9)&gt;_xlfn.ANCHORARRAY(Sintesi!$C$10))*(A34&lt;=_xlfn.ANCHORARRAY(Sintesi!$C$10))+(_xlfn.ANCHORARRAY(Sintesi!$C$9)&lt;_xlfn.ANCHORARRAY(Sintesi!$C$10))*(A34&gt;=_xlfn.ANCHORARRAY(Sintesi!$C$9))*(A34&lt;=_xlfn.ANCHORARRAY(Sintesi!$C$10)),0)),0),1,IF(L35&gt;=_xlfn.IFNA(INDEX(_xlfn.ANCHORARRAY(Sintesi!$C$18),1,MATCH(1,(_xlfn.ANCHORARRAY(Sintesi!$C$9)&gt;_xlfn.ANCHORARRAY(Sintesi!$C$10))*(A34&gt;=_xlfn.ANCHORARRAY(Sintesi!$C$9))+(_xlfn.ANCHORARRAY(Sintesi!$C$9)&gt;_xlfn.ANCHORARRAY(Sintesi!$C$10))*(A34&lt;=_xlfn.ANCHORARRAY(Sintesi!$C$10))+(_xlfn.ANCHORARRAY(Sintesi!$C$9)&lt;_xlfn.ANCHORARRAY(Sintesi!$C$10))*(A34&gt;=_xlfn.ANCHORARRAY(Sintesi!$C$9))*(A34&lt;=_xlfn.ANCHORARRAY(Sintesi!$C$10)),0)),0),0,1-(L35-_xlfn.IFNA(INDEX(_xlfn.ANCHORARRAY(Sintesi!$C$17),1,MATCH(1,(_xlfn.ANCHORARRAY(Sintesi!$C$9)&gt;_xlfn.ANCHORARRAY(Sintesi!$C$10))*(A34&gt;=_xlfn.ANCHORARRAY(Sintesi!$C$9))+(_xlfn.ANCHORARRAY(Sintesi!$C$9)&gt;_xlfn.ANCHORARRAY(Sintesi!$C$10))*(A34&lt;=_xlfn.ANCHORARRAY(Sintesi!$C$10))+(_xlfn.ANCHORARRAY(Sintesi!$C$9)&lt;_xlfn.ANCHORARRAY(Sintesi!$C$10))*(A34&gt;=_xlfn.ANCHORARRAY(Sintesi!$C$9))*(A34&lt;=_xlfn.ANCHORARRAY(Sintesi!$C$10)),0)),0))/(_xlfn.IFNA(INDEX(_xlfn.ANCHORARRAY(Sintesi!$C$18),1,MATCH(1,(_xlfn.ANCHORARRAY(Sintesi!$C$9)&gt;_xlfn.ANCHORARRAY(Sintesi!$C$10))*(A34&gt;=_xlfn.ANCHORARRAY(Sintesi!$C$9))+(_xlfn.ANCHORARRAY(Sintesi!$C$9)&gt;_xlfn.ANCHORARRAY(Sintesi!$C$10))*(A34&lt;=_xlfn.ANCHORARRAY(Sintesi!$C$10))+(_xlfn.ANCHORARRAY(Sintesi!$C$9)&lt;_xlfn.ANCHORARRAY(Sintesi!$C$10))*(A34&gt;=_xlfn.ANCHORARRAY(Sintesi!$C$9))*(A34&lt;=_xlfn.ANCHORARRAY(Sintesi!$C$10)),0)),0)-_xlfn.IFNA(INDEX(_xlfn.ANCHORARRAY(Sintesi!$C$17),1,MATCH(1,(_xlfn.ANCHORARRAY(Sintesi!$C$9)&gt;_xlfn.ANCHORARRAY(Sintesi!$C$10))*(A34&gt;=_xlfn.ANCHORARRAY(Sintesi!$C$9))+(_xlfn.ANCHORARRAY(Sintesi!$C$9)&gt;_xlfn.ANCHORARRAY(Sintesi!$C$10))*(A34&lt;=_xlfn.ANCHORARRAY(Sintesi!$C$10))+(_xlfn.ANCHORARRAY(Sintesi!$C$9)&lt;_xlfn.ANCHORARRAY(Sintesi!$C$10))*(A34&gt;=_xlfn.ANCHORARRAY(Sintesi!$C$9))*(A34&lt;=_xlfn.ANCHORARRAY(Sintesi!$C$10)),0)),0)))),0)</f>
        <v>0</v>
      </c>
    </row>
    <row r="36" spans="1:13">
      <c r="A36" s="1">
        <f>'Paste cell here'!A36</f>
        <v>35</v>
      </c>
      <c r="B36" s="2">
        <f>DATE(Sintesi!$C$4-1,12,31)+A36</f>
        <v>44231</v>
      </c>
      <c r="C36" s="34">
        <f t="array" ref="C36">_xlfn.IFNA(MATCH(1,((_xlfn.ANCHORARRAY(Sintesi!$C$9)&gt;_xlfn.ANCHORARRAY(Sintesi!$C$10))*(A36&gt;=_xlfn.ANCHORARRAY(Sintesi!$C$9))+(_xlfn.ANCHORARRAY(Sintesi!$C$9)&gt;_xlfn.ANCHORARRAY(Sintesi!$C$10))*(A36&lt;=_xlfn.ANCHORARRAY(Sintesi!$C$10))+(_xlfn.ANCHORARRAY(Sintesi!$C$9)&lt;_xlfn.ANCHORARRAY(Sintesi!$C$10))*(A36&gt;=_xlfn.ANCHORARRAY(Sintesi!$C$9))*(A36&lt;=_xlfn.ANCHORARRAY(Sintesi!$C$10)))*(_xlfn.ANCHORARRAY(Sintesi!$C$15)&gt;=0)+(_xlfn.ANCHORARRAY(Sintesi!$C$15)&lt;0),0),0)</f>
        <v>0</v>
      </c>
      <c r="D36" s="1">
        <f t="array" ref="D36">IF(ISBLANK($E37),IF(ISNUMBER($E35),IF($C36&gt;0,IF(($E36=INDEX(_xlfn.ANCHORARRAY(Sintesi!$C$14),1,$C36))*(INDEX(_xlfn.ANCHORARRAY(Sintesi!$C$15),1,$C36)&gt;0),0,IF(($E36=INDEX(_xlfn.ANCHORARRAY(Sintesi!$C$14),1,$C36))*(INDEX(_xlfn.ANCHORARRAY(Sintesi!$C$15),1,$C36)&lt;0)+($E36&gt;=$E35)*($E36&lt;=INDEX($E:$E,MATCH(TRUE,INDEX((ISNUMBER($E:$E)),0),0)))*($E36&gt;INDEX(_xlfn.ANCHORARRAY(Sintesi!$C$14),1,$C36))*($E36&lt;=INDEX(_xlfn.ANCHORARRAY(Sintesi!$C$15),1,$C36))*(INDEX(_xlfn.ANCHORARRAY(Sintesi!$C$15),1,$C36)&gt;0),1,IF(($E36&gt;=$E35)*($E36&lt;=INDEX($E:$E,MATCH(TRUE,INDEX((ISNUMBER($E:$E)),0),0)))*($E36&gt;INDEX(_xlfn.ANCHORARRAY(Sintesi!$C$14),1,$C36))*($E36&lt;INDEX(_xlfn.ANCHORARRAY(Sintesi!$C$16),1,$C36))*(INDEX(_xlfn.ANCHORARRAY(Sintesi!$C$15),1,$C36)&lt;0)+($E36&gt;=$E35)*($E36&lt;=INDEX($E:$E,MATCH(TRUE,INDEX((ISNUMBER($E:$E)),0),0)))*($E36&gt;INDEX(_xlfn.ANCHORARRAY(Sintesi!$C$15),1,$C36))*($E36&lt;INDEX(_xlfn.ANCHORARRAY(Sintesi!$C$16),1,$C36))*(INDEX(_xlfn.ANCHORARRAY(Sintesi!$C$15),1,$C36)&gt;0),2,IF($E36=(INDEX(_xlfn.ANCHORARRAY(Sintesi!$C$16),1,$C36)),3,4)))),0),IF($C36&gt;0,IF(($E36=INDEX(_xlfn.ANCHORARRAY(Sintesi!$C$14),1,$C36))*(INDEX(_xlfn.ANCHORARRAY(Sintesi!$C$15),1,$C36)&gt;0),0,IF(($E36=INDEX(_xlfn.ANCHORARRAY(Sintesi!$C$14),1,$C36))*(INDEX(_xlfn.ANCHORARRAY(Sintesi!$C$15),1,$C36)&lt;0)+($E36&gt;=LOOKUP(2,1/($E:$E&lt;&gt;""),$E:$E))*($E36&lt;=INDEX($E:$E,MATCH(TRUE,INDEX((ISNUMBER($E:$E)),0),0)))*($E36&gt;INDEX(_xlfn.ANCHORARRAY(Sintesi!$C$14),1,$C36))*($E36&lt;=INDEX(_xlfn.ANCHORARRAY(Sintesi!$C$15),1,$C36))*(INDEX(_xlfn.ANCHORARRAY(Sintesi!$C$15),1,$C36)&gt;0),1,IF(($E36&gt;=LOOKUP(2,1/($E:$E&lt;&gt;""),$E:$E))*($E36&lt;=INDEX($E:$E,MATCH(TRUE,INDEX((ISNUMBER($E:$E)),0),0)))*($E36&gt;INDEX(_xlfn.ANCHORARRAY(Sintesi!$C$14),1,$C36))*($E36&lt;INDEX(_xlfn.ANCHORARRAY(Sintesi!$C$16),1,$C36))*(INDEX(_xlfn.ANCHORARRAY(Sintesi!$C$15),1,$C36)&lt;0)+($E36&gt;=LOOKUP(2,1/($E:$E&lt;&gt;""),$E:$E))*($E36&lt;=INDEX($E:$E,MATCH(TRUE,INDEX((ISNUMBER($E:$E)),0),0)))*($E36&gt;INDEX(_xlfn.ANCHORARRAY(Sintesi!$C$15),1,$C36))*($E36&lt;INDEX(_xlfn.ANCHORARRAY(Sintesi!$C$16),1,$C36))*(INDEX(_xlfn.ANCHORARRAY(Sintesi!$C$15),1,$C36)&gt;0),2,IF($E36=(INDEX(_xlfn.ANCHORARRAY(Sintesi!$C$16),1,$C36)),3,4)))),0)),IF(ISNUMBER($E35),IF($C36&gt;0,IF(($E36=INDEX(_xlfn.ANCHORARRAY(Sintesi!$C$14),1,$C36))*(INDEX(_xlfn.ANCHORARRAY(Sintesi!$C$15),1,$C36)&gt;0),0,IF(($E36=INDEX(_xlfn.ANCHORARRAY(Sintesi!$C$14),1,$C36))*(INDEX(_xlfn.ANCHORARRAY(Sintesi!$C$15),1,$C36)&lt;0)+($E36&gt;=$E35)*($E36&lt;=$E37)*($E36&gt;INDEX(_xlfn.ANCHORARRAY(Sintesi!$C$14),1,$C36))*($E36&lt;=INDEX(_xlfn.ANCHORARRAY(Sintesi!$C$15),1,$C36))*(INDEX(_xlfn.ANCHORARRAY(Sintesi!$C$15),1,$C36)&gt;0),1,IF(($E36&gt;=$E35)*($E36&lt;=$E37)*($E36&gt;INDEX(_xlfn.ANCHORARRAY(Sintesi!$C$14),1,$C36))*($E36&lt;INDEX(_xlfn.ANCHORARRAY(Sintesi!$C$16),1,$C36))*(INDEX(_xlfn.ANCHORARRAY(Sintesi!$C$15),1,$C36)&lt;0)+($E36&gt;=$E35)*($E36&lt;=$E37)*($E36&gt;INDEX(_xlfn.ANCHORARRAY(Sintesi!$C$15),1,$C36))*($E36&lt;INDEX(_xlfn.ANCHORARRAY(Sintesi!$C$16),1,$C36))*(INDEX(_xlfn.ANCHORARRAY(Sintesi!$C$15),1,$C36)&gt;0),2,IF($E36=(INDEX(_xlfn.ANCHORARRAY(Sintesi!$C$16),1,$C36)),3,4)))),0),IF($C36&gt;0,IF(($E36=INDEX(_xlfn.ANCHORARRAY(Sintesi!$C$14),1,$C36))*(INDEX(_xlfn.ANCHORARRAY(Sintesi!$C$15),1,$C36)&gt;0),0,IF(($E36=INDEX(_xlfn.ANCHORARRAY(Sintesi!$C$14),1,$C36))*(INDEX(_xlfn.ANCHORARRAY(Sintesi!$C$15),1,$C36)&lt;0)+($E36&gt;=LOOKUP(2,1/($E:$E&lt;&gt;""),$E:$E))*($E36&lt;=$E37)*($E36&gt;INDEX(_xlfn.ANCHORARRAY(Sintesi!$C$14),1,$C36))*($E36&lt;=INDEX(_xlfn.ANCHORARRAY(Sintesi!$C$15),1,$C36))*(INDEX(_xlfn.ANCHORARRAY(Sintesi!$C$15),1,$C36)&gt;0),1,IF(($E36&gt;=LOOKUP(2,1/($E:$E&lt;&gt;""),$E:$E))*($E36&lt;=$E37)*($E36&gt;INDEX(_xlfn.ANCHORARRAY(Sintesi!$C$14),1,$C36))*($E36&lt;INDEX(_xlfn.ANCHORARRAY(Sintesi!$C$16),1,$C36))*(INDEX(_xlfn.ANCHORARRAY(Sintesi!$C$15),1,$C36)&lt;0)+($E36&gt;=LOOKUP(2,1/($E:$E&lt;&gt;""),$E:$E))*($E36&lt;=$E37)*($E36&gt;INDEX(_xlfn.ANCHORARRAY(Sintesi!$C$15),1,$C36))*($E36&lt;INDEX(_xlfn.ANCHORARRAY(Sintesi!$C$16),1,$C36))*(INDEX(_xlfn.ANCHORARRAY(Sintesi!$C$15),1,$C36)&gt;0),2,IF($E36=(INDEX(_xlfn.ANCHORARRAY(Sintesi!$C$16),1,$C36)),3,4)))),0)))</f>
        <v>0</v>
      </c>
      <c r="E36" s="1">
        <f>'Paste cell here'!F36</f>
        <v>0</v>
      </c>
      <c r="F36" s="1">
        <f>'Paste cell here'!C36</f>
        <v>10.719999999999855</v>
      </c>
      <c r="G36" s="1">
        <f>'Paste cell here'!D36</f>
        <v>6.3799999999999146</v>
      </c>
      <c r="H36" s="1">
        <f>'Paste cell here'!E36</f>
        <v>0.545837983597937</v>
      </c>
      <c r="I36" s="1">
        <f>'Paste cell here'!X36</f>
        <v>0</v>
      </c>
      <c r="J36" s="1">
        <f>'Paste cell here'!Y36+'Paste cell here'!S36</f>
        <v>0</v>
      </c>
      <c r="K36" s="1">
        <f t="shared" si="0"/>
        <v>0</v>
      </c>
      <c r="L36" s="1">
        <f t="shared" si="1"/>
        <v>9.1464026550783757</v>
      </c>
      <c r="M36" s="1">
        <f t="array" ref="M36">IF(AND(A36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36&gt;=_xlfn.ANCHORARRAY(Sintesi!$C$9))+(_xlfn.ANCHORARRAY(Sintesi!$C$9)&gt;_xlfn.ANCHORARRAY(Sintesi!$C$10))*(A36&lt;=_xlfn.ANCHORARRAY(Sintesi!$C$10))+(_xlfn.ANCHORARRAY(Sintesi!$C$9)&lt;_xlfn.ANCHORARRAY(Sintesi!$C$10))*(A36&gt;=_xlfn.ANCHORARRAY(Sintesi!$C$9))*(A36&lt;=_xlfn.ANCHORARRAY(Sintesi!$C$10)),0)),0),A36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37&gt;=_xlfn.ANCHORARRAY(Sintesi!$C$9))+(_xlfn.ANCHORARRAY(Sintesi!$C$9)&gt;_xlfn.ANCHORARRAY(Sintesi!$C$10))*(A37&lt;=_xlfn.ANCHORARRAY(Sintesi!$C$10))+(_xlfn.ANCHORARRAY(Sintesi!$C$9)&lt;_xlfn.ANCHORARRAY(Sintesi!$C$10))*(A37&gt;=_xlfn.ANCHORARRAY(Sintesi!$C$9))*(A37&lt;=_xlfn.ANCHORARRAY(Sintesi!$C$10)),0)),0)),IF(L36&lt;_xlfn.IFNA(INDEX(_xlfn.ANCHORARRAY(Sintesi!$C$17),1,MATCH(1,(_xlfn.ANCHORARRAY(Sintesi!$C$9)&gt;_xlfn.ANCHORARRAY(Sintesi!$C$10))*(A35&gt;=_xlfn.ANCHORARRAY(Sintesi!$C$9))+(_xlfn.ANCHORARRAY(Sintesi!$C$9)&gt;_xlfn.ANCHORARRAY(Sintesi!$C$10))*(A35&lt;=_xlfn.ANCHORARRAY(Sintesi!$C$10))+(_xlfn.ANCHORARRAY(Sintesi!$C$9)&lt;_xlfn.ANCHORARRAY(Sintesi!$C$10))*(A35&gt;=_xlfn.ANCHORARRAY(Sintesi!$C$9))*(A35&lt;=_xlfn.ANCHORARRAY(Sintesi!$C$10)),0)),0),1,IF(L36&gt;=_xlfn.IFNA(INDEX(_xlfn.ANCHORARRAY(Sintesi!$C$18),1,MATCH(1,(_xlfn.ANCHORARRAY(Sintesi!$C$9)&gt;_xlfn.ANCHORARRAY(Sintesi!$C$10))*(A35&gt;=_xlfn.ANCHORARRAY(Sintesi!$C$9))+(_xlfn.ANCHORARRAY(Sintesi!$C$9)&gt;_xlfn.ANCHORARRAY(Sintesi!$C$10))*(A35&lt;=_xlfn.ANCHORARRAY(Sintesi!$C$10))+(_xlfn.ANCHORARRAY(Sintesi!$C$9)&lt;_xlfn.ANCHORARRAY(Sintesi!$C$10))*(A35&gt;=_xlfn.ANCHORARRAY(Sintesi!$C$9))*(A35&lt;=_xlfn.ANCHORARRAY(Sintesi!$C$10)),0)),0),0,1-(L36-_xlfn.IFNA(INDEX(_xlfn.ANCHORARRAY(Sintesi!$C$17),1,MATCH(1,(_xlfn.ANCHORARRAY(Sintesi!$C$9)&gt;_xlfn.ANCHORARRAY(Sintesi!$C$10))*(A35&gt;=_xlfn.ANCHORARRAY(Sintesi!$C$9))+(_xlfn.ANCHORARRAY(Sintesi!$C$9)&gt;_xlfn.ANCHORARRAY(Sintesi!$C$10))*(A35&lt;=_xlfn.ANCHORARRAY(Sintesi!$C$10))+(_xlfn.ANCHORARRAY(Sintesi!$C$9)&lt;_xlfn.ANCHORARRAY(Sintesi!$C$10))*(A35&gt;=_xlfn.ANCHORARRAY(Sintesi!$C$9))*(A35&lt;=_xlfn.ANCHORARRAY(Sintesi!$C$10)),0)),0))/(_xlfn.IFNA(INDEX(_xlfn.ANCHORARRAY(Sintesi!$C$18),1,MATCH(1,(_xlfn.ANCHORARRAY(Sintesi!$C$9)&gt;_xlfn.ANCHORARRAY(Sintesi!$C$10))*(A35&gt;=_xlfn.ANCHORARRAY(Sintesi!$C$9))+(_xlfn.ANCHORARRAY(Sintesi!$C$9)&gt;_xlfn.ANCHORARRAY(Sintesi!$C$10))*(A35&lt;=_xlfn.ANCHORARRAY(Sintesi!$C$10))+(_xlfn.ANCHORARRAY(Sintesi!$C$9)&lt;_xlfn.ANCHORARRAY(Sintesi!$C$10))*(A35&gt;=_xlfn.ANCHORARRAY(Sintesi!$C$9))*(A35&lt;=_xlfn.ANCHORARRAY(Sintesi!$C$10)),0)),0)-_xlfn.IFNA(INDEX(_xlfn.ANCHORARRAY(Sintesi!$C$17),1,MATCH(1,(_xlfn.ANCHORARRAY(Sintesi!$C$9)&gt;_xlfn.ANCHORARRAY(Sintesi!$C$10))*(A35&gt;=_xlfn.ANCHORARRAY(Sintesi!$C$9))+(_xlfn.ANCHORARRAY(Sintesi!$C$9)&gt;_xlfn.ANCHORARRAY(Sintesi!$C$10))*(A35&lt;=_xlfn.ANCHORARRAY(Sintesi!$C$10))+(_xlfn.ANCHORARRAY(Sintesi!$C$9)&lt;_xlfn.ANCHORARRAY(Sintesi!$C$10))*(A35&gt;=_xlfn.ANCHORARRAY(Sintesi!$C$9))*(A35&lt;=_xlfn.ANCHORARRAY(Sintesi!$C$10)),0)),0)))),0)</f>
        <v>0</v>
      </c>
    </row>
    <row r="37" spans="1:13">
      <c r="A37" s="1">
        <f>'Paste cell here'!A37</f>
        <v>36</v>
      </c>
      <c r="B37" s="2">
        <f>DATE(Sintesi!$C$4-1,12,31)+A37</f>
        <v>44232</v>
      </c>
      <c r="C37" s="34">
        <f t="array" ref="C37">_xlfn.IFNA(MATCH(1,((_xlfn.ANCHORARRAY(Sintesi!$C$9)&gt;_xlfn.ANCHORARRAY(Sintesi!$C$10))*(A37&gt;=_xlfn.ANCHORARRAY(Sintesi!$C$9))+(_xlfn.ANCHORARRAY(Sintesi!$C$9)&gt;_xlfn.ANCHORARRAY(Sintesi!$C$10))*(A37&lt;=_xlfn.ANCHORARRAY(Sintesi!$C$10))+(_xlfn.ANCHORARRAY(Sintesi!$C$9)&lt;_xlfn.ANCHORARRAY(Sintesi!$C$10))*(A37&gt;=_xlfn.ANCHORARRAY(Sintesi!$C$9))*(A37&lt;=_xlfn.ANCHORARRAY(Sintesi!$C$10)))*(_xlfn.ANCHORARRAY(Sintesi!$C$15)&gt;=0)+(_xlfn.ANCHORARRAY(Sintesi!$C$15)&lt;0),0),0)</f>
        <v>0</v>
      </c>
      <c r="D37" s="1">
        <f t="array" ref="D37">IF(ISBLANK($E38),IF(ISNUMBER($E36),IF($C37&gt;0,IF(($E37=INDEX(_xlfn.ANCHORARRAY(Sintesi!$C$14),1,$C37))*(INDEX(_xlfn.ANCHORARRAY(Sintesi!$C$15),1,$C37)&gt;0),0,IF(($E37=INDEX(_xlfn.ANCHORARRAY(Sintesi!$C$14),1,$C37))*(INDEX(_xlfn.ANCHORARRAY(Sintesi!$C$15),1,$C37)&lt;0)+($E37&gt;=$E36)*($E37&lt;=INDEX($E:$E,MATCH(TRUE,INDEX((ISNUMBER($E:$E)),0),0)))*($E37&gt;INDEX(_xlfn.ANCHORARRAY(Sintesi!$C$14),1,$C37))*($E37&lt;=INDEX(_xlfn.ANCHORARRAY(Sintesi!$C$15),1,$C37))*(INDEX(_xlfn.ANCHORARRAY(Sintesi!$C$15),1,$C37)&gt;0),1,IF(($E37&gt;=$E36)*($E37&lt;=INDEX($E:$E,MATCH(TRUE,INDEX((ISNUMBER($E:$E)),0),0)))*($E37&gt;INDEX(_xlfn.ANCHORARRAY(Sintesi!$C$14),1,$C37))*($E37&lt;INDEX(_xlfn.ANCHORARRAY(Sintesi!$C$16),1,$C37))*(INDEX(_xlfn.ANCHORARRAY(Sintesi!$C$15),1,$C37)&lt;0)+($E37&gt;=$E36)*($E37&lt;=INDEX($E:$E,MATCH(TRUE,INDEX((ISNUMBER($E:$E)),0),0)))*($E37&gt;INDEX(_xlfn.ANCHORARRAY(Sintesi!$C$15),1,$C37))*($E37&lt;INDEX(_xlfn.ANCHORARRAY(Sintesi!$C$16),1,$C37))*(INDEX(_xlfn.ANCHORARRAY(Sintesi!$C$15),1,$C37)&gt;0),2,IF($E37=(INDEX(_xlfn.ANCHORARRAY(Sintesi!$C$16),1,$C37)),3,4)))),0),IF($C37&gt;0,IF(($E37=INDEX(_xlfn.ANCHORARRAY(Sintesi!$C$14),1,$C37))*(INDEX(_xlfn.ANCHORARRAY(Sintesi!$C$15),1,$C37)&gt;0),0,IF(($E37=INDEX(_xlfn.ANCHORARRAY(Sintesi!$C$14),1,$C37))*(INDEX(_xlfn.ANCHORARRAY(Sintesi!$C$15),1,$C37)&lt;0)+($E37&gt;=LOOKUP(2,1/($E:$E&lt;&gt;""),$E:$E))*($E37&lt;=INDEX($E:$E,MATCH(TRUE,INDEX((ISNUMBER($E:$E)),0),0)))*($E37&gt;INDEX(_xlfn.ANCHORARRAY(Sintesi!$C$14),1,$C37))*($E37&lt;=INDEX(_xlfn.ANCHORARRAY(Sintesi!$C$15),1,$C37))*(INDEX(_xlfn.ANCHORARRAY(Sintesi!$C$15),1,$C37)&gt;0),1,IF(($E37&gt;=LOOKUP(2,1/($E:$E&lt;&gt;""),$E:$E))*($E37&lt;=INDEX($E:$E,MATCH(TRUE,INDEX((ISNUMBER($E:$E)),0),0)))*($E37&gt;INDEX(_xlfn.ANCHORARRAY(Sintesi!$C$14),1,$C37))*($E37&lt;INDEX(_xlfn.ANCHORARRAY(Sintesi!$C$16),1,$C37))*(INDEX(_xlfn.ANCHORARRAY(Sintesi!$C$15),1,$C37)&lt;0)+($E37&gt;=LOOKUP(2,1/($E:$E&lt;&gt;""),$E:$E))*($E37&lt;=INDEX($E:$E,MATCH(TRUE,INDEX((ISNUMBER($E:$E)),0),0)))*($E37&gt;INDEX(_xlfn.ANCHORARRAY(Sintesi!$C$15),1,$C37))*($E37&lt;INDEX(_xlfn.ANCHORARRAY(Sintesi!$C$16),1,$C37))*(INDEX(_xlfn.ANCHORARRAY(Sintesi!$C$15),1,$C37)&gt;0),2,IF($E37=(INDEX(_xlfn.ANCHORARRAY(Sintesi!$C$16),1,$C37)),3,4)))),0)),IF(ISNUMBER($E36),IF($C37&gt;0,IF(($E37=INDEX(_xlfn.ANCHORARRAY(Sintesi!$C$14),1,$C37))*(INDEX(_xlfn.ANCHORARRAY(Sintesi!$C$15),1,$C37)&gt;0),0,IF(($E37=INDEX(_xlfn.ANCHORARRAY(Sintesi!$C$14),1,$C37))*(INDEX(_xlfn.ANCHORARRAY(Sintesi!$C$15),1,$C37)&lt;0)+($E37&gt;=$E36)*($E37&lt;=$E38)*($E37&gt;INDEX(_xlfn.ANCHORARRAY(Sintesi!$C$14),1,$C37))*($E37&lt;=INDEX(_xlfn.ANCHORARRAY(Sintesi!$C$15),1,$C37))*(INDEX(_xlfn.ANCHORARRAY(Sintesi!$C$15),1,$C37)&gt;0),1,IF(($E37&gt;=$E36)*($E37&lt;=$E38)*($E37&gt;INDEX(_xlfn.ANCHORARRAY(Sintesi!$C$14),1,$C37))*($E37&lt;INDEX(_xlfn.ANCHORARRAY(Sintesi!$C$16),1,$C37))*(INDEX(_xlfn.ANCHORARRAY(Sintesi!$C$15),1,$C37)&lt;0)+($E37&gt;=$E36)*($E37&lt;=$E38)*($E37&gt;INDEX(_xlfn.ANCHORARRAY(Sintesi!$C$15),1,$C37))*($E37&lt;INDEX(_xlfn.ANCHORARRAY(Sintesi!$C$16),1,$C37))*(INDEX(_xlfn.ANCHORARRAY(Sintesi!$C$15),1,$C37)&gt;0),2,IF($E37=(INDEX(_xlfn.ANCHORARRAY(Sintesi!$C$16),1,$C37)),3,4)))),0),IF($C37&gt;0,IF(($E37=INDEX(_xlfn.ANCHORARRAY(Sintesi!$C$14),1,$C37))*(INDEX(_xlfn.ANCHORARRAY(Sintesi!$C$15),1,$C37)&gt;0),0,IF(($E37=INDEX(_xlfn.ANCHORARRAY(Sintesi!$C$14),1,$C37))*(INDEX(_xlfn.ANCHORARRAY(Sintesi!$C$15),1,$C37)&lt;0)+($E37&gt;=LOOKUP(2,1/($E:$E&lt;&gt;""),$E:$E))*($E37&lt;=$E38)*($E37&gt;INDEX(_xlfn.ANCHORARRAY(Sintesi!$C$14),1,$C37))*($E37&lt;=INDEX(_xlfn.ANCHORARRAY(Sintesi!$C$15),1,$C37))*(INDEX(_xlfn.ANCHORARRAY(Sintesi!$C$15),1,$C37)&gt;0),1,IF(($E37&gt;=LOOKUP(2,1/($E:$E&lt;&gt;""),$E:$E))*($E37&lt;=$E38)*($E37&gt;INDEX(_xlfn.ANCHORARRAY(Sintesi!$C$14),1,$C37))*($E37&lt;INDEX(_xlfn.ANCHORARRAY(Sintesi!$C$16),1,$C37))*(INDEX(_xlfn.ANCHORARRAY(Sintesi!$C$15),1,$C37)&lt;0)+($E37&gt;=LOOKUP(2,1/($E:$E&lt;&gt;""),$E:$E))*($E37&lt;=$E38)*($E37&gt;INDEX(_xlfn.ANCHORARRAY(Sintesi!$C$15),1,$C37))*($E37&lt;INDEX(_xlfn.ANCHORARRAY(Sintesi!$C$16),1,$C37))*(INDEX(_xlfn.ANCHORARRAY(Sintesi!$C$15),1,$C37)&gt;0),2,IF($E37=(INDEX(_xlfn.ANCHORARRAY(Sintesi!$C$16),1,$C37)),3,4)))),0)))</f>
        <v>0</v>
      </c>
      <c r="E37" s="1">
        <f>'Paste cell here'!F37</f>
        <v>0</v>
      </c>
      <c r="F37" s="1">
        <f>'Paste cell here'!C37</f>
        <v>10.499999999999847</v>
      </c>
      <c r="G37" s="1">
        <f>'Paste cell here'!D37</f>
        <v>7.3199999999998955</v>
      </c>
      <c r="H37" s="1">
        <f>'Paste cell here'!E37</f>
        <v>0.47948172329703365</v>
      </c>
      <c r="I37" s="1">
        <f>'Paste cell here'!X37</f>
        <v>0</v>
      </c>
      <c r="J37" s="1">
        <f>'Paste cell here'!Y37+'Paste cell here'!S37</f>
        <v>0</v>
      </c>
      <c r="K37" s="1">
        <f t="shared" si="0"/>
        <v>0</v>
      </c>
      <c r="L37" s="1">
        <f t="shared" si="1"/>
        <v>9.346995493813143</v>
      </c>
      <c r="M37" s="1">
        <f t="array" ref="M37">IF(AND(A37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37&gt;=_xlfn.ANCHORARRAY(Sintesi!$C$9))+(_xlfn.ANCHORARRAY(Sintesi!$C$9)&gt;_xlfn.ANCHORARRAY(Sintesi!$C$10))*(A37&lt;=_xlfn.ANCHORARRAY(Sintesi!$C$10))+(_xlfn.ANCHORARRAY(Sintesi!$C$9)&lt;_xlfn.ANCHORARRAY(Sintesi!$C$10))*(A37&gt;=_xlfn.ANCHORARRAY(Sintesi!$C$9))*(A37&lt;=_xlfn.ANCHORARRAY(Sintesi!$C$10)),0)),0),A37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38&gt;=_xlfn.ANCHORARRAY(Sintesi!$C$9))+(_xlfn.ANCHORARRAY(Sintesi!$C$9)&gt;_xlfn.ANCHORARRAY(Sintesi!$C$10))*(A38&lt;=_xlfn.ANCHORARRAY(Sintesi!$C$10))+(_xlfn.ANCHORARRAY(Sintesi!$C$9)&lt;_xlfn.ANCHORARRAY(Sintesi!$C$10))*(A38&gt;=_xlfn.ANCHORARRAY(Sintesi!$C$9))*(A38&lt;=_xlfn.ANCHORARRAY(Sintesi!$C$10)),0)),0)),IF(L37&lt;_xlfn.IFNA(INDEX(_xlfn.ANCHORARRAY(Sintesi!$C$17),1,MATCH(1,(_xlfn.ANCHORARRAY(Sintesi!$C$9)&gt;_xlfn.ANCHORARRAY(Sintesi!$C$10))*(A36&gt;=_xlfn.ANCHORARRAY(Sintesi!$C$9))+(_xlfn.ANCHORARRAY(Sintesi!$C$9)&gt;_xlfn.ANCHORARRAY(Sintesi!$C$10))*(A36&lt;=_xlfn.ANCHORARRAY(Sintesi!$C$10))+(_xlfn.ANCHORARRAY(Sintesi!$C$9)&lt;_xlfn.ANCHORARRAY(Sintesi!$C$10))*(A36&gt;=_xlfn.ANCHORARRAY(Sintesi!$C$9))*(A36&lt;=_xlfn.ANCHORARRAY(Sintesi!$C$10)),0)),0),1,IF(L37&gt;=_xlfn.IFNA(INDEX(_xlfn.ANCHORARRAY(Sintesi!$C$18),1,MATCH(1,(_xlfn.ANCHORARRAY(Sintesi!$C$9)&gt;_xlfn.ANCHORARRAY(Sintesi!$C$10))*(A36&gt;=_xlfn.ANCHORARRAY(Sintesi!$C$9))+(_xlfn.ANCHORARRAY(Sintesi!$C$9)&gt;_xlfn.ANCHORARRAY(Sintesi!$C$10))*(A36&lt;=_xlfn.ANCHORARRAY(Sintesi!$C$10))+(_xlfn.ANCHORARRAY(Sintesi!$C$9)&lt;_xlfn.ANCHORARRAY(Sintesi!$C$10))*(A36&gt;=_xlfn.ANCHORARRAY(Sintesi!$C$9))*(A36&lt;=_xlfn.ANCHORARRAY(Sintesi!$C$10)),0)),0),0,1-(L37-_xlfn.IFNA(INDEX(_xlfn.ANCHORARRAY(Sintesi!$C$17),1,MATCH(1,(_xlfn.ANCHORARRAY(Sintesi!$C$9)&gt;_xlfn.ANCHORARRAY(Sintesi!$C$10))*(A36&gt;=_xlfn.ANCHORARRAY(Sintesi!$C$9))+(_xlfn.ANCHORARRAY(Sintesi!$C$9)&gt;_xlfn.ANCHORARRAY(Sintesi!$C$10))*(A36&lt;=_xlfn.ANCHORARRAY(Sintesi!$C$10))+(_xlfn.ANCHORARRAY(Sintesi!$C$9)&lt;_xlfn.ANCHORARRAY(Sintesi!$C$10))*(A36&gt;=_xlfn.ANCHORARRAY(Sintesi!$C$9))*(A36&lt;=_xlfn.ANCHORARRAY(Sintesi!$C$10)),0)),0))/(_xlfn.IFNA(INDEX(_xlfn.ANCHORARRAY(Sintesi!$C$18),1,MATCH(1,(_xlfn.ANCHORARRAY(Sintesi!$C$9)&gt;_xlfn.ANCHORARRAY(Sintesi!$C$10))*(A36&gt;=_xlfn.ANCHORARRAY(Sintesi!$C$9))+(_xlfn.ANCHORARRAY(Sintesi!$C$9)&gt;_xlfn.ANCHORARRAY(Sintesi!$C$10))*(A36&lt;=_xlfn.ANCHORARRAY(Sintesi!$C$10))+(_xlfn.ANCHORARRAY(Sintesi!$C$9)&lt;_xlfn.ANCHORARRAY(Sintesi!$C$10))*(A36&gt;=_xlfn.ANCHORARRAY(Sintesi!$C$9))*(A36&lt;=_xlfn.ANCHORARRAY(Sintesi!$C$10)),0)),0)-_xlfn.IFNA(INDEX(_xlfn.ANCHORARRAY(Sintesi!$C$17),1,MATCH(1,(_xlfn.ANCHORARRAY(Sintesi!$C$9)&gt;_xlfn.ANCHORARRAY(Sintesi!$C$10))*(A36&gt;=_xlfn.ANCHORARRAY(Sintesi!$C$9))+(_xlfn.ANCHORARRAY(Sintesi!$C$9)&gt;_xlfn.ANCHORARRAY(Sintesi!$C$10))*(A36&lt;=_xlfn.ANCHORARRAY(Sintesi!$C$10))+(_xlfn.ANCHORARRAY(Sintesi!$C$9)&lt;_xlfn.ANCHORARRAY(Sintesi!$C$10))*(A36&gt;=_xlfn.ANCHORARRAY(Sintesi!$C$9))*(A36&lt;=_xlfn.ANCHORARRAY(Sintesi!$C$10)),0)),0)))),0)</f>
        <v>0</v>
      </c>
    </row>
    <row r="38" spans="1:13">
      <c r="A38" s="1">
        <f>'Paste cell here'!A38</f>
        <v>37</v>
      </c>
      <c r="B38" s="2">
        <f>DATE(Sintesi!$C$4-1,12,31)+A38</f>
        <v>44233</v>
      </c>
      <c r="C38" s="34">
        <f t="array" ref="C38">_xlfn.IFNA(MATCH(1,((_xlfn.ANCHORARRAY(Sintesi!$C$9)&gt;_xlfn.ANCHORARRAY(Sintesi!$C$10))*(A38&gt;=_xlfn.ANCHORARRAY(Sintesi!$C$9))+(_xlfn.ANCHORARRAY(Sintesi!$C$9)&gt;_xlfn.ANCHORARRAY(Sintesi!$C$10))*(A38&lt;=_xlfn.ANCHORARRAY(Sintesi!$C$10))+(_xlfn.ANCHORARRAY(Sintesi!$C$9)&lt;_xlfn.ANCHORARRAY(Sintesi!$C$10))*(A38&gt;=_xlfn.ANCHORARRAY(Sintesi!$C$9))*(A38&lt;=_xlfn.ANCHORARRAY(Sintesi!$C$10)))*(_xlfn.ANCHORARRAY(Sintesi!$C$15)&gt;=0)+(_xlfn.ANCHORARRAY(Sintesi!$C$15)&lt;0),0),0)</f>
        <v>0</v>
      </c>
      <c r="D38" s="1">
        <f t="array" ref="D38">IF(ISBLANK($E39),IF(ISNUMBER($E37),IF($C38&gt;0,IF(($E38=INDEX(_xlfn.ANCHORARRAY(Sintesi!$C$14),1,$C38))*(INDEX(_xlfn.ANCHORARRAY(Sintesi!$C$15),1,$C38)&gt;0),0,IF(($E38=INDEX(_xlfn.ANCHORARRAY(Sintesi!$C$14),1,$C38))*(INDEX(_xlfn.ANCHORARRAY(Sintesi!$C$15),1,$C38)&lt;0)+($E38&gt;=$E37)*($E38&lt;=INDEX($E:$E,MATCH(TRUE,INDEX((ISNUMBER($E:$E)),0),0)))*($E38&gt;INDEX(_xlfn.ANCHORARRAY(Sintesi!$C$14),1,$C38))*($E38&lt;=INDEX(_xlfn.ANCHORARRAY(Sintesi!$C$15),1,$C38))*(INDEX(_xlfn.ANCHORARRAY(Sintesi!$C$15),1,$C38)&gt;0),1,IF(($E38&gt;=$E37)*($E38&lt;=INDEX($E:$E,MATCH(TRUE,INDEX((ISNUMBER($E:$E)),0),0)))*($E38&gt;INDEX(_xlfn.ANCHORARRAY(Sintesi!$C$14),1,$C38))*($E38&lt;INDEX(_xlfn.ANCHORARRAY(Sintesi!$C$16),1,$C38))*(INDEX(_xlfn.ANCHORARRAY(Sintesi!$C$15),1,$C38)&lt;0)+($E38&gt;=$E37)*($E38&lt;=INDEX($E:$E,MATCH(TRUE,INDEX((ISNUMBER($E:$E)),0),0)))*($E38&gt;INDEX(_xlfn.ANCHORARRAY(Sintesi!$C$15),1,$C38))*($E38&lt;INDEX(_xlfn.ANCHORARRAY(Sintesi!$C$16),1,$C38))*(INDEX(_xlfn.ANCHORARRAY(Sintesi!$C$15),1,$C38)&gt;0),2,IF($E38=(INDEX(_xlfn.ANCHORARRAY(Sintesi!$C$16),1,$C38)),3,4)))),0),IF($C38&gt;0,IF(($E38=INDEX(_xlfn.ANCHORARRAY(Sintesi!$C$14),1,$C38))*(INDEX(_xlfn.ANCHORARRAY(Sintesi!$C$15),1,$C38)&gt;0),0,IF(($E38=INDEX(_xlfn.ANCHORARRAY(Sintesi!$C$14),1,$C38))*(INDEX(_xlfn.ANCHORARRAY(Sintesi!$C$15),1,$C38)&lt;0)+($E38&gt;=LOOKUP(2,1/($E:$E&lt;&gt;""),$E:$E))*($E38&lt;=INDEX($E:$E,MATCH(TRUE,INDEX((ISNUMBER($E:$E)),0),0)))*($E38&gt;INDEX(_xlfn.ANCHORARRAY(Sintesi!$C$14),1,$C38))*($E38&lt;=INDEX(_xlfn.ANCHORARRAY(Sintesi!$C$15),1,$C38))*(INDEX(_xlfn.ANCHORARRAY(Sintesi!$C$15),1,$C38)&gt;0),1,IF(($E38&gt;=LOOKUP(2,1/($E:$E&lt;&gt;""),$E:$E))*($E38&lt;=INDEX($E:$E,MATCH(TRUE,INDEX((ISNUMBER($E:$E)),0),0)))*($E38&gt;INDEX(_xlfn.ANCHORARRAY(Sintesi!$C$14),1,$C38))*($E38&lt;INDEX(_xlfn.ANCHORARRAY(Sintesi!$C$16),1,$C38))*(INDEX(_xlfn.ANCHORARRAY(Sintesi!$C$15),1,$C38)&lt;0)+($E38&gt;=LOOKUP(2,1/($E:$E&lt;&gt;""),$E:$E))*($E38&lt;=INDEX($E:$E,MATCH(TRUE,INDEX((ISNUMBER($E:$E)),0),0)))*($E38&gt;INDEX(_xlfn.ANCHORARRAY(Sintesi!$C$15),1,$C38))*($E38&lt;INDEX(_xlfn.ANCHORARRAY(Sintesi!$C$16),1,$C38))*(INDEX(_xlfn.ANCHORARRAY(Sintesi!$C$15),1,$C38)&gt;0),2,IF($E38=(INDEX(_xlfn.ANCHORARRAY(Sintesi!$C$16),1,$C38)),3,4)))),0)),IF(ISNUMBER($E37),IF($C38&gt;0,IF(($E38=INDEX(_xlfn.ANCHORARRAY(Sintesi!$C$14),1,$C38))*(INDEX(_xlfn.ANCHORARRAY(Sintesi!$C$15),1,$C38)&gt;0),0,IF(($E38=INDEX(_xlfn.ANCHORARRAY(Sintesi!$C$14),1,$C38))*(INDEX(_xlfn.ANCHORARRAY(Sintesi!$C$15),1,$C38)&lt;0)+($E38&gt;=$E37)*($E38&lt;=$E39)*($E38&gt;INDEX(_xlfn.ANCHORARRAY(Sintesi!$C$14),1,$C38))*($E38&lt;=INDEX(_xlfn.ANCHORARRAY(Sintesi!$C$15),1,$C38))*(INDEX(_xlfn.ANCHORARRAY(Sintesi!$C$15),1,$C38)&gt;0),1,IF(($E38&gt;=$E37)*($E38&lt;=$E39)*($E38&gt;INDEX(_xlfn.ANCHORARRAY(Sintesi!$C$14),1,$C38))*($E38&lt;INDEX(_xlfn.ANCHORARRAY(Sintesi!$C$16),1,$C38))*(INDEX(_xlfn.ANCHORARRAY(Sintesi!$C$15),1,$C38)&lt;0)+($E38&gt;=$E37)*($E38&lt;=$E39)*($E38&gt;INDEX(_xlfn.ANCHORARRAY(Sintesi!$C$15),1,$C38))*($E38&lt;INDEX(_xlfn.ANCHORARRAY(Sintesi!$C$16),1,$C38))*(INDEX(_xlfn.ANCHORARRAY(Sintesi!$C$15),1,$C38)&gt;0),2,IF($E38=(INDEX(_xlfn.ANCHORARRAY(Sintesi!$C$16),1,$C38)),3,4)))),0),IF($C38&gt;0,IF(($E38=INDEX(_xlfn.ANCHORARRAY(Sintesi!$C$14),1,$C38))*(INDEX(_xlfn.ANCHORARRAY(Sintesi!$C$15),1,$C38)&gt;0),0,IF(($E38=INDEX(_xlfn.ANCHORARRAY(Sintesi!$C$14),1,$C38))*(INDEX(_xlfn.ANCHORARRAY(Sintesi!$C$15),1,$C38)&lt;0)+($E38&gt;=LOOKUP(2,1/($E:$E&lt;&gt;""),$E:$E))*($E38&lt;=$E39)*($E38&gt;INDEX(_xlfn.ANCHORARRAY(Sintesi!$C$14),1,$C38))*($E38&lt;=INDEX(_xlfn.ANCHORARRAY(Sintesi!$C$15),1,$C38))*(INDEX(_xlfn.ANCHORARRAY(Sintesi!$C$15),1,$C38)&gt;0),1,IF(($E38&gt;=LOOKUP(2,1/($E:$E&lt;&gt;""),$E:$E))*($E38&lt;=$E39)*($E38&gt;INDEX(_xlfn.ANCHORARRAY(Sintesi!$C$14),1,$C38))*($E38&lt;INDEX(_xlfn.ANCHORARRAY(Sintesi!$C$16),1,$C38))*(INDEX(_xlfn.ANCHORARRAY(Sintesi!$C$15),1,$C38)&lt;0)+($E38&gt;=LOOKUP(2,1/($E:$E&lt;&gt;""),$E:$E))*($E38&lt;=$E39)*($E38&gt;INDEX(_xlfn.ANCHORARRAY(Sintesi!$C$15),1,$C38))*($E38&lt;INDEX(_xlfn.ANCHORARRAY(Sintesi!$C$16),1,$C38))*(INDEX(_xlfn.ANCHORARRAY(Sintesi!$C$15),1,$C38)&gt;0),2,IF($E38=(INDEX(_xlfn.ANCHORARRAY(Sintesi!$C$16),1,$C38)),3,4)))),0)))</f>
        <v>0</v>
      </c>
      <c r="E38" s="1">
        <f>'Paste cell here'!F38</f>
        <v>0</v>
      </c>
      <c r="F38" s="1">
        <f>'Paste cell here'!C38</f>
        <v>10.519999999999845</v>
      </c>
      <c r="G38" s="1">
        <f>'Paste cell here'!D38</f>
        <v>8.1799999999998843</v>
      </c>
      <c r="H38" s="1">
        <f>'Paste cell here'!E38</f>
        <v>0.49881641652180025</v>
      </c>
      <c r="I38" s="1">
        <f>'Paste cell here'!X38</f>
        <v>0</v>
      </c>
      <c r="J38" s="1">
        <f>'Paste cell here'!Y38+'Paste cell here'!S38</f>
        <v>0</v>
      </c>
      <c r="K38" s="1">
        <f t="shared" si="0"/>
        <v>0</v>
      </c>
      <c r="L38" s="1">
        <f t="shared" si="1"/>
        <v>9.6715627218624611</v>
      </c>
      <c r="M38" s="1">
        <f t="array" ref="M38">IF(AND(A38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38&gt;=_xlfn.ANCHORARRAY(Sintesi!$C$9))+(_xlfn.ANCHORARRAY(Sintesi!$C$9)&gt;_xlfn.ANCHORARRAY(Sintesi!$C$10))*(A38&lt;=_xlfn.ANCHORARRAY(Sintesi!$C$10))+(_xlfn.ANCHORARRAY(Sintesi!$C$9)&lt;_xlfn.ANCHORARRAY(Sintesi!$C$10))*(A38&gt;=_xlfn.ANCHORARRAY(Sintesi!$C$9))*(A38&lt;=_xlfn.ANCHORARRAY(Sintesi!$C$10)),0)),0),A38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39&gt;=_xlfn.ANCHORARRAY(Sintesi!$C$9))+(_xlfn.ANCHORARRAY(Sintesi!$C$9)&gt;_xlfn.ANCHORARRAY(Sintesi!$C$10))*(A39&lt;=_xlfn.ANCHORARRAY(Sintesi!$C$10))+(_xlfn.ANCHORARRAY(Sintesi!$C$9)&lt;_xlfn.ANCHORARRAY(Sintesi!$C$10))*(A39&gt;=_xlfn.ANCHORARRAY(Sintesi!$C$9))*(A39&lt;=_xlfn.ANCHORARRAY(Sintesi!$C$10)),0)),0)),IF(L38&lt;_xlfn.IFNA(INDEX(_xlfn.ANCHORARRAY(Sintesi!$C$17),1,MATCH(1,(_xlfn.ANCHORARRAY(Sintesi!$C$9)&gt;_xlfn.ANCHORARRAY(Sintesi!$C$10))*(A37&gt;=_xlfn.ANCHORARRAY(Sintesi!$C$9))+(_xlfn.ANCHORARRAY(Sintesi!$C$9)&gt;_xlfn.ANCHORARRAY(Sintesi!$C$10))*(A37&lt;=_xlfn.ANCHORARRAY(Sintesi!$C$10))+(_xlfn.ANCHORARRAY(Sintesi!$C$9)&lt;_xlfn.ANCHORARRAY(Sintesi!$C$10))*(A37&gt;=_xlfn.ANCHORARRAY(Sintesi!$C$9))*(A37&lt;=_xlfn.ANCHORARRAY(Sintesi!$C$10)),0)),0),1,IF(L38&gt;=_xlfn.IFNA(INDEX(_xlfn.ANCHORARRAY(Sintesi!$C$18),1,MATCH(1,(_xlfn.ANCHORARRAY(Sintesi!$C$9)&gt;_xlfn.ANCHORARRAY(Sintesi!$C$10))*(A37&gt;=_xlfn.ANCHORARRAY(Sintesi!$C$9))+(_xlfn.ANCHORARRAY(Sintesi!$C$9)&gt;_xlfn.ANCHORARRAY(Sintesi!$C$10))*(A37&lt;=_xlfn.ANCHORARRAY(Sintesi!$C$10))+(_xlfn.ANCHORARRAY(Sintesi!$C$9)&lt;_xlfn.ANCHORARRAY(Sintesi!$C$10))*(A37&gt;=_xlfn.ANCHORARRAY(Sintesi!$C$9))*(A37&lt;=_xlfn.ANCHORARRAY(Sintesi!$C$10)),0)),0),0,1-(L38-_xlfn.IFNA(INDEX(_xlfn.ANCHORARRAY(Sintesi!$C$17),1,MATCH(1,(_xlfn.ANCHORARRAY(Sintesi!$C$9)&gt;_xlfn.ANCHORARRAY(Sintesi!$C$10))*(A37&gt;=_xlfn.ANCHORARRAY(Sintesi!$C$9))+(_xlfn.ANCHORARRAY(Sintesi!$C$9)&gt;_xlfn.ANCHORARRAY(Sintesi!$C$10))*(A37&lt;=_xlfn.ANCHORARRAY(Sintesi!$C$10))+(_xlfn.ANCHORARRAY(Sintesi!$C$9)&lt;_xlfn.ANCHORARRAY(Sintesi!$C$10))*(A37&gt;=_xlfn.ANCHORARRAY(Sintesi!$C$9))*(A37&lt;=_xlfn.ANCHORARRAY(Sintesi!$C$10)),0)),0))/(_xlfn.IFNA(INDEX(_xlfn.ANCHORARRAY(Sintesi!$C$18),1,MATCH(1,(_xlfn.ANCHORARRAY(Sintesi!$C$9)&gt;_xlfn.ANCHORARRAY(Sintesi!$C$10))*(A37&gt;=_xlfn.ANCHORARRAY(Sintesi!$C$9))+(_xlfn.ANCHORARRAY(Sintesi!$C$9)&gt;_xlfn.ANCHORARRAY(Sintesi!$C$10))*(A37&lt;=_xlfn.ANCHORARRAY(Sintesi!$C$10))+(_xlfn.ANCHORARRAY(Sintesi!$C$9)&lt;_xlfn.ANCHORARRAY(Sintesi!$C$10))*(A37&gt;=_xlfn.ANCHORARRAY(Sintesi!$C$9))*(A37&lt;=_xlfn.ANCHORARRAY(Sintesi!$C$10)),0)),0)-_xlfn.IFNA(INDEX(_xlfn.ANCHORARRAY(Sintesi!$C$17),1,MATCH(1,(_xlfn.ANCHORARRAY(Sintesi!$C$9)&gt;_xlfn.ANCHORARRAY(Sintesi!$C$10))*(A37&gt;=_xlfn.ANCHORARRAY(Sintesi!$C$9))+(_xlfn.ANCHORARRAY(Sintesi!$C$9)&gt;_xlfn.ANCHORARRAY(Sintesi!$C$10))*(A37&lt;=_xlfn.ANCHORARRAY(Sintesi!$C$10))+(_xlfn.ANCHORARRAY(Sintesi!$C$9)&lt;_xlfn.ANCHORARRAY(Sintesi!$C$10))*(A37&gt;=_xlfn.ANCHORARRAY(Sintesi!$C$9))*(A37&lt;=_xlfn.ANCHORARRAY(Sintesi!$C$10)),0)),0)))),0)</f>
        <v>0</v>
      </c>
    </row>
    <row r="39" spans="1:13">
      <c r="A39" s="1">
        <f>'Paste cell here'!A39</f>
        <v>38</v>
      </c>
      <c r="B39" s="2">
        <f>DATE(Sintesi!$C$4-1,12,31)+A39</f>
        <v>44234</v>
      </c>
      <c r="C39" s="34">
        <f t="array" ref="C39">_xlfn.IFNA(MATCH(1,((_xlfn.ANCHORARRAY(Sintesi!$C$9)&gt;_xlfn.ANCHORARRAY(Sintesi!$C$10))*(A39&gt;=_xlfn.ANCHORARRAY(Sintesi!$C$9))+(_xlfn.ANCHORARRAY(Sintesi!$C$9)&gt;_xlfn.ANCHORARRAY(Sintesi!$C$10))*(A39&lt;=_xlfn.ANCHORARRAY(Sintesi!$C$10))+(_xlfn.ANCHORARRAY(Sintesi!$C$9)&lt;_xlfn.ANCHORARRAY(Sintesi!$C$10))*(A39&gt;=_xlfn.ANCHORARRAY(Sintesi!$C$9))*(A39&lt;=_xlfn.ANCHORARRAY(Sintesi!$C$10)))*(_xlfn.ANCHORARRAY(Sintesi!$C$15)&gt;=0)+(_xlfn.ANCHORARRAY(Sintesi!$C$15)&lt;0),0),0)</f>
        <v>0</v>
      </c>
      <c r="D39" s="1">
        <f t="array" ref="D39">IF(ISBLANK($E40),IF(ISNUMBER($E38),IF($C39&gt;0,IF(($E39=INDEX(_xlfn.ANCHORARRAY(Sintesi!$C$14),1,$C39))*(INDEX(_xlfn.ANCHORARRAY(Sintesi!$C$15),1,$C39)&gt;0),0,IF(($E39=INDEX(_xlfn.ANCHORARRAY(Sintesi!$C$14),1,$C39))*(INDEX(_xlfn.ANCHORARRAY(Sintesi!$C$15),1,$C39)&lt;0)+($E39&gt;=$E38)*($E39&lt;=INDEX($E:$E,MATCH(TRUE,INDEX((ISNUMBER($E:$E)),0),0)))*($E39&gt;INDEX(_xlfn.ANCHORARRAY(Sintesi!$C$14),1,$C39))*($E39&lt;=INDEX(_xlfn.ANCHORARRAY(Sintesi!$C$15),1,$C39))*(INDEX(_xlfn.ANCHORARRAY(Sintesi!$C$15),1,$C39)&gt;0),1,IF(($E39&gt;=$E38)*($E39&lt;=INDEX($E:$E,MATCH(TRUE,INDEX((ISNUMBER($E:$E)),0),0)))*($E39&gt;INDEX(_xlfn.ANCHORARRAY(Sintesi!$C$14),1,$C39))*($E39&lt;INDEX(_xlfn.ANCHORARRAY(Sintesi!$C$16),1,$C39))*(INDEX(_xlfn.ANCHORARRAY(Sintesi!$C$15),1,$C39)&lt;0)+($E39&gt;=$E38)*($E39&lt;=INDEX($E:$E,MATCH(TRUE,INDEX((ISNUMBER($E:$E)),0),0)))*($E39&gt;INDEX(_xlfn.ANCHORARRAY(Sintesi!$C$15),1,$C39))*($E39&lt;INDEX(_xlfn.ANCHORARRAY(Sintesi!$C$16),1,$C39))*(INDEX(_xlfn.ANCHORARRAY(Sintesi!$C$15),1,$C39)&gt;0),2,IF($E39=(INDEX(_xlfn.ANCHORARRAY(Sintesi!$C$16),1,$C39)),3,4)))),0),IF($C39&gt;0,IF(($E39=INDEX(_xlfn.ANCHORARRAY(Sintesi!$C$14),1,$C39))*(INDEX(_xlfn.ANCHORARRAY(Sintesi!$C$15),1,$C39)&gt;0),0,IF(($E39=INDEX(_xlfn.ANCHORARRAY(Sintesi!$C$14),1,$C39))*(INDEX(_xlfn.ANCHORARRAY(Sintesi!$C$15),1,$C39)&lt;0)+($E39&gt;=LOOKUP(2,1/($E:$E&lt;&gt;""),$E:$E))*($E39&lt;=INDEX($E:$E,MATCH(TRUE,INDEX((ISNUMBER($E:$E)),0),0)))*($E39&gt;INDEX(_xlfn.ANCHORARRAY(Sintesi!$C$14),1,$C39))*($E39&lt;=INDEX(_xlfn.ANCHORARRAY(Sintesi!$C$15),1,$C39))*(INDEX(_xlfn.ANCHORARRAY(Sintesi!$C$15),1,$C39)&gt;0),1,IF(($E39&gt;=LOOKUP(2,1/($E:$E&lt;&gt;""),$E:$E))*($E39&lt;=INDEX($E:$E,MATCH(TRUE,INDEX((ISNUMBER($E:$E)),0),0)))*($E39&gt;INDEX(_xlfn.ANCHORARRAY(Sintesi!$C$14),1,$C39))*($E39&lt;INDEX(_xlfn.ANCHORARRAY(Sintesi!$C$16),1,$C39))*(INDEX(_xlfn.ANCHORARRAY(Sintesi!$C$15),1,$C39)&lt;0)+($E39&gt;=LOOKUP(2,1/($E:$E&lt;&gt;""),$E:$E))*($E39&lt;=INDEX($E:$E,MATCH(TRUE,INDEX((ISNUMBER($E:$E)),0),0)))*($E39&gt;INDEX(_xlfn.ANCHORARRAY(Sintesi!$C$15),1,$C39))*($E39&lt;INDEX(_xlfn.ANCHORARRAY(Sintesi!$C$16),1,$C39))*(INDEX(_xlfn.ANCHORARRAY(Sintesi!$C$15),1,$C39)&gt;0),2,IF($E39=(INDEX(_xlfn.ANCHORARRAY(Sintesi!$C$16),1,$C39)),3,4)))),0)),IF(ISNUMBER($E38),IF($C39&gt;0,IF(($E39=INDEX(_xlfn.ANCHORARRAY(Sintesi!$C$14),1,$C39))*(INDEX(_xlfn.ANCHORARRAY(Sintesi!$C$15),1,$C39)&gt;0),0,IF(($E39=INDEX(_xlfn.ANCHORARRAY(Sintesi!$C$14),1,$C39))*(INDEX(_xlfn.ANCHORARRAY(Sintesi!$C$15),1,$C39)&lt;0)+($E39&gt;=$E38)*($E39&lt;=$E40)*($E39&gt;INDEX(_xlfn.ANCHORARRAY(Sintesi!$C$14),1,$C39))*($E39&lt;=INDEX(_xlfn.ANCHORARRAY(Sintesi!$C$15),1,$C39))*(INDEX(_xlfn.ANCHORARRAY(Sintesi!$C$15),1,$C39)&gt;0),1,IF(($E39&gt;=$E38)*($E39&lt;=$E40)*($E39&gt;INDEX(_xlfn.ANCHORARRAY(Sintesi!$C$14),1,$C39))*($E39&lt;INDEX(_xlfn.ANCHORARRAY(Sintesi!$C$16),1,$C39))*(INDEX(_xlfn.ANCHORARRAY(Sintesi!$C$15),1,$C39)&lt;0)+($E39&gt;=$E38)*($E39&lt;=$E40)*($E39&gt;INDEX(_xlfn.ANCHORARRAY(Sintesi!$C$15),1,$C39))*($E39&lt;INDEX(_xlfn.ANCHORARRAY(Sintesi!$C$16),1,$C39))*(INDEX(_xlfn.ANCHORARRAY(Sintesi!$C$15),1,$C39)&gt;0),2,IF($E39=(INDEX(_xlfn.ANCHORARRAY(Sintesi!$C$16),1,$C39)),3,4)))),0),IF($C39&gt;0,IF(($E39=INDEX(_xlfn.ANCHORARRAY(Sintesi!$C$14),1,$C39))*(INDEX(_xlfn.ANCHORARRAY(Sintesi!$C$15),1,$C39)&gt;0),0,IF(($E39=INDEX(_xlfn.ANCHORARRAY(Sintesi!$C$14),1,$C39))*(INDEX(_xlfn.ANCHORARRAY(Sintesi!$C$15),1,$C39)&lt;0)+($E39&gt;=LOOKUP(2,1/($E:$E&lt;&gt;""),$E:$E))*($E39&lt;=$E40)*($E39&gt;INDEX(_xlfn.ANCHORARRAY(Sintesi!$C$14),1,$C39))*($E39&lt;=INDEX(_xlfn.ANCHORARRAY(Sintesi!$C$15),1,$C39))*(INDEX(_xlfn.ANCHORARRAY(Sintesi!$C$15),1,$C39)&gt;0),1,IF(($E39&gt;=LOOKUP(2,1/($E:$E&lt;&gt;""),$E:$E))*($E39&lt;=$E40)*($E39&gt;INDEX(_xlfn.ANCHORARRAY(Sintesi!$C$14),1,$C39))*($E39&lt;INDEX(_xlfn.ANCHORARRAY(Sintesi!$C$16),1,$C39))*(INDEX(_xlfn.ANCHORARRAY(Sintesi!$C$15),1,$C39)&lt;0)+($E39&gt;=LOOKUP(2,1/($E:$E&lt;&gt;""),$E:$E))*($E39&lt;=$E40)*($E39&gt;INDEX(_xlfn.ANCHORARRAY(Sintesi!$C$15),1,$C39))*($E39&lt;INDEX(_xlfn.ANCHORARRAY(Sintesi!$C$16),1,$C39))*(INDEX(_xlfn.ANCHORARRAY(Sintesi!$C$15),1,$C39)&gt;0),2,IF($E39=(INDEX(_xlfn.ANCHORARRAY(Sintesi!$C$16),1,$C39)),3,4)))),0)))</f>
        <v>0</v>
      </c>
      <c r="E39" s="1">
        <f>'Paste cell here'!F39</f>
        <v>0</v>
      </c>
      <c r="F39" s="1">
        <f>'Paste cell here'!C39</f>
        <v>8.9399999999998716</v>
      </c>
      <c r="G39" s="1">
        <f>'Paste cell here'!D39</f>
        <v>7.1399999999998958</v>
      </c>
      <c r="H39" s="1">
        <f>'Paste cell here'!E39</f>
        <v>0.41443166105229717</v>
      </c>
      <c r="I39" s="1">
        <f>'Paste cell here'!X39</f>
        <v>0</v>
      </c>
      <c r="J39" s="1">
        <f>'Paste cell here'!Y39+'Paste cell here'!S39</f>
        <v>0</v>
      </c>
      <c r="K39" s="1">
        <f t="shared" si="0"/>
        <v>0</v>
      </c>
      <c r="L39" s="1">
        <f t="shared" si="1"/>
        <v>8.2873559398941889</v>
      </c>
      <c r="M39" s="1">
        <f t="array" ref="M39">IF(AND(A39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39&gt;=_xlfn.ANCHORARRAY(Sintesi!$C$9))+(_xlfn.ANCHORARRAY(Sintesi!$C$9)&gt;_xlfn.ANCHORARRAY(Sintesi!$C$10))*(A39&lt;=_xlfn.ANCHORARRAY(Sintesi!$C$10))+(_xlfn.ANCHORARRAY(Sintesi!$C$9)&lt;_xlfn.ANCHORARRAY(Sintesi!$C$10))*(A39&gt;=_xlfn.ANCHORARRAY(Sintesi!$C$9))*(A39&lt;=_xlfn.ANCHORARRAY(Sintesi!$C$10)),0)),0),A39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40&gt;=_xlfn.ANCHORARRAY(Sintesi!$C$9))+(_xlfn.ANCHORARRAY(Sintesi!$C$9)&gt;_xlfn.ANCHORARRAY(Sintesi!$C$10))*(A40&lt;=_xlfn.ANCHORARRAY(Sintesi!$C$10))+(_xlfn.ANCHORARRAY(Sintesi!$C$9)&lt;_xlfn.ANCHORARRAY(Sintesi!$C$10))*(A40&gt;=_xlfn.ANCHORARRAY(Sintesi!$C$9))*(A40&lt;=_xlfn.ANCHORARRAY(Sintesi!$C$10)),0)),0)),IF(L39&lt;_xlfn.IFNA(INDEX(_xlfn.ANCHORARRAY(Sintesi!$C$17),1,MATCH(1,(_xlfn.ANCHORARRAY(Sintesi!$C$9)&gt;_xlfn.ANCHORARRAY(Sintesi!$C$10))*(A38&gt;=_xlfn.ANCHORARRAY(Sintesi!$C$9))+(_xlfn.ANCHORARRAY(Sintesi!$C$9)&gt;_xlfn.ANCHORARRAY(Sintesi!$C$10))*(A38&lt;=_xlfn.ANCHORARRAY(Sintesi!$C$10))+(_xlfn.ANCHORARRAY(Sintesi!$C$9)&lt;_xlfn.ANCHORARRAY(Sintesi!$C$10))*(A38&gt;=_xlfn.ANCHORARRAY(Sintesi!$C$9))*(A38&lt;=_xlfn.ANCHORARRAY(Sintesi!$C$10)),0)),0),1,IF(L39&gt;=_xlfn.IFNA(INDEX(_xlfn.ANCHORARRAY(Sintesi!$C$18),1,MATCH(1,(_xlfn.ANCHORARRAY(Sintesi!$C$9)&gt;_xlfn.ANCHORARRAY(Sintesi!$C$10))*(A38&gt;=_xlfn.ANCHORARRAY(Sintesi!$C$9))+(_xlfn.ANCHORARRAY(Sintesi!$C$9)&gt;_xlfn.ANCHORARRAY(Sintesi!$C$10))*(A38&lt;=_xlfn.ANCHORARRAY(Sintesi!$C$10))+(_xlfn.ANCHORARRAY(Sintesi!$C$9)&lt;_xlfn.ANCHORARRAY(Sintesi!$C$10))*(A38&gt;=_xlfn.ANCHORARRAY(Sintesi!$C$9))*(A38&lt;=_xlfn.ANCHORARRAY(Sintesi!$C$10)),0)),0),0,1-(L39-_xlfn.IFNA(INDEX(_xlfn.ANCHORARRAY(Sintesi!$C$17),1,MATCH(1,(_xlfn.ANCHORARRAY(Sintesi!$C$9)&gt;_xlfn.ANCHORARRAY(Sintesi!$C$10))*(A38&gt;=_xlfn.ANCHORARRAY(Sintesi!$C$9))+(_xlfn.ANCHORARRAY(Sintesi!$C$9)&gt;_xlfn.ANCHORARRAY(Sintesi!$C$10))*(A38&lt;=_xlfn.ANCHORARRAY(Sintesi!$C$10))+(_xlfn.ANCHORARRAY(Sintesi!$C$9)&lt;_xlfn.ANCHORARRAY(Sintesi!$C$10))*(A38&gt;=_xlfn.ANCHORARRAY(Sintesi!$C$9))*(A38&lt;=_xlfn.ANCHORARRAY(Sintesi!$C$10)),0)),0))/(_xlfn.IFNA(INDEX(_xlfn.ANCHORARRAY(Sintesi!$C$18),1,MATCH(1,(_xlfn.ANCHORARRAY(Sintesi!$C$9)&gt;_xlfn.ANCHORARRAY(Sintesi!$C$10))*(A38&gt;=_xlfn.ANCHORARRAY(Sintesi!$C$9))+(_xlfn.ANCHORARRAY(Sintesi!$C$9)&gt;_xlfn.ANCHORARRAY(Sintesi!$C$10))*(A38&lt;=_xlfn.ANCHORARRAY(Sintesi!$C$10))+(_xlfn.ANCHORARRAY(Sintesi!$C$9)&lt;_xlfn.ANCHORARRAY(Sintesi!$C$10))*(A38&gt;=_xlfn.ANCHORARRAY(Sintesi!$C$9))*(A38&lt;=_xlfn.ANCHORARRAY(Sintesi!$C$10)),0)),0)-_xlfn.IFNA(INDEX(_xlfn.ANCHORARRAY(Sintesi!$C$17),1,MATCH(1,(_xlfn.ANCHORARRAY(Sintesi!$C$9)&gt;_xlfn.ANCHORARRAY(Sintesi!$C$10))*(A38&gt;=_xlfn.ANCHORARRAY(Sintesi!$C$9))+(_xlfn.ANCHORARRAY(Sintesi!$C$9)&gt;_xlfn.ANCHORARRAY(Sintesi!$C$10))*(A38&lt;=_xlfn.ANCHORARRAY(Sintesi!$C$10))+(_xlfn.ANCHORARRAY(Sintesi!$C$9)&lt;_xlfn.ANCHORARRAY(Sintesi!$C$10))*(A38&gt;=_xlfn.ANCHORARRAY(Sintesi!$C$9))*(A38&lt;=_xlfn.ANCHORARRAY(Sintesi!$C$10)),0)),0)))),0)</f>
        <v>0</v>
      </c>
    </row>
    <row r="40" spans="1:13">
      <c r="A40" s="1">
        <f>'Paste cell here'!A40</f>
        <v>39</v>
      </c>
      <c r="B40" s="2">
        <f>DATE(Sintesi!$C$4-1,12,31)+A40</f>
        <v>44235</v>
      </c>
      <c r="C40" s="34">
        <f t="array" ref="C40">_xlfn.IFNA(MATCH(1,((_xlfn.ANCHORARRAY(Sintesi!$C$9)&gt;_xlfn.ANCHORARRAY(Sintesi!$C$10))*(A40&gt;=_xlfn.ANCHORARRAY(Sintesi!$C$9))+(_xlfn.ANCHORARRAY(Sintesi!$C$9)&gt;_xlfn.ANCHORARRAY(Sintesi!$C$10))*(A40&lt;=_xlfn.ANCHORARRAY(Sintesi!$C$10))+(_xlfn.ANCHORARRAY(Sintesi!$C$9)&lt;_xlfn.ANCHORARRAY(Sintesi!$C$10))*(A40&gt;=_xlfn.ANCHORARRAY(Sintesi!$C$9))*(A40&lt;=_xlfn.ANCHORARRAY(Sintesi!$C$10)))*(_xlfn.ANCHORARRAY(Sintesi!$C$15)&gt;=0)+(_xlfn.ANCHORARRAY(Sintesi!$C$15)&lt;0),0),0)</f>
        <v>0</v>
      </c>
      <c r="D40" s="1">
        <f t="array" ref="D40">IF(ISBLANK($E41),IF(ISNUMBER($E39),IF($C40&gt;0,IF(($E40=INDEX(_xlfn.ANCHORARRAY(Sintesi!$C$14),1,$C40))*(INDEX(_xlfn.ANCHORARRAY(Sintesi!$C$15),1,$C40)&gt;0),0,IF(($E40=INDEX(_xlfn.ANCHORARRAY(Sintesi!$C$14),1,$C40))*(INDEX(_xlfn.ANCHORARRAY(Sintesi!$C$15),1,$C40)&lt;0)+($E40&gt;=$E39)*($E40&lt;=INDEX($E:$E,MATCH(TRUE,INDEX((ISNUMBER($E:$E)),0),0)))*($E40&gt;INDEX(_xlfn.ANCHORARRAY(Sintesi!$C$14),1,$C40))*($E40&lt;=INDEX(_xlfn.ANCHORARRAY(Sintesi!$C$15),1,$C40))*(INDEX(_xlfn.ANCHORARRAY(Sintesi!$C$15),1,$C40)&gt;0),1,IF(($E40&gt;=$E39)*($E40&lt;=INDEX($E:$E,MATCH(TRUE,INDEX((ISNUMBER($E:$E)),0),0)))*($E40&gt;INDEX(_xlfn.ANCHORARRAY(Sintesi!$C$14),1,$C40))*($E40&lt;INDEX(_xlfn.ANCHORARRAY(Sintesi!$C$16),1,$C40))*(INDEX(_xlfn.ANCHORARRAY(Sintesi!$C$15),1,$C40)&lt;0)+($E40&gt;=$E39)*($E40&lt;=INDEX($E:$E,MATCH(TRUE,INDEX((ISNUMBER($E:$E)),0),0)))*($E40&gt;INDEX(_xlfn.ANCHORARRAY(Sintesi!$C$15),1,$C40))*($E40&lt;INDEX(_xlfn.ANCHORARRAY(Sintesi!$C$16),1,$C40))*(INDEX(_xlfn.ANCHORARRAY(Sintesi!$C$15),1,$C40)&gt;0),2,IF($E40=(INDEX(_xlfn.ANCHORARRAY(Sintesi!$C$16),1,$C40)),3,4)))),0),IF($C40&gt;0,IF(($E40=INDEX(_xlfn.ANCHORARRAY(Sintesi!$C$14),1,$C40))*(INDEX(_xlfn.ANCHORARRAY(Sintesi!$C$15),1,$C40)&gt;0),0,IF(($E40=INDEX(_xlfn.ANCHORARRAY(Sintesi!$C$14),1,$C40))*(INDEX(_xlfn.ANCHORARRAY(Sintesi!$C$15),1,$C40)&lt;0)+($E40&gt;=LOOKUP(2,1/($E:$E&lt;&gt;""),$E:$E))*($E40&lt;=INDEX($E:$E,MATCH(TRUE,INDEX((ISNUMBER($E:$E)),0),0)))*($E40&gt;INDEX(_xlfn.ANCHORARRAY(Sintesi!$C$14),1,$C40))*($E40&lt;=INDEX(_xlfn.ANCHORARRAY(Sintesi!$C$15),1,$C40))*(INDEX(_xlfn.ANCHORARRAY(Sintesi!$C$15),1,$C40)&gt;0),1,IF(($E40&gt;=LOOKUP(2,1/($E:$E&lt;&gt;""),$E:$E))*($E40&lt;=INDEX($E:$E,MATCH(TRUE,INDEX((ISNUMBER($E:$E)),0),0)))*($E40&gt;INDEX(_xlfn.ANCHORARRAY(Sintesi!$C$14),1,$C40))*($E40&lt;INDEX(_xlfn.ANCHORARRAY(Sintesi!$C$16),1,$C40))*(INDEX(_xlfn.ANCHORARRAY(Sintesi!$C$15),1,$C40)&lt;0)+($E40&gt;=LOOKUP(2,1/($E:$E&lt;&gt;""),$E:$E))*($E40&lt;=INDEX($E:$E,MATCH(TRUE,INDEX((ISNUMBER($E:$E)),0),0)))*($E40&gt;INDEX(_xlfn.ANCHORARRAY(Sintesi!$C$15),1,$C40))*($E40&lt;INDEX(_xlfn.ANCHORARRAY(Sintesi!$C$16),1,$C40))*(INDEX(_xlfn.ANCHORARRAY(Sintesi!$C$15),1,$C40)&gt;0),2,IF($E40=(INDEX(_xlfn.ANCHORARRAY(Sintesi!$C$16),1,$C40)),3,4)))),0)),IF(ISNUMBER($E39),IF($C40&gt;0,IF(($E40=INDEX(_xlfn.ANCHORARRAY(Sintesi!$C$14),1,$C40))*(INDEX(_xlfn.ANCHORARRAY(Sintesi!$C$15),1,$C40)&gt;0),0,IF(($E40=INDEX(_xlfn.ANCHORARRAY(Sintesi!$C$14),1,$C40))*(INDEX(_xlfn.ANCHORARRAY(Sintesi!$C$15),1,$C40)&lt;0)+($E40&gt;=$E39)*($E40&lt;=$E41)*($E40&gt;INDEX(_xlfn.ANCHORARRAY(Sintesi!$C$14),1,$C40))*($E40&lt;=INDEX(_xlfn.ANCHORARRAY(Sintesi!$C$15),1,$C40))*(INDEX(_xlfn.ANCHORARRAY(Sintesi!$C$15),1,$C40)&gt;0),1,IF(($E40&gt;=$E39)*($E40&lt;=$E41)*($E40&gt;INDEX(_xlfn.ANCHORARRAY(Sintesi!$C$14),1,$C40))*($E40&lt;INDEX(_xlfn.ANCHORARRAY(Sintesi!$C$16),1,$C40))*(INDEX(_xlfn.ANCHORARRAY(Sintesi!$C$15),1,$C40)&lt;0)+($E40&gt;=$E39)*($E40&lt;=$E41)*($E40&gt;INDEX(_xlfn.ANCHORARRAY(Sintesi!$C$15),1,$C40))*($E40&lt;INDEX(_xlfn.ANCHORARRAY(Sintesi!$C$16),1,$C40))*(INDEX(_xlfn.ANCHORARRAY(Sintesi!$C$15),1,$C40)&gt;0),2,IF($E40=(INDEX(_xlfn.ANCHORARRAY(Sintesi!$C$16),1,$C40)),3,4)))),0),IF($C40&gt;0,IF(($E40=INDEX(_xlfn.ANCHORARRAY(Sintesi!$C$14),1,$C40))*(INDEX(_xlfn.ANCHORARRAY(Sintesi!$C$15),1,$C40)&gt;0),0,IF(($E40=INDEX(_xlfn.ANCHORARRAY(Sintesi!$C$14),1,$C40))*(INDEX(_xlfn.ANCHORARRAY(Sintesi!$C$15),1,$C40)&lt;0)+($E40&gt;=LOOKUP(2,1/($E:$E&lt;&gt;""),$E:$E))*($E40&lt;=$E41)*($E40&gt;INDEX(_xlfn.ANCHORARRAY(Sintesi!$C$14),1,$C40))*($E40&lt;=INDEX(_xlfn.ANCHORARRAY(Sintesi!$C$15),1,$C40))*(INDEX(_xlfn.ANCHORARRAY(Sintesi!$C$15),1,$C40)&gt;0),1,IF(($E40&gt;=LOOKUP(2,1/($E:$E&lt;&gt;""),$E:$E))*($E40&lt;=$E41)*($E40&gt;INDEX(_xlfn.ANCHORARRAY(Sintesi!$C$14),1,$C40))*($E40&lt;INDEX(_xlfn.ANCHORARRAY(Sintesi!$C$16),1,$C40))*(INDEX(_xlfn.ANCHORARRAY(Sintesi!$C$15),1,$C40)&lt;0)+($E40&gt;=LOOKUP(2,1/($E:$E&lt;&gt;""),$E:$E))*($E40&lt;=$E41)*($E40&gt;INDEX(_xlfn.ANCHORARRAY(Sintesi!$C$15),1,$C40))*($E40&lt;INDEX(_xlfn.ANCHORARRAY(Sintesi!$C$16),1,$C40))*(INDEX(_xlfn.ANCHORARRAY(Sintesi!$C$15),1,$C40)&gt;0),2,IF($E40=(INDEX(_xlfn.ANCHORARRAY(Sintesi!$C$16),1,$C40)),3,4)))),0)))</f>
        <v>0</v>
      </c>
      <c r="E40" s="1">
        <f>'Paste cell here'!F40</f>
        <v>0</v>
      </c>
      <c r="F40" s="1">
        <f>'Paste cell here'!C40</f>
        <v>13.399999999999807</v>
      </c>
      <c r="G40" s="1">
        <f>'Paste cell here'!D40</f>
        <v>4.3999999999999417</v>
      </c>
      <c r="H40" s="1">
        <f>'Paste cell here'!E40</f>
        <v>1.061309762865732</v>
      </c>
      <c r="I40" s="1">
        <f>'Paste cell here'!X40</f>
        <v>0</v>
      </c>
      <c r="J40" s="1">
        <f>'Paste cell here'!Y40+'Paste cell here'!S40</f>
        <v>0</v>
      </c>
      <c r="K40" s="1">
        <f t="shared" si="0"/>
        <v>0</v>
      </c>
      <c r="L40" s="1">
        <f t="shared" si="1"/>
        <v>10.136779699471395</v>
      </c>
      <c r="M40" s="1">
        <f t="array" ref="M40">IF(AND(A40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40&gt;=_xlfn.ANCHORARRAY(Sintesi!$C$9))+(_xlfn.ANCHORARRAY(Sintesi!$C$9)&gt;_xlfn.ANCHORARRAY(Sintesi!$C$10))*(A40&lt;=_xlfn.ANCHORARRAY(Sintesi!$C$10))+(_xlfn.ANCHORARRAY(Sintesi!$C$9)&lt;_xlfn.ANCHORARRAY(Sintesi!$C$10))*(A40&gt;=_xlfn.ANCHORARRAY(Sintesi!$C$9))*(A40&lt;=_xlfn.ANCHORARRAY(Sintesi!$C$10)),0)),0),A40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41&gt;=_xlfn.ANCHORARRAY(Sintesi!$C$9))+(_xlfn.ANCHORARRAY(Sintesi!$C$9)&gt;_xlfn.ANCHORARRAY(Sintesi!$C$10))*(A41&lt;=_xlfn.ANCHORARRAY(Sintesi!$C$10))+(_xlfn.ANCHORARRAY(Sintesi!$C$9)&lt;_xlfn.ANCHORARRAY(Sintesi!$C$10))*(A41&gt;=_xlfn.ANCHORARRAY(Sintesi!$C$9))*(A41&lt;=_xlfn.ANCHORARRAY(Sintesi!$C$10)),0)),0)),IF(L40&lt;_xlfn.IFNA(INDEX(_xlfn.ANCHORARRAY(Sintesi!$C$17),1,MATCH(1,(_xlfn.ANCHORARRAY(Sintesi!$C$9)&gt;_xlfn.ANCHORARRAY(Sintesi!$C$10))*(A39&gt;=_xlfn.ANCHORARRAY(Sintesi!$C$9))+(_xlfn.ANCHORARRAY(Sintesi!$C$9)&gt;_xlfn.ANCHORARRAY(Sintesi!$C$10))*(A39&lt;=_xlfn.ANCHORARRAY(Sintesi!$C$10))+(_xlfn.ANCHORARRAY(Sintesi!$C$9)&lt;_xlfn.ANCHORARRAY(Sintesi!$C$10))*(A39&gt;=_xlfn.ANCHORARRAY(Sintesi!$C$9))*(A39&lt;=_xlfn.ANCHORARRAY(Sintesi!$C$10)),0)),0),1,IF(L40&gt;=_xlfn.IFNA(INDEX(_xlfn.ANCHORARRAY(Sintesi!$C$18),1,MATCH(1,(_xlfn.ANCHORARRAY(Sintesi!$C$9)&gt;_xlfn.ANCHORARRAY(Sintesi!$C$10))*(A39&gt;=_xlfn.ANCHORARRAY(Sintesi!$C$9))+(_xlfn.ANCHORARRAY(Sintesi!$C$9)&gt;_xlfn.ANCHORARRAY(Sintesi!$C$10))*(A39&lt;=_xlfn.ANCHORARRAY(Sintesi!$C$10))+(_xlfn.ANCHORARRAY(Sintesi!$C$9)&lt;_xlfn.ANCHORARRAY(Sintesi!$C$10))*(A39&gt;=_xlfn.ANCHORARRAY(Sintesi!$C$9))*(A39&lt;=_xlfn.ANCHORARRAY(Sintesi!$C$10)),0)),0),0,1-(L40-_xlfn.IFNA(INDEX(_xlfn.ANCHORARRAY(Sintesi!$C$17),1,MATCH(1,(_xlfn.ANCHORARRAY(Sintesi!$C$9)&gt;_xlfn.ANCHORARRAY(Sintesi!$C$10))*(A39&gt;=_xlfn.ANCHORARRAY(Sintesi!$C$9))+(_xlfn.ANCHORARRAY(Sintesi!$C$9)&gt;_xlfn.ANCHORARRAY(Sintesi!$C$10))*(A39&lt;=_xlfn.ANCHORARRAY(Sintesi!$C$10))+(_xlfn.ANCHORARRAY(Sintesi!$C$9)&lt;_xlfn.ANCHORARRAY(Sintesi!$C$10))*(A39&gt;=_xlfn.ANCHORARRAY(Sintesi!$C$9))*(A39&lt;=_xlfn.ANCHORARRAY(Sintesi!$C$10)),0)),0))/(_xlfn.IFNA(INDEX(_xlfn.ANCHORARRAY(Sintesi!$C$18),1,MATCH(1,(_xlfn.ANCHORARRAY(Sintesi!$C$9)&gt;_xlfn.ANCHORARRAY(Sintesi!$C$10))*(A39&gt;=_xlfn.ANCHORARRAY(Sintesi!$C$9))+(_xlfn.ANCHORARRAY(Sintesi!$C$9)&gt;_xlfn.ANCHORARRAY(Sintesi!$C$10))*(A39&lt;=_xlfn.ANCHORARRAY(Sintesi!$C$10))+(_xlfn.ANCHORARRAY(Sintesi!$C$9)&lt;_xlfn.ANCHORARRAY(Sintesi!$C$10))*(A39&gt;=_xlfn.ANCHORARRAY(Sintesi!$C$9))*(A39&lt;=_xlfn.ANCHORARRAY(Sintesi!$C$10)),0)),0)-_xlfn.IFNA(INDEX(_xlfn.ANCHORARRAY(Sintesi!$C$17),1,MATCH(1,(_xlfn.ANCHORARRAY(Sintesi!$C$9)&gt;_xlfn.ANCHORARRAY(Sintesi!$C$10))*(A39&gt;=_xlfn.ANCHORARRAY(Sintesi!$C$9))+(_xlfn.ANCHORARRAY(Sintesi!$C$9)&gt;_xlfn.ANCHORARRAY(Sintesi!$C$10))*(A39&lt;=_xlfn.ANCHORARRAY(Sintesi!$C$10))+(_xlfn.ANCHORARRAY(Sintesi!$C$9)&lt;_xlfn.ANCHORARRAY(Sintesi!$C$10))*(A39&gt;=_xlfn.ANCHORARRAY(Sintesi!$C$9))*(A39&lt;=_xlfn.ANCHORARRAY(Sintesi!$C$10)),0)),0)))),0)</f>
        <v>0</v>
      </c>
    </row>
    <row r="41" spans="1:13">
      <c r="A41" s="1">
        <f>'Paste cell here'!A41</f>
        <v>40</v>
      </c>
      <c r="B41" s="2">
        <f>DATE(Sintesi!$C$4-1,12,31)+A41</f>
        <v>44236</v>
      </c>
      <c r="C41" s="34">
        <f t="array" ref="C41">_xlfn.IFNA(MATCH(1,((_xlfn.ANCHORARRAY(Sintesi!$C$9)&gt;_xlfn.ANCHORARRAY(Sintesi!$C$10))*(A41&gt;=_xlfn.ANCHORARRAY(Sintesi!$C$9))+(_xlfn.ANCHORARRAY(Sintesi!$C$9)&gt;_xlfn.ANCHORARRAY(Sintesi!$C$10))*(A41&lt;=_xlfn.ANCHORARRAY(Sintesi!$C$10))+(_xlfn.ANCHORARRAY(Sintesi!$C$9)&lt;_xlfn.ANCHORARRAY(Sintesi!$C$10))*(A41&gt;=_xlfn.ANCHORARRAY(Sintesi!$C$9))*(A41&lt;=_xlfn.ANCHORARRAY(Sintesi!$C$10)))*(_xlfn.ANCHORARRAY(Sintesi!$C$15)&gt;=0)+(_xlfn.ANCHORARRAY(Sintesi!$C$15)&lt;0),0),0)</f>
        <v>0</v>
      </c>
      <c r="D41" s="1">
        <f t="array" ref="D41">IF(ISBLANK($E42),IF(ISNUMBER($E40),IF($C41&gt;0,IF(($E41=INDEX(_xlfn.ANCHORARRAY(Sintesi!$C$14),1,$C41))*(INDEX(_xlfn.ANCHORARRAY(Sintesi!$C$15),1,$C41)&gt;0),0,IF(($E41=INDEX(_xlfn.ANCHORARRAY(Sintesi!$C$14),1,$C41))*(INDEX(_xlfn.ANCHORARRAY(Sintesi!$C$15),1,$C41)&lt;0)+($E41&gt;=$E40)*($E41&lt;=INDEX($E:$E,MATCH(TRUE,INDEX((ISNUMBER($E:$E)),0),0)))*($E41&gt;INDEX(_xlfn.ANCHORARRAY(Sintesi!$C$14),1,$C41))*($E41&lt;=INDEX(_xlfn.ANCHORARRAY(Sintesi!$C$15),1,$C41))*(INDEX(_xlfn.ANCHORARRAY(Sintesi!$C$15),1,$C41)&gt;0),1,IF(($E41&gt;=$E40)*($E41&lt;=INDEX($E:$E,MATCH(TRUE,INDEX((ISNUMBER($E:$E)),0),0)))*($E41&gt;INDEX(_xlfn.ANCHORARRAY(Sintesi!$C$14),1,$C41))*($E41&lt;INDEX(_xlfn.ANCHORARRAY(Sintesi!$C$16),1,$C41))*(INDEX(_xlfn.ANCHORARRAY(Sintesi!$C$15),1,$C41)&lt;0)+($E41&gt;=$E40)*($E41&lt;=INDEX($E:$E,MATCH(TRUE,INDEX((ISNUMBER($E:$E)),0),0)))*($E41&gt;INDEX(_xlfn.ANCHORARRAY(Sintesi!$C$15),1,$C41))*($E41&lt;INDEX(_xlfn.ANCHORARRAY(Sintesi!$C$16),1,$C41))*(INDEX(_xlfn.ANCHORARRAY(Sintesi!$C$15),1,$C41)&gt;0),2,IF($E41=(INDEX(_xlfn.ANCHORARRAY(Sintesi!$C$16),1,$C41)),3,4)))),0),IF($C41&gt;0,IF(($E41=INDEX(_xlfn.ANCHORARRAY(Sintesi!$C$14),1,$C41))*(INDEX(_xlfn.ANCHORARRAY(Sintesi!$C$15),1,$C41)&gt;0),0,IF(($E41=INDEX(_xlfn.ANCHORARRAY(Sintesi!$C$14),1,$C41))*(INDEX(_xlfn.ANCHORARRAY(Sintesi!$C$15),1,$C41)&lt;0)+($E41&gt;=LOOKUP(2,1/($E:$E&lt;&gt;""),$E:$E))*($E41&lt;=INDEX($E:$E,MATCH(TRUE,INDEX((ISNUMBER($E:$E)),0),0)))*($E41&gt;INDEX(_xlfn.ANCHORARRAY(Sintesi!$C$14),1,$C41))*($E41&lt;=INDEX(_xlfn.ANCHORARRAY(Sintesi!$C$15),1,$C41))*(INDEX(_xlfn.ANCHORARRAY(Sintesi!$C$15),1,$C41)&gt;0),1,IF(($E41&gt;=LOOKUP(2,1/($E:$E&lt;&gt;""),$E:$E))*($E41&lt;=INDEX($E:$E,MATCH(TRUE,INDEX((ISNUMBER($E:$E)),0),0)))*($E41&gt;INDEX(_xlfn.ANCHORARRAY(Sintesi!$C$14),1,$C41))*($E41&lt;INDEX(_xlfn.ANCHORARRAY(Sintesi!$C$16),1,$C41))*(INDEX(_xlfn.ANCHORARRAY(Sintesi!$C$15),1,$C41)&lt;0)+($E41&gt;=LOOKUP(2,1/($E:$E&lt;&gt;""),$E:$E))*($E41&lt;=INDEX($E:$E,MATCH(TRUE,INDEX((ISNUMBER($E:$E)),0),0)))*($E41&gt;INDEX(_xlfn.ANCHORARRAY(Sintesi!$C$15),1,$C41))*($E41&lt;INDEX(_xlfn.ANCHORARRAY(Sintesi!$C$16),1,$C41))*(INDEX(_xlfn.ANCHORARRAY(Sintesi!$C$15),1,$C41)&gt;0),2,IF($E41=(INDEX(_xlfn.ANCHORARRAY(Sintesi!$C$16),1,$C41)),3,4)))),0)),IF(ISNUMBER($E40),IF($C41&gt;0,IF(($E41=INDEX(_xlfn.ANCHORARRAY(Sintesi!$C$14),1,$C41))*(INDEX(_xlfn.ANCHORARRAY(Sintesi!$C$15),1,$C41)&gt;0),0,IF(($E41=INDEX(_xlfn.ANCHORARRAY(Sintesi!$C$14),1,$C41))*(INDEX(_xlfn.ANCHORARRAY(Sintesi!$C$15),1,$C41)&lt;0)+($E41&gt;=$E40)*($E41&lt;=$E42)*($E41&gt;INDEX(_xlfn.ANCHORARRAY(Sintesi!$C$14),1,$C41))*($E41&lt;=INDEX(_xlfn.ANCHORARRAY(Sintesi!$C$15),1,$C41))*(INDEX(_xlfn.ANCHORARRAY(Sintesi!$C$15),1,$C41)&gt;0),1,IF(($E41&gt;=$E40)*($E41&lt;=$E42)*($E41&gt;INDEX(_xlfn.ANCHORARRAY(Sintesi!$C$14),1,$C41))*($E41&lt;INDEX(_xlfn.ANCHORARRAY(Sintesi!$C$16),1,$C41))*(INDEX(_xlfn.ANCHORARRAY(Sintesi!$C$15),1,$C41)&lt;0)+($E41&gt;=$E40)*($E41&lt;=$E42)*($E41&gt;INDEX(_xlfn.ANCHORARRAY(Sintesi!$C$15),1,$C41))*($E41&lt;INDEX(_xlfn.ANCHORARRAY(Sintesi!$C$16),1,$C41))*(INDEX(_xlfn.ANCHORARRAY(Sintesi!$C$15),1,$C41)&gt;0),2,IF($E41=(INDEX(_xlfn.ANCHORARRAY(Sintesi!$C$16),1,$C41)),3,4)))),0),IF($C41&gt;0,IF(($E41=INDEX(_xlfn.ANCHORARRAY(Sintesi!$C$14),1,$C41))*(INDEX(_xlfn.ANCHORARRAY(Sintesi!$C$15),1,$C41)&gt;0),0,IF(($E41=INDEX(_xlfn.ANCHORARRAY(Sintesi!$C$14),1,$C41))*(INDEX(_xlfn.ANCHORARRAY(Sintesi!$C$15),1,$C41)&lt;0)+($E41&gt;=LOOKUP(2,1/($E:$E&lt;&gt;""),$E:$E))*($E41&lt;=$E42)*($E41&gt;INDEX(_xlfn.ANCHORARRAY(Sintesi!$C$14),1,$C41))*($E41&lt;=INDEX(_xlfn.ANCHORARRAY(Sintesi!$C$15),1,$C41))*(INDEX(_xlfn.ANCHORARRAY(Sintesi!$C$15),1,$C41)&gt;0),1,IF(($E41&gt;=LOOKUP(2,1/($E:$E&lt;&gt;""),$E:$E))*($E41&lt;=$E42)*($E41&gt;INDEX(_xlfn.ANCHORARRAY(Sintesi!$C$14),1,$C41))*($E41&lt;INDEX(_xlfn.ANCHORARRAY(Sintesi!$C$16),1,$C41))*(INDEX(_xlfn.ANCHORARRAY(Sintesi!$C$15),1,$C41)&lt;0)+($E41&gt;=LOOKUP(2,1/($E:$E&lt;&gt;""),$E:$E))*($E41&lt;=$E42)*($E41&gt;INDEX(_xlfn.ANCHORARRAY(Sintesi!$C$15),1,$C41))*($E41&lt;INDEX(_xlfn.ANCHORARRAY(Sintesi!$C$16),1,$C41))*(INDEX(_xlfn.ANCHORARRAY(Sintesi!$C$15),1,$C41)&gt;0),2,IF($E41=(INDEX(_xlfn.ANCHORARRAY(Sintesi!$C$16),1,$C41)),3,4)))),0)))</f>
        <v>0</v>
      </c>
      <c r="E41" s="1">
        <f>'Paste cell here'!F41</f>
        <v>0</v>
      </c>
      <c r="F41" s="1">
        <f>'Paste cell here'!C41</f>
        <v>11.619999999999834</v>
      </c>
      <c r="G41" s="1">
        <f>'Paste cell here'!D41</f>
        <v>6.9999999999999005</v>
      </c>
      <c r="H41" s="1">
        <f>'Paste cell here'!E41</f>
        <v>0.67153261848347401</v>
      </c>
      <c r="I41" s="1">
        <f>'Paste cell here'!X41</f>
        <v>0</v>
      </c>
      <c r="J41" s="1">
        <f>'Paste cell here'!Y41+'Paste cell here'!S41</f>
        <v>0</v>
      </c>
      <c r="K41" s="1">
        <f t="shared" si="0"/>
        <v>0</v>
      </c>
      <c r="L41" s="1">
        <f t="shared" si="1"/>
        <v>9.9448802457285819</v>
      </c>
      <c r="M41" s="1">
        <f t="array" ref="M41">IF(AND(A41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41&gt;=_xlfn.ANCHORARRAY(Sintesi!$C$9))+(_xlfn.ANCHORARRAY(Sintesi!$C$9)&gt;_xlfn.ANCHORARRAY(Sintesi!$C$10))*(A41&lt;=_xlfn.ANCHORARRAY(Sintesi!$C$10))+(_xlfn.ANCHORARRAY(Sintesi!$C$9)&lt;_xlfn.ANCHORARRAY(Sintesi!$C$10))*(A41&gt;=_xlfn.ANCHORARRAY(Sintesi!$C$9))*(A41&lt;=_xlfn.ANCHORARRAY(Sintesi!$C$10)),0)),0),A41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42&gt;=_xlfn.ANCHORARRAY(Sintesi!$C$9))+(_xlfn.ANCHORARRAY(Sintesi!$C$9)&gt;_xlfn.ANCHORARRAY(Sintesi!$C$10))*(A42&lt;=_xlfn.ANCHORARRAY(Sintesi!$C$10))+(_xlfn.ANCHORARRAY(Sintesi!$C$9)&lt;_xlfn.ANCHORARRAY(Sintesi!$C$10))*(A42&gt;=_xlfn.ANCHORARRAY(Sintesi!$C$9))*(A42&lt;=_xlfn.ANCHORARRAY(Sintesi!$C$10)),0)),0)),IF(L41&lt;_xlfn.IFNA(INDEX(_xlfn.ANCHORARRAY(Sintesi!$C$17),1,MATCH(1,(_xlfn.ANCHORARRAY(Sintesi!$C$9)&gt;_xlfn.ANCHORARRAY(Sintesi!$C$10))*(A40&gt;=_xlfn.ANCHORARRAY(Sintesi!$C$9))+(_xlfn.ANCHORARRAY(Sintesi!$C$9)&gt;_xlfn.ANCHORARRAY(Sintesi!$C$10))*(A40&lt;=_xlfn.ANCHORARRAY(Sintesi!$C$10))+(_xlfn.ANCHORARRAY(Sintesi!$C$9)&lt;_xlfn.ANCHORARRAY(Sintesi!$C$10))*(A40&gt;=_xlfn.ANCHORARRAY(Sintesi!$C$9))*(A40&lt;=_xlfn.ANCHORARRAY(Sintesi!$C$10)),0)),0),1,IF(L41&gt;=_xlfn.IFNA(INDEX(_xlfn.ANCHORARRAY(Sintesi!$C$18),1,MATCH(1,(_xlfn.ANCHORARRAY(Sintesi!$C$9)&gt;_xlfn.ANCHORARRAY(Sintesi!$C$10))*(A40&gt;=_xlfn.ANCHORARRAY(Sintesi!$C$9))+(_xlfn.ANCHORARRAY(Sintesi!$C$9)&gt;_xlfn.ANCHORARRAY(Sintesi!$C$10))*(A40&lt;=_xlfn.ANCHORARRAY(Sintesi!$C$10))+(_xlfn.ANCHORARRAY(Sintesi!$C$9)&lt;_xlfn.ANCHORARRAY(Sintesi!$C$10))*(A40&gt;=_xlfn.ANCHORARRAY(Sintesi!$C$9))*(A40&lt;=_xlfn.ANCHORARRAY(Sintesi!$C$10)),0)),0),0,1-(L41-_xlfn.IFNA(INDEX(_xlfn.ANCHORARRAY(Sintesi!$C$17),1,MATCH(1,(_xlfn.ANCHORARRAY(Sintesi!$C$9)&gt;_xlfn.ANCHORARRAY(Sintesi!$C$10))*(A40&gt;=_xlfn.ANCHORARRAY(Sintesi!$C$9))+(_xlfn.ANCHORARRAY(Sintesi!$C$9)&gt;_xlfn.ANCHORARRAY(Sintesi!$C$10))*(A40&lt;=_xlfn.ANCHORARRAY(Sintesi!$C$10))+(_xlfn.ANCHORARRAY(Sintesi!$C$9)&lt;_xlfn.ANCHORARRAY(Sintesi!$C$10))*(A40&gt;=_xlfn.ANCHORARRAY(Sintesi!$C$9))*(A40&lt;=_xlfn.ANCHORARRAY(Sintesi!$C$10)),0)),0))/(_xlfn.IFNA(INDEX(_xlfn.ANCHORARRAY(Sintesi!$C$18),1,MATCH(1,(_xlfn.ANCHORARRAY(Sintesi!$C$9)&gt;_xlfn.ANCHORARRAY(Sintesi!$C$10))*(A40&gt;=_xlfn.ANCHORARRAY(Sintesi!$C$9))+(_xlfn.ANCHORARRAY(Sintesi!$C$9)&gt;_xlfn.ANCHORARRAY(Sintesi!$C$10))*(A40&lt;=_xlfn.ANCHORARRAY(Sintesi!$C$10))+(_xlfn.ANCHORARRAY(Sintesi!$C$9)&lt;_xlfn.ANCHORARRAY(Sintesi!$C$10))*(A40&gt;=_xlfn.ANCHORARRAY(Sintesi!$C$9))*(A40&lt;=_xlfn.ANCHORARRAY(Sintesi!$C$10)),0)),0)-_xlfn.IFNA(INDEX(_xlfn.ANCHORARRAY(Sintesi!$C$17),1,MATCH(1,(_xlfn.ANCHORARRAY(Sintesi!$C$9)&gt;_xlfn.ANCHORARRAY(Sintesi!$C$10))*(A40&gt;=_xlfn.ANCHORARRAY(Sintesi!$C$9))+(_xlfn.ANCHORARRAY(Sintesi!$C$9)&gt;_xlfn.ANCHORARRAY(Sintesi!$C$10))*(A40&lt;=_xlfn.ANCHORARRAY(Sintesi!$C$10))+(_xlfn.ANCHORARRAY(Sintesi!$C$9)&lt;_xlfn.ANCHORARRAY(Sintesi!$C$10))*(A40&gt;=_xlfn.ANCHORARRAY(Sintesi!$C$9))*(A40&lt;=_xlfn.ANCHORARRAY(Sintesi!$C$10)),0)),0)))),0)</f>
        <v>0</v>
      </c>
    </row>
    <row r="42" spans="1:13">
      <c r="A42" s="1">
        <f>'Paste cell here'!A42</f>
        <v>41</v>
      </c>
      <c r="B42" s="2">
        <f>DATE(Sintesi!$C$4-1,12,31)+A42</f>
        <v>44237</v>
      </c>
      <c r="C42" s="34">
        <f t="array" ref="C42">_xlfn.IFNA(MATCH(1,((_xlfn.ANCHORARRAY(Sintesi!$C$9)&gt;_xlfn.ANCHORARRAY(Sintesi!$C$10))*(A42&gt;=_xlfn.ANCHORARRAY(Sintesi!$C$9))+(_xlfn.ANCHORARRAY(Sintesi!$C$9)&gt;_xlfn.ANCHORARRAY(Sintesi!$C$10))*(A42&lt;=_xlfn.ANCHORARRAY(Sintesi!$C$10))+(_xlfn.ANCHORARRAY(Sintesi!$C$9)&lt;_xlfn.ANCHORARRAY(Sintesi!$C$10))*(A42&gt;=_xlfn.ANCHORARRAY(Sintesi!$C$9))*(A42&lt;=_xlfn.ANCHORARRAY(Sintesi!$C$10)))*(_xlfn.ANCHORARRAY(Sintesi!$C$15)&gt;=0)+(_xlfn.ANCHORARRAY(Sintesi!$C$15)&lt;0),0),0)</f>
        <v>0</v>
      </c>
      <c r="D42" s="1">
        <f t="array" ref="D42">IF(ISBLANK($E43),IF(ISNUMBER($E41),IF($C42&gt;0,IF(($E42=INDEX(_xlfn.ANCHORARRAY(Sintesi!$C$14),1,$C42))*(INDEX(_xlfn.ANCHORARRAY(Sintesi!$C$15),1,$C42)&gt;0),0,IF(($E42=INDEX(_xlfn.ANCHORARRAY(Sintesi!$C$14),1,$C42))*(INDEX(_xlfn.ANCHORARRAY(Sintesi!$C$15),1,$C42)&lt;0)+($E42&gt;=$E41)*($E42&lt;=INDEX($E:$E,MATCH(TRUE,INDEX((ISNUMBER($E:$E)),0),0)))*($E42&gt;INDEX(_xlfn.ANCHORARRAY(Sintesi!$C$14),1,$C42))*($E42&lt;=INDEX(_xlfn.ANCHORARRAY(Sintesi!$C$15),1,$C42))*(INDEX(_xlfn.ANCHORARRAY(Sintesi!$C$15),1,$C42)&gt;0),1,IF(($E42&gt;=$E41)*($E42&lt;=INDEX($E:$E,MATCH(TRUE,INDEX((ISNUMBER($E:$E)),0),0)))*($E42&gt;INDEX(_xlfn.ANCHORARRAY(Sintesi!$C$14),1,$C42))*($E42&lt;INDEX(_xlfn.ANCHORARRAY(Sintesi!$C$16),1,$C42))*(INDEX(_xlfn.ANCHORARRAY(Sintesi!$C$15),1,$C42)&lt;0)+($E42&gt;=$E41)*($E42&lt;=INDEX($E:$E,MATCH(TRUE,INDEX((ISNUMBER($E:$E)),0),0)))*($E42&gt;INDEX(_xlfn.ANCHORARRAY(Sintesi!$C$15),1,$C42))*($E42&lt;INDEX(_xlfn.ANCHORARRAY(Sintesi!$C$16),1,$C42))*(INDEX(_xlfn.ANCHORARRAY(Sintesi!$C$15),1,$C42)&gt;0),2,IF($E42=(INDEX(_xlfn.ANCHORARRAY(Sintesi!$C$16),1,$C42)),3,4)))),0),IF($C42&gt;0,IF(($E42=INDEX(_xlfn.ANCHORARRAY(Sintesi!$C$14),1,$C42))*(INDEX(_xlfn.ANCHORARRAY(Sintesi!$C$15),1,$C42)&gt;0),0,IF(($E42=INDEX(_xlfn.ANCHORARRAY(Sintesi!$C$14),1,$C42))*(INDEX(_xlfn.ANCHORARRAY(Sintesi!$C$15),1,$C42)&lt;0)+($E42&gt;=LOOKUP(2,1/($E:$E&lt;&gt;""),$E:$E))*($E42&lt;=INDEX($E:$E,MATCH(TRUE,INDEX((ISNUMBER($E:$E)),0),0)))*($E42&gt;INDEX(_xlfn.ANCHORARRAY(Sintesi!$C$14),1,$C42))*($E42&lt;=INDEX(_xlfn.ANCHORARRAY(Sintesi!$C$15),1,$C42))*(INDEX(_xlfn.ANCHORARRAY(Sintesi!$C$15),1,$C42)&gt;0),1,IF(($E42&gt;=LOOKUP(2,1/($E:$E&lt;&gt;""),$E:$E))*($E42&lt;=INDEX($E:$E,MATCH(TRUE,INDEX((ISNUMBER($E:$E)),0),0)))*($E42&gt;INDEX(_xlfn.ANCHORARRAY(Sintesi!$C$14),1,$C42))*($E42&lt;INDEX(_xlfn.ANCHORARRAY(Sintesi!$C$16),1,$C42))*(INDEX(_xlfn.ANCHORARRAY(Sintesi!$C$15),1,$C42)&lt;0)+($E42&gt;=LOOKUP(2,1/($E:$E&lt;&gt;""),$E:$E))*($E42&lt;=INDEX($E:$E,MATCH(TRUE,INDEX((ISNUMBER($E:$E)),0),0)))*($E42&gt;INDEX(_xlfn.ANCHORARRAY(Sintesi!$C$15),1,$C42))*($E42&lt;INDEX(_xlfn.ANCHORARRAY(Sintesi!$C$16),1,$C42))*(INDEX(_xlfn.ANCHORARRAY(Sintesi!$C$15),1,$C42)&gt;0),2,IF($E42=(INDEX(_xlfn.ANCHORARRAY(Sintesi!$C$16),1,$C42)),3,4)))),0)),IF(ISNUMBER($E41),IF($C42&gt;0,IF(($E42=INDEX(_xlfn.ANCHORARRAY(Sintesi!$C$14),1,$C42))*(INDEX(_xlfn.ANCHORARRAY(Sintesi!$C$15),1,$C42)&gt;0),0,IF(($E42=INDEX(_xlfn.ANCHORARRAY(Sintesi!$C$14),1,$C42))*(INDEX(_xlfn.ANCHORARRAY(Sintesi!$C$15),1,$C42)&lt;0)+($E42&gt;=$E41)*($E42&lt;=$E43)*($E42&gt;INDEX(_xlfn.ANCHORARRAY(Sintesi!$C$14),1,$C42))*($E42&lt;=INDEX(_xlfn.ANCHORARRAY(Sintesi!$C$15),1,$C42))*(INDEX(_xlfn.ANCHORARRAY(Sintesi!$C$15),1,$C42)&gt;0),1,IF(($E42&gt;=$E41)*($E42&lt;=$E43)*($E42&gt;INDEX(_xlfn.ANCHORARRAY(Sintesi!$C$14),1,$C42))*($E42&lt;INDEX(_xlfn.ANCHORARRAY(Sintesi!$C$16),1,$C42))*(INDEX(_xlfn.ANCHORARRAY(Sintesi!$C$15),1,$C42)&lt;0)+($E42&gt;=$E41)*($E42&lt;=$E43)*($E42&gt;INDEX(_xlfn.ANCHORARRAY(Sintesi!$C$15),1,$C42))*($E42&lt;INDEX(_xlfn.ANCHORARRAY(Sintesi!$C$16),1,$C42))*(INDEX(_xlfn.ANCHORARRAY(Sintesi!$C$15),1,$C42)&gt;0),2,IF($E42=(INDEX(_xlfn.ANCHORARRAY(Sintesi!$C$16),1,$C42)),3,4)))),0),IF($C42&gt;0,IF(($E42=INDEX(_xlfn.ANCHORARRAY(Sintesi!$C$14),1,$C42))*(INDEX(_xlfn.ANCHORARRAY(Sintesi!$C$15),1,$C42)&gt;0),0,IF(($E42=INDEX(_xlfn.ANCHORARRAY(Sintesi!$C$14),1,$C42))*(INDEX(_xlfn.ANCHORARRAY(Sintesi!$C$15),1,$C42)&lt;0)+($E42&gt;=LOOKUP(2,1/($E:$E&lt;&gt;""),$E:$E))*($E42&lt;=$E43)*($E42&gt;INDEX(_xlfn.ANCHORARRAY(Sintesi!$C$14),1,$C42))*($E42&lt;=INDEX(_xlfn.ANCHORARRAY(Sintesi!$C$15),1,$C42))*(INDEX(_xlfn.ANCHORARRAY(Sintesi!$C$15),1,$C42)&gt;0),1,IF(($E42&gt;=LOOKUP(2,1/($E:$E&lt;&gt;""),$E:$E))*($E42&lt;=$E43)*($E42&gt;INDEX(_xlfn.ANCHORARRAY(Sintesi!$C$14),1,$C42))*($E42&lt;INDEX(_xlfn.ANCHORARRAY(Sintesi!$C$16),1,$C42))*(INDEX(_xlfn.ANCHORARRAY(Sintesi!$C$15),1,$C42)&lt;0)+($E42&gt;=LOOKUP(2,1/($E:$E&lt;&gt;""),$E:$E))*($E42&lt;=$E43)*($E42&gt;INDEX(_xlfn.ANCHORARRAY(Sintesi!$C$15),1,$C42))*($E42&lt;INDEX(_xlfn.ANCHORARRAY(Sintesi!$C$16),1,$C42))*(INDEX(_xlfn.ANCHORARRAY(Sintesi!$C$15),1,$C42)&gt;0),2,IF($E42=(INDEX(_xlfn.ANCHORARRAY(Sintesi!$C$16),1,$C42)),3,4)))),0)))</f>
        <v>0</v>
      </c>
      <c r="E42" s="1">
        <f>'Paste cell here'!F42</f>
        <v>0</v>
      </c>
      <c r="F42" s="1">
        <f>'Paste cell here'!C42</f>
        <v>8.8399999999998773</v>
      </c>
      <c r="G42" s="1">
        <f>'Paste cell here'!D42</f>
        <v>5.1399999999999419</v>
      </c>
      <c r="H42" s="1">
        <f>'Paste cell here'!E42</f>
        <v>0.48518582042428582</v>
      </c>
      <c r="I42" s="1">
        <f>'Paste cell here'!X42</f>
        <v>0</v>
      </c>
      <c r="J42" s="1">
        <f>'Paste cell here'!Y42+'Paste cell here'!S42</f>
        <v>0</v>
      </c>
      <c r="K42" s="1">
        <f t="shared" si="0"/>
        <v>0</v>
      </c>
      <c r="L42" s="1">
        <f t="shared" si="1"/>
        <v>7.4984538764493118</v>
      </c>
      <c r="M42" s="1">
        <f t="array" ref="M42">IF(AND(A42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42&gt;=_xlfn.ANCHORARRAY(Sintesi!$C$9))+(_xlfn.ANCHORARRAY(Sintesi!$C$9)&gt;_xlfn.ANCHORARRAY(Sintesi!$C$10))*(A42&lt;=_xlfn.ANCHORARRAY(Sintesi!$C$10))+(_xlfn.ANCHORARRAY(Sintesi!$C$9)&lt;_xlfn.ANCHORARRAY(Sintesi!$C$10))*(A42&gt;=_xlfn.ANCHORARRAY(Sintesi!$C$9))*(A42&lt;=_xlfn.ANCHORARRAY(Sintesi!$C$10)),0)),0),A42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43&gt;=_xlfn.ANCHORARRAY(Sintesi!$C$9))+(_xlfn.ANCHORARRAY(Sintesi!$C$9)&gt;_xlfn.ANCHORARRAY(Sintesi!$C$10))*(A43&lt;=_xlfn.ANCHORARRAY(Sintesi!$C$10))+(_xlfn.ANCHORARRAY(Sintesi!$C$9)&lt;_xlfn.ANCHORARRAY(Sintesi!$C$10))*(A43&gt;=_xlfn.ANCHORARRAY(Sintesi!$C$9))*(A43&lt;=_xlfn.ANCHORARRAY(Sintesi!$C$10)),0)),0)),IF(L42&lt;_xlfn.IFNA(INDEX(_xlfn.ANCHORARRAY(Sintesi!$C$17),1,MATCH(1,(_xlfn.ANCHORARRAY(Sintesi!$C$9)&gt;_xlfn.ANCHORARRAY(Sintesi!$C$10))*(A41&gt;=_xlfn.ANCHORARRAY(Sintesi!$C$9))+(_xlfn.ANCHORARRAY(Sintesi!$C$9)&gt;_xlfn.ANCHORARRAY(Sintesi!$C$10))*(A41&lt;=_xlfn.ANCHORARRAY(Sintesi!$C$10))+(_xlfn.ANCHORARRAY(Sintesi!$C$9)&lt;_xlfn.ANCHORARRAY(Sintesi!$C$10))*(A41&gt;=_xlfn.ANCHORARRAY(Sintesi!$C$9))*(A41&lt;=_xlfn.ANCHORARRAY(Sintesi!$C$10)),0)),0),1,IF(L42&gt;=_xlfn.IFNA(INDEX(_xlfn.ANCHORARRAY(Sintesi!$C$18),1,MATCH(1,(_xlfn.ANCHORARRAY(Sintesi!$C$9)&gt;_xlfn.ANCHORARRAY(Sintesi!$C$10))*(A41&gt;=_xlfn.ANCHORARRAY(Sintesi!$C$9))+(_xlfn.ANCHORARRAY(Sintesi!$C$9)&gt;_xlfn.ANCHORARRAY(Sintesi!$C$10))*(A41&lt;=_xlfn.ANCHORARRAY(Sintesi!$C$10))+(_xlfn.ANCHORARRAY(Sintesi!$C$9)&lt;_xlfn.ANCHORARRAY(Sintesi!$C$10))*(A41&gt;=_xlfn.ANCHORARRAY(Sintesi!$C$9))*(A41&lt;=_xlfn.ANCHORARRAY(Sintesi!$C$10)),0)),0),0,1-(L42-_xlfn.IFNA(INDEX(_xlfn.ANCHORARRAY(Sintesi!$C$17),1,MATCH(1,(_xlfn.ANCHORARRAY(Sintesi!$C$9)&gt;_xlfn.ANCHORARRAY(Sintesi!$C$10))*(A41&gt;=_xlfn.ANCHORARRAY(Sintesi!$C$9))+(_xlfn.ANCHORARRAY(Sintesi!$C$9)&gt;_xlfn.ANCHORARRAY(Sintesi!$C$10))*(A41&lt;=_xlfn.ANCHORARRAY(Sintesi!$C$10))+(_xlfn.ANCHORARRAY(Sintesi!$C$9)&lt;_xlfn.ANCHORARRAY(Sintesi!$C$10))*(A41&gt;=_xlfn.ANCHORARRAY(Sintesi!$C$9))*(A41&lt;=_xlfn.ANCHORARRAY(Sintesi!$C$10)),0)),0))/(_xlfn.IFNA(INDEX(_xlfn.ANCHORARRAY(Sintesi!$C$18),1,MATCH(1,(_xlfn.ANCHORARRAY(Sintesi!$C$9)&gt;_xlfn.ANCHORARRAY(Sintesi!$C$10))*(A41&gt;=_xlfn.ANCHORARRAY(Sintesi!$C$9))+(_xlfn.ANCHORARRAY(Sintesi!$C$9)&gt;_xlfn.ANCHORARRAY(Sintesi!$C$10))*(A41&lt;=_xlfn.ANCHORARRAY(Sintesi!$C$10))+(_xlfn.ANCHORARRAY(Sintesi!$C$9)&lt;_xlfn.ANCHORARRAY(Sintesi!$C$10))*(A41&gt;=_xlfn.ANCHORARRAY(Sintesi!$C$9))*(A41&lt;=_xlfn.ANCHORARRAY(Sintesi!$C$10)),0)),0)-_xlfn.IFNA(INDEX(_xlfn.ANCHORARRAY(Sintesi!$C$17),1,MATCH(1,(_xlfn.ANCHORARRAY(Sintesi!$C$9)&gt;_xlfn.ANCHORARRAY(Sintesi!$C$10))*(A41&gt;=_xlfn.ANCHORARRAY(Sintesi!$C$9))+(_xlfn.ANCHORARRAY(Sintesi!$C$9)&gt;_xlfn.ANCHORARRAY(Sintesi!$C$10))*(A41&lt;=_xlfn.ANCHORARRAY(Sintesi!$C$10))+(_xlfn.ANCHORARRAY(Sintesi!$C$9)&lt;_xlfn.ANCHORARRAY(Sintesi!$C$10))*(A41&gt;=_xlfn.ANCHORARRAY(Sintesi!$C$9))*(A41&lt;=_xlfn.ANCHORARRAY(Sintesi!$C$10)),0)),0)))),0)</f>
        <v>0</v>
      </c>
    </row>
    <row r="43" spans="1:13">
      <c r="A43" s="1">
        <f>'Paste cell here'!A43</f>
        <v>42</v>
      </c>
      <c r="B43" s="2">
        <f>DATE(Sintesi!$C$4-1,12,31)+A43</f>
        <v>44238</v>
      </c>
      <c r="C43" s="34">
        <f t="array" ref="C43">_xlfn.IFNA(MATCH(1,((_xlfn.ANCHORARRAY(Sintesi!$C$9)&gt;_xlfn.ANCHORARRAY(Sintesi!$C$10))*(A43&gt;=_xlfn.ANCHORARRAY(Sintesi!$C$9))+(_xlfn.ANCHORARRAY(Sintesi!$C$9)&gt;_xlfn.ANCHORARRAY(Sintesi!$C$10))*(A43&lt;=_xlfn.ANCHORARRAY(Sintesi!$C$10))+(_xlfn.ANCHORARRAY(Sintesi!$C$9)&lt;_xlfn.ANCHORARRAY(Sintesi!$C$10))*(A43&gt;=_xlfn.ANCHORARRAY(Sintesi!$C$9))*(A43&lt;=_xlfn.ANCHORARRAY(Sintesi!$C$10)))*(_xlfn.ANCHORARRAY(Sintesi!$C$15)&gt;=0)+(_xlfn.ANCHORARRAY(Sintesi!$C$15)&lt;0),0),0)</f>
        <v>0</v>
      </c>
      <c r="D43" s="1">
        <f t="array" ref="D43">IF(ISBLANK($E44),IF(ISNUMBER($E42),IF($C43&gt;0,IF(($E43=INDEX(_xlfn.ANCHORARRAY(Sintesi!$C$14),1,$C43))*(INDEX(_xlfn.ANCHORARRAY(Sintesi!$C$15),1,$C43)&gt;0),0,IF(($E43=INDEX(_xlfn.ANCHORARRAY(Sintesi!$C$14),1,$C43))*(INDEX(_xlfn.ANCHORARRAY(Sintesi!$C$15),1,$C43)&lt;0)+($E43&gt;=$E42)*($E43&lt;=INDEX($E:$E,MATCH(TRUE,INDEX((ISNUMBER($E:$E)),0),0)))*($E43&gt;INDEX(_xlfn.ANCHORARRAY(Sintesi!$C$14),1,$C43))*($E43&lt;=INDEX(_xlfn.ANCHORARRAY(Sintesi!$C$15),1,$C43))*(INDEX(_xlfn.ANCHORARRAY(Sintesi!$C$15),1,$C43)&gt;0),1,IF(($E43&gt;=$E42)*($E43&lt;=INDEX($E:$E,MATCH(TRUE,INDEX((ISNUMBER($E:$E)),0),0)))*($E43&gt;INDEX(_xlfn.ANCHORARRAY(Sintesi!$C$14),1,$C43))*($E43&lt;INDEX(_xlfn.ANCHORARRAY(Sintesi!$C$16),1,$C43))*(INDEX(_xlfn.ANCHORARRAY(Sintesi!$C$15),1,$C43)&lt;0)+($E43&gt;=$E42)*($E43&lt;=INDEX($E:$E,MATCH(TRUE,INDEX((ISNUMBER($E:$E)),0),0)))*($E43&gt;INDEX(_xlfn.ANCHORARRAY(Sintesi!$C$15),1,$C43))*($E43&lt;INDEX(_xlfn.ANCHORARRAY(Sintesi!$C$16),1,$C43))*(INDEX(_xlfn.ANCHORARRAY(Sintesi!$C$15),1,$C43)&gt;0),2,IF($E43=(INDEX(_xlfn.ANCHORARRAY(Sintesi!$C$16),1,$C43)),3,4)))),0),IF($C43&gt;0,IF(($E43=INDEX(_xlfn.ANCHORARRAY(Sintesi!$C$14),1,$C43))*(INDEX(_xlfn.ANCHORARRAY(Sintesi!$C$15),1,$C43)&gt;0),0,IF(($E43=INDEX(_xlfn.ANCHORARRAY(Sintesi!$C$14),1,$C43))*(INDEX(_xlfn.ANCHORARRAY(Sintesi!$C$15),1,$C43)&lt;0)+($E43&gt;=LOOKUP(2,1/($E:$E&lt;&gt;""),$E:$E))*($E43&lt;=INDEX($E:$E,MATCH(TRUE,INDEX((ISNUMBER($E:$E)),0),0)))*($E43&gt;INDEX(_xlfn.ANCHORARRAY(Sintesi!$C$14),1,$C43))*($E43&lt;=INDEX(_xlfn.ANCHORARRAY(Sintesi!$C$15),1,$C43))*(INDEX(_xlfn.ANCHORARRAY(Sintesi!$C$15),1,$C43)&gt;0),1,IF(($E43&gt;=LOOKUP(2,1/($E:$E&lt;&gt;""),$E:$E))*($E43&lt;=INDEX($E:$E,MATCH(TRUE,INDEX((ISNUMBER($E:$E)),0),0)))*($E43&gt;INDEX(_xlfn.ANCHORARRAY(Sintesi!$C$14),1,$C43))*($E43&lt;INDEX(_xlfn.ANCHORARRAY(Sintesi!$C$16),1,$C43))*(INDEX(_xlfn.ANCHORARRAY(Sintesi!$C$15),1,$C43)&lt;0)+($E43&gt;=LOOKUP(2,1/($E:$E&lt;&gt;""),$E:$E))*($E43&lt;=INDEX($E:$E,MATCH(TRUE,INDEX((ISNUMBER($E:$E)),0),0)))*($E43&gt;INDEX(_xlfn.ANCHORARRAY(Sintesi!$C$15),1,$C43))*($E43&lt;INDEX(_xlfn.ANCHORARRAY(Sintesi!$C$16),1,$C43))*(INDEX(_xlfn.ANCHORARRAY(Sintesi!$C$15),1,$C43)&gt;0),2,IF($E43=(INDEX(_xlfn.ANCHORARRAY(Sintesi!$C$16),1,$C43)),3,4)))),0)),IF(ISNUMBER($E42),IF($C43&gt;0,IF(($E43=INDEX(_xlfn.ANCHORARRAY(Sintesi!$C$14),1,$C43))*(INDEX(_xlfn.ANCHORARRAY(Sintesi!$C$15),1,$C43)&gt;0),0,IF(($E43=INDEX(_xlfn.ANCHORARRAY(Sintesi!$C$14),1,$C43))*(INDEX(_xlfn.ANCHORARRAY(Sintesi!$C$15),1,$C43)&lt;0)+($E43&gt;=$E42)*($E43&lt;=$E44)*($E43&gt;INDEX(_xlfn.ANCHORARRAY(Sintesi!$C$14),1,$C43))*($E43&lt;=INDEX(_xlfn.ANCHORARRAY(Sintesi!$C$15),1,$C43))*(INDEX(_xlfn.ANCHORARRAY(Sintesi!$C$15),1,$C43)&gt;0),1,IF(($E43&gt;=$E42)*($E43&lt;=$E44)*($E43&gt;INDEX(_xlfn.ANCHORARRAY(Sintesi!$C$14),1,$C43))*($E43&lt;INDEX(_xlfn.ANCHORARRAY(Sintesi!$C$16),1,$C43))*(INDEX(_xlfn.ANCHORARRAY(Sintesi!$C$15),1,$C43)&lt;0)+($E43&gt;=$E42)*($E43&lt;=$E44)*($E43&gt;INDEX(_xlfn.ANCHORARRAY(Sintesi!$C$15),1,$C43))*($E43&lt;INDEX(_xlfn.ANCHORARRAY(Sintesi!$C$16),1,$C43))*(INDEX(_xlfn.ANCHORARRAY(Sintesi!$C$15),1,$C43)&gt;0),2,IF($E43=(INDEX(_xlfn.ANCHORARRAY(Sintesi!$C$16),1,$C43)),3,4)))),0),IF($C43&gt;0,IF(($E43=INDEX(_xlfn.ANCHORARRAY(Sintesi!$C$14),1,$C43))*(INDEX(_xlfn.ANCHORARRAY(Sintesi!$C$15),1,$C43)&gt;0),0,IF(($E43=INDEX(_xlfn.ANCHORARRAY(Sintesi!$C$14),1,$C43))*(INDEX(_xlfn.ANCHORARRAY(Sintesi!$C$15),1,$C43)&lt;0)+($E43&gt;=LOOKUP(2,1/($E:$E&lt;&gt;""),$E:$E))*($E43&lt;=$E44)*($E43&gt;INDEX(_xlfn.ANCHORARRAY(Sintesi!$C$14),1,$C43))*($E43&lt;=INDEX(_xlfn.ANCHORARRAY(Sintesi!$C$15),1,$C43))*(INDEX(_xlfn.ANCHORARRAY(Sintesi!$C$15),1,$C43)&gt;0),1,IF(($E43&gt;=LOOKUP(2,1/($E:$E&lt;&gt;""),$E:$E))*($E43&lt;=$E44)*($E43&gt;INDEX(_xlfn.ANCHORARRAY(Sintesi!$C$14),1,$C43))*($E43&lt;INDEX(_xlfn.ANCHORARRAY(Sintesi!$C$16),1,$C43))*(INDEX(_xlfn.ANCHORARRAY(Sintesi!$C$15),1,$C43)&lt;0)+($E43&gt;=LOOKUP(2,1/($E:$E&lt;&gt;""),$E:$E))*($E43&lt;=$E44)*($E43&gt;INDEX(_xlfn.ANCHORARRAY(Sintesi!$C$15),1,$C43))*($E43&lt;INDEX(_xlfn.ANCHORARRAY(Sintesi!$C$16),1,$C43))*(INDEX(_xlfn.ANCHORARRAY(Sintesi!$C$15),1,$C43)&gt;0),2,IF($E43=(INDEX(_xlfn.ANCHORARRAY(Sintesi!$C$16),1,$C43)),3,4)))),0)))</f>
        <v>0</v>
      </c>
      <c r="E43" s="1">
        <f>'Paste cell here'!F43</f>
        <v>0</v>
      </c>
      <c r="F43" s="1">
        <f>'Paste cell here'!C43</f>
        <v>13.519999999999801</v>
      </c>
      <c r="G43" s="1">
        <f>'Paste cell here'!D43</f>
        <v>1.5399999999999934</v>
      </c>
      <c r="H43" s="1">
        <f>'Paste cell here'!E43</f>
        <v>0.99177588289371676</v>
      </c>
      <c r="I43" s="1">
        <f>'Paste cell here'!X43</f>
        <v>0</v>
      </c>
      <c r="J43" s="1">
        <f>'Paste cell here'!Y43+'Paste cell here'!S43</f>
        <v>0</v>
      </c>
      <c r="K43" s="1">
        <f t="shared" si="0"/>
        <v>0</v>
      </c>
      <c r="L43" s="1">
        <f t="shared" si="1"/>
        <v>9.1762911999631012</v>
      </c>
      <c r="M43" s="1">
        <f t="array" ref="M43">IF(AND(A43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43&gt;=_xlfn.ANCHORARRAY(Sintesi!$C$9))+(_xlfn.ANCHORARRAY(Sintesi!$C$9)&gt;_xlfn.ANCHORARRAY(Sintesi!$C$10))*(A43&lt;=_xlfn.ANCHORARRAY(Sintesi!$C$10))+(_xlfn.ANCHORARRAY(Sintesi!$C$9)&lt;_xlfn.ANCHORARRAY(Sintesi!$C$10))*(A43&gt;=_xlfn.ANCHORARRAY(Sintesi!$C$9))*(A43&lt;=_xlfn.ANCHORARRAY(Sintesi!$C$10)),0)),0),A43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44&gt;=_xlfn.ANCHORARRAY(Sintesi!$C$9))+(_xlfn.ANCHORARRAY(Sintesi!$C$9)&gt;_xlfn.ANCHORARRAY(Sintesi!$C$10))*(A44&lt;=_xlfn.ANCHORARRAY(Sintesi!$C$10))+(_xlfn.ANCHORARRAY(Sintesi!$C$9)&lt;_xlfn.ANCHORARRAY(Sintesi!$C$10))*(A44&gt;=_xlfn.ANCHORARRAY(Sintesi!$C$9))*(A44&lt;=_xlfn.ANCHORARRAY(Sintesi!$C$10)),0)),0)),IF(L43&lt;_xlfn.IFNA(INDEX(_xlfn.ANCHORARRAY(Sintesi!$C$17),1,MATCH(1,(_xlfn.ANCHORARRAY(Sintesi!$C$9)&gt;_xlfn.ANCHORARRAY(Sintesi!$C$10))*(A42&gt;=_xlfn.ANCHORARRAY(Sintesi!$C$9))+(_xlfn.ANCHORARRAY(Sintesi!$C$9)&gt;_xlfn.ANCHORARRAY(Sintesi!$C$10))*(A42&lt;=_xlfn.ANCHORARRAY(Sintesi!$C$10))+(_xlfn.ANCHORARRAY(Sintesi!$C$9)&lt;_xlfn.ANCHORARRAY(Sintesi!$C$10))*(A42&gt;=_xlfn.ANCHORARRAY(Sintesi!$C$9))*(A42&lt;=_xlfn.ANCHORARRAY(Sintesi!$C$10)),0)),0),1,IF(L43&gt;=_xlfn.IFNA(INDEX(_xlfn.ANCHORARRAY(Sintesi!$C$18),1,MATCH(1,(_xlfn.ANCHORARRAY(Sintesi!$C$9)&gt;_xlfn.ANCHORARRAY(Sintesi!$C$10))*(A42&gt;=_xlfn.ANCHORARRAY(Sintesi!$C$9))+(_xlfn.ANCHORARRAY(Sintesi!$C$9)&gt;_xlfn.ANCHORARRAY(Sintesi!$C$10))*(A42&lt;=_xlfn.ANCHORARRAY(Sintesi!$C$10))+(_xlfn.ANCHORARRAY(Sintesi!$C$9)&lt;_xlfn.ANCHORARRAY(Sintesi!$C$10))*(A42&gt;=_xlfn.ANCHORARRAY(Sintesi!$C$9))*(A42&lt;=_xlfn.ANCHORARRAY(Sintesi!$C$10)),0)),0),0,1-(L43-_xlfn.IFNA(INDEX(_xlfn.ANCHORARRAY(Sintesi!$C$17),1,MATCH(1,(_xlfn.ANCHORARRAY(Sintesi!$C$9)&gt;_xlfn.ANCHORARRAY(Sintesi!$C$10))*(A42&gt;=_xlfn.ANCHORARRAY(Sintesi!$C$9))+(_xlfn.ANCHORARRAY(Sintesi!$C$9)&gt;_xlfn.ANCHORARRAY(Sintesi!$C$10))*(A42&lt;=_xlfn.ANCHORARRAY(Sintesi!$C$10))+(_xlfn.ANCHORARRAY(Sintesi!$C$9)&lt;_xlfn.ANCHORARRAY(Sintesi!$C$10))*(A42&gt;=_xlfn.ANCHORARRAY(Sintesi!$C$9))*(A42&lt;=_xlfn.ANCHORARRAY(Sintesi!$C$10)),0)),0))/(_xlfn.IFNA(INDEX(_xlfn.ANCHORARRAY(Sintesi!$C$18),1,MATCH(1,(_xlfn.ANCHORARRAY(Sintesi!$C$9)&gt;_xlfn.ANCHORARRAY(Sintesi!$C$10))*(A42&gt;=_xlfn.ANCHORARRAY(Sintesi!$C$9))+(_xlfn.ANCHORARRAY(Sintesi!$C$9)&gt;_xlfn.ANCHORARRAY(Sintesi!$C$10))*(A42&lt;=_xlfn.ANCHORARRAY(Sintesi!$C$10))+(_xlfn.ANCHORARRAY(Sintesi!$C$9)&lt;_xlfn.ANCHORARRAY(Sintesi!$C$10))*(A42&gt;=_xlfn.ANCHORARRAY(Sintesi!$C$9))*(A42&lt;=_xlfn.ANCHORARRAY(Sintesi!$C$10)),0)),0)-_xlfn.IFNA(INDEX(_xlfn.ANCHORARRAY(Sintesi!$C$17),1,MATCH(1,(_xlfn.ANCHORARRAY(Sintesi!$C$9)&gt;_xlfn.ANCHORARRAY(Sintesi!$C$10))*(A42&gt;=_xlfn.ANCHORARRAY(Sintesi!$C$9))+(_xlfn.ANCHORARRAY(Sintesi!$C$9)&gt;_xlfn.ANCHORARRAY(Sintesi!$C$10))*(A42&lt;=_xlfn.ANCHORARRAY(Sintesi!$C$10))+(_xlfn.ANCHORARRAY(Sintesi!$C$9)&lt;_xlfn.ANCHORARRAY(Sintesi!$C$10))*(A42&gt;=_xlfn.ANCHORARRAY(Sintesi!$C$9))*(A42&lt;=_xlfn.ANCHORARRAY(Sintesi!$C$10)),0)),0)))),0)</f>
        <v>0</v>
      </c>
    </row>
    <row r="44" spans="1:13">
      <c r="A44" s="1">
        <f>'Paste cell here'!A44</f>
        <v>43</v>
      </c>
      <c r="B44" s="2">
        <f>DATE(Sintesi!$C$4-1,12,31)+A44</f>
        <v>44239</v>
      </c>
      <c r="C44" s="34">
        <f t="array" ref="C44">_xlfn.IFNA(MATCH(1,((_xlfn.ANCHORARRAY(Sintesi!$C$9)&gt;_xlfn.ANCHORARRAY(Sintesi!$C$10))*(A44&gt;=_xlfn.ANCHORARRAY(Sintesi!$C$9))+(_xlfn.ANCHORARRAY(Sintesi!$C$9)&gt;_xlfn.ANCHORARRAY(Sintesi!$C$10))*(A44&lt;=_xlfn.ANCHORARRAY(Sintesi!$C$10))+(_xlfn.ANCHORARRAY(Sintesi!$C$9)&lt;_xlfn.ANCHORARRAY(Sintesi!$C$10))*(A44&gt;=_xlfn.ANCHORARRAY(Sintesi!$C$9))*(A44&lt;=_xlfn.ANCHORARRAY(Sintesi!$C$10)))*(_xlfn.ANCHORARRAY(Sintesi!$C$15)&gt;=0)+(_xlfn.ANCHORARRAY(Sintesi!$C$15)&lt;0),0),0)</f>
        <v>0</v>
      </c>
      <c r="D44" s="1">
        <f t="array" ref="D44">IF(ISBLANK($E45),IF(ISNUMBER($E43),IF($C44&gt;0,IF(($E44=INDEX(_xlfn.ANCHORARRAY(Sintesi!$C$14),1,$C44))*(INDEX(_xlfn.ANCHORARRAY(Sintesi!$C$15),1,$C44)&gt;0),0,IF(($E44=INDEX(_xlfn.ANCHORARRAY(Sintesi!$C$14),1,$C44))*(INDEX(_xlfn.ANCHORARRAY(Sintesi!$C$15),1,$C44)&lt;0)+($E44&gt;=$E43)*($E44&lt;=INDEX($E:$E,MATCH(TRUE,INDEX((ISNUMBER($E:$E)),0),0)))*($E44&gt;INDEX(_xlfn.ANCHORARRAY(Sintesi!$C$14),1,$C44))*($E44&lt;=INDEX(_xlfn.ANCHORARRAY(Sintesi!$C$15),1,$C44))*(INDEX(_xlfn.ANCHORARRAY(Sintesi!$C$15),1,$C44)&gt;0),1,IF(($E44&gt;=$E43)*($E44&lt;=INDEX($E:$E,MATCH(TRUE,INDEX((ISNUMBER($E:$E)),0),0)))*($E44&gt;INDEX(_xlfn.ANCHORARRAY(Sintesi!$C$14),1,$C44))*($E44&lt;INDEX(_xlfn.ANCHORARRAY(Sintesi!$C$16),1,$C44))*(INDEX(_xlfn.ANCHORARRAY(Sintesi!$C$15),1,$C44)&lt;0)+($E44&gt;=$E43)*($E44&lt;=INDEX($E:$E,MATCH(TRUE,INDEX((ISNUMBER($E:$E)),0),0)))*($E44&gt;INDEX(_xlfn.ANCHORARRAY(Sintesi!$C$15),1,$C44))*($E44&lt;INDEX(_xlfn.ANCHORARRAY(Sintesi!$C$16),1,$C44))*(INDEX(_xlfn.ANCHORARRAY(Sintesi!$C$15),1,$C44)&gt;0),2,IF($E44=(INDEX(_xlfn.ANCHORARRAY(Sintesi!$C$16),1,$C44)),3,4)))),0),IF($C44&gt;0,IF(($E44=INDEX(_xlfn.ANCHORARRAY(Sintesi!$C$14),1,$C44))*(INDEX(_xlfn.ANCHORARRAY(Sintesi!$C$15),1,$C44)&gt;0),0,IF(($E44=INDEX(_xlfn.ANCHORARRAY(Sintesi!$C$14),1,$C44))*(INDEX(_xlfn.ANCHORARRAY(Sintesi!$C$15),1,$C44)&lt;0)+($E44&gt;=LOOKUP(2,1/($E:$E&lt;&gt;""),$E:$E))*($E44&lt;=INDEX($E:$E,MATCH(TRUE,INDEX((ISNUMBER($E:$E)),0),0)))*($E44&gt;INDEX(_xlfn.ANCHORARRAY(Sintesi!$C$14),1,$C44))*($E44&lt;=INDEX(_xlfn.ANCHORARRAY(Sintesi!$C$15),1,$C44))*(INDEX(_xlfn.ANCHORARRAY(Sintesi!$C$15),1,$C44)&gt;0),1,IF(($E44&gt;=LOOKUP(2,1/($E:$E&lt;&gt;""),$E:$E))*($E44&lt;=INDEX($E:$E,MATCH(TRUE,INDEX((ISNUMBER($E:$E)),0),0)))*($E44&gt;INDEX(_xlfn.ANCHORARRAY(Sintesi!$C$14),1,$C44))*($E44&lt;INDEX(_xlfn.ANCHORARRAY(Sintesi!$C$16),1,$C44))*(INDEX(_xlfn.ANCHORARRAY(Sintesi!$C$15),1,$C44)&lt;0)+($E44&gt;=LOOKUP(2,1/($E:$E&lt;&gt;""),$E:$E))*($E44&lt;=INDEX($E:$E,MATCH(TRUE,INDEX((ISNUMBER($E:$E)),0),0)))*($E44&gt;INDEX(_xlfn.ANCHORARRAY(Sintesi!$C$15),1,$C44))*($E44&lt;INDEX(_xlfn.ANCHORARRAY(Sintesi!$C$16),1,$C44))*(INDEX(_xlfn.ANCHORARRAY(Sintesi!$C$15),1,$C44)&gt;0),2,IF($E44=(INDEX(_xlfn.ANCHORARRAY(Sintesi!$C$16),1,$C44)),3,4)))),0)),IF(ISNUMBER($E43),IF($C44&gt;0,IF(($E44=INDEX(_xlfn.ANCHORARRAY(Sintesi!$C$14),1,$C44))*(INDEX(_xlfn.ANCHORARRAY(Sintesi!$C$15),1,$C44)&gt;0),0,IF(($E44=INDEX(_xlfn.ANCHORARRAY(Sintesi!$C$14),1,$C44))*(INDEX(_xlfn.ANCHORARRAY(Sintesi!$C$15),1,$C44)&lt;0)+($E44&gt;=$E43)*($E44&lt;=$E45)*($E44&gt;INDEX(_xlfn.ANCHORARRAY(Sintesi!$C$14),1,$C44))*($E44&lt;=INDEX(_xlfn.ANCHORARRAY(Sintesi!$C$15),1,$C44))*(INDEX(_xlfn.ANCHORARRAY(Sintesi!$C$15),1,$C44)&gt;0),1,IF(($E44&gt;=$E43)*($E44&lt;=$E45)*($E44&gt;INDEX(_xlfn.ANCHORARRAY(Sintesi!$C$14),1,$C44))*($E44&lt;INDEX(_xlfn.ANCHORARRAY(Sintesi!$C$16),1,$C44))*(INDEX(_xlfn.ANCHORARRAY(Sintesi!$C$15),1,$C44)&lt;0)+($E44&gt;=$E43)*($E44&lt;=$E45)*($E44&gt;INDEX(_xlfn.ANCHORARRAY(Sintesi!$C$15),1,$C44))*($E44&lt;INDEX(_xlfn.ANCHORARRAY(Sintesi!$C$16),1,$C44))*(INDEX(_xlfn.ANCHORARRAY(Sintesi!$C$15),1,$C44)&gt;0),2,IF($E44=(INDEX(_xlfn.ANCHORARRAY(Sintesi!$C$16),1,$C44)),3,4)))),0),IF($C44&gt;0,IF(($E44=INDEX(_xlfn.ANCHORARRAY(Sintesi!$C$14),1,$C44))*(INDEX(_xlfn.ANCHORARRAY(Sintesi!$C$15),1,$C44)&gt;0),0,IF(($E44=INDEX(_xlfn.ANCHORARRAY(Sintesi!$C$14),1,$C44))*(INDEX(_xlfn.ANCHORARRAY(Sintesi!$C$15),1,$C44)&lt;0)+($E44&gt;=LOOKUP(2,1/($E:$E&lt;&gt;""),$E:$E))*($E44&lt;=$E45)*($E44&gt;INDEX(_xlfn.ANCHORARRAY(Sintesi!$C$14),1,$C44))*($E44&lt;=INDEX(_xlfn.ANCHORARRAY(Sintesi!$C$15),1,$C44))*(INDEX(_xlfn.ANCHORARRAY(Sintesi!$C$15),1,$C44)&gt;0),1,IF(($E44&gt;=LOOKUP(2,1/($E:$E&lt;&gt;""),$E:$E))*($E44&lt;=$E45)*($E44&gt;INDEX(_xlfn.ANCHORARRAY(Sintesi!$C$14),1,$C44))*($E44&lt;INDEX(_xlfn.ANCHORARRAY(Sintesi!$C$16),1,$C44))*(INDEX(_xlfn.ANCHORARRAY(Sintesi!$C$15),1,$C44)&lt;0)+($E44&gt;=LOOKUP(2,1/($E:$E&lt;&gt;""),$E:$E))*($E44&lt;=$E45)*($E44&gt;INDEX(_xlfn.ANCHORARRAY(Sintesi!$C$15),1,$C44))*($E44&lt;INDEX(_xlfn.ANCHORARRAY(Sintesi!$C$16),1,$C44))*(INDEX(_xlfn.ANCHORARRAY(Sintesi!$C$15),1,$C44)&gt;0),2,IF($E44=(INDEX(_xlfn.ANCHORARRAY(Sintesi!$C$16),1,$C44)),3,4)))),0)))</f>
        <v>0</v>
      </c>
      <c r="E44" s="1">
        <f>'Paste cell here'!F44</f>
        <v>0</v>
      </c>
      <c r="F44" s="1">
        <f>'Paste cell here'!C44</f>
        <v>5.5399999999999192</v>
      </c>
      <c r="G44" s="1">
        <f>'Paste cell here'!D44</f>
        <v>-0.79999999999999716</v>
      </c>
      <c r="H44" s="1">
        <f>'Paste cell here'!E44</f>
        <v>1.0236954938230305</v>
      </c>
      <c r="I44" s="1">
        <f>'Paste cell here'!X44</f>
        <v>0</v>
      </c>
      <c r="J44" s="1">
        <f>'Paste cell here'!Y44+'Paste cell here'!S44</f>
        <v>0</v>
      </c>
      <c r="K44" s="1">
        <f t="shared" si="0"/>
        <v>0</v>
      </c>
      <c r="L44" s="1">
        <f t="shared" si="1"/>
        <v>3.2412425882943459</v>
      </c>
      <c r="M44" s="1">
        <f t="array" ref="M44">IF(AND(A44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44&gt;=_xlfn.ANCHORARRAY(Sintesi!$C$9))+(_xlfn.ANCHORARRAY(Sintesi!$C$9)&gt;_xlfn.ANCHORARRAY(Sintesi!$C$10))*(A44&lt;=_xlfn.ANCHORARRAY(Sintesi!$C$10))+(_xlfn.ANCHORARRAY(Sintesi!$C$9)&lt;_xlfn.ANCHORARRAY(Sintesi!$C$10))*(A44&gt;=_xlfn.ANCHORARRAY(Sintesi!$C$9))*(A44&lt;=_xlfn.ANCHORARRAY(Sintesi!$C$10)),0)),0),A44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45&gt;=_xlfn.ANCHORARRAY(Sintesi!$C$9))+(_xlfn.ANCHORARRAY(Sintesi!$C$9)&gt;_xlfn.ANCHORARRAY(Sintesi!$C$10))*(A45&lt;=_xlfn.ANCHORARRAY(Sintesi!$C$10))+(_xlfn.ANCHORARRAY(Sintesi!$C$9)&lt;_xlfn.ANCHORARRAY(Sintesi!$C$10))*(A45&gt;=_xlfn.ANCHORARRAY(Sintesi!$C$9))*(A45&lt;=_xlfn.ANCHORARRAY(Sintesi!$C$10)),0)),0)),IF(L44&lt;_xlfn.IFNA(INDEX(_xlfn.ANCHORARRAY(Sintesi!$C$17),1,MATCH(1,(_xlfn.ANCHORARRAY(Sintesi!$C$9)&gt;_xlfn.ANCHORARRAY(Sintesi!$C$10))*(A43&gt;=_xlfn.ANCHORARRAY(Sintesi!$C$9))+(_xlfn.ANCHORARRAY(Sintesi!$C$9)&gt;_xlfn.ANCHORARRAY(Sintesi!$C$10))*(A43&lt;=_xlfn.ANCHORARRAY(Sintesi!$C$10))+(_xlfn.ANCHORARRAY(Sintesi!$C$9)&lt;_xlfn.ANCHORARRAY(Sintesi!$C$10))*(A43&gt;=_xlfn.ANCHORARRAY(Sintesi!$C$9))*(A43&lt;=_xlfn.ANCHORARRAY(Sintesi!$C$10)),0)),0),1,IF(L44&gt;=_xlfn.IFNA(INDEX(_xlfn.ANCHORARRAY(Sintesi!$C$18),1,MATCH(1,(_xlfn.ANCHORARRAY(Sintesi!$C$9)&gt;_xlfn.ANCHORARRAY(Sintesi!$C$10))*(A43&gt;=_xlfn.ANCHORARRAY(Sintesi!$C$9))+(_xlfn.ANCHORARRAY(Sintesi!$C$9)&gt;_xlfn.ANCHORARRAY(Sintesi!$C$10))*(A43&lt;=_xlfn.ANCHORARRAY(Sintesi!$C$10))+(_xlfn.ANCHORARRAY(Sintesi!$C$9)&lt;_xlfn.ANCHORARRAY(Sintesi!$C$10))*(A43&gt;=_xlfn.ANCHORARRAY(Sintesi!$C$9))*(A43&lt;=_xlfn.ANCHORARRAY(Sintesi!$C$10)),0)),0),0,1-(L44-_xlfn.IFNA(INDEX(_xlfn.ANCHORARRAY(Sintesi!$C$17),1,MATCH(1,(_xlfn.ANCHORARRAY(Sintesi!$C$9)&gt;_xlfn.ANCHORARRAY(Sintesi!$C$10))*(A43&gt;=_xlfn.ANCHORARRAY(Sintesi!$C$9))+(_xlfn.ANCHORARRAY(Sintesi!$C$9)&gt;_xlfn.ANCHORARRAY(Sintesi!$C$10))*(A43&lt;=_xlfn.ANCHORARRAY(Sintesi!$C$10))+(_xlfn.ANCHORARRAY(Sintesi!$C$9)&lt;_xlfn.ANCHORARRAY(Sintesi!$C$10))*(A43&gt;=_xlfn.ANCHORARRAY(Sintesi!$C$9))*(A43&lt;=_xlfn.ANCHORARRAY(Sintesi!$C$10)),0)),0))/(_xlfn.IFNA(INDEX(_xlfn.ANCHORARRAY(Sintesi!$C$18),1,MATCH(1,(_xlfn.ANCHORARRAY(Sintesi!$C$9)&gt;_xlfn.ANCHORARRAY(Sintesi!$C$10))*(A43&gt;=_xlfn.ANCHORARRAY(Sintesi!$C$9))+(_xlfn.ANCHORARRAY(Sintesi!$C$9)&gt;_xlfn.ANCHORARRAY(Sintesi!$C$10))*(A43&lt;=_xlfn.ANCHORARRAY(Sintesi!$C$10))+(_xlfn.ANCHORARRAY(Sintesi!$C$9)&lt;_xlfn.ANCHORARRAY(Sintesi!$C$10))*(A43&gt;=_xlfn.ANCHORARRAY(Sintesi!$C$9))*(A43&lt;=_xlfn.ANCHORARRAY(Sintesi!$C$10)),0)),0)-_xlfn.IFNA(INDEX(_xlfn.ANCHORARRAY(Sintesi!$C$17),1,MATCH(1,(_xlfn.ANCHORARRAY(Sintesi!$C$9)&gt;_xlfn.ANCHORARRAY(Sintesi!$C$10))*(A43&gt;=_xlfn.ANCHORARRAY(Sintesi!$C$9))+(_xlfn.ANCHORARRAY(Sintesi!$C$9)&gt;_xlfn.ANCHORARRAY(Sintesi!$C$10))*(A43&lt;=_xlfn.ANCHORARRAY(Sintesi!$C$10))+(_xlfn.ANCHORARRAY(Sintesi!$C$9)&lt;_xlfn.ANCHORARRAY(Sintesi!$C$10))*(A43&gt;=_xlfn.ANCHORARRAY(Sintesi!$C$9))*(A43&lt;=_xlfn.ANCHORARRAY(Sintesi!$C$10)),0)),0)))),0)</f>
        <v>0</v>
      </c>
    </row>
    <row r="45" spans="1:13">
      <c r="A45" s="1">
        <f>'Paste cell here'!A45</f>
        <v>44</v>
      </c>
      <c r="B45" s="2">
        <f>DATE(Sintesi!$C$4-1,12,31)+A45</f>
        <v>44240</v>
      </c>
      <c r="C45" s="34">
        <f t="array" ref="C45">_xlfn.IFNA(MATCH(1,((_xlfn.ANCHORARRAY(Sintesi!$C$9)&gt;_xlfn.ANCHORARRAY(Sintesi!$C$10))*(A45&gt;=_xlfn.ANCHORARRAY(Sintesi!$C$9))+(_xlfn.ANCHORARRAY(Sintesi!$C$9)&gt;_xlfn.ANCHORARRAY(Sintesi!$C$10))*(A45&lt;=_xlfn.ANCHORARRAY(Sintesi!$C$10))+(_xlfn.ANCHORARRAY(Sintesi!$C$9)&lt;_xlfn.ANCHORARRAY(Sintesi!$C$10))*(A45&gt;=_xlfn.ANCHORARRAY(Sintesi!$C$9))*(A45&lt;=_xlfn.ANCHORARRAY(Sintesi!$C$10)))*(_xlfn.ANCHORARRAY(Sintesi!$C$15)&gt;=0)+(_xlfn.ANCHORARRAY(Sintesi!$C$15)&lt;0),0),0)</f>
        <v>0</v>
      </c>
      <c r="D45" s="1">
        <f t="array" ref="D45">IF(ISBLANK($E46),IF(ISNUMBER($E44),IF($C45&gt;0,IF(($E45=INDEX(_xlfn.ANCHORARRAY(Sintesi!$C$14),1,$C45))*(INDEX(_xlfn.ANCHORARRAY(Sintesi!$C$15),1,$C45)&gt;0),0,IF(($E45=INDEX(_xlfn.ANCHORARRAY(Sintesi!$C$14),1,$C45))*(INDEX(_xlfn.ANCHORARRAY(Sintesi!$C$15),1,$C45)&lt;0)+($E45&gt;=$E44)*($E45&lt;=INDEX($E:$E,MATCH(TRUE,INDEX((ISNUMBER($E:$E)),0),0)))*($E45&gt;INDEX(_xlfn.ANCHORARRAY(Sintesi!$C$14),1,$C45))*($E45&lt;=INDEX(_xlfn.ANCHORARRAY(Sintesi!$C$15),1,$C45))*(INDEX(_xlfn.ANCHORARRAY(Sintesi!$C$15),1,$C45)&gt;0),1,IF(($E45&gt;=$E44)*($E45&lt;=INDEX($E:$E,MATCH(TRUE,INDEX((ISNUMBER($E:$E)),0),0)))*($E45&gt;INDEX(_xlfn.ANCHORARRAY(Sintesi!$C$14),1,$C45))*($E45&lt;INDEX(_xlfn.ANCHORARRAY(Sintesi!$C$16),1,$C45))*(INDEX(_xlfn.ANCHORARRAY(Sintesi!$C$15),1,$C45)&lt;0)+($E45&gt;=$E44)*($E45&lt;=INDEX($E:$E,MATCH(TRUE,INDEX((ISNUMBER($E:$E)),0),0)))*($E45&gt;INDEX(_xlfn.ANCHORARRAY(Sintesi!$C$15),1,$C45))*($E45&lt;INDEX(_xlfn.ANCHORARRAY(Sintesi!$C$16),1,$C45))*(INDEX(_xlfn.ANCHORARRAY(Sintesi!$C$15),1,$C45)&gt;0),2,IF($E45=(INDEX(_xlfn.ANCHORARRAY(Sintesi!$C$16),1,$C45)),3,4)))),0),IF($C45&gt;0,IF(($E45=INDEX(_xlfn.ANCHORARRAY(Sintesi!$C$14),1,$C45))*(INDEX(_xlfn.ANCHORARRAY(Sintesi!$C$15),1,$C45)&gt;0),0,IF(($E45=INDEX(_xlfn.ANCHORARRAY(Sintesi!$C$14),1,$C45))*(INDEX(_xlfn.ANCHORARRAY(Sintesi!$C$15),1,$C45)&lt;0)+($E45&gt;=LOOKUP(2,1/($E:$E&lt;&gt;""),$E:$E))*($E45&lt;=INDEX($E:$E,MATCH(TRUE,INDEX((ISNUMBER($E:$E)),0),0)))*($E45&gt;INDEX(_xlfn.ANCHORARRAY(Sintesi!$C$14),1,$C45))*($E45&lt;=INDEX(_xlfn.ANCHORARRAY(Sintesi!$C$15),1,$C45))*(INDEX(_xlfn.ANCHORARRAY(Sintesi!$C$15),1,$C45)&gt;0),1,IF(($E45&gt;=LOOKUP(2,1/($E:$E&lt;&gt;""),$E:$E))*($E45&lt;=INDEX($E:$E,MATCH(TRUE,INDEX((ISNUMBER($E:$E)),0),0)))*($E45&gt;INDEX(_xlfn.ANCHORARRAY(Sintesi!$C$14),1,$C45))*($E45&lt;INDEX(_xlfn.ANCHORARRAY(Sintesi!$C$16),1,$C45))*(INDEX(_xlfn.ANCHORARRAY(Sintesi!$C$15),1,$C45)&lt;0)+($E45&gt;=LOOKUP(2,1/($E:$E&lt;&gt;""),$E:$E))*($E45&lt;=INDEX($E:$E,MATCH(TRUE,INDEX((ISNUMBER($E:$E)),0),0)))*($E45&gt;INDEX(_xlfn.ANCHORARRAY(Sintesi!$C$15),1,$C45))*($E45&lt;INDEX(_xlfn.ANCHORARRAY(Sintesi!$C$16),1,$C45))*(INDEX(_xlfn.ANCHORARRAY(Sintesi!$C$15),1,$C45)&gt;0),2,IF($E45=(INDEX(_xlfn.ANCHORARRAY(Sintesi!$C$16),1,$C45)),3,4)))),0)),IF(ISNUMBER($E44),IF($C45&gt;0,IF(($E45=INDEX(_xlfn.ANCHORARRAY(Sintesi!$C$14),1,$C45))*(INDEX(_xlfn.ANCHORARRAY(Sintesi!$C$15),1,$C45)&gt;0),0,IF(($E45=INDEX(_xlfn.ANCHORARRAY(Sintesi!$C$14),1,$C45))*(INDEX(_xlfn.ANCHORARRAY(Sintesi!$C$15),1,$C45)&lt;0)+($E45&gt;=$E44)*($E45&lt;=$E46)*($E45&gt;INDEX(_xlfn.ANCHORARRAY(Sintesi!$C$14),1,$C45))*($E45&lt;=INDEX(_xlfn.ANCHORARRAY(Sintesi!$C$15),1,$C45))*(INDEX(_xlfn.ANCHORARRAY(Sintesi!$C$15),1,$C45)&gt;0),1,IF(($E45&gt;=$E44)*($E45&lt;=$E46)*($E45&gt;INDEX(_xlfn.ANCHORARRAY(Sintesi!$C$14),1,$C45))*($E45&lt;INDEX(_xlfn.ANCHORARRAY(Sintesi!$C$16),1,$C45))*(INDEX(_xlfn.ANCHORARRAY(Sintesi!$C$15),1,$C45)&lt;0)+($E45&gt;=$E44)*($E45&lt;=$E46)*($E45&gt;INDEX(_xlfn.ANCHORARRAY(Sintesi!$C$15),1,$C45))*($E45&lt;INDEX(_xlfn.ANCHORARRAY(Sintesi!$C$16),1,$C45))*(INDEX(_xlfn.ANCHORARRAY(Sintesi!$C$15),1,$C45)&gt;0),2,IF($E45=(INDEX(_xlfn.ANCHORARRAY(Sintesi!$C$16),1,$C45)),3,4)))),0),IF($C45&gt;0,IF(($E45=INDEX(_xlfn.ANCHORARRAY(Sintesi!$C$14),1,$C45))*(INDEX(_xlfn.ANCHORARRAY(Sintesi!$C$15),1,$C45)&gt;0),0,IF(($E45=INDEX(_xlfn.ANCHORARRAY(Sintesi!$C$14),1,$C45))*(INDEX(_xlfn.ANCHORARRAY(Sintesi!$C$15),1,$C45)&lt;0)+($E45&gt;=LOOKUP(2,1/($E:$E&lt;&gt;""),$E:$E))*($E45&lt;=$E46)*($E45&gt;INDEX(_xlfn.ANCHORARRAY(Sintesi!$C$14),1,$C45))*($E45&lt;=INDEX(_xlfn.ANCHORARRAY(Sintesi!$C$15),1,$C45))*(INDEX(_xlfn.ANCHORARRAY(Sintesi!$C$15),1,$C45)&gt;0),1,IF(($E45&gt;=LOOKUP(2,1/($E:$E&lt;&gt;""),$E:$E))*($E45&lt;=$E46)*($E45&gt;INDEX(_xlfn.ANCHORARRAY(Sintesi!$C$14),1,$C45))*($E45&lt;INDEX(_xlfn.ANCHORARRAY(Sintesi!$C$16),1,$C45))*(INDEX(_xlfn.ANCHORARRAY(Sintesi!$C$15),1,$C45)&lt;0)+($E45&gt;=LOOKUP(2,1/($E:$E&lt;&gt;""),$E:$E))*($E45&lt;=$E46)*($E45&gt;INDEX(_xlfn.ANCHORARRAY(Sintesi!$C$15),1,$C45))*($E45&lt;INDEX(_xlfn.ANCHORARRAY(Sintesi!$C$16),1,$C45))*(INDEX(_xlfn.ANCHORARRAY(Sintesi!$C$15),1,$C45)&gt;0),2,IF($E45=(INDEX(_xlfn.ANCHORARRAY(Sintesi!$C$16),1,$C45)),3,4)))),0)))</f>
        <v>0</v>
      </c>
      <c r="E45" s="1">
        <f>'Paste cell here'!F45</f>
        <v>0</v>
      </c>
      <c r="F45" s="1">
        <f>'Paste cell here'!C45</f>
        <v>2.1399999999999637</v>
      </c>
      <c r="G45" s="1">
        <f>'Paste cell here'!D45</f>
        <v>-2.8399999999999577</v>
      </c>
      <c r="H45" s="1">
        <f>'Paste cell here'!E45</f>
        <v>0.8646303527460637</v>
      </c>
      <c r="I45" s="1">
        <f>'Paste cell here'!X45</f>
        <v>0</v>
      </c>
      <c r="J45" s="1">
        <f>'Paste cell here'!Y45+'Paste cell here'!S45</f>
        <v>0</v>
      </c>
      <c r="K45" s="1">
        <f t="shared" si="0"/>
        <v>0</v>
      </c>
      <c r="L45" s="1">
        <f t="shared" si="1"/>
        <v>0.33435143370757842</v>
      </c>
      <c r="M45" s="1">
        <f t="array" ref="M45">IF(AND(A45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45&gt;=_xlfn.ANCHORARRAY(Sintesi!$C$9))+(_xlfn.ANCHORARRAY(Sintesi!$C$9)&gt;_xlfn.ANCHORARRAY(Sintesi!$C$10))*(A45&lt;=_xlfn.ANCHORARRAY(Sintesi!$C$10))+(_xlfn.ANCHORARRAY(Sintesi!$C$9)&lt;_xlfn.ANCHORARRAY(Sintesi!$C$10))*(A45&gt;=_xlfn.ANCHORARRAY(Sintesi!$C$9))*(A45&lt;=_xlfn.ANCHORARRAY(Sintesi!$C$10)),0)),0),A45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46&gt;=_xlfn.ANCHORARRAY(Sintesi!$C$9))+(_xlfn.ANCHORARRAY(Sintesi!$C$9)&gt;_xlfn.ANCHORARRAY(Sintesi!$C$10))*(A46&lt;=_xlfn.ANCHORARRAY(Sintesi!$C$10))+(_xlfn.ANCHORARRAY(Sintesi!$C$9)&lt;_xlfn.ANCHORARRAY(Sintesi!$C$10))*(A46&gt;=_xlfn.ANCHORARRAY(Sintesi!$C$9))*(A46&lt;=_xlfn.ANCHORARRAY(Sintesi!$C$10)),0)),0)),IF(L45&lt;_xlfn.IFNA(INDEX(_xlfn.ANCHORARRAY(Sintesi!$C$17),1,MATCH(1,(_xlfn.ANCHORARRAY(Sintesi!$C$9)&gt;_xlfn.ANCHORARRAY(Sintesi!$C$10))*(A44&gt;=_xlfn.ANCHORARRAY(Sintesi!$C$9))+(_xlfn.ANCHORARRAY(Sintesi!$C$9)&gt;_xlfn.ANCHORARRAY(Sintesi!$C$10))*(A44&lt;=_xlfn.ANCHORARRAY(Sintesi!$C$10))+(_xlfn.ANCHORARRAY(Sintesi!$C$9)&lt;_xlfn.ANCHORARRAY(Sintesi!$C$10))*(A44&gt;=_xlfn.ANCHORARRAY(Sintesi!$C$9))*(A44&lt;=_xlfn.ANCHORARRAY(Sintesi!$C$10)),0)),0),1,IF(L45&gt;=_xlfn.IFNA(INDEX(_xlfn.ANCHORARRAY(Sintesi!$C$18),1,MATCH(1,(_xlfn.ANCHORARRAY(Sintesi!$C$9)&gt;_xlfn.ANCHORARRAY(Sintesi!$C$10))*(A44&gt;=_xlfn.ANCHORARRAY(Sintesi!$C$9))+(_xlfn.ANCHORARRAY(Sintesi!$C$9)&gt;_xlfn.ANCHORARRAY(Sintesi!$C$10))*(A44&lt;=_xlfn.ANCHORARRAY(Sintesi!$C$10))+(_xlfn.ANCHORARRAY(Sintesi!$C$9)&lt;_xlfn.ANCHORARRAY(Sintesi!$C$10))*(A44&gt;=_xlfn.ANCHORARRAY(Sintesi!$C$9))*(A44&lt;=_xlfn.ANCHORARRAY(Sintesi!$C$10)),0)),0),0,1-(L45-_xlfn.IFNA(INDEX(_xlfn.ANCHORARRAY(Sintesi!$C$17),1,MATCH(1,(_xlfn.ANCHORARRAY(Sintesi!$C$9)&gt;_xlfn.ANCHORARRAY(Sintesi!$C$10))*(A44&gt;=_xlfn.ANCHORARRAY(Sintesi!$C$9))+(_xlfn.ANCHORARRAY(Sintesi!$C$9)&gt;_xlfn.ANCHORARRAY(Sintesi!$C$10))*(A44&lt;=_xlfn.ANCHORARRAY(Sintesi!$C$10))+(_xlfn.ANCHORARRAY(Sintesi!$C$9)&lt;_xlfn.ANCHORARRAY(Sintesi!$C$10))*(A44&gt;=_xlfn.ANCHORARRAY(Sintesi!$C$9))*(A44&lt;=_xlfn.ANCHORARRAY(Sintesi!$C$10)),0)),0))/(_xlfn.IFNA(INDEX(_xlfn.ANCHORARRAY(Sintesi!$C$18),1,MATCH(1,(_xlfn.ANCHORARRAY(Sintesi!$C$9)&gt;_xlfn.ANCHORARRAY(Sintesi!$C$10))*(A44&gt;=_xlfn.ANCHORARRAY(Sintesi!$C$9))+(_xlfn.ANCHORARRAY(Sintesi!$C$9)&gt;_xlfn.ANCHORARRAY(Sintesi!$C$10))*(A44&lt;=_xlfn.ANCHORARRAY(Sintesi!$C$10))+(_xlfn.ANCHORARRAY(Sintesi!$C$9)&lt;_xlfn.ANCHORARRAY(Sintesi!$C$10))*(A44&gt;=_xlfn.ANCHORARRAY(Sintesi!$C$9))*(A44&lt;=_xlfn.ANCHORARRAY(Sintesi!$C$10)),0)),0)-_xlfn.IFNA(INDEX(_xlfn.ANCHORARRAY(Sintesi!$C$17),1,MATCH(1,(_xlfn.ANCHORARRAY(Sintesi!$C$9)&gt;_xlfn.ANCHORARRAY(Sintesi!$C$10))*(A44&gt;=_xlfn.ANCHORARRAY(Sintesi!$C$9))+(_xlfn.ANCHORARRAY(Sintesi!$C$9)&gt;_xlfn.ANCHORARRAY(Sintesi!$C$10))*(A44&lt;=_xlfn.ANCHORARRAY(Sintesi!$C$10))+(_xlfn.ANCHORARRAY(Sintesi!$C$9)&lt;_xlfn.ANCHORARRAY(Sintesi!$C$10))*(A44&gt;=_xlfn.ANCHORARRAY(Sintesi!$C$9))*(A44&lt;=_xlfn.ANCHORARRAY(Sintesi!$C$10)),0)),0)))),0)</f>
        <v>0</v>
      </c>
    </row>
    <row r="46" spans="1:13">
      <c r="A46" s="1">
        <f>'Paste cell here'!A46</f>
        <v>45</v>
      </c>
      <c r="B46" s="2">
        <f>DATE(Sintesi!$C$4-1,12,31)+A46</f>
        <v>44241</v>
      </c>
      <c r="C46" s="34">
        <f t="array" ref="C46">_xlfn.IFNA(MATCH(1,((_xlfn.ANCHORARRAY(Sintesi!$C$9)&gt;_xlfn.ANCHORARRAY(Sintesi!$C$10))*(A46&gt;=_xlfn.ANCHORARRAY(Sintesi!$C$9))+(_xlfn.ANCHORARRAY(Sintesi!$C$9)&gt;_xlfn.ANCHORARRAY(Sintesi!$C$10))*(A46&lt;=_xlfn.ANCHORARRAY(Sintesi!$C$10))+(_xlfn.ANCHORARRAY(Sintesi!$C$9)&lt;_xlfn.ANCHORARRAY(Sintesi!$C$10))*(A46&gt;=_xlfn.ANCHORARRAY(Sintesi!$C$9))*(A46&lt;=_xlfn.ANCHORARRAY(Sintesi!$C$10)))*(_xlfn.ANCHORARRAY(Sintesi!$C$15)&gt;=0)+(_xlfn.ANCHORARRAY(Sintesi!$C$15)&lt;0),0),0)</f>
        <v>0</v>
      </c>
      <c r="D46" s="1">
        <f t="array" ref="D46">IF(ISBLANK($E47),IF(ISNUMBER($E45),IF($C46&gt;0,IF(($E46=INDEX(_xlfn.ANCHORARRAY(Sintesi!$C$14),1,$C46))*(INDEX(_xlfn.ANCHORARRAY(Sintesi!$C$15),1,$C46)&gt;0),0,IF(($E46=INDEX(_xlfn.ANCHORARRAY(Sintesi!$C$14),1,$C46))*(INDEX(_xlfn.ANCHORARRAY(Sintesi!$C$15),1,$C46)&lt;0)+($E46&gt;=$E45)*($E46&lt;=INDEX($E:$E,MATCH(TRUE,INDEX((ISNUMBER($E:$E)),0),0)))*($E46&gt;INDEX(_xlfn.ANCHORARRAY(Sintesi!$C$14),1,$C46))*($E46&lt;=INDEX(_xlfn.ANCHORARRAY(Sintesi!$C$15),1,$C46))*(INDEX(_xlfn.ANCHORARRAY(Sintesi!$C$15),1,$C46)&gt;0),1,IF(($E46&gt;=$E45)*($E46&lt;=INDEX($E:$E,MATCH(TRUE,INDEX((ISNUMBER($E:$E)),0),0)))*($E46&gt;INDEX(_xlfn.ANCHORARRAY(Sintesi!$C$14),1,$C46))*($E46&lt;INDEX(_xlfn.ANCHORARRAY(Sintesi!$C$16),1,$C46))*(INDEX(_xlfn.ANCHORARRAY(Sintesi!$C$15),1,$C46)&lt;0)+($E46&gt;=$E45)*($E46&lt;=INDEX($E:$E,MATCH(TRUE,INDEX((ISNUMBER($E:$E)),0),0)))*($E46&gt;INDEX(_xlfn.ANCHORARRAY(Sintesi!$C$15),1,$C46))*($E46&lt;INDEX(_xlfn.ANCHORARRAY(Sintesi!$C$16),1,$C46))*(INDEX(_xlfn.ANCHORARRAY(Sintesi!$C$15),1,$C46)&gt;0),2,IF($E46=(INDEX(_xlfn.ANCHORARRAY(Sintesi!$C$16),1,$C46)),3,4)))),0),IF($C46&gt;0,IF(($E46=INDEX(_xlfn.ANCHORARRAY(Sintesi!$C$14),1,$C46))*(INDEX(_xlfn.ANCHORARRAY(Sintesi!$C$15),1,$C46)&gt;0),0,IF(($E46=INDEX(_xlfn.ANCHORARRAY(Sintesi!$C$14),1,$C46))*(INDEX(_xlfn.ANCHORARRAY(Sintesi!$C$15),1,$C46)&lt;0)+($E46&gt;=LOOKUP(2,1/($E:$E&lt;&gt;""),$E:$E))*($E46&lt;=INDEX($E:$E,MATCH(TRUE,INDEX((ISNUMBER($E:$E)),0),0)))*($E46&gt;INDEX(_xlfn.ANCHORARRAY(Sintesi!$C$14),1,$C46))*($E46&lt;=INDEX(_xlfn.ANCHORARRAY(Sintesi!$C$15),1,$C46))*(INDEX(_xlfn.ANCHORARRAY(Sintesi!$C$15),1,$C46)&gt;0),1,IF(($E46&gt;=LOOKUP(2,1/($E:$E&lt;&gt;""),$E:$E))*($E46&lt;=INDEX($E:$E,MATCH(TRUE,INDEX((ISNUMBER($E:$E)),0),0)))*($E46&gt;INDEX(_xlfn.ANCHORARRAY(Sintesi!$C$14),1,$C46))*($E46&lt;INDEX(_xlfn.ANCHORARRAY(Sintesi!$C$16),1,$C46))*(INDEX(_xlfn.ANCHORARRAY(Sintesi!$C$15),1,$C46)&lt;0)+($E46&gt;=LOOKUP(2,1/($E:$E&lt;&gt;""),$E:$E))*($E46&lt;=INDEX($E:$E,MATCH(TRUE,INDEX((ISNUMBER($E:$E)),0),0)))*($E46&gt;INDEX(_xlfn.ANCHORARRAY(Sintesi!$C$15),1,$C46))*($E46&lt;INDEX(_xlfn.ANCHORARRAY(Sintesi!$C$16),1,$C46))*(INDEX(_xlfn.ANCHORARRAY(Sintesi!$C$15),1,$C46)&gt;0),2,IF($E46=(INDEX(_xlfn.ANCHORARRAY(Sintesi!$C$16),1,$C46)),3,4)))),0)),IF(ISNUMBER($E45),IF($C46&gt;0,IF(($E46=INDEX(_xlfn.ANCHORARRAY(Sintesi!$C$14),1,$C46))*(INDEX(_xlfn.ANCHORARRAY(Sintesi!$C$15),1,$C46)&gt;0),0,IF(($E46=INDEX(_xlfn.ANCHORARRAY(Sintesi!$C$14),1,$C46))*(INDEX(_xlfn.ANCHORARRAY(Sintesi!$C$15),1,$C46)&lt;0)+($E46&gt;=$E45)*($E46&lt;=$E47)*($E46&gt;INDEX(_xlfn.ANCHORARRAY(Sintesi!$C$14),1,$C46))*($E46&lt;=INDEX(_xlfn.ANCHORARRAY(Sintesi!$C$15),1,$C46))*(INDEX(_xlfn.ANCHORARRAY(Sintesi!$C$15),1,$C46)&gt;0),1,IF(($E46&gt;=$E45)*($E46&lt;=$E47)*($E46&gt;INDEX(_xlfn.ANCHORARRAY(Sintesi!$C$14),1,$C46))*($E46&lt;INDEX(_xlfn.ANCHORARRAY(Sintesi!$C$16),1,$C46))*(INDEX(_xlfn.ANCHORARRAY(Sintesi!$C$15),1,$C46)&lt;0)+($E46&gt;=$E45)*($E46&lt;=$E47)*($E46&gt;INDEX(_xlfn.ANCHORARRAY(Sintesi!$C$15),1,$C46))*($E46&lt;INDEX(_xlfn.ANCHORARRAY(Sintesi!$C$16),1,$C46))*(INDEX(_xlfn.ANCHORARRAY(Sintesi!$C$15),1,$C46)&gt;0),2,IF($E46=(INDEX(_xlfn.ANCHORARRAY(Sintesi!$C$16),1,$C46)),3,4)))),0),IF($C46&gt;0,IF(($E46=INDEX(_xlfn.ANCHORARRAY(Sintesi!$C$14),1,$C46))*(INDEX(_xlfn.ANCHORARRAY(Sintesi!$C$15),1,$C46)&gt;0),0,IF(($E46=INDEX(_xlfn.ANCHORARRAY(Sintesi!$C$14),1,$C46))*(INDEX(_xlfn.ANCHORARRAY(Sintesi!$C$15),1,$C46)&lt;0)+($E46&gt;=LOOKUP(2,1/($E:$E&lt;&gt;""),$E:$E))*($E46&lt;=$E47)*($E46&gt;INDEX(_xlfn.ANCHORARRAY(Sintesi!$C$14),1,$C46))*($E46&lt;=INDEX(_xlfn.ANCHORARRAY(Sintesi!$C$15),1,$C46))*(INDEX(_xlfn.ANCHORARRAY(Sintesi!$C$15),1,$C46)&gt;0),1,IF(($E46&gt;=LOOKUP(2,1/($E:$E&lt;&gt;""),$E:$E))*($E46&lt;=$E47)*($E46&gt;INDEX(_xlfn.ANCHORARRAY(Sintesi!$C$14),1,$C46))*($E46&lt;INDEX(_xlfn.ANCHORARRAY(Sintesi!$C$16),1,$C46))*(INDEX(_xlfn.ANCHORARRAY(Sintesi!$C$15),1,$C46)&lt;0)+($E46&gt;=LOOKUP(2,1/($E:$E&lt;&gt;""),$E:$E))*($E46&lt;=$E47)*($E46&gt;INDEX(_xlfn.ANCHORARRAY(Sintesi!$C$15),1,$C46))*($E46&lt;INDEX(_xlfn.ANCHORARRAY(Sintesi!$C$16),1,$C46))*(INDEX(_xlfn.ANCHORARRAY(Sintesi!$C$15),1,$C46)&gt;0),2,IF($E46=(INDEX(_xlfn.ANCHORARRAY(Sintesi!$C$16),1,$C46)),3,4)))),0)))</f>
        <v>0</v>
      </c>
      <c r="E46" s="1">
        <f>'Paste cell here'!F46</f>
        <v>0</v>
      </c>
      <c r="F46" s="1">
        <f>'Paste cell here'!C46</f>
        <v>7.0999999999999037</v>
      </c>
      <c r="G46" s="1">
        <f>'Paste cell here'!D46</f>
        <v>-5.0999999999999197</v>
      </c>
      <c r="H46" s="1">
        <f>'Paste cell here'!E46</f>
        <v>0.90977574393249783</v>
      </c>
      <c r="I46" s="1">
        <f>'Paste cell here'!X46</f>
        <v>0</v>
      </c>
      <c r="J46" s="1">
        <f>'Paste cell here'!Y46+'Paste cell here'!S46</f>
        <v>0</v>
      </c>
      <c r="K46" s="1">
        <f t="shared" si="0"/>
        <v>0</v>
      </c>
      <c r="L46" s="1">
        <f t="shared" si="1"/>
        <v>2.6765235926169462</v>
      </c>
      <c r="M46" s="1">
        <f t="array" ref="M46">IF(AND(A46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46&gt;=_xlfn.ANCHORARRAY(Sintesi!$C$9))+(_xlfn.ANCHORARRAY(Sintesi!$C$9)&gt;_xlfn.ANCHORARRAY(Sintesi!$C$10))*(A46&lt;=_xlfn.ANCHORARRAY(Sintesi!$C$10))+(_xlfn.ANCHORARRAY(Sintesi!$C$9)&lt;_xlfn.ANCHORARRAY(Sintesi!$C$10))*(A46&gt;=_xlfn.ANCHORARRAY(Sintesi!$C$9))*(A46&lt;=_xlfn.ANCHORARRAY(Sintesi!$C$10)),0)),0),A46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47&gt;=_xlfn.ANCHORARRAY(Sintesi!$C$9))+(_xlfn.ANCHORARRAY(Sintesi!$C$9)&gt;_xlfn.ANCHORARRAY(Sintesi!$C$10))*(A47&lt;=_xlfn.ANCHORARRAY(Sintesi!$C$10))+(_xlfn.ANCHORARRAY(Sintesi!$C$9)&lt;_xlfn.ANCHORARRAY(Sintesi!$C$10))*(A47&gt;=_xlfn.ANCHORARRAY(Sintesi!$C$9))*(A47&lt;=_xlfn.ANCHORARRAY(Sintesi!$C$10)),0)),0)),IF(L46&lt;_xlfn.IFNA(INDEX(_xlfn.ANCHORARRAY(Sintesi!$C$17),1,MATCH(1,(_xlfn.ANCHORARRAY(Sintesi!$C$9)&gt;_xlfn.ANCHORARRAY(Sintesi!$C$10))*(A45&gt;=_xlfn.ANCHORARRAY(Sintesi!$C$9))+(_xlfn.ANCHORARRAY(Sintesi!$C$9)&gt;_xlfn.ANCHORARRAY(Sintesi!$C$10))*(A45&lt;=_xlfn.ANCHORARRAY(Sintesi!$C$10))+(_xlfn.ANCHORARRAY(Sintesi!$C$9)&lt;_xlfn.ANCHORARRAY(Sintesi!$C$10))*(A45&gt;=_xlfn.ANCHORARRAY(Sintesi!$C$9))*(A45&lt;=_xlfn.ANCHORARRAY(Sintesi!$C$10)),0)),0),1,IF(L46&gt;=_xlfn.IFNA(INDEX(_xlfn.ANCHORARRAY(Sintesi!$C$18),1,MATCH(1,(_xlfn.ANCHORARRAY(Sintesi!$C$9)&gt;_xlfn.ANCHORARRAY(Sintesi!$C$10))*(A45&gt;=_xlfn.ANCHORARRAY(Sintesi!$C$9))+(_xlfn.ANCHORARRAY(Sintesi!$C$9)&gt;_xlfn.ANCHORARRAY(Sintesi!$C$10))*(A45&lt;=_xlfn.ANCHORARRAY(Sintesi!$C$10))+(_xlfn.ANCHORARRAY(Sintesi!$C$9)&lt;_xlfn.ANCHORARRAY(Sintesi!$C$10))*(A45&gt;=_xlfn.ANCHORARRAY(Sintesi!$C$9))*(A45&lt;=_xlfn.ANCHORARRAY(Sintesi!$C$10)),0)),0),0,1-(L46-_xlfn.IFNA(INDEX(_xlfn.ANCHORARRAY(Sintesi!$C$17),1,MATCH(1,(_xlfn.ANCHORARRAY(Sintesi!$C$9)&gt;_xlfn.ANCHORARRAY(Sintesi!$C$10))*(A45&gt;=_xlfn.ANCHORARRAY(Sintesi!$C$9))+(_xlfn.ANCHORARRAY(Sintesi!$C$9)&gt;_xlfn.ANCHORARRAY(Sintesi!$C$10))*(A45&lt;=_xlfn.ANCHORARRAY(Sintesi!$C$10))+(_xlfn.ANCHORARRAY(Sintesi!$C$9)&lt;_xlfn.ANCHORARRAY(Sintesi!$C$10))*(A45&gt;=_xlfn.ANCHORARRAY(Sintesi!$C$9))*(A45&lt;=_xlfn.ANCHORARRAY(Sintesi!$C$10)),0)),0))/(_xlfn.IFNA(INDEX(_xlfn.ANCHORARRAY(Sintesi!$C$18),1,MATCH(1,(_xlfn.ANCHORARRAY(Sintesi!$C$9)&gt;_xlfn.ANCHORARRAY(Sintesi!$C$10))*(A45&gt;=_xlfn.ANCHORARRAY(Sintesi!$C$9))+(_xlfn.ANCHORARRAY(Sintesi!$C$9)&gt;_xlfn.ANCHORARRAY(Sintesi!$C$10))*(A45&lt;=_xlfn.ANCHORARRAY(Sintesi!$C$10))+(_xlfn.ANCHORARRAY(Sintesi!$C$9)&lt;_xlfn.ANCHORARRAY(Sintesi!$C$10))*(A45&gt;=_xlfn.ANCHORARRAY(Sintesi!$C$9))*(A45&lt;=_xlfn.ANCHORARRAY(Sintesi!$C$10)),0)),0)-_xlfn.IFNA(INDEX(_xlfn.ANCHORARRAY(Sintesi!$C$17),1,MATCH(1,(_xlfn.ANCHORARRAY(Sintesi!$C$9)&gt;_xlfn.ANCHORARRAY(Sintesi!$C$10))*(A45&gt;=_xlfn.ANCHORARRAY(Sintesi!$C$9))+(_xlfn.ANCHORARRAY(Sintesi!$C$9)&gt;_xlfn.ANCHORARRAY(Sintesi!$C$10))*(A45&lt;=_xlfn.ANCHORARRAY(Sintesi!$C$10))+(_xlfn.ANCHORARRAY(Sintesi!$C$9)&lt;_xlfn.ANCHORARRAY(Sintesi!$C$10))*(A45&gt;=_xlfn.ANCHORARRAY(Sintesi!$C$9))*(A45&lt;=_xlfn.ANCHORARRAY(Sintesi!$C$10)),0)),0)))),0)</f>
        <v>0</v>
      </c>
    </row>
    <row r="47" spans="1:13">
      <c r="A47" s="1">
        <f>'Paste cell here'!A47</f>
        <v>46</v>
      </c>
      <c r="B47" s="2">
        <f>DATE(Sintesi!$C$4-1,12,31)+A47</f>
        <v>44242</v>
      </c>
      <c r="C47" s="34">
        <f t="array" ref="C47">_xlfn.IFNA(MATCH(1,((_xlfn.ANCHORARRAY(Sintesi!$C$9)&gt;_xlfn.ANCHORARRAY(Sintesi!$C$10))*(A47&gt;=_xlfn.ANCHORARRAY(Sintesi!$C$9))+(_xlfn.ANCHORARRAY(Sintesi!$C$9)&gt;_xlfn.ANCHORARRAY(Sintesi!$C$10))*(A47&lt;=_xlfn.ANCHORARRAY(Sintesi!$C$10))+(_xlfn.ANCHORARRAY(Sintesi!$C$9)&lt;_xlfn.ANCHORARRAY(Sintesi!$C$10))*(A47&gt;=_xlfn.ANCHORARRAY(Sintesi!$C$9))*(A47&lt;=_xlfn.ANCHORARRAY(Sintesi!$C$10)))*(_xlfn.ANCHORARRAY(Sintesi!$C$15)&gt;=0)+(_xlfn.ANCHORARRAY(Sintesi!$C$15)&lt;0),0),0)</f>
        <v>0</v>
      </c>
      <c r="D47" s="1">
        <f t="array" ref="D47">IF(ISBLANK($E48),IF(ISNUMBER($E46),IF($C47&gt;0,IF(($E47=INDEX(_xlfn.ANCHORARRAY(Sintesi!$C$14),1,$C47))*(INDEX(_xlfn.ANCHORARRAY(Sintesi!$C$15),1,$C47)&gt;0),0,IF(($E47=INDEX(_xlfn.ANCHORARRAY(Sintesi!$C$14),1,$C47))*(INDEX(_xlfn.ANCHORARRAY(Sintesi!$C$15),1,$C47)&lt;0)+($E47&gt;=$E46)*($E47&lt;=INDEX($E:$E,MATCH(TRUE,INDEX((ISNUMBER($E:$E)),0),0)))*($E47&gt;INDEX(_xlfn.ANCHORARRAY(Sintesi!$C$14),1,$C47))*($E47&lt;=INDEX(_xlfn.ANCHORARRAY(Sintesi!$C$15),1,$C47))*(INDEX(_xlfn.ANCHORARRAY(Sintesi!$C$15),1,$C47)&gt;0),1,IF(($E47&gt;=$E46)*($E47&lt;=INDEX($E:$E,MATCH(TRUE,INDEX((ISNUMBER($E:$E)),0),0)))*($E47&gt;INDEX(_xlfn.ANCHORARRAY(Sintesi!$C$14),1,$C47))*($E47&lt;INDEX(_xlfn.ANCHORARRAY(Sintesi!$C$16),1,$C47))*(INDEX(_xlfn.ANCHORARRAY(Sintesi!$C$15),1,$C47)&lt;0)+($E47&gt;=$E46)*($E47&lt;=INDEX($E:$E,MATCH(TRUE,INDEX((ISNUMBER($E:$E)),0),0)))*($E47&gt;INDEX(_xlfn.ANCHORARRAY(Sintesi!$C$15),1,$C47))*($E47&lt;INDEX(_xlfn.ANCHORARRAY(Sintesi!$C$16),1,$C47))*(INDEX(_xlfn.ANCHORARRAY(Sintesi!$C$15),1,$C47)&gt;0),2,IF($E47=(INDEX(_xlfn.ANCHORARRAY(Sintesi!$C$16),1,$C47)),3,4)))),0),IF($C47&gt;0,IF(($E47=INDEX(_xlfn.ANCHORARRAY(Sintesi!$C$14),1,$C47))*(INDEX(_xlfn.ANCHORARRAY(Sintesi!$C$15),1,$C47)&gt;0),0,IF(($E47=INDEX(_xlfn.ANCHORARRAY(Sintesi!$C$14),1,$C47))*(INDEX(_xlfn.ANCHORARRAY(Sintesi!$C$15),1,$C47)&lt;0)+($E47&gt;=LOOKUP(2,1/($E:$E&lt;&gt;""),$E:$E))*($E47&lt;=INDEX($E:$E,MATCH(TRUE,INDEX((ISNUMBER($E:$E)),0),0)))*($E47&gt;INDEX(_xlfn.ANCHORARRAY(Sintesi!$C$14),1,$C47))*($E47&lt;=INDEX(_xlfn.ANCHORARRAY(Sintesi!$C$15),1,$C47))*(INDEX(_xlfn.ANCHORARRAY(Sintesi!$C$15),1,$C47)&gt;0),1,IF(($E47&gt;=LOOKUP(2,1/($E:$E&lt;&gt;""),$E:$E))*($E47&lt;=INDEX($E:$E,MATCH(TRUE,INDEX((ISNUMBER($E:$E)),0),0)))*($E47&gt;INDEX(_xlfn.ANCHORARRAY(Sintesi!$C$14),1,$C47))*($E47&lt;INDEX(_xlfn.ANCHORARRAY(Sintesi!$C$16),1,$C47))*(INDEX(_xlfn.ANCHORARRAY(Sintesi!$C$15),1,$C47)&lt;0)+($E47&gt;=LOOKUP(2,1/($E:$E&lt;&gt;""),$E:$E))*($E47&lt;=INDEX($E:$E,MATCH(TRUE,INDEX((ISNUMBER($E:$E)),0),0)))*($E47&gt;INDEX(_xlfn.ANCHORARRAY(Sintesi!$C$15),1,$C47))*($E47&lt;INDEX(_xlfn.ANCHORARRAY(Sintesi!$C$16),1,$C47))*(INDEX(_xlfn.ANCHORARRAY(Sintesi!$C$15),1,$C47)&gt;0),2,IF($E47=(INDEX(_xlfn.ANCHORARRAY(Sintesi!$C$16),1,$C47)),3,4)))),0)),IF(ISNUMBER($E46),IF($C47&gt;0,IF(($E47=INDEX(_xlfn.ANCHORARRAY(Sintesi!$C$14),1,$C47))*(INDEX(_xlfn.ANCHORARRAY(Sintesi!$C$15),1,$C47)&gt;0),0,IF(($E47=INDEX(_xlfn.ANCHORARRAY(Sintesi!$C$14),1,$C47))*(INDEX(_xlfn.ANCHORARRAY(Sintesi!$C$15),1,$C47)&lt;0)+($E47&gt;=$E46)*($E47&lt;=$E48)*($E47&gt;INDEX(_xlfn.ANCHORARRAY(Sintesi!$C$14),1,$C47))*($E47&lt;=INDEX(_xlfn.ANCHORARRAY(Sintesi!$C$15),1,$C47))*(INDEX(_xlfn.ANCHORARRAY(Sintesi!$C$15),1,$C47)&gt;0),1,IF(($E47&gt;=$E46)*($E47&lt;=$E48)*($E47&gt;INDEX(_xlfn.ANCHORARRAY(Sintesi!$C$14),1,$C47))*($E47&lt;INDEX(_xlfn.ANCHORARRAY(Sintesi!$C$16),1,$C47))*(INDEX(_xlfn.ANCHORARRAY(Sintesi!$C$15),1,$C47)&lt;0)+($E47&gt;=$E46)*($E47&lt;=$E48)*($E47&gt;INDEX(_xlfn.ANCHORARRAY(Sintesi!$C$15),1,$C47))*($E47&lt;INDEX(_xlfn.ANCHORARRAY(Sintesi!$C$16),1,$C47))*(INDEX(_xlfn.ANCHORARRAY(Sintesi!$C$15),1,$C47)&gt;0),2,IF($E47=(INDEX(_xlfn.ANCHORARRAY(Sintesi!$C$16),1,$C47)),3,4)))),0),IF($C47&gt;0,IF(($E47=INDEX(_xlfn.ANCHORARRAY(Sintesi!$C$14),1,$C47))*(INDEX(_xlfn.ANCHORARRAY(Sintesi!$C$15),1,$C47)&gt;0),0,IF(($E47=INDEX(_xlfn.ANCHORARRAY(Sintesi!$C$14),1,$C47))*(INDEX(_xlfn.ANCHORARRAY(Sintesi!$C$15),1,$C47)&lt;0)+($E47&gt;=LOOKUP(2,1/($E:$E&lt;&gt;""),$E:$E))*($E47&lt;=$E48)*($E47&gt;INDEX(_xlfn.ANCHORARRAY(Sintesi!$C$14),1,$C47))*($E47&lt;=INDEX(_xlfn.ANCHORARRAY(Sintesi!$C$15),1,$C47))*(INDEX(_xlfn.ANCHORARRAY(Sintesi!$C$15),1,$C47)&gt;0),1,IF(($E47&gt;=LOOKUP(2,1/($E:$E&lt;&gt;""),$E:$E))*($E47&lt;=$E48)*($E47&gt;INDEX(_xlfn.ANCHORARRAY(Sintesi!$C$14),1,$C47))*($E47&lt;INDEX(_xlfn.ANCHORARRAY(Sintesi!$C$16),1,$C47))*(INDEX(_xlfn.ANCHORARRAY(Sintesi!$C$15),1,$C47)&lt;0)+($E47&gt;=LOOKUP(2,1/($E:$E&lt;&gt;""),$E:$E))*($E47&lt;=$E48)*($E47&gt;INDEX(_xlfn.ANCHORARRAY(Sintesi!$C$15),1,$C47))*($E47&lt;INDEX(_xlfn.ANCHORARRAY(Sintesi!$C$16),1,$C47))*(INDEX(_xlfn.ANCHORARRAY(Sintesi!$C$15),1,$C47)&gt;0),2,IF($E47=(INDEX(_xlfn.ANCHORARRAY(Sintesi!$C$16),1,$C47)),3,4)))),0)))</f>
        <v>0</v>
      </c>
      <c r="E47" s="1">
        <f>'Paste cell here'!F47</f>
        <v>0</v>
      </c>
      <c r="F47" s="1">
        <f>'Paste cell here'!C47</f>
        <v>8.5399999999998766</v>
      </c>
      <c r="G47" s="1">
        <f>'Paste cell here'!D47</f>
        <v>-4.5999999999999215</v>
      </c>
      <c r="H47" s="1">
        <f>'Paste cell here'!E47</f>
        <v>0.87351591102135207</v>
      </c>
      <c r="I47" s="1">
        <f>'Paste cell here'!X47</f>
        <v>0</v>
      </c>
      <c r="J47" s="1">
        <f>'Paste cell here'!Y47+'Paste cell here'!S47</f>
        <v>0</v>
      </c>
      <c r="K47" s="1">
        <f t="shared" si="0"/>
        <v>0</v>
      </c>
      <c r="L47" s="1">
        <f t="shared" si="1"/>
        <v>3.7756983612284003</v>
      </c>
      <c r="M47" s="1">
        <f t="array" ref="M47">IF(AND(A47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47&gt;=_xlfn.ANCHORARRAY(Sintesi!$C$9))+(_xlfn.ANCHORARRAY(Sintesi!$C$9)&gt;_xlfn.ANCHORARRAY(Sintesi!$C$10))*(A47&lt;=_xlfn.ANCHORARRAY(Sintesi!$C$10))+(_xlfn.ANCHORARRAY(Sintesi!$C$9)&lt;_xlfn.ANCHORARRAY(Sintesi!$C$10))*(A47&gt;=_xlfn.ANCHORARRAY(Sintesi!$C$9))*(A47&lt;=_xlfn.ANCHORARRAY(Sintesi!$C$10)),0)),0),A47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48&gt;=_xlfn.ANCHORARRAY(Sintesi!$C$9))+(_xlfn.ANCHORARRAY(Sintesi!$C$9)&gt;_xlfn.ANCHORARRAY(Sintesi!$C$10))*(A48&lt;=_xlfn.ANCHORARRAY(Sintesi!$C$10))+(_xlfn.ANCHORARRAY(Sintesi!$C$9)&lt;_xlfn.ANCHORARRAY(Sintesi!$C$10))*(A48&gt;=_xlfn.ANCHORARRAY(Sintesi!$C$9))*(A48&lt;=_xlfn.ANCHORARRAY(Sintesi!$C$10)),0)),0)),IF(L47&lt;_xlfn.IFNA(INDEX(_xlfn.ANCHORARRAY(Sintesi!$C$17),1,MATCH(1,(_xlfn.ANCHORARRAY(Sintesi!$C$9)&gt;_xlfn.ANCHORARRAY(Sintesi!$C$10))*(A46&gt;=_xlfn.ANCHORARRAY(Sintesi!$C$9))+(_xlfn.ANCHORARRAY(Sintesi!$C$9)&gt;_xlfn.ANCHORARRAY(Sintesi!$C$10))*(A46&lt;=_xlfn.ANCHORARRAY(Sintesi!$C$10))+(_xlfn.ANCHORARRAY(Sintesi!$C$9)&lt;_xlfn.ANCHORARRAY(Sintesi!$C$10))*(A46&gt;=_xlfn.ANCHORARRAY(Sintesi!$C$9))*(A46&lt;=_xlfn.ANCHORARRAY(Sintesi!$C$10)),0)),0),1,IF(L47&gt;=_xlfn.IFNA(INDEX(_xlfn.ANCHORARRAY(Sintesi!$C$18),1,MATCH(1,(_xlfn.ANCHORARRAY(Sintesi!$C$9)&gt;_xlfn.ANCHORARRAY(Sintesi!$C$10))*(A46&gt;=_xlfn.ANCHORARRAY(Sintesi!$C$9))+(_xlfn.ANCHORARRAY(Sintesi!$C$9)&gt;_xlfn.ANCHORARRAY(Sintesi!$C$10))*(A46&lt;=_xlfn.ANCHORARRAY(Sintesi!$C$10))+(_xlfn.ANCHORARRAY(Sintesi!$C$9)&lt;_xlfn.ANCHORARRAY(Sintesi!$C$10))*(A46&gt;=_xlfn.ANCHORARRAY(Sintesi!$C$9))*(A46&lt;=_xlfn.ANCHORARRAY(Sintesi!$C$10)),0)),0),0,1-(L47-_xlfn.IFNA(INDEX(_xlfn.ANCHORARRAY(Sintesi!$C$17),1,MATCH(1,(_xlfn.ANCHORARRAY(Sintesi!$C$9)&gt;_xlfn.ANCHORARRAY(Sintesi!$C$10))*(A46&gt;=_xlfn.ANCHORARRAY(Sintesi!$C$9))+(_xlfn.ANCHORARRAY(Sintesi!$C$9)&gt;_xlfn.ANCHORARRAY(Sintesi!$C$10))*(A46&lt;=_xlfn.ANCHORARRAY(Sintesi!$C$10))+(_xlfn.ANCHORARRAY(Sintesi!$C$9)&lt;_xlfn.ANCHORARRAY(Sintesi!$C$10))*(A46&gt;=_xlfn.ANCHORARRAY(Sintesi!$C$9))*(A46&lt;=_xlfn.ANCHORARRAY(Sintesi!$C$10)),0)),0))/(_xlfn.IFNA(INDEX(_xlfn.ANCHORARRAY(Sintesi!$C$18),1,MATCH(1,(_xlfn.ANCHORARRAY(Sintesi!$C$9)&gt;_xlfn.ANCHORARRAY(Sintesi!$C$10))*(A46&gt;=_xlfn.ANCHORARRAY(Sintesi!$C$9))+(_xlfn.ANCHORARRAY(Sintesi!$C$9)&gt;_xlfn.ANCHORARRAY(Sintesi!$C$10))*(A46&lt;=_xlfn.ANCHORARRAY(Sintesi!$C$10))+(_xlfn.ANCHORARRAY(Sintesi!$C$9)&lt;_xlfn.ANCHORARRAY(Sintesi!$C$10))*(A46&gt;=_xlfn.ANCHORARRAY(Sintesi!$C$9))*(A46&lt;=_xlfn.ANCHORARRAY(Sintesi!$C$10)),0)),0)-_xlfn.IFNA(INDEX(_xlfn.ANCHORARRAY(Sintesi!$C$17),1,MATCH(1,(_xlfn.ANCHORARRAY(Sintesi!$C$9)&gt;_xlfn.ANCHORARRAY(Sintesi!$C$10))*(A46&gt;=_xlfn.ANCHORARRAY(Sintesi!$C$9))+(_xlfn.ANCHORARRAY(Sintesi!$C$9)&gt;_xlfn.ANCHORARRAY(Sintesi!$C$10))*(A46&lt;=_xlfn.ANCHORARRAY(Sintesi!$C$10))+(_xlfn.ANCHORARRAY(Sintesi!$C$9)&lt;_xlfn.ANCHORARRAY(Sintesi!$C$10))*(A46&gt;=_xlfn.ANCHORARRAY(Sintesi!$C$9))*(A46&lt;=_xlfn.ANCHORARRAY(Sintesi!$C$10)),0)),0)))),0)</f>
        <v>0</v>
      </c>
    </row>
    <row r="48" spans="1:13">
      <c r="A48" s="1">
        <f>'Paste cell here'!A48</f>
        <v>47</v>
      </c>
      <c r="B48" s="2">
        <f>DATE(Sintesi!$C$4-1,12,31)+A48</f>
        <v>44243</v>
      </c>
      <c r="C48" s="34">
        <f t="array" ref="C48">_xlfn.IFNA(MATCH(1,((_xlfn.ANCHORARRAY(Sintesi!$C$9)&gt;_xlfn.ANCHORARRAY(Sintesi!$C$10))*(A48&gt;=_xlfn.ANCHORARRAY(Sintesi!$C$9))+(_xlfn.ANCHORARRAY(Sintesi!$C$9)&gt;_xlfn.ANCHORARRAY(Sintesi!$C$10))*(A48&lt;=_xlfn.ANCHORARRAY(Sintesi!$C$10))+(_xlfn.ANCHORARRAY(Sintesi!$C$9)&lt;_xlfn.ANCHORARRAY(Sintesi!$C$10))*(A48&gt;=_xlfn.ANCHORARRAY(Sintesi!$C$9))*(A48&lt;=_xlfn.ANCHORARRAY(Sintesi!$C$10)))*(_xlfn.ANCHORARRAY(Sintesi!$C$15)&gt;=0)+(_xlfn.ANCHORARRAY(Sintesi!$C$15)&lt;0),0),0)</f>
        <v>0</v>
      </c>
      <c r="D48" s="1">
        <f t="array" ref="D48">IF(ISBLANK($E49),IF(ISNUMBER($E47),IF($C48&gt;0,IF(($E48=INDEX(_xlfn.ANCHORARRAY(Sintesi!$C$14),1,$C48))*(INDEX(_xlfn.ANCHORARRAY(Sintesi!$C$15),1,$C48)&gt;0),0,IF(($E48=INDEX(_xlfn.ANCHORARRAY(Sintesi!$C$14),1,$C48))*(INDEX(_xlfn.ANCHORARRAY(Sintesi!$C$15),1,$C48)&lt;0)+($E48&gt;=$E47)*($E48&lt;=INDEX($E:$E,MATCH(TRUE,INDEX((ISNUMBER($E:$E)),0),0)))*($E48&gt;INDEX(_xlfn.ANCHORARRAY(Sintesi!$C$14),1,$C48))*($E48&lt;=INDEX(_xlfn.ANCHORARRAY(Sintesi!$C$15),1,$C48))*(INDEX(_xlfn.ANCHORARRAY(Sintesi!$C$15),1,$C48)&gt;0),1,IF(($E48&gt;=$E47)*($E48&lt;=INDEX($E:$E,MATCH(TRUE,INDEX((ISNUMBER($E:$E)),0),0)))*($E48&gt;INDEX(_xlfn.ANCHORARRAY(Sintesi!$C$14),1,$C48))*($E48&lt;INDEX(_xlfn.ANCHORARRAY(Sintesi!$C$16),1,$C48))*(INDEX(_xlfn.ANCHORARRAY(Sintesi!$C$15),1,$C48)&lt;0)+($E48&gt;=$E47)*($E48&lt;=INDEX($E:$E,MATCH(TRUE,INDEX((ISNUMBER($E:$E)),0),0)))*($E48&gt;INDEX(_xlfn.ANCHORARRAY(Sintesi!$C$15),1,$C48))*($E48&lt;INDEX(_xlfn.ANCHORARRAY(Sintesi!$C$16),1,$C48))*(INDEX(_xlfn.ANCHORARRAY(Sintesi!$C$15),1,$C48)&gt;0),2,IF($E48=(INDEX(_xlfn.ANCHORARRAY(Sintesi!$C$16),1,$C48)),3,4)))),0),IF($C48&gt;0,IF(($E48=INDEX(_xlfn.ANCHORARRAY(Sintesi!$C$14),1,$C48))*(INDEX(_xlfn.ANCHORARRAY(Sintesi!$C$15),1,$C48)&gt;0),0,IF(($E48=INDEX(_xlfn.ANCHORARRAY(Sintesi!$C$14),1,$C48))*(INDEX(_xlfn.ANCHORARRAY(Sintesi!$C$15),1,$C48)&lt;0)+($E48&gt;=LOOKUP(2,1/($E:$E&lt;&gt;""),$E:$E))*($E48&lt;=INDEX($E:$E,MATCH(TRUE,INDEX((ISNUMBER($E:$E)),0),0)))*($E48&gt;INDEX(_xlfn.ANCHORARRAY(Sintesi!$C$14),1,$C48))*($E48&lt;=INDEX(_xlfn.ANCHORARRAY(Sintesi!$C$15),1,$C48))*(INDEX(_xlfn.ANCHORARRAY(Sintesi!$C$15),1,$C48)&gt;0),1,IF(($E48&gt;=LOOKUP(2,1/($E:$E&lt;&gt;""),$E:$E))*($E48&lt;=INDEX($E:$E,MATCH(TRUE,INDEX((ISNUMBER($E:$E)),0),0)))*($E48&gt;INDEX(_xlfn.ANCHORARRAY(Sintesi!$C$14),1,$C48))*($E48&lt;INDEX(_xlfn.ANCHORARRAY(Sintesi!$C$16),1,$C48))*(INDEX(_xlfn.ANCHORARRAY(Sintesi!$C$15),1,$C48)&lt;0)+($E48&gt;=LOOKUP(2,1/($E:$E&lt;&gt;""),$E:$E))*($E48&lt;=INDEX($E:$E,MATCH(TRUE,INDEX((ISNUMBER($E:$E)),0),0)))*($E48&gt;INDEX(_xlfn.ANCHORARRAY(Sintesi!$C$15),1,$C48))*($E48&lt;INDEX(_xlfn.ANCHORARRAY(Sintesi!$C$16),1,$C48))*(INDEX(_xlfn.ANCHORARRAY(Sintesi!$C$15),1,$C48)&gt;0),2,IF($E48=(INDEX(_xlfn.ANCHORARRAY(Sintesi!$C$16),1,$C48)),3,4)))),0)),IF(ISNUMBER($E47),IF($C48&gt;0,IF(($E48=INDEX(_xlfn.ANCHORARRAY(Sintesi!$C$14),1,$C48))*(INDEX(_xlfn.ANCHORARRAY(Sintesi!$C$15),1,$C48)&gt;0),0,IF(($E48=INDEX(_xlfn.ANCHORARRAY(Sintesi!$C$14),1,$C48))*(INDEX(_xlfn.ANCHORARRAY(Sintesi!$C$15),1,$C48)&lt;0)+($E48&gt;=$E47)*($E48&lt;=$E49)*($E48&gt;INDEX(_xlfn.ANCHORARRAY(Sintesi!$C$14),1,$C48))*($E48&lt;=INDEX(_xlfn.ANCHORARRAY(Sintesi!$C$15),1,$C48))*(INDEX(_xlfn.ANCHORARRAY(Sintesi!$C$15),1,$C48)&gt;0),1,IF(($E48&gt;=$E47)*($E48&lt;=$E49)*($E48&gt;INDEX(_xlfn.ANCHORARRAY(Sintesi!$C$14),1,$C48))*($E48&lt;INDEX(_xlfn.ANCHORARRAY(Sintesi!$C$16),1,$C48))*(INDEX(_xlfn.ANCHORARRAY(Sintesi!$C$15),1,$C48)&lt;0)+($E48&gt;=$E47)*($E48&lt;=$E49)*($E48&gt;INDEX(_xlfn.ANCHORARRAY(Sintesi!$C$15),1,$C48))*($E48&lt;INDEX(_xlfn.ANCHORARRAY(Sintesi!$C$16),1,$C48))*(INDEX(_xlfn.ANCHORARRAY(Sintesi!$C$15),1,$C48)&gt;0),2,IF($E48=(INDEX(_xlfn.ANCHORARRAY(Sintesi!$C$16),1,$C48)),3,4)))),0),IF($C48&gt;0,IF(($E48=INDEX(_xlfn.ANCHORARRAY(Sintesi!$C$14),1,$C48))*(INDEX(_xlfn.ANCHORARRAY(Sintesi!$C$15),1,$C48)&gt;0),0,IF(($E48=INDEX(_xlfn.ANCHORARRAY(Sintesi!$C$14),1,$C48))*(INDEX(_xlfn.ANCHORARRAY(Sintesi!$C$15),1,$C48)&lt;0)+($E48&gt;=LOOKUP(2,1/($E:$E&lt;&gt;""),$E:$E))*($E48&lt;=$E49)*($E48&gt;INDEX(_xlfn.ANCHORARRAY(Sintesi!$C$14),1,$C48))*($E48&lt;=INDEX(_xlfn.ANCHORARRAY(Sintesi!$C$15),1,$C48))*(INDEX(_xlfn.ANCHORARRAY(Sintesi!$C$15),1,$C48)&gt;0),1,IF(($E48&gt;=LOOKUP(2,1/($E:$E&lt;&gt;""),$E:$E))*($E48&lt;=$E49)*($E48&gt;INDEX(_xlfn.ANCHORARRAY(Sintesi!$C$14),1,$C48))*($E48&lt;INDEX(_xlfn.ANCHORARRAY(Sintesi!$C$16),1,$C48))*(INDEX(_xlfn.ANCHORARRAY(Sintesi!$C$15),1,$C48)&lt;0)+($E48&gt;=LOOKUP(2,1/($E:$E&lt;&gt;""),$E:$E))*($E48&lt;=$E49)*($E48&gt;INDEX(_xlfn.ANCHORARRAY(Sintesi!$C$15),1,$C48))*($E48&lt;INDEX(_xlfn.ANCHORARRAY(Sintesi!$C$16),1,$C48))*(INDEX(_xlfn.ANCHORARRAY(Sintesi!$C$15),1,$C48)&gt;0),2,IF($E48=(INDEX(_xlfn.ANCHORARRAY(Sintesi!$C$16),1,$C48)),3,4)))),0)))</f>
        <v>0</v>
      </c>
      <c r="E48" s="1">
        <f>'Paste cell here'!F48</f>
        <v>0</v>
      </c>
      <c r="F48" s="1">
        <f>'Paste cell here'!C48</f>
        <v>10.919999999999835</v>
      </c>
      <c r="G48" s="1">
        <f>'Paste cell here'!D48</f>
        <v>-1.7399999999999607</v>
      </c>
      <c r="H48" s="1">
        <f>'Paste cell here'!E48</f>
        <v>0.93997007384053555</v>
      </c>
      <c r="I48" s="1">
        <f>'Paste cell here'!X48</f>
        <v>0</v>
      </c>
      <c r="J48" s="1">
        <f>'Paste cell here'!Y48+'Paste cell here'!S48</f>
        <v>0</v>
      </c>
      <c r="K48" s="1">
        <f t="shared" si="0"/>
        <v>0</v>
      </c>
      <c r="L48" s="1">
        <f t="shared" si="1"/>
        <v>6.329736777256544</v>
      </c>
      <c r="M48" s="1">
        <f t="array" ref="M48">IF(AND(A48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48&gt;=_xlfn.ANCHORARRAY(Sintesi!$C$9))+(_xlfn.ANCHORARRAY(Sintesi!$C$9)&gt;_xlfn.ANCHORARRAY(Sintesi!$C$10))*(A48&lt;=_xlfn.ANCHORARRAY(Sintesi!$C$10))+(_xlfn.ANCHORARRAY(Sintesi!$C$9)&lt;_xlfn.ANCHORARRAY(Sintesi!$C$10))*(A48&gt;=_xlfn.ANCHORARRAY(Sintesi!$C$9))*(A48&lt;=_xlfn.ANCHORARRAY(Sintesi!$C$10)),0)),0),A48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49&gt;=_xlfn.ANCHORARRAY(Sintesi!$C$9))+(_xlfn.ANCHORARRAY(Sintesi!$C$9)&gt;_xlfn.ANCHORARRAY(Sintesi!$C$10))*(A49&lt;=_xlfn.ANCHORARRAY(Sintesi!$C$10))+(_xlfn.ANCHORARRAY(Sintesi!$C$9)&lt;_xlfn.ANCHORARRAY(Sintesi!$C$10))*(A49&gt;=_xlfn.ANCHORARRAY(Sintesi!$C$9))*(A49&lt;=_xlfn.ANCHORARRAY(Sintesi!$C$10)),0)),0)),IF(L48&lt;_xlfn.IFNA(INDEX(_xlfn.ANCHORARRAY(Sintesi!$C$17),1,MATCH(1,(_xlfn.ANCHORARRAY(Sintesi!$C$9)&gt;_xlfn.ANCHORARRAY(Sintesi!$C$10))*(A47&gt;=_xlfn.ANCHORARRAY(Sintesi!$C$9))+(_xlfn.ANCHORARRAY(Sintesi!$C$9)&gt;_xlfn.ANCHORARRAY(Sintesi!$C$10))*(A47&lt;=_xlfn.ANCHORARRAY(Sintesi!$C$10))+(_xlfn.ANCHORARRAY(Sintesi!$C$9)&lt;_xlfn.ANCHORARRAY(Sintesi!$C$10))*(A47&gt;=_xlfn.ANCHORARRAY(Sintesi!$C$9))*(A47&lt;=_xlfn.ANCHORARRAY(Sintesi!$C$10)),0)),0),1,IF(L48&gt;=_xlfn.IFNA(INDEX(_xlfn.ANCHORARRAY(Sintesi!$C$18),1,MATCH(1,(_xlfn.ANCHORARRAY(Sintesi!$C$9)&gt;_xlfn.ANCHORARRAY(Sintesi!$C$10))*(A47&gt;=_xlfn.ANCHORARRAY(Sintesi!$C$9))+(_xlfn.ANCHORARRAY(Sintesi!$C$9)&gt;_xlfn.ANCHORARRAY(Sintesi!$C$10))*(A47&lt;=_xlfn.ANCHORARRAY(Sintesi!$C$10))+(_xlfn.ANCHORARRAY(Sintesi!$C$9)&lt;_xlfn.ANCHORARRAY(Sintesi!$C$10))*(A47&gt;=_xlfn.ANCHORARRAY(Sintesi!$C$9))*(A47&lt;=_xlfn.ANCHORARRAY(Sintesi!$C$10)),0)),0),0,1-(L48-_xlfn.IFNA(INDEX(_xlfn.ANCHORARRAY(Sintesi!$C$17),1,MATCH(1,(_xlfn.ANCHORARRAY(Sintesi!$C$9)&gt;_xlfn.ANCHORARRAY(Sintesi!$C$10))*(A47&gt;=_xlfn.ANCHORARRAY(Sintesi!$C$9))+(_xlfn.ANCHORARRAY(Sintesi!$C$9)&gt;_xlfn.ANCHORARRAY(Sintesi!$C$10))*(A47&lt;=_xlfn.ANCHORARRAY(Sintesi!$C$10))+(_xlfn.ANCHORARRAY(Sintesi!$C$9)&lt;_xlfn.ANCHORARRAY(Sintesi!$C$10))*(A47&gt;=_xlfn.ANCHORARRAY(Sintesi!$C$9))*(A47&lt;=_xlfn.ANCHORARRAY(Sintesi!$C$10)),0)),0))/(_xlfn.IFNA(INDEX(_xlfn.ANCHORARRAY(Sintesi!$C$18),1,MATCH(1,(_xlfn.ANCHORARRAY(Sintesi!$C$9)&gt;_xlfn.ANCHORARRAY(Sintesi!$C$10))*(A47&gt;=_xlfn.ANCHORARRAY(Sintesi!$C$9))+(_xlfn.ANCHORARRAY(Sintesi!$C$9)&gt;_xlfn.ANCHORARRAY(Sintesi!$C$10))*(A47&lt;=_xlfn.ANCHORARRAY(Sintesi!$C$10))+(_xlfn.ANCHORARRAY(Sintesi!$C$9)&lt;_xlfn.ANCHORARRAY(Sintesi!$C$10))*(A47&gt;=_xlfn.ANCHORARRAY(Sintesi!$C$9))*(A47&lt;=_xlfn.ANCHORARRAY(Sintesi!$C$10)),0)),0)-_xlfn.IFNA(INDEX(_xlfn.ANCHORARRAY(Sintesi!$C$17),1,MATCH(1,(_xlfn.ANCHORARRAY(Sintesi!$C$9)&gt;_xlfn.ANCHORARRAY(Sintesi!$C$10))*(A47&gt;=_xlfn.ANCHORARRAY(Sintesi!$C$9))+(_xlfn.ANCHORARRAY(Sintesi!$C$9)&gt;_xlfn.ANCHORARRAY(Sintesi!$C$10))*(A47&lt;=_xlfn.ANCHORARRAY(Sintesi!$C$10))+(_xlfn.ANCHORARRAY(Sintesi!$C$9)&lt;_xlfn.ANCHORARRAY(Sintesi!$C$10))*(A47&gt;=_xlfn.ANCHORARRAY(Sintesi!$C$9))*(A47&lt;=_xlfn.ANCHORARRAY(Sintesi!$C$10)),0)),0)))),0)</f>
        <v>0</v>
      </c>
    </row>
    <row r="49" spans="1:13">
      <c r="A49" s="1">
        <f>'Paste cell here'!A49</f>
        <v>48</v>
      </c>
      <c r="B49" s="2">
        <f>DATE(Sintesi!$C$4-1,12,31)+A49</f>
        <v>44244</v>
      </c>
      <c r="C49" s="34">
        <f t="array" ref="C49">_xlfn.IFNA(MATCH(1,((_xlfn.ANCHORARRAY(Sintesi!$C$9)&gt;_xlfn.ANCHORARRAY(Sintesi!$C$10))*(A49&gt;=_xlfn.ANCHORARRAY(Sintesi!$C$9))+(_xlfn.ANCHORARRAY(Sintesi!$C$9)&gt;_xlfn.ANCHORARRAY(Sintesi!$C$10))*(A49&lt;=_xlfn.ANCHORARRAY(Sintesi!$C$10))+(_xlfn.ANCHORARRAY(Sintesi!$C$9)&lt;_xlfn.ANCHORARRAY(Sintesi!$C$10))*(A49&gt;=_xlfn.ANCHORARRAY(Sintesi!$C$9))*(A49&lt;=_xlfn.ANCHORARRAY(Sintesi!$C$10)))*(_xlfn.ANCHORARRAY(Sintesi!$C$15)&gt;=0)+(_xlfn.ANCHORARRAY(Sintesi!$C$15)&lt;0),0),0)</f>
        <v>0</v>
      </c>
      <c r="D49" s="1">
        <f t="array" ref="D49">IF(ISBLANK($E50),IF(ISNUMBER($E48),IF($C49&gt;0,IF(($E49=INDEX(_xlfn.ANCHORARRAY(Sintesi!$C$14),1,$C49))*(INDEX(_xlfn.ANCHORARRAY(Sintesi!$C$15),1,$C49)&gt;0),0,IF(($E49=INDEX(_xlfn.ANCHORARRAY(Sintesi!$C$14),1,$C49))*(INDEX(_xlfn.ANCHORARRAY(Sintesi!$C$15),1,$C49)&lt;0)+($E49&gt;=$E48)*($E49&lt;=INDEX($E:$E,MATCH(TRUE,INDEX((ISNUMBER($E:$E)),0),0)))*($E49&gt;INDEX(_xlfn.ANCHORARRAY(Sintesi!$C$14),1,$C49))*($E49&lt;=INDEX(_xlfn.ANCHORARRAY(Sintesi!$C$15),1,$C49))*(INDEX(_xlfn.ANCHORARRAY(Sintesi!$C$15),1,$C49)&gt;0),1,IF(($E49&gt;=$E48)*($E49&lt;=INDEX($E:$E,MATCH(TRUE,INDEX((ISNUMBER($E:$E)),0),0)))*($E49&gt;INDEX(_xlfn.ANCHORARRAY(Sintesi!$C$14),1,$C49))*($E49&lt;INDEX(_xlfn.ANCHORARRAY(Sintesi!$C$16),1,$C49))*(INDEX(_xlfn.ANCHORARRAY(Sintesi!$C$15),1,$C49)&lt;0)+($E49&gt;=$E48)*($E49&lt;=INDEX($E:$E,MATCH(TRUE,INDEX((ISNUMBER($E:$E)),0),0)))*($E49&gt;INDEX(_xlfn.ANCHORARRAY(Sintesi!$C$15),1,$C49))*($E49&lt;INDEX(_xlfn.ANCHORARRAY(Sintesi!$C$16),1,$C49))*(INDEX(_xlfn.ANCHORARRAY(Sintesi!$C$15),1,$C49)&gt;0),2,IF($E49=(INDEX(_xlfn.ANCHORARRAY(Sintesi!$C$16),1,$C49)),3,4)))),0),IF($C49&gt;0,IF(($E49=INDEX(_xlfn.ANCHORARRAY(Sintesi!$C$14),1,$C49))*(INDEX(_xlfn.ANCHORARRAY(Sintesi!$C$15),1,$C49)&gt;0),0,IF(($E49=INDEX(_xlfn.ANCHORARRAY(Sintesi!$C$14),1,$C49))*(INDEX(_xlfn.ANCHORARRAY(Sintesi!$C$15),1,$C49)&lt;0)+($E49&gt;=LOOKUP(2,1/($E:$E&lt;&gt;""),$E:$E))*($E49&lt;=INDEX($E:$E,MATCH(TRUE,INDEX((ISNUMBER($E:$E)),0),0)))*($E49&gt;INDEX(_xlfn.ANCHORARRAY(Sintesi!$C$14),1,$C49))*($E49&lt;=INDEX(_xlfn.ANCHORARRAY(Sintesi!$C$15),1,$C49))*(INDEX(_xlfn.ANCHORARRAY(Sintesi!$C$15),1,$C49)&gt;0),1,IF(($E49&gt;=LOOKUP(2,1/($E:$E&lt;&gt;""),$E:$E))*($E49&lt;=INDEX($E:$E,MATCH(TRUE,INDEX((ISNUMBER($E:$E)),0),0)))*($E49&gt;INDEX(_xlfn.ANCHORARRAY(Sintesi!$C$14),1,$C49))*($E49&lt;INDEX(_xlfn.ANCHORARRAY(Sintesi!$C$16),1,$C49))*(INDEX(_xlfn.ANCHORARRAY(Sintesi!$C$15),1,$C49)&lt;0)+($E49&gt;=LOOKUP(2,1/($E:$E&lt;&gt;""),$E:$E))*($E49&lt;=INDEX($E:$E,MATCH(TRUE,INDEX((ISNUMBER($E:$E)),0),0)))*($E49&gt;INDEX(_xlfn.ANCHORARRAY(Sintesi!$C$15),1,$C49))*($E49&lt;INDEX(_xlfn.ANCHORARRAY(Sintesi!$C$16),1,$C49))*(INDEX(_xlfn.ANCHORARRAY(Sintesi!$C$15),1,$C49)&gt;0),2,IF($E49=(INDEX(_xlfn.ANCHORARRAY(Sintesi!$C$16),1,$C49)),3,4)))),0)),IF(ISNUMBER($E48),IF($C49&gt;0,IF(($E49=INDEX(_xlfn.ANCHORARRAY(Sintesi!$C$14),1,$C49))*(INDEX(_xlfn.ANCHORARRAY(Sintesi!$C$15),1,$C49)&gt;0),0,IF(($E49=INDEX(_xlfn.ANCHORARRAY(Sintesi!$C$14),1,$C49))*(INDEX(_xlfn.ANCHORARRAY(Sintesi!$C$15),1,$C49)&lt;0)+($E49&gt;=$E48)*($E49&lt;=$E50)*($E49&gt;INDEX(_xlfn.ANCHORARRAY(Sintesi!$C$14),1,$C49))*($E49&lt;=INDEX(_xlfn.ANCHORARRAY(Sintesi!$C$15),1,$C49))*(INDEX(_xlfn.ANCHORARRAY(Sintesi!$C$15),1,$C49)&gt;0),1,IF(($E49&gt;=$E48)*($E49&lt;=$E50)*($E49&gt;INDEX(_xlfn.ANCHORARRAY(Sintesi!$C$14),1,$C49))*($E49&lt;INDEX(_xlfn.ANCHORARRAY(Sintesi!$C$16),1,$C49))*(INDEX(_xlfn.ANCHORARRAY(Sintesi!$C$15),1,$C49)&lt;0)+($E49&gt;=$E48)*($E49&lt;=$E50)*($E49&gt;INDEX(_xlfn.ANCHORARRAY(Sintesi!$C$15),1,$C49))*($E49&lt;INDEX(_xlfn.ANCHORARRAY(Sintesi!$C$16),1,$C49))*(INDEX(_xlfn.ANCHORARRAY(Sintesi!$C$15),1,$C49)&gt;0),2,IF($E49=(INDEX(_xlfn.ANCHORARRAY(Sintesi!$C$16),1,$C49)),3,4)))),0),IF($C49&gt;0,IF(($E49=INDEX(_xlfn.ANCHORARRAY(Sintesi!$C$14),1,$C49))*(INDEX(_xlfn.ANCHORARRAY(Sintesi!$C$15),1,$C49)&gt;0),0,IF(($E49=INDEX(_xlfn.ANCHORARRAY(Sintesi!$C$14),1,$C49))*(INDEX(_xlfn.ANCHORARRAY(Sintesi!$C$15),1,$C49)&lt;0)+($E49&gt;=LOOKUP(2,1/($E:$E&lt;&gt;""),$E:$E))*($E49&lt;=$E50)*($E49&gt;INDEX(_xlfn.ANCHORARRAY(Sintesi!$C$14),1,$C49))*($E49&lt;=INDEX(_xlfn.ANCHORARRAY(Sintesi!$C$15),1,$C49))*(INDEX(_xlfn.ANCHORARRAY(Sintesi!$C$15),1,$C49)&gt;0),1,IF(($E49&gt;=LOOKUP(2,1/($E:$E&lt;&gt;""),$E:$E))*($E49&lt;=$E50)*($E49&gt;INDEX(_xlfn.ANCHORARRAY(Sintesi!$C$14),1,$C49))*($E49&lt;INDEX(_xlfn.ANCHORARRAY(Sintesi!$C$16),1,$C49))*(INDEX(_xlfn.ANCHORARRAY(Sintesi!$C$15),1,$C49)&lt;0)+($E49&gt;=LOOKUP(2,1/($E:$E&lt;&gt;""),$E:$E))*($E49&lt;=$E50)*($E49&gt;INDEX(_xlfn.ANCHORARRAY(Sintesi!$C$15),1,$C49))*($E49&lt;INDEX(_xlfn.ANCHORARRAY(Sintesi!$C$16),1,$C49))*(INDEX(_xlfn.ANCHORARRAY(Sintesi!$C$15),1,$C49)&gt;0),2,IF($E49=(INDEX(_xlfn.ANCHORARRAY(Sintesi!$C$16),1,$C49)),3,4)))),0)))</f>
        <v>0</v>
      </c>
      <c r="E49" s="1">
        <f>'Paste cell here'!F49</f>
        <v>0</v>
      </c>
      <c r="F49" s="1">
        <f>'Paste cell here'!C49</f>
        <v>14.559999999999798</v>
      </c>
      <c r="G49" s="1">
        <f>'Paste cell here'!D49</f>
        <v>4.7799999999999416</v>
      </c>
      <c r="H49" s="1">
        <f>'Paste cell here'!E49</f>
        <v>1.0774248254692773</v>
      </c>
      <c r="I49" s="1">
        <f>'Paste cell here'!X49</f>
        <v>0</v>
      </c>
      <c r="J49" s="1">
        <f>'Paste cell here'!Y49+'Paste cell here'!S49</f>
        <v>0</v>
      </c>
      <c r="K49" s="1">
        <f t="shared" si="0"/>
        <v>0</v>
      </c>
      <c r="L49" s="1">
        <f t="shared" si="1"/>
        <v>11.013967273425592</v>
      </c>
      <c r="M49" s="1">
        <f t="array" ref="M49">IF(AND(A49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49&gt;=_xlfn.ANCHORARRAY(Sintesi!$C$9))+(_xlfn.ANCHORARRAY(Sintesi!$C$9)&gt;_xlfn.ANCHORARRAY(Sintesi!$C$10))*(A49&lt;=_xlfn.ANCHORARRAY(Sintesi!$C$10))+(_xlfn.ANCHORARRAY(Sintesi!$C$9)&lt;_xlfn.ANCHORARRAY(Sintesi!$C$10))*(A49&gt;=_xlfn.ANCHORARRAY(Sintesi!$C$9))*(A49&lt;=_xlfn.ANCHORARRAY(Sintesi!$C$10)),0)),0),A49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50&gt;=_xlfn.ANCHORARRAY(Sintesi!$C$9))+(_xlfn.ANCHORARRAY(Sintesi!$C$9)&gt;_xlfn.ANCHORARRAY(Sintesi!$C$10))*(A50&lt;=_xlfn.ANCHORARRAY(Sintesi!$C$10))+(_xlfn.ANCHORARRAY(Sintesi!$C$9)&lt;_xlfn.ANCHORARRAY(Sintesi!$C$10))*(A50&gt;=_xlfn.ANCHORARRAY(Sintesi!$C$9))*(A50&lt;=_xlfn.ANCHORARRAY(Sintesi!$C$10)),0)),0)),IF(L49&lt;_xlfn.IFNA(INDEX(_xlfn.ANCHORARRAY(Sintesi!$C$17),1,MATCH(1,(_xlfn.ANCHORARRAY(Sintesi!$C$9)&gt;_xlfn.ANCHORARRAY(Sintesi!$C$10))*(A48&gt;=_xlfn.ANCHORARRAY(Sintesi!$C$9))+(_xlfn.ANCHORARRAY(Sintesi!$C$9)&gt;_xlfn.ANCHORARRAY(Sintesi!$C$10))*(A48&lt;=_xlfn.ANCHORARRAY(Sintesi!$C$10))+(_xlfn.ANCHORARRAY(Sintesi!$C$9)&lt;_xlfn.ANCHORARRAY(Sintesi!$C$10))*(A48&gt;=_xlfn.ANCHORARRAY(Sintesi!$C$9))*(A48&lt;=_xlfn.ANCHORARRAY(Sintesi!$C$10)),0)),0),1,IF(L49&gt;=_xlfn.IFNA(INDEX(_xlfn.ANCHORARRAY(Sintesi!$C$18),1,MATCH(1,(_xlfn.ANCHORARRAY(Sintesi!$C$9)&gt;_xlfn.ANCHORARRAY(Sintesi!$C$10))*(A48&gt;=_xlfn.ANCHORARRAY(Sintesi!$C$9))+(_xlfn.ANCHORARRAY(Sintesi!$C$9)&gt;_xlfn.ANCHORARRAY(Sintesi!$C$10))*(A48&lt;=_xlfn.ANCHORARRAY(Sintesi!$C$10))+(_xlfn.ANCHORARRAY(Sintesi!$C$9)&lt;_xlfn.ANCHORARRAY(Sintesi!$C$10))*(A48&gt;=_xlfn.ANCHORARRAY(Sintesi!$C$9))*(A48&lt;=_xlfn.ANCHORARRAY(Sintesi!$C$10)),0)),0),0,1-(L49-_xlfn.IFNA(INDEX(_xlfn.ANCHORARRAY(Sintesi!$C$17),1,MATCH(1,(_xlfn.ANCHORARRAY(Sintesi!$C$9)&gt;_xlfn.ANCHORARRAY(Sintesi!$C$10))*(A48&gt;=_xlfn.ANCHORARRAY(Sintesi!$C$9))+(_xlfn.ANCHORARRAY(Sintesi!$C$9)&gt;_xlfn.ANCHORARRAY(Sintesi!$C$10))*(A48&lt;=_xlfn.ANCHORARRAY(Sintesi!$C$10))+(_xlfn.ANCHORARRAY(Sintesi!$C$9)&lt;_xlfn.ANCHORARRAY(Sintesi!$C$10))*(A48&gt;=_xlfn.ANCHORARRAY(Sintesi!$C$9))*(A48&lt;=_xlfn.ANCHORARRAY(Sintesi!$C$10)),0)),0))/(_xlfn.IFNA(INDEX(_xlfn.ANCHORARRAY(Sintesi!$C$18),1,MATCH(1,(_xlfn.ANCHORARRAY(Sintesi!$C$9)&gt;_xlfn.ANCHORARRAY(Sintesi!$C$10))*(A48&gt;=_xlfn.ANCHORARRAY(Sintesi!$C$9))+(_xlfn.ANCHORARRAY(Sintesi!$C$9)&gt;_xlfn.ANCHORARRAY(Sintesi!$C$10))*(A48&lt;=_xlfn.ANCHORARRAY(Sintesi!$C$10))+(_xlfn.ANCHORARRAY(Sintesi!$C$9)&lt;_xlfn.ANCHORARRAY(Sintesi!$C$10))*(A48&gt;=_xlfn.ANCHORARRAY(Sintesi!$C$9))*(A48&lt;=_xlfn.ANCHORARRAY(Sintesi!$C$10)),0)),0)-_xlfn.IFNA(INDEX(_xlfn.ANCHORARRAY(Sintesi!$C$17),1,MATCH(1,(_xlfn.ANCHORARRAY(Sintesi!$C$9)&gt;_xlfn.ANCHORARRAY(Sintesi!$C$10))*(A48&gt;=_xlfn.ANCHORARRAY(Sintesi!$C$9))+(_xlfn.ANCHORARRAY(Sintesi!$C$9)&gt;_xlfn.ANCHORARRAY(Sintesi!$C$10))*(A48&lt;=_xlfn.ANCHORARRAY(Sintesi!$C$10))+(_xlfn.ANCHORARRAY(Sintesi!$C$9)&lt;_xlfn.ANCHORARRAY(Sintesi!$C$10))*(A48&gt;=_xlfn.ANCHORARRAY(Sintesi!$C$9))*(A48&lt;=_xlfn.ANCHORARRAY(Sintesi!$C$10)),0)),0)))),0)</f>
        <v>0</v>
      </c>
    </row>
    <row r="50" spans="1:13">
      <c r="A50" s="1">
        <f>'Paste cell here'!A50</f>
        <v>49</v>
      </c>
      <c r="B50" s="2">
        <f>DATE(Sintesi!$C$4-1,12,31)+A50</f>
        <v>44245</v>
      </c>
      <c r="C50" s="34">
        <f t="array" ref="C50">_xlfn.IFNA(MATCH(1,((_xlfn.ANCHORARRAY(Sintesi!$C$9)&gt;_xlfn.ANCHORARRAY(Sintesi!$C$10))*(A50&gt;=_xlfn.ANCHORARRAY(Sintesi!$C$9))+(_xlfn.ANCHORARRAY(Sintesi!$C$9)&gt;_xlfn.ANCHORARRAY(Sintesi!$C$10))*(A50&lt;=_xlfn.ANCHORARRAY(Sintesi!$C$10))+(_xlfn.ANCHORARRAY(Sintesi!$C$9)&lt;_xlfn.ANCHORARRAY(Sintesi!$C$10))*(A50&gt;=_xlfn.ANCHORARRAY(Sintesi!$C$9))*(A50&lt;=_xlfn.ANCHORARRAY(Sintesi!$C$10)))*(_xlfn.ANCHORARRAY(Sintesi!$C$15)&gt;=0)+(_xlfn.ANCHORARRAY(Sintesi!$C$15)&lt;0),0),0)</f>
        <v>0</v>
      </c>
      <c r="D50" s="1">
        <f t="array" ref="D50">IF(ISBLANK($E51),IF(ISNUMBER($E49),IF($C50&gt;0,IF(($E50=INDEX(_xlfn.ANCHORARRAY(Sintesi!$C$14),1,$C50))*(INDEX(_xlfn.ANCHORARRAY(Sintesi!$C$15),1,$C50)&gt;0),0,IF(($E50=INDEX(_xlfn.ANCHORARRAY(Sintesi!$C$14),1,$C50))*(INDEX(_xlfn.ANCHORARRAY(Sintesi!$C$15),1,$C50)&lt;0)+($E50&gt;=$E49)*($E50&lt;=INDEX($E:$E,MATCH(TRUE,INDEX((ISNUMBER($E:$E)),0),0)))*($E50&gt;INDEX(_xlfn.ANCHORARRAY(Sintesi!$C$14),1,$C50))*($E50&lt;=INDEX(_xlfn.ANCHORARRAY(Sintesi!$C$15),1,$C50))*(INDEX(_xlfn.ANCHORARRAY(Sintesi!$C$15),1,$C50)&gt;0),1,IF(($E50&gt;=$E49)*($E50&lt;=INDEX($E:$E,MATCH(TRUE,INDEX((ISNUMBER($E:$E)),0),0)))*($E50&gt;INDEX(_xlfn.ANCHORARRAY(Sintesi!$C$14),1,$C50))*($E50&lt;INDEX(_xlfn.ANCHORARRAY(Sintesi!$C$16),1,$C50))*(INDEX(_xlfn.ANCHORARRAY(Sintesi!$C$15),1,$C50)&lt;0)+($E50&gt;=$E49)*($E50&lt;=INDEX($E:$E,MATCH(TRUE,INDEX((ISNUMBER($E:$E)),0),0)))*($E50&gt;INDEX(_xlfn.ANCHORARRAY(Sintesi!$C$15),1,$C50))*($E50&lt;INDEX(_xlfn.ANCHORARRAY(Sintesi!$C$16),1,$C50))*(INDEX(_xlfn.ANCHORARRAY(Sintesi!$C$15),1,$C50)&gt;0),2,IF($E50=(INDEX(_xlfn.ANCHORARRAY(Sintesi!$C$16),1,$C50)),3,4)))),0),IF($C50&gt;0,IF(($E50=INDEX(_xlfn.ANCHORARRAY(Sintesi!$C$14),1,$C50))*(INDEX(_xlfn.ANCHORARRAY(Sintesi!$C$15),1,$C50)&gt;0),0,IF(($E50=INDEX(_xlfn.ANCHORARRAY(Sintesi!$C$14),1,$C50))*(INDEX(_xlfn.ANCHORARRAY(Sintesi!$C$15),1,$C50)&lt;0)+($E50&gt;=LOOKUP(2,1/($E:$E&lt;&gt;""),$E:$E))*($E50&lt;=INDEX($E:$E,MATCH(TRUE,INDEX((ISNUMBER($E:$E)),0),0)))*($E50&gt;INDEX(_xlfn.ANCHORARRAY(Sintesi!$C$14),1,$C50))*($E50&lt;=INDEX(_xlfn.ANCHORARRAY(Sintesi!$C$15),1,$C50))*(INDEX(_xlfn.ANCHORARRAY(Sintesi!$C$15),1,$C50)&gt;0),1,IF(($E50&gt;=LOOKUP(2,1/($E:$E&lt;&gt;""),$E:$E))*($E50&lt;=INDEX($E:$E,MATCH(TRUE,INDEX((ISNUMBER($E:$E)),0),0)))*($E50&gt;INDEX(_xlfn.ANCHORARRAY(Sintesi!$C$14),1,$C50))*($E50&lt;INDEX(_xlfn.ANCHORARRAY(Sintesi!$C$16),1,$C50))*(INDEX(_xlfn.ANCHORARRAY(Sintesi!$C$15),1,$C50)&lt;0)+($E50&gt;=LOOKUP(2,1/($E:$E&lt;&gt;""),$E:$E))*($E50&lt;=INDEX($E:$E,MATCH(TRUE,INDEX((ISNUMBER($E:$E)),0),0)))*($E50&gt;INDEX(_xlfn.ANCHORARRAY(Sintesi!$C$15),1,$C50))*($E50&lt;INDEX(_xlfn.ANCHORARRAY(Sintesi!$C$16),1,$C50))*(INDEX(_xlfn.ANCHORARRAY(Sintesi!$C$15),1,$C50)&gt;0),2,IF($E50=(INDEX(_xlfn.ANCHORARRAY(Sintesi!$C$16),1,$C50)),3,4)))),0)),IF(ISNUMBER($E49),IF($C50&gt;0,IF(($E50=INDEX(_xlfn.ANCHORARRAY(Sintesi!$C$14),1,$C50))*(INDEX(_xlfn.ANCHORARRAY(Sintesi!$C$15),1,$C50)&gt;0),0,IF(($E50=INDEX(_xlfn.ANCHORARRAY(Sintesi!$C$14),1,$C50))*(INDEX(_xlfn.ANCHORARRAY(Sintesi!$C$15),1,$C50)&lt;0)+($E50&gt;=$E49)*($E50&lt;=$E51)*($E50&gt;INDEX(_xlfn.ANCHORARRAY(Sintesi!$C$14),1,$C50))*($E50&lt;=INDEX(_xlfn.ANCHORARRAY(Sintesi!$C$15),1,$C50))*(INDEX(_xlfn.ANCHORARRAY(Sintesi!$C$15),1,$C50)&gt;0),1,IF(($E50&gt;=$E49)*($E50&lt;=$E51)*($E50&gt;INDEX(_xlfn.ANCHORARRAY(Sintesi!$C$14),1,$C50))*($E50&lt;INDEX(_xlfn.ANCHORARRAY(Sintesi!$C$16),1,$C50))*(INDEX(_xlfn.ANCHORARRAY(Sintesi!$C$15),1,$C50)&lt;0)+($E50&gt;=$E49)*($E50&lt;=$E51)*($E50&gt;INDEX(_xlfn.ANCHORARRAY(Sintesi!$C$15),1,$C50))*($E50&lt;INDEX(_xlfn.ANCHORARRAY(Sintesi!$C$16),1,$C50))*(INDEX(_xlfn.ANCHORARRAY(Sintesi!$C$15),1,$C50)&gt;0),2,IF($E50=(INDEX(_xlfn.ANCHORARRAY(Sintesi!$C$16),1,$C50)),3,4)))),0),IF($C50&gt;0,IF(($E50=INDEX(_xlfn.ANCHORARRAY(Sintesi!$C$14),1,$C50))*(INDEX(_xlfn.ANCHORARRAY(Sintesi!$C$15),1,$C50)&gt;0),0,IF(($E50=INDEX(_xlfn.ANCHORARRAY(Sintesi!$C$14),1,$C50))*(INDEX(_xlfn.ANCHORARRAY(Sintesi!$C$15),1,$C50)&lt;0)+($E50&gt;=LOOKUP(2,1/($E:$E&lt;&gt;""),$E:$E))*($E50&lt;=$E51)*($E50&gt;INDEX(_xlfn.ANCHORARRAY(Sintesi!$C$14),1,$C50))*($E50&lt;=INDEX(_xlfn.ANCHORARRAY(Sintesi!$C$15),1,$C50))*(INDEX(_xlfn.ANCHORARRAY(Sintesi!$C$15),1,$C50)&gt;0),1,IF(($E50&gt;=LOOKUP(2,1/($E:$E&lt;&gt;""),$E:$E))*($E50&lt;=$E51)*($E50&gt;INDEX(_xlfn.ANCHORARRAY(Sintesi!$C$14),1,$C50))*($E50&lt;INDEX(_xlfn.ANCHORARRAY(Sintesi!$C$16),1,$C50))*(INDEX(_xlfn.ANCHORARRAY(Sintesi!$C$15),1,$C50)&lt;0)+($E50&gt;=LOOKUP(2,1/($E:$E&lt;&gt;""),$E:$E))*($E50&lt;=$E51)*($E50&gt;INDEX(_xlfn.ANCHORARRAY(Sintesi!$C$15),1,$C50))*($E50&lt;INDEX(_xlfn.ANCHORARRAY(Sintesi!$C$16),1,$C50))*(INDEX(_xlfn.ANCHORARRAY(Sintesi!$C$15),1,$C50)&gt;0),2,IF($E50=(INDEX(_xlfn.ANCHORARRAY(Sintesi!$C$16),1,$C50)),3,4)))),0)))</f>
        <v>0</v>
      </c>
      <c r="E50" s="1">
        <f>'Paste cell here'!F50</f>
        <v>0</v>
      </c>
      <c r="F50" s="1">
        <f>'Paste cell here'!C50</f>
        <v>11.059999999999841</v>
      </c>
      <c r="G50" s="1">
        <f>'Paste cell here'!D50</f>
        <v>6.3599999999999239</v>
      </c>
      <c r="H50" s="1">
        <f>'Paste cell here'!E50</f>
        <v>0.88248839435437032</v>
      </c>
      <c r="I50" s="1">
        <f>'Paste cell here'!X50</f>
        <v>0</v>
      </c>
      <c r="J50" s="1">
        <f>'Paste cell here'!Y50+'Paste cell here'!S50</f>
        <v>0</v>
      </c>
      <c r="K50" s="1">
        <f t="shared" si="0"/>
        <v>0</v>
      </c>
      <c r="L50" s="1">
        <f t="shared" si="1"/>
        <v>9.3558738430572301</v>
      </c>
      <c r="M50" s="1">
        <f t="array" ref="M50">IF(AND(A50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50&gt;=_xlfn.ANCHORARRAY(Sintesi!$C$9))+(_xlfn.ANCHORARRAY(Sintesi!$C$9)&gt;_xlfn.ANCHORARRAY(Sintesi!$C$10))*(A50&lt;=_xlfn.ANCHORARRAY(Sintesi!$C$10))+(_xlfn.ANCHORARRAY(Sintesi!$C$9)&lt;_xlfn.ANCHORARRAY(Sintesi!$C$10))*(A50&gt;=_xlfn.ANCHORARRAY(Sintesi!$C$9))*(A50&lt;=_xlfn.ANCHORARRAY(Sintesi!$C$10)),0)),0),A50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51&gt;=_xlfn.ANCHORARRAY(Sintesi!$C$9))+(_xlfn.ANCHORARRAY(Sintesi!$C$9)&gt;_xlfn.ANCHORARRAY(Sintesi!$C$10))*(A51&lt;=_xlfn.ANCHORARRAY(Sintesi!$C$10))+(_xlfn.ANCHORARRAY(Sintesi!$C$9)&lt;_xlfn.ANCHORARRAY(Sintesi!$C$10))*(A51&gt;=_xlfn.ANCHORARRAY(Sintesi!$C$9))*(A51&lt;=_xlfn.ANCHORARRAY(Sintesi!$C$10)),0)),0)),IF(L50&lt;_xlfn.IFNA(INDEX(_xlfn.ANCHORARRAY(Sintesi!$C$17),1,MATCH(1,(_xlfn.ANCHORARRAY(Sintesi!$C$9)&gt;_xlfn.ANCHORARRAY(Sintesi!$C$10))*(A49&gt;=_xlfn.ANCHORARRAY(Sintesi!$C$9))+(_xlfn.ANCHORARRAY(Sintesi!$C$9)&gt;_xlfn.ANCHORARRAY(Sintesi!$C$10))*(A49&lt;=_xlfn.ANCHORARRAY(Sintesi!$C$10))+(_xlfn.ANCHORARRAY(Sintesi!$C$9)&lt;_xlfn.ANCHORARRAY(Sintesi!$C$10))*(A49&gt;=_xlfn.ANCHORARRAY(Sintesi!$C$9))*(A49&lt;=_xlfn.ANCHORARRAY(Sintesi!$C$10)),0)),0),1,IF(L50&gt;=_xlfn.IFNA(INDEX(_xlfn.ANCHORARRAY(Sintesi!$C$18),1,MATCH(1,(_xlfn.ANCHORARRAY(Sintesi!$C$9)&gt;_xlfn.ANCHORARRAY(Sintesi!$C$10))*(A49&gt;=_xlfn.ANCHORARRAY(Sintesi!$C$9))+(_xlfn.ANCHORARRAY(Sintesi!$C$9)&gt;_xlfn.ANCHORARRAY(Sintesi!$C$10))*(A49&lt;=_xlfn.ANCHORARRAY(Sintesi!$C$10))+(_xlfn.ANCHORARRAY(Sintesi!$C$9)&lt;_xlfn.ANCHORARRAY(Sintesi!$C$10))*(A49&gt;=_xlfn.ANCHORARRAY(Sintesi!$C$9))*(A49&lt;=_xlfn.ANCHORARRAY(Sintesi!$C$10)),0)),0),0,1-(L50-_xlfn.IFNA(INDEX(_xlfn.ANCHORARRAY(Sintesi!$C$17),1,MATCH(1,(_xlfn.ANCHORARRAY(Sintesi!$C$9)&gt;_xlfn.ANCHORARRAY(Sintesi!$C$10))*(A49&gt;=_xlfn.ANCHORARRAY(Sintesi!$C$9))+(_xlfn.ANCHORARRAY(Sintesi!$C$9)&gt;_xlfn.ANCHORARRAY(Sintesi!$C$10))*(A49&lt;=_xlfn.ANCHORARRAY(Sintesi!$C$10))+(_xlfn.ANCHORARRAY(Sintesi!$C$9)&lt;_xlfn.ANCHORARRAY(Sintesi!$C$10))*(A49&gt;=_xlfn.ANCHORARRAY(Sintesi!$C$9))*(A49&lt;=_xlfn.ANCHORARRAY(Sintesi!$C$10)),0)),0))/(_xlfn.IFNA(INDEX(_xlfn.ANCHORARRAY(Sintesi!$C$18),1,MATCH(1,(_xlfn.ANCHORARRAY(Sintesi!$C$9)&gt;_xlfn.ANCHORARRAY(Sintesi!$C$10))*(A49&gt;=_xlfn.ANCHORARRAY(Sintesi!$C$9))+(_xlfn.ANCHORARRAY(Sintesi!$C$9)&gt;_xlfn.ANCHORARRAY(Sintesi!$C$10))*(A49&lt;=_xlfn.ANCHORARRAY(Sintesi!$C$10))+(_xlfn.ANCHORARRAY(Sintesi!$C$9)&lt;_xlfn.ANCHORARRAY(Sintesi!$C$10))*(A49&gt;=_xlfn.ANCHORARRAY(Sintesi!$C$9))*(A49&lt;=_xlfn.ANCHORARRAY(Sintesi!$C$10)),0)),0)-_xlfn.IFNA(INDEX(_xlfn.ANCHORARRAY(Sintesi!$C$17),1,MATCH(1,(_xlfn.ANCHORARRAY(Sintesi!$C$9)&gt;_xlfn.ANCHORARRAY(Sintesi!$C$10))*(A49&gt;=_xlfn.ANCHORARRAY(Sintesi!$C$9))+(_xlfn.ANCHORARRAY(Sintesi!$C$9)&gt;_xlfn.ANCHORARRAY(Sintesi!$C$10))*(A49&lt;=_xlfn.ANCHORARRAY(Sintesi!$C$10))+(_xlfn.ANCHORARRAY(Sintesi!$C$9)&lt;_xlfn.ANCHORARRAY(Sintesi!$C$10))*(A49&gt;=_xlfn.ANCHORARRAY(Sintesi!$C$9))*(A49&lt;=_xlfn.ANCHORARRAY(Sintesi!$C$10)),0)),0)))),0)</f>
        <v>0</v>
      </c>
    </row>
    <row r="51" spans="1:13">
      <c r="A51" s="1">
        <f>'Paste cell here'!A51</f>
        <v>50</v>
      </c>
      <c r="B51" s="2">
        <f>DATE(Sintesi!$C$4-1,12,31)+A51</f>
        <v>44246</v>
      </c>
      <c r="C51" s="34">
        <f t="array" ref="C51">_xlfn.IFNA(MATCH(1,((_xlfn.ANCHORARRAY(Sintesi!$C$9)&gt;_xlfn.ANCHORARRAY(Sintesi!$C$10))*(A51&gt;=_xlfn.ANCHORARRAY(Sintesi!$C$9))+(_xlfn.ANCHORARRAY(Sintesi!$C$9)&gt;_xlfn.ANCHORARRAY(Sintesi!$C$10))*(A51&lt;=_xlfn.ANCHORARRAY(Sintesi!$C$10))+(_xlfn.ANCHORARRAY(Sintesi!$C$9)&lt;_xlfn.ANCHORARRAY(Sintesi!$C$10))*(A51&gt;=_xlfn.ANCHORARRAY(Sintesi!$C$9))*(A51&lt;=_xlfn.ANCHORARRAY(Sintesi!$C$10)))*(_xlfn.ANCHORARRAY(Sintesi!$C$15)&gt;=0)+(_xlfn.ANCHORARRAY(Sintesi!$C$15)&lt;0),0),0)</f>
        <v>0</v>
      </c>
      <c r="D51" s="1">
        <f t="array" ref="D51">IF(ISBLANK($E52),IF(ISNUMBER($E50),IF($C51&gt;0,IF(($E51=INDEX(_xlfn.ANCHORARRAY(Sintesi!$C$14),1,$C51))*(INDEX(_xlfn.ANCHORARRAY(Sintesi!$C$15),1,$C51)&gt;0),0,IF(($E51=INDEX(_xlfn.ANCHORARRAY(Sintesi!$C$14),1,$C51))*(INDEX(_xlfn.ANCHORARRAY(Sintesi!$C$15),1,$C51)&lt;0)+($E51&gt;=$E50)*($E51&lt;=INDEX($E:$E,MATCH(TRUE,INDEX((ISNUMBER($E:$E)),0),0)))*($E51&gt;INDEX(_xlfn.ANCHORARRAY(Sintesi!$C$14),1,$C51))*($E51&lt;=INDEX(_xlfn.ANCHORARRAY(Sintesi!$C$15),1,$C51))*(INDEX(_xlfn.ANCHORARRAY(Sintesi!$C$15),1,$C51)&gt;0),1,IF(($E51&gt;=$E50)*($E51&lt;=INDEX($E:$E,MATCH(TRUE,INDEX((ISNUMBER($E:$E)),0),0)))*($E51&gt;INDEX(_xlfn.ANCHORARRAY(Sintesi!$C$14),1,$C51))*($E51&lt;INDEX(_xlfn.ANCHORARRAY(Sintesi!$C$16),1,$C51))*(INDEX(_xlfn.ANCHORARRAY(Sintesi!$C$15),1,$C51)&lt;0)+($E51&gt;=$E50)*($E51&lt;=INDEX($E:$E,MATCH(TRUE,INDEX((ISNUMBER($E:$E)),0),0)))*($E51&gt;INDEX(_xlfn.ANCHORARRAY(Sintesi!$C$15),1,$C51))*($E51&lt;INDEX(_xlfn.ANCHORARRAY(Sintesi!$C$16),1,$C51))*(INDEX(_xlfn.ANCHORARRAY(Sintesi!$C$15),1,$C51)&gt;0),2,IF($E51=(INDEX(_xlfn.ANCHORARRAY(Sintesi!$C$16),1,$C51)),3,4)))),0),IF($C51&gt;0,IF(($E51=INDEX(_xlfn.ANCHORARRAY(Sintesi!$C$14),1,$C51))*(INDEX(_xlfn.ANCHORARRAY(Sintesi!$C$15),1,$C51)&gt;0),0,IF(($E51=INDEX(_xlfn.ANCHORARRAY(Sintesi!$C$14),1,$C51))*(INDEX(_xlfn.ANCHORARRAY(Sintesi!$C$15),1,$C51)&lt;0)+($E51&gt;=LOOKUP(2,1/($E:$E&lt;&gt;""),$E:$E))*($E51&lt;=INDEX($E:$E,MATCH(TRUE,INDEX((ISNUMBER($E:$E)),0),0)))*($E51&gt;INDEX(_xlfn.ANCHORARRAY(Sintesi!$C$14),1,$C51))*($E51&lt;=INDEX(_xlfn.ANCHORARRAY(Sintesi!$C$15),1,$C51))*(INDEX(_xlfn.ANCHORARRAY(Sintesi!$C$15),1,$C51)&gt;0),1,IF(($E51&gt;=LOOKUP(2,1/($E:$E&lt;&gt;""),$E:$E))*($E51&lt;=INDEX($E:$E,MATCH(TRUE,INDEX((ISNUMBER($E:$E)),0),0)))*($E51&gt;INDEX(_xlfn.ANCHORARRAY(Sintesi!$C$14),1,$C51))*($E51&lt;INDEX(_xlfn.ANCHORARRAY(Sintesi!$C$16),1,$C51))*(INDEX(_xlfn.ANCHORARRAY(Sintesi!$C$15),1,$C51)&lt;0)+($E51&gt;=LOOKUP(2,1/($E:$E&lt;&gt;""),$E:$E))*($E51&lt;=INDEX($E:$E,MATCH(TRUE,INDEX((ISNUMBER($E:$E)),0),0)))*($E51&gt;INDEX(_xlfn.ANCHORARRAY(Sintesi!$C$15),1,$C51))*($E51&lt;INDEX(_xlfn.ANCHORARRAY(Sintesi!$C$16),1,$C51))*(INDEX(_xlfn.ANCHORARRAY(Sintesi!$C$15),1,$C51)&gt;0),2,IF($E51=(INDEX(_xlfn.ANCHORARRAY(Sintesi!$C$16),1,$C51)),3,4)))),0)),IF(ISNUMBER($E50),IF($C51&gt;0,IF(($E51=INDEX(_xlfn.ANCHORARRAY(Sintesi!$C$14),1,$C51))*(INDEX(_xlfn.ANCHORARRAY(Sintesi!$C$15),1,$C51)&gt;0),0,IF(($E51=INDEX(_xlfn.ANCHORARRAY(Sintesi!$C$14),1,$C51))*(INDEX(_xlfn.ANCHORARRAY(Sintesi!$C$15),1,$C51)&lt;0)+($E51&gt;=$E50)*($E51&lt;=$E52)*($E51&gt;INDEX(_xlfn.ANCHORARRAY(Sintesi!$C$14),1,$C51))*($E51&lt;=INDEX(_xlfn.ANCHORARRAY(Sintesi!$C$15),1,$C51))*(INDEX(_xlfn.ANCHORARRAY(Sintesi!$C$15),1,$C51)&gt;0),1,IF(($E51&gt;=$E50)*($E51&lt;=$E52)*($E51&gt;INDEX(_xlfn.ANCHORARRAY(Sintesi!$C$14),1,$C51))*($E51&lt;INDEX(_xlfn.ANCHORARRAY(Sintesi!$C$16),1,$C51))*(INDEX(_xlfn.ANCHORARRAY(Sintesi!$C$15),1,$C51)&lt;0)+($E51&gt;=$E50)*($E51&lt;=$E52)*($E51&gt;INDEX(_xlfn.ANCHORARRAY(Sintesi!$C$15),1,$C51))*($E51&lt;INDEX(_xlfn.ANCHORARRAY(Sintesi!$C$16),1,$C51))*(INDEX(_xlfn.ANCHORARRAY(Sintesi!$C$15),1,$C51)&gt;0),2,IF($E51=(INDEX(_xlfn.ANCHORARRAY(Sintesi!$C$16),1,$C51)),3,4)))),0),IF($C51&gt;0,IF(($E51=INDEX(_xlfn.ANCHORARRAY(Sintesi!$C$14),1,$C51))*(INDEX(_xlfn.ANCHORARRAY(Sintesi!$C$15),1,$C51)&gt;0),0,IF(($E51=INDEX(_xlfn.ANCHORARRAY(Sintesi!$C$14),1,$C51))*(INDEX(_xlfn.ANCHORARRAY(Sintesi!$C$15),1,$C51)&lt;0)+($E51&gt;=LOOKUP(2,1/($E:$E&lt;&gt;""),$E:$E))*($E51&lt;=$E52)*($E51&gt;INDEX(_xlfn.ANCHORARRAY(Sintesi!$C$14),1,$C51))*($E51&lt;=INDEX(_xlfn.ANCHORARRAY(Sintesi!$C$15),1,$C51))*(INDEX(_xlfn.ANCHORARRAY(Sintesi!$C$15),1,$C51)&gt;0),1,IF(($E51&gt;=LOOKUP(2,1/($E:$E&lt;&gt;""),$E:$E))*($E51&lt;=$E52)*($E51&gt;INDEX(_xlfn.ANCHORARRAY(Sintesi!$C$14),1,$C51))*($E51&lt;INDEX(_xlfn.ANCHORARRAY(Sintesi!$C$16),1,$C51))*(INDEX(_xlfn.ANCHORARRAY(Sintesi!$C$15),1,$C51)&lt;0)+($E51&gt;=LOOKUP(2,1/($E:$E&lt;&gt;""),$E:$E))*($E51&lt;=$E52)*($E51&gt;INDEX(_xlfn.ANCHORARRAY(Sintesi!$C$15),1,$C51))*($E51&lt;INDEX(_xlfn.ANCHORARRAY(Sintesi!$C$16),1,$C51))*(INDEX(_xlfn.ANCHORARRAY(Sintesi!$C$15),1,$C51)&gt;0),2,IF($E51=(INDEX(_xlfn.ANCHORARRAY(Sintesi!$C$16),1,$C51)),3,4)))),0)))</f>
        <v>0</v>
      </c>
      <c r="E51" s="1">
        <f>'Paste cell here'!F51</f>
        <v>0</v>
      </c>
      <c r="F51" s="1">
        <f>'Paste cell here'!C51</f>
        <v>11.539999999999834</v>
      </c>
      <c r="G51" s="1">
        <f>'Paste cell here'!D51</f>
        <v>7.6599999999998971</v>
      </c>
      <c r="H51" s="1">
        <f>'Paste cell here'!E51</f>
        <v>0.64388003911596869</v>
      </c>
      <c r="I51" s="1">
        <f>'Paste cell here'!X51</f>
        <v>0</v>
      </c>
      <c r="J51" s="1">
        <f>'Paste cell here'!Y51+'Paste cell here'!S51</f>
        <v>0</v>
      </c>
      <c r="K51" s="1">
        <f t="shared" si="0"/>
        <v>0</v>
      </c>
      <c r="L51" s="1">
        <f t="shared" si="1"/>
        <v>10.133189470438699</v>
      </c>
      <c r="M51" s="1">
        <f t="array" ref="M51">IF(AND(A51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51&gt;=_xlfn.ANCHORARRAY(Sintesi!$C$9))+(_xlfn.ANCHORARRAY(Sintesi!$C$9)&gt;_xlfn.ANCHORARRAY(Sintesi!$C$10))*(A51&lt;=_xlfn.ANCHORARRAY(Sintesi!$C$10))+(_xlfn.ANCHORARRAY(Sintesi!$C$9)&lt;_xlfn.ANCHORARRAY(Sintesi!$C$10))*(A51&gt;=_xlfn.ANCHORARRAY(Sintesi!$C$9))*(A51&lt;=_xlfn.ANCHORARRAY(Sintesi!$C$10)),0)),0),A51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52&gt;=_xlfn.ANCHORARRAY(Sintesi!$C$9))+(_xlfn.ANCHORARRAY(Sintesi!$C$9)&gt;_xlfn.ANCHORARRAY(Sintesi!$C$10))*(A52&lt;=_xlfn.ANCHORARRAY(Sintesi!$C$10))+(_xlfn.ANCHORARRAY(Sintesi!$C$9)&lt;_xlfn.ANCHORARRAY(Sintesi!$C$10))*(A52&gt;=_xlfn.ANCHORARRAY(Sintesi!$C$9))*(A52&lt;=_xlfn.ANCHORARRAY(Sintesi!$C$10)),0)),0)),IF(L51&lt;_xlfn.IFNA(INDEX(_xlfn.ANCHORARRAY(Sintesi!$C$17),1,MATCH(1,(_xlfn.ANCHORARRAY(Sintesi!$C$9)&gt;_xlfn.ANCHORARRAY(Sintesi!$C$10))*(A50&gt;=_xlfn.ANCHORARRAY(Sintesi!$C$9))+(_xlfn.ANCHORARRAY(Sintesi!$C$9)&gt;_xlfn.ANCHORARRAY(Sintesi!$C$10))*(A50&lt;=_xlfn.ANCHORARRAY(Sintesi!$C$10))+(_xlfn.ANCHORARRAY(Sintesi!$C$9)&lt;_xlfn.ANCHORARRAY(Sintesi!$C$10))*(A50&gt;=_xlfn.ANCHORARRAY(Sintesi!$C$9))*(A50&lt;=_xlfn.ANCHORARRAY(Sintesi!$C$10)),0)),0),1,IF(L51&gt;=_xlfn.IFNA(INDEX(_xlfn.ANCHORARRAY(Sintesi!$C$18),1,MATCH(1,(_xlfn.ANCHORARRAY(Sintesi!$C$9)&gt;_xlfn.ANCHORARRAY(Sintesi!$C$10))*(A50&gt;=_xlfn.ANCHORARRAY(Sintesi!$C$9))+(_xlfn.ANCHORARRAY(Sintesi!$C$9)&gt;_xlfn.ANCHORARRAY(Sintesi!$C$10))*(A50&lt;=_xlfn.ANCHORARRAY(Sintesi!$C$10))+(_xlfn.ANCHORARRAY(Sintesi!$C$9)&lt;_xlfn.ANCHORARRAY(Sintesi!$C$10))*(A50&gt;=_xlfn.ANCHORARRAY(Sintesi!$C$9))*(A50&lt;=_xlfn.ANCHORARRAY(Sintesi!$C$10)),0)),0),0,1-(L51-_xlfn.IFNA(INDEX(_xlfn.ANCHORARRAY(Sintesi!$C$17),1,MATCH(1,(_xlfn.ANCHORARRAY(Sintesi!$C$9)&gt;_xlfn.ANCHORARRAY(Sintesi!$C$10))*(A50&gt;=_xlfn.ANCHORARRAY(Sintesi!$C$9))+(_xlfn.ANCHORARRAY(Sintesi!$C$9)&gt;_xlfn.ANCHORARRAY(Sintesi!$C$10))*(A50&lt;=_xlfn.ANCHORARRAY(Sintesi!$C$10))+(_xlfn.ANCHORARRAY(Sintesi!$C$9)&lt;_xlfn.ANCHORARRAY(Sintesi!$C$10))*(A50&gt;=_xlfn.ANCHORARRAY(Sintesi!$C$9))*(A50&lt;=_xlfn.ANCHORARRAY(Sintesi!$C$10)),0)),0))/(_xlfn.IFNA(INDEX(_xlfn.ANCHORARRAY(Sintesi!$C$18),1,MATCH(1,(_xlfn.ANCHORARRAY(Sintesi!$C$9)&gt;_xlfn.ANCHORARRAY(Sintesi!$C$10))*(A50&gt;=_xlfn.ANCHORARRAY(Sintesi!$C$9))+(_xlfn.ANCHORARRAY(Sintesi!$C$9)&gt;_xlfn.ANCHORARRAY(Sintesi!$C$10))*(A50&lt;=_xlfn.ANCHORARRAY(Sintesi!$C$10))+(_xlfn.ANCHORARRAY(Sintesi!$C$9)&lt;_xlfn.ANCHORARRAY(Sintesi!$C$10))*(A50&gt;=_xlfn.ANCHORARRAY(Sintesi!$C$9))*(A50&lt;=_xlfn.ANCHORARRAY(Sintesi!$C$10)),0)),0)-_xlfn.IFNA(INDEX(_xlfn.ANCHORARRAY(Sintesi!$C$17),1,MATCH(1,(_xlfn.ANCHORARRAY(Sintesi!$C$9)&gt;_xlfn.ANCHORARRAY(Sintesi!$C$10))*(A50&gt;=_xlfn.ANCHORARRAY(Sintesi!$C$9))+(_xlfn.ANCHORARRAY(Sintesi!$C$9)&gt;_xlfn.ANCHORARRAY(Sintesi!$C$10))*(A50&lt;=_xlfn.ANCHORARRAY(Sintesi!$C$10))+(_xlfn.ANCHORARRAY(Sintesi!$C$9)&lt;_xlfn.ANCHORARRAY(Sintesi!$C$10))*(A50&gt;=_xlfn.ANCHORARRAY(Sintesi!$C$9))*(A50&lt;=_xlfn.ANCHORARRAY(Sintesi!$C$10)),0)),0)))),0)</f>
        <v>0</v>
      </c>
    </row>
    <row r="52" spans="1:13">
      <c r="A52" s="1">
        <f>'Paste cell here'!A52</f>
        <v>51</v>
      </c>
      <c r="B52" s="2">
        <f>DATE(Sintesi!$C$4-1,12,31)+A52</f>
        <v>44247</v>
      </c>
      <c r="C52" s="34">
        <f t="array" ref="C52">_xlfn.IFNA(MATCH(1,((_xlfn.ANCHORARRAY(Sintesi!$C$9)&gt;_xlfn.ANCHORARRAY(Sintesi!$C$10))*(A52&gt;=_xlfn.ANCHORARRAY(Sintesi!$C$9))+(_xlfn.ANCHORARRAY(Sintesi!$C$9)&gt;_xlfn.ANCHORARRAY(Sintesi!$C$10))*(A52&lt;=_xlfn.ANCHORARRAY(Sintesi!$C$10))+(_xlfn.ANCHORARRAY(Sintesi!$C$9)&lt;_xlfn.ANCHORARRAY(Sintesi!$C$10))*(A52&gt;=_xlfn.ANCHORARRAY(Sintesi!$C$9))*(A52&lt;=_xlfn.ANCHORARRAY(Sintesi!$C$10)))*(_xlfn.ANCHORARRAY(Sintesi!$C$15)&gt;=0)+(_xlfn.ANCHORARRAY(Sintesi!$C$15)&lt;0),0),0)</f>
        <v>0</v>
      </c>
      <c r="D52" s="1">
        <f t="array" ref="D52">IF(ISBLANK($E53),IF(ISNUMBER($E51),IF($C52&gt;0,IF(($E52=INDEX(_xlfn.ANCHORARRAY(Sintesi!$C$14),1,$C52))*(INDEX(_xlfn.ANCHORARRAY(Sintesi!$C$15),1,$C52)&gt;0),0,IF(($E52=INDEX(_xlfn.ANCHORARRAY(Sintesi!$C$14),1,$C52))*(INDEX(_xlfn.ANCHORARRAY(Sintesi!$C$15),1,$C52)&lt;0)+($E52&gt;=$E51)*($E52&lt;=INDEX($E:$E,MATCH(TRUE,INDEX((ISNUMBER($E:$E)),0),0)))*($E52&gt;INDEX(_xlfn.ANCHORARRAY(Sintesi!$C$14),1,$C52))*($E52&lt;=INDEX(_xlfn.ANCHORARRAY(Sintesi!$C$15),1,$C52))*(INDEX(_xlfn.ANCHORARRAY(Sintesi!$C$15),1,$C52)&gt;0),1,IF(($E52&gt;=$E51)*($E52&lt;=INDEX($E:$E,MATCH(TRUE,INDEX((ISNUMBER($E:$E)),0),0)))*($E52&gt;INDEX(_xlfn.ANCHORARRAY(Sintesi!$C$14),1,$C52))*($E52&lt;INDEX(_xlfn.ANCHORARRAY(Sintesi!$C$16),1,$C52))*(INDEX(_xlfn.ANCHORARRAY(Sintesi!$C$15),1,$C52)&lt;0)+($E52&gt;=$E51)*($E52&lt;=INDEX($E:$E,MATCH(TRUE,INDEX((ISNUMBER($E:$E)),0),0)))*($E52&gt;INDEX(_xlfn.ANCHORARRAY(Sintesi!$C$15),1,$C52))*($E52&lt;INDEX(_xlfn.ANCHORARRAY(Sintesi!$C$16),1,$C52))*(INDEX(_xlfn.ANCHORARRAY(Sintesi!$C$15),1,$C52)&gt;0),2,IF($E52=(INDEX(_xlfn.ANCHORARRAY(Sintesi!$C$16),1,$C52)),3,4)))),0),IF($C52&gt;0,IF(($E52=INDEX(_xlfn.ANCHORARRAY(Sintesi!$C$14),1,$C52))*(INDEX(_xlfn.ANCHORARRAY(Sintesi!$C$15),1,$C52)&gt;0),0,IF(($E52=INDEX(_xlfn.ANCHORARRAY(Sintesi!$C$14),1,$C52))*(INDEX(_xlfn.ANCHORARRAY(Sintesi!$C$15),1,$C52)&lt;0)+($E52&gt;=LOOKUP(2,1/($E:$E&lt;&gt;""),$E:$E))*($E52&lt;=INDEX($E:$E,MATCH(TRUE,INDEX((ISNUMBER($E:$E)),0),0)))*($E52&gt;INDEX(_xlfn.ANCHORARRAY(Sintesi!$C$14),1,$C52))*($E52&lt;=INDEX(_xlfn.ANCHORARRAY(Sintesi!$C$15),1,$C52))*(INDEX(_xlfn.ANCHORARRAY(Sintesi!$C$15),1,$C52)&gt;0),1,IF(($E52&gt;=LOOKUP(2,1/($E:$E&lt;&gt;""),$E:$E))*($E52&lt;=INDEX($E:$E,MATCH(TRUE,INDEX((ISNUMBER($E:$E)),0),0)))*($E52&gt;INDEX(_xlfn.ANCHORARRAY(Sintesi!$C$14),1,$C52))*($E52&lt;INDEX(_xlfn.ANCHORARRAY(Sintesi!$C$16),1,$C52))*(INDEX(_xlfn.ANCHORARRAY(Sintesi!$C$15),1,$C52)&lt;0)+($E52&gt;=LOOKUP(2,1/($E:$E&lt;&gt;""),$E:$E))*($E52&lt;=INDEX($E:$E,MATCH(TRUE,INDEX((ISNUMBER($E:$E)),0),0)))*($E52&gt;INDEX(_xlfn.ANCHORARRAY(Sintesi!$C$15),1,$C52))*($E52&lt;INDEX(_xlfn.ANCHORARRAY(Sintesi!$C$16),1,$C52))*(INDEX(_xlfn.ANCHORARRAY(Sintesi!$C$15),1,$C52)&gt;0),2,IF($E52=(INDEX(_xlfn.ANCHORARRAY(Sintesi!$C$16),1,$C52)),3,4)))),0)),IF(ISNUMBER($E51),IF($C52&gt;0,IF(($E52=INDEX(_xlfn.ANCHORARRAY(Sintesi!$C$14),1,$C52))*(INDEX(_xlfn.ANCHORARRAY(Sintesi!$C$15),1,$C52)&gt;0),0,IF(($E52=INDEX(_xlfn.ANCHORARRAY(Sintesi!$C$14),1,$C52))*(INDEX(_xlfn.ANCHORARRAY(Sintesi!$C$15),1,$C52)&lt;0)+($E52&gt;=$E51)*($E52&lt;=$E53)*($E52&gt;INDEX(_xlfn.ANCHORARRAY(Sintesi!$C$14),1,$C52))*($E52&lt;=INDEX(_xlfn.ANCHORARRAY(Sintesi!$C$15),1,$C52))*(INDEX(_xlfn.ANCHORARRAY(Sintesi!$C$15),1,$C52)&gt;0),1,IF(($E52&gt;=$E51)*($E52&lt;=$E53)*($E52&gt;INDEX(_xlfn.ANCHORARRAY(Sintesi!$C$14),1,$C52))*($E52&lt;INDEX(_xlfn.ANCHORARRAY(Sintesi!$C$16),1,$C52))*(INDEX(_xlfn.ANCHORARRAY(Sintesi!$C$15),1,$C52)&lt;0)+($E52&gt;=$E51)*($E52&lt;=$E53)*($E52&gt;INDEX(_xlfn.ANCHORARRAY(Sintesi!$C$15),1,$C52))*($E52&lt;INDEX(_xlfn.ANCHORARRAY(Sintesi!$C$16),1,$C52))*(INDEX(_xlfn.ANCHORARRAY(Sintesi!$C$15),1,$C52)&gt;0),2,IF($E52=(INDEX(_xlfn.ANCHORARRAY(Sintesi!$C$16),1,$C52)),3,4)))),0),IF($C52&gt;0,IF(($E52=INDEX(_xlfn.ANCHORARRAY(Sintesi!$C$14),1,$C52))*(INDEX(_xlfn.ANCHORARRAY(Sintesi!$C$15),1,$C52)&gt;0),0,IF(($E52=INDEX(_xlfn.ANCHORARRAY(Sintesi!$C$14),1,$C52))*(INDEX(_xlfn.ANCHORARRAY(Sintesi!$C$15),1,$C52)&lt;0)+($E52&gt;=LOOKUP(2,1/($E:$E&lt;&gt;""),$E:$E))*($E52&lt;=$E53)*($E52&gt;INDEX(_xlfn.ANCHORARRAY(Sintesi!$C$14),1,$C52))*($E52&lt;=INDEX(_xlfn.ANCHORARRAY(Sintesi!$C$15),1,$C52))*(INDEX(_xlfn.ANCHORARRAY(Sintesi!$C$15),1,$C52)&gt;0),1,IF(($E52&gt;=LOOKUP(2,1/($E:$E&lt;&gt;""),$E:$E))*($E52&lt;=$E53)*($E52&gt;INDEX(_xlfn.ANCHORARRAY(Sintesi!$C$14),1,$C52))*($E52&lt;INDEX(_xlfn.ANCHORARRAY(Sintesi!$C$16),1,$C52))*(INDEX(_xlfn.ANCHORARRAY(Sintesi!$C$15),1,$C52)&lt;0)+($E52&gt;=LOOKUP(2,1/($E:$E&lt;&gt;""),$E:$E))*($E52&lt;=$E53)*($E52&gt;INDEX(_xlfn.ANCHORARRAY(Sintesi!$C$15),1,$C52))*($E52&lt;INDEX(_xlfn.ANCHORARRAY(Sintesi!$C$16),1,$C52))*(INDEX(_xlfn.ANCHORARRAY(Sintesi!$C$15),1,$C52)&gt;0),2,IF($E52=(INDEX(_xlfn.ANCHORARRAY(Sintesi!$C$16),1,$C52)),3,4)))),0)))</f>
        <v>0</v>
      </c>
      <c r="E52" s="1">
        <f>'Paste cell here'!F52</f>
        <v>0</v>
      </c>
      <c r="F52" s="1">
        <f>'Paste cell here'!C52</f>
        <v>12.679999999999819</v>
      </c>
      <c r="G52" s="1">
        <f>'Paste cell here'!D52</f>
        <v>8.3399999999998879</v>
      </c>
      <c r="H52" s="1">
        <f>'Paste cell here'!E52</f>
        <v>0.75160935113484528</v>
      </c>
      <c r="I52" s="1">
        <f>'Paste cell here'!X52</f>
        <v>0</v>
      </c>
      <c r="J52" s="1">
        <f>'Paste cell here'!Y52+'Paste cell here'!S52</f>
        <v>0</v>
      </c>
      <c r="K52" s="1">
        <f t="shared" si="0"/>
        <v>0</v>
      </c>
      <c r="L52" s="1">
        <f t="shared" si="1"/>
        <v>11.106402655078343</v>
      </c>
      <c r="M52" s="1">
        <f t="array" ref="M52">IF(AND(A52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52&gt;=_xlfn.ANCHORARRAY(Sintesi!$C$9))+(_xlfn.ANCHORARRAY(Sintesi!$C$9)&gt;_xlfn.ANCHORARRAY(Sintesi!$C$10))*(A52&lt;=_xlfn.ANCHORARRAY(Sintesi!$C$10))+(_xlfn.ANCHORARRAY(Sintesi!$C$9)&lt;_xlfn.ANCHORARRAY(Sintesi!$C$10))*(A52&gt;=_xlfn.ANCHORARRAY(Sintesi!$C$9))*(A52&lt;=_xlfn.ANCHORARRAY(Sintesi!$C$10)),0)),0),A52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53&gt;=_xlfn.ANCHORARRAY(Sintesi!$C$9))+(_xlfn.ANCHORARRAY(Sintesi!$C$9)&gt;_xlfn.ANCHORARRAY(Sintesi!$C$10))*(A53&lt;=_xlfn.ANCHORARRAY(Sintesi!$C$10))+(_xlfn.ANCHORARRAY(Sintesi!$C$9)&lt;_xlfn.ANCHORARRAY(Sintesi!$C$10))*(A53&gt;=_xlfn.ANCHORARRAY(Sintesi!$C$9))*(A53&lt;=_xlfn.ANCHORARRAY(Sintesi!$C$10)),0)),0)),IF(L52&lt;_xlfn.IFNA(INDEX(_xlfn.ANCHORARRAY(Sintesi!$C$17),1,MATCH(1,(_xlfn.ANCHORARRAY(Sintesi!$C$9)&gt;_xlfn.ANCHORARRAY(Sintesi!$C$10))*(A51&gt;=_xlfn.ANCHORARRAY(Sintesi!$C$9))+(_xlfn.ANCHORARRAY(Sintesi!$C$9)&gt;_xlfn.ANCHORARRAY(Sintesi!$C$10))*(A51&lt;=_xlfn.ANCHORARRAY(Sintesi!$C$10))+(_xlfn.ANCHORARRAY(Sintesi!$C$9)&lt;_xlfn.ANCHORARRAY(Sintesi!$C$10))*(A51&gt;=_xlfn.ANCHORARRAY(Sintesi!$C$9))*(A51&lt;=_xlfn.ANCHORARRAY(Sintesi!$C$10)),0)),0),1,IF(L52&gt;=_xlfn.IFNA(INDEX(_xlfn.ANCHORARRAY(Sintesi!$C$18),1,MATCH(1,(_xlfn.ANCHORARRAY(Sintesi!$C$9)&gt;_xlfn.ANCHORARRAY(Sintesi!$C$10))*(A51&gt;=_xlfn.ANCHORARRAY(Sintesi!$C$9))+(_xlfn.ANCHORARRAY(Sintesi!$C$9)&gt;_xlfn.ANCHORARRAY(Sintesi!$C$10))*(A51&lt;=_xlfn.ANCHORARRAY(Sintesi!$C$10))+(_xlfn.ANCHORARRAY(Sintesi!$C$9)&lt;_xlfn.ANCHORARRAY(Sintesi!$C$10))*(A51&gt;=_xlfn.ANCHORARRAY(Sintesi!$C$9))*(A51&lt;=_xlfn.ANCHORARRAY(Sintesi!$C$10)),0)),0),0,1-(L52-_xlfn.IFNA(INDEX(_xlfn.ANCHORARRAY(Sintesi!$C$17),1,MATCH(1,(_xlfn.ANCHORARRAY(Sintesi!$C$9)&gt;_xlfn.ANCHORARRAY(Sintesi!$C$10))*(A51&gt;=_xlfn.ANCHORARRAY(Sintesi!$C$9))+(_xlfn.ANCHORARRAY(Sintesi!$C$9)&gt;_xlfn.ANCHORARRAY(Sintesi!$C$10))*(A51&lt;=_xlfn.ANCHORARRAY(Sintesi!$C$10))+(_xlfn.ANCHORARRAY(Sintesi!$C$9)&lt;_xlfn.ANCHORARRAY(Sintesi!$C$10))*(A51&gt;=_xlfn.ANCHORARRAY(Sintesi!$C$9))*(A51&lt;=_xlfn.ANCHORARRAY(Sintesi!$C$10)),0)),0))/(_xlfn.IFNA(INDEX(_xlfn.ANCHORARRAY(Sintesi!$C$18),1,MATCH(1,(_xlfn.ANCHORARRAY(Sintesi!$C$9)&gt;_xlfn.ANCHORARRAY(Sintesi!$C$10))*(A51&gt;=_xlfn.ANCHORARRAY(Sintesi!$C$9))+(_xlfn.ANCHORARRAY(Sintesi!$C$9)&gt;_xlfn.ANCHORARRAY(Sintesi!$C$10))*(A51&lt;=_xlfn.ANCHORARRAY(Sintesi!$C$10))+(_xlfn.ANCHORARRAY(Sintesi!$C$9)&lt;_xlfn.ANCHORARRAY(Sintesi!$C$10))*(A51&gt;=_xlfn.ANCHORARRAY(Sintesi!$C$9))*(A51&lt;=_xlfn.ANCHORARRAY(Sintesi!$C$10)),0)),0)-_xlfn.IFNA(INDEX(_xlfn.ANCHORARRAY(Sintesi!$C$17),1,MATCH(1,(_xlfn.ANCHORARRAY(Sintesi!$C$9)&gt;_xlfn.ANCHORARRAY(Sintesi!$C$10))*(A51&gt;=_xlfn.ANCHORARRAY(Sintesi!$C$9))+(_xlfn.ANCHORARRAY(Sintesi!$C$9)&gt;_xlfn.ANCHORARRAY(Sintesi!$C$10))*(A51&lt;=_xlfn.ANCHORARRAY(Sintesi!$C$10))+(_xlfn.ANCHORARRAY(Sintesi!$C$9)&lt;_xlfn.ANCHORARRAY(Sintesi!$C$10))*(A51&gt;=_xlfn.ANCHORARRAY(Sintesi!$C$9))*(A51&lt;=_xlfn.ANCHORARRAY(Sintesi!$C$10)),0)),0)))),0)</f>
        <v>0</v>
      </c>
    </row>
    <row r="53" spans="1:13">
      <c r="A53" s="1">
        <f>'Paste cell here'!A53</f>
        <v>52</v>
      </c>
      <c r="B53" s="2">
        <f>DATE(Sintesi!$C$4-1,12,31)+A53</f>
        <v>44248</v>
      </c>
      <c r="C53" s="34">
        <f t="array" ref="C53">_xlfn.IFNA(MATCH(1,((_xlfn.ANCHORARRAY(Sintesi!$C$9)&gt;_xlfn.ANCHORARRAY(Sintesi!$C$10))*(A53&gt;=_xlfn.ANCHORARRAY(Sintesi!$C$9))+(_xlfn.ANCHORARRAY(Sintesi!$C$9)&gt;_xlfn.ANCHORARRAY(Sintesi!$C$10))*(A53&lt;=_xlfn.ANCHORARRAY(Sintesi!$C$10))+(_xlfn.ANCHORARRAY(Sintesi!$C$9)&lt;_xlfn.ANCHORARRAY(Sintesi!$C$10))*(A53&gt;=_xlfn.ANCHORARRAY(Sintesi!$C$9))*(A53&lt;=_xlfn.ANCHORARRAY(Sintesi!$C$10)))*(_xlfn.ANCHORARRAY(Sintesi!$C$15)&gt;=0)+(_xlfn.ANCHORARRAY(Sintesi!$C$15)&lt;0),0),0)</f>
        <v>0</v>
      </c>
      <c r="D53" s="1">
        <f t="array" ref="D53">IF(ISBLANK($E54),IF(ISNUMBER($E52),IF($C53&gt;0,IF(($E53=INDEX(_xlfn.ANCHORARRAY(Sintesi!$C$14),1,$C53))*(INDEX(_xlfn.ANCHORARRAY(Sintesi!$C$15),1,$C53)&gt;0),0,IF(($E53=INDEX(_xlfn.ANCHORARRAY(Sintesi!$C$14),1,$C53))*(INDEX(_xlfn.ANCHORARRAY(Sintesi!$C$15),1,$C53)&lt;0)+($E53&gt;=$E52)*($E53&lt;=INDEX($E:$E,MATCH(TRUE,INDEX((ISNUMBER($E:$E)),0),0)))*($E53&gt;INDEX(_xlfn.ANCHORARRAY(Sintesi!$C$14),1,$C53))*($E53&lt;=INDEX(_xlfn.ANCHORARRAY(Sintesi!$C$15),1,$C53))*(INDEX(_xlfn.ANCHORARRAY(Sintesi!$C$15),1,$C53)&gt;0),1,IF(($E53&gt;=$E52)*($E53&lt;=INDEX($E:$E,MATCH(TRUE,INDEX((ISNUMBER($E:$E)),0),0)))*($E53&gt;INDEX(_xlfn.ANCHORARRAY(Sintesi!$C$14),1,$C53))*($E53&lt;INDEX(_xlfn.ANCHORARRAY(Sintesi!$C$16),1,$C53))*(INDEX(_xlfn.ANCHORARRAY(Sintesi!$C$15),1,$C53)&lt;0)+($E53&gt;=$E52)*($E53&lt;=INDEX($E:$E,MATCH(TRUE,INDEX((ISNUMBER($E:$E)),0),0)))*($E53&gt;INDEX(_xlfn.ANCHORARRAY(Sintesi!$C$15),1,$C53))*($E53&lt;INDEX(_xlfn.ANCHORARRAY(Sintesi!$C$16),1,$C53))*(INDEX(_xlfn.ANCHORARRAY(Sintesi!$C$15),1,$C53)&gt;0),2,IF($E53=(INDEX(_xlfn.ANCHORARRAY(Sintesi!$C$16),1,$C53)),3,4)))),0),IF($C53&gt;0,IF(($E53=INDEX(_xlfn.ANCHORARRAY(Sintesi!$C$14),1,$C53))*(INDEX(_xlfn.ANCHORARRAY(Sintesi!$C$15),1,$C53)&gt;0),0,IF(($E53=INDEX(_xlfn.ANCHORARRAY(Sintesi!$C$14),1,$C53))*(INDEX(_xlfn.ANCHORARRAY(Sintesi!$C$15),1,$C53)&lt;0)+($E53&gt;=LOOKUP(2,1/($E:$E&lt;&gt;""),$E:$E))*($E53&lt;=INDEX($E:$E,MATCH(TRUE,INDEX((ISNUMBER($E:$E)),0),0)))*($E53&gt;INDEX(_xlfn.ANCHORARRAY(Sintesi!$C$14),1,$C53))*($E53&lt;=INDEX(_xlfn.ANCHORARRAY(Sintesi!$C$15),1,$C53))*(INDEX(_xlfn.ANCHORARRAY(Sintesi!$C$15),1,$C53)&gt;0),1,IF(($E53&gt;=LOOKUP(2,1/($E:$E&lt;&gt;""),$E:$E))*($E53&lt;=INDEX($E:$E,MATCH(TRUE,INDEX((ISNUMBER($E:$E)),0),0)))*($E53&gt;INDEX(_xlfn.ANCHORARRAY(Sintesi!$C$14),1,$C53))*($E53&lt;INDEX(_xlfn.ANCHORARRAY(Sintesi!$C$16),1,$C53))*(INDEX(_xlfn.ANCHORARRAY(Sintesi!$C$15),1,$C53)&lt;0)+($E53&gt;=LOOKUP(2,1/($E:$E&lt;&gt;""),$E:$E))*($E53&lt;=INDEX($E:$E,MATCH(TRUE,INDEX((ISNUMBER($E:$E)),0),0)))*($E53&gt;INDEX(_xlfn.ANCHORARRAY(Sintesi!$C$15),1,$C53))*($E53&lt;INDEX(_xlfn.ANCHORARRAY(Sintesi!$C$16),1,$C53))*(INDEX(_xlfn.ANCHORARRAY(Sintesi!$C$15),1,$C53)&gt;0),2,IF($E53=(INDEX(_xlfn.ANCHORARRAY(Sintesi!$C$16),1,$C53)),3,4)))),0)),IF(ISNUMBER($E52),IF($C53&gt;0,IF(($E53=INDEX(_xlfn.ANCHORARRAY(Sintesi!$C$14),1,$C53))*(INDEX(_xlfn.ANCHORARRAY(Sintesi!$C$15),1,$C53)&gt;0),0,IF(($E53=INDEX(_xlfn.ANCHORARRAY(Sintesi!$C$14),1,$C53))*(INDEX(_xlfn.ANCHORARRAY(Sintesi!$C$15),1,$C53)&lt;0)+($E53&gt;=$E52)*($E53&lt;=$E54)*($E53&gt;INDEX(_xlfn.ANCHORARRAY(Sintesi!$C$14),1,$C53))*($E53&lt;=INDEX(_xlfn.ANCHORARRAY(Sintesi!$C$15),1,$C53))*(INDEX(_xlfn.ANCHORARRAY(Sintesi!$C$15),1,$C53)&gt;0),1,IF(($E53&gt;=$E52)*($E53&lt;=$E54)*($E53&gt;INDEX(_xlfn.ANCHORARRAY(Sintesi!$C$14),1,$C53))*($E53&lt;INDEX(_xlfn.ANCHORARRAY(Sintesi!$C$16),1,$C53))*(INDEX(_xlfn.ANCHORARRAY(Sintesi!$C$15),1,$C53)&lt;0)+($E53&gt;=$E52)*($E53&lt;=$E54)*($E53&gt;INDEX(_xlfn.ANCHORARRAY(Sintesi!$C$15),1,$C53))*($E53&lt;INDEX(_xlfn.ANCHORARRAY(Sintesi!$C$16),1,$C53))*(INDEX(_xlfn.ANCHORARRAY(Sintesi!$C$15),1,$C53)&gt;0),2,IF($E53=(INDEX(_xlfn.ANCHORARRAY(Sintesi!$C$16),1,$C53)),3,4)))),0),IF($C53&gt;0,IF(($E53=INDEX(_xlfn.ANCHORARRAY(Sintesi!$C$14),1,$C53))*(INDEX(_xlfn.ANCHORARRAY(Sintesi!$C$15),1,$C53)&gt;0),0,IF(($E53=INDEX(_xlfn.ANCHORARRAY(Sintesi!$C$14),1,$C53))*(INDEX(_xlfn.ANCHORARRAY(Sintesi!$C$15),1,$C53)&lt;0)+($E53&gt;=LOOKUP(2,1/($E:$E&lt;&gt;""),$E:$E))*($E53&lt;=$E54)*($E53&gt;INDEX(_xlfn.ANCHORARRAY(Sintesi!$C$14),1,$C53))*($E53&lt;=INDEX(_xlfn.ANCHORARRAY(Sintesi!$C$15),1,$C53))*(INDEX(_xlfn.ANCHORARRAY(Sintesi!$C$15),1,$C53)&gt;0),1,IF(($E53&gt;=LOOKUP(2,1/($E:$E&lt;&gt;""),$E:$E))*($E53&lt;=$E54)*($E53&gt;INDEX(_xlfn.ANCHORARRAY(Sintesi!$C$14),1,$C53))*($E53&lt;INDEX(_xlfn.ANCHORARRAY(Sintesi!$C$16),1,$C53))*(INDEX(_xlfn.ANCHORARRAY(Sintesi!$C$15),1,$C53)&lt;0)+($E53&gt;=LOOKUP(2,1/($E:$E&lt;&gt;""),$E:$E))*($E53&lt;=$E54)*($E53&gt;INDEX(_xlfn.ANCHORARRAY(Sintesi!$C$15),1,$C53))*($E53&lt;INDEX(_xlfn.ANCHORARRAY(Sintesi!$C$16),1,$C53))*(INDEX(_xlfn.ANCHORARRAY(Sintesi!$C$15),1,$C53)&gt;0),2,IF($E53=(INDEX(_xlfn.ANCHORARRAY(Sintesi!$C$16),1,$C53)),3,4)))),0)))</f>
        <v>0</v>
      </c>
      <c r="E53" s="1">
        <f>'Paste cell here'!F53</f>
        <v>0</v>
      </c>
      <c r="F53" s="1">
        <f>'Paste cell here'!C53</f>
        <v>15.039999999999793</v>
      </c>
      <c r="G53" s="1">
        <f>'Paste cell here'!D53</f>
        <v>7.0599999999999152</v>
      </c>
      <c r="H53" s="1">
        <f>'Paste cell here'!E53</f>
        <v>1.0710829684662369</v>
      </c>
      <c r="I53" s="1">
        <f>'Paste cell here'!X53</f>
        <v>0</v>
      </c>
      <c r="J53" s="1">
        <f>'Paste cell here'!Y53+'Paste cell here'!S53</f>
        <v>0</v>
      </c>
      <c r="K53" s="1">
        <f t="shared" si="0"/>
        <v>0</v>
      </c>
      <c r="L53" s="1">
        <f t="shared" si="1"/>
        <v>12.146611333531272</v>
      </c>
      <c r="M53" s="1">
        <f t="array" ref="M53">IF(AND(A53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53&gt;=_xlfn.ANCHORARRAY(Sintesi!$C$9))+(_xlfn.ANCHORARRAY(Sintesi!$C$9)&gt;_xlfn.ANCHORARRAY(Sintesi!$C$10))*(A53&lt;=_xlfn.ANCHORARRAY(Sintesi!$C$10))+(_xlfn.ANCHORARRAY(Sintesi!$C$9)&lt;_xlfn.ANCHORARRAY(Sintesi!$C$10))*(A53&gt;=_xlfn.ANCHORARRAY(Sintesi!$C$9))*(A53&lt;=_xlfn.ANCHORARRAY(Sintesi!$C$10)),0)),0),A53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54&gt;=_xlfn.ANCHORARRAY(Sintesi!$C$9))+(_xlfn.ANCHORARRAY(Sintesi!$C$9)&gt;_xlfn.ANCHORARRAY(Sintesi!$C$10))*(A54&lt;=_xlfn.ANCHORARRAY(Sintesi!$C$10))+(_xlfn.ANCHORARRAY(Sintesi!$C$9)&lt;_xlfn.ANCHORARRAY(Sintesi!$C$10))*(A54&gt;=_xlfn.ANCHORARRAY(Sintesi!$C$9))*(A54&lt;=_xlfn.ANCHORARRAY(Sintesi!$C$10)),0)),0)),IF(L53&lt;_xlfn.IFNA(INDEX(_xlfn.ANCHORARRAY(Sintesi!$C$17),1,MATCH(1,(_xlfn.ANCHORARRAY(Sintesi!$C$9)&gt;_xlfn.ANCHORARRAY(Sintesi!$C$10))*(A52&gt;=_xlfn.ANCHORARRAY(Sintesi!$C$9))+(_xlfn.ANCHORARRAY(Sintesi!$C$9)&gt;_xlfn.ANCHORARRAY(Sintesi!$C$10))*(A52&lt;=_xlfn.ANCHORARRAY(Sintesi!$C$10))+(_xlfn.ANCHORARRAY(Sintesi!$C$9)&lt;_xlfn.ANCHORARRAY(Sintesi!$C$10))*(A52&gt;=_xlfn.ANCHORARRAY(Sintesi!$C$9))*(A52&lt;=_xlfn.ANCHORARRAY(Sintesi!$C$10)),0)),0),1,IF(L53&gt;=_xlfn.IFNA(INDEX(_xlfn.ANCHORARRAY(Sintesi!$C$18),1,MATCH(1,(_xlfn.ANCHORARRAY(Sintesi!$C$9)&gt;_xlfn.ANCHORARRAY(Sintesi!$C$10))*(A52&gt;=_xlfn.ANCHORARRAY(Sintesi!$C$9))+(_xlfn.ANCHORARRAY(Sintesi!$C$9)&gt;_xlfn.ANCHORARRAY(Sintesi!$C$10))*(A52&lt;=_xlfn.ANCHORARRAY(Sintesi!$C$10))+(_xlfn.ANCHORARRAY(Sintesi!$C$9)&lt;_xlfn.ANCHORARRAY(Sintesi!$C$10))*(A52&gt;=_xlfn.ANCHORARRAY(Sintesi!$C$9))*(A52&lt;=_xlfn.ANCHORARRAY(Sintesi!$C$10)),0)),0),0,1-(L53-_xlfn.IFNA(INDEX(_xlfn.ANCHORARRAY(Sintesi!$C$17),1,MATCH(1,(_xlfn.ANCHORARRAY(Sintesi!$C$9)&gt;_xlfn.ANCHORARRAY(Sintesi!$C$10))*(A52&gt;=_xlfn.ANCHORARRAY(Sintesi!$C$9))+(_xlfn.ANCHORARRAY(Sintesi!$C$9)&gt;_xlfn.ANCHORARRAY(Sintesi!$C$10))*(A52&lt;=_xlfn.ANCHORARRAY(Sintesi!$C$10))+(_xlfn.ANCHORARRAY(Sintesi!$C$9)&lt;_xlfn.ANCHORARRAY(Sintesi!$C$10))*(A52&gt;=_xlfn.ANCHORARRAY(Sintesi!$C$9))*(A52&lt;=_xlfn.ANCHORARRAY(Sintesi!$C$10)),0)),0))/(_xlfn.IFNA(INDEX(_xlfn.ANCHORARRAY(Sintesi!$C$18),1,MATCH(1,(_xlfn.ANCHORARRAY(Sintesi!$C$9)&gt;_xlfn.ANCHORARRAY(Sintesi!$C$10))*(A52&gt;=_xlfn.ANCHORARRAY(Sintesi!$C$9))+(_xlfn.ANCHORARRAY(Sintesi!$C$9)&gt;_xlfn.ANCHORARRAY(Sintesi!$C$10))*(A52&lt;=_xlfn.ANCHORARRAY(Sintesi!$C$10))+(_xlfn.ANCHORARRAY(Sintesi!$C$9)&lt;_xlfn.ANCHORARRAY(Sintesi!$C$10))*(A52&gt;=_xlfn.ANCHORARRAY(Sintesi!$C$9))*(A52&lt;=_xlfn.ANCHORARRAY(Sintesi!$C$10)),0)),0)-_xlfn.IFNA(INDEX(_xlfn.ANCHORARRAY(Sintesi!$C$17),1,MATCH(1,(_xlfn.ANCHORARRAY(Sintesi!$C$9)&gt;_xlfn.ANCHORARRAY(Sintesi!$C$10))*(A52&gt;=_xlfn.ANCHORARRAY(Sintesi!$C$9))+(_xlfn.ANCHORARRAY(Sintesi!$C$9)&gt;_xlfn.ANCHORARRAY(Sintesi!$C$10))*(A52&lt;=_xlfn.ANCHORARRAY(Sintesi!$C$10))+(_xlfn.ANCHORARRAY(Sintesi!$C$9)&lt;_xlfn.ANCHORARRAY(Sintesi!$C$10))*(A52&gt;=_xlfn.ANCHORARRAY(Sintesi!$C$9))*(A52&lt;=_xlfn.ANCHORARRAY(Sintesi!$C$10)),0)),0)))),0)</f>
        <v>0</v>
      </c>
    </row>
    <row r="54" spans="1:13">
      <c r="A54" s="1">
        <f>'Paste cell here'!A54</f>
        <v>53</v>
      </c>
      <c r="B54" s="2">
        <f>DATE(Sintesi!$C$4-1,12,31)+A54</f>
        <v>44249</v>
      </c>
      <c r="C54" s="34">
        <f t="array" ref="C54">_xlfn.IFNA(MATCH(1,((_xlfn.ANCHORARRAY(Sintesi!$C$9)&gt;_xlfn.ANCHORARRAY(Sintesi!$C$10))*(A54&gt;=_xlfn.ANCHORARRAY(Sintesi!$C$9))+(_xlfn.ANCHORARRAY(Sintesi!$C$9)&gt;_xlfn.ANCHORARRAY(Sintesi!$C$10))*(A54&lt;=_xlfn.ANCHORARRAY(Sintesi!$C$10))+(_xlfn.ANCHORARRAY(Sintesi!$C$9)&lt;_xlfn.ANCHORARRAY(Sintesi!$C$10))*(A54&gt;=_xlfn.ANCHORARRAY(Sintesi!$C$9))*(A54&lt;=_xlfn.ANCHORARRAY(Sintesi!$C$10)))*(_xlfn.ANCHORARRAY(Sintesi!$C$15)&gt;=0)+(_xlfn.ANCHORARRAY(Sintesi!$C$15)&lt;0),0),0)</f>
        <v>0</v>
      </c>
      <c r="D54" s="1">
        <f t="array" ref="D54">IF(ISBLANK($E55),IF(ISNUMBER($E53),IF($C54&gt;0,IF(($E54=INDEX(_xlfn.ANCHORARRAY(Sintesi!$C$14),1,$C54))*(INDEX(_xlfn.ANCHORARRAY(Sintesi!$C$15),1,$C54)&gt;0),0,IF(($E54=INDEX(_xlfn.ANCHORARRAY(Sintesi!$C$14),1,$C54))*(INDEX(_xlfn.ANCHORARRAY(Sintesi!$C$15),1,$C54)&lt;0)+($E54&gt;=$E53)*($E54&lt;=INDEX($E:$E,MATCH(TRUE,INDEX((ISNUMBER($E:$E)),0),0)))*($E54&gt;INDEX(_xlfn.ANCHORARRAY(Sintesi!$C$14),1,$C54))*($E54&lt;=INDEX(_xlfn.ANCHORARRAY(Sintesi!$C$15),1,$C54))*(INDEX(_xlfn.ANCHORARRAY(Sintesi!$C$15),1,$C54)&gt;0),1,IF(($E54&gt;=$E53)*($E54&lt;=INDEX($E:$E,MATCH(TRUE,INDEX((ISNUMBER($E:$E)),0),0)))*($E54&gt;INDEX(_xlfn.ANCHORARRAY(Sintesi!$C$14),1,$C54))*($E54&lt;INDEX(_xlfn.ANCHORARRAY(Sintesi!$C$16),1,$C54))*(INDEX(_xlfn.ANCHORARRAY(Sintesi!$C$15),1,$C54)&lt;0)+($E54&gt;=$E53)*($E54&lt;=INDEX($E:$E,MATCH(TRUE,INDEX((ISNUMBER($E:$E)),0),0)))*($E54&gt;INDEX(_xlfn.ANCHORARRAY(Sintesi!$C$15),1,$C54))*($E54&lt;INDEX(_xlfn.ANCHORARRAY(Sintesi!$C$16),1,$C54))*(INDEX(_xlfn.ANCHORARRAY(Sintesi!$C$15),1,$C54)&gt;0),2,IF($E54=(INDEX(_xlfn.ANCHORARRAY(Sintesi!$C$16),1,$C54)),3,4)))),0),IF($C54&gt;0,IF(($E54=INDEX(_xlfn.ANCHORARRAY(Sintesi!$C$14),1,$C54))*(INDEX(_xlfn.ANCHORARRAY(Sintesi!$C$15),1,$C54)&gt;0),0,IF(($E54=INDEX(_xlfn.ANCHORARRAY(Sintesi!$C$14),1,$C54))*(INDEX(_xlfn.ANCHORARRAY(Sintesi!$C$15),1,$C54)&lt;0)+($E54&gt;=LOOKUP(2,1/($E:$E&lt;&gt;""),$E:$E))*($E54&lt;=INDEX($E:$E,MATCH(TRUE,INDEX((ISNUMBER($E:$E)),0),0)))*($E54&gt;INDEX(_xlfn.ANCHORARRAY(Sintesi!$C$14),1,$C54))*($E54&lt;=INDEX(_xlfn.ANCHORARRAY(Sintesi!$C$15),1,$C54))*(INDEX(_xlfn.ANCHORARRAY(Sintesi!$C$15),1,$C54)&gt;0),1,IF(($E54&gt;=LOOKUP(2,1/($E:$E&lt;&gt;""),$E:$E))*($E54&lt;=INDEX($E:$E,MATCH(TRUE,INDEX((ISNUMBER($E:$E)),0),0)))*($E54&gt;INDEX(_xlfn.ANCHORARRAY(Sintesi!$C$14),1,$C54))*($E54&lt;INDEX(_xlfn.ANCHORARRAY(Sintesi!$C$16),1,$C54))*(INDEX(_xlfn.ANCHORARRAY(Sintesi!$C$15),1,$C54)&lt;0)+($E54&gt;=LOOKUP(2,1/($E:$E&lt;&gt;""),$E:$E))*($E54&lt;=INDEX($E:$E,MATCH(TRUE,INDEX((ISNUMBER($E:$E)),0),0)))*($E54&gt;INDEX(_xlfn.ANCHORARRAY(Sintesi!$C$15),1,$C54))*($E54&lt;INDEX(_xlfn.ANCHORARRAY(Sintesi!$C$16),1,$C54))*(INDEX(_xlfn.ANCHORARRAY(Sintesi!$C$15),1,$C54)&gt;0),2,IF($E54=(INDEX(_xlfn.ANCHORARRAY(Sintesi!$C$16),1,$C54)),3,4)))),0)),IF(ISNUMBER($E53),IF($C54&gt;0,IF(($E54=INDEX(_xlfn.ANCHORARRAY(Sintesi!$C$14),1,$C54))*(INDEX(_xlfn.ANCHORARRAY(Sintesi!$C$15),1,$C54)&gt;0),0,IF(($E54=INDEX(_xlfn.ANCHORARRAY(Sintesi!$C$14),1,$C54))*(INDEX(_xlfn.ANCHORARRAY(Sintesi!$C$15),1,$C54)&lt;0)+($E54&gt;=$E53)*($E54&lt;=$E55)*($E54&gt;INDEX(_xlfn.ANCHORARRAY(Sintesi!$C$14),1,$C54))*($E54&lt;=INDEX(_xlfn.ANCHORARRAY(Sintesi!$C$15),1,$C54))*(INDEX(_xlfn.ANCHORARRAY(Sintesi!$C$15),1,$C54)&gt;0),1,IF(($E54&gt;=$E53)*($E54&lt;=$E55)*($E54&gt;INDEX(_xlfn.ANCHORARRAY(Sintesi!$C$14),1,$C54))*($E54&lt;INDEX(_xlfn.ANCHORARRAY(Sintesi!$C$16),1,$C54))*(INDEX(_xlfn.ANCHORARRAY(Sintesi!$C$15),1,$C54)&lt;0)+($E54&gt;=$E53)*($E54&lt;=$E55)*($E54&gt;INDEX(_xlfn.ANCHORARRAY(Sintesi!$C$15),1,$C54))*($E54&lt;INDEX(_xlfn.ANCHORARRAY(Sintesi!$C$16),1,$C54))*(INDEX(_xlfn.ANCHORARRAY(Sintesi!$C$15),1,$C54)&gt;0),2,IF($E54=(INDEX(_xlfn.ANCHORARRAY(Sintesi!$C$16),1,$C54)),3,4)))),0),IF($C54&gt;0,IF(($E54=INDEX(_xlfn.ANCHORARRAY(Sintesi!$C$14),1,$C54))*(INDEX(_xlfn.ANCHORARRAY(Sintesi!$C$15),1,$C54)&gt;0),0,IF(($E54=INDEX(_xlfn.ANCHORARRAY(Sintesi!$C$14),1,$C54))*(INDEX(_xlfn.ANCHORARRAY(Sintesi!$C$15),1,$C54)&lt;0)+($E54&gt;=LOOKUP(2,1/($E:$E&lt;&gt;""),$E:$E))*($E54&lt;=$E55)*($E54&gt;INDEX(_xlfn.ANCHORARRAY(Sintesi!$C$14),1,$C54))*($E54&lt;=INDEX(_xlfn.ANCHORARRAY(Sintesi!$C$15),1,$C54))*(INDEX(_xlfn.ANCHORARRAY(Sintesi!$C$15),1,$C54)&gt;0),1,IF(($E54&gt;=LOOKUP(2,1/($E:$E&lt;&gt;""),$E:$E))*($E54&lt;=$E55)*($E54&gt;INDEX(_xlfn.ANCHORARRAY(Sintesi!$C$14),1,$C54))*($E54&lt;INDEX(_xlfn.ANCHORARRAY(Sintesi!$C$16),1,$C54))*(INDEX(_xlfn.ANCHORARRAY(Sintesi!$C$15),1,$C54)&lt;0)+($E54&gt;=LOOKUP(2,1/($E:$E&lt;&gt;""),$E:$E))*($E54&lt;=$E55)*($E54&gt;INDEX(_xlfn.ANCHORARRAY(Sintesi!$C$15),1,$C54))*($E54&lt;INDEX(_xlfn.ANCHORARRAY(Sintesi!$C$16),1,$C54))*(INDEX(_xlfn.ANCHORARRAY(Sintesi!$C$15),1,$C54)&gt;0),2,IF($E54=(INDEX(_xlfn.ANCHORARRAY(Sintesi!$C$16),1,$C54)),3,4)))),0)))</f>
        <v>0</v>
      </c>
      <c r="E54" s="1">
        <f>'Paste cell here'!F54</f>
        <v>0</v>
      </c>
      <c r="F54" s="1">
        <f>'Paste cell here'!C54</f>
        <v>13.819999999999812</v>
      </c>
      <c r="G54" s="1">
        <f>'Paste cell here'!D54</f>
        <v>5.67999999999995</v>
      </c>
      <c r="H54" s="1">
        <f>'Paste cell here'!E54</f>
        <v>0.99834408400087793</v>
      </c>
      <c r="I54" s="1">
        <f>'Paste cell here'!X54</f>
        <v>0</v>
      </c>
      <c r="J54" s="1">
        <f>'Paste cell here'!Y54+'Paste cell here'!S54</f>
        <v>0</v>
      </c>
      <c r="K54" s="1">
        <f t="shared" si="0"/>
        <v>0</v>
      </c>
      <c r="L54" s="1">
        <f t="shared" si="1"/>
        <v>10.868598528188567</v>
      </c>
      <c r="M54" s="1">
        <f t="array" ref="M54">IF(AND(A54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54&gt;=_xlfn.ANCHORARRAY(Sintesi!$C$9))+(_xlfn.ANCHORARRAY(Sintesi!$C$9)&gt;_xlfn.ANCHORARRAY(Sintesi!$C$10))*(A54&lt;=_xlfn.ANCHORARRAY(Sintesi!$C$10))+(_xlfn.ANCHORARRAY(Sintesi!$C$9)&lt;_xlfn.ANCHORARRAY(Sintesi!$C$10))*(A54&gt;=_xlfn.ANCHORARRAY(Sintesi!$C$9))*(A54&lt;=_xlfn.ANCHORARRAY(Sintesi!$C$10)),0)),0),A54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55&gt;=_xlfn.ANCHORARRAY(Sintesi!$C$9))+(_xlfn.ANCHORARRAY(Sintesi!$C$9)&gt;_xlfn.ANCHORARRAY(Sintesi!$C$10))*(A55&lt;=_xlfn.ANCHORARRAY(Sintesi!$C$10))+(_xlfn.ANCHORARRAY(Sintesi!$C$9)&lt;_xlfn.ANCHORARRAY(Sintesi!$C$10))*(A55&gt;=_xlfn.ANCHORARRAY(Sintesi!$C$9))*(A55&lt;=_xlfn.ANCHORARRAY(Sintesi!$C$10)),0)),0)),IF(L54&lt;_xlfn.IFNA(INDEX(_xlfn.ANCHORARRAY(Sintesi!$C$17),1,MATCH(1,(_xlfn.ANCHORARRAY(Sintesi!$C$9)&gt;_xlfn.ANCHORARRAY(Sintesi!$C$10))*(A53&gt;=_xlfn.ANCHORARRAY(Sintesi!$C$9))+(_xlfn.ANCHORARRAY(Sintesi!$C$9)&gt;_xlfn.ANCHORARRAY(Sintesi!$C$10))*(A53&lt;=_xlfn.ANCHORARRAY(Sintesi!$C$10))+(_xlfn.ANCHORARRAY(Sintesi!$C$9)&lt;_xlfn.ANCHORARRAY(Sintesi!$C$10))*(A53&gt;=_xlfn.ANCHORARRAY(Sintesi!$C$9))*(A53&lt;=_xlfn.ANCHORARRAY(Sintesi!$C$10)),0)),0),1,IF(L54&gt;=_xlfn.IFNA(INDEX(_xlfn.ANCHORARRAY(Sintesi!$C$18),1,MATCH(1,(_xlfn.ANCHORARRAY(Sintesi!$C$9)&gt;_xlfn.ANCHORARRAY(Sintesi!$C$10))*(A53&gt;=_xlfn.ANCHORARRAY(Sintesi!$C$9))+(_xlfn.ANCHORARRAY(Sintesi!$C$9)&gt;_xlfn.ANCHORARRAY(Sintesi!$C$10))*(A53&lt;=_xlfn.ANCHORARRAY(Sintesi!$C$10))+(_xlfn.ANCHORARRAY(Sintesi!$C$9)&lt;_xlfn.ANCHORARRAY(Sintesi!$C$10))*(A53&gt;=_xlfn.ANCHORARRAY(Sintesi!$C$9))*(A53&lt;=_xlfn.ANCHORARRAY(Sintesi!$C$10)),0)),0),0,1-(L54-_xlfn.IFNA(INDEX(_xlfn.ANCHORARRAY(Sintesi!$C$17),1,MATCH(1,(_xlfn.ANCHORARRAY(Sintesi!$C$9)&gt;_xlfn.ANCHORARRAY(Sintesi!$C$10))*(A53&gt;=_xlfn.ANCHORARRAY(Sintesi!$C$9))+(_xlfn.ANCHORARRAY(Sintesi!$C$9)&gt;_xlfn.ANCHORARRAY(Sintesi!$C$10))*(A53&lt;=_xlfn.ANCHORARRAY(Sintesi!$C$10))+(_xlfn.ANCHORARRAY(Sintesi!$C$9)&lt;_xlfn.ANCHORARRAY(Sintesi!$C$10))*(A53&gt;=_xlfn.ANCHORARRAY(Sintesi!$C$9))*(A53&lt;=_xlfn.ANCHORARRAY(Sintesi!$C$10)),0)),0))/(_xlfn.IFNA(INDEX(_xlfn.ANCHORARRAY(Sintesi!$C$18),1,MATCH(1,(_xlfn.ANCHORARRAY(Sintesi!$C$9)&gt;_xlfn.ANCHORARRAY(Sintesi!$C$10))*(A53&gt;=_xlfn.ANCHORARRAY(Sintesi!$C$9))+(_xlfn.ANCHORARRAY(Sintesi!$C$9)&gt;_xlfn.ANCHORARRAY(Sintesi!$C$10))*(A53&lt;=_xlfn.ANCHORARRAY(Sintesi!$C$10))+(_xlfn.ANCHORARRAY(Sintesi!$C$9)&lt;_xlfn.ANCHORARRAY(Sintesi!$C$10))*(A53&gt;=_xlfn.ANCHORARRAY(Sintesi!$C$9))*(A53&lt;=_xlfn.ANCHORARRAY(Sintesi!$C$10)),0)),0)-_xlfn.IFNA(INDEX(_xlfn.ANCHORARRAY(Sintesi!$C$17),1,MATCH(1,(_xlfn.ANCHORARRAY(Sintesi!$C$9)&gt;_xlfn.ANCHORARRAY(Sintesi!$C$10))*(A53&gt;=_xlfn.ANCHORARRAY(Sintesi!$C$9))+(_xlfn.ANCHORARRAY(Sintesi!$C$9)&gt;_xlfn.ANCHORARRAY(Sintesi!$C$10))*(A53&lt;=_xlfn.ANCHORARRAY(Sintesi!$C$10))+(_xlfn.ANCHORARRAY(Sintesi!$C$9)&lt;_xlfn.ANCHORARRAY(Sintesi!$C$10))*(A53&gt;=_xlfn.ANCHORARRAY(Sintesi!$C$9))*(A53&lt;=_xlfn.ANCHORARRAY(Sintesi!$C$10)),0)),0)))),0)</f>
        <v>0</v>
      </c>
    </row>
    <row r="55" spans="1:13">
      <c r="A55" s="1">
        <f>'Paste cell here'!A55</f>
        <v>54</v>
      </c>
      <c r="B55" s="2">
        <f>DATE(Sintesi!$C$4-1,12,31)+A55</f>
        <v>44250</v>
      </c>
      <c r="C55" s="34">
        <f t="array" ref="C55">_xlfn.IFNA(MATCH(1,((_xlfn.ANCHORARRAY(Sintesi!$C$9)&gt;_xlfn.ANCHORARRAY(Sintesi!$C$10))*(A55&gt;=_xlfn.ANCHORARRAY(Sintesi!$C$9))+(_xlfn.ANCHORARRAY(Sintesi!$C$9)&gt;_xlfn.ANCHORARRAY(Sintesi!$C$10))*(A55&lt;=_xlfn.ANCHORARRAY(Sintesi!$C$10))+(_xlfn.ANCHORARRAY(Sintesi!$C$9)&lt;_xlfn.ANCHORARRAY(Sintesi!$C$10))*(A55&gt;=_xlfn.ANCHORARRAY(Sintesi!$C$9))*(A55&lt;=_xlfn.ANCHORARRAY(Sintesi!$C$10)))*(_xlfn.ANCHORARRAY(Sintesi!$C$15)&gt;=0)+(_xlfn.ANCHORARRAY(Sintesi!$C$15)&lt;0),0),0)</f>
        <v>0</v>
      </c>
      <c r="D55" s="1">
        <f t="array" ref="D55">IF(ISBLANK($E56),IF(ISNUMBER($E54),IF($C55&gt;0,IF(($E55=INDEX(_xlfn.ANCHORARRAY(Sintesi!$C$14),1,$C55))*(INDEX(_xlfn.ANCHORARRAY(Sintesi!$C$15),1,$C55)&gt;0),0,IF(($E55=INDEX(_xlfn.ANCHORARRAY(Sintesi!$C$14),1,$C55))*(INDEX(_xlfn.ANCHORARRAY(Sintesi!$C$15),1,$C55)&lt;0)+($E55&gt;=$E54)*($E55&lt;=INDEX($E:$E,MATCH(TRUE,INDEX((ISNUMBER($E:$E)),0),0)))*($E55&gt;INDEX(_xlfn.ANCHORARRAY(Sintesi!$C$14),1,$C55))*($E55&lt;=INDEX(_xlfn.ANCHORARRAY(Sintesi!$C$15),1,$C55))*(INDEX(_xlfn.ANCHORARRAY(Sintesi!$C$15),1,$C55)&gt;0),1,IF(($E55&gt;=$E54)*($E55&lt;=INDEX($E:$E,MATCH(TRUE,INDEX((ISNUMBER($E:$E)),0),0)))*($E55&gt;INDEX(_xlfn.ANCHORARRAY(Sintesi!$C$14),1,$C55))*($E55&lt;INDEX(_xlfn.ANCHORARRAY(Sintesi!$C$16),1,$C55))*(INDEX(_xlfn.ANCHORARRAY(Sintesi!$C$15),1,$C55)&lt;0)+($E55&gt;=$E54)*($E55&lt;=INDEX($E:$E,MATCH(TRUE,INDEX((ISNUMBER($E:$E)),0),0)))*($E55&gt;INDEX(_xlfn.ANCHORARRAY(Sintesi!$C$15),1,$C55))*($E55&lt;INDEX(_xlfn.ANCHORARRAY(Sintesi!$C$16),1,$C55))*(INDEX(_xlfn.ANCHORARRAY(Sintesi!$C$15),1,$C55)&gt;0),2,IF($E55=(INDEX(_xlfn.ANCHORARRAY(Sintesi!$C$16),1,$C55)),3,4)))),0),IF($C55&gt;0,IF(($E55=INDEX(_xlfn.ANCHORARRAY(Sintesi!$C$14),1,$C55))*(INDEX(_xlfn.ANCHORARRAY(Sintesi!$C$15),1,$C55)&gt;0),0,IF(($E55=INDEX(_xlfn.ANCHORARRAY(Sintesi!$C$14),1,$C55))*(INDEX(_xlfn.ANCHORARRAY(Sintesi!$C$15),1,$C55)&lt;0)+($E55&gt;=LOOKUP(2,1/($E:$E&lt;&gt;""),$E:$E))*($E55&lt;=INDEX($E:$E,MATCH(TRUE,INDEX((ISNUMBER($E:$E)),0),0)))*($E55&gt;INDEX(_xlfn.ANCHORARRAY(Sintesi!$C$14),1,$C55))*($E55&lt;=INDEX(_xlfn.ANCHORARRAY(Sintesi!$C$15),1,$C55))*(INDEX(_xlfn.ANCHORARRAY(Sintesi!$C$15),1,$C55)&gt;0),1,IF(($E55&gt;=LOOKUP(2,1/($E:$E&lt;&gt;""),$E:$E))*($E55&lt;=INDEX($E:$E,MATCH(TRUE,INDEX((ISNUMBER($E:$E)),0),0)))*($E55&gt;INDEX(_xlfn.ANCHORARRAY(Sintesi!$C$14),1,$C55))*($E55&lt;INDEX(_xlfn.ANCHORARRAY(Sintesi!$C$16),1,$C55))*(INDEX(_xlfn.ANCHORARRAY(Sintesi!$C$15),1,$C55)&lt;0)+($E55&gt;=LOOKUP(2,1/($E:$E&lt;&gt;""),$E:$E))*($E55&lt;=INDEX($E:$E,MATCH(TRUE,INDEX((ISNUMBER($E:$E)),0),0)))*($E55&gt;INDEX(_xlfn.ANCHORARRAY(Sintesi!$C$15),1,$C55))*($E55&lt;INDEX(_xlfn.ANCHORARRAY(Sintesi!$C$16),1,$C55))*(INDEX(_xlfn.ANCHORARRAY(Sintesi!$C$15),1,$C55)&gt;0),2,IF($E55=(INDEX(_xlfn.ANCHORARRAY(Sintesi!$C$16),1,$C55)),3,4)))),0)),IF(ISNUMBER($E54),IF($C55&gt;0,IF(($E55=INDEX(_xlfn.ANCHORARRAY(Sintesi!$C$14),1,$C55))*(INDEX(_xlfn.ANCHORARRAY(Sintesi!$C$15),1,$C55)&gt;0),0,IF(($E55=INDEX(_xlfn.ANCHORARRAY(Sintesi!$C$14),1,$C55))*(INDEX(_xlfn.ANCHORARRAY(Sintesi!$C$15),1,$C55)&lt;0)+($E55&gt;=$E54)*($E55&lt;=$E56)*($E55&gt;INDEX(_xlfn.ANCHORARRAY(Sintesi!$C$14),1,$C55))*($E55&lt;=INDEX(_xlfn.ANCHORARRAY(Sintesi!$C$15),1,$C55))*(INDEX(_xlfn.ANCHORARRAY(Sintesi!$C$15),1,$C55)&gt;0),1,IF(($E55&gt;=$E54)*($E55&lt;=$E56)*($E55&gt;INDEX(_xlfn.ANCHORARRAY(Sintesi!$C$14),1,$C55))*($E55&lt;INDEX(_xlfn.ANCHORARRAY(Sintesi!$C$16),1,$C55))*(INDEX(_xlfn.ANCHORARRAY(Sintesi!$C$15),1,$C55)&lt;0)+($E55&gt;=$E54)*($E55&lt;=$E56)*($E55&gt;INDEX(_xlfn.ANCHORARRAY(Sintesi!$C$15),1,$C55))*($E55&lt;INDEX(_xlfn.ANCHORARRAY(Sintesi!$C$16),1,$C55))*(INDEX(_xlfn.ANCHORARRAY(Sintesi!$C$15),1,$C55)&gt;0),2,IF($E55=(INDEX(_xlfn.ANCHORARRAY(Sintesi!$C$16),1,$C55)),3,4)))),0),IF($C55&gt;0,IF(($E55=INDEX(_xlfn.ANCHORARRAY(Sintesi!$C$14),1,$C55))*(INDEX(_xlfn.ANCHORARRAY(Sintesi!$C$15),1,$C55)&gt;0),0,IF(($E55=INDEX(_xlfn.ANCHORARRAY(Sintesi!$C$14),1,$C55))*(INDEX(_xlfn.ANCHORARRAY(Sintesi!$C$15),1,$C55)&lt;0)+($E55&gt;=LOOKUP(2,1/($E:$E&lt;&gt;""),$E:$E))*($E55&lt;=$E56)*($E55&gt;INDEX(_xlfn.ANCHORARRAY(Sintesi!$C$14),1,$C55))*($E55&lt;=INDEX(_xlfn.ANCHORARRAY(Sintesi!$C$15),1,$C55))*(INDEX(_xlfn.ANCHORARRAY(Sintesi!$C$15),1,$C55)&gt;0),1,IF(($E55&gt;=LOOKUP(2,1/($E:$E&lt;&gt;""),$E:$E))*($E55&lt;=$E56)*($E55&gt;INDEX(_xlfn.ANCHORARRAY(Sintesi!$C$14),1,$C55))*($E55&lt;INDEX(_xlfn.ANCHORARRAY(Sintesi!$C$16),1,$C55))*(INDEX(_xlfn.ANCHORARRAY(Sintesi!$C$15),1,$C55)&lt;0)+($E55&gt;=LOOKUP(2,1/($E:$E&lt;&gt;""),$E:$E))*($E55&lt;=$E56)*($E55&gt;INDEX(_xlfn.ANCHORARRAY(Sintesi!$C$15),1,$C55))*($E55&lt;INDEX(_xlfn.ANCHORARRAY(Sintesi!$C$16),1,$C55))*(INDEX(_xlfn.ANCHORARRAY(Sintesi!$C$15),1,$C55)&gt;0),2,IF($E55=(INDEX(_xlfn.ANCHORARRAY(Sintesi!$C$16),1,$C55)),3,4)))),0)))</f>
        <v>0</v>
      </c>
      <c r="E55" s="1">
        <f>'Paste cell here'!F55</f>
        <v>0</v>
      </c>
      <c r="F55" s="1">
        <f>'Paste cell here'!C55</f>
        <v>17.679999999999744</v>
      </c>
      <c r="G55" s="1">
        <f>'Paste cell here'!D55</f>
        <v>4.7199999999999624</v>
      </c>
      <c r="H55" s="1">
        <f>'Paste cell here'!E55</f>
        <v>1.1982314392734921</v>
      </c>
      <c r="I55" s="1">
        <f>'Paste cell here'!X55</f>
        <v>0</v>
      </c>
      <c r="J55" s="1">
        <f>'Paste cell here'!Y55+'Paste cell here'!S55</f>
        <v>0</v>
      </c>
      <c r="K55" s="1">
        <f t="shared" si="0"/>
        <v>0</v>
      </c>
      <c r="L55" s="1">
        <f t="shared" si="1"/>
        <v>12.980962767238841</v>
      </c>
      <c r="M55" s="1">
        <f t="array" ref="M55">IF(AND(A55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55&gt;=_xlfn.ANCHORARRAY(Sintesi!$C$9))+(_xlfn.ANCHORARRAY(Sintesi!$C$9)&gt;_xlfn.ANCHORARRAY(Sintesi!$C$10))*(A55&lt;=_xlfn.ANCHORARRAY(Sintesi!$C$10))+(_xlfn.ANCHORARRAY(Sintesi!$C$9)&lt;_xlfn.ANCHORARRAY(Sintesi!$C$10))*(A55&gt;=_xlfn.ANCHORARRAY(Sintesi!$C$9))*(A55&lt;=_xlfn.ANCHORARRAY(Sintesi!$C$10)),0)),0),A55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56&gt;=_xlfn.ANCHORARRAY(Sintesi!$C$9))+(_xlfn.ANCHORARRAY(Sintesi!$C$9)&gt;_xlfn.ANCHORARRAY(Sintesi!$C$10))*(A56&lt;=_xlfn.ANCHORARRAY(Sintesi!$C$10))+(_xlfn.ANCHORARRAY(Sintesi!$C$9)&lt;_xlfn.ANCHORARRAY(Sintesi!$C$10))*(A56&gt;=_xlfn.ANCHORARRAY(Sintesi!$C$9))*(A56&lt;=_xlfn.ANCHORARRAY(Sintesi!$C$10)),0)),0)),IF(L55&lt;_xlfn.IFNA(INDEX(_xlfn.ANCHORARRAY(Sintesi!$C$17),1,MATCH(1,(_xlfn.ANCHORARRAY(Sintesi!$C$9)&gt;_xlfn.ANCHORARRAY(Sintesi!$C$10))*(A54&gt;=_xlfn.ANCHORARRAY(Sintesi!$C$9))+(_xlfn.ANCHORARRAY(Sintesi!$C$9)&gt;_xlfn.ANCHORARRAY(Sintesi!$C$10))*(A54&lt;=_xlfn.ANCHORARRAY(Sintesi!$C$10))+(_xlfn.ANCHORARRAY(Sintesi!$C$9)&lt;_xlfn.ANCHORARRAY(Sintesi!$C$10))*(A54&gt;=_xlfn.ANCHORARRAY(Sintesi!$C$9))*(A54&lt;=_xlfn.ANCHORARRAY(Sintesi!$C$10)),0)),0),1,IF(L55&gt;=_xlfn.IFNA(INDEX(_xlfn.ANCHORARRAY(Sintesi!$C$18),1,MATCH(1,(_xlfn.ANCHORARRAY(Sintesi!$C$9)&gt;_xlfn.ANCHORARRAY(Sintesi!$C$10))*(A54&gt;=_xlfn.ANCHORARRAY(Sintesi!$C$9))+(_xlfn.ANCHORARRAY(Sintesi!$C$9)&gt;_xlfn.ANCHORARRAY(Sintesi!$C$10))*(A54&lt;=_xlfn.ANCHORARRAY(Sintesi!$C$10))+(_xlfn.ANCHORARRAY(Sintesi!$C$9)&lt;_xlfn.ANCHORARRAY(Sintesi!$C$10))*(A54&gt;=_xlfn.ANCHORARRAY(Sintesi!$C$9))*(A54&lt;=_xlfn.ANCHORARRAY(Sintesi!$C$10)),0)),0),0,1-(L55-_xlfn.IFNA(INDEX(_xlfn.ANCHORARRAY(Sintesi!$C$17),1,MATCH(1,(_xlfn.ANCHORARRAY(Sintesi!$C$9)&gt;_xlfn.ANCHORARRAY(Sintesi!$C$10))*(A54&gt;=_xlfn.ANCHORARRAY(Sintesi!$C$9))+(_xlfn.ANCHORARRAY(Sintesi!$C$9)&gt;_xlfn.ANCHORARRAY(Sintesi!$C$10))*(A54&lt;=_xlfn.ANCHORARRAY(Sintesi!$C$10))+(_xlfn.ANCHORARRAY(Sintesi!$C$9)&lt;_xlfn.ANCHORARRAY(Sintesi!$C$10))*(A54&gt;=_xlfn.ANCHORARRAY(Sintesi!$C$9))*(A54&lt;=_xlfn.ANCHORARRAY(Sintesi!$C$10)),0)),0))/(_xlfn.IFNA(INDEX(_xlfn.ANCHORARRAY(Sintesi!$C$18),1,MATCH(1,(_xlfn.ANCHORARRAY(Sintesi!$C$9)&gt;_xlfn.ANCHORARRAY(Sintesi!$C$10))*(A54&gt;=_xlfn.ANCHORARRAY(Sintesi!$C$9))+(_xlfn.ANCHORARRAY(Sintesi!$C$9)&gt;_xlfn.ANCHORARRAY(Sintesi!$C$10))*(A54&lt;=_xlfn.ANCHORARRAY(Sintesi!$C$10))+(_xlfn.ANCHORARRAY(Sintesi!$C$9)&lt;_xlfn.ANCHORARRAY(Sintesi!$C$10))*(A54&gt;=_xlfn.ANCHORARRAY(Sintesi!$C$9))*(A54&lt;=_xlfn.ANCHORARRAY(Sintesi!$C$10)),0)),0)-_xlfn.IFNA(INDEX(_xlfn.ANCHORARRAY(Sintesi!$C$17),1,MATCH(1,(_xlfn.ANCHORARRAY(Sintesi!$C$9)&gt;_xlfn.ANCHORARRAY(Sintesi!$C$10))*(A54&gt;=_xlfn.ANCHORARRAY(Sintesi!$C$9))+(_xlfn.ANCHORARRAY(Sintesi!$C$9)&gt;_xlfn.ANCHORARRAY(Sintesi!$C$10))*(A54&lt;=_xlfn.ANCHORARRAY(Sintesi!$C$10))+(_xlfn.ANCHORARRAY(Sintesi!$C$9)&lt;_xlfn.ANCHORARRAY(Sintesi!$C$10))*(A54&gt;=_xlfn.ANCHORARRAY(Sintesi!$C$9))*(A54&lt;=_xlfn.ANCHORARRAY(Sintesi!$C$10)),0)),0)))),0)</f>
        <v>0</v>
      </c>
    </row>
    <row r="56" spans="1:13">
      <c r="A56" s="1">
        <f>'Paste cell here'!A56</f>
        <v>55</v>
      </c>
      <c r="B56" s="2">
        <f>DATE(Sintesi!$C$4-1,12,31)+A56</f>
        <v>44251</v>
      </c>
      <c r="C56" s="34">
        <f t="array" ref="C56">_xlfn.IFNA(MATCH(1,((_xlfn.ANCHORARRAY(Sintesi!$C$9)&gt;_xlfn.ANCHORARRAY(Sintesi!$C$10))*(A56&gt;=_xlfn.ANCHORARRAY(Sintesi!$C$9))+(_xlfn.ANCHORARRAY(Sintesi!$C$9)&gt;_xlfn.ANCHORARRAY(Sintesi!$C$10))*(A56&lt;=_xlfn.ANCHORARRAY(Sintesi!$C$10))+(_xlfn.ANCHORARRAY(Sintesi!$C$9)&lt;_xlfn.ANCHORARRAY(Sintesi!$C$10))*(A56&gt;=_xlfn.ANCHORARRAY(Sintesi!$C$9))*(A56&lt;=_xlfn.ANCHORARRAY(Sintesi!$C$10)))*(_xlfn.ANCHORARRAY(Sintesi!$C$15)&gt;=0)+(_xlfn.ANCHORARRAY(Sintesi!$C$15)&lt;0),0),0)</f>
        <v>0</v>
      </c>
      <c r="D56" s="1">
        <f t="array" ref="D56">IF(ISBLANK($E57),IF(ISNUMBER($E55),IF($C56&gt;0,IF(($E56=INDEX(_xlfn.ANCHORARRAY(Sintesi!$C$14),1,$C56))*(INDEX(_xlfn.ANCHORARRAY(Sintesi!$C$15),1,$C56)&gt;0),0,IF(($E56=INDEX(_xlfn.ANCHORARRAY(Sintesi!$C$14),1,$C56))*(INDEX(_xlfn.ANCHORARRAY(Sintesi!$C$15),1,$C56)&lt;0)+($E56&gt;=$E55)*($E56&lt;=INDEX($E:$E,MATCH(TRUE,INDEX((ISNUMBER($E:$E)),0),0)))*($E56&gt;INDEX(_xlfn.ANCHORARRAY(Sintesi!$C$14),1,$C56))*($E56&lt;=INDEX(_xlfn.ANCHORARRAY(Sintesi!$C$15),1,$C56))*(INDEX(_xlfn.ANCHORARRAY(Sintesi!$C$15),1,$C56)&gt;0),1,IF(($E56&gt;=$E55)*($E56&lt;=INDEX($E:$E,MATCH(TRUE,INDEX((ISNUMBER($E:$E)),0),0)))*($E56&gt;INDEX(_xlfn.ANCHORARRAY(Sintesi!$C$14),1,$C56))*($E56&lt;INDEX(_xlfn.ANCHORARRAY(Sintesi!$C$16),1,$C56))*(INDEX(_xlfn.ANCHORARRAY(Sintesi!$C$15),1,$C56)&lt;0)+($E56&gt;=$E55)*($E56&lt;=INDEX($E:$E,MATCH(TRUE,INDEX((ISNUMBER($E:$E)),0),0)))*($E56&gt;INDEX(_xlfn.ANCHORARRAY(Sintesi!$C$15),1,$C56))*($E56&lt;INDEX(_xlfn.ANCHORARRAY(Sintesi!$C$16),1,$C56))*(INDEX(_xlfn.ANCHORARRAY(Sintesi!$C$15),1,$C56)&gt;0),2,IF($E56=(INDEX(_xlfn.ANCHORARRAY(Sintesi!$C$16),1,$C56)),3,4)))),0),IF($C56&gt;0,IF(($E56=INDEX(_xlfn.ANCHORARRAY(Sintesi!$C$14),1,$C56))*(INDEX(_xlfn.ANCHORARRAY(Sintesi!$C$15),1,$C56)&gt;0),0,IF(($E56=INDEX(_xlfn.ANCHORARRAY(Sintesi!$C$14),1,$C56))*(INDEX(_xlfn.ANCHORARRAY(Sintesi!$C$15),1,$C56)&lt;0)+($E56&gt;=LOOKUP(2,1/($E:$E&lt;&gt;""),$E:$E))*($E56&lt;=INDEX($E:$E,MATCH(TRUE,INDEX((ISNUMBER($E:$E)),0),0)))*($E56&gt;INDEX(_xlfn.ANCHORARRAY(Sintesi!$C$14),1,$C56))*($E56&lt;=INDEX(_xlfn.ANCHORARRAY(Sintesi!$C$15),1,$C56))*(INDEX(_xlfn.ANCHORARRAY(Sintesi!$C$15),1,$C56)&gt;0),1,IF(($E56&gt;=LOOKUP(2,1/($E:$E&lt;&gt;""),$E:$E))*($E56&lt;=INDEX($E:$E,MATCH(TRUE,INDEX((ISNUMBER($E:$E)),0),0)))*($E56&gt;INDEX(_xlfn.ANCHORARRAY(Sintesi!$C$14),1,$C56))*($E56&lt;INDEX(_xlfn.ANCHORARRAY(Sintesi!$C$16),1,$C56))*(INDEX(_xlfn.ANCHORARRAY(Sintesi!$C$15),1,$C56)&lt;0)+($E56&gt;=LOOKUP(2,1/($E:$E&lt;&gt;""),$E:$E))*($E56&lt;=INDEX($E:$E,MATCH(TRUE,INDEX((ISNUMBER($E:$E)),0),0)))*($E56&gt;INDEX(_xlfn.ANCHORARRAY(Sintesi!$C$15),1,$C56))*($E56&lt;INDEX(_xlfn.ANCHORARRAY(Sintesi!$C$16),1,$C56))*(INDEX(_xlfn.ANCHORARRAY(Sintesi!$C$15),1,$C56)&gt;0),2,IF($E56=(INDEX(_xlfn.ANCHORARRAY(Sintesi!$C$16),1,$C56)),3,4)))),0)),IF(ISNUMBER($E55),IF($C56&gt;0,IF(($E56=INDEX(_xlfn.ANCHORARRAY(Sintesi!$C$14),1,$C56))*(INDEX(_xlfn.ANCHORARRAY(Sintesi!$C$15),1,$C56)&gt;0),0,IF(($E56=INDEX(_xlfn.ANCHORARRAY(Sintesi!$C$14),1,$C56))*(INDEX(_xlfn.ANCHORARRAY(Sintesi!$C$15),1,$C56)&lt;0)+($E56&gt;=$E55)*($E56&lt;=$E57)*($E56&gt;INDEX(_xlfn.ANCHORARRAY(Sintesi!$C$14),1,$C56))*($E56&lt;=INDEX(_xlfn.ANCHORARRAY(Sintesi!$C$15),1,$C56))*(INDEX(_xlfn.ANCHORARRAY(Sintesi!$C$15),1,$C56)&gt;0),1,IF(($E56&gt;=$E55)*($E56&lt;=$E57)*($E56&gt;INDEX(_xlfn.ANCHORARRAY(Sintesi!$C$14),1,$C56))*($E56&lt;INDEX(_xlfn.ANCHORARRAY(Sintesi!$C$16),1,$C56))*(INDEX(_xlfn.ANCHORARRAY(Sintesi!$C$15),1,$C56)&lt;0)+($E56&gt;=$E55)*($E56&lt;=$E57)*($E56&gt;INDEX(_xlfn.ANCHORARRAY(Sintesi!$C$15),1,$C56))*($E56&lt;INDEX(_xlfn.ANCHORARRAY(Sintesi!$C$16),1,$C56))*(INDEX(_xlfn.ANCHORARRAY(Sintesi!$C$15),1,$C56)&gt;0),2,IF($E56=(INDEX(_xlfn.ANCHORARRAY(Sintesi!$C$16),1,$C56)),3,4)))),0),IF($C56&gt;0,IF(($E56=INDEX(_xlfn.ANCHORARRAY(Sintesi!$C$14),1,$C56))*(INDEX(_xlfn.ANCHORARRAY(Sintesi!$C$15),1,$C56)&gt;0),0,IF(($E56=INDEX(_xlfn.ANCHORARRAY(Sintesi!$C$14),1,$C56))*(INDEX(_xlfn.ANCHORARRAY(Sintesi!$C$15),1,$C56)&lt;0)+($E56&gt;=LOOKUP(2,1/($E:$E&lt;&gt;""),$E:$E))*($E56&lt;=$E57)*($E56&gt;INDEX(_xlfn.ANCHORARRAY(Sintesi!$C$14),1,$C56))*($E56&lt;=INDEX(_xlfn.ANCHORARRAY(Sintesi!$C$15),1,$C56))*(INDEX(_xlfn.ANCHORARRAY(Sintesi!$C$15),1,$C56)&gt;0),1,IF(($E56&gt;=LOOKUP(2,1/($E:$E&lt;&gt;""),$E:$E))*($E56&lt;=$E57)*($E56&gt;INDEX(_xlfn.ANCHORARRAY(Sintesi!$C$14),1,$C56))*($E56&lt;INDEX(_xlfn.ANCHORARRAY(Sintesi!$C$16),1,$C56))*(INDEX(_xlfn.ANCHORARRAY(Sintesi!$C$15),1,$C56)&lt;0)+($E56&gt;=LOOKUP(2,1/($E:$E&lt;&gt;""),$E:$E))*($E56&lt;=$E57)*($E56&gt;INDEX(_xlfn.ANCHORARRAY(Sintesi!$C$15),1,$C56))*($E56&lt;INDEX(_xlfn.ANCHORARRAY(Sintesi!$C$16),1,$C56))*(INDEX(_xlfn.ANCHORARRAY(Sintesi!$C$15),1,$C56)&gt;0),2,IF($E56=(INDEX(_xlfn.ANCHORARRAY(Sintesi!$C$16),1,$C56)),3,4)))),0)))</f>
        <v>0</v>
      </c>
      <c r="E56" s="1">
        <f>'Paste cell here'!F56</f>
        <v>0</v>
      </c>
      <c r="F56" s="1">
        <f>'Paste cell here'!C56</f>
        <v>21.179999999999701</v>
      </c>
      <c r="G56" s="1">
        <f>'Paste cell here'!D56</f>
        <v>4.1399999999999739</v>
      </c>
      <c r="H56" s="1">
        <f>'Paste cell here'!E56</f>
        <v>1.4657557690772731</v>
      </c>
      <c r="I56" s="1">
        <f>'Paste cell here'!X56</f>
        <v>0</v>
      </c>
      <c r="J56" s="1">
        <f>'Paste cell here'!Y56+'Paste cell here'!S56</f>
        <v>0</v>
      </c>
      <c r="K56" s="1">
        <f t="shared" si="0"/>
        <v>0</v>
      </c>
      <c r="L56" s="1">
        <f t="shared" si="1"/>
        <v>15.001636230999253</v>
      </c>
      <c r="M56" s="1">
        <f t="array" ref="M56">IF(AND(A56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56&gt;=_xlfn.ANCHORARRAY(Sintesi!$C$9))+(_xlfn.ANCHORARRAY(Sintesi!$C$9)&gt;_xlfn.ANCHORARRAY(Sintesi!$C$10))*(A56&lt;=_xlfn.ANCHORARRAY(Sintesi!$C$10))+(_xlfn.ANCHORARRAY(Sintesi!$C$9)&lt;_xlfn.ANCHORARRAY(Sintesi!$C$10))*(A56&gt;=_xlfn.ANCHORARRAY(Sintesi!$C$9))*(A56&lt;=_xlfn.ANCHORARRAY(Sintesi!$C$10)),0)),0),A56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57&gt;=_xlfn.ANCHORARRAY(Sintesi!$C$9))+(_xlfn.ANCHORARRAY(Sintesi!$C$9)&gt;_xlfn.ANCHORARRAY(Sintesi!$C$10))*(A57&lt;=_xlfn.ANCHORARRAY(Sintesi!$C$10))+(_xlfn.ANCHORARRAY(Sintesi!$C$9)&lt;_xlfn.ANCHORARRAY(Sintesi!$C$10))*(A57&gt;=_xlfn.ANCHORARRAY(Sintesi!$C$9))*(A57&lt;=_xlfn.ANCHORARRAY(Sintesi!$C$10)),0)),0)),IF(L56&lt;_xlfn.IFNA(INDEX(_xlfn.ANCHORARRAY(Sintesi!$C$17),1,MATCH(1,(_xlfn.ANCHORARRAY(Sintesi!$C$9)&gt;_xlfn.ANCHORARRAY(Sintesi!$C$10))*(A55&gt;=_xlfn.ANCHORARRAY(Sintesi!$C$9))+(_xlfn.ANCHORARRAY(Sintesi!$C$9)&gt;_xlfn.ANCHORARRAY(Sintesi!$C$10))*(A55&lt;=_xlfn.ANCHORARRAY(Sintesi!$C$10))+(_xlfn.ANCHORARRAY(Sintesi!$C$9)&lt;_xlfn.ANCHORARRAY(Sintesi!$C$10))*(A55&gt;=_xlfn.ANCHORARRAY(Sintesi!$C$9))*(A55&lt;=_xlfn.ANCHORARRAY(Sintesi!$C$10)),0)),0),1,IF(L56&gt;=_xlfn.IFNA(INDEX(_xlfn.ANCHORARRAY(Sintesi!$C$18),1,MATCH(1,(_xlfn.ANCHORARRAY(Sintesi!$C$9)&gt;_xlfn.ANCHORARRAY(Sintesi!$C$10))*(A55&gt;=_xlfn.ANCHORARRAY(Sintesi!$C$9))+(_xlfn.ANCHORARRAY(Sintesi!$C$9)&gt;_xlfn.ANCHORARRAY(Sintesi!$C$10))*(A55&lt;=_xlfn.ANCHORARRAY(Sintesi!$C$10))+(_xlfn.ANCHORARRAY(Sintesi!$C$9)&lt;_xlfn.ANCHORARRAY(Sintesi!$C$10))*(A55&gt;=_xlfn.ANCHORARRAY(Sintesi!$C$9))*(A55&lt;=_xlfn.ANCHORARRAY(Sintesi!$C$10)),0)),0),0,1-(L56-_xlfn.IFNA(INDEX(_xlfn.ANCHORARRAY(Sintesi!$C$17),1,MATCH(1,(_xlfn.ANCHORARRAY(Sintesi!$C$9)&gt;_xlfn.ANCHORARRAY(Sintesi!$C$10))*(A55&gt;=_xlfn.ANCHORARRAY(Sintesi!$C$9))+(_xlfn.ANCHORARRAY(Sintesi!$C$9)&gt;_xlfn.ANCHORARRAY(Sintesi!$C$10))*(A55&lt;=_xlfn.ANCHORARRAY(Sintesi!$C$10))+(_xlfn.ANCHORARRAY(Sintesi!$C$9)&lt;_xlfn.ANCHORARRAY(Sintesi!$C$10))*(A55&gt;=_xlfn.ANCHORARRAY(Sintesi!$C$9))*(A55&lt;=_xlfn.ANCHORARRAY(Sintesi!$C$10)),0)),0))/(_xlfn.IFNA(INDEX(_xlfn.ANCHORARRAY(Sintesi!$C$18),1,MATCH(1,(_xlfn.ANCHORARRAY(Sintesi!$C$9)&gt;_xlfn.ANCHORARRAY(Sintesi!$C$10))*(A55&gt;=_xlfn.ANCHORARRAY(Sintesi!$C$9))+(_xlfn.ANCHORARRAY(Sintesi!$C$9)&gt;_xlfn.ANCHORARRAY(Sintesi!$C$10))*(A55&lt;=_xlfn.ANCHORARRAY(Sintesi!$C$10))+(_xlfn.ANCHORARRAY(Sintesi!$C$9)&lt;_xlfn.ANCHORARRAY(Sintesi!$C$10))*(A55&gt;=_xlfn.ANCHORARRAY(Sintesi!$C$9))*(A55&lt;=_xlfn.ANCHORARRAY(Sintesi!$C$10)),0)),0)-_xlfn.IFNA(INDEX(_xlfn.ANCHORARRAY(Sintesi!$C$17),1,MATCH(1,(_xlfn.ANCHORARRAY(Sintesi!$C$9)&gt;_xlfn.ANCHORARRAY(Sintesi!$C$10))*(A55&gt;=_xlfn.ANCHORARRAY(Sintesi!$C$9))+(_xlfn.ANCHORARRAY(Sintesi!$C$9)&gt;_xlfn.ANCHORARRAY(Sintesi!$C$10))*(A55&lt;=_xlfn.ANCHORARRAY(Sintesi!$C$10))+(_xlfn.ANCHORARRAY(Sintesi!$C$9)&lt;_xlfn.ANCHORARRAY(Sintesi!$C$10))*(A55&gt;=_xlfn.ANCHORARRAY(Sintesi!$C$9))*(A55&lt;=_xlfn.ANCHORARRAY(Sintesi!$C$10)),0)),0)))),0)</f>
        <v>0</v>
      </c>
    </row>
    <row r="57" spans="1:13">
      <c r="A57" s="1">
        <f>'Paste cell here'!A57</f>
        <v>56</v>
      </c>
      <c r="B57" s="2">
        <f>DATE(Sintesi!$C$4-1,12,31)+A57</f>
        <v>44252</v>
      </c>
      <c r="C57" s="34">
        <f t="array" ref="C57">_xlfn.IFNA(MATCH(1,((_xlfn.ANCHORARRAY(Sintesi!$C$9)&gt;_xlfn.ANCHORARRAY(Sintesi!$C$10))*(A57&gt;=_xlfn.ANCHORARRAY(Sintesi!$C$9))+(_xlfn.ANCHORARRAY(Sintesi!$C$9)&gt;_xlfn.ANCHORARRAY(Sintesi!$C$10))*(A57&lt;=_xlfn.ANCHORARRAY(Sintesi!$C$10))+(_xlfn.ANCHORARRAY(Sintesi!$C$9)&lt;_xlfn.ANCHORARRAY(Sintesi!$C$10))*(A57&gt;=_xlfn.ANCHORARRAY(Sintesi!$C$9))*(A57&lt;=_xlfn.ANCHORARRAY(Sintesi!$C$10)))*(_xlfn.ANCHORARRAY(Sintesi!$C$15)&gt;=0)+(_xlfn.ANCHORARRAY(Sintesi!$C$15)&lt;0),0),0)</f>
        <v>0</v>
      </c>
      <c r="D57" s="1">
        <f t="array" ref="D57">IF(ISBLANK($E58),IF(ISNUMBER($E56),IF($C57&gt;0,IF(($E57=INDEX(_xlfn.ANCHORARRAY(Sintesi!$C$14),1,$C57))*(INDEX(_xlfn.ANCHORARRAY(Sintesi!$C$15),1,$C57)&gt;0),0,IF(($E57=INDEX(_xlfn.ANCHORARRAY(Sintesi!$C$14),1,$C57))*(INDEX(_xlfn.ANCHORARRAY(Sintesi!$C$15),1,$C57)&lt;0)+($E57&gt;=$E56)*($E57&lt;=INDEX($E:$E,MATCH(TRUE,INDEX((ISNUMBER($E:$E)),0),0)))*($E57&gt;INDEX(_xlfn.ANCHORARRAY(Sintesi!$C$14),1,$C57))*($E57&lt;=INDEX(_xlfn.ANCHORARRAY(Sintesi!$C$15),1,$C57))*(INDEX(_xlfn.ANCHORARRAY(Sintesi!$C$15),1,$C57)&gt;0),1,IF(($E57&gt;=$E56)*($E57&lt;=INDEX($E:$E,MATCH(TRUE,INDEX((ISNUMBER($E:$E)),0),0)))*($E57&gt;INDEX(_xlfn.ANCHORARRAY(Sintesi!$C$14),1,$C57))*($E57&lt;INDEX(_xlfn.ANCHORARRAY(Sintesi!$C$16),1,$C57))*(INDEX(_xlfn.ANCHORARRAY(Sintesi!$C$15),1,$C57)&lt;0)+($E57&gt;=$E56)*($E57&lt;=INDEX($E:$E,MATCH(TRUE,INDEX((ISNUMBER($E:$E)),0),0)))*($E57&gt;INDEX(_xlfn.ANCHORARRAY(Sintesi!$C$15),1,$C57))*($E57&lt;INDEX(_xlfn.ANCHORARRAY(Sintesi!$C$16),1,$C57))*(INDEX(_xlfn.ANCHORARRAY(Sintesi!$C$15),1,$C57)&gt;0),2,IF($E57=(INDEX(_xlfn.ANCHORARRAY(Sintesi!$C$16),1,$C57)),3,4)))),0),IF($C57&gt;0,IF(($E57=INDEX(_xlfn.ANCHORARRAY(Sintesi!$C$14),1,$C57))*(INDEX(_xlfn.ANCHORARRAY(Sintesi!$C$15),1,$C57)&gt;0),0,IF(($E57=INDEX(_xlfn.ANCHORARRAY(Sintesi!$C$14),1,$C57))*(INDEX(_xlfn.ANCHORARRAY(Sintesi!$C$15),1,$C57)&lt;0)+($E57&gt;=LOOKUP(2,1/($E:$E&lt;&gt;""),$E:$E))*($E57&lt;=INDEX($E:$E,MATCH(TRUE,INDEX((ISNUMBER($E:$E)),0),0)))*($E57&gt;INDEX(_xlfn.ANCHORARRAY(Sintesi!$C$14),1,$C57))*($E57&lt;=INDEX(_xlfn.ANCHORARRAY(Sintesi!$C$15),1,$C57))*(INDEX(_xlfn.ANCHORARRAY(Sintesi!$C$15),1,$C57)&gt;0),1,IF(($E57&gt;=LOOKUP(2,1/($E:$E&lt;&gt;""),$E:$E))*($E57&lt;=INDEX($E:$E,MATCH(TRUE,INDEX((ISNUMBER($E:$E)),0),0)))*($E57&gt;INDEX(_xlfn.ANCHORARRAY(Sintesi!$C$14),1,$C57))*($E57&lt;INDEX(_xlfn.ANCHORARRAY(Sintesi!$C$16),1,$C57))*(INDEX(_xlfn.ANCHORARRAY(Sintesi!$C$15),1,$C57)&lt;0)+($E57&gt;=LOOKUP(2,1/($E:$E&lt;&gt;""),$E:$E))*($E57&lt;=INDEX($E:$E,MATCH(TRUE,INDEX((ISNUMBER($E:$E)),0),0)))*($E57&gt;INDEX(_xlfn.ANCHORARRAY(Sintesi!$C$15),1,$C57))*($E57&lt;INDEX(_xlfn.ANCHORARRAY(Sintesi!$C$16),1,$C57))*(INDEX(_xlfn.ANCHORARRAY(Sintesi!$C$15),1,$C57)&gt;0),2,IF($E57=(INDEX(_xlfn.ANCHORARRAY(Sintesi!$C$16),1,$C57)),3,4)))),0)),IF(ISNUMBER($E56),IF($C57&gt;0,IF(($E57=INDEX(_xlfn.ANCHORARRAY(Sintesi!$C$14),1,$C57))*(INDEX(_xlfn.ANCHORARRAY(Sintesi!$C$15),1,$C57)&gt;0),0,IF(($E57=INDEX(_xlfn.ANCHORARRAY(Sintesi!$C$14),1,$C57))*(INDEX(_xlfn.ANCHORARRAY(Sintesi!$C$15),1,$C57)&lt;0)+($E57&gt;=$E56)*($E57&lt;=$E58)*($E57&gt;INDEX(_xlfn.ANCHORARRAY(Sintesi!$C$14),1,$C57))*($E57&lt;=INDEX(_xlfn.ANCHORARRAY(Sintesi!$C$15),1,$C57))*(INDEX(_xlfn.ANCHORARRAY(Sintesi!$C$15),1,$C57)&gt;0),1,IF(($E57&gt;=$E56)*($E57&lt;=$E58)*($E57&gt;INDEX(_xlfn.ANCHORARRAY(Sintesi!$C$14),1,$C57))*($E57&lt;INDEX(_xlfn.ANCHORARRAY(Sintesi!$C$16),1,$C57))*(INDEX(_xlfn.ANCHORARRAY(Sintesi!$C$15),1,$C57)&lt;0)+($E57&gt;=$E56)*($E57&lt;=$E58)*($E57&gt;INDEX(_xlfn.ANCHORARRAY(Sintesi!$C$15),1,$C57))*($E57&lt;INDEX(_xlfn.ANCHORARRAY(Sintesi!$C$16),1,$C57))*(INDEX(_xlfn.ANCHORARRAY(Sintesi!$C$15),1,$C57)&gt;0),2,IF($E57=(INDEX(_xlfn.ANCHORARRAY(Sintesi!$C$16),1,$C57)),3,4)))),0),IF($C57&gt;0,IF(($E57=INDEX(_xlfn.ANCHORARRAY(Sintesi!$C$14),1,$C57))*(INDEX(_xlfn.ANCHORARRAY(Sintesi!$C$15),1,$C57)&gt;0),0,IF(($E57=INDEX(_xlfn.ANCHORARRAY(Sintesi!$C$14),1,$C57))*(INDEX(_xlfn.ANCHORARRAY(Sintesi!$C$15),1,$C57)&lt;0)+($E57&gt;=LOOKUP(2,1/($E:$E&lt;&gt;""),$E:$E))*($E57&lt;=$E58)*($E57&gt;INDEX(_xlfn.ANCHORARRAY(Sintesi!$C$14),1,$C57))*($E57&lt;=INDEX(_xlfn.ANCHORARRAY(Sintesi!$C$15),1,$C57))*(INDEX(_xlfn.ANCHORARRAY(Sintesi!$C$15),1,$C57)&gt;0),1,IF(($E57&gt;=LOOKUP(2,1/($E:$E&lt;&gt;""),$E:$E))*($E57&lt;=$E58)*($E57&gt;INDEX(_xlfn.ANCHORARRAY(Sintesi!$C$14),1,$C57))*($E57&lt;INDEX(_xlfn.ANCHORARRAY(Sintesi!$C$16),1,$C57))*(INDEX(_xlfn.ANCHORARRAY(Sintesi!$C$15),1,$C57)&lt;0)+($E57&gt;=LOOKUP(2,1/($E:$E&lt;&gt;""),$E:$E))*($E57&lt;=$E58)*($E57&gt;INDEX(_xlfn.ANCHORARRAY(Sintesi!$C$15),1,$C57))*($E57&lt;INDEX(_xlfn.ANCHORARRAY(Sintesi!$C$16),1,$C57))*(INDEX(_xlfn.ANCHORARRAY(Sintesi!$C$15),1,$C57)&gt;0),2,IF($E57=(INDEX(_xlfn.ANCHORARRAY(Sintesi!$C$16),1,$C57)),3,4)))),0)))</f>
        <v>0</v>
      </c>
      <c r="E57" s="1">
        <f>'Paste cell here'!F57</f>
        <v>0</v>
      </c>
      <c r="F57" s="1">
        <f>'Paste cell here'!C57</f>
        <v>21.159999999999698</v>
      </c>
      <c r="G57" s="1">
        <f>'Paste cell here'!D57</f>
        <v>3.9199999999999648</v>
      </c>
      <c r="H57" s="1">
        <f>'Paste cell here'!E57</f>
        <v>1.5073654055460346</v>
      </c>
      <c r="I57" s="1">
        <f>'Paste cell here'!X57</f>
        <v>0</v>
      </c>
      <c r="J57" s="1">
        <f>'Paste cell here'!Y57+'Paste cell here'!S57</f>
        <v>0</v>
      </c>
      <c r="K57" s="1">
        <f t="shared" si="0"/>
        <v>0</v>
      </c>
      <c r="L57" s="1">
        <f t="shared" si="1"/>
        <v>14.909120224320835</v>
      </c>
      <c r="M57" s="1">
        <f t="array" ref="M57">IF(AND(A57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57&gt;=_xlfn.ANCHORARRAY(Sintesi!$C$9))+(_xlfn.ANCHORARRAY(Sintesi!$C$9)&gt;_xlfn.ANCHORARRAY(Sintesi!$C$10))*(A57&lt;=_xlfn.ANCHORARRAY(Sintesi!$C$10))+(_xlfn.ANCHORARRAY(Sintesi!$C$9)&lt;_xlfn.ANCHORARRAY(Sintesi!$C$10))*(A57&gt;=_xlfn.ANCHORARRAY(Sintesi!$C$9))*(A57&lt;=_xlfn.ANCHORARRAY(Sintesi!$C$10)),0)),0),A57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58&gt;=_xlfn.ANCHORARRAY(Sintesi!$C$9))+(_xlfn.ANCHORARRAY(Sintesi!$C$9)&gt;_xlfn.ANCHORARRAY(Sintesi!$C$10))*(A58&lt;=_xlfn.ANCHORARRAY(Sintesi!$C$10))+(_xlfn.ANCHORARRAY(Sintesi!$C$9)&lt;_xlfn.ANCHORARRAY(Sintesi!$C$10))*(A58&gt;=_xlfn.ANCHORARRAY(Sintesi!$C$9))*(A58&lt;=_xlfn.ANCHORARRAY(Sintesi!$C$10)),0)),0)),IF(L57&lt;_xlfn.IFNA(INDEX(_xlfn.ANCHORARRAY(Sintesi!$C$17),1,MATCH(1,(_xlfn.ANCHORARRAY(Sintesi!$C$9)&gt;_xlfn.ANCHORARRAY(Sintesi!$C$10))*(A56&gt;=_xlfn.ANCHORARRAY(Sintesi!$C$9))+(_xlfn.ANCHORARRAY(Sintesi!$C$9)&gt;_xlfn.ANCHORARRAY(Sintesi!$C$10))*(A56&lt;=_xlfn.ANCHORARRAY(Sintesi!$C$10))+(_xlfn.ANCHORARRAY(Sintesi!$C$9)&lt;_xlfn.ANCHORARRAY(Sintesi!$C$10))*(A56&gt;=_xlfn.ANCHORARRAY(Sintesi!$C$9))*(A56&lt;=_xlfn.ANCHORARRAY(Sintesi!$C$10)),0)),0),1,IF(L57&gt;=_xlfn.IFNA(INDEX(_xlfn.ANCHORARRAY(Sintesi!$C$18),1,MATCH(1,(_xlfn.ANCHORARRAY(Sintesi!$C$9)&gt;_xlfn.ANCHORARRAY(Sintesi!$C$10))*(A56&gt;=_xlfn.ANCHORARRAY(Sintesi!$C$9))+(_xlfn.ANCHORARRAY(Sintesi!$C$9)&gt;_xlfn.ANCHORARRAY(Sintesi!$C$10))*(A56&lt;=_xlfn.ANCHORARRAY(Sintesi!$C$10))+(_xlfn.ANCHORARRAY(Sintesi!$C$9)&lt;_xlfn.ANCHORARRAY(Sintesi!$C$10))*(A56&gt;=_xlfn.ANCHORARRAY(Sintesi!$C$9))*(A56&lt;=_xlfn.ANCHORARRAY(Sintesi!$C$10)),0)),0),0,1-(L57-_xlfn.IFNA(INDEX(_xlfn.ANCHORARRAY(Sintesi!$C$17),1,MATCH(1,(_xlfn.ANCHORARRAY(Sintesi!$C$9)&gt;_xlfn.ANCHORARRAY(Sintesi!$C$10))*(A56&gt;=_xlfn.ANCHORARRAY(Sintesi!$C$9))+(_xlfn.ANCHORARRAY(Sintesi!$C$9)&gt;_xlfn.ANCHORARRAY(Sintesi!$C$10))*(A56&lt;=_xlfn.ANCHORARRAY(Sintesi!$C$10))+(_xlfn.ANCHORARRAY(Sintesi!$C$9)&lt;_xlfn.ANCHORARRAY(Sintesi!$C$10))*(A56&gt;=_xlfn.ANCHORARRAY(Sintesi!$C$9))*(A56&lt;=_xlfn.ANCHORARRAY(Sintesi!$C$10)),0)),0))/(_xlfn.IFNA(INDEX(_xlfn.ANCHORARRAY(Sintesi!$C$18),1,MATCH(1,(_xlfn.ANCHORARRAY(Sintesi!$C$9)&gt;_xlfn.ANCHORARRAY(Sintesi!$C$10))*(A56&gt;=_xlfn.ANCHORARRAY(Sintesi!$C$9))+(_xlfn.ANCHORARRAY(Sintesi!$C$9)&gt;_xlfn.ANCHORARRAY(Sintesi!$C$10))*(A56&lt;=_xlfn.ANCHORARRAY(Sintesi!$C$10))+(_xlfn.ANCHORARRAY(Sintesi!$C$9)&lt;_xlfn.ANCHORARRAY(Sintesi!$C$10))*(A56&gt;=_xlfn.ANCHORARRAY(Sintesi!$C$9))*(A56&lt;=_xlfn.ANCHORARRAY(Sintesi!$C$10)),0)),0)-_xlfn.IFNA(INDEX(_xlfn.ANCHORARRAY(Sintesi!$C$17),1,MATCH(1,(_xlfn.ANCHORARRAY(Sintesi!$C$9)&gt;_xlfn.ANCHORARRAY(Sintesi!$C$10))*(A56&gt;=_xlfn.ANCHORARRAY(Sintesi!$C$9))+(_xlfn.ANCHORARRAY(Sintesi!$C$9)&gt;_xlfn.ANCHORARRAY(Sintesi!$C$10))*(A56&lt;=_xlfn.ANCHORARRAY(Sintesi!$C$10))+(_xlfn.ANCHORARRAY(Sintesi!$C$9)&lt;_xlfn.ANCHORARRAY(Sintesi!$C$10))*(A56&gt;=_xlfn.ANCHORARRAY(Sintesi!$C$9))*(A56&lt;=_xlfn.ANCHORARRAY(Sintesi!$C$10)),0)),0)))),0)</f>
        <v>0</v>
      </c>
    </row>
    <row r="58" spans="1:13">
      <c r="A58" s="1">
        <f>'Paste cell here'!A58</f>
        <v>57</v>
      </c>
      <c r="B58" s="2">
        <f>DATE(Sintesi!$C$4-1,12,31)+A58</f>
        <v>44253</v>
      </c>
      <c r="C58" s="34">
        <f t="array" ref="C58">_xlfn.IFNA(MATCH(1,((_xlfn.ANCHORARRAY(Sintesi!$C$9)&gt;_xlfn.ANCHORARRAY(Sintesi!$C$10))*(A58&gt;=_xlfn.ANCHORARRAY(Sintesi!$C$9))+(_xlfn.ANCHORARRAY(Sintesi!$C$9)&gt;_xlfn.ANCHORARRAY(Sintesi!$C$10))*(A58&lt;=_xlfn.ANCHORARRAY(Sintesi!$C$10))+(_xlfn.ANCHORARRAY(Sintesi!$C$9)&lt;_xlfn.ANCHORARRAY(Sintesi!$C$10))*(A58&gt;=_xlfn.ANCHORARRAY(Sintesi!$C$9))*(A58&lt;=_xlfn.ANCHORARRAY(Sintesi!$C$10)))*(_xlfn.ANCHORARRAY(Sintesi!$C$15)&gt;=0)+(_xlfn.ANCHORARRAY(Sintesi!$C$15)&lt;0),0),0)</f>
        <v>0</v>
      </c>
      <c r="D58" s="1">
        <f t="array" ref="D58">IF(ISBLANK($E59),IF(ISNUMBER($E57),IF($C58&gt;0,IF(($E58=INDEX(_xlfn.ANCHORARRAY(Sintesi!$C$14),1,$C58))*(INDEX(_xlfn.ANCHORARRAY(Sintesi!$C$15),1,$C58)&gt;0),0,IF(($E58=INDEX(_xlfn.ANCHORARRAY(Sintesi!$C$14),1,$C58))*(INDEX(_xlfn.ANCHORARRAY(Sintesi!$C$15),1,$C58)&lt;0)+($E58&gt;=$E57)*($E58&lt;=INDEX($E:$E,MATCH(TRUE,INDEX((ISNUMBER($E:$E)),0),0)))*($E58&gt;INDEX(_xlfn.ANCHORARRAY(Sintesi!$C$14),1,$C58))*($E58&lt;=INDEX(_xlfn.ANCHORARRAY(Sintesi!$C$15),1,$C58))*(INDEX(_xlfn.ANCHORARRAY(Sintesi!$C$15),1,$C58)&gt;0),1,IF(($E58&gt;=$E57)*($E58&lt;=INDEX($E:$E,MATCH(TRUE,INDEX((ISNUMBER($E:$E)),0),0)))*($E58&gt;INDEX(_xlfn.ANCHORARRAY(Sintesi!$C$14),1,$C58))*($E58&lt;INDEX(_xlfn.ANCHORARRAY(Sintesi!$C$16),1,$C58))*(INDEX(_xlfn.ANCHORARRAY(Sintesi!$C$15),1,$C58)&lt;0)+($E58&gt;=$E57)*($E58&lt;=INDEX($E:$E,MATCH(TRUE,INDEX((ISNUMBER($E:$E)),0),0)))*($E58&gt;INDEX(_xlfn.ANCHORARRAY(Sintesi!$C$15),1,$C58))*($E58&lt;INDEX(_xlfn.ANCHORARRAY(Sintesi!$C$16),1,$C58))*(INDEX(_xlfn.ANCHORARRAY(Sintesi!$C$15),1,$C58)&gt;0),2,IF($E58=(INDEX(_xlfn.ANCHORARRAY(Sintesi!$C$16),1,$C58)),3,4)))),0),IF($C58&gt;0,IF(($E58=INDEX(_xlfn.ANCHORARRAY(Sintesi!$C$14),1,$C58))*(INDEX(_xlfn.ANCHORARRAY(Sintesi!$C$15),1,$C58)&gt;0),0,IF(($E58=INDEX(_xlfn.ANCHORARRAY(Sintesi!$C$14),1,$C58))*(INDEX(_xlfn.ANCHORARRAY(Sintesi!$C$15),1,$C58)&lt;0)+($E58&gt;=LOOKUP(2,1/($E:$E&lt;&gt;""),$E:$E))*($E58&lt;=INDEX($E:$E,MATCH(TRUE,INDEX((ISNUMBER($E:$E)),0),0)))*($E58&gt;INDEX(_xlfn.ANCHORARRAY(Sintesi!$C$14),1,$C58))*($E58&lt;=INDEX(_xlfn.ANCHORARRAY(Sintesi!$C$15),1,$C58))*(INDEX(_xlfn.ANCHORARRAY(Sintesi!$C$15),1,$C58)&gt;0),1,IF(($E58&gt;=LOOKUP(2,1/($E:$E&lt;&gt;""),$E:$E))*($E58&lt;=INDEX($E:$E,MATCH(TRUE,INDEX((ISNUMBER($E:$E)),0),0)))*($E58&gt;INDEX(_xlfn.ANCHORARRAY(Sintesi!$C$14),1,$C58))*($E58&lt;INDEX(_xlfn.ANCHORARRAY(Sintesi!$C$16),1,$C58))*(INDEX(_xlfn.ANCHORARRAY(Sintesi!$C$15),1,$C58)&lt;0)+($E58&gt;=LOOKUP(2,1/($E:$E&lt;&gt;""),$E:$E))*($E58&lt;=INDEX($E:$E,MATCH(TRUE,INDEX((ISNUMBER($E:$E)),0),0)))*($E58&gt;INDEX(_xlfn.ANCHORARRAY(Sintesi!$C$15),1,$C58))*($E58&lt;INDEX(_xlfn.ANCHORARRAY(Sintesi!$C$16),1,$C58))*(INDEX(_xlfn.ANCHORARRAY(Sintesi!$C$15),1,$C58)&gt;0),2,IF($E58=(INDEX(_xlfn.ANCHORARRAY(Sintesi!$C$16),1,$C58)),3,4)))),0)),IF(ISNUMBER($E57),IF($C58&gt;0,IF(($E58=INDEX(_xlfn.ANCHORARRAY(Sintesi!$C$14),1,$C58))*(INDEX(_xlfn.ANCHORARRAY(Sintesi!$C$15),1,$C58)&gt;0),0,IF(($E58=INDEX(_xlfn.ANCHORARRAY(Sintesi!$C$14),1,$C58))*(INDEX(_xlfn.ANCHORARRAY(Sintesi!$C$15),1,$C58)&lt;0)+($E58&gt;=$E57)*($E58&lt;=$E59)*($E58&gt;INDEX(_xlfn.ANCHORARRAY(Sintesi!$C$14),1,$C58))*($E58&lt;=INDEX(_xlfn.ANCHORARRAY(Sintesi!$C$15),1,$C58))*(INDEX(_xlfn.ANCHORARRAY(Sintesi!$C$15),1,$C58)&gt;0),1,IF(($E58&gt;=$E57)*($E58&lt;=$E59)*($E58&gt;INDEX(_xlfn.ANCHORARRAY(Sintesi!$C$14),1,$C58))*($E58&lt;INDEX(_xlfn.ANCHORARRAY(Sintesi!$C$16),1,$C58))*(INDEX(_xlfn.ANCHORARRAY(Sintesi!$C$15),1,$C58)&lt;0)+($E58&gt;=$E57)*($E58&lt;=$E59)*($E58&gt;INDEX(_xlfn.ANCHORARRAY(Sintesi!$C$15),1,$C58))*($E58&lt;INDEX(_xlfn.ANCHORARRAY(Sintesi!$C$16),1,$C58))*(INDEX(_xlfn.ANCHORARRAY(Sintesi!$C$15),1,$C58)&gt;0),2,IF($E58=(INDEX(_xlfn.ANCHORARRAY(Sintesi!$C$16),1,$C58)),3,4)))),0),IF($C58&gt;0,IF(($E58=INDEX(_xlfn.ANCHORARRAY(Sintesi!$C$14),1,$C58))*(INDEX(_xlfn.ANCHORARRAY(Sintesi!$C$15),1,$C58)&gt;0),0,IF(($E58=INDEX(_xlfn.ANCHORARRAY(Sintesi!$C$14),1,$C58))*(INDEX(_xlfn.ANCHORARRAY(Sintesi!$C$15),1,$C58)&lt;0)+($E58&gt;=LOOKUP(2,1/($E:$E&lt;&gt;""),$E:$E))*($E58&lt;=$E59)*($E58&gt;INDEX(_xlfn.ANCHORARRAY(Sintesi!$C$14),1,$C58))*($E58&lt;=INDEX(_xlfn.ANCHORARRAY(Sintesi!$C$15),1,$C58))*(INDEX(_xlfn.ANCHORARRAY(Sintesi!$C$15),1,$C58)&gt;0),1,IF(($E58&gt;=LOOKUP(2,1/($E:$E&lt;&gt;""),$E:$E))*($E58&lt;=$E59)*($E58&gt;INDEX(_xlfn.ANCHORARRAY(Sintesi!$C$14),1,$C58))*($E58&lt;INDEX(_xlfn.ANCHORARRAY(Sintesi!$C$16),1,$C58))*(INDEX(_xlfn.ANCHORARRAY(Sintesi!$C$15),1,$C58)&lt;0)+($E58&gt;=LOOKUP(2,1/($E:$E&lt;&gt;""),$E:$E))*($E58&lt;=$E59)*($E58&gt;INDEX(_xlfn.ANCHORARRAY(Sintesi!$C$15),1,$C58))*($E58&lt;INDEX(_xlfn.ANCHORARRAY(Sintesi!$C$16),1,$C58))*(INDEX(_xlfn.ANCHORARRAY(Sintesi!$C$15),1,$C58)&gt;0),2,IF($E58=(INDEX(_xlfn.ANCHORARRAY(Sintesi!$C$16),1,$C58)),3,4)))),0)))</f>
        <v>0</v>
      </c>
      <c r="E58" s="1">
        <f>'Paste cell here'!F58</f>
        <v>0</v>
      </c>
      <c r="F58" s="1">
        <f>'Paste cell here'!C58</f>
        <v>20.739999999999704</v>
      </c>
      <c r="G58" s="1">
        <f>'Paste cell here'!D58</f>
        <v>4.5799999999999566</v>
      </c>
      <c r="H58" s="1">
        <f>'Paste cell here'!E58</f>
        <v>1.569098707826925</v>
      </c>
      <c r="I58" s="1">
        <f>'Paste cell here'!X58</f>
        <v>0</v>
      </c>
      <c r="J58" s="1">
        <f>'Paste cell here'!Y58+'Paste cell here'!S58</f>
        <v>0</v>
      </c>
      <c r="K58" s="1">
        <f t="shared" si="0"/>
        <v>0</v>
      </c>
      <c r="L58" s="1">
        <f t="shared" si="1"/>
        <v>14.880706660384252</v>
      </c>
      <c r="M58" s="1">
        <f t="array" ref="M58">IF(AND(A58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58&gt;=_xlfn.ANCHORARRAY(Sintesi!$C$9))+(_xlfn.ANCHORARRAY(Sintesi!$C$9)&gt;_xlfn.ANCHORARRAY(Sintesi!$C$10))*(A58&lt;=_xlfn.ANCHORARRAY(Sintesi!$C$10))+(_xlfn.ANCHORARRAY(Sintesi!$C$9)&lt;_xlfn.ANCHORARRAY(Sintesi!$C$10))*(A58&gt;=_xlfn.ANCHORARRAY(Sintesi!$C$9))*(A58&lt;=_xlfn.ANCHORARRAY(Sintesi!$C$10)),0)),0),A58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59&gt;=_xlfn.ANCHORARRAY(Sintesi!$C$9))+(_xlfn.ANCHORARRAY(Sintesi!$C$9)&gt;_xlfn.ANCHORARRAY(Sintesi!$C$10))*(A59&lt;=_xlfn.ANCHORARRAY(Sintesi!$C$10))+(_xlfn.ANCHORARRAY(Sintesi!$C$9)&lt;_xlfn.ANCHORARRAY(Sintesi!$C$10))*(A59&gt;=_xlfn.ANCHORARRAY(Sintesi!$C$9))*(A59&lt;=_xlfn.ANCHORARRAY(Sintesi!$C$10)),0)),0)),IF(L58&lt;_xlfn.IFNA(INDEX(_xlfn.ANCHORARRAY(Sintesi!$C$17),1,MATCH(1,(_xlfn.ANCHORARRAY(Sintesi!$C$9)&gt;_xlfn.ANCHORARRAY(Sintesi!$C$10))*(A57&gt;=_xlfn.ANCHORARRAY(Sintesi!$C$9))+(_xlfn.ANCHORARRAY(Sintesi!$C$9)&gt;_xlfn.ANCHORARRAY(Sintesi!$C$10))*(A57&lt;=_xlfn.ANCHORARRAY(Sintesi!$C$10))+(_xlfn.ANCHORARRAY(Sintesi!$C$9)&lt;_xlfn.ANCHORARRAY(Sintesi!$C$10))*(A57&gt;=_xlfn.ANCHORARRAY(Sintesi!$C$9))*(A57&lt;=_xlfn.ANCHORARRAY(Sintesi!$C$10)),0)),0),1,IF(L58&gt;=_xlfn.IFNA(INDEX(_xlfn.ANCHORARRAY(Sintesi!$C$18),1,MATCH(1,(_xlfn.ANCHORARRAY(Sintesi!$C$9)&gt;_xlfn.ANCHORARRAY(Sintesi!$C$10))*(A57&gt;=_xlfn.ANCHORARRAY(Sintesi!$C$9))+(_xlfn.ANCHORARRAY(Sintesi!$C$9)&gt;_xlfn.ANCHORARRAY(Sintesi!$C$10))*(A57&lt;=_xlfn.ANCHORARRAY(Sintesi!$C$10))+(_xlfn.ANCHORARRAY(Sintesi!$C$9)&lt;_xlfn.ANCHORARRAY(Sintesi!$C$10))*(A57&gt;=_xlfn.ANCHORARRAY(Sintesi!$C$9))*(A57&lt;=_xlfn.ANCHORARRAY(Sintesi!$C$10)),0)),0),0,1-(L58-_xlfn.IFNA(INDEX(_xlfn.ANCHORARRAY(Sintesi!$C$17),1,MATCH(1,(_xlfn.ANCHORARRAY(Sintesi!$C$9)&gt;_xlfn.ANCHORARRAY(Sintesi!$C$10))*(A57&gt;=_xlfn.ANCHORARRAY(Sintesi!$C$9))+(_xlfn.ANCHORARRAY(Sintesi!$C$9)&gt;_xlfn.ANCHORARRAY(Sintesi!$C$10))*(A57&lt;=_xlfn.ANCHORARRAY(Sintesi!$C$10))+(_xlfn.ANCHORARRAY(Sintesi!$C$9)&lt;_xlfn.ANCHORARRAY(Sintesi!$C$10))*(A57&gt;=_xlfn.ANCHORARRAY(Sintesi!$C$9))*(A57&lt;=_xlfn.ANCHORARRAY(Sintesi!$C$10)),0)),0))/(_xlfn.IFNA(INDEX(_xlfn.ANCHORARRAY(Sintesi!$C$18),1,MATCH(1,(_xlfn.ANCHORARRAY(Sintesi!$C$9)&gt;_xlfn.ANCHORARRAY(Sintesi!$C$10))*(A57&gt;=_xlfn.ANCHORARRAY(Sintesi!$C$9))+(_xlfn.ANCHORARRAY(Sintesi!$C$9)&gt;_xlfn.ANCHORARRAY(Sintesi!$C$10))*(A57&lt;=_xlfn.ANCHORARRAY(Sintesi!$C$10))+(_xlfn.ANCHORARRAY(Sintesi!$C$9)&lt;_xlfn.ANCHORARRAY(Sintesi!$C$10))*(A57&gt;=_xlfn.ANCHORARRAY(Sintesi!$C$9))*(A57&lt;=_xlfn.ANCHORARRAY(Sintesi!$C$10)),0)),0)-_xlfn.IFNA(INDEX(_xlfn.ANCHORARRAY(Sintesi!$C$17),1,MATCH(1,(_xlfn.ANCHORARRAY(Sintesi!$C$9)&gt;_xlfn.ANCHORARRAY(Sintesi!$C$10))*(A57&gt;=_xlfn.ANCHORARRAY(Sintesi!$C$9))+(_xlfn.ANCHORARRAY(Sintesi!$C$9)&gt;_xlfn.ANCHORARRAY(Sintesi!$C$10))*(A57&lt;=_xlfn.ANCHORARRAY(Sintesi!$C$10))+(_xlfn.ANCHORARRAY(Sintesi!$C$9)&lt;_xlfn.ANCHORARRAY(Sintesi!$C$10))*(A57&gt;=_xlfn.ANCHORARRAY(Sintesi!$C$9))*(A57&lt;=_xlfn.ANCHORARRAY(Sintesi!$C$10)),0)),0)))),0)</f>
        <v>0</v>
      </c>
    </row>
    <row r="59" spans="1:13">
      <c r="A59" s="1">
        <f>'Paste cell here'!A59</f>
        <v>58</v>
      </c>
      <c r="B59" s="2">
        <f>DATE(Sintesi!$C$4-1,12,31)+A59</f>
        <v>44254</v>
      </c>
      <c r="C59" s="34">
        <f t="array" ref="C59">_xlfn.IFNA(MATCH(1,((_xlfn.ANCHORARRAY(Sintesi!$C$9)&gt;_xlfn.ANCHORARRAY(Sintesi!$C$10))*(A59&gt;=_xlfn.ANCHORARRAY(Sintesi!$C$9))+(_xlfn.ANCHORARRAY(Sintesi!$C$9)&gt;_xlfn.ANCHORARRAY(Sintesi!$C$10))*(A59&lt;=_xlfn.ANCHORARRAY(Sintesi!$C$10))+(_xlfn.ANCHORARRAY(Sintesi!$C$9)&lt;_xlfn.ANCHORARRAY(Sintesi!$C$10))*(A59&gt;=_xlfn.ANCHORARRAY(Sintesi!$C$9))*(A59&lt;=_xlfn.ANCHORARRAY(Sintesi!$C$10)))*(_xlfn.ANCHORARRAY(Sintesi!$C$15)&gt;=0)+(_xlfn.ANCHORARRAY(Sintesi!$C$15)&lt;0),0),0)</f>
        <v>0</v>
      </c>
      <c r="D59" s="1">
        <f t="array" ref="D59">IF(ISBLANK($E60),IF(ISNUMBER($E58),IF($C59&gt;0,IF(($E59=INDEX(_xlfn.ANCHORARRAY(Sintesi!$C$14),1,$C59))*(INDEX(_xlfn.ANCHORARRAY(Sintesi!$C$15),1,$C59)&gt;0),0,IF(($E59=INDEX(_xlfn.ANCHORARRAY(Sintesi!$C$14),1,$C59))*(INDEX(_xlfn.ANCHORARRAY(Sintesi!$C$15),1,$C59)&lt;0)+($E59&gt;=$E58)*($E59&lt;=INDEX($E:$E,MATCH(TRUE,INDEX((ISNUMBER($E:$E)),0),0)))*($E59&gt;INDEX(_xlfn.ANCHORARRAY(Sintesi!$C$14),1,$C59))*($E59&lt;=INDEX(_xlfn.ANCHORARRAY(Sintesi!$C$15),1,$C59))*(INDEX(_xlfn.ANCHORARRAY(Sintesi!$C$15),1,$C59)&gt;0),1,IF(($E59&gt;=$E58)*($E59&lt;=INDEX($E:$E,MATCH(TRUE,INDEX((ISNUMBER($E:$E)),0),0)))*($E59&gt;INDEX(_xlfn.ANCHORARRAY(Sintesi!$C$14),1,$C59))*($E59&lt;INDEX(_xlfn.ANCHORARRAY(Sintesi!$C$16),1,$C59))*(INDEX(_xlfn.ANCHORARRAY(Sintesi!$C$15),1,$C59)&lt;0)+($E59&gt;=$E58)*($E59&lt;=INDEX($E:$E,MATCH(TRUE,INDEX((ISNUMBER($E:$E)),0),0)))*($E59&gt;INDEX(_xlfn.ANCHORARRAY(Sintesi!$C$15),1,$C59))*($E59&lt;INDEX(_xlfn.ANCHORARRAY(Sintesi!$C$16),1,$C59))*(INDEX(_xlfn.ANCHORARRAY(Sintesi!$C$15),1,$C59)&gt;0),2,IF($E59=(INDEX(_xlfn.ANCHORARRAY(Sintesi!$C$16),1,$C59)),3,4)))),0),IF($C59&gt;0,IF(($E59=INDEX(_xlfn.ANCHORARRAY(Sintesi!$C$14),1,$C59))*(INDEX(_xlfn.ANCHORARRAY(Sintesi!$C$15),1,$C59)&gt;0),0,IF(($E59=INDEX(_xlfn.ANCHORARRAY(Sintesi!$C$14),1,$C59))*(INDEX(_xlfn.ANCHORARRAY(Sintesi!$C$15),1,$C59)&lt;0)+($E59&gt;=LOOKUP(2,1/($E:$E&lt;&gt;""),$E:$E))*($E59&lt;=INDEX($E:$E,MATCH(TRUE,INDEX((ISNUMBER($E:$E)),0),0)))*($E59&gt;INDEX(_xlfn.ANCHORARRAY(Sintesi!$C$14),1,$C59))*($E59&lt;=INDEX(_xlfn.ANCHORARRAY(Sintesi!$C$15),1,$C59))*(INDEX(_xlfn.ANCHORARRAY(Sintesi!$C$15),1,$C59)&gt;0),1,IF(($E59&gt;=LOOKUP(2,1/($E:$E&lt;&gt;""),$E:$E))*($E59&lt;=INDEX($E:$E,MATCH(TRUE,INDEX((ISNUMBER($E:$E)),0),0)))*($E59&gt;INDEX(_xlfn.ANCHORARRAY(Sintesi!$C$14),1,$C59))*($E59&lt;INDEX(_xlfn.ANCHORARRAY(Sintesi!$C$16),1,$C59))*(INDEX(_xlfn.ANCHORARRAY(Sintesi!$C$15),1,$C59)&lt;0)+($E59&gt;=LOOKUP(2,1/($E:$E&lt;&gt;""),$E:$E))*($E59&lt;=INDEX($E:$E,MATCH(TRUE,INDEX((ISNUMBER($E:$E)),0),0)))*($E59&gt;INDEX(_xlfn.ANCHORARRAY(Sintesi!$C$15),1,$C59))*($E59&lt;INDEX(_xlfn.ANCHORARRAY(Sintesi!$C$16),1,$C59))*(INDEX(_xlfn.ANCHORARRAY(Sintesi!$C$15),1,$C59)&gt;0),2,IF($E59=(INDEX(_xlfn.ANCHORARRAY(Sintesi!$C$16),1,$C59)),3,4)))),0)),IF(ISNUMBER($E58),IF($C59&gt;0,IF(($E59=INDEX(_xlfn.ANCHORARRAY(Sintesi!$C$14),1,$C59))*(INDEX(_xlfn.ANCHORARRAY(Sintesi!$C$15),1,$C59)&gt;0),0,IF(($E59=INDEX(_xlfn.ANCHORARRAY(Sintesi!$C$14),1,$C59))*(INDEX(_xlfn.ANCHORARRAY(Sintesi!$C$15),1,$C59)&lt;0)+($E59&gt;=$E58)*($E59&lt;=$E60)*($E59&gt;INDEX(_xlfn.ANCHORARRAY(Sintesi!$C$14),1,$C59))*($E59&lt;=INDEX(_xlfn.ANCHORARRAY(Sintesi!$C$15),1,$C59))*(INDEX(_xlfn.ANCHORARRAY(Sintesi!$C$15),1,$C59)&gt;0),1,IF(($E59&gt;=$E58)*($E59&lt;=$E60)*($E59&gt;INDEX(_xlfn.ANCHORARRAY(Sintesi!$C$14),1,$C59))*($E59&lt;INDEX(_xlfn.ANCHORARRAY(Sintesi!$C$16),1,$C59))*(INDEX(_xlfn.ANCHORARRAY(Sintesi!$C$15),1,$C59)&lt;0)+($E59&gt;=$E58)*($E59&lt;=$E60)*($E59&gt;INDEX(_xlfn.ANCHORARRAY(Sintesi!$C$15),1,$C59))*($E59&lt;INDEX(_xlfn.ANCHORARRAY(Sintesi!$C$16),1,$C59))*(INDEX(_xlfn.ANCHORARRAY(Sintesi!$C$15),1,$C59)&gt;0),2,IF($E59=(INDEX(_xlfn.ANCHORARRAY(Sintesi!$C$16),1,$C59)),3,4)))),0),IF($C59&gt;0,IF(($E59=INDEX(_xlfn.ANCHORARRAY(Sintesi!$C$14),1,$C59))*(INDEX(_xlfn.ANCHORARRAY(Sintesi!$C$15),1,$C59)&gt;0),0,IF(($E59=INDEX(_xlfn.ANCHORARRAY(Sintesi!$C$14),1,$C59))*(INDEX(_xlfn.ANCHORARRAY(Sintesi!$C$15),1,$C59)&lt;0)+($E59&gt;=LOOKUP(2,1/($E:$E&lt;&gt;""),$E:$E))*($E59&lt;=$E60)*($E59&gt;INDEX(_xlfn.ANCHORARRAY(Sintesi!$C$14),1,$C59))*($E59&lt;=INDEX(_xlfn.ANCHORARRAY(Sintesi!$C$15),1,$C59))*(INDEX(_xlfn.ANCHORARRAY(Sintesi!$C$15),1,$C59)&gt;0),1,IF(($E59&gt;=LOOKUP(2,1/($E:$E&lt;&gt;""),$E:$E))*($E59&lt;=$E60)*($E59&gt;INDEX(_xlfn.ANCHORARRAY(Sintesi!$C$14),1,$C59))*($E59&lt;INDEX(_xlfn.ANCHORARRAY(Sintesi!$C$16),1,$C59))*(INDEX(_xlfn.ANCHORARRAY(Sintesi!$C$15),1,$C59)&lt;0)+($E59&gt;=LOOKUP(2,1/($E:$E&lt;&gt;""),$E:$E))*($E59&lt;=$E60)*($E59&gt;INDEX(_xlfn.ANCHORARRAY(Sintesi!$C$15),1,$C59))*($E59&lt;INDEX(_xlfn.ANCHORARRAY(Sintesi!$C$16),1,$C59))*(INDEX(_xlfn.ANCHORARRAY(Sintesi!$C$15),1,$C59)&gt;0),2,IF($E59=(INDEX(_xlfn.ANCHORARRAY(Sintesi!$C$16),1,$C59)),3,4)))),0)))</f>
        <v>0</v>
      </c>
      <c r="E59" s="1">
        <f>'Paste cell here'!F59</f>
        <v>0</v>
      </c>
      <c r="F59" s="1">
        <f>'Paste cell here'!C59</f>
        <v>18.879999999999722</v>
      </c>
      <c r="G59" s="1">
        <f>'Paste cell here'!D59</f>
        <v>6.2399999999999354</v>
      </c>
      <c r="H59" s="1">
        <f>'Paste cell here'!E59</f>
        <v>1.8222778279345344</v>
      </c>
      <c r="I59" s="1">
        <f>'Paste cell here'!X59</f>
        <v>0</v>
      </c>
      <c r="J59" s="1">
        <f>'Paste cell here'!Y59+'Paste cell here'!S59</f>
        <v>0</v>
      </c>
      <c r="K59" s="1">
        <f t="shared" si="0"/>
        <v>0</v>
      </c>
      <c r="L59" s="1">
        <f t="shared" si="1"/>
        <v>14.296988377924276</v>
      </c>
      <c r="M59" s="1">
        <f t="array" ref="M59">IF(AND(A59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59&gt;=_xlfn.ANCHORARRAY(Sintesi!$C$9))+(_xlfn.ANCHORARRAY(Sintesi!$C$9)&gt;_xlfn.ANCHORARRAY(Sintesi!$C$10))*(A59&lt;=_xlfn.ANCHORARRAY(Sintesi!$C$10))+(_xlfn.ANCHORARRAY(Sintesi!$C$9)&lt;_xlfn.ANCHORARRAY(Sintesi!$C$10))*(A59&gt;=_xlfn.ANCHORARRAY(Sintesi!$C$9))*(A59&lt;=_xlfn.ANCHORARRAY(Sintesi!$C$10)),0)),0),A59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60&gt;=_xlfn.ANCHORARRAY(Sintesi!$C$9))+(_xlfn.ANCHORARRAY(Sintesi!$C$9)&gt;_xlfn.ANCHORARRAY(Sintesi!$C$10))*(A60&lt;=_xlfn.ANCHORARRAY(Sintesi!$C$10))+(_xlfn.ANCHORARRAY(Sintesi!$C$9)&lt;_xlfn.ANCHORARRAY(Sintesi!$C$10))*(A60&gt;=_xlfn.ANCHORARRAY(Sintesi!$C$9))*(A60&lt;=_xlfn.ANCHORARRAY(Sintesi!$C$10)),0)),0)),IF(L59&lt;_xlfn.IFNA(INDEX(_xlfn.ANCHORARRAY(Sintesi!$C$17),1,MATCH(1,(_xlfn.ANCHORARRAY(Sintesi!$C$9)&gt;_xlfn.ANCHORARRAY(Sintesi!$C$10))*(A58&gt;=_xlfn.ANCHORARRAY(Sintesi!$C$9))+(_xlfn.ANCHORARRAY(Sintesi!$C$9)&gt;_xlfn.ANCHORARRAY(Sintesi!$C$10))*(A58&lt;=_xlfn.ANCHORARRAY(Sintesi!$C$10))+(_xlfn.ANCHORARRAY(Sintesi!$C$9)&lt;_xlfn.ANCHORARRAY(Sintesi!$C$10))*(A58&gt;=_xlfn.ANCHORARRAY(Sintesi!$C$9))*(A58&lt;=_xlfn.ANCHORARRAY(Sintesi!$C$10)),0)),0),1,IF(L59&gt;=_xlfn.IFNA(INDEX(_xlfn.ANCHORARRAY(Sintesi!$C$18),1,MATCH(1,(_xlfn.ANCHORARRAY(Sintesi!$C$9)&gt;_xlfn.ANCHORARRAY(Sintesi!$C$10))*(A58&gt;=_xlfn.ANCHORARRAY(Sintesi!$C$9))+(_xlfn.ANCHORARRAY(Sintesi!$C$9)&gt;_xlfn.ANCHORARRAY(Sintesi!$C$10))*(A58&lt;=_xlfn.ANCHORARRAY(Sintesi!$C$10))+(_xlfn.ANCHORARRAY(Sintesi!$C$9)&lt;_xlfn.ANCHORARRAY(Sintesi!$C$10))*(A58&gt;=_xlfn.ANCHORARRAY(Sintesi!$C$9))*(A58&lt;=_xlfn.ANCHORARRAY(Sintesi!$C$10)),0)),0),0,1-(L59-_xlfn.IFNA(INDEX(_xlfn.ANCHORARRAY(Sintesi!$C$17),1,MATCH(1,(_xlfn.ANCHORARRAY(Sintesi!$C$9)&gt;_xlfn.ANCHORARRAY(Sintesi!$C$10))*(A58&gt;=_xlfn.ANCHORARRAY(Sintesi!$C$9))+(_xlfn.ANCHORARRAY(Sintesi!$C$9)&gt;_xlfn.ANCHORARRAY(Sintesi!$C$10))*(A58&lt;=_xlfn.ANCHORARRAY(Sintesi!$C$10))+(_xlfn.ANCHORARRAY(Sintesi!$C$9)&lt;_xlfn.ANCHORARRAY(Sintesi!$C$10))*(A58&gt;=_xlfn.ANCHORARRAY(Sintesi!$C$9))*(A58&lt;=_xlfn.ANCHORARRAY(Sintesi!$C$10)),0)),0))/(_xlfn.IFNA(INDEX(_xlfn.ANCHORARRAY(Sintesi!$C$18),1,MATCH(1,(_xlfn.ANCHORARRAY(Sintesi!$C$9)&gt;_xlfn.ANCHORARRAY(Sintesi!$C$10))*(A58&gt;=_xlfn.ANCHORARRAY(Sintesi!$C$9))+(_xlfn.ANCHORARRAY(Sintesi!$C$9)&gt;_xlfn.ANCHORARRAY(Sintesi!$C$10))*(A58&lt;=_xlfn.ANCHORARRAY(Sintesi!$C$10))+(_xlfn.ANCHORARRAY(Sintesi!$C$9)&lt;_xlfn.ANCHORARRAY(Sintesi!$C$10))*(A58&gt;=_xlfn.ANCHORARRAY(Sintesi!$C$9))*(A58&lt;=_xlfn.ANCHORARRAY(Sintesi!$C$10)),0)),0)-_xlfn.IFNA(INDEX(_xlfn.ANCHORARRAY(Sintesi!$C$17),1,MATCH(1,(_xlfn.ANCHORARRAY(Sintesi!$C$9)&gt;_xlfn.ANCHORARRAY(Sintesi!$C$10))*(A58&gt;=_xlfn.ANCHORARRAY(Sintesi!$C$9))+(_xlfn.ANCHORARRAY(Sintesi!$C$9)&gt;_xlfn.ANCHORARRAY(Sintesi!$C$10))*(A58&lt;=_xlfn.ANCHORARRAY(Sintesi!$C$10))+(_xlfn.ANCHORARRAY(Sintesi!$C$9)&lt;_xlfn.ANCHORARRAY(Sintesi!$C$10))*(A58&gt;=_xlfn.ANCHORARRAY(Sintesi!$C$9))*(A58&lt;=_xlfn.ANCHORARRAY(Sintesi!$C$10)),0)),0)))),0)</f>
        <v>0</v>
      </c>
    </row>
    <row r="60" spans="1:13">
      <c r="A60" s="1">
        <f>'Paste cell here'!A60</f>
        <v>59</v>
      </c>
      <c r="B60" s="2">
        <f>DATE(Sintesi!$C$4-1,12,31)+A60</f>
        <v>44255</v>
      </c>
      <c r="C60" s="34">
        <f t="array" ref="C60">_xlfn.IFNA(MATCH(1,((_xlfn.ANCHORARRAY(Sintesi!$C$9)&gt;_xlfn.ANCHORARRAY(Sintesi!$C$10))*(A60&gt;=_xlfn.ANCHORARRAY(Sintesi!$C$9))+(_xlfn.ANCHORARRAY(Sintesi!$C$9)&gt;_xlfn.ANCHORARRAY(Sintesi!$C$10))*(A60&lt;=_xlfn.ANCHORARRAY(Sintesi!$C$10))+(_xlfn.ANCHORARRAY(Sintesi!$C$9)&lt;_xlfn.ANCHORARRAY(Sintesi!$C$10))*(A60&gt;=_xlfn.ANCHORARRAY(Sintesi!$C$9))*(A60&lt;=_xlfn.ANCHORARRAY(Sintesi!$C$10)))*(_xlfn.ANCHORARRAY(Sintesi!$C$15)&gt;=0)+(_xlfn.ANCHORARRAY(Sintesi!$C$15)&lt;0),0),0)</f>
        <v>0</v>
      </c>
      <c r="D60" s="1">
        <f t="array" ref="D60">IF(ISBLANK($E61),IF(ISNUMBER($E59),IF($C60&gt;0,IF(($E60=INDEX(_xlfn.ANCHORARRAY(Sintesi!$C$14),1,$C60))*(INDEX(_xlfn.ANCHORARRAY(Sintesi!$C$15),1,$C60)&gt;0),0,IF(($E60=INDEX(_xlfn.ANCHORARRAY(Sintesi!$C$14),1,$C60))*(INDEX(_xlfn.ANCHORARRAY(Sintesi!$C$15),1,$C60)&lt;0)+($E60&gt;=$E59)*($E60&lt;=INDEX($E:$E,MATCH(TRUE,INDEX((ISNUMBER($E:$E)),0),0)))*($E60&gt;INDEX(_xlfn.ANCHORARRAY(Sintesi!$C$14),1,$C60))*($E60&lt;=INDEX(_xlfn.ANCHORARRAY(Sintesi!$C$15),1,$C60))*(INDEX(_xlfn.ANCHORARRAY(Sintesi!$C$15),1,$C60)&gt;0),1,IF(($E60&gt;=$E59)*($E60&lt;=INDEX($E:$E,MATCH(TRUE,INDEX((ISNUMBER($E:$E)),0),0)))*($E60&gt;INDEX(_xlfn.ANCHORARRAY(Sintesi!$C$14),1,$C60))*($E60&lt;INDEX(_xlfn.ANCHORARRAY(Sintesi!$C$16),1,$C60))*(INDEX(_xlfn.ANCHORARRAY(Sintesi!$C$15),1,$C60)&lt;0)+($E60&gt;=$E59)*($E60&lt;=INDEX($E:$E,MATCH(TRUE,INDEX((ISNUMBER($E:$E)),0),0)))*($E60&gt;INDEX(_xlfn.ANCHORARRAY(Sintesi!$C$15),1,$C60))*($E60&lt;INDEX(_xlfn.ANCHORARRAY(Sintesi!$C$16),1,$C60))*(INDEX(_xlfn.ANCHORARRAY(Sintesi!$C$15),1,$C60)&gt;0),2,IF($E60=(INDEX(_xlfn.ANCHORARRAY(Sintesi!$C$16),1,$C60)),3,4)))),0),IF($C60&gt;0,IF(($E60=INDEX(_xlfn.ANCHORARRAY(Sintesi!$C$14),1,$C60))*(INDEX(_xlfn.ANCHORARRAY(Sintesi!$C$15),1,$C60)&gt;0),0,IF(($E60=INDEX(_xlfn.ANCHORARRAY(Sintesi!$C$14),1,$C60))*(INDEX(_xlfn.ANCHORARRAY(Sintesi!$C$15),1,$C60)&lt;0)+($E60&gt;=LOOKUP(2,1/($E:$E&lt;&gt;""),$E:$E))*($E60&lt;=INDEX($E:$E,MATCH(TRUE,INDEX((ISNUMBER($E:$E)),0),0)))*($E60&gt;INDEX(_xlfn.ANCHORARRAY(Sintesi!$C$14),1,$C60))*($E60&lt;=INDEX(_xlfn.ANCHORARRAY(Sintesi!$C$15),1,$C60))*(INDEX(_xlfn.ANCHORARRAY(Sintesi!$C$15),1,$C60)&gt;0),1,IF(($E60&gt;=LOOKUP(2,1/($E:$E&lt;&gt;""),$E:$E))*($E60&lt;=INDEX($E:$E,MATCH(TRUE,INDEX((ISNUMBER($E:$E)),0),0)))*($E60&gt;INDEX(_xlfn.ANCHORARRAY(Sintesi!$C$14),1,$C60))*($E60&lt;INDEX(_xlfn.ANCHORARRAY(Sintesi!$C$16),1,$C60))*(INDEX(_xlfn.ANCHORARRAY(Sintesi!$C$15),1,$C60)&lt;0)+($E60&gt;=LOOKUP(2,1/($E:$E&lt;&gt;""),$E:$E))*($E60&lt;=INDEX($E:$E,MATCH(TRUE,INDEX((ISNUMBER($E:$E)),0),0)))*($E60&gt;INDEX(_xlfn.ANCHORARRAY(Sintesi!$C$15),1,$C60))*($E60&lt;INDEX(_xlfn.ANCHORARRAY(Sintesi!$C$16),1,$C60))*(INDEX(_xlfn.ANCHORARRAY(Sintesi!$C$15),1,$C60)&gt;0),2,IF($E60=(INDEX(_xlfn.ANCHORARRAY(Sintesi!$C$16),1,$C60)),3,4)))),0)),IF(ISNUMBER($E59),IF($C60&gt;0,IF(($E60=INDEX(_xlfn.ANCHORARRAY(Sintesi!$C$14),1,$C60))*(INDEX(_xlfn.ANCHORARRAY(Sintesi!$C$15),1,$C60)&gt;0),0,IF(($E60=INDEX(_xlfn.ANCHORARRAY(Sintesi!$C$14),1,$C60))*(INDEX(_xlfn.ANCHORARRAY(Sintesi!$C$15),1,$C60)&lt;0)+($E60&gt;=$E59)*($E60&lt;=$E61)*($E60&gt;INDEX(_xlfn.ANCHORARRAY(Sintesi!$C$14),1,$C60))*($E60&lt;=INDEX(_xlfn.ANCHORARRAY(Sintesi!$C$15),1,$C60))*(INDEX(_xlfn.ANCHORARRAY(Sintesi!$C$15),1,$C60)&gt;0),1,IF(($E60&gt;=$E59)*($E60&lt;=$E61)*($E60&gt;INDEX(_xlfn.ANCHORARRAY(Sintesi!$C$14),1,$C60))*($E60&lt;INDEX(_xlfn.ANCHORARRAY(Sintesi!$C$16),1,$C60))*(INDEX(_xlfn.ANCHORARRAY(Sintesi!$C$15),1,$C60)&lt;0)+($E60&gt;=$E59)*($E60&lt;=$E61)*($E60&gt;INDEX(_xlfn.ANCHORARRAY(Sintesi!$C$15),1,$C60))*($E60&lt;INDEX(_xlfn.ANCHORARRAY(Sintesi!$C$16),1,$C60))*(INDEX(_xlfn.ANCHORARRAY(Sintesi!$C$15),1,$C60)&gt;0),2,IF($E60=(INDEX(_xlfn.ANCHORARRAY(Sintesi!$C$16),1,$C60)),3,4)))),0),IF($C60&gt;0,IF(($E60=INDEX(_xlfn.ANCHORARRAY(Sintesi!$C$14),1,$C60))*(INDEX(_xlfn.ANCHORARRAY(Sintesi!$C$15),1,$C60)&gt;0),0,IF(($E60=INDEX(_xlfn.ANCHORARRAY(Sintesi!$C$14),1,$C60))*(INDEX(_xlfn.ANCHORARRAY(Sintesi!$C$15),1,$C60)&lt;0)+($E60&gt;=LOOKUP(2,1/($E:$E&lt;&gt;""),$E:$E))*($E60&lt;=$E61)*($E60&gt;INDEX(_xlfn.ANCHORARRAY(Sintesi!$C$14),1,$C60))*($E60&lt;=INDEX(_xlfn.ANCHORARRAY(Sintesi!$C$15),1,$C60))*(INDEX(_xlfn.ANCHORARRAY(Sintesi!$C$15),1,$C60)&gt;0),1,IF(($E60&gt;=LOOKUP(2,1/($E:$E&lt;&gt;""),$E:$E))*($E60&lt;=$E61)*($E60&gt;INDEX(_xlfn.ANCHORARRAY(Sintesi!$C$14),1,$C60))*($E60&lt;INDEX(_xlfn.ANCHORARRAY(Sintesi!$C$16),1,$C60))*(INDEX(_xlfn.ANCHORARRAY(Sintesi!$C$15),1,$C60)&lt;0)+($E60&gt;=LOOKUP(2,1/($E:$E&lt;&gt;""),$E:$E))*($E60&lt;=$E61)*($E60&gt;INDEX(_xlfn.ANCHORARRAY(Sintesi!$C$15),1,$C60))*($E60&lt;INDEX(_xlfn.ANCHORARRAY(Sintesi!$C$16),1,$C60))*(INDEX(_xlfn.ANCHORARRAY(Sintesi!$C$15),1,$C60)&gt;0),2,IF($E60=(INDEX(_xlfn.ANCHORARRAY(Sintesi!$C$16),1,$C60)),3,4)))),0)))</f>
        <v>0</v>
      </c>
      <c r="E60" s="1">
        <f>'Paste cell here'!F60</f>
        <v>0</v>
      </c>
      <c r="F60" s="1">
        <f>'Paste cell here'!C60</f>
        <v>13.839999999999797</v>
      </c>
      <c r="G60" s="1">
        <f>'Paste cell here'!D60</f>
        <v>4.6799999999999597</v>
      </c>
      <c r="H60" s="1">
        <f>'Paste cell here'!E60</f>
        <v>1.7402961185466972</v>
      </c>
      <c r="I60" s="1">
        <f>'Paste cell here'!X60</f>
        <v>0</v>
      </c>
      <c r="J60" s="1">
        <f>'Paste cell here'!Y60+'Paste cell here'!S60</f>
        <v>0</v>
      </c>
      <c r="K60" s="1">
        <f t="shared" si="0"/>
        <v>0</v>
      </c>
      <c r="L60" s="1">
        <f t="shared" si="1"/>
        <v>10.518766894128671</v>
      </c>
      <c r="M60" s="1">
        <f t="array" ref="M60">IF(AND(A60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60&gt;=_xlfn.ANCHORARRAY(Sintesi!$C$9))+(_xlfn.ANCHORARRAY(Sintesi!$C$9)&gt;_xlfn.ANCHORARRAY(Sintesi!$C$10))*(A60&lt;=_xlfn.ANCHORARRAY(Sintesi!$C$10))+(_xlfn.ANCHORARRAY(Sintesi!$C$9)&lt;_xlfn.ANCHORARRAY(Sintesi!$C$10))*(A60&gt;=_xlfn.ANCHORARRAY(Sintesi!$C$9))*(A60&lt;=_xlfn.ANCHORARRAY(Sintesi!$C$10)),0)),0),A60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61&gt;=_xlfn.ANCHORARRAY(Sintesi!$C$9))+(_xlfn.ANCHORARRAY(Sintesi!$C$9)&gt;_xlfn.ANCHORARRAY(Sintesi!$C$10))*(A61&lt;=_xlfn.ANCHORARRAY(Sintesi!$C$10))+(_xlfn.ANCHORARRAY(Sintesi!$C$9)&lt;_xlfn.ANCHORARRAY(Sintesi!$C$10))*(A61&gt;=_xlfn.ANCHORARRAY(Sintesi!$C$9))*(A61&lt;=_xlfn.ANCHORARRAY(Sintesi!$C$10)),0)),0)),IF(L60&lt;_xlfn.IFNA(INDEX(_xlfn.ANCHORARRAY(Sintesi!$C$17),1,MATCH(1,(_xlfn.ANCHORARRAY(Sintesi!$C$9)&gt;_xlfn.ANCHORARRAY(Sintesi!$C$10))*(A59&gt;=_xlfn.ANCHORARRAY(Sintesi!$C$9))+(_xlfn.ANCHORARRAY(Sintesi!$C$9)&gt;_xlfn.ANCHORARRAY(Sintesi!$C$10))*(A59&lt;=_xlfn.ANCHORARRAY(Sintesi!$C$10))+(_xlfn.ANCHORARRAY(Sintesi!$C$9)&lt;_xlfn.ANCHORARRAY(Sintesi!$C$10))*(A59&gt;=_xlfn.ANCHORARRAY(Sintesi!$C$9))*(A59&lt;=_xlfn.ANCHORARRAY(Sintesi!$C$10)),0)),0),1,IF(L60&gt;=_xlfn.IFNA(INDEX(_xlfn.ANCHORARRAY(Sintesi!$C$18),1,MATCH(1,(_xlfn.ANCHORARRAY(Sintesi!$C$9)&gt;_xlfn.ANCHORARRAY(Sintesi!$C$10))*(A59&gt;=_xlfn.ANCHORARRAY(Sintesi!$C$9))+(_xlfn.ANCHORARRAY(Sintesi!$C$9)&gt;_xlfn.ANCHORARRAY(Sintesi!$C$10))*(A59&lt;=_xlfn.ANCHORARRAY(Sintesi!$C$10))+(_xlfn.ANCHORARRAY(Sintesi!$C$9)&lt;_xlfn.ANCHORARRAY(Sintesi!$C$10))*(A59&gt;=_xlfn.ANCHORARRAY(Sintesi!$C$9))*(A59&lt;=_xlfn.ANCHORARRAY(Sintesi!$C$10)),0)),0),0,1-(L60-_xlfn.IFNA(INDEX(_xlfn.ANCHORARRAY(Sintesi!$C$17),1,MATCH(1,(_xlfn.ANCHORARRAY(Sintesi!$C$9)&gt;_xlfn.ANCHORARRAY(Sintesi!$C$10))*(A59&gt;=_xlfn.ANCHORARRAY(Sintesi!$C$9))+(_xlfn.ANCHORARRAY(Sintesi!$C$9)&gt;_xlfn.ANCHORARRAY(Sintesi!$C$10))*(A59&lt;=_xlfn.ANCHORARRAY(Sintesi!$C$10))+(_xlfn.ANCHORARRAY(Sintesi!$C$9)&lt;_xlfn.ANCHORARRAY(Sintesi!$C$10))*(A59&gt;=_xlfn.ANCHORARRAY(Sintesi!$C$9))*(A59&lt;=_xlfn.ANCHORARRAY(Sintesi!$C$10)),0)),0))/(_xlfn.IFNA(INDEX(_xlfn.ANCHORARRAY(Sintesi!$C$18),1,MATCH(1,(_xlfn.ANCHORARRAY(Sintesi!$C$9)&gt;_xlfn.ANCHORARRAY(Sintesi!$C$10))*(A59&gt;=_xlfn.ANCHORARRAY(Sintesi!$C$9))+(_xlfn.ANCHORARRAY(Sintesi!$C$9)&gt;_xlfn.ANCHORARRAY(Sintesi!$C$10))*(A59&lt;=_xlfn.ANCHORARRAY(Sintesi!$C$10))+(_xlfn.ANCHORARRAY(Sintesi!$C$9)&lt;_xlfn.ANCHORARRAY(Sintesi!$C$10))*(A59&gt;=_xlfn.ANCHORARRAY(Sintesi!$C$9))*(A59&lt;=_xlfn.ANCHORARRAY(Sintesi!$C$10)),0)),0)-_xlfn.IFNA(INDEX(_xlfn.ANCHORARRAY(Sintesi!$C$17),1,MATCH(1,(_xlfn.ANCHORARRAY(Sintesi!$C$9)&gt;_xlfn.ANCHORARRAY(Sintesi!$C$10))*(A59&gt;=_xlfn.ANCHORARRAY(Sintesi!$C$9))+(_xlfn.ANCHORARRAY(Sintesi!$C$9)&gt;_xlfn.ANCHORARRAY(Sintesi!$C$10))*(A59&lt;=_xlfn.ANCHORARRAY(Sintesi!$C$10))+(_xlfn.ANCHORARRAY(Sintesi!$C$9)&lt;_xlfn.ANCHORARRAY(Sintesi!$C$10))*(A59&gt;=_xlfn.ANCHORARRAY(Sintesi!$C$9))*(A59&lt;=_xlfn.ANCHORARRAY(Sintesi!$C$10)),0)),0)))),0)</f>
        <v>0</v>
      </c>
    </row>
    <row r="61" spans="1:13">
      <c r="A61" s="1">
        <f>'Paste cell here'!A61</f>
        <v>60</v>
      </c>
      <c r="B61" s="2">
        <f>DATE(Sintesi!$C$4-1,12,31)+A61</f>
        <v>44256</v>
      </c>
      <c r="C61" s="34">
        <f t="array" ref="C61">_xlfn.IFNA(MATCH(1,((_xlfn.ANCHORARRAY(Sintesi!$C$9)&gt;_xlfn.ANCHORARRAY(Sintesi!$C$10))*(A61&gt;=_xlfn.ANCHORARRAY(Sintesi!$C$9))+(_xlfn.ANCHORARRAY(Sintesi!$C$9)&gt;_xlfn.ANCHORARRAY(Sintesi!$C$10))*(A61&lt;=_xlfn.ANCHORARRAY(Sintesi!$C$10))+(_xlfn.ANCHORARRAY(Sintesi!$C$9)&lt;_xlfn.ANCHORARRAY(Sintesi!$C$10))*(A61&gt;=_xlfn.ANCHORARRAY(Sintesi!$C$9))*(A61&lt;=_xlfn.ANCHORARRAY(Sintesi!$C$10)))*(_xlfn.ANCHORARRAY(Sintesi!$C$15)&gt;=0)+(_xlfn.ANCHORARRAY(Sintesi!$C$15)&lt;0),0),0)</f>
        <v>0</v>
      </c>
      <c r="D61" s="1">
        <f t="array" ref="D61">IF(ISBLANK($E62),IF(ISNUMBER($E60),IF($C61&gt;0,IF(($E61=INDEX(_xlfn.ANCHORARRAY(Sintesi!$C$14),1,$C61))*(INDEX(_xlfn.ANCHORARRAY(Sintesi!$C$15),1,$C61)&gt;0),0,IF(($E61=INDEX(_xlfn.ANCHORARRAY(Sintesi!$C$14),1,$C61))*(INDEX(_xlfn.ANCHORARRAY(Sintesi!$C$15),1,$C61)&lt;0)+($E61&gt;=$E60)*($E61&lt;=INDEX($E:$E,MATCH(TRUE,INDEX((ISNUMBER($E:$E)),0),0)))*($E61&gt;INDEX(_xlfn.ANCHORARRAY(Sintesi!$C$14),1,$C61))*($E61&lt;=INDEX(_xlfn.ANCHORARRAY(Sintesi!$C$15),1,$C61))*(INDEX(_xlfn.ANCHORARRAY(Sintesi!$C$15),1,$C61)&gt;0),1,IF(($E61&gt;=$E60)*($E61&lt;=INDEX($E:$E,MATCH(TRUE,INDEX((ISNUMBER($E:$E)),0),0)))*($E61&gt;INDEX(_xlfn.ANCHORARRAY(Sintesi!$C$14),1,$C61))*($E61&lt;INDEX(_xlfn.ANCHORARRAY(Sintesi!$C$16),1,$C61))*(INDEX(_xlfn.ANCHORARRAY(Sintesi!$C$15),1,$C61)&lt;0)+($E61&gt;=$E60)*($E61&lt;=INDEX($E:$E,MATCH(TRUE,INDEX((ISNUMBER($E:$E)),0),0)))*($E61&gt;INDEX(_xlfn.ANCHORARRAY(Sintesi!$C$15),1,$C61))*($E61&lt;INDEX(_xlfn.ANCHORARRAY(Sintesi!$C$16),1,$C61))*(INDEX(_xlfn.ANCHORARRAY(Sintesi!$C$15),1,$C61)&gt;0),2,IF($E61=(INDEX(_xlfn.ANCHORARRAY(Sintesi!$C$16),1,$C61)),3,4)))),0),IF($C61&gt;0,IF(($E61=INDEX(_xlfn.ANCHORARRAY(Sintesi!$C$14),1,$C61))*(INDEX(_xlfn.ANCHORARRAY(Sintesi!$C$15),1,$C61)&gt;0),0,IF(($E61=INDEX(_xlfn.ANCHORARRAY(Sintesi!$C$14),1,$C61))*(INDEX(_xlfn.ANCHORARRAY(Sintesi!$C$15),1,$C61)&lt;0)+($E61&gt;=LOOKUP(2,1/($E:$E&lt;&gt;""),$E:$E))*($E61&lt;=INDEX($E:$E,MATCH(TRUE,INDEX((ISNUMBER($E:$E)),0),0)))*($E61&gt;INDEX(_xlfn.ANCHORARRAY(Sintesi!$C$14),1,$C61))*($E61&lt;=INDEX(_xlfn.ANCHORARRAY(Sintesi!$C$15),1,$C61))*(INDEX(_xlfn.ANCHORARRAY(Sintesi!$C$15),1,$C61)&gt;0),1,IF(($E61&gt;=LOOKUP(2,1/($E:$E&lt;&gt;""),$E:$E))*($E61&lt;=INDEX($E:$E,MATCH(TRUE,INDEX((ISNUMBER($E:$E)),0),0)))*($E61&gt;INDEX(_xlfn.ANCHORARRAY(Sintesi!$C$14),1,$C61))*($E61&lt;INDEX(_xlfn.ANCHORARRAY(Sintesi!$C$16),1,$C61))*(INDEX(_xlfn.ANCHORARRAY(Sintesi!$C$15),1,$C61)&lt;0)+($E61&gt;=LOOKUP(2,1/($E:$E&lt;&gt;""),$E:$E))*($E61&lt;=INDEX($E:$E,MATCH(TRUE,INDEX((ISNUMBER($E:$E)),0),0)))*($E61&gt;INDEX(_xlfn.ANCHORARRAY(Sintesi!$C$15),1,$C61))*($E61&lt;INDEX(_xlfn.ANCHORARRAY(Sintesi!$C$16),1,$C61))*(INDEX(_xlfn.ANCHORARRAY(Sintesi!$C$15),1,$C61)&gt;0),2,IF($E61=(INDEX(_xlfn.ANCHORARRAY(Sintesi!$C$16),1,$C61)),3,4)))),0)),IF(ISNUMBER($E60),IF($C61&gt;0,IF(($E61=INDEX(_xlfn.ANCHORARRAY(Sintesi!$C$14),1,$C61))*(INDEX(_xlfn.ANCHORARRAY(Sintesi!$C$15),1,$C61)&gt;0),0,IF(($E61=INDEX(_xlfn.ANCHORARRAY(Sintesi!$C$14),1,$C61))*(INDEX(_xlfn.ANCHORARRAY(Sintesi!$C$15),1,$C61)&lt;0)+($E61&gt;=$E60)*($E61&lt;=$E62)*($E61&gt;INDEX(_xlfn.ANCHORARRAY(Sintesi!$C$14),1,$C61))*($E61&lt;=INDEX(_xlfn.ANCHORARRAY(Sintesi!$C$15),1,$C61))*(INDEX(_xlfn.ANCHORARRAY(Sintesi!$C$15),1,$C61)&gt;0),1,IF(($E61&gt;=$E60)*($E61&lt;=$E62)*($E61&gt;INDEX(_xlfn.ANCHORARRAY(Sintesi!$C$14),1,$C61))*($E61&lt;INDEX(_xlfn.ANCHORARRAY(Sintesi!$C$16),1,$C61))*(INDEX(_xlfn.ANCHORARRAY(Sintesi!$C$15),1,$C61)&lt;0)+($E61&gt;=$E60)*($E61&lt;=$E62)*($E61&gt;INDEX(_xlfn.ANCHORARRAY(Sintesi!$C$15),1,$C61))*($E61&lt;INDEX(_xlfn.ANCHORARRAY(Sintesi!$C$16),1,$C61))*(INDEX(_xlfn.ANCHORARRAY(Sintesi!$C$15),1,$C61)&gt;0),2,IF($E61=(INDEX(_xlfn.ANCHORARRAY(Sintesi!$C$16),1,$C61)),3,4)))),0),IF($C61&gt;0,IF(($E61=INDEX(_xlfn.ANCHORARRAY(Sintesi!$C$14),1,$C61))*(INDEX(_xlfn.ANCHORARRAY(Sintesi!$C$15),1,$C61)&gt;0),0,IF(($E61=INDEX(_xlfn.ANCHORARRAY(Sintesi!$C$14),1,$C61))*(INDEX(_xlfn.ANCHORARRAY(Sintesi!$C$15),1,$C61)&lt;0)+($E61&gt;=LOOKUP(2,1/($E:$E&lt;&gt;""),$E:$E))*($E61&lt;=$E62)*($E61&gt;INDEX(_xlfn.ANCHORARRAY(Sintesi!$C$14),1,$C61))*($E61&lt;=INDEX(_xlfn.ANCHORARRAY(Sintesi!$C$15),1,$C61))*(INDEX(_xlfn.ANCHORARRAY(Sintesi!$C$15),1,$C61)&gt;0),1,IF(($E61&gt;=LOOKUP(2,1/($E:$E&lt;&gt;""),$E:$E))*($E61&lt;=$E62)*($E61&gt;INDEX(_xlfn.ANCHORARRAY(Sintesi!$C$14),1,$C61))*($E61&lt;INDEX(_xlfn.ANCHORARRAY(Sintesi!$C$16),1,$C61))*(INDEX(_xlfn.ANCHORARRAY(Sintesi!$C$15),1,$C61)&lt;0)+($E61&gt;=LOOKUP(2,1/($E:$E&lt;&gt;""),$E:$E))*($E61&lt;=$E62)*($E61&gt;INDEX(_xlfn.ANCHORARRAY(Sintesi!$C$15),1,$C61))*($E61&lt;INDEX(_xlfn.ANCHORARRAY(Sintesi!$C$16),1,$C61))*(INDEX(_xlfn.ANCHORARRAY(Sintesi!$C$15),1,$C61)&gt;0),2,IF($E61=(INDEX(_xlfn.ANCHORARRAY(Sintesi!$C$16),1,$C61)),3,4)))),0)))</f>
        <v>0</v>
      </c>
      <c r="E61" s="1">
        <f>'Paste cell here'!F61</f>
        <v>0</v>
      </c>
      <c r="F61" s="1">
        <f>'Paste cell here'!C61</f>
        <v>16.739999999999757</v>
      </c>
      <c r="G61" s="1">
        <f>'Paste cell here'!D61</f>
        <v>1.7799999999999969</v>
      </c>
      <c r="H61" s="1">
        <f>'Paste cell here'!E61</f>
        <v>1.5949241515435957</v>
      </c>
      <c r="I61" s="1">
        <f>'Paste cell here'!X61</f>
        <v>0</v>
      </c>
      <c r="J61" s="1">
        <f>'Paste cell here'!Y61+'Paste cell here'!S61</f>
        <v>0</v>
      </c>
      <c r="K61" s="1">
        <f t="shared" si="0"/>
        <v>0</v>
      </c>
      <c r="L61" s="1">
        <f t="shared" si="1"/>
        <v>12.151273319715338</v>
      </c>
      <c r="M61" s="1">
        <f t="array" ref="M61">IF(AND(A61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61&gt;=_xlfn.ANCHORARRAY(Sintesi!$C$9))+(_xlfn.ANCHORARRAY(Sintesi!$C$9)&gt;_xlfn.ANCHORARRAY(Sintesi!$C$10))*(A61&lt;=_xlfn.ANCHORARRAY(Sintesi!$C$10))+(_xlfn.ANCHORARRAY(Sintesi!$C$9)&lt;_xlfn.ANCHORARRAY(Sintesi!$C$10))*(A61&gt;=_xlfn.ANCHORARRAY(Sintesi!$C$9))*(A61&lt;=_xlfn.ANCHORARRAY(Sintesi!$C$10)),0)),0),A61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62&gt;=_xlfn.ANCHORARRAY(Sintesi!$C$9))+(_xlfn.ANCHORARRAY(Sintesi!$C$9)&gt;_xlfn.ANCHORARRAY(Sintesi!$C$10))*(A62&lt;=_xlfn.ANCHORARRAY(Sintesi!$C$10))+(_xlfn.ANCHORARRAY(Sintesi!$C$9)&lt;_xlfn.ANCHORARRAY(Sintesi!$C$10))*(A62&gt;=_xlfn.ANCHORARRAY(Sintesi!$C$9))*(A62&lt;=_xlfn.ANCHORARRAY(Sintesi!$C$10)),0)),0)),IF(L61&lt;_xlfn.IFNA(INDEX(_xlfn.ANCHORARRAY(Sintesi!$C$17),1,MATCH(1,(_xlfn.ANCHORARRAY(Sintesi!$C$9)&gt;_xlfn.ANCHORARRAY(Sintesi!$C$10))*(A60&gt;=_xlfn.ANCHORARRAY(Sintesi!$C$9))+(_xlfn.ANCHORARRAY(Sintesi!$C$9)&gt;_xlfn.ANCHORARRAY(Sintesi!$C$10))*(A60&lt;=_xlfn.ANCHORARRAY(Sintesi!$C$10))+(_xlfn.ANCHORARRAY(Sintesi!$C$9)&lt;_xlfn.ANCHORARRAY(Sintesi!$C$10))*(A60&gt;=_xlfn.ANCHORARRAY(Sintesi!$C$9))*(A60&lt;=_xlfn.ANCHORARRAY(Sintesi!$C$10)),0)),0),1,IF(L61&gt;=_xlfn.IFNA(INDEX(_xlfn.ANCHORARRAY(Sintesi!$C$18),1,MATCH(1,(_xlfn.ANCHORARRAY(Sintesi!$C$9)&gt;_xlfn.ANCHORARRAY(Sintesi!$C$10))*(A60&gt;=_xlfn.ANCHORARRAY(Sintesi!$C$9))+(_xlfn.ANCHORARRAY(Sintesi!$C$9)&gt;_xlfn.ANCHORARRAY(Sintesi!$C$10))*(A60&lt;=_xlfn.ANCHORARRAY(Sintesi!$C$10))+(_xlfn.ANCHORARRAY(Sintesi!$C$9)&lt;_xlfn.ANCHORARRAY(Sintesi!$C$10))*(A60&gt;=_xlfn.ANCHORARRAY(Sintesi!$C$9))*(A60&lt;=_xlfn.ANCHORARRAY(Sintesi!$C$10)),0)),0),0,1-(L61-_xlfn.IFNA(INDEX(_xlfn.ANCHORARRAY(Sintesi!$C$17),1,MATCH(1,(_xlfn.ANCHORARRAY(Sintesi!$C$9)&gt;_xlfn.ANCHORARRAY(Sintesi!$C$10))*(A60&gt;=_xlfn.ANCHORARRAY(Sintesi!$C$9))+(_xlfn.ANCHORARRAY(Sintesi!$C$9)&gt;_xlfn.ANCHORARRAY(Sintesi!$C$10))*(A60&lt;=_xlfn.ANCHORARRAY(Sintesi!$C$10))+(_xlfn.ANCHORARRAY(Sintesi!$C$9)&lt;_xlfn.ANCHORARRAY(Sintesi!$C$10))*(A60&gt;=_xlfn.ANCHORARRAY(Sintesi!$C$9))*(A60&lt;=_xlfn.ANCHORARRAY(Sintesi!$C$10)),0)),0))/(_xlfn.IFNA(INDEX(_xlfn.ANCHORARRAY(Sintesi!$C$18),1,MATCH(1,(_xlfn.ANCHORARRAY(Sintesi!$C$9)&gt;_xlfn.ANCHORARRAY(Sintesi!$C$10))*(A60&gt;=_xlfn.ANCHORARRAY(Sintesi!$C$9))+(_xlfn.ANCHORARRAY(Sintesi!$C$9)&gt;_xlfn.ANCHORARRAY(Sintesi!$C$10))*(A60&lt;=_xlfn.ANCHORARRAY(Sintesi!$C$10))+(_xlfn.ANCHORARRAY(Sintesi!$C$9)&lt;_xlfn.ANCHORARRAY(Sintesi!$C$10))*(A60&gt;=_xlfn.ANCHORARRAY(Sintesi!$C$9))*(A60&lt;=_xlfn.ANCHORARRAY(Sintesi!$C$10)),0)),0)-_xlfn.IFNA(INDEX(_xlfn.ANCHORARRAY(Sintesi!$C$17),1,MATCH(1,(_xlfn.ANCHORARRAY(Sintesi!$C$9)&gt;_xlfn.ANCHORARRAY(Sintesi!$C$10))*(A60&gt;=_xlfn.ANCHORARRAY(Sintesi!$C$9))+(_xlfn.ANCHORARRAY(Sintesi!$C$9)&gt;_xlfn.ANCHORARRAY(Sintesi!$C$10))*(A60&lt;=_xlfn.ANCHORARRAY(Sintesi!$C$10))+(_xlfn.ANCHORARRAY(Sintesi!$C$9)&lt;_xlfn.ANCHORARRAY(Sintesi!$C$10))*(A60&gt;=_xlfn.ANCHORARRAY(Sintesi!$C$9))*(A60&lt;=_xlfn.ANCHORARRAY(Sintesi!$C$10)),0)),0)))),0)</f>
        <v>0</v>
      </c>
    </row>
    <row r="62" spans="1:13">
      <c r="A62" s="1">
        <f>'Paste cell here'!A62</f>
        <v>61</v>
      </c>
      <c r="B62" s="2">
        <f>DATE(Sintesi!$C$4-1,12,31)+A62</f>
        <v>44257</v>
      </c>
      <c r="C62" s="34">
        <f t="array" ref="C62">_xlfn.IFNA(MATCH(1,((_xlfn.ANCHORARRAY(Sintesi!$C$9)&gt;_xlfn.ANCHORARRAY(Sintesi!$C$10))*(A62&gt;=_xlfn.ANCHORARRAY(Sintesi!$C$9))+(_xlfn.ANCHORARRAY(Sintesi!$C$9)&gt;_xlfn.ANCHORARRAY(Sintesi!$C$10))*(A62&lt;=_xlfn.ANCHORARRAY(Sintesi!$C$10))+(_xlfn.ANCHORARRAY(Sintesi!$C$9)&lt;_xlfn.ANCHORARRAY(Sintesi!$C$10))*(A62&gt;=_xlfn.ANCHORARRAY(Sintesi!$C$9))*(A62&lt;=_xlfn.ANCHORARRAY(Sintesi!$C$10)))*(_xlfn.ANCHORARRAY(Sintesi!$C$15)&gt;=0)+(_xlfn.ANCHORARRAY(Sintesi!$C$15)&lt;0),0),0)</f>
        <v>0</v>
      </c>
      <c r="D62" s="1">
        <f t="array" ref="D62">IF(ISBLANK($E63),IF(ISNUMBER($E61),IF($C62&gt;0,IF(($E62=INDEX(_xlfn.ANCHORARRAY(Sintesi!$C$14),1,$C62))*(INDEX(_xlfn.ANCHORARRAY(Sintesi!$C$15),1,$C62)&gt;0),0,IF(($E62=INDEX(_xlfn.ANCHORARRAY(Sintesi!$C$14),1,$C62))*(INDEX(_xlfn.ANCHORARRAY(Sintesi!$C$15),1,$C62)&lt;0)+($E62&gt;=$E61)*($E62&lt;=INDEX($E:$E,MATCH(TRUE,INDEX((ISNUMBER($E:$E)),0),0)))*($E62&gt;INDEX(_xlfn.ANCHORARRAY(Sintesi!$C$14),1,$C62))*($E62&lt;=INDEX(_xlfn.ANCHORARRAY(Sintesi!$C$15),1,$C62))*(INDEX(_xlfn.ANCHORARRAY(Sintesi!$C$15),1,$C62)&gt;0),1,IF(($E62&gt;=$E61)*($E62&lt;=INDEX($E:$E,MATCH(TRUE,INDEX((ISNUMBER($E:$E)),0),0)))*($E62&gt;INDEX(_xlfn.ANCHORARRAY(Sintesi!$C$14),1,$C62))*($E62&lt;INDEX(_xlfn.ANCHORARRAY(Sintesi!$C$16),1,$C62))*(INDEX(_xlfn.ANCHORARRAY(Sintesi!$C$15),1,$C62)&lt;0)+($E62&gt;=$E61)*($E62&lt;=INDEX($E:$E,MATCH(TRUE,INDEX((ISNUMBER($E:$E)),0),0)))*($E62&gt;INDEX(_xlfn.ANCHORARRAY(Sintesi!$C$15),1,$C62))*($E62&lt;INDEX(_xlfn.ANCHORARRAY(Sintesi!$C$16),1,$C62))*(INDEX(_xlfn.ANCHORARRAY(Sintesi!$C$15),1,$C62)&gt;0),2,IF($E62=(INDEX(_xlfn.ANCHORARRAY(Sintesi!$C$16),1,$C62)),3,4)))),0),IF($C62&gt;0,IF(($E62=INDEX(_xlfn.ANCHORARRAY(Sintesi!$C$14),1,$C62))*(INDEX(_xlfn.ANCHORARRAY(Sintesi!$C$15),1,$C62)&gt;0),0,IF(($E62=INDEX(_xlfn.ANCHORARRAY(Sintesi!$C$14),1,$C62))*(INDEX(_xlfn.ANCHORARRAY(Sintesi!$C$15),1,$C62)&lt;0)+($E62&gt;=LOOKUP(2,1/($E:$E&lt;&gt;""),$E:$E))*($E62&lt;=INDEX($E:$E,MATCH(TRUE,INDEX((ISNUMBER($E:$E)),0),0)))*($E62&gt;INDEX(_xlfn.ANCHORARRAY(Sintesi!$C$14),1,$C62))*($E62&lt;=INDEX(_xlfn.ANCHORARRAY(Sintesi!$C$15),1,$C62))*(INDEX(_xlfn.ANCHORARRAY(Sintesi!$C$15),1,$C62)&gt;0),1,IF(($E62&gt;=LOOKUP(2,1/($E:$E&lt;&gt;""),$E:$E))*($E62&lt;=INDEX($E:$E,MATCH(TRUE,INDEX((ISNUMBER($E:$E)),0),0)))*($E62&gt;INDEX(_xlfn.ANCHORARRAY(Sintesi!$C$14),1,$C62))*($E62&lt;INDEX(_xlfn.ANCHORARRAY(Sintesi!$C$16),1,$C62))*(INDEX(_xlfn.ANCHORARRAY(Sintesi!$C$15),1,$C62)&lt;0)+($E62&gt;=LOOKUP(2,1/($E:$E&lt;&gt;""),$E:$E))*($E62&lt;=INDEX($E:$E,MATCH(TRUE,INDEX((ISNUMBER($E:$E)),0),0)))*($E62&gt;INDEX(_xlfn.ANCHORARRAY(Sintesi!$C$15),1,$C62))*($E62&lt;INDEX(_xlfn.ANCHORARRAY(Sintesi!$C$16),1,$C62))*(INDEX(_xlfn.ANCHORARRAY(Sintesi!$C$15),1,$C62)&gt;0),2,IF($E62=(INDEX(_xlfn.ANCHORARRAY(Sintesi!$C$16),1,$C62)),3,4)))),0)),IF(ISNUMBER($E61),IF($C62&gt;0,IF(($E62=INDEX(_xlfn.ANCHORARRAY(Sintesi!$C$14),1,$C62))*(INDEX(_xlfn.ANCHORARRAY(Sintesi!$C$15),1,$C62)&gt;0),0,IF(($E62=INDEX(_xlfn.ANCHORARRAY(Sintesi!$C$14),1,$C62))*(INDEX(_xlfn.ANCHORARRAY(Sintesi!$C$15),1,$C62)&lt;0)+($E62&gt;=$E61)*($E62&lt;=$E63)*($E62&gt;INDEX(_xlfn.ANCHORARRAY(Sintesi!$C$14),1,$C62))*($E62&lt;=INDEX(_xlfn.ANCHORARRAY(Sintesi!$C$15),1,$C62))*(INDEX(_xlfn.ANCHORARRAY(Sintesi!$C$15),1,$C62)&gt;0),1,IF(($E62&gt;=$E61)*($E62&lt;=$E63)*($E62&gt;INDEX(_xlfn.ANCHORARRAY(Sintesi!$C$14),1,$C62))*($E62&lt;INDEX(_xlfn.ANCHORARRAY(Sintesi!$C$16),1,$C62))*(INDEX(_xlfn.ANCHORARRAY(Sintesi!$C$15),1,$C62)&lt;0)+($E62&gt;=$E61)*($E62&lt;=$E63)*($E62&gt;INDEX(_xlfn.ANCHORARRAY(Sintesi!$C$15),1,$C62))*($E62&lt;INDEX(_xlfn.ANCHORARRAY(Sintesi!$C$16),1,$C62))*(INDEX(_xlfn.ANCHORARRAY(Sintesi!$C$15),1,$C62)&gt;0),2,IF($E62=(INDEX(_xlfn.ANCHORARRAY(Sintesi!$C$16),1,$C62)),3,4)))),0),IF($C62&gt;0,IF(($E62=INDEX(_xlfn.ANCHORARRAY(Sintesi!$C$14),1,$C62))*(INDEX(_xlfn.ANCHORARRAY(Sintesi!$C$15),1,$C62)&gt;0),0,IF(($E62=INDEX(_xlfn.ANCHORARRAY(Sintesi!$C$14),1,$C62))*(INDEX(_xlfn.ANCHORARRAY(Sintesi!$C$15),1,$C62)&lt;0)+($E62&gt;=LOOKUP(2,1/($E:$E&lt;&gt;""),$E:$E))*($E62&lt;=$E63)*($E62&gt;INDEX(_xlfn.ANCHORARRAY(Sintesi!$C$14),1,$C62))*($E62&lt;=INDEX(_xlfn.ANCHORARRAY(Sintesi!$C$15),1,$C62))*(INDEX(_xlfn.ANCHORARRAY(Sintesi!$C$15),1,$C62)&gt;0),1,IF(($E62&gt;=LOOKUP(2,1/($E:$E&lt;&gt;""),$E:$E))*($E62&lt;=$E63)*($E62&gt;INDEX(_xlfn.ANCHORARRAY(Sintesi!$C$14),1,$C62))*($E62&lt;INDEX(_xlfn.ANCHORARRAY(Sintesi!$C$16),1,$C62))*(INDEX(_xlfn.ANCHORARRAY(Sintesi!$C$15),1,$C62)&lt;0)+($E62&gt;=LOOKUP(2,1/($E:$E&lt;&gt;""),$E:$E))*($E62&lt;=$E63)*($E62&gt;INDEX(_xlfn.ANCHORARRAY(Sintesi!$C$15),1,$C62))*($E62&lt;INDEX(_xlfn.ANCHORARRAY(Sintesi!$C$16),1,$C62))*(INDEX(_xlfn.ANCHORARRAY(Sintesi!$C$15),1,$C62)&gt;0),2,IF($E62=(INDEX(_xlfn.ANCHORARRAY(Sintesi!$C$16),1,$C62)),3,4)))),0)))</f>
        <v>0</v>
      </c>
      <c r="E62" s="1">
        <f>'Paste cell here'!F62</f>
        <v>0</v>
      </c>
      <c r="F62" s="1">
        <f>'Paste cell here'!C62</f>
        <v>16.739999999999757</v>
      </c>
      <c r="G62" s="1">
        <f>'Paste cell here'!D62</f>
        <v>1.4000000000000012</v>
      </c>
      <c r="H62" s="1">
        <f>'Paste cell here'!E62</f>
        <v>1.5809315456281472</v>
      </c>
      <c r="I62" s="1">
        <f>'Paste cell here'!X62</f>
        <v>0</v>
      </c>
      <c r="J62" s="1">
        <f>'Paste cell here'!Y62+'Paste cell here'!S62</f>
        <v>0</v>
      </c>
      <c r="K62" s="1">
        <f t="shared" si="0"/>
        <v>0</v>
      </c>
      <c r="L62" s="1">
        <f t="shared" si="1"/>
        <v>12.034714754307043</v>
      </c>
      <c r="M62" s="1">
        <f t="array" ref="M62">IF(AND(A62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62&gt;=_xlfn.ANCHORARRAY(Sintesi!$C$9))+(_xlfn.ANCHORARRAY(Sintesi!$C$9)&gt;_xlfn.ANCHORARRAY(Sintesi!$C$10))*(A62&lt;=_xlfn.ANCHORARRAY(Sintesi!$C$10))+(_xlfn.ANCHORARRAY(Sintesi!$C$9)&lt;_xlfn.ANCHORARRAY(Sintesi!$C$10))*(A62&gt;=_xlfn.ANCHORARRAY(Sintesi!$C$9))*(A62&lt;=_xlfn.ANCHORARRAY(Sintesi!$C$10)),0)),0),A62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63&gt;=_xlfn.ANCHORARRAY(Sintesi!$C$9))+(_xlfn.ANCHORARRAY(Sintesi!$C$9)&gt;_xlfn.ANCHORARRAY(Sintesi!$C$10))*(A63&lt;=_xlfn.ANCHORARRAY(Sintesi!$C$10))+(_xlfn.ANCHORARRAY(Sintesi!$C$9)&lt;_xlfn.ANCHORARRAY(Sintesi!$C$10))*(A63&gt;=_xlfn.ANCHORARRAY(Sintesi!$C$9))*(A63&lt;=_xlfn.ANCHORARRAY(Sintesi!$C$10)),0)),0)),IF(L62&lt;_xlfn.IFNA(INDEX(_xlfn.ANCHORARRAY(Sintesi!$C$17),1,MATCH(1,(_xlfn.ANCHORARRAY(Sintesi!$C$9)&gt;_xlfn.ANCHORARRAY(Sintesi!$C$10))*(A61&gt;=_xlfn.ANCHORARRAY(Sintesi!$C$9))+(_xlfn.ANCHORARRAY(Sintesi!$C$9)&gt;_xlfn.ANCHORARRAY(Sintesi!$C$10))*(A61&lt;=_xlfn.ANCHORARRAY(Sintesi!$C$10))+(_xlfn.ANCHORARRAY(Sintesi!$C$9)&lt;_xlfn.ANCHORARRAY(Sintesi!$C$10))*(A61&gt;=_xlfn.ANCHORARRAY(Sintesi!$C$9))*(A61&lt;=_xlfn.ANCHORARRAY(Sintesi!$C$10)),0)),0),1,IF(L62&gt;=_xlfn.IFNA(INDEX(_xlfn.ANCHORARRAY(Sintesi!$C$18),1,MATCH(1,(_xlfn.ANCHORARRAY(Sintesi!$C$9)&gt;_xlfn.ANCHORARRAY(Sintesi!$C$10))*(A61&gt;=_xlfn.ANCHORARRAY(Sintesi!$C$9))+(_xlfn.ANCHORARRAY(Sintesi!$C$9)&gt;_xlfn.ANCHORARRAY(Sintesi!$C$10))*(A61&lt;=_xlfn.ANCHORARRAY(Sintesi!$C$10))+(_xlfn.ANCHORARRAY(Sintesi!$C$9)&lt;_xlfn.ANCHORARRAY(Sintesi!$C$10))*(A61&gt;=_xlfn.ANCHORARRAY(Sintesi!$C$9))*(A61&lt;=_xlfn.ANCHORARRAY(Sintesi!$C$10)),0)),0),0,1-(L62-_xlfn.IFNA(INDEX(_xlfn.ANCHORARRAY(Sintesi!$C$17),1,MATCH(1,(_xlfn.ANCHORARRAY(Sintesi!$C$9)&gt;_xlfn.ANCHORARRAY(Sintesi!$C$10))*(A61&gt;=_xlfn.ANCHORARRAY(Sintesi!$C$9))+(_xlfn.ANCHORARRAY(Sintesi!$C$9)&gt;_xlfn.ANCHORARRAY(Sintesi!$C$10))*(A61&lt;=_xlfn.ANCHORARRAY(Sintesi!$C$10))+(_xlfn.ANCHORARRAY(Sintesi!$C$9)&lt;_xlfn.ANCHORARRAY(Sintesi!$C$10))*(A61&gt;=_xlfn.ANCHORARRAY(Sintesi!$C$9))*(A61&lt;=_xlfn.ANCHORARRAY(Sintesi!$C$10)),0)),0))/(_xlfn.IFNA(INDEX(_xlfn.ANCHORARRAY(Sintesi!$C$18),1,MATCH(1,(_xlfn.ANCHORARRAY(Sintesi!$C$9)&gt;_xlfn.ANCHORARRAY(Sintesi!$C$10))*(A61&gt;=_xlfn.ANCHORARRAY(Sintesi!$C$9))+(_xlfn.ANCHORARRAY(Sintesi!$C$9)&gt;_xlfn.ANCHORARRAY(Sintesi!$C$10))*(A61&lt;=_xlfn.ANCHORARRAY(Sintesi!$C$10))+(_xlfn.ANCHORARRAY(Sintesi!$C$9)&lt;_xlfn.ANCHORARRAY(Sintesi!$C$10))*(A61&gt;=_xlfn.ANCHORARRAY(Sintesi!$C$9))*(A61&lt;=_xlfn.ANCHORARRAY(Sintesi!$C$10)),0)),0)-_xlfn.IFNA(INDEX(_xlfn.ANCHORARRAY(Sintesi!$C$17),1,MATCH(1,(_xlfn.ANCHORARRAY(Sintesi!$C$9)&gt;_xlfn.ANCHORARRAY(Sintesi!$C$10))*(A61&gt;=_xlfn.ANCHORARRAY(Sintesi!$C$9))+(_xlfn.ANCHORARRAY(Sintesi!$C$9)&gt;_xlfn.ANCHORARRAY(Sintesi!$C$10))*(A61&lt;=_xlfn.ANCHORARRAY(Sintesi!$C$10))+(_xlfn.ANCHORARRAY(Sintesi!$C$9)&lt;_xlfn.ANCHORARRAY(Sintesi!$C$10))*(A61&gt;=_xlfn.ANCHORARRAY(Sintesi!$C$9))*(A61&lt;=_xlfn.ANCHORARRAY(Sintesi!$C$10)),0)),0)))),0)</f>
        <v>0</v>
      </c>
    </row>
    <row r="63" spans="1:13">
      <c r="A63" s="1">
        <f>'Paste cell here'!A63</f>
        <v>62</v>
      </c>
      <c r="B63" s="2">
        <f>DATE(Sintesi!$C$4-1,12,31)+A63</f>
        <v>44258</v>
      </c>
      <c r="C63" s="34">
        <f t="array" ref="C63">_xlfn.IFNA(MATCH(1,((_xlfn.ANCHORARRAY(Sintesi!$C$9)&gt;_xlfn.ANCHORARRAY(Sintesi!$C$10))*(A63&gt;=_xlfn.ANCHORARRAY(Sintesi!$C$9))+(_xlfn.ANCHORARRAY(Sintesi!$C$9)&gt;_xlfn.ANCHORARRAY(Sintesi!$C$10))*(A63&lt;=_xlfn.ANCHORARRAY(Sintesi!$C$10))+(_xlfn.ANCHORARRAY(Sintesi!$C$9)&lt;_xlfn.ANCHORARRAY(Sintesi!$C$10))*(A63&gt;=_xlfn.ANCHORARRAY(Sintesi!$C$9))*(A63&lt;=_xlfn.ANCHORARRAY(Sintesi!$C$10)))*(_xlfn.ANCHORARRAY(Sintesi!$C$15)&gt;=0)+(_xlfn.ANCHORARRAY(Sintesi!$C$15)&lt;0),0),0)</f>
        <v>0</v>
      </c>
      <c r="D63" s="1">
        <f t="array" ref="D63">IF(ISBLANK($E64),IF(ISNUMBER($E62),IF($C63&gt;0,IF(($E63=INDEX(_xlfn.ANCHORARRAY(Sintesi!$C$14),1,$C63))*(INDEX(_xlfn.ANCHORARRAY(Sintesi!$C$15),1,$C63)&gt;0),0,IF(($E63=INDEX(_xlfn.ANCHORARRAY(Sintesi!$C$14),1,$C63))*(INDEX(_xlfn.ANCHORARRAY(Sintesi!$C$15),1,$C63)&lt;0)+($E63&gt;=$E62)*($E63&lt;=INDEX($E:$E,MATCH(TRUE,INDEX((ISNUMBER($E:$E)),0),0)))*($E63&gt;INDEX(_xlfn.ANCHORARRAY(Sintesi!$C$14),1,$C63))*($E63&lt;=INDEX(_xlfn.ANCHORARRAY(Sintesi!$C$15),1,$C63))*(INDEX(_xlfn.ANCHORARRAY(Sintesi!$C$15),1,$C63)&gt;0),1,IF(($E63&gt;=$E62)*($E63&lt;=INDEX($E:$E,MATCH(TRUE,INDEX((ISNUMBER($E:$E)),0),0)))*($E63&gt;INDEX(_xlfn.ANCHORARRAY(Sintesi!$C$14),1,$C63))*($E63&lt;INDEX(_xlfn.ANCHORARRAY(Sintesi!$C$16),1,$C63))*(INDEX(_xlfn.ANCHORARRAY(Sintesi!$C$15),1,$C63)&lt;0)+($E63&gt;=$E62)*($E63&lt;=INDEX($E:$E,MATCH(TRUE,INDEX((ISNUMBER($E:$E)),0),0)))*($E63&gt;INDEX(_xlfn.ANCHORARRAY(Sintesi!$C$15),1,$C63))*($E63&lt;INDEX(_xlfn.ANCHORARRAY(Sintesi!$C$16),1,$C63))*(INDEX(_xlfn.ANCHORARRAY(Sintesi!$C$15),1,$C63)&gt;0),2,IF($E63=(INDEX(_xlfn.ANCHORARRAY(Sintesi!$C$16),1,$C63)),3,4)))),0),IF($C63&gt;0,IF(($E63=INDEX(_xlfn.ANCHORARRAY(Sintesi!$C$14),1,$C63))*(INDEX(_xlfn.ANCHORARRAY(Sintesi!$C$15),1,$C63)&gt;0),0,IF(($E63=INDEX(_xlfn.ANCHORARRAY(Sintesi!$C$14),1,$C63))*(INDEX(_xlfn.ANCHORARRAY(Sintesi!$C$15),1,$C63)&lt;0)+($E63&gt;=LOOKUP(2,1/($E:$E&lt;&gt;""),$E:$E))*($E63&lt;=INDEX($E:$E,MATCH(TRUE,INDEX((ISNUMBER($E:$E)),0),0)))*($E63&gt;INDEX(_xlfn.ANCHORARRAY(Sintesi!$C$14),1,$C63))*($E63&lt;=INDEX(_xlfn.ANCHORARRAY(Sintesi!$C$15),1,$C63))*(INDEX(_xlfn.ANCHORARRAY(Sintesi!$C$15),1,$C63)&gt;0),1,IF(($E63&gt;=LOOKUP(2,1/($E:$E&lt;&gt;""),$E:$E))*($E63&lt;=INDEX($E:$E,MATCH(TRUE,INDEX((ISNUMBER($E:$E)),0),0)))*($E63&gt;INDEX(_xlfn.ANCHORARRAY(Sintesi!$C$14),1,$C63))*($E63&lt;INDEX(_xlfn.ANCHORARRAY(Sintesi!$C$16),1,$C63))*(INDEX(_xlfn.ANCHORARRAY(Sintesi!$C$15),1,$C63)&lt;0)+($E63&gt;=LOOKUP(2,1/($E:$E&lt;&gt;""),$E:$E))*($E63&lt;=INDEX($E:$E,MATCH(TRUE,INDEX((ISNUMBER($E:$E)),0),0)))*($E63&gt;INDEX(_xlfn.ANCHORARRAY(Sintesi!$C$15),1,$C63))*($E63&lt;INDEX(_xlfn.ANCHORARRAY(Sintesi!$C$16),1,$C63))*(INDEX(_xlfn.ANCHORARRAY(Sintesi!$C$15),1,$C63)&gt;0),2,IF($E63=(INDEX(_xlfn.ANCHORARRAY(Sintesi!$C$16),1,$C63)),3,4)))),0)),IF(ISNUMBER($E62),IF($C63&gt;0,IF(($E63=INDEX(_xlfn.ANCHORARRAY(Sintesi!$C$14),1,$C63))*(INDEX(_xlfn.ANCHORARRAY(Sintesi!$C$15),1,$C63)&gt;0),0,IF(($E63=INDEX(_xlfn.ANCHORARRAY(Sintesi!$C$14),1,$C63))*(INDEX(_xlfn.ANCHORARRAY(Sintesi!$C$15),1,$C63)&lt;0)+($E63&gt;=$E62)*($E63&lt;=$E64)*($E63&gt;INDEX(_xlfn.ANCHORARRAY(Sintesi!$C$14),1,$C63))*($E63&lt;=INDEX(_xlfn.ANCHORARRAY(Sintesi!$C$15),1,$C63))*(INDEX(_xlfn.ANCHORARRAY(Sintesi!$C$15),1,$C63)&gt;0),1,IF(($E63&gt;=$E62)*($E63&lt;=$E64)*($E63&gt;INDEX(_xlfn.ANCHORARRAY(Sintesi!$C$14),1,$C63))*($E63&lt;INDEX(_xlfn.ANCHORARRAY(Sintesi!$C$16),1,$C63))*(INDEX(_xlfn.ANCHORARRAY(Sintesi!$C$15),1,$C63)&lt;0)+($E63&gt;=$E62)*($E63&lt;=$E64)*($E63&gt;INDEX(_xlfn.ANCHORARRAY(Sintesi!$C$15),1,$C63))*($E63&lt;INDEX(_xlfn.ANCHORARRAY(Sintesi!$C$16),1,$C63))*(INDEX(_xlfn.ANCHORARRAY(Sintesi!$C$15),1,$C63)&gt;0),2,IF($E63=(INDEX(_xlfn.ANCHORARRAY(Sintesi!$C$16),1,$C63)),3,4)))),0),IF($C63&gt;0,IF(($E63=INDEX(_xlfn.ANCHORARRAY(Sintesi!$C$14),1,$C63))*(INDEX(_xlfn.ANCHORARRAY(Sintesi!$C$15),1,$C63)&gt;0),0,IF(($E63=INDEX(_xlfn.ANCHORARRAY(Sintesi!$C$14),1,$C63))*(INDEX(_xlfn.ANCHORARRAY(Sintesi!$C$15),1,$C63)&lt;0)+($E63&gt;=LOOKUP(2,1/($E:$E&lt;&gt;""),$E:$E))*($E63&lt;=$E64)*($E63&gt;INDEX(_xlfn.ANCHORARRAY(Sintesi!$C$14),1,$C63))*($E63&lt;=INDEX(_xlfn.ANCHORARRAY(Sintesi!$C$15),1,$C63))*(INDEX(_xlfn.ANCHORARRAY(Sintesi!$C$15),1,$C63)&gt;0),1,IF(($E63&gt;=LOOKUP(2,1/($E:$E&lt;&gt;""),$E:$E))*($E63&lt;=$E64)*($E63&gt;INDEX(_xlfn.ANCHORARRAY(Sintesi!$C$14),1,$C63))*($E63&lt;INDEX(_xlfn.ANCHORARRAY(Sintesi!$C$16),1,$C63))*(INDEX(_xlfn.ANCHORARRAY(Sintesi!$C$15),1,$C63)&lt;0)+($E63&gt;=LOOKUP(2,1/($E:$E&lt;&gt;""),$E:$E))*($E63&lt;=$E64)*($E63&gt;INDEX(_xlfn.ANCHORARRAY(Sintesi!$C$15),1,$C63))*($E63&lt;INDEX(_xlfn.ANCHORARRAY(Sintesi!$C$16),1,$C63))*(INDEX(_xlfn.ANCHORARRAY(Sintesi!$C$15),1,$C63)&gt;0),2,IF($E63=(INDEX(_xlfn.ANCHORARRAY(Sintesi!$C$16),1,$C63)),3,4)))),0)))</f>
        <v>0</v>
      </c>
      <c r="E63" s="1">
        <f>'Paste cell here'!F63</f>
        <v>0</v>
      </c>
      <c r="F63" s="1">
        <f>'Paste cell here'!C63</f>
        <v>15.059999999999784</v>
      </c>
      <c r="G63" s="1">
        <f>'Paste cell here'!D63</f>
        <v>4.0799999999999645</v>
      </c>
      <c r="H63" s="1">
        <f>'Paste cell here'!E63</f>
        <v>1.2386207486183141</v>
      </c>
      <c r="I63" s="1">
        <f>'Paste cell here'!X63</f>
        <v>0</v>
      </c>
      <c r="J63" s="1">
        <f>'Paste cell here'!Y63+'Paste cell here'!S63</f>
        <v>0</v>
      </c>
      <c r="K63" s="1">
        <f t="shared" si="0"/>
        <v>0</v>
      </c>
      <c r="L63" s="1">
        <f t="shared" si="1"/>
        <v>11.692070925833814</v>
      </c>
      <c r="M63" s="1">
        <f t="array" ref="M63">IF(AND(A63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63&gt;=_xlfn.ANCHORARRAY(Sintesi!$C$9))+(_xlfn.ANCHORARRAY(Sintesi!$C$9)&gt;_xlfn.ANCHORARRAY(Sintesi!$C$10))*(A63&lt;=_xlfn.ANCHORARRAY(Sintesi!$C$10))+(_xlfn.ANCHORARRAY(Sintesi!$C$9)&lt;_xlfn.ANCHORARRAY(Sintesi!$C$10))*(A63&gt;=_xlfn.ANCHORARRAY(Sintesi!$C$9))*(A63&lt;=_xlfn.ANCHORARRAY(Sintesi!$C$10)),0)),0),A63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64&gt;=_xlfn.ANCHORARRAY(Sintesi!$C$9))+(_xlfn.ANCHORARRAY(Sintesi!$C$9)&gt;_xlfn.ANCHORARRAY(Sintesi!$C$10))*(A64&lt;=_xlfn.ANCHORARRAY(Sintesi!$C$10))+(_xlfn.ANCHORARRAY(Sintesi!$C$9)&lt;_xlfn.ANCHORARRAY(Sintesi!$C$10))*(A64&gt;=_xlfn.ANCHORARRAY(Sintesi!$C$9))*(A64&lt;=_xlfn.ANCHORARRAY(Sintesi!$C$10)),0)),0)),IF(L63&lt;_xlfn.IFNA(INDEX(_xlfn.ANCHORARRAY(Sintesi!$C$17),1,MATCH(1,(_xlfn.ANCHORARRAY(Sintesi!$C$9)&gt;_xlfn.ANCHORARRAY(Sintesi!$C$10))*(A62&gt;=_xlfn.ANCHORARRAY(Sintesi!$C$9))+(_xlfn.ANCHORARRAY(Sintesi!$C$9)&gt;_xlfn.ANCHORARRAY(Sintesi!$C$10))*(A62&lt;=_xlfn.ANCHORARRAY(Sintesi!$C$10))+(_xlfn.ANCHORARRAY(Sintesi!$C$9)&lt;_xlfn.ANCHORARRAY(Sintesi!$C$10))*(A62&gt;=_xlfn.ANCHORARRAY(Sintesi!$C$9))*(A62&lt;=_xlfn.ANCHORARRAY(Sintesi!$C$10)),0)),0),1,IF(L63&gt;=_xlfn.IFNA(INDEX(_xlfn.ANCHORARRAY(Sintesi!$C$18),1,MATCH(1,(_xlfn.ANCHORARRAY(Sintesi!$C$9)&gt;_xlfn.ANCHORARRAY(Sintesi!$C$10))*(A62&gt;=_xlfn.ANCHORARRAY(Sintesi!$C$9))+(_xlfn.ANCHORARRAY(Sintesi!$C$9)&gt;_xlfn.ANCHORARRAY(Sintesi!$C$10))*(A62&lt;=_xlfn.ANCHORARRAY(Sintesi!$C$10))+(_xlfn.ANCHORARRAY(Sintesi!$C$9)&lt;_xlfn.ANCHORARRAY(Sintesi!$C$10))*(A62&gt;=_xlfn.ANCHORARRAY(Sintesi!$C$9))*(A62&lt;=_xlfn.ANCHORARRAY(Sintesi!$C$10)),0)),0),0,1-(L63-_xlfn.IFNA(INDEX(_xlfn.ANCHORARRAY(Sintesi!$C$17),1,MATCH(1,(_xlfn.ANCHORARRAY(Sintesi!$C$9)&gt;_xlfn.ANCHORARRAY(Sintesi!$C$10))*(A62&gt;=_xlfn.ANCHORARRAY(Sintesi!$C$9))+(_xlfn.ANCHORARRAY(Sintesi!$C$9)&gt;_xlfn.ANCHORARRAY(Sintesi!$C$10))*(A62&lt;=_xlfn.ANCHORARRAY(Sintesi!$C$10))+(_xlfn.ANCHORARRAY(Sintesi!$C$9)&lt;_xlfn.ANCHORARRAY(Sintesi!$C$10))*(A62&gt;=_xlfn.ANCHORARRAY(Sintesi!$C$9))*(A62&lt;=_xlfn.ANCHORARRAY(Sintesi!$C$10)),0)),0))/(_xlfn.IFNA(INDEX(_xlfn.ANCHORARRAY(Sintesi!$C$18),1,MATCH(1,(_xlfn.ANCHORARRAY(Sintesi!$C$9)&gt;_xlfn.ANCHORARRAY(Sintesi!$C$10))*(A62&gt;=_xlfn.ANCHORARRAY(Sintesi!$C$9))+(_xlfn.ANCHORARRAY(Sintesi!$C$9)&gt;_xlfn.ANCHORARRAY(Sintesi!$C$10))*(A62&lt;=_xlfn.ANCHORARRAY(Sintesi!$C$10))+(_xlfn.ANCHORARRAY(Sintesi!$C$9)&lt;_xlfn.ANCHORARRAY(Sintesi!$C$10))*(A62&gt;=_xlfn.ANCHORARRAY(Sintesi!$C$9))*(A62&lt;=_xlfn.ANCHORARRAY(Sintesi!$C$10)),0)),0)-_xlfn.IFNA(INDEX(_xlfn.ANCHORARRAY(Sintesi!$C$17),1,MATCH(1,(_xlfn.ANCHORARRAY(Sintesi!$C$9)&gt;_xlfn.ANCHORARRAY(Sintesi!$C$10))*(A62&gt;=_xlfn.ANCHORARRAY(Sintesi!$C$9))+(_xlfn.ANCHORARRAY(Sintesi!$C$9)&gt;_xlfn.ANCHORARRAY(Sintesi!$C$10))*(A62&lt;=_xlfn.ANCHORARRAY(Sintesi!$C$10))+(_xlfn.ANCHORARRAY(Sintesi!$C$9)&lt;_xlfn.ANCHORARRAY(Sintesi!$C$10))*(A62&gt;=_xlfn.ANCHORARRAY(Sintesi!$C$9))*(A62&lt;=_xlfn.ANCHORARRAY(Sintesi!$C$10)),0)),0)))),0)</f>
        <v>0</v>
      </c>
    </row>
    <row r="64" spans="1:13">
      <c r="A64" s="1">
        <f>'Paste cell here'!A64</f>
        <v>63</v>
      </c>
      <c r="B64" s="2">
        <f>DATE(Sintesi!$C$4-1,12,31)+A64</f>
        <v>44259</v>
      </c>
      <c r="C64" s="34">
        <f t="array" ref="C64">_xlfn.IFNA(MATCH(1,((_xlfn.ANCHORARRAY(Sintesi!$C$9)&gt;_xlfn.ANCHORARRAY(Sintesi!$C$10))*(A64&gt;=_xlfn.ANCHORARRAY(Sintesi!$C$9))+(_xlfn.ANCHORARRAY(Sintesi!$C$9)&gt;_xlfn.ANCHORARRAY(Sintesi!$C$10))*(A64&lt;=_xlfn.ANCHORARRAY(Sintesi!$C$10))+(_xlfn.ANCHORARRAY(Sintesi!$C$9)&lt;_xlfn.ANCHORARRAY(Sintesi!$C$10))*(A64&gt;=_xlfn.ANCHORARRAY(Sintesi!$C$9))*(A64&lt;=_xlfn.ANCHORARRAY(Sintesi!$C$10)))*(_xlfn.ANCHORARRAY(Sintesi!$C$15)&gt;=0)+(_xlfn.ANCHORARRAY(Sintesi!$C$15)&lt;0),0),0)</f>
        <v>0</v>
      </c>
      <c r="D64" s="1">
        <f t="array" ref="D64">IF(ISBLANK($E65),IF(ISNUMBER($E63),IF($C64&gt;0,IF(($E64=INDEX(_xlfn.ANCHORARRAY(Sintesi!$C$14),1,$C64))*(INDEX(_xlfn.ANCHORARRAY(Sintesi!$C$15),1,$C64)&gt;0),0,IF(($E64=INDEX(_xlfn.ANCHORARRAY(Sintesi!$C$14),1,$C64))*(INDEX(_xlfn.ANCHORARRAY(Sintesi!$C$15),1,$C64)&lt;0)+($E64&gt;=$E63)*($E64&lt;=INDEX($E:$E,MATCH(TRUE,INDEX((ISNUMBER($E:$E)),0),0)))*($E64&gt;INDEX(_xlfn.ANCHORARRAY(Sintesi!$C$14),1,$C64))*($E64&lt;=INDEX(_xlfn.ANCHORARRAY(Sintesi!$C$15),1,$C64))*(INDEX(_xlfn.ANCHORARRAY(Sintesi!$C$15),1,$C64)&gt;0),1,IF(($E64&gt;=$E63)*($E64&lt;=INDEX($E:$E,MATCH(TRUE,INDEX((ISNUMBER($E:$E)),0),0)))*($E64&gt;INDEX(_xlfn.ANCHORARRAY(Sintesi!$C$14),1,$C64))*($E64&lt;INDEX(_xlfn.ANCHORARRAY(Sintesi!$C$16),1,$C64))*(INDEX(_xlfn.ANCHORARRAY(Sintesi!$C$15),1,$C64)&lt;0)+($E64&gt;=$E63)*($E64&lt;=INDEX($E:$E,MATCH(TRUE,INDEX((ISNUMBER($E:$E)),0),0)))*($E64&gt;INDEX(_xlfn.ANCHORARRAY(Sintesi!$C$15),1,$C64))*($E64&lt;INDEX(_xlfn.ANCHORARRAY(Sintesi!$C$16),1,$C64))*(INDEX(_xlfn.ANCHORARRAY(Sintesi!$C$15),1,$C64)&gt;0),2,IF($E64=(INDEX(_xlfn.ANCHORARRAY(Sintesi!$C$16),1,$C64)),3,4)))),0),IF($C64&gt;0,IF(($E64=INDEX(_xlfn.ANCHORARRAY(Sintesi!$C$14),1,$C64))*(INDEX(_xlfn.ANCHORARRAY(Sintesi!$C$15),1,$C64)&gt;0),0,IF(($E64=INDEX(_xlfn.ANCHORARRAY(Sintesi!$C$14),1,$C64))*(INDEX(_xlfn.ANCHORARRAY(Sintesi!$C$15),1,$C64)&lt;0)+($E64&gt;=LOOKUP(2,1/($E:$E&lt;&gt;""),$E:$E))*($E64&lt;=INDEX($E:$E,MATCH(TRUE,INDEX((ISNUMBER($E:$E)),0),0)))*($E64&gt;INDEX(_xlfn.ANCHORARRAY(Sintesi!$C$14),1,$C64))*($E64&lt;=INDEX(_xlfn.ANCHORARRAY(Sintesi!$C$15),1,$C64))*(INDEX(_xlfn.ANCHORARRAY(Sintesi!$C$15),1,$C64)&gt;0),1,IF(($E64&gt;=LOOKUP(2,1/($E:$E&lt;&gt;""),$E:$E))*($E64&lt;=INDEX($E:$E,MATCH(TRUE,INDEX((ISNUMBER($E:$E)),0),0)))*($E64&gt;INDEX(_xlfn.ANCHORARRAY(Sintesi!$C$14),1,$C64))*($E64&lt;INDEX(_xlfn.ANCHORARRAY(Sintesi!$C$16),1,$C64))*(INDEX(_xlfn.ANCHORARRAY(Sintesi!$C$15),1,$C64)&lt;0)+($E64&gt;=LOOKUP(2,1/($E:$E&lt;&gt;""),$E:$E))*($E64&lt;=INDEX($E:$E,MATCH(TRUE,INDEX((ISNUMBER($E:$E)),0),0)))*($E64&gt;INDEX(_xlfn.ANCHORARRAY(Sintesi!$C$15),1,$C64))*($E64&lt;INDEX(_xlfn.ANCHORARRAY(Sintesi!$C$16),1,$C64))*(INDEX(_xlfn.ANCHORARRAY(Sintesi!$C$15),1,$C64)&gt;0),2,IF($E64=(INDEX(_xlfn.ANCHORARRAY(Sintesi!$C$16),1,$C64)),3,4)))),0)),IF(ISNUMBER($E63),IF($C64&gt;0,IF(($E64=INDEX(_xlfn.ANCHORARRAY(Sintesi!$C$14),1,$C64))*(INDEX(_xlfn.ANCHORARRAY(Sintesi!$C$15),1,$C64)&gt;0),0,IF(($E64=INDEX(_xlfn.ANCHORARRAY(Sintesi!$C$14),1,$C64))*(INDEX(_xlfn.ANCHORARRAY(Sintesi!$C$15),1,$C64)&lt;0)+($E64&gt;=$E63)*($E64&lt;=$E65)*($E64&gt;INDEX(_xlfn.ANCHORARRAY(Sintesi!$C$14),1,$C64))*($E64&lt;=INDEX(_xlfn.ANCHORARRAY(Sintesi!$C$15),1,$C64))*(INDEX(_xlfn.ANCHORARRAY(Sintesi!$C$15),1,$C64)&gt;0),1,IF(($E64&gt;=$E63)*($E64&lt;=$E65)*($E64&gt;INDEX(_xlfn.ANCHORARRAY(Sintesi!$C$14),1,$C64))*($E64&lt;INDEX(_xlfn.ANCHORARRAY(Sintesi!$C$16),1,$C64))*(INDEX(_xlfn.ANCHORARRAY(Sintesi!$C$15),1,$C64)&lt;0)+($E64&gt;=$E63)*($E64&lt;=$E65)*($E64&gt;INDEX(_xlfn.ANCHORARRAY(Sintesi!$C$15),1,$C64))*($E64&lt;INDEX(_xlfn.ANCHORARRAY(Sintesi!$C$16),1,$C64))*(INDEX(_xlfn.ANCHORARRAY(Sintesi!$C$15),1,$C64)&gt;0),2,IF($E64=(INDEX(_xlfn.ANCHORARRAY(Sintesi!$C$16),1,$C64)),3,4)))),0),IF($C64&gt;0,IF(($E64=INDEX(_xlfn.ANCHORARRAY(Sintesi!$C$14),1,$C64))*(INDEX(_xlfn.ANCHORARRAY(Sintesi!$C$15),1,$C64)&gt;0),0,IF(($E64=INDEX(_xlfn.ANCHORARRAY(Sintesi!$C$14),1,$C64))*(INDEX(_xlfn.ANCHORARRAY(Sintesi!$C$15),1,$C64)&lt;0)+($E64&gt;=LOOKUP(2,1/($E:$E&lt;&gt;""),$E:$E))*($E64&lt;=$E65)*($E64&gt;INDEX(_xlfn.ANCHORARRAY(Sintesi!$C$14),1,$C64))*($E64&lt;=INDEX(_xlfn.ANCHORARRAY(Sintesi!$C$15),1,$C64))*(INDEX(_xlfn.ANCHORARRAY(Sintesi!$C$15),1,$C64)&gt;0),1,IF(($E64&gt;=LOOKUP(2,1/($E:$E&lt;&gt;""),$E:$E))*($E64&lt;=$E65)*($E64&gt;INDEX(_xlfn.ANCHORARRAY(Sintesi!$C$14),1,$C64))*($E64&lt;INDEX(_xlfn.ANCHORARRAY(Sintesi!$C$16),1,$C64))*(INDEX(_xlfn.ANCHORARRAY(Sintesi!$C$15),1,$C64)&lt;0)+($E64&gt;=LOOKUP(2,1/($E:$E&lt;&gt;""),$E:$E))*($E64&lt;=$E65)*($E64&gt;INDEX(_xlfn.ANCHORARRAY(Sintesi!$C$15),1,$C64))*($E64&lt;INDEX(_xlfn.ANCHORARRAY(Sintesi!$C$16),1,$C64))*(INDEX(_xlfn.ANCHORARRAY(Sintesi!$C$15),1,$C64)&gt;0),2,IF($E64=(INDEX(_xlfn.ANCHORARRAY(Sintesi!$C$16),1,$C64)),3,4)))),0)))</f>
        <v>0</v>
      </c>
      <c r="E64" s="1">
        <f>'Paste cell here'!F64</f>
        <v>0</v>
      </c>
      <c r="F64" s="1">
        <f>'Paste cell here'!C64</f>
        <v>14.979999999999784</v>
      </c>
      <c r="G64" s="1">
        <f>'Paste cell here'!D64</f>
        <v>2.6999999999999917</v>
      </c>
      <c r="H64" s="1">
        <f>'Paste cell here'!E64</f>
        <v>1.3793333100211262</v>
      </c>
      <c r="I64" s="1">
        <f>'Paste cell here'!X64</f>
        <v>0</v>
      </c>
      <c r="J64" s="1">
        <f>'Paste cell here'!Y64+'Paste cell here'!S64</f>
        <v>0</v>
      </c>
      <c r="K64" s="1">
        <f t="shared" si="0"/>
        <v>0</v>
      </c>
      <c r="L64" s="1">
        <f t="shared" si="1"/>
        <v>11.213317938910706</v>
      </c>
      <c r="M64" s="1">
        <f t="array" ref="M64">IF(AND(A64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64&gt;=_xlfn.ANCHORARRAY(Sintesi!$C$9))+(_xlfn.ANCHORARRAY(Sintesi!$C$9)&gt;_xlfn.ANCHORARRAY(Sintesi!$C$10))*(A64&lt;=_xlfn.ANCHORARRAY(Sintesi!$C$10))+(_xlfn.ANCHORARRAY(Sintesi!$C$9)&lt;_xlfn.ANCHORARRAY(Sintesi!$C$10))*(A64&gt;=_xlfn.ANCHORARRAY(Sintesi!$C$9))*(A64&lt;=_xlfn.ANCHORARRAY(Sintesi!$C$10)),0)),0),A64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65&gt;=_xlfn.ANCHORARRAY(Sintesi!$C$9))+(_xlfn.ANCHORARRAY(Sintesi!$C$9)&gt;_xlfn.ANCHORARRAY(Sintesi!$C$10))*(A65&lt;=_xlfn.ANCHORARRAY(Sintesi!$C$10))+(_xlfn.ANCHORARRAY(Sintesi!$C$9)&lt;_xlfn.ANCHORARRAY(Sintesi!$C$10))*(A65&gt;=_xlfn.ANCHORARRAY(Sintesi!$C$9))*(A65&lt;=_xlfn.ANCHORARRAY(Sintesi!$C$10)),0)),0)),IF(L64&lt;_xlfn.IFNA(INDEX(_xlfn.ANCHORARRAY(Sintesi!$C$17),1,MATCH(1,(_xlfn.ANCHORARRAY(Sintesi!$C$9)&gt;_xlfn.ANCHORARRAY(Sintesi!$C$10))*(A63&gt;=_xlfn.ANCHORARRAY(Sintesi!$C$9))+(_xlfn.ANCHORARRAY(Sintesi!$C$9)&gt;_xlfn.ANCHORARRAY(Sintesi!$C$10))*(A63&lt;=_xlfn.ANCHORARRAY(Sintesi!$C$10))+(_xlfn.ANCHORARRAY(Sintesi!$C$9)&lt;_xlfn.ANCHORARRAY(Sintesi!$C$10))*(A63&gt;=_xlfn.ANCHORARRAY(Sintesi!$C$9))*(A63&lt;=_xlfn.ANCHORARRAY(Sintesi!$C$10)),0)),0),1,IF(L64&gt;=_xlfn.IFNA(INDEX(_xlfn.ANCHORARRAY(Sintesi!$C$18),1,MATCH(1,(_xlfn.ANCHORARRAY(Sintesi!$C$9)&gt;_xlfn.ANCHORARRAY(Sintesi!$C$10))*(A63&gt;=_xlfn.ANCHORARRAY(Sintesi!$C$9))+(_xlfn.ANCHORARRAY(Sintesi!$C$9)&gt;_xlfn.ANCHORARRAY(Sintesi!$C$10))*(A63&lt;=_xlfn.ANCHORARRAY(Sintesi!$C$10))+(_xlfn.ANCHORARRAY(Sintesi!$C$9)&lt;_xlfn.ANCHORARRAY(Sintesi!$C$10))*(A63&gt;=_xlfn.ANCHORARRAY(Sintesi!$C$9))*(A63&lt;=_xlfn.ANCHORARRAY(Sintesi!$C$10)),0)),0),0,1-(L64-_xlfn.IFNA(INDEX(_xlfn.ANCHORARRAY(Sintesi!$C$17),1,MATCH(1,(_xlfn.ANCHORARRAY(Sintesi!$C$9)&gt;_xlfn.ANCHORARRAY(Sintesi!$C$10))*(A63&gt;=_xlfn.ANCHORARRAY(Sintesi!$C$9))+(_xlfn.ANCHORARRAY(Sintesi!$C$9)&gt;_xlfn.ANCHORARRAY(Sintesi!$C$10))*(A63&lt;=_xlfn.ANCHORARRAY(Sintesi!$C$10))+(_xlfn.ANCHORARRAY(Sintesi!$C$9)&lt;_xlfn.ANCHORARRAY(Sintesi!$C$10))*(A63&gt;=_xlfn.ANCHORARRAY(Sintesi!$C$9))*(A63&lt;=_xlfn.ANCHORARRAY(Sintesi!$C$10)),0)),0))/(_xlfn.IFNA(INDEX(_xlfn.ANCHORARRAY(Sintesi!$C$18),1,MATCH(1,(_xlfn.ANCHORARRAY(Sintesi!$C$9)&gt;_xlfn.ANCHORARRAY(Sintesi!$C$10))*(A63&gt;=_xlfn.ANCHORARRAY(Sintesi!$C$9))+(_xlfn.ANCHORARRAY(Sintesi!$C$9)&gt;_xlfn.ANCHORARRAY(Sintesi!$C$10))*(A63&lt;=_xlfn.ANCHORARRAY(Sintesi!$C$10))+(_xlfn.ANCHORARRAY(Sintesi!$C$9)&lt;_xlfn.ANCHORARRAY(Sintesi!$C$10))*(A63&gt;=_xlfn.ANCHORARRAY(Sintesi!$C$9))*(A63&lt;=_xlfn.ANCHORARRAY(Sintesi!$C$10)),0)),0)-_xlfn.IFNA(INDEX(_xlfn.ANCHORARRAY(Sintesi!$C$17),1,MATCH(1,(_xlfn.ANCHORARRAY(Sintesi!$C$9)&gt;_xlfn.ANCHORARRAY(Sintesi!$C$10))*(A63&gt;=_xlfn.ANCHORARRAY(Sintesi!$C$9))+(_xlfn.ANCHORARRAY(Sintesi!$C$9)&gt;_xlfn.ANCHORARRAY(Sintesi!$C$10))*(A63&lt;=_xlfn.ANCHORARRAY(Sintesi!$C$10))+(_xlfn.ANCHORARRAY(Sintesi!$C$9)&lt;_xlfn.ANCHORARRAY(Sintesi!$C$10))*(A63&gt;=_xlfn.ANCHORARRAY(Sintesi!$C$9))*(A63&lt;=_xlfn.ANCHORARRAY(Sintesi!$C$10)),0)),0)))),0)</f>
        <v>0</v>
      </c>
    </row>
    <row r="65" spans="1:13">
      <c r="A65" s="1">
        <f>'Paste cell here'!A65</f>
        <v>64</v>
      </c>
      <c r="B65" s="2">
        <f>DATE(Sintesi!$C$4-1,12,31)+A65</f>
        <v>44260</v>
      </c>
      <c r="C65" s="34">
        <f t="array" ref="C65">_xlfn.IFNA(MATCH(1,((_xlfn.ANCHORARRAY(Sintesi!$C$9)&gt;_xlfn.ANCHORARRAY(Sintesi!$C$10))*(A65&gt;=_xlfn.ANCHORARRAY(Sintesi!$C$9))+(_xlfn.ANCHORARRAY(Sintesi!$C$9)&gt;_xlfn.ANCHORARRAY(Sintesi!$C$10))*(A65&lt;=_xlfn.ANCHORARRAY(Sintesi!$C$10))+(_xlfn.ANCHORARRAY(Sintesi!$C$9)&lt;_xlfn.ANCHORARRAY(Sintesi!$C$10))*(A65&gt;=_xlfn.ANCHORARRAY(Sintesi!$C$9))*(A65&lt;=_xlfn.ANCHORARRAY(Sintesi!$C$10)))*(_xlfn.ANCHORARRAY(Sintesi!$C$15)&gt;=0)+(_xlfn.ANCHORARRAY(Sintesi!$C$15)&lt;0),0),0)</f>
        <v>0</v>
      </c>
      <c r="D65" s="1">
        <f t="array" ref="D65">IF(ISBLANK($E66),IF(ISNUMBER($E64),IF($C65&gt;0,IF(($E65=INDEX(_xlfn.ANCHORARRAY(Sintesi!$C$14),1,$C65))*(INDEX(_xlfn.ANCHORARRAY(Sintesi!$C$15),1,$C65)&gt;0),0,IF(($E65=INDEX(_xlfn.ANCHORARRAY(Sintesi!$C$14),1,$C65))*(INDEX(_xlfn.ANCHORARRAY(Sintesi!$C$15),1,$C65)&lt;0)+($E65&gt;=$E64)*($E65&lt;=INDEX($E:$E,MATCH(TRUE,INDEX((ISNUMBER($E:$E)),0),0)))*($E65&gt;INDEX(_xlfn.ANCHORARRAY(Sintesi!$C$14),1,$C65))*($E65&lt;=INDEX(_xlfn.ANCHORARRAY(Sintesi!$C$15),1,$C65))*(INDEX(_xlfn.ANCHORARRAY(Sintesi!$C$15),1,$C65)&gt;0),1,IF(($E65&gt;=$E64)*($E65&lt;=INDEX($E:$E,MATCH(TRUE,INDEX((ISNUMBER($E:$E)),0),0)))*($E65&gt;INDEX(_xlfn.ANCHORARRAY(Sintesi!$C$14),1,$C65))*($E65&lt;INDEX(_xlfn.ANCHORARRAY(Sintesi!$C$16),1,$C65))*(INDEX(_xlfn.ANCHORARRAY(Sintesi!$C$15),1,$C65)&lt;0)+($E65&gt;=$E64)*($E65&lt;=INDEX($E:$E,MATCH(TRUE,INDEX((ISNUMBER($E:$E)),0),0)))*($E65&gt;INDEX(_xlfn.ANCHORARRAY(Sintesi!$C$15),1,$C65))*($E65&lt;INDEX(_xlfn.ANCHORARRAY(Sintesi!$C$16),1,$C65))*(INDEX(_xlfn.ANCHORARRAY(Sintesi!$C$15),1,$C65)&gt;0),2,IF($E65=(INDEX(_xlfn.ANCHORARRAY(Sintesi!$C$16),1,$C65)),3,4)))),0),IF($C65&gt;0,IF(($E65=INDEX(_xlfn.ANCHORARRAY(Sintesi!$C$14),1,$C65))*(INDEX(_xlfn.ANCHORARRAY(Sintesi!$C$15),1,$C65)&gt;0),0,IF(($E65=INDEX(_xlfn.ANCHORARRAY(Sintesi!$C$14),1,$C65))*(INDEX(_xlfn.ANCHORARRAY(Sintesi!$C$15),1,$C65)&lt;0)+($E65&gt;=LOOKUP(2,1/($E:$E&lt;&gt;""),$E:$E))*($E65&lt;=INDEX($E:$E,MATCH(TRUE,INDEX((ISNUMBER($E:$E)),0),0)))*($E65&gt;INDEX(_xlfn.ANCHORARRAY(Sintesi!$C$14),1,$C65))*($E65&lt;=INDEX(_xlfn.ANCHORARRAY(Sintesi!$C$15),1,$C65))*(INDEX(_xlfn.ANCHORARRAY(Sintesi!$C$15),1,$C65)&gt;0),1,IF(($E65&gt;=LOOKUP(2,1/($E:$E&lt;&gt;""),$E:$E))*($E65&lt;=INDEX($E:$E,MATCH(TRUE,INDEX((ISNUMBER($E:$E)),0),0)))*($E65&gt;INDEX(_xlfn.ANCHORARRAY(Sintesi!$C$14),1,$C65))*($E65&lt;INDEX(_xlfn.ANCHORARRAY(Sintesi!$C$16),1,$C65))*(INDEX(_xlfn.ANCHORARRAY(Sintesi!$C$15),1,$C65)&lt;0)+($E65&gt;=LOOKUP(2,1/($E:$E&lt;&gt;""),$E:$E))*($E65&lt;=INDEX($E:$E,MATCH(TRUE,INDEX((ISNUMBER($E:$E)),0),0)))*($E65&gt;INDEX(_xlfn.ANCHORARRAY(Sintesi!$C$15),1,$C65))*($E65&lt;INDEX(_xlfn.ANCHORARRAY(Sintesi!$C$16),1,$C65))*(INDEX(_xlfn.ANCHORARRAY(Sintesi!$C$15),1,$C65)&gt;0),2,IF($E65=(INDEX(_xlfn.ANCHORARRAY(Sintesi!$C$16),1,$C65)),3,4)))),0)),IF(ISNUMBER($E64),IF($C65&gt;0,IF(($E65=INDEX(_xlfn.ANCHORARRAY(Sintesi!$C$14),1,$C65))*(INDEX(_xlfn.ANCHORARRAY(Sintesi!$C$15),1,$C65)&gt;0),0,IF(($E65=INDEX(_xlfn.ANCHORARRAY(Sintesi!$C$14),1,$C65))*(INDEX(_xlfn.ANCHORARRAY(Sintesi!$C$15),1,$C65)&lt;0)+($E65&gt;=$E64)*($E65&lt;=$E66)*($E65&gt;INDEX(_xlfn.ANCHORARRAY(Sintesi!$C$14),1,$C65))*($E65&lt;=INDEX(_xlfn.ANCHORARRAY(Sintesi!$C$15),1,$C65))*(INDEX(_xlfn.ANCHORARRAY(Sintesi!$C$15),1,$C65)&gt;0),1,IF(($E65&gt;=$E64)*($E65&lt;=$E66)*($E65&gt;INDEX(_xlfn.ANCHORARRAY(Sintesi!$C$14),1,$C65))*($E65&lt;INDEX(_xlfn.ANCHORARRAY(Sintesi!$C$16),1,$C65))*(INDEX(_xlfn.ANCHORARRAY(Sintesi!$C$15),1,$C65)&lt;0)+($E65&gt;=$E64)*($E65&lt;=$E66)*($E65&gt;INDEX(_xlfn.ANCHORARRAY(Sintesi!$C$15),1,$C65))*($E65&lt;INDEX(_xlfn.ANCHORARRAY(Sintesi!$C$16),1,$C65))*(INDEX(_xlfn.ANCHORARRAY(Sintesi!$C$15),1,$C65)&gt;0),2,IF($E65=(INDEX(_xlfn.ANCHORARRAY(Sintesi!$C$16),1,$C65)),3,4)))),0),IF($C65&gt;0,IF(($E65=INDEX(_xlfn.ANCHORARRAY(Sintesi!$C$14),1,$C65))*(INDEX(_xlfn.ANCHORARRAY(Sintesi!$C$15),1,$C65)&gt;0),0,IF(($E65=INDEX(_xlfn.ANCHORARRAY(Sintesi!$C$14),1,$C65))*(INDEX(_xlfn.ANCHORARRAY(Sintesi!$C$15),1,$C65)&lt;0)+($E65&gt;=LOOKUP(2,1/($E:$E&lt;&gt;""),$E:$E))*($E65&lt;=$E66)*($E65&gt;INDEX(_xlfn.ANCHORARRAY(Sintesi!$C$14),1,$C65))*($E65&lt;=INDEX(_xlfn.ANCHORARRAY(Sintesi!$C$15),1,$C65))*(INDEX(_xlfn.ANCHORARRAY(Sintesi!$C$15),1,$C65)&gt;0),1,IF(($E65&gt;=LOOKUP(2,1/($E:$E&lt;&gt;""),$E:$E))*($E65&lt;=$E66)*($E65&gt;INDEX(_xlfn.ANCHORARRAY(Sintesi!$C$14),1,$C65))*($E65&lt;INDEX(_xlfn.ANCHORARRAY(Sintesi!$C$16),1,$C65))*(INDEX(_xlfn.ANCHORARRAY(Sintesi!$C$15),1,$C65)&lt;0)+($E65&gt;=LOOKUP(2,1/($E:$E&lt;&gt;""),$E:$E))*($E65&lt;=$E66)*($E65&gt;INDEX(_xlfn.ANCHORARRAY(Sintesi!$C$15),1,$C65))*($E65&lt;INDEX(_xlfn.ANCHORARRAY(Sintesi!$C$16),1,$C65))*(INDEX(_xlfn.ANCHORARRAY(Sintesi!$C$15),1,$C65)&gt;0),2,IF($E65=(INDEX(_xlfn.ANCHORARRAY(Sintesi!$C$16),1,$C65)),3,4)))),0)))</f>
        <v>0</v>
      </c>
      <c r="E65" s="1">
        <f>'Paste cell here'!F65</f>
        <v>0</v>
      </c>
      <c r="F65" s="1">
        <f>'Paste cell here'!C65</f>
        <v>17.439999999999749</v>
      </c>
      <c r="G65" s="1">
        <f>'Paste cell here'!D65</f>
        <v>6.1199999999999157</v>
      </c>
      <c r="H65" s="1">
        <f>'Paste cell here'!E65</f>
        <v>1.8007681935911806</v>
      </c>
      <c r="I65" s="1">
        <f>'Paste cell here'!X65</f>
        <v>0</v>
      </c>
      <c r="J65" s="1">
        <f>'Paste cell here'!Y65+'Paste cell here'!S65</f>
        <v>0</v>
      </c>
      <c r="K65" s="1">
        <f t="shared" si="0"/>
        <v>0</v>
      </c>
      <c r="L65" s="1">
        <f t="shared" si="1"/>
        <v>13.967781683100034</v>
      </c>
      <c r="M65" s="1">
        <f t="array" ref="M65">IF(AND(A65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65&gt;=_xlfn.ANCHORARRAY(Sintesi!$C$9))+(_xlfn.ANCHORARRAY(Sintesi!$C$9)&gt;_xlfn.ANCHORARRAY(Sintesi!$C$10))*(A65&lt;=_xlfn.ANCHORARRAY(Sintesi!$C$10))+(_xlfn.ANCHORARRAY(Sintesi!$C$9)&lt;_xlfn.ANCHORARRAY(Sintesi!$C$10))*(A65&gt;=_xlfn.ANCHORARRAY(Sintesi!$C$9))*(A65&lt;=_xlfn.ANCHORARRAY(Sintesi!$C$10)),0)),0),A65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66&gt;=_xlfn.ANCHORARRAY(Sintesi!$C$9))+(_xlfn.ANCHORARRAY(Sintesi!$C$9)&gt;_xlfn.ANCHORARRAY(Sintesi!$C$10))*(A66&lt;=_xlfn.ANCHORARRAY(Sintesi!$C$10))+(_xlfn.ANCHORARRAY(Sintesi!$C$9)&lt;_xlfn.ANCHORARRAY(Sintesi!$C$10))*(A66&gt;=_xlfn.ANCHORARRAY(Sintesi!$C$9))*(A66&lt;=_xlfn.ANCHORARRAY(Sintesi!$C$10)),0)),0)),IF(L65&lt;_xlfn.IFNA(INDEX(_xlfn.ANCHORARRAY(Sintesi!$C$17),1,MATCH(1,(_xlfn.ANCHORARRAY(Sintesi!$C$9)&gt;_xlfn.ANCHORARRAY(Sintesi!$C$10))*(A64&gt;=_xlfn.ANCHORARRAY(Sintesi!$C$9))+(_xlfn.ANCHORARRAY(Sintesi!$C$9)&gt;_xlfn.ANCHORARRAY(Sintesi!$C$10))*(A64&lt;=_xlfn.ANCHORARRAY(Sintesi!$C$10))+(_xlfn.ANCHORARRAY(Sintesi!$C$9)&lt;_xlfn.ANCHORARRAY(Sintesi!$C$10))*(A64&gt;=_xlfn.ANCHORARRAY(Sintesi!$C$9))*(A64&lt;=_xlfn.ANCHORARRAY(Sintesi!$C$10)),0)),0),1,IF(L65&gt;=_xlfn.IFNA(INDEX(_xlfn.ANCHORARRAY(Sintesi!$C$18),1,MATCH(1,(_xlfn.ANCHORARRAY(Sintesi!$C$9)&gt;_xlfn.ANCHORARRAY(Sintesi!$C$10))*(A64&gt;=_xlfn.ANCHORARRAY(Sintesi!$C$9))+(_xlfn.ANCHORARRAY(Sintesi!$C$9)&gt;_xlfn.ANCHORARRAY(Sintesi!$C$10))*(A64&lt;=_xlfn.ANCHORARRAY(Sintesi!$C$10))+(_xlfn.ANCHORARRAY(Sintesi!$C$9)&lt;_xlfn.ANCHORARRAY(Sintesi!$C$10))*(A64&gt;=_xlfn.ANCHORARRAY(Sintesi!$C$9))*(A64&lt;=_xlfn.ANCHORARRAY(Sintesi!$C$10)),0)),0),0,1-(L65-_xlfn.IFNA(INDEX(_xlfn.ANCHORARRAY(Sintesi!$C$17),1,MATCH(1,(_xlfn.ANCHORARRAY(Sintesi!$C$9)&gt;_xlfn.ANCHORARRAY(Sintesi!$C$10))*(A64&gt;=_xlfn.ANCHORARRAY(Sintesi!$C$9))+(_xlfn.ANCHORARRAY(Sintesi!$C$9)&gt;_xlfn.ANCHORARRAY(Sintesi!$C$10))*(A64&lt;=_xlfn.ANCHORARRAY(Sintesi!$C$10))+(_xlfn.ANCHORARRAY(Sintesi!$C$9)&lt;_xlfn.ANCHORARRAY(Sintesi!$C$10))*(A64&gt;=_xlfn.ANCHORARRAY(Sintesi!$C$9))*(A64&lt;=_xlfn.ANCHORARRAY(Sintesi!$C$10)),0)),0))/(_xlfn.IFNA(INDEX(_xlfn.ANCHORARRAY(Sintesi!$C$18),1,MATCH(1,(_xlfn.ANCHORARRAY(Sintesi!$C$9)&gt;_xlfn.ANCHORARRAY(Sintesi!$C$10))*(A64&gt;=_xlfn.ANCHORARRAY(Sintesi!$C$9))+(_xlfn.ANCHORARRAY(Sintesi!$C$9)&gt;_xlfn.ANCHORARRAY(Sintesi!$C$10))*(A64&lt;=_xlfn.ANCHORARRAY(Sintesi!$C$10))+(_xlfn.ANCHORARRAY(Sintesi!$C$9)&lt;_xlfn.ANCHORARRAY(Sintesi!$C$10))*(A64&gt;=_xlfn.ANCHORARRAY(Sintesi!$C$9))*(A64&lt;=_xlfn.ANCHORARRAY(Sintesi!$C$10)),0)),0)-_xlfn.IFNA(INDEX(_xlfn.ANCHORARRAY(Sintesi!$C$17),1,MATCH(1,(_xlfn.ANCHORARRAY(Sintesi!$C$9)&gt;_xlfn.ANCHORARRAY(Sintesi!$C$10))*(A64&gt;=_xlfn.ANCHORARRAY(Sintesi!$C$9))+(_xlfn.ANCHORARRAY(Sintesi!$C$9)&gt;_xlfn.ANCHORARRAY(Sintesi!$C$10))*(A64&lt;=_xlfn.ANCHORARRAY(Sintesi!$C$10))+(_xlfn.ANCHORARRAY(Sintesi!$C$9)&lt;_xlfn.ANCHORARRAY(Sintesi!$C$10))*(A64&gt;=_xlfn.ANCHORARRAY(Sintesi!$C$9))*(A64&lt;=_xlfn.ANCHORARRAY(Sintesi!$C$10)),0)),0)))),0)</f>
        <v>0</v>
      </c>
    </row>
    <row r="66" spans="1:13">
      <c r="A66" s="1">
        <f>'Paste cell here'!A66</f>
        <v>65</v>
      </c>
      <c r="B66" s="2">
        <f>DATE(Sintesi!$C$4-1,12,31)+A66</f>
        <v>44261</v>
      </c>
      <c r="C66" s="34">
        <f t="array" ref="C66">_xlfn.IFNA(MATCH(1,((_xlfn.ANCHORARRAY(Sintesi!$C$9)&gt;_xlfn.ANCHORARRAY(Sintesi!$C$10))*(A66&gt;=_xlfn.ANCHORARRAY(Sintesi!$C$9))+(_xlfn.ANCHORARRAY(Sintesi!$C$9)&gt;_xlfn.ANCHORARRAY(Sintesi!$C$10))*(A66&lt;=_xlfn.ANCHORARRAY(Sintesi!$C$10))+(_xlfn.ANCHORARRAY(Sintesi!$C$9)&lt;_xlfn.ANCHORARRAY(Sintesi!$C$10))*(A66&gt;=_xlfn.ANCHORARRAY(Sintesi!$C$9))*(A66&lt;=_xlfn.ANCHORARRAY(Sintesi!$C$10)))*(_xlfn.ANCHORARRAY(Sintesi!$C$15)&gt;=0)+(_xlfn.ANCHORARRAY(Sintesi!$C$15)&lt;0),0),0)</f>
        <v>0</v>
      </c>
      <c r="D66" s="1">
        <f t="array" ref="D66">IF(ISBLANK($E67),IF(ISNUMBER($E65),IF($C66&gt;0,IF(($E66=INDEX(_xlfn.ANCHORARRAY(Sintesi!$C$14),1,$C66))*(INDEX(_xlfn.ANCHORARRAY(Sintesi!$C$15),1,$C66)&gt;0),0,IF(($E66=INDEX(_xlfn.ANCHORARRAY(Sintesi!$C$14),1,$C66))*(INDEX(_xlfn.ANCHORARRAY(Sintesi!$C$15),1,$C66)&lt;0)+($E66&gt;=$E65)*($E66&lt;=INDEX($E:$E,MATCH(TRUE,INDEX((ISNUMBER($E:$E)),0),0)))*($E66&gt;INDEX(_xlfn.ANCHORARRAY(Sintesi!$C$14),1,$C66))*($E66&lt;=INDEX(_xlfn.ANCHORARRAY(Sintesi!$C$15),1,$C66))*(INDEX(_xlfn.ANCHORARRAY(Sintesi!$C$15),1,$C66)&gt;0),1,IF(($E66&gt;=$E65)*($E66&lt;=INDEX($E:$E,MATCH(TRUE,INDEX((ISNUMBER($E:$E)),0),0)))*($E66&gt;INDEX(_xlfn.ANCHORARRAY(Sintesi!$C$14),1,$C66))*($E66&lt;INDEX(_xlfn.ANCHORARRAY(Sintesi!$C$16),1,$C66))*(INDEX(_xlfn.ANCHORARRAY(Sintesi!$C$15),1,$C66)&lt;0)+($E66&gt;=$E65)*($E66&lt;=INDEX($E:$E,MATCH(TRUE,INDEX((ISNUMBER($E:$E)),0),0)))*($E66&gt;INDEX(_xlfn.ANCHORARRAY(Sintesi!$C$15),1,$C66))*($E66&lt;INDEX(_xlfn.ANCHORARRAY(Sintesi!$C$16),1,$C66))*(INDEX(_xlfn.ANCHORARRAY(Sintesi!$C$15),1,$C66)&gt;0),2,IF($E66=(INDEX(_xlfn.ANCHORARRAY(Sintesi!$C$16),1,$C66)),3,4)))),0),IF($C66&gt;0,IF(($E66=INDEX(_xlfn.ANCHORARRAY(Sintesi!$C$14),1,$C66))*(INDEX(_xlfn.ANCHORARRAY(Sintesi!$C$15),1,$C66)&gt;0),0,IF(($E66=INDEX(_xlfn.ANCHORARRAY(Sintesi!$C$14),1,$C66))*(INDEX(_xlfn.ANCHORARRAY(Sintesi!$C$15),1,$C66)&lt;0)+($E66&gt;=LOOKUP(2,1/($E:$E&lt;&gt;""),$E:$E))*($E66&lt;=INDEX($E:$E,MATCH(TRUE,INDEX((ISNUMBER($E:$E)),0),0)))*($E66&gt;INDEX(_xlfn.ANCHORARRAY(Sintesi!$C$14),1,$C66))*($E66&lt;=INDEX(_xlfn.ANCHORARRAY(Sintesi!$C$15),1,$C66))*(INDEX(_xlfn.ANCHORARRAY(Sintesi!$C$15),1,$C66)&gt;0),1,IF(($E66&gt;=LOOKUP(2,1/($E:$E&lt;&gt;""),$E:$E))*($E66&lt;=INDEX($E:$E,MATCH(TRUE,INDEX((ISNUMBER($E:$E)),0),0)))*($E66&gt;INDEX(_xlfn.ANCHORARRAY(Sintesi!$C$14),1,$C66))*($E66&lt;INDEX(_xlfn.ANCHORARRAY(Sintesi!$C$16),1,$C66))*(INDEX(_xlfn.ANCHORARRAY(Sintesi!$C$15),1,$C66)&lt;0)+($E66&gt;=LOOKUP(2,1/($E:$E&lt;&gt;""),$E:$E))*($E66&lt;=INDEX($E:$E,MATCH(TRUE,INDEX((ISNUMBER($E:$E)),0),0)))*($E66&gt;INDEX(_xlfn.ANCHORARRAY(Sintesi!$C$15),1,$C66))*($E66&lt;INDEX(_xlfn.ANCHORARRAY(Sintesi!$C$16),1,$C66))*(INDEX(_xlfn.ANCHORARRAY(Sintesi!$C$15),1,$C66)&gt;0),2,IF($E66=(INDEX(_xlfn.ANCHORARRAY(Sintesi!$C$16),1,$C66)),3,4)))),0)),IF(ISNUMBER($E65),IF($C66&gt;0,IF(($E66=INDEX(_xlfn.ANCHORARRAY(Sintesi!$C$14),1,$C66))*(INDEX(_xlfn.ANCHORARRAY(Sintesi!$C$15),1,$C66)&gt;0),0,IF(($E66=INDEX(_xlfn.ANCHORARRAY(Sintesi!$C$14),1,$C66))*(INDEX(_xlfn.ANCHORARRAY(Sintesi!$C$15),1,$C66)&lt;0)+($E66&gt;=$E65)*($E66&lt;=$E67)*($E66&gt;INDEX(_xlfn.ANCHORARRAY(Sintesi!$C$14),1,$C66))*($E66&lt;=INDEX(_xlfn.ANCHORARRAY(Sintesi!$C$15),1,$C66))*(INDEX(_xlfn.ANCHORARRAY(Sintesi!$C$15),1,$C66)&gt;0),1,IF(($E66&gt;=$E65)*($E66&lt;=$E67)*($E66&gt;INDEX(_xlfn.ANCHORARRAY(Sintesi!$C$14),1,$C66))*($E66&lt;INDEX(_xlfn.ANCHORARRAY(Sintesi!$C$16),1,$C66))*(INDEX(_xlfn.ANCHORARRAY(Sintesi!$C$15),1,$C66)&lt;0)+($E66&gt;=$E65)*($E66&lt;=$E67)*($E66&gt;INDEX(_xlfn.ANCHORARRAY(Sintesi!$C$15),1,$C66))*($E66&lt;INDEX(_xlfn.ANCHORARRAY(Sintesi!$C$16),1,$C66))*(INDEX(_xlfn.ANCHORARRAY(Sintesi!$C$15),1,$C66)&gt;0),2,IF($E66=(INDEX(_xlfn.ANCHORARRAY(Sintesi!$C$16),1,$C66)),3,4)))),0),IF($C66&gt;0,IF(($E66=INDEX(_xlfn.ANCHORARRAY(Sintesi!$C$14),1,$C66))*(INDEX(_xlfn.ANCHORARRAY(Sintesi!$C$15),1,$C66)&gt;0),0,IF(($E66=INDEX(_xlfn.ANCHORARRAY(Sintesi!$C$14),1,$C66))*(INDEX(_xlfn.ANCHORARRAY(Sintesi!$C$15),1,$C66)&lt;0)+($E66&gt;=LOOKUP(2,1/($E:$E&lt;&gt;""),$E:$E))*($E66&lt;=$E67)*($E66&gt;INDEX(_xlfn.ANCHORARRAY(Sintesi!$C$14),1,$C66))*($E66&lt;=INDEX(_xlfn.ANCHORARRAY(Sintesi!$C$15),1,$C66))*(INDEX(_xlfn.ANCHORARRAY(Sintesi!$C$15),1,$C66)&gt;0),1,IF(($E66&gt;=LOOKUP(2,1/($E:$E&lt;&gt;""),$E:$E))*($E66&lt;=$E67)*($E66&gt;INDEX(_xlfn.ANCHORARRAY(Sintesi!$C$14),1,$C66))*($E66&lt;INDEX(_xlfn.ANCHORARRAY(Sintesi!$C$16),1,$C66))*(INDEX(_xlfn.ANCHORARRAY(Sintesi!$C$15),1,$C66)&lt;0)+($E66&gt;=LOOKUP(2,1/($E:$E&lt;&gt;""),$E:$E))*($E66&lt;=$E67)*($E66&gt;INDEX(_xlfn.ANCHORARRAY(Sintesi!$C$15),1,$C66))*($E66&lt;INDEX(_xlfn.ANCHORARRAY(Sintesi!$C$16),1,$C66))*(INDEX(_xlfn.ANCHORARRAY(Sintesi!$C$15),1,$C66)&gt;0),2,IF($E66=(INDEX(_xlfn.ANCHORARRAY(Sintesi!$C$16),1,$C66)),3,4)))),0)))</f>
        <v>0</v>
      </c>
      <c r="E66" s="1">
        <f>'Paste cell here'!F66</f>
        <v>0</v>
      </c>
      <c r="F66" s="1">
        <f>'Paste cell here'!C66</f>
        <v>9.9599999999998552</v>
      </c>
      <c r="G66" s="1">
        <f>'Paste cell here'!D66</f>
        <v>4.3599999999999532</v>
      </c>
      <c r="H66" s="1">
        <f>'Paste cell here'!E66</f>
        <v>1.2614399722819389</v>
      </c>
      <c r="I66" s="1">
        <f>'Paste cell here'!X66</f>
        <v>0</v>
      </c>
      <c r="J66" s="1">
        <f>'Paste cell here'!Y66+'Paste cell here'!S66</f>
        <v>0</v>
      </c>
      <c r="K66" s="1">
        <f t="shared" ref="K66:K129" si="2">I66/H66</f>
        <v>0</v>
      </c>
      <c r="L66" s="1">
        <f t="shared" ref="L66:L129" si="3">AVERAGE(($F66+$G66)/2-($F66-$G66)/2*COS(PI()*(8-VLOOKUP(MONTH(B66),$O$1:$Q$13,3))/(VLOOKUP(MONTH(B66),$O$1:$Q$13,2)-VLOOKUP(MONTH(B66),$O$1:$Q$13,3))),($F66+$G66)/2-($F66-$G66)/2*COS(PI()*(9-VLOOKUP(MONTH(B66),$O$1:$Q$13,3))/(VLOOKUP(MONTH(B66),$O$1:$Q$13,2)-VLOOKUP(MONTH(B66),$O$1:$Q$13,3))),($F66+$G66)/2-($F66-$G66)/2*COS(PI()*(10-VLOOKUP(MONTH(B66),$O$1:$Q$13,3))/(VLOOKUP(MONTH(B66),$O$1:$Q$13,2)-VLOOKUP(MONTH(B66),$O$1:$Q$13,3))),($F66+$G66)/2-($F66-$G66)/2*COS(PI()*(11-VLOOKUP(MONTH(B66),$O$1:$Q$13,3))/(VLOOKUP(MONTH(B66),$O$1:$Q$13,2)-VLOOKUP(MONTH(B66),$O$1:$Q$13,3))),($F66+$G66)/2-($F66-$G66)/2*COS(PI()*(12-VLOOKUP(MONTH(B66),$O$1:$Q$13,3))/(VLOOKUP(MONTH(B66),$O$1:$Q$13,2)-VLOOKUP(MONTH(B66),$O$1:$Q$13,3))),($F66+$G66)/2-($F66-$G66)/2*COS(PI()*(13-VLOOKUP(MONTH(B66),$O$1:$Q$13,3))/(VLOOKUP(MONTH(B66),$O$1:$Q$13,2)-VLOOKUP(MONTH(B66),$O$1:$Q$13,3))),($F66+$G66)/2-($F66-$G66)/2*COS(PI()*(14-VLOOKUP(MONTH(B66),$O$1:$Q$13,3))/(VLOOKUP(MONTH(B66),$O$1:$Q$13,2)-VLOOKUP(MONTH(B66),$O$1:$Q$13,3))))</f>
        <v>8.2422948255618405</v>
      </c>
      <c r="M66" s="1">
        <f t="array" ref="M66">IF(AND(A66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66&gt;=_xlfn.ANCHORARRAY(Sintesi!$C$9))+(_xlfn.ANCHORARRAY(Sintesi!$C$9)&gt;_xlfn.ANCHORARRAY(Sintesi!$C$10))*(A66&lt;=_xlfn.ANCHORARRAY(Sintesi!$C$10))+(_xlfn.ANCHORARRAY(Sintesi!$C$9)&lt;_xlfn.ANCHORARRAY(Sintesi!$C$10))*(A66&gt;=_xlfn.ANCHORARRAY(Sintesi!$C$9))*(A66&lt;=_xlfn.ANCHORARRAY(Sintesi!$C$10)),0)),0),A66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67&gt;=_xlfn.ANCHORARRAY(Sintesi!$C$9))+(_xlfn.ANCHORARRAY(Sintesi!$C$9)&gt;_xlfn.ANCHORARRAY(Sintesi!$C$10))*(A67&lt;=_xlfn.ANCHORARRAY(Sintesi!$C$10))+(_xlfn.ANCHORARRAY(Sintesi!$C$9)&lt;_xlfn.ANCHORARRAY(Sintesi!$C$10))*(A67&gt;=_xlfn.ANCHORARRAY(Sintesi!$C$9))*(A67&lt;=_xlfn.ANCHORARRAY(Sintesi!$C$10)),0)),0)),IF(L66&lt;_xlfn.IFNA(INDEX(_xlfn.ANCHORARRAY(Sintesi!$C$17),1,MATCH(1,(_xlfn.ANCHORARRAY(Sintesi!$C$9)&gt;_xlfn.ANCHORARRAY(Sintesi!$C$10))*(A65&gt;=_xlfn.ANCHORARRAY(Sintesi!$C$9))+(_xlfn.ANCHORARRAY(Sintesi!$C$9)&gt;_xlfn.ANCHORARRAY(Sintesi!$C$10))*(A65&lt;=_xlfn.ANCHORARRAY(Sintesi!$C$10))+(_xlfn.ANCHORARRAY(Sintesi!$C$9)&lt;_xlfn.ANCHORARRAY(Sintesi!$C$10))*(A65&gt;=_xlfn.ANCHORARRAY(Sintesi!$C$9))*(A65&lt;=_xlfn.ANCHORARRAY(Sintesi!$C$10)),0)),0),1,IF(L66&gt;=_xlfn.IFNA(INDEX(_xlfn.ANCHORARRAY(Sintesi!$C$18),1,MATCH(1,(_xlfn.ANCHORARRAY(Sintesi!$C$9)&gt;_xlfn.ANCHORARRAY(Sintesi!$C$10))*(A65&gt;=_xlfn.ANCHORARRAY(Sintesi!$C$9))+(_xlfn.ANCHORARRAY(Sintesi!$C$9)&gt;_xlfn.ANCHORARRAY(Sintesi!$C$10))*(A65&lt;=_xlfn.ANCHORARRAY(Sintesi!$C$10))+(_xlfn.ANCHORARRAY(Sintesi!$C$9)&lt;_xlfn.ANCHORARRAY(Sintesi!$C$10))*(A65&gt;=_xlfn.ANCHORARRAY(Sintesi!$C$9))*(A65&lt;=_xlfn.ANCHORARRAY(Sintesi!$C$10)),0)),0),0,1-(L66-_xlfn.IFNA(INDEX(_xlfn.ANCHORARRAY(Sintesi!$C$17),1,MATCH(1,(_xlfn.ANCHORARRAY(Sintesi!$C$9)&gt;_xlfn.ANCHORARRAY(Sintesi!$C$10))*(A65&gt;=_xlfn.ANCHORARRAY(Sintesi!$C$9))+(_xlfn.ANCHORARRAY(Sintesi!$C$9)&gt;_xlfn.ANCHORARRAY(Sintesi!$C$10))*(A65&lt;=_xlfn.ANCHORARRAY(Sintesi!$C$10))+(_xlfn.ANCHORARRAY(Sintesi!$C$9)&lt;_xlfn.ANCHORARRAY(Sintesi!$C$10))*(A65&gt;=_xlfn.ANCHORARRAY(Sintesi!$C$9))*(A65&lt;=_xlfn.ANCHORARRAY(Sintesi!$C$10)),0)),0))/(_xlfn.IFNA(INDEX(_xlfn.ANCHORARRAY(Sintesi!$C$18),1,MATCH(1,(_xlfn.ANCHORARRAY(Sintesi!$C$9)&gt;_xlfn.ANCHORARRAY(Sintesi!$C$10))*(A65&gt;=_xlfn.ANCHORARRAY(Sintesi!$C$9))+(_xlfn.ANCHORARRAY(Sintesi!$C$9)&gt;_xlfn.ANCHORARRAY(Sintesi!$C$10))*(A65&lt;=_xlfn.ANCHORARRAY(Sintesi!$C$10))+(_xlfn.ANCHORARRAY(Sintesi!$C$9)&lt;_xlfn.ANCHORARRAY(Sintesi!$C$10))*(A65&gt;=_xlfn.ANCHORARRAY(Sintesi!$C$9))*(A65&lt;=_xlfn.ANCHORARRAY(Sintesi!$C$10)),0)),0)-_xlfn.IFNA(INDEX(_xlfn.ANCHORARRAY(Sintesi!$C$17),1,MATCH(1,(_xlfn.ANCHORARRAY(Sintesi!$C$9)&gt;_xlfn.ANCHORARRAY(Sintesi!$C$10))*(A65&gt;=_xlfn.ANCHORARRAY(Sintesi!$C$9))+(_xlfn.ANCHORARRAY(Sintesi!$C$9)&gt;_xlfn.ANCHORARRAY(Sintesi!$C$10))*(A65&lt;=_xlfn.ANCHORARRAY(Sintesi!$C$10))+(_xlfn.ANCHORARRAY(Sintesi!$C$9)&lt;_xlfn.ANCHORARRAY(Sintesi!$C$10))*(A65&gt;=_xlfn.ANCHORARRAY(Sintesi!$C$9))*(A65&lt;=_xlfn.ANCHORARRAY(Sintesi!$C$10)),0)),0)))),0)</f>
        <v>0</v>
      </c>
    </row>
    <row r="67" spans="1:13">
      <c r="A67" s="1">
        <f>'Paste cell here'!A67</f>
        <v>66</v>
      </c>
      <c r="B67" s="2">
        <f>DATE(Sintesi!$C$4-1,12,31)+A67</f>
        <v>44262</v>
      </c>
      <c r="C67" s="34">
        <f t="array" ref="C67">_xlfn.IFNA(MATCH(1,((_xlfn.ANCHORARRAY(Sintesi!$C$9)&gt;_xlfn.ANCHORARRAY(Sintesi!$C$10))*(A67&gt;=_xlfn.ANCHORARRAY(Sintesi!$C$9))+(_xlfn.ANCHORARRAY(Sintesi!$C$9)&gt;_xlfn.ANCHORARRAY(Sintesi!$C$10))*(A67&lt;=_xlfn.ANCHORARRAY(Sintesi!$C$10))+(_xlfn.ANCHORARRAY(Sintesi!$C$9)&lt;_xlfn.ANCHORARRAY(Sintesi!$C$10))*(A67&gt;=_xlfn.ANCHORARRAY(Sintesi!$C$9))*(A67&lt;=_xlfn.ANCHORARRAY(Sintesi!$C$10)))*(_xlfn.ANCHORARRAY(Sintesi!$C$15)&gt;=0)+(_xlfn.ANCHORARRAY(Sintesi!$C$15)&lt;0),0),0)</f>
        <v>0</v>
      </c>
      <c r="D67" s="1">
        <f t="array" ref="D67">IF(ISBLANK($E68),IF(ISNUMBER($E66),IF($C67&gt;0,IF(($E67=INDEX(_xlfn.ANCHORARRAY(Sintesi!$C$14),1,$C67))*(INDEX(_xlfn.ANCHORARRAY(Sintesi!$C$15),1,$C67)&gt;0),0,IF(($E67=INDEX(_xlfn.ANCHORARRAY(Sintesi!$C$14),1,$C67))*(INDEX(_xlfn.ANCHORARRAY(Sintesi!$C$15),1,$C67)&lt;0)+($E67&gt;=$E66)*($E67&lt;=INDEX($E:$E,MATCH(TRUE,INDEX((ISNUMBER($E:$E)),0),0)))*($E67&gt;INDEX(_xlfn.ANCHORARRAY(Sintesi!$C$14),1,$C67))*($E67&lt;=INDEX(_xlfn.ANCHORARRAY(Sintesi!$C$15),1,$C67))*(INDEX(_xlfn.ANCHORARRAY(Sintesi!$C$15),1,$C67)&gt;0),1,IF(($E67&gt;=$E66)*($E67&lt;=INDEX($E:$E,MATCH(TRUE,INDEX((ISNUMBER($E:$E)),0),0)))*($E67&gt;INDEX(_xlfn.ANCHORARRAY(Sintesi!$C$14),1,$C67))*($E67&lt;INDEX(_xlfn.ANCHORARRAY(Sintesi!$C$16),1,$C67))*(INDEX(_xlfn.ANCHORARRAY(Sintesi!$C$15),1,$C67)&lt;0)+($E67&gt;=$E66)*($E67&lt;=INDEX($E:$E,MATCH(TRUE,INDEX((ISNUMBER($E:$E)),0),0)))*($E67&gt;INDEX(_xlfn.ANCHORARRAY(Sintesi!$C$15),1,$C67))*($E67&lt;INDEX(_xlfn.ANCHORARRAY(Sintesi!$C$16),1,$C67))*(INDEX(_xlfn.ANCHORARRAY(Sintesi!$C$15),1,$C67)&gt;0),2,IF($E67=(INDEX(_xlfn.ANCHORARRAY(Sintesi!$C$16),1,$C67)),3,4)))),0),IF($C67&gt;0,IF(($E67=INDEX(_xlfn.ANCHORARRAY(Sintesi!$C$14),1,$C67))*(INDEX(_xlfn.ANCHORARRAY(Sintesi!$C$15),1,$C67)&gt;0),0,IF(($E67=INDEX(_xlfn.ANCHORARRAY(Sintesi!$C$14),1,$C67))*(INDEX(_xlfn.ANCHORARRAY(Sintesi!$C$15),1,$C67)&lt;0)+($E67&gt;=LOOKUP(2,1/($E:$E&lt;&gt;""),$E:$E))*($E67&lt;=INDEX($E:$E,MATCH(TRUE,INDEX((ISNUMBER($E:$E)),0),0)))*($E67&gt;INDEX(_xlfn.ANCHORARRAY(Sintesi!$C$14),1,$C67))*($E67&lt;=INDEX(_xlfn.ANCHORARRAY(Sintesi!$C$15),1,$C67))*(INDEX(_xlfn.ANCHORARRAY(Sintesi!$C$15),1,$C67)&gt;0),1,IF(($E67&gt;=LOOKUP(2,1/($E:$E&lt;&gt;""),$E:$E))*($E67&lt;=INDEX($E:$E,MATCH(TRUE,INDEX((ISNUMBER($E:$E)),0),0)))*($E67&gt;INDEX(_xlfn.ANCHORARRAY(Sintesi!$C$14),1,$C67))*($E67&lt;INDEX(_xlfn.ANCHORARRAY(Sintesi!$C$16),1,$C67))*(INDEX(_xlfn.ANCHORARRAY(Sintesi!$C$15),1,$C67)&lt;0)+($E67&gt;=LOOKUP(2,1/($E:$E&lt;&gt;""),$E:$E))*($E67&lt;=INDEX($E:$E,MATCH(TRUE,INDEX((ISNUMBER($E:$E)),0),0)))*($E67&gt;INDEX(_xlfn.ANCHORARRAY(Sintesi!$C$15),1,$C67))*($E67&lt;INDEX(_xlfn.ANCHORARRAY(Sintesi!$C$16),1,$C67))*(INDEX(_xlfn.ANCHORARRAY(Sintesi!$C$15),1,$C67)&gt;0),2,IF($E67=(INDEX(_xlfn.ANCHORARRAY(Sintesi!$C$16),1,$C67)),3,4)))),0)),IF(ISNUMBER($E66),IF($C67&gt;0,IF(($E67=INDEX(_xlfn.ANCHORARRAY(Sintesi!$C$14),1,$C67))*(INDEX(_xlfn.ANCHORARRAY(Sintesi!$C$15),1,$C67)&gt;0),0,IF(($E67=INDEX(_xlfn.ANCHORARRAY(Sintesi!$C$14),1,$C67))*(INDEX(_xlfn.ANCHORARRAY(Sintesi!$C$15),1,$C67)&lt;0)+($E67&gt;=$E66)*($E67&lt;=$E68)*($E67&gt;INDEX(_xlfn.ANCHORARRAY(Sintesi!$C$14),1,$C67))*($E67&lt;=INDEX(_xlfn.ANCHORARRAY(Sintesi!$C$15),1,$C67))*(INDEX(_xlfn.ANCHORARRAY(Sintesi!$C$15),1,$C67)&gt;0),1,IF(($E67&gt;=$E66)*($E67&lt;=$E68)*($E67&gt;INDEX(_xlfn.ANCHORARRAY(Sintesi!$C$14),1,$C67))*($E67&lt;INDEX(_xlfn.ANCHORARRAY(Sintesi!$C$16),1,$C67))*(INDEX(_xlfn.ANCHORARRAY(Sintesi!$C$15),1,$C67)&lt;0)+($E67&gt;=$E66)*($E67&lt;=$E68)*($E67&gt;INDEX(_xlfn.ANCHORARRAY(Sintesi!$C$15),1,$C67))*($E67&lt;INDEX(_xlfn.ANCHORARRAY(Sintesi!$C$16),1,$C67))*(INDEX(_xlfn.ANCHORARRAY(Sintesi!$C$15),1,$C67)&gt;0),2,IF($E67=(INDEX(_xlfn.ANCHORARRAY(Sintesi!$C$16),1,$C67)),3,4)))),0),IF($C67&gt;0,IF(($E67=INDEX(_xlfn.ANCHORARRAY(Sintesi!$C$14),1,$C67))*(INDEX(_xlfn.ANCHORARRAY(Sintesi!$C$15),1,$C67)&gt;0),0,IF(($E67=INDEX(_xlfn.ANCHORARRAY(Sintesi!$C$14),1,$C67))*(INDEX(_xlfn.ANCHORARRAY(Sintesi!$C$15),1,$C67)&lt;0)+($E67&gt;=LOOKUP(2,1/($E:$E&lt;&gt;""),$E:$E))*($E67&lt;=$E68)*($E67&gt;INDEX(_xlfn.ANCHORARRAY(Sintesi!$C$14),1,$C67))*($E67&lt;=INDEX(_xlfn.ANCHORARRAY(Sintesi!$C$15),1,$C67))*(INDEX(_xlfn.ANCHORARRAY(Sintesi!$C$15),1,$C67)&gt;0),1,IF(($E67&gt;=LOOKUP(2,1/($E:$E&lt;&gt;""),$E:$E))*($E67&lt;=$E68)*($E67&gt;INDEX(_xlfn.ANCHORARRAY(Sintesi!$C$14),1,$C67))*($E67&lt;INDEX(_xlfn.ANCHORARRAY(Sintesi!$C$16),1,$C67))*(INDEX(_xlfn.ANCHORARRAY(Sintesi!$C$15),1,$C67)&lt;0)+($E67&gt;=LOOKUP(2,1/($E:$E&lt;&gt;""),$E:$E))*($E67&lt;=$E68)*($E67&gt;INDEX(_xlfn.ANCHORARRAY(Sintesi!$C$15),1,$C67))*($E67&lt;INDEX(_xlfn.ANCHORARRAY(Sintesi!$C$16),1,$C67))*(INDEX(_xlfn.ANCHORARRAY(Sintesi!$C$15),1,$C67)&gt;0),2,IF($E67=(INDEX(_xlfn.ANCHORARRAY(Sintesi!$C$16),1,$C67)),3,4)))),0)))</f>
        <v>0</v>
      </c>
      <c r="E67" s="1">
        <f>'Paste cell here'!F67</f>
        <v>0</v>
      </c>
      <c r="F67" s="1">
        <f>'Paste cell here'!C67</f>
        <v>12.559999999999814</v>
      </c>
      <c r="G67" s="1">
        <f>'Paste cell here'!D67</f>
        <v>-0.21999999999997891</v>
      </c>
      <c r="H67" s="1">
        <f>'Paste cell here'!E67</f>
        <v>1.510018453793835</v>
      </c>
      <c r="I67" s="1">
        <f>'Paste cell here'!X67</f>
        <v>0</v>
      </c>
      <c r="J67" s="1">
        <f>'Paste cell here'!Y67+'Paste cell here'!S67</f>
        <v>0</v>
      </c>
      <c r="K67" s="1">
        <f t="shared" si="2"/>
        <v>0</v>
      </c>
      <c r="L67" s="1">
        <f t="shared" si="3"/>
        <v>8.6399514054787669</v>
      </c>
      <c r="M67" s="1">
        <f t="array" ref="M67">IF(AND(A67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67&gt;=_xlfn.ANCHORARRAY(Sintesi!$C$9))+(_xlfn.ANCHORARRAY(Sintesi!$C$9)&gt;_xlfn.ANCHORARRAY(Sintesi!$C$10))*(A67&lt;=_xlfn.ANCHORARRAY(Sintesi!$C$10))+(_xlfn.ANCHORARRAY(Sintesi!$C$9)&lt;_xlfn.ANCHORARRAY(Sintesi!$C$10))*(A67&gt;=_xlfn.ANCHORARRAY(Sintesi!$C$9))*(A67&lt;=_xlfn.ANCHORARRAY(Sintesi!$C$10)),0)),0),A67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68&gt;=_xlfn.ANCHORARRAY(Sintesi!$C$9))+(_xlfn.ANCHORARRAY(Sintesi!$C$9)&gt;_xlfn.ANCHORARRAY(Sintesi!$C$10))*(A68&lt;=_xlfn.ANCHORARRAY(Sintesi!$C$10))+(_xlfn.ANCHORARRAY(Sintesi!$C$9)&lt;_xlfn.ANCHORARRAY(Sintesi!$C$10))*(A68&gt;=_xlfn.ANCHORARRAY(Sintesi!$C$9))*(A68&lt;=_xlfn.ANCHORARRAY(Sintesi!$C$10)),0)),0)),IF(L67&lt;_xlfn.IFNA(INDEX(_xlfn.ANCHORARRAY(Sintesi!$C$17),1,MATCH(1,(_xlfn.ANCHORARRAY(Sintesi!$C$9)&gt;_xlfn.ANCHORARRAY(Sintesi!$C$10))*(A66&gt;=_xlfn.ANCHORARRAY(Sintesi!$C$9))+(_xlfn.ANCHORARRAY(Sintesi!$C$9)&gt;_xlfn.ANCHORARRAY(Sintesi!$C$10))*(A66&lt;=_xlfn.ANCHORARRAY(Sintesi!$C$10))+(_xlfn.ANCHORARRAY(Sintesi!$C$9)&lt;_xlfn.ANCHORARRAY(Sintesi!$C$10))*(A66&gt;=_xlfn.ANCHORARRAY(Sintesi!$C$9))*(A66&lt;=_xlfn.ANCHORARRAY(Sintesi!$C$10)),0)),0),1,IF(L67&gt;=_xlfn.IFNA(INDEX(_xlfn.ANCHORARRAY(Sintesi!$C$18),1,MATCH(1,(_xlfn.ANCHORARRAY(Sintesi!$C$9)&gt;_xlfn.ANCHORARRAY(Sintesi!$C$10))*(A66&gt;=_xlfn.ANCHORARRAY(Sintesi!$C$9))+(_xlfn.ANCHORARRAY(Sintesi!$C$9)&gt;_xlfn.ANCHORARRAY(Sintesi!$C$10))*(A66&lt;=_xlfn.ANCHORARRAY(Sintesi!$C$10))+(_xlfn.ANCHORARRAY(Sintesi!$C$9)&lt;_xlfn.ANCHORARRAY(Sintesi!$C$10))*(A66&gt;=_xlfn.ANCHORARRAY(Sintesi!$C$9))*(A66&lt;=_xlfn.ANCHORARRAY(Sintesi!$C$10)),0)),0),0,1-(L67-_xlfn.IFNA(INDEX(_xlfn.ANCHORARRAY(Sintesi!$C$17),1,MATCH(1,(_xlfn.ANCHORARRAY(Sintesi!$C$9)&gt;_xlfn.ANCHORARRAY(Sintesi!$C$10))*(A66&gt;=_xlfn.ANCHORARRAY(Sintesi!$C$9))+(_xlfn.ANCHORARRAY(Sintesi!$C$9)&gt;_xlfn.ANCHORARRAY(Sintesi!$C$10))*(A66&lt;=_xlfn.ANCHORARRAY(Sintesi!$C$10))+(_xlfn.ANCHORARRAY(Sintesi!$C$9)&lt;_xlfn.ANCHORARRAY(Sintesi!$C$10))*(A66&gt;=_xlfn.ANCHORARRAY(Sintesi!$C$9))*(A66&lt;=_xlfn.ANCHORARRAY(Sintesi!$C$10)),0)),0))/(_xlfn.IFNA(INDEX(_xlfn.ANCHORARRAY(Sintesi!$C$18),1,MATCH(1,(_xlfn.ANCHORARRAY(Sintesi!$C$9)&gt;_xlfn.ANCHORARRAY(Sintesi!$C$10))*(A66&gt;=_xlfn.ANCHORARRAY(Sintesi!$C$9))+(_xlfn.ANCHORARRAY(Sintesi!$C$9)&gt;_xlfn.ANCHORARRAY(Sintesi!$C$10))*(A66&lt;=_xlfn.ANCHORARRAY(Sintesi!$C$10))+(_xlfn.ANCHORARRAY(Sintesi!$C$9)&lt;_xlfn.ANCHORARRAY(Sintesi!$C$10))*(A66&gt;=_xlfn.ANCHORARRAY(Sintesi!$C$9))*(A66&lt;=_xlfn.ANCHORARRAY(Sintesi!$C$10)),0)),0)-_xlfn.IFNA(INDEX(_xlfn.ANCHORARRAY(Sintesi!$C$17),1,MATCH(1,(_xlfn.ANCHORARRAY(Sintesi!$C$9)&gt;_xlfn.ANCHORARRAY(Sintesi!$C$10))*(A66&gt;=_xlfn.ANCHORARRAY(Sintesi!$C$9))+(_xlfn.ANCHORARRAY(Sintesi!$C$9)&gt;_xlfn.ANCHORARRAY(Sintesi!$C$10))*(A66&lt;=_xlfn.ANCHORARRAY(Sintesi!$C$10))+(_xlfn.ANCHORARRAY(Sintesi!$C$9)&lt;_xlfn.ANCHORARRAY(Sintesi!$C$10))*(A66&gt;=_xlfn.ANCHORARRAY(Sintesi!$C$9))*(A66&lt;=_xlfn.ANCHORARRAY(Sintesi!$C$10)),0)),0)))),0)</f>
        <v>0</v>
      </c>
    </row>
    <row r="68" spans="1:13">
      <c r="A68" s="1">
        <f>'Paste cell here'!A68</f>
        <v>67</v>
      </c>
      <c r="B68" s="2">
        <f>DATE(Sintesi!$C$4-1,12,31)+A68</f>
        <v>44263</v>
      </c>
      <c r="C68" s="34">
        <f t="array" ref="C68">_xlfn.IFNA(MATCH(1,((_xlfn.ANCHORARRAY(Sintesi!$C$9)&gt;_xlfn.ANCHORARRAY(Sintesi!$C$10))*(A68&gt;=_xlfn.ANCHORARRAY(Sintesi!$C$9))+(_xlfn.ANCHORARRAY(Sintesi!$C$9)&gt;_xlfn.ANCHORARRAY(Sintesi!$C$10))*(A68&lt;=_xlfn.ANCHORARRAY(Sintesi!$C$10))+(_xlfn.ANCHORARRAY(Sintesi!$C$9)&lt;_xlfn.ANCHORARRAY(Sintesi!$C$10))*(A68&gt;=_xlfn.ANCHORARRAY(Sintesi!$C$9))*(A68&lt;=_xlfn.ANCHORARRAY(Sintesi!$C$10)))*(_xlfn.ANCHORARRAY(Sintesi!$C$15)&gt;=0)+(_xlfn.ANCHORARRAY(Sintesi!$C$15)&lt;0),0),0)</f>
        <v>0</v>
      </c>
      <c r="D68" s="1">
        <f t="array" ref="D68">IF(ISBLANK($E69),IF(ISNUMBER($E67),IF($C68&gt;0,IF(($E68=INDEX(_xlfn.ANCHORARRAY(Sintesi!$C$14),1,$C68))*(INDEX(_xlfn.ANCHORARRAY(Sintesi!$C$15),1,$C68)&gt;0),0,IF(($E68=INDEX(_xlfn.ANCHORARRAY(Sintesi!$C$14),1,$C68))*(INDEX(_xlfn.ANCHORARRAY(Sintesi!$C$15),1,$C68)&lt;0)+($E68&gt;=$E67)*($E68&lt;=INDEX($E:$E,MATCH(TRUE,INDEX((ISNUMBER($E:$E)),0),0)))*($E68&gt;INDEX(_xlfn.ANCHORARRAY(Sintesi!$C$14),1,$C68))*($E68&lt;=INDEX(_xlfn.ANCHORARRAY(Sintesi!$C$15),1,$C68))*(INDEX(_xlfn.ANCHORARRAY(Sintesi!$C$15),1,$C68)&gt;0),1,IF(($E68&gt;=$E67)*($E68&lt;=INDEX($E:$E,MATCH(TRUE,INDEX((ISNUMBER($E:$E)),0),0)))*($E68&gt;INDEX(_xlfn.ANCHORARRAY(Sintesi!$C$14),1,$C68))*($E68&lt;INDEX(_xlfn.ANCHORARRAY(Sintesi!$C$16),1,$C68))*(INDEX(_xlfn.ANCHORARRAY(Sintesi!$C$15),1,$C68)&lt;0)+($E68&gt;=$E67)*($E68&lt;=INDEX($E:$E,MATCH(TRUE,INDEX((ISNUMBER($E:$E)),0),0)))*($E68&gt;INDEX(_xlfn.ANCHORARRAY(Sintesi!$C$15),1,$C68))*($E68&lt;INDEX(_xlfn.ANCHORARRAY(Sintesi!$C$16),1,$C68))*(INDEX(_xlfn.ANCHORARRAY(Sintesi!$C$15),1,$C68)&gt;0),2,IF($E68=(INDEX(_xlfn.ANCHORARRAY(Sintesi!$C$16),1,$C68)),3,4)))),0),IF($C68&gt;0,IF(($E68=INDEX(_xlfn.ANCHORARRAY(Sintesi!$C$14),1,$C68))*(INDEX(_xlfn.ANCHORARRAY(Sintesi!$C$15),1,$C68)&gt;0),0,IF(($E68=INDEX(_xlfn.ANCHORARRAY(Sintesi!$C$14),1,$C68))*(INDEX(_xlfn.ANCHORARRAY(Sintesi!$C$15),1,$C68)&lt;0)+($E68&gt;=LOOKUP(2,1/($E:$E&lt;&gt;""),$E:$E))*($E68&lt;=INDEX($E:$E,MATCH(TRUE,INDEX((ISNUMBER($E:$E)),0),0)))*($E68&gt;INDEX(_xlfn.ANCHORARRAY(Sintesi!$C$14),1,$C68))*($E68&lt;=INDEX(_xlfn.ANCHORARRAY(Sintesi!$C$15),1,$C68))*(INDEX(_xlfn.ANCHORARRAY(Sintesi!$C$15),1,$C68)&gt;0),1,IF(($E68&gt;=LOOKUP(2,1/($E:$E&lt;&gt;""),$E:$E))*($E68&lt;=INDEX($E:$E,MATCH(TRUE,INDEX((ISNUMBER($E:$E)),0),0)))*($E68&gt;INDEX(_xlfn.ANCHORARRAY(Sintesi!$C$14),1,$C68))*($E68&lt;INDEX(_xlfn.ANCHORARRAY(Sintesi!$C$16),1,$C68))*(INDEX(_xlfn.ANCHORARRAY(Sintesi!$C$15),1,$C68)&lt;0)+($E68&gt;=LOOKUP(2,1/($E:$E&lt;&gt;""),$E:$E))*($E68&lt;=INDEX($E:$E,MATCH(TRUE,INDEX((ISNUMBER($E:$E)),0),0)))*($E68&gt;INDEX(_xlfn.ANCHORARRAY(Sintesi!$C$15),1,$C68))*($E68&lt;INDEX(_xlfn.ANCHORARRAY(Sintesi!$C$16),1,$C68))*(INDEX(_xlfn.ANCHORARRAY(Sintesi!$C$15),1,$C68)&gt;0),2,IF($E68=(INDEX(_xlfn.ANCHORARRAY(Sintesi!$C$16),1,$C68)),3,4)))),0)),IF(ISNUMBER($E67),IF($C68&gt;0,IF(($E68=INDEX(_xlfn.ANCHORARRAY(Sintesi!$C$14),1,$C68))*(INDEX(_xlfn.ANCHORARRAY(Sintesi!$C$15),1,$C68)&gt;0),0,IF(($E68=INDEX(_xlfn.ANCHORARRAY(Sintesi!$C$14),1,$C68))*(INDEX(_xlfn.ANCHORARRAY(Sintesi!$C$15),1,$C68)&lt;0)+($E68&gt;=$E67)*($E68&lt;=$E69)*($E68&gt;INDEX(_xlfn.ANCHORARRAY(Sintesi!$C$14),1,$C68))*($E68&lt;=INDEX(_xlfn.ANCHORARRAY(Sintesi!$C$15),1,$C68))*(INDEX(_xlfn.ANCHORARRAY(Sintesi!$C$15),1,$C68)&gt;0),1,IF(($E68&gt;=$E67)*($E68&lt;=$E69)*($E68&gt;INDEX(_xlfn.ANCHORARRAY(Sintesi!$C$14),1,$C68))*($E68&lt;INDEX(_xlfn.ANCHORARRAY(Sintesi!$C$16),1,$C68))*(INDEX(_xlfn.ANCHORARRAY(Sintesi!$C$15),1,$C68)&lt;0)+($E68&gt;=$E67)*($E68&lt;=$E69)*($E68&gt;INDEX(_xlfn.ANCHORARRAY(Sintesi!$C$15),1,$C68))*($E68&lt;INDEX(_xlfn.ANCHORARRAY(Sintesi!$C$16),1,$C68))*(INDEX(_xlfn.ANCHORARRAY(Sintesi!$C$15),1,$C68)&gt;0),2,IF($E68=(INDEX(_xlfn.ANCHORARRAY(Sintesi!$C$16),1,$C68)),3,4)))),0),IF($C68&gt;0,IF(($E68=INDEX(_xlfn.ANCHORARRAY(Sintesi!$C$14),1,$C68))*(INDEX(_xlfn.ANCHORARRAY(Sintesi!$C$15),1,$C68)&gt;0),0,IF(($E68=INDEX(_xlfn.ANCHORARRAY(Sintesi!$C$14),1,$C68))*(INDEX(_xlfn.ANCHORARRAY(Sintesi!$C$15),1,$C68)&lt;0)+($E68&gt;=LOOKUP(2,1/($E:$E&lt;&gt;""),$E:$E))*($E68&lt;=$E69)*($E68&gt;INDEX(_xlfn.ANCHORARRAY(Sintesi!$C$14),1,$C68))*($E68&lt;=INDEX(_xlfn.ANCHORARRAY(Sintesi!$C$15),1,$C68))*(INDEX(_xlfn.ANCHORARRAY(Sintesi!$C$15),1,$C68)&gt;0),1,IF(($E68&gt;=LOOKUP(2,1/($E:$E&lt;&gt;""),$E:$E))*($E68&lt;=$E69)*($E68&gt;INDEX(_xlfn.ANCHORARRAY(Sintesi!$C$14),1,$C68))*($E68&lt;INDEX(_xlfn.ANCHORARRAY(Sintesi!$C$16),1,$C68))*(INDEX(_xlfn.ANCHORARRAY(Sintesi!$C$15),1,$C68)&lt;0)+($E68&gt;=LOOKUP(2,1/($E:$E&lt;&gt;""),$E:$E))*($E68&lt;=$E69)*($E68&gt;INDEX(_xlfn.ANCHORARRAY(Sintesi!$C$15),1,$C68))*($E68&lt;INDEX(_xlfn.ANCHORARRAY(Sintesi!$C$16),1,$C68))*(INDEX(_xlfn.ANCHORARRAY(Sintesi!$C$15),1,$C68)&gt;0),2,IF($E68=(INDEX(_xlfn.ANCHORARRAY(Sintesi!$C$16),1,$C68)),3,4)))),0)))</f>
        <v>0</v>
      </c>
      <c r="E68" s="1">
        <f>'Paste cell here'!F68</f>
        <v>0</v>
      </c>
      <c r="F68" s="1">
        <f>'Paste cell here'!C68</f>
        <v>13.179999999999804</v>
      </c>
      <c r="G68" s="1">
        <f>'Paste cell here'!D68</f>
        <v>0.90000000000001279</v>
      </c>
      <c r="H68" s="1">
        <f>'Paste cell here'!E68</f>
        <v>1.5363747360132918</v>
      </c>
      <c r="I68" s="1">
        <f>'Paste cell here'!X68</f>
        <v>0</v>
      </c>
      <c r="J68" s="1">
        <f>'Paste cell here'!Y68+'Paste cell here'!S68</f>
        <v>0</v>
      </c>
      <c r="K68" s="1">
        <f t="shared" si="2"/>
        <v>0</v>
      </c>
      <c r="L68" s="1">
        <f t="shared" si="3"/>
        <v>9.4133179389107244</v>
      </c>
      <c r="M68" s="1">
        <f t="array" ref="M68">IF(AND(A68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68&gt;=_xlfn.ANCHORARRAY(Sintesi!$C$9))+(_xlfn.ANCHORARRAY(Sintesi!$C$9)&gt;_xlfn.ANCHORARRAY(Sintesi!$C$10))*(A68&lt;=_xlfn.ANCHORARRAY(Sintesi!$C$10))+(_xlfn.ANCHORARRAY(Sintesi!$C$9)&lt;_xlfn.ANCHORARRAY(Sintesi!$C$10))*(A68&gt;=_xlfn.ANCHORARRAY(Sintesi!$C$9))*(A68&lt;=_xlfn.ANCHORARRAY(Sintesi!$C$10)),0)),0),A68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69&gt;=_xlfn.ANCHORARRAY(Sintesi!$C$9))+(_xlfn.ANCHORARRAY(Sintesi!$C$9)&gt;_xlfn.ANCHORARRAY(Sintesi!$C$10))*(A69&lt;=_xlfn.ANCHORARRAY(Sintesi!$C$10))+(_xlfn.ANCHORARRAY(Sintesi!$C$9)&lt;_xlfn.ANCHORARRAY(Sintesi!$C$10))*(A69&gt;=_xlfn.ANCHORARRAY(Sintesi!$C$9))*(A69&lt;=_xlfn.ANCHORARRAY(Sintesi!$C$10)),0)),0)),IF(L68&lt;_xlfn.IFNA(INDEX(_xlfn.ANCHORARRAY(Sintesi!$C$17),1,MATCH(1,(_xlfn.ANCHORARRAY(Sintesi!$C$9)&gt;_xlfn.ANCHORARRAY(Sintesi!$C$10))*(A67&gt;=_xlfn.ANCHORARRAY(Sintesi!$C$9))+(_xlfn.ANCHORARRAY(Sintesi!$C$9)&gt;_xlfn.ANCHORARRAY(Sintesi!$C$10))*(A67&lt;=_xlfn.ANCHORARRAY(Sintesi!$C$10))+(_xlfn.ANCHORARRAY(Sintesi!$C$9)&lt;_xlfn.ANCHORARRAY(Sintesi!$C$10))*(A67&gt;=_xlfn.ANCHORARRAY(Sintesi!$C$9))*(A67&lt;=_xlfn.ANCHORARRAY(Sintesi!$C$10)),0)),0),1,IF(L68&gt;=_xlfn.IFNA(INDEX(_xlfn.ANCHORARRAY(Sintesi!$C$18),1,MATCH(1,(_xlfn.ANCHORARRAY(Sintesi!$C$9)&gt;_xlfn.ANCHORARRAY(Sintesi!$C$10))*(A67&gt;=_xlfn.ANCHORARRAY(Sintesi!$C$9))+(_xlfn.ANCHORARRAY(Sintesi!$C$9)&gt;_xlfn.ANCHORARRAY(Sintesi!$C$10))*(A67&lt;=_xlfn.ANCHORARRAY(Sintesi!$C$10))+(_xlfn.ANCHORARRAY(Sintesi!$C$9)&lt;_xlfn.ANCHORARRAY(Sintesi!$C$10))*(A67&gt;=_xlfn.ANCHORARRAY(Sintesi!$C$9))*(A67&lt;=_xlfn.ANCHORARRAY(Sintesi!$C$10)),0)),0),0,1-(L68-_xlfn.IFNA(INDEX(_xlfn.ANCHORARRAY(Sintesi!$C$17),1,MATCH(1,(_xlfn.ANCHORARRAY(Sintesi!$C$9)&gt;_xlfn.ANCHORARRAY(Sintesi!$C$10))*(A67&gt;=_xlfn.ANCHORARRAY(Sintesi!$C$9))+(_xlfn.ANCHORARRAY(Sintesi!$C$9)&gt;_xlfn.ANCHORARRAY(Sintesi!$C$10))*(A67&lt;=_xlfn.ANCHORARRAY(Sintesi!$C$10))+(_xlfn.ANCHORARRAY(Sintesi!$C$9)&lt;_xlfn.ANCHORARRAY(Sintesi!$C$10))*(A67&gt;=_xlfn.ANCHORARRAY(Sintesi!$C$9))*(A67&lt;=_xlfn.ANCHORARRAY(Sintesi!$C$10)),0)),0))/(_xlfn.IFNA(INDEX(_xlfn.ANCHORARRAY(Sintesi!$C$18),1,MATCH(1,(_xlfn.ANCHORARRAY(Sintesi!$C$9)&gt;_xlfn.ANCHORARRAY(Sintesi!$C$10))*(A67&gt;=_xlfn.ANCHORARRAY(Sintesi!$C$9))+(_xlfn.ANCHORARRAY(Sintesi!$C$9)&gt;_xlfn.ANCHORARRAY(Sintesi!$C$10))*(A67&lt;=_xlfn.ANCHORARRAY(Sintesi!$C$10))+(_xlfn.ANCHORARRAY(Sintesi!$C$9)&lt;_xlfn.ANCHORARRAY(Sintesi!$C$10))*(A67&gt;=_xlfn.ANCHORARRAY(Sintesi!$C$9))*(A67&lt;=_xlfn.ANCHORARRAY(Sintesi!$C$10)),0)),0)-_xlfn.IFNA(INDEX(_xlfn.ANCHORARRAY(Sintesi!$C$17),1,MATCH(1,(_xlfn.ANCHORARRAY(Sintesi!$C$9)&gt;_xlfn.ANCHORARRAY(Sintesi!$C$10))*(A67&gt;=_xlfn.ANCHORARRAY(Sintesi!$C$9))+(_xlfn.ANCHORARRAY(Sintesi!$C$9)&gt;_xlfn.ANCHORARRAY(Sintesi!$C$10))*(A67&lt;=_xlfn.ANCHORARRAY(Sintesi!$C$10))+(_xlfn.ANCHORARRAY(Sintesi!$C$9)&lt;_xlfn.ANCHORARRAY(Sintesi!$C$10))*(A67&gt;=_xlfn.ANCHORARRAY(Sintesi!$C$9))*(A67&lt;=_xlfn.ANCHORARRAY(Sintesi!$C$10)),0)),0)))),0)</f>
        <v>0</v>
      </c>
    </row>
    <row r="69" spans="1:13">
      <c r="A69" s="1">
        <f>'Paste cell here'!A69</f>
        <v>68</v>
      </c>
      <c r="B69" s="2">
        <f>DATE(Sintesi!$C$4-1,12,31)+A69</f>
        <v>44264</v>
      </c>
      <c r="C69" s="34">
        <f t="array" ref="C69">_xlfn.IFNA(MATCH(1,((_xlfn.ANCHORARRAY(Sintesi!$C$9)&gt;_xlfn.ANCHORARRAY(Sintesi!$C$10))*(A69&gt;=_xlfn.ANCHORARRAY(Sintesi!$C$9))+(_xlfn.ANCHORARRAY(Sintesi!$C$9)&gt;_xlfn.ANCHORARRAY(Sintesi!$C$10))*(A69&lt;=_xlfn.ANCHORARRAY(Sintesi!$C$10))+(_xlfn.ANCHORARRAY(Sintesi!$C$9)&lt;_xlfn.ANCHORARRAY(Sintesi!$C$10))*(A69&gt;=_xlfn.ANCHORARRAY(Sintesi!$C$9))*(A69&lt;=_xlfn.ANCHORARRAY(Sintesi!$C$10)))*(_xlfn.ANCHORARRAY(Sintesi!$C$15)&gt;=0)+(_xlfn.ANCHORARRAY(Sintesi!$C$15)&lt;0),0),0)</f>
        <v>0</v>
      </c>
      <c r="D69" s="1">
        <f t="array" ref="D69">IF(ISBLANK($E70),IF(ISNUMBER($E68),IF($C69&gt;0,IF(($E69=INDEX(_xlfn.ANCHORARRAY(Sintesi!$C$14),1,$C69))*(INDEX(_xlfn.ANCHORARRAY(Sintesi!$C$15),1,$C69)&gt;0),0,IF(($E69=INDEX(_xlfn.ANCHORARRAY(Sintesi!$C$14),1,$C69))*(INDEX(_xlfn.ANCHORARRAY(Sintesi!$C$15),1,$C69)&lt;0)+($E69&gt;=$E68)*($E69&lt;=INDEX($E:$E,MATCH(TRUE,INDEX((ISNUMBER($E:$E)),0),0)))*($E69&gt;INDEX(_xlfn.ANCHORARRAY(Sintesi!$C$14),1,$C69))*($E69&lt;=INDEX(_xlfn.ANCHORARRAY(Sintesi!$C$15),1,$C69))*(INDEX(_xlfn.ANCHORARRAY(Sintesi!$C$15),1,$C69)&gt;0),1,IF(($E69&gt;=$E68)*($E69&lt;=INDEX($E:$E,MATCH(TRUE,INDEX((ISNUMBER($E:$E)),0),0)))*($E69&gt;INDEX(_xlfn.ANCHORARRAY(Sintesi!$C$14),1,$C69))*($E69&lt;INDEX(_xlfn.ANCHORARRAY(Sintesi!$C$16),1,$C69))*(INDEX(_xlfn.ANCHORARRAY(Sintesi!$C$15),1,$C69)&lt;0)+($E69&gt;=$E68)*($E69&lt;=INDEX($E:$E,MATCH(TRUE,INDEX((ISNUMBER($E:$E)),0),0)))*($E69&gt;INDEX(_xlfn.ANCHORARRAY(Sintesi!$C$15),1,$C69))*($E69&lt;INDEX(_xlfn.ANCHORARRAY(Sintesi!$C$16),1,$C69))*(INDEX(_xlfn.ANCHORARRAY(Sintesi!$C$15),1,$C69)&gt;0),2,IF($E69=(INDEX(_xlfn.ANCHORARRAY(Sintesi!$C$16),1,$C69)),3,4)))),0),IF($C69&gt;0,IF(($E69=INDEX(_xlfn.ANCHORARRAY(Sintesi!$C$14),1,$C69))*(INDEX(_xlfn.ANCHORARRAY(Sintesi!$C$15),1,$C69)&gt;0),0,IF(($E69=INDEX(_xlfn.ANCHORARRAY(Sintesi!$C$14),1,$C69))*(INDEX(_xlfn.ANCHORARRAY(Sintesi!$C$15),1,$C69)&lt;0)+($E69&gt;=LOOKUP(2,1/($E:$E&lt;&gt;""),$E:$E))*($E69&lt;=INDEX($E:$E,MATCH(TRUE,INDEX((ISNUMBER($E:$E)),0),0)))*($E69&gt;INDEX(_xlfn.ANCHORARRAY(Sintesi!$C$14),1,$C69))*($E69&lt;=INDEX(_xlfn.ANCHORARRAY(Sintesi!$C$15),1,$C69))*(INDEX(_xlfn.ANCHORARRAY(Sintesi!$C$15),1,$C69)&gt;0),1,IF(($E69&gt;=LOOKUP(2,1/($E:$E&lt;&gt;""),$E:$E))*($E69&lt;=INDEX($E:$E,MATCH(TRUE,INDEX((ISNUMBER($E:$E)),0),0)))*($E69&gt;INDEX(_xlfn.ANCHORARRAY(Sintesi!$C$14),1,$C69))*($E69&lt;INDEX(_xlfn.ANCHORARRAY(Sintesi!$C$16),1,$C69))*(INDEX(_xlfn.ANCHORARRAY(Sintesi!$C$15),1,$C69)&lt;0)+($E69&gt;=LOOKUP(2,1/($E:$E&lt;&gt;""),$E:$E))*($E69&lt;=INDEX($E:$E,MATCH(TRUE,INDEX((ISNUMBER($E:$E)),0),0)))*($E69&gt;INDEX(_xlfn.ANCHORARRAY(Sintesi!$C$15),1,$C69))*($E69&lt;INDEX(_xlfn.ANCHORARRAY(Sintesi!$C$16),1,$C69))*(INDEX(_xlfn.ANCHORARRAY(Sintesi!$C$15),1,$C69)&gt;0),2,IF($E69=(INDEX(_xlfn.ANCHORARRAY(Sintesi!$C$16),1,$C69)),3,4)))),0)),IF(ISNUMBER($E68),IF($C69&gt;0,IF(($E69=INDEX(_xlfn.ANCHORARRAY(Sintesi!$C$14),1,$C69))*(INDEX(_xlfn.ANCHORARRAY(Sintesi!$C$15),1,$C69)&gt;0),0,IF(($E69=INDEX(_xlfn.ANCHORARRAY(Sintesi!$C$14),1,$C69))*(INDEX(_xlfn.ANCHORARRAY(Sintesi!$C$15),1,$C69)&lt;0)+($E69&gt;=$E68)*($E69&lt;=$E70)*($E69&gt;INDEX(_xlfn.ANCHORARRAY(Sintesi!$C$14),1,$C69))*($E69&lt;=INDEX(_xlfn.ANCHORARRAY(Sintesi!$C$15),1,$C69))*(INDEX(_xlfn.ANCHORARRAY(Sintesi!$C$15),1,$C69)&gt;0),1,IF(($E69&gt;=$E68)*($E69&lt;=$E70)*($E69&gt;INDEX(_xlfn.ANCHORARRAY(Sintesi!$C$14),1,$C69))*($E69&lt;INDEX(_xlfn.ANCHORARRAY(Sintesi!$C$16),1,$C69))*(INDEX(_xlfn.ANCHORARRAY(Sintesi!$C$15),1,$C69)&lt;0)+($E69&gt;=$E68)*($E69&lt;=$E70)*($E69&gt;INDEX(_xlfn.ANCHORARRAY(Sintesi!$C$15),1,$C69))*($E69&lt;INDEX(_xlfn.ANCHORARRAY(Sintesi!$C$16),1,$C69))*(INDEX(_xlfn.ANCHORARRAY(Sintesi!$C$15),1,$C69)&gt;0),2,IF($E69=(INDEX(_xlfn.ANCHORARRAY(Sintesi!$C$16),1,$C69)),3,4)))),0),IF($C69&gt;0,IF(($E69=INDEX(_xlfn.ANCHORARRAY(Sintesi!$C$14),1,$C69))*(INDEX(_xlfn.ANCHORARRAY(Sintesi!$C$15),1,$C69)&gt;0),0,IF(($E69=INDEX(_xlfn.ANCHORARRAY(Sintesi!$C$14),1,$C69))*(INDEX(_xlfn.ANCHORARRAY(Sintesi!$C$15),1,$C69)&lt;0)+($E69&gt;=LOOKUP(2,1/($E:$E&lt;&gt;""),$E:$E))*($E69&lt;=$E70)*($E69&gt;INDEX(_xlfn.ANCHORARRAY(Sintesi!$C$14),1,$C69))*($E69&lt;=INDEX(_xlfn.ANCHORARRAY(Sintesi!$C$15),1,$C69))*(INDEX(_xlfn.ANCHORARRAY(Sintesi!$C$15),1,$C69)&gt;0),1,IF(($E69&gt;=LOOKUP(2,1/($E:$E&lt;&gt;""),$E:$E))*($E69&lt;=$E70)*($E69&gt;INDEX(_xlfn.ANCHORARRAY(Sintesi!$C$14),1,$C69))*($E69&lt;INDEX(_xlfn.ANCHORARRAY(Sintesi!$C$16),1,$C69))*(INDEX(_xlfn.ANCHORARRAY(Sintesi!$C$15),1,$C69)&lt;0)+($E69&gt;=LOOKUP(2,1/($E:$E&lt;&gt;""),$E:$E))*($E69&lt;=$E70)*($E69&gt;INDEX(_xlfn.ANCHORARRAY(Sintesi!$C$15),1,$C69))*($E69&lt;INDEX(_xlfn.ANCHORARRAY(Sintesi!$C$16),1,$C69))*(INDEX(_xlfn.ANCHORARRAY(Sintesi!$C$15),1,$C69)&gt;0),2,IF($E69=(INDEX(_xlfn.ANCHORARRAY(Sintesi!$C$16),1,$C69)),3,4)))),0)))</f>
        <v>0</v>
      </c>
      <c r="E69" s="1">
        <f>'Paste cell here'!F69</f>
        <v>0</v>
      </c>
      <c r="F69" s="1">
        <f>'Paste cell here'!C69</f>
        <v>14.11999999999979</v>
      </c>
      <c r="G69" s="1">
        <f>'Paste cell here'!D69</f>
        <v>2.0599999999999983</v>
      </c>
      <c r="H69" s="1">
        <f>'Paste cell here'!E69</f>
        <v>1.6905039714930443</v>
      </c>
      <c r="I69" s="1">
        <f>'Paste cell here'!X69</f>
        <v>0</v>
      </c>
      <c r="J69" s="1">
        <f>'Paste cell here'!Y69+'Paste cell here'!S69</f>
        <v>0</v>
      </c>
      <c r="K69" s="1">
        <f t="shared" si="2"/>
        <v>0</v>
      </c>
      <c r="L69" s="1">
        <f t="shared" si="3"/>
        <v>10.420799213620777</v>
      </c>
      <c r="M69" s="1">
        <f t="array" ref="M69">IF(AND(A69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69&gt;=_xlfn.ANCHORARRAY(Sintesi!$C$9))+(_xlfn.ANCHORARRAY(Sintesi!$C$9)&gt;_xlfn.ANCHORARRAY(Sintesi!$C$10))*(A69&lt;=_xlfn.ANCHORARRAY(Sintesi!$C$10))+(_xlfn.ANCHORARRAY(Sintesi!$C$9)&lt;_xlfn.ANCHORARRAY(Sintesi!$C$10))*(A69&gt;=_xlfn.ANCHORARRAY(Sintesi!$C$9))*(A69&lt;=_xlfn.ANCHORARRAY(Sintesi!$C$10)),0)),0),A69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70&gt;=_xlfn.ANCHORARRAY(Sintesi!$C$9))+(_xlfn.ANCHORARRAY(Sintesi!$C$9)&gt;_xlfn.ANCHORARRAY(Sintesi!$C$10))*(A70&lt;=_xlfn.ANCHORARRAY(Sintesi!$C$10))+(_xlfn.ANCHORARRAY(Sintesi!$C$9)&lt;_xlfn.ANCHORARRAY(Sintesi!$C$10))*(A70&gt;=_xlfn.ANCHORARRAY(Sintesi!$C$9))*(A70&lt;=_xlfn.ANCHORARRAY(Sintesi!$C$10)),0)),0)),IF(L69&lt;_xlfn.IFNA(INDEX(_xlfn.ANCHORARRAY(Sintesi!$C$17),1,MATCH(1,(_xlfn.ANCHORARRAY(Sintesi!$C$9)&gt;_xlfn.ANCHORARRAY(Sintesi!$C$10))*(A68&gt;=_xlfn.ANCHORARRAY(Sintesi!$C$9))+(_xlfn.ANCHORARRAY(Sintesi!$C$9)&gt;_xlfn.ANCHORARRAY(Sintesi!$C$10))*(A68&lt;=_xlfn.ANCHORARRAY(Sintesi!$C$10))+(_xlfn.ANCHORARRAY(Sintesi!$C$9)&lt;_xlfn.ANCHORARRAY(Sintesi!$C$10))*(A68&gt;=_xlfn.ANCHORARRAY(Sintesi!$C$9))*(A68&lt;=_xlfn.ANCHORARRAY(Sintesi!$C$10)),0)),0),1,IF(L69&gt;=_xlfn.IFNA(INDEX(_xlfn.ANCHORARRAY(Sintesi!$C$18),1,MATCH(1,(_xlfn.ANCHORARRAY(Sintesi!$C$9)&gt;_xlfn.ANCHORARRAY(Sintesi!$C$10))*(A68&gt;=_xlfn.ANCHORARRAY(Sintesi!$C$9))+(_xlfn.ANCHORARRAY(Sintesi!$C$9)&gt;_xlfn.ANCHORARRAY(Sintesi!$C$10))*(A68&lt;=_xlfn.ANCHORARRAY(Sintesi!$C$10))+(_xlfn.ANCHORARRAY(Sintesi!$C$9)&lt;_xlfn.ANCHORARRAY(Sintesi!$C$10))*(A68&gt;=_xlfn.ANCHORARRAY(Sintesi!$C$9))*(A68&lt;=_xlfn.ANCHORARRAY(Sintesi!$C$10)),0)),0),0,1-(L69-_xlfn.IFNA(INDEX(_xlfn.ANCHORARRAY(Sintesi!$C$17),1,MATCH(1,(_xlfn.ANCHORARRAY(Sintesi!$C$9)&gt;_xlfn.ANCHORARRAY(Sintesi!$C$10))*(A68&gt;=_xlfn.ANCHORARRAY(Sintesi!$C$9))+(_xlfn.ANCHORARRAY(Sintesi!$C$9)&gt;_xlfn.ANCHORARRAY(Sintesi!$C$10))*(A68&lt;=_xlfn.ANCHORARRAY(Sintesi!$C$10))+(_xlfn.ANCHORARRAY(Sintesi!$C$9)&lt;_xlfn.ANCHORARRAY(Sintesi!$C$10))*(A68&gt;=_xlfn.ANCHORARRAY(Sintesi!$C$9))*(A68&lt;=_xlfn.ANCHORARRAY(Sintesi!$C$10)),0)),0))/(_xlfn.IFNA(INDEX(_xlfn.ANCHORARRAY(Sintesi!$C$18),1,MATCH(1,(_xlfn.ANCHORARRAY(Sintesi!$C$9)&gt;_xlfn.ANCHORARRAY(Sintesi!$C$10))*(A68&gt;=_xlfn.ANCHORARRAY(Sintesi!$C$9))+(_xlfn.ANCHORARRAY(Sintesi!$C$9)&gt;_xlfn.ANCHORARRAY(Sintesi!$C$10))*(A68&lt;=_xlfn.ANCHORARRAY(Sintesi!$C$10))+(_xlfn.ANCHORARRAY(Sintesi!$C$9)&lt;_xlfn.ANCHORARRAY(Sintesi!$C$10))*(A68&gt;=_xlfn.ANCHORARRAY(Sintesi!$C$9))*(A68&lt;=_xlfn.ANCHORARRAY(Sintesi!$C$10)),0)),0)-_xlfn.IFNA(INDEX(_xlfn.ANCHORARRAY(Sintesi!$C$17),1,MATCH(1,(_xlfn.ANCHORARRAY(Sintesi!$C$9)&gt;_xlfn.ANCHORARRAY(Sintesi!$C$10))*(A68&gt;=_xlfn.ANCHORARRAY(Sintesi!$C$9))+(_xlfn.ANCHORARRAY(Sintesi!$C$9)&gt;_xlfn.ANCHORARRAY(Sintesi!$C$10))*(A68&lt;=_xlfn.ANCHORARRAY(Sintesi!$C$10))+(_xlfn.ANCHORARRAY(Sintesi!$C$9)&lt;_xlfn.ANCHORARRAY(Sintesi!$C$10))*(A68&gt;=_xlfn.ANCHORARRAY(Sintesi!$C$9))*(A68&lt;=_xlfn.ANCHORARRAY(Sintesi!$C$10)),0)),0)))),0)</f>
        <v>0</v>
      </c>
    </row>
    <row r="70" spans="1:13">
      <c r="A70" s="1">
        <f>'Paste cell here'!A70</f>
        <v>69</v>
      </c>
      <c r="B70" s="2">
        <f>DATE(Sintesi!$C$4-1,12,31)+A70</f>
        <v>44265</v>
      </c>
      <c r="C70" s="34">
        <f t="array" ref="C70">_xlfn.IFNA(MATCH(1,((_xlfn.ANCHORARRAY(Sintesi!$C$9)&gt;_xlfn.ANCHORARRAY(Sintesi!$C$10))*(A70&gt;=_xlfn.ANCHORARRAY(Sintesi!$C$9))+(_xlfn.ANCHORARRAY(Sintesi!$C$9)&gt;_xlfn.ANCHORARRAY(Sintesi!$C$10))*(A70&lt;=_xlfn.ANCHORARRAY(Sintesi!$C$10))+(_xlfn.ANCHORARRAY(Sintesi!$C$9)&lt;_xlfn.ANCHORARRAY(Sintesi!$C$10))*(A70&gt;=_xlfn.ANCHORARRAY(Sintesi!$C$9))*(A70&lt;=_xlfn.ANCHORARRAY(Sintesi!$C$10)))*(_xlfn.ANCHORARRAY(Sintesi!$C$15)&gt;=0)+(_xlfn.ANCHORARRAY(Sintesi!$C$15)&lt;0),0),0)</f>
        <v>0</v>
      </c>
      <c r="D70" s="1">
        <f t="array" ref="D70">IF(ISBLANK($E71),IF(ISNUMBER($E69),IF($C70&gt;0,IF(($E70=INDEX(_xlfn.ANCHORARRAY(Sintesi!$C$14),1,$C70))*(INDEX(_xlfn.ANCHORARRAY(Sintesi!$C$15),1,$C70)&gt;0),0,IF(($E70=INDEX(_xlfn.ANCHORARRAY(Sintesi!$C$14),1,$C70))*(INDEX(_xlfn.ANCHORARRAY(Sintesi!$C$15),1,$C70)&lt;0)+($E70&gt;=$E69)*($E70&lt;=INDEX($E:$E,MATCH(TRUE,INDEX((ISNUMBER($E:$E)),0),0)))*($E70&gt;INDEX(_xlfn.ANCHORARRAY(Sintesi!$C$14),1,$C70))*($E70&lt;=INDEX(_xlfn.ANCHORARRAY(Sintesi!$C$15),1,$C70))*(INDEX(_xlfn.ANCHORARRAY(Sintesi!$C$15),1,$C70)&gt;0),1,IF(($E70&gt;=$E69)*($E70&lt;=INDEX($E:$E,MATCH(TRUE,INDEX((ISNUMBER($E:$E)),0),0)))*($E70&gt;INDEX(_xlfn.ANCHORARRAY(Sintesi!$C$14),1,$C70))*($E70&lt;INDEX(_xlfn.ANCHORARRAY(Sintesi!$C$16),1,$C70))*(INDEX(_xlfn.ANCHORARRAY(Sintesi!$C$15),1,$C70)&lt;0)+($E70&gt;=$E69)*($E70&lt;=INDEX($E:$E,MATCH(TRUE,INDEX((ISNUMBER($E:$E)),0),0)))*($E70&gt;INDEX(_xlfn.ANCHORARRAY(Sintesi!$C$15),1,$C70))*($E70&lt;INDEX(_xlfn.ANCHORARRAY(Sintesi!$C$16),1,$C70))*(INDEX(_xlfn.ANCHORARRAY(Sintesi!$C$15),1,$C70)&gt;0),2,IF($E70=(INDEX(_xlfn.ANCHORARRAY(Sintesi!$C$16),1,$C70)),3,4)))),0),IF($C70&gt;0,IF(($E70=INDEX(_xlfn.ANCHORARRAY(Sintesi!$C$14),1,$C70))*(INDEX(_xlfn.ANCHORARRAY(Sintesi!$C$15),1,$C70)&gt;0),0,IF(($E70=INDEX(_xlfn.ANCHORARRAY(Sintesi!$C$14),1,$C70))*(INDEX(_xlfn.ANCHORARRAY(Sintesi!$C$15),1,$C70)&lt;0)+($E70&gt;=LOOKUP(2,1/($E:$E&lt;&gt;""),$E:$E))*($E70&lt;=INDEX($E:$E,MATCH(TRUE,INDEX((ISNUMBER($E:$E)),0),0)))*($E70&gt;INDEX(_xlfn.ANCHORARRAY(Sintesi!$C$14),1,$C70))*($E70&lt;=INDEX(_xlfn.ANCHORARRAY(Sintesi!$C$15),1,$C70))*(INDEX(_xlfn.ANCHORARRAY(Sintesi!$C$15),1,$C70)&gt;0),1,IF(($E70&gt;=LOOKUP(2,1/($E:$E&lt;&gt;""),$E:$E))*($E70&lt;=INDEX($E:$E,MATCH(TRUE,INDEX((ISNUMBER($E:$E)),0),0)))*($E70&gt;INDEX(_xlfn.ANCHORARRAY(Sintesi!$C$14),1,$C70))*($E70&lt;INDEX(_xlfn.ANCHORARRAY(Sintesi!$C$16),1,$C70))*(INDEX(_xlfn.ANCHORARRAY(Sintesi!$C$15),1,$C70)&lt;0)+($E70&gt;=LOOKUP(2,1/($E:$E&lt;&gt;""),$E:$E))*($E70&lt;=INDEX($E:$E,MATCH(TRUE,INDEX((ISNUMBER($E:$E)),0),0)))*($E70&gt;INDEX(_xlfn.ANCHORARRAY(Sintesi!$C$15),1,$C70))*($E70&lt;INDEX(_xlfn.ANCHORARRAY(Sintesi!$C$16),1,$C70))*(INDEX(_xlfn.ANCHORARRAY(Sintesi!$C$15),1,$C70)&gt;0),2,IF($E70=(INDEX(_xlfn.ANCHORARRAY(Sintesi!$C$16),1,$C70)),3,4)))),0)),IF(ISNUMBER($E69),IF($C70&gt;0,IF(($E70=INDEX(_xlfn.ANCHORARRAY(Sintesi!$C$14),1,$C70))*(INDEX(_xlfn.ANCHORARRAY(Sintesi!$C$15),1,$C70)&gt;0),0,IF(($E70=INDEX(_xlfn.ANCHORARRAY(Sintesi!$C$14),1,$C70))*(INDEX(_xlfn.ANCHORARRAY(Sintesi!$C$15),1,$C70)&lt;0)+($E70&gt;=$E69)*($E70&lt;=$E71)*($E70&gt;INDEX(_xlfn.ANCHORARRAY(Sintesi!$C$14),1,$C70))*($E70&lt;=INDEX(_xlfn.ANCHORARRAY(Sintesi!$C$15),1,$C70))*(INDEX(_xlfn.ANCHORARRAY(Sintesi!$C$15),1,$C70)&gt;0),1,IF(($E70&gt;=$E69)*($E70&lt;=$E71)*($E70&gt;INDEX(_xlfn.ANCHORARRAY(Sintesi!$C$14),1,$C70))*($E70&lt;INDEX(_xlfn.ANCHORARRAY(Sintesi!$C$16),1,$C70))*(INDEX(_xlfn.ANCHORARRAY(Sintesi!$C$15),1,$C70)&lt;0)+($E70&gt;=$E69)*($E70&lt;=$E71)*($E70&gt;INDEX(_xlfn.ANCHORARRAY(Sintesi!$C$15),1,$C70))*($E70&lt;INDEX(_xlfn.ANCHORARRAY(Sintesi!$C$16),1,$C70))*(INDEX(_xlfn.ANCHORARRAY(Sintesi!$C$15),1,$C70)&gt;0),2,IF($E70=(INDEX(_xlfn.ANCHORARRAY(Sintesi!$C$16),1,$C70)),3,4)))),0),IF($C70&gt;0,IF(($E70=INDEX(_xlfn.ANCHORARRAY(Sintesi!$C$14),1,$C70))*(INDEX(_xlfn.ANCHORARRAY(Sintesi!$C$15),1,$C70)&gt;0),0,IF(($E70=INDEX(_xlfn.ANCHORARRAY(Sintesi!$C$14),1,$C70))*(INDEX(_xlfn.ANCHORARRAY(Sintesi!$C$15),1,$C70)&lt;0)+($E70&gt;=LOOKUP(2,1/($E:$E&lt;&gt;""),$E:$E))*($E70&lt;=$E71)*($E70&gt;INDEX(_xlfn.ANCHORARRAY(Sintesi!$C$14),1,$C70))*($E70&lt;=INDEX(_xlfn.ANCHORARRAY(Sintesi!$C$15),1,$C70))*(INDEX(_xlfn.ANCHORARRAY(Sintesi!$C$15),1,$C70)&gt;0),1,IF(($E70&gt;=LOOKUP(2,1/($E:$E&lt;&gt;""),$E:$E))*($E70&lt;=$E71)*($E70&gt;INDEX(_xlfn.ANCHORARRAY(Sintesi!$C$14),1,$C70))*($E70&lt;INDEX(_xlfn.ANCHORARRAY(Sintesi!$C$16),1,$C70))*(INDEX(_xlfn.ANCHORARRAY(Sintesi!$C$15),1,$C70)&lt;0)+($E70&gt;=LOOKUP(2,1/($E:$E&lt;&gt;""),$E:$E))*($E70&lt;=$E71)*($E70&gt;INDEX(_xlfn.ANCHORARRAY(Sintesi!$C$15),1,$C70))*($E70&lt;INDEX(_xlfn.ANCHORARRAY(Sintesi!$C$16),1,$C70))*(INDEX(_xlfn.ANCHORARRAY(Sintesi!$C$15),1,$C70)&gt;0),2,IF($E70=(INDEX(_xlfn.ANCHORARRAY(Sintesi!$C$16),1,$C70)),3,4)))),0)))</f>
        <v>0</v>
      </c>
      <c r="E70" s="1">
        <f>'Paste cell here'!F70</f>
        <v>0</v>
      </c>
      <c r="F70" s="1">
        <f>'Paste cell here'!C70</f>
        <v>15.059999999999778</v>
      </c>
      <c r="G70" s="1">
        <f>'Paste cell here'!D70</f>
        <v>2.3999999999999826</v>
      </c>
      <c r="H70" s="1">
        <f>'Paste cell here'!E70</f>
        <v>1.791521799187165</v>
      </c>
      <c r="I70" s="1">
        <f>'Paste cell here'!X70</f>
        <v>0</v>
      </c>
      <c r="J70" s="1">
        <f>'Paste cell here'!Y70+'Paste cell here'!S70</f>
        <v>0</v>
      </c>
      <c r="K70" s="1">
        <f t="shared" si="2"/>
        <v>0</v>
      </c>
      <c r="L70" s="1">
        <f t="shared" si="3"/>
        <v>11.176759373502401</v>
      </c>
      <c r="M70" s="1">
        <f t="array" ref="M70">IF(AND(A70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70&gt;=_xlfn.ANCHORARRAY(Sintesi!$C$9))+(_xlfn.ANCHORARRAY(Sintesi!$C$9)&gt;_xlfn.ANCHORARRAY(Sintesi!$C$10))*(A70&lt;=_xlfn.ANCHORARRAY(Sintesi!$C$10))+(_xlfn.ANCHORARRAY(Sintesi!$C$9)&lt;_xlfn.ANCHORARRAY(Sintesi!$C$10))*(A70&gt;=_xlfn.ANCHORARRAY(Sintesi!$C$9))*(A70&lt;=_xlfn.ANCHORARRAY(Sintesi!$C$10)),0)),0),A70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71&gt;=_xlfn.ANCHORARRAY(Sintesi!$C$9))+(_xlfn.ANCHORARRAY(Sintesi!$C$9)&gt;_xlfn.ANCHORARRAY(Sintesi!$C$10))*(A71&lt;=_xlfn.ANCHORARRAY(Sintesi!$C$10))+(_xlfn.ANCHORARRAY(Sintesi!$C$9)&lt;_xlfn.ANCHORARRAY(Sintesi!$C$10))*(A71&gt;=_xlfn.ANCHORARRAY(Sintesi!$C$9))*(A71&lt;=_xlfn.ANCHORARRAY(Sintesi!$C$10)),0)),0)),IF(L70&lt;_xlfn.IFNA(INDEX(_xlfn.ANCHORARRAY(Sintesi!$C$17),1,MATCH(1,(_xlfn.ANCHORARRAY(Sintesi!$C$9)&gt;_xlfn.ANCHORARRAY(Sintesi!$C$10))*(A69&gt;=_xlfn.ANCHORARRAY(Sintesi!$C$9))+(_xlfn.ANCHORARRAY(Sintesi!$C$9)&gt;_xlfn.ANCHORARRAY(Sintesi!$C$10))*(A69&lt;=_xlfn.ANCHORARRAY(Sintesi!$C$10))+(_xlfn.ANCHORARRAY(Sintesi!$C$9)&lt;_xlfn.ANCHORARRAY(Sintesi!$C$10))*(A69&gt;=_xlfn.ANCHORARRAY(Sintesi!$C$9))*(A69&lt;=_xlfn.ANCHORARRAY(Sintesi!$C$10)),0)),0),1,IF(L70&gt;=_xlfn.IFNA(INDEX(_xlfn.ANCHORARRAY(Sintesi!$C$18),1,MATCH(1,(_xlfn.ANCHORARRAY(Sintesi!$C$9)&gt;_xlfn.ANCHORARRAY(Sintesi!$C$10))*(A69&gt;=_xlfn.ANCHORARRAY(Sintesi!$C$9))+(_xlfn.ANCHORARRAY(Sintesi!$C$9)&gt;_xlfn.ANCHORARRAY(Sintesi!$C$10))*(A69&lt;=_xlfn.ANCHORARRAY(Sintesi!$C$10))+(_xlfn.ANCHORARRAY(Sintesi!$C$9)&lt;_xlfn.ANCHORARRAY(Sintesi!$C$10))*(A69&gt;=_xlfn.ANCHORARRAY(Sintesi!$C$9))*(A69&lt;=_xlfn.ANCHORARRAY(Sintesi!$C$10)),0)),0),0,1-(L70-_xlfn.IFNA(INDEX(_xlfn.ANCHORARRAY(Sintesi!$C$17),1,MATCH(1,(_xlfn.ANCHORARRAY(Sintesi!$C$9)&gt;_xlfn.ANCHORARRAY(Sintesi!$C$10))*(A69&gt;=_xlfn.ANCHORARRAY(Sintesi!$C$9))+(_xlfn.ANCHORARRAY(Sintesi!$C$9)&gt;_xlfn.ANCHORARRAY(Sintesi!$C$10))*(A69&lt;=_xlfn.ANCHORARRAY(Sintesi!$C$10))+(_xlfn.ANCHORARRAY(Sintesi!$C$9)&lt;_xlfn.ANCHORARRAY(Sintesi!$C$10))*(A69&gt;=_xlfn.ANCHORARRAY(Sintesi!$C$9))*(A69&lt;=_xlfn.ANCHORARRAY(Sintesi!$C$10)),0)),0))/(_xlfn.IFNA(INDEX(_xlfn.ANCHORARRAY(Sintesi!$C$18),1,MATCH(1,(_xlfn.ANCHORARRAY(Sintesi!$C$9)&gt;_xlfn.ANCHORARRAY(Sintesi!$C$10))*(A69&gt;=_xlfn.ANCHORARRAY(Sintesi!$C$9))+(_xlfn.ANCHORARRAY(Sintesi!$C$9)&gt;_xlfn.ANCHORARRAY(Sintesi!$C$10))*(A69&lt;=_xlfn.ANCHORARRAY(Sintesi!$C$10))+(_xlfn.ANCHORARRAY(Sintesi!$C$9)&lt;_xlfn.ANCHORARRAY(Sintesi!$C$10))*(A69&gt;=_xlfn.ANCHORARRAY(Sintesi!$C$9))*(A69&lt;=_xlfn.ANCHORARRAY(Sintesi!$C$10)),0)),0)-_xlfn.IFNA(INDEX(_xlfn.ANCHORARRAY(Sintesi!$C$17),1,MATCH(1,(_xlfn.ANCHORARRAY(Sintesi!$C$9)&gt;_xlfn.ANCHORARRAY(Sintesi!$C$10))*(A69&gt;=_xlfn.ANCHORARRAY(Sintesi!$C$9))+(_xlfn.ANCHORARRAY(Sintesi!$C$9)&gt;_xlfn.ANCHORARRAY(Sintesi!$C$10))*(A69&lt;=_xlfn.ANCHORARRAY(Sintesi!$C$10))+(_xlfn.ANCHORARRAY(Sintesi!$C$9)&lt;_xlfn.ANCHORARRAY(Sintesi!$C$10))*(A69&gt;=_xlfn.ANCHORARRAY(Sintesi!$C$9))*(A69&lt;=_xlfn.ANCHORARRAY(Sintesi!$C$10)),0)),0)))),0)</f>
        <v>0</v>
      </c>
    </row>
    <row r="71" spans="1:13">
      <c r="A71" s="1">
        <f>'Paste cell here'!A71</f>
        <v>70</v>
      </c>
      <c r="B71" s="2">
        <f>DATE(Sintesi!$C$4-1,12,31)+A71</f>
        <v>44266</v>
      </c>
      <c r="C71" s="34">
        <f t="array" ref="C71">_xlfn.IFNA(MATCH(1,((_xlfn.ANCHORARRAY(Sintesi!$C$9)&gt;_xlfn.ANCHORARRAY(Sintesi!$C$10))*(A71&gt;=_xlfn.ANCHORARRAY(Sintesi!$C$9))+(_xlfn.ANCHORARRAY(Sintesi!$C$9)&gt;_xlfn.ANCHORARRAY(Sintesi!$C$10))*(A71&lt;=_xlfn.ANCHORARRAY(Sintesi!$C$10))+(_xlfn.ANCHORARRAY(Sintesi!$C$9)&lt;_xlfn.ANCHORARRAY(Sintesi!$C$10))*(A71&gt;=_xlfn.ANCHORARRAY(Sintesi!$C$9))*(A71&lt;=_xlfn.ANCHORARRAY(Sintesi!$C$10)))*(_xlfn.ANCHORARRAY(Sintesi!$C$15)&gt;=0)+(_xlfn.ANCHORARRAY(Sintesi!$C$15)&lt;0),0),0)</f>
        <v>0</v>
      </c>
      <c r="D71" s="1">
        <f t="array" ref="D71">IF(ISBLANK($E72),IF(ISNUMBER($E70),IF($C71&gt;0,IF(($E71=INDEX(_xlfn.ANCHORARRAY(Sintesi!$C$14),1,$C71))*(INDEX(_xlfn.ANCHORARRAY(Sintesi!$C$15),1,$C71)&gt;0),0,IF(($E71=INDEX(_xlfn.ANCHORARRAY(Sintesi!$C$14),1,$C71))*(INDEX(_xlfn.ANCHORARRAY(Sintesi!$C$15),1,$C71)&lt;0)+($E71&gt;=$E70)*($E71&lt;=INDEX($E:$E,MATCH(TRUE,INDEX((ISNUMBER($E:$E)),0),0)))*($E71&gt;INDEX(_xlfn.ANCHORARRAY(Sintesi!$C$14),1,$C71))*($E71&lt;=INDEX(_xlfn.ANCHORARRAY(Sintesi!$C$15),1,$C71))*(INDEX(_xlfn.ANCHORARRAY(Sintesi!$C$15),1,$C71)&gt;0),1,IF(($E71&gt;=$E70)*($E71&lt;=INDEX($E:$E,MATCH(TRUE,INDEX((ISNUMBER($E:$E)),0),0)))*($E71&gt;INDEX(_xlfn.ANCHORARRAY(Sintesi!$C$14),1,$C71))*($E71&lt;INDEX(_xlfn.ANCHORARRAY(Sintesi!$C$16),1,$C71))*(INDEX(_xlfn.ANCHORARRAY(Sintesi!$C$15),1,$C71)&lt;0)+($E71&gt;=$E70)*($E71&lt;=INDEX($E:$E,MATCH(TRUE,INDEX((ISNUMBER($E:$E)),0),0)))*($E71&gt;INDEX(_xlfn.ANCHORARRAY(Sintesi!$C$15),1,$C71))*($E71&lt;INDEX(_xlfn.ANCHORARRAY(Sintesi!$C$16),1,$C71))*(INDEX(_xlfn.ANCHORARRAY(Sintesi!$C$15),1,$C71)&gt;0),2,IF($E71=(INDEX(_xlfn.ANCHORARRAY(Sintesi!$C$16),1,$C71)),3,4)))),0),IF($C71&gt;0,IF(($E71=INDEX(_xlfn.ANCHORARRAY(Sintesi!$C$14),1,$C71))*(INDEX(_xlfn.ANCHORARRAY(Sintesi!$C$15),1,$C71)&gt;0),0,IF(($E71=INDEX(_xlfn.ANCHORARRAY(Sintesi!$C$14),1,$C71))*(INDEX(_xlfn.ANCHORARRAY(Sintesi!$C$15),1,$C71)&lt;0)+($E71&gt;=LOOKUP(2,1/($E:$E&lt;&gt;""),$E:$E))*($E71&lt;=INDEX($E:$E,MATCH(TRUE,INDEX((ISNUMBER($E:$E)),0),0)))*($E71&gt;INDEX(_xlfn.ANCHORARRAY(Sintesi!$C$14),1,$C71))*($E71&lt;=INDEX(_xlfn.ANCHORARRAY(Sintesi!$C$15),1,$C71))*(INDEX(_xlfn.ANCHORARRAY(Sintesi!$C$15),1,$C71)&gt;0),1,IF(($E71&gt;=LOOKUP(2,1/($E:$E&lt;&gt;""),$E:$E))*($E71&lt;=INDEX($E:$E,MATCH(TRUE,INDEX((ISNUMBER($E:$E)),0),0)))*($E71&gt;INDEX(_xlfn.ANCHORARRAY(Sintesi!$C$14),1,$C71))*($E71&lt;INDEX(_xlfn.ANCHORARRAY(Sintesi!$C$16),1,$C71))*(INDEX(_xlfn.ANCHORARRAY(Sintesi!$C$15),1,$C71)&lt;0)+($E71&gt;=LOOKUP(2,1/($E:$E&lt;&gt;""),$E:$E))*($E71&lt;=INDEX($E:$E,MATCH(TRUE,INDEX((ISNUMBER($E:$E)),0),0)))*($E71&gt;INDEX(_xlfn.ANCHORARRAY(Sintesi!$C$15),1,$C71))*($E71&lt;INDEX(_xlfn.ANCHORARRAY(Sintesi!$C$16),1,$C71))*(INDEX(_xlfn.ANCHORARRAY(Sintesi!$C$15),1,$C71)&gt;0),2,IF($E71=(INDEX(_xlfn.ANCHORARRAY(Sintesi!$C$16),1,$C71)),3,4)))),0)),IF(ISNUMBER($E70),IF($C71&gt;0,IF(($E71=INDEX(_xlfn.ANCHORARRAY(Sintesi!$C$14),1,$C71))*(INDEX(_xlfn.ANCHORARRAY(Sintesi!$C$15),1,$C71)&gt;0),0,IF(($E71=INDEX(_xlfn.ANCHORARRAY(Sintesi!$C$14),1,$C71))*(INDEX(_xlfn.ANCHORARRAY(Sintesi!$C$15),1,$C71)&lt;0)+($E71&gt;=$E70)*($E71&lt;=$E72)*($E71&gt;INDEX(_xlfn.ANCHORARRAY(Sintesi!$C$14),1,$C71))*($E71&lt;=INDEX(_xlfn.ANCHORARRAY(Sintesi!$C$15),1,$C71))*(INDEX(_xlfn.ANCHORARRAY(Sintesi!$C$15),1,$C71)&gt;0),1,IF(($E71&gt;=$E70)*($E71&lt;=$E72)*($E71&gt;INDEX(_xlfn.ANCHORARRAY(Sintesi!$C$14),1,$C71))*($E71&lt;INDEX(_xlfn.ANCHORARRAY(Sintesi!$C$16),1,$C71))*(INDEX(_xlfn.ANCHORARRAY(Sintesi!$C$15),1,$C71)&lt;0)+($E71&gt;=$E70)*($E71&lt;=$E72)*($E71&gt;INDEX(_xlfn.ANCHORARRAY(Sintesi!$C$15),1,$C71))*($E71&lt;INDEX(_xlfn.ANCHORARRAY(Sintesi!$C$16),1,$C71))*(INDEX(_xlfn.ANCHORARRAY(Sintesi!$C$15),1,$C71)&gt;0),2,IF($E71=(INDEX(_xlfn.ANCHORARRAY(Sintesi!$C$16),1,$C71)),3,4)))),0),IF($C71&gt;0,IF(($E71=INDEX(_xlfn.ANCHORARRAY(Sintesi!$C$14),1,$C71))*(INDEX(_xlfn.ANCHORARRAY(Sintesi!$C$15),1,$C71)&gt;0),0,IF(($E71=INDEX(_xlfn.ANCHORARRAY(Sintesi!$C$14),1,$C71))*(INDEX(_xlfn.ANCHORARRAY(Sintesi!$C$15),1,$C71)&lt;0)+($E71&gt;=LOOKUP(2,1/($E:$E&lt;&gt;""),$E:$E))*($E71&lt;=$E72)*($E71&gt;INDEX(_xlfn.ANCHORARRAY(Sintesi!$C$14),1,$C71))*($E71&lt;=INDEX(_xlfn.ANCHORARRAY(Sintesi!$C$15),1,$C71))*(INDEX(_xlfn.ANCHORARRAY(Sintesi!$C$15),1,$C71)&gt;0),1,IF(($E71&gt;=LOOKUP(2,1/($E:$E&lt;&gt;""),$E:$E))*($E71&lt;=$E72)*($E71&gt;INDEX(_xlfn.ANCHORARRAY(Sintesi!$C$14),1,$C71))*($E71&lt;INDEX(_xlfn.ANCHORARRAY(Sintesi!$C$16),1,$C71))*(INDEX(_xlfn.ANCHORARRAY(Sintesi!$C$15),1,$C71)&lt;0)+($E71&gt;=LOOKUP(2,1/($E:$E&lt;&gt;""),$E:$E))*($E71&lt;=$E72)*($E71&gt;INDEX(_xlfn.ANCHORARRAY(Sintesi!$C$15),1,$C71))*($E71&lt;INDEX(_xlfn.ANCHORARRAY(Sintesi!$C$16),1,$C71))*(INDEX(_xlfn.ANCHORARRAY(Sintesi!$C$15),1,$C71)&gt;0),2,IF($E71=(INDEX(_xlfn.ANCHORARRAY(Sintesi!$C$16),1,$C71)),3,4)))),0)))</f>
        <v>0</v>
      </c>
      <c r="E71" s="1">
        <f>'Paste cell here'!F71</f>
        <v>0</v>
      </c>
      <c r="F71" s="1">
        <f>'Paste cell here'!C71</f>
        <v>12.179999999999826</v>
      </c>
      <c r="G71" s="1">
        <f>'Paste cell here'!D71</f>
        <v>3.5999999999999748</v>
      </c>
      <c r="H71" s="1">
        <f>'Paste cell here'!E71</f>
        <v>1.0907524312571786</v>
      </c>
      <c r="I71" s="1">
        <f>'Paste cell here'!X71</f>
        <v>0</v>
      </c>
      <c r="J71" s="1">
        <f>'Paste cell here'!Y71+'Paste cell here'!S71</f>
        <v>0</v>
      </c>
      <c r="K71" s="1">
        <f t="shared" si="2"/>
        <v>0</v>
      </c>
      <c r="L71" s="1">
        <f t="shared" si="3"/>
        <v>9.5482302863072928</v>
      </c>
      <c r="M71" s="1">
        <f t="array" ref="M71">IF(AND(A71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71&gt;=_xlfn.ANCHORARRAY(Sintesi!$C$9))+(_xlfn.ANCHORARRAY(Sintesi!$C$9)&gt;_xlfn.ANCHORARRAY(Sintesi!$C$10))*(A71&lt;=_xlfn.ANCHORARRAY(Sintesi!$C$10))+(_xlfn.ANCHORARRAY(Sintesi!$C$9)&lt;_xlfn.ANCHORARRAY(Sintesi!$C$10))*(A71&gt;=_xlfn.ANCHORARRAY(Sintesi!$C$9))*(A71&lt;=_xlfn.ANCHORARRAY(Sintesi!$C$10)),0)),0),A71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72&gt;=_xlfn.ANCHORARRAY(Sintesi!$C$9))+(_xlfn.ANCHORARRAY(Sintesi!$C$9)&gt;_xlfn.ANCHORARRAY(Sintesi!$C$10))*(A72&lt;=_xlfn.ANCHORARRAY(Sintesi!$C$10))+(_xlfn.ANCHORARRAY(Sintesi!$C$9)&lt;_xlfn.ANCHORARRAY(Sintesi!$C$10))*(A72&gt;=_xlfn.ANCHORARRAY(Sintesi!$C$9))*(A72&lt;=_xlfn.ANCHORARRAY(Sintesi!$C$10)),0)),0)),IF(L71&lt;_xlfn.IFNA(INDEX(_xlfn.ANCHORARRAY(Sintesi!$C$17),1,MATCH(1,(_xlfn.ANCHORARRAY(Sintesi!$C$9)&gt;_xlfn.ANCHORARRAY(Sintesi!$C$10))*(A70&gt;=_xlfn.ANCHORARRAY(Sintesi!$C$9))+(_xlfn.ANCHORARRAY(Sintesi!$C$9)&gt;_xlfn.ANCHORARRAY(Sintesi!$C$10))*(A70&lt;=_xlfn.ANCHORARRAY(Sintesi!$C$10))+(_xlfn.ANCHORARRAY(Sintesi!$C$9)&lt;_xlfn.ANCHORARRAY(Sintesi!$C$10))*(A70&gt;=_xlfn.ANCHORARRAY(Sintesi!$C$9))*(A70&lt;=_xlfn.ANCHORARRAY(Sintesi!$C$10)),0)),0),1,IF(L71&gt;=_xlfn.IFNA(INDEX(_xlfn.ANCHORARRAY(Sintesi!$C$18),1,MATCH(1,(_xlfn.ANCHORARRAY(Sintesi!$C$9)&gt;_xlfn.ANCHORARRAY(Sintesi!$C$10))*(A70&gt;=_xlfn.ANCHORARRAY(Sintesi!$C$9))+(_xlfn.ANCHORARRAY(Sintesi!$C$9)&gt;_xlfn.ANCHORARRAY(Sintesi!$C$10))*(A70&lt;=_xlfn.ANCHORARRAY(Sintesi!$C$10))+(_xlfn.ANCHORARRAY(Sintesi!$C$9)&lt;_xlfn.ANCHORARRAY(Sintesi!$C$10))*(A70&gt;=_xlfn.ANCHORARRAY(Sintesi!$C$9))*(A70&lt;=_xlfn.ANCHORARRAY(Sintesi!$C$10)),0)),0),0,1-(L71-_xlfn.IFNA(INDEX(_xlfn.ANCHORARRAY(Sintesi!$C$17),1,MATCH(1,(_xlfn.ANCHORARRAY(Sintesi!$C$9)&gt;_xlfn.ANCHORARRAY(Sintesi!$C$10))*(A70&gt;=_xlfn.ANCHORARRAY(Sintesi!$C$9))+(_xlfn.ANCHORARRAY(Sintesi!$C$9)&gt;_xlfn.ANCHORARRAY(Sintesi!$C$10))*(A70&lt;=_xlfn.ANCHORARRAY(Sintesi!$C$10))+(_xlfn.ANCHORARRAY(Sintesi!$C$9)&lt;_xlfn.ANCHORARRAY(Sintesi!$C$10))*(A70&gt;=_xlfn.ANCHORARRAY(Sintesi!$C$9))*(A70&lt;=_xlfn.ANCHORARRAY(Sintesi!$C$10)),0)),0))/(_xlfn.IFNA(INDEX(_xlfn.ANCHORARRAY(Sintesi!$C$18),1,MATCH(1,(_xlfn.ANCHORARRAY(Sintesi!$C$9)&gt;_xlfn.ANCHORARRAY(Sintesi!$C$10))*(A70&gt;=_xlfn.ANCHORARRAY(Sintesi!$C$9))+(_xlfn.ANCHORARRAY(Sintesi!$C$9)&gt;_xlfn.ANCHORARRAY(Sintesi!$C$10))*(A70&lt;=_xlfn.ANCHORARRAY(Sintesi!$C$10))+(_xlfn.ANCHORARRAY(Sintesi!$C$9)&lt;_xlfn.ANCHORARRAY(Sintesi!$C$10))*(A70&gt;=_xlfn.ANCHORARRAY(Sintesi!$C$9))*(A70&lt;=_xlfn.ANCHORARRAY(Sintesi!$C$10)),0)),0)-_xlfn.IFNA(INDEX(_xlfn.ANCHORARRAY(Sintesi!$C$17),1,MATCH(1,(_xlfn.ANCHORARRAY(Sintesi!$C$9)&gt;_xlfn.ANCHORARRAY(Sintesi!$C$10))*(A70&gt;=_xlfn.ANCHORARRAY(Sintesi!$C$9))+(_xlfn.ANCHORARRAY(Sintesi!$C$9)&gt;_xlfn.ANCHORARRAY(Sintesi!$C$10))*(A70&lt;=_xlfn.ANCHORARRAY(Sintesi!$C$10))+(_xlfn.ANCHORARRAY(Sintesi!$C$9)&lt;_xlfn.ANCHORARRAY(Sintesi!$C$10))*(A70&gt;=_xlfn.ANCHORARRAY(Sintesi!$C$9))*(A70&lt;=_xlfn.ANCHORARRAY(Sintesi!$C$10)),0)),0)))),0)</f>
        <v>0</v>
      </c>
    </row>
    <row r="72" spans="1:13">
      <c r="A72" s="1">
        <f>'Paste cell here'!A72</f>
        <v>71</v>
      </c>
      <c r="B72" s="2">
        <f>DATE(Sintesi!$C$4-1,12,31)+A72</f>
        <v>44267</v>
      </c>
      <c r="C72" s="34">
        <f t="array" ref="C72">_xlfn.IFNA(MATCH(1,((_xlfn.ANCHORARRAY(Sintesi!$C$9)&gt;_xlfn.ANCHORARRAY(Sintesi!$C$10))*(A72&gt;=_xlfn.ANCHORARRAY(Sintesi!$C$9))+(_xlfn.ANCHORARRAY(Sintesi!$C$9)&gt;_xlfn.ANCHORARRAY(Sintesi!$C$10))*(A72&lt;=_xlfn.ANCHORARRAY(Sintesi!$C$10))+(_xlfn.ANCHORARRAY(Sintesi!$C$9)&lt;_xlfn.ANCHORARRAY(Sintesi!$C$10))*(A72&gt;=_xlfn.ANCHORARRAY(Sintesi!$C$9))*(A72&lt;=_xlfn.ANCHORARRAY(Sintesi!$C$10)))*(_xlfn.ANCHORARRAY(Sintesi!$C$15)&gt;=0)+(_xlfn.ANCHORARRAY(Sintesi!$C$15)&lt;0),0),0)</f>
        <v>0</v>
      </c>
      <c r="D72" s="1">
        <f t="array" ref="D72">IF(ISBLANK($E73),IF(ISNUMBER($E71),IF($C72&gt;0,IF(($E72=INDEX(_xlfn.ANCHORARRAY(Sintesi!$C$14),1,$C72))*(INDEX(_xlfn.ANCHORARRAY(Sintesi!$C$15),1,$C72)&gt;0),0,IF(($E72=INDEX(_xlfn.ANCHORARRAY(Sintesi!$C$14),1,$C72))*(INDEX(_xlfn.ANCHORARRAY(Sintesi!$C$15),1,$C72)&lt;0)+($E72&gt;=$E71)*($E72&lt;=INDEX($E:$E,MATCH(TRUE,INDEX((ISNUMBER($E:$E)),0),0)))*($E72&gt;INDEX(_xlfn.ANCHORARRAY(Sintesi!$C$14),1,$C72))*($E72&lt;=INDEX(_xlfn.ANCHORARRAY(Sintesi!$C$15),1,$C72))*(INDEX(_xlfn.ANCHORARRAY(Sintesi!$C$15),1,$C72)&gt;0),1,IF(($E72&gt;=$E71)*($E72&lt;=INDEX($E:$E,MATCH(TRUE,INDEX((ISNUMBER($E:$E)),0),0)))*($E72&gt;INDEX(_xlfn.ANCHORARRAY(Sintesi!$C$14),1,$C72))*($E72&lt;INDEX(_xlfn.ANCHORARRAY(Sintesi!$C$16),1,$C72))*(INDEX(_xlfn.ANCHORARRAY(Sintesi!$C$15),1,$C72)&lt;0)+($E72&gt;=$E71)*($E72&lt;=INDEX($E:$E,MATCH(TRUE,INDEX((ISNUMBER($E:$E)),0),0)))*($E72&gt;INDEX(_xlfn.ANCHORARRAY(Sintesi!$C$15),1,$C72))*($E72&lt;INDEX(_xlfn.ANCHORARRAY(Sintesi!$C$16),1,$C72))*(INDEX(_xlfn.ANCHORARRAY(Sintesi!$C$15),1,$C72)&gt;0),2,IF($E72=(INDEX(_xlfn.ANCHORARRAY(Sintesi!$C$16),1,$C72)),3,4)))),0),IF($C72&gt;0,IF(($E72=INDEX(_xlfn.ANCHORARRAY(Sintesi!$C$14),1,$C72))*(INDEX(_xlfn.ANCHORARRAY(Sintesi!$C$15),1,$C72)&gt;0),0,IF(($E72=INDEX(_xlfn.ANCHORARRAY(Sintesi!$C$14),1,$C72))*(INDEX(_xlfn.ANCHORARRAY(Sintesi!$C$15),1,$C72)&lt;0)+($E72&gt;=LOOKUP(2,1/($E:$E&lt;&gt;""),$E:$E))*($E72&lt;=INDEX($E:$E,MATCH(TRUE,INDEX((ISNUMBER($E:$E)),0),0)))*($E72&gt;INDEX(_xlfn.ANCHORARRAY(Sintesi!$C$14),1,$C72))*($E72&lt;=INDEX(_xlfn.ANCHORARRAY(Sintesi!$C$15),1,$C72))*(INDEX(_xlfn.ANCHORARRAY(Sintesi!$C$15),1,$C72)&gt;0),1,IF(($E72&gt;=LOOKUP(2,1/($E:$E&lt;&gt;""),$E:$E))*($E72&lt;=INDEX($E:$E,MATCH(TRUE,INDEX((ISNUMBER($E:$E)),0),0)))*($E72&gt;INDEX(_xlfn.ANCHORARRAY(Sintesi!$C$14),1,$C72))*($E72&lt;INDEX(_xlfn.ANCHORARRAY(Sintesi!$C$16),1,$C72))*(INDEX(_xlfn.ANCHORARRAY(Sintesi!$C$15),1,$C72)&lt;0)+($E72&gt;=LOOKUP(2,1/($E:$E&lt;&gt;""),$E:$E))*($E72&lt;=INDEX($E:$E,MATCH(TRUE,INDEX((ISNUMBER($E:$E)),0),0)))*($E72&gt;INDEX(_xlfn.ANCHORARRAY(Sintesi!$C$15),1,$C72))*($E72&lt;INDEX(_xlfn.ANCHORARRAY(Sintesi!$C$16),1,$C72))*(INDEX(_xlfn.ANCHORARRAY(Sintesi!$C$15),1,$C72)&gt;0),2,IF($E72=(INDEX(_xlfn.ANCHORARRAY(Sintesi!$C$16),1,$C72)),3,4)))),0)),IF(ISNUMBER($E71),IF($C72&gt;0,IF(($E72=INDEX(_xlfn.ANCHORARRAY(Sintesi!$C$14),1,$C72))*(INDEX(_xlfn.ANCHORARRAY(Sintesi!$C$15),1,$C72)&gt;0),0,IF(($E72=INDEX(_xlfn.ANCHORARRAY(Sintesi!$C$14),1,$C72))*(INDEX(_xlfn.ANCHORARRAY(Sintesi!$C$15),1,$C72)&lt;0)+($E72&gt;=$E71)*($E72&lt;=$E73)*($E72&gt;INDEX(_xlfn.ANCHORARRAY(Sintesi!$C$14),1,$C72))*($E72&lt;=INDEX(_xlfn.ANCHORARRAY(Sintesi!$C$15),1,$C72))*(INDEX(_xlfn.ANCHORARRAY(Sintesi!$C$15),1,$C72)&gt;0),1,IF(($E72&gt;=$E71)*($E72&lt;=$E73)*($E72&gt;INDEX(_xlfn.ANCHORARRAY(Sintesi!$C$14),1,$C72))*($E72&lt;INDEX(_xlfn.ANCHORARRAY(Sintesi!$C$16),1,$C72))*(INDEX(_xlfn.ANCHORARRAY(Sintesi!$C$15),1,$C72)&lt;0)+($E72&gt;=$E71)*($E72&lt;=$E73)*($E72&gt;INDEX(_xlfn.ANCHORARRAY(Sintesi!$C$15),1,$C72))*($E72&lt;INDEX(_xlfn.ANCHORARRAY(Sintesi!$C$16),1,$C72))*(INDEX(_xlfn.ANCHORARRAY(Sintesi!$C$15),1,$C72)&gt;0),2,IF($E72=(INDEX(_xlfn.ANCHORARRAY(Sintesi!$C$16),1,$C72)),3,4)))),0),IF($C72&gt;0,IF(($E72=INDEX(_xlfn.ANCHORARRAY(Sintesi!$C$14),1,$C72))*(INDEX(_xlfn.ANCHORARRAY(Sintesi!$C$15),1,$C72)&gt;0),0,IF(($E72=INDEX(_xlfn.ANCHORARRAY(Sintesi!$C$14),1,$C72))*(INDEX(_xlfn.ANCHORARRAY(Sintesi!$C$15),1,$C72)&lt;0)+($E72&gt;=LOOKUP(2,1/($E:$E&lt;&gt;""),$E:$E))*($E72&lt;=$E73)*($E72&gt;INDEX(_xlfn.ANCHORARRAY(Sintesi!$C$14),1,$C72))*($E72&lt;=INDEX(_xlfn.ANCHORARRAY(Sintesi!$C$15),1,$C72))*(INDEX(_xlfn.ANCHORARRAY(Sintesi!$C$15),1,$C72)&gt;0),1,IF(($E72&gt;=LOOKUP(2,1/($E:$E&lt;&gt;""),$E:$E))*($E72&lt;=$E73)*($E72&gt;INDEX(_xlfn.ANCHORARRAY(Sintesi!$C$14),1,$C72))*($E72&lt;INDEX(_xlfn.ANCHORARRAY(Sintesi!$C$16),1,$C72))*(INDEX(_xlfn.ANCHORARRAY(Sintesi!$C$15),1,$C72)&lt;0)+($E72&gt;=LOOKUP(2,1/($E:$E&lt;&gt;""),$E:$E))*($E72&lt;=$E73)*($E72&gt;INDEX(_xlfn.ANCHORARRAY(Sintesi!$C$15),1,$C72))*($E72&lt;INDEX(_xlfn.ANCHORARRAY(Sintesi!$C$16),1,$C72))*(INDEX(_xlfn.ANCHORARRAY(Sintesi!$C$15),1,$C72)&gt;0),2,IF($E72=(INDEX(_xlfn.ANCHORARRAY(Sintesi!$C$16),1,$C72)),3,4)))),0)))</f>
        <v>0</v>
      </c>
      <c r="E72" s="1">
        <f>'Paste cell here'!F72</f>
        <v>0</v>
      </c>
      <c r="F72" s="1">
        <f>'Paste cell here'!C72</f>
        <v>17.819999999999752</v>
      </c>
      <c r="G72" s="1">
        <f>'Paste cell here'!D72</f>
        <v>5.2799999999999381</v>
      </c>
      <c r="H72" s="1">
        <f>'Paste cell here'!E72</f>
        <v>1.9125106743653995</v>
      </c>
      <c r="I72" s="1">
        <f>'Paste cell here'!X72</f>
        <v>0</v>
      </c>
      <c r="J72" s="1">
        <f>'Paste cell here'!Y72+'Paste cell here'!S72</f>
        <v>0</v>
      </c>
      <c r="K72" s="1">
        <f t="shared" si="2"/>
        <v>0</v>
      </c>
      <c r="L72" s="1">
        <f t="shared" si="3"/>
        <v>13.97356734152604</v>
      </c>
      <c r="M72" s="1">
        <f t="array" ref="M72">IF(AND(A72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72&gt;=_xlfn.ANCHORARRAY(Sintesi!$C$9))+(_xlfn.ANCHORARRAY(Sintesi!$C$9)&gt;_xlfn.ANCHORARRAY(Sintesi!$C$10))*(A72&lt;=_xlfn.ANCHORARRAY(Sintesi!$C$10))+(_xlfn.ANCHORARRAY(Sintesi!$C$9)&lt;_xlfn.ANCHORARRAY(Sintesi!$C$10))*(A72&gt;=_xlfn.ANCHORARRAY(Sintesi!$C$9))*(A72&lt;=_xlfn.ANCHORARRAY(Sintesi!$C$10)),0)),0),A72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73&gt;=_xlfn.ANCHORARRAY(Sintesi!$C$9))+(_xlfn.ANCHORARRAY(Sintesi!$C$9)&gt;_xlfn.ANCHORARRAY(Sintesi!$C$10))*(A73&lt;=_xlfn.ANCHORARRAY(Sintesi!$C$10))+(_xlfn.ANCHORARRAY(Sintesi!$C$9)&lt;_xlfn.ANCHORARRAY(Sintesi!$C$10))*(A73&gt;=_xlfn.ANCHORARRAY(Sintesi!$C$9))*(A73&lt;=_xlfn.ANCHORARRAY(Sintesi!$C$10)),0)),0)),IF(L72&lt;_xlfn.IFNA(INDEX(_xlfn.ANCHORARRAY(Sintesi!$C$17),1,MATCH(1,(_xlfn.ANCHORARRAY(Sintesi!$C$9)&gt;_xlfn.ANCHORARRAY(Sintesi!$C$10))*(A71&gt;=_xlfn.ANCHORARRAY(Sintesi!$C$9))+(_xlfn.ANCHORARRAY(Sintesi!$C$9)&gt;_xlfn.ANCHORARRAY(Sintesi!$C$10))*(A71&lt;=_xlfn.ANCHORARRAY(Sintesi!$C$10))+(_xlfn.ANCHORARRAY(Sintesi!$C$9)&lt;_xlfn.ANCHORARRAY(Sintesi!$C$10))*(A71&gt;=_xlfn.ANCHORARRAY(Sintesi!$C$9))*(A71&lt;=_xlfn.ANCHORARRAY(Sintesi!$C$10)),0)),0),1,IF(L72&gt;=_xlfn.IFNA(INDEX(_xlfn.ANCHORARRAY(Sintesi!$C$18),1,MATCH(1,(_xlfn.ANCHORARRAY(Sintesi!$C$9)&gt;_xlfn.ANCHORARRAY(Sintesi!$C$10))*(A71&gt;=_xlfn.ANCHORARRAY(Sintesi!$C$9))+(_xlfn.ANCHORARRAY(Sintesi!$C$9)&gt;_xlfn.ANCHORARRAY(Sintesi!$C$10))*(A71&lt;=_xlfn.ANCHORARRAY(Sintesi!$C$10))+(_xlfn.ANCHORARRAY(Sintesi!$C$9)&lt;_xlfn.ANCHORARRAY(Sintesi!$C$10))*(A71&gt;=_xlfn.ANCHORARRAY(Sintesi!$C$9))*(A71&lt;=_xlfn.ANCHORARRAY(Sintesi!$C$10)),0)),0),0,1-(L72-_xlfn.IFNA(INDEX(_xlfn.ANCHORARRAY(Sintesi!$C$17),1,MATCH(1,(_xlfn.ANCHORARRAY(Sintesi!$C$9)&gt;_xlfn.ANCHORARRAY(Sintesi!$C$10))*(A71&gt;=_xlfn.ANCHORARRAY(Sintesi!$C$9))+(_xlfn.ANCHORARRAY(Sintesi!$C$9)&gt;_xlfn.ANCHORARRAY(Sintesi!$C$10))*(A71&lt;=_xlfn.ANCHORARRAY(Sintesi!$C$10))+(_xlfn.ANCHORARRAY(Sintesi!$C$9)&lt;_xlfn.ANCHORARRAY(Sintesi!$C$10))*(A71&gt;=_xlfn.ANCHORARRAY(Sintesi!$C$9))*(A71&lt;=_xlfn.ANCHORARRAY(Sintesi!$C$10)),0)),0))/(_xlfn.IFNA(INDEX(_xlfn.ANCHORARRAY(Sintesi!$C$18),1,MATCH(1,(_xlfn.ANCHORARRAY(Sintesi!$C$9)&gt;_xlfn.ANCHORARRAY(Sintesi!$C$10))*(A71&gt;=_xlfn.ANCHORARRAY(Sintesi!$C$9))+(_xlfn.ANCHORARRAY(Sintesi!$C$9)&gt;_xlfn.ANCHORARRAY(Sintesi!$C$10))*(A71&lt;=_xlfn.ANCHORARRAY(Sintesi!$C$10))+(_xlfn.ANCHORARRAY(Sintesi!$C$9)&lt;_xlfn.ANCHORARRAY(Sintesi!$C$10))*(A71&gt;=_xlfn.ANCHORARRAY(Sintesi!$C$9))*(A71&lt;=_xlfn.ANCHORARRAY(Sintesi!$C$10)),0)),0)-_xlfn.IFNA(INDEX(_xlfn.ANCHORARRAY(Sintesi!$C$17),1,MATCH(1,(_xlfn.ANCHORARRAY(Sintesi!$C$9)&gt;_xlfn.ANCHORARRAY(Sintesi!$C$10))*(A71&gt;=_xlfn.ANCHORARRAY(Sintesi!$C$9))+(_xlfn.ANCHORARRAY(Sintesi!$C$9)&gt;_xlfn.ANCHORARRAY(Sintesi!$C$10))*(A71&lt;=_xlfn.ANCHORARRAY(Sintesi!$C$10))+(_xlfn.ANCHORARRAY(Sintesi!$C$9)&lt;_xlfn.ANCHORARRAY(Sintesi!$C$10))*(A71&gt;=_xlfn.ANCHORARRAY(Sintesi!$C$9))*(A71&lt;=_xlfn.ANCHORARRAY(Sintesi!$C$10)),0)),0)))),0)</f>
        <v>0</v>
      </c>
    </row>
    <row r="73" spans="1:13">
      <c r="A73" s="1">
        <f>'Paste cell here'!A73</f>
        <v>72</v>
      </c>
      <c r="B73" s="2">
        <f>DATE(Sintesi!$C$4-1,12,31)+A73</f>
        <v>44268</v>
      </c>
      <c r="C73" s="34">
        <f t="array" ref="C73">_xlfn.IFNA(MATCH(1,((_xlfn.ANCHORARRAY(Sintesi!$C$9)&gt;_xlfn.ANCHORARRAY(Sintesi!$C$10))*(A73&gt;=_xlfn.ANCHORARRAY(Sintesi!$C$9))+(_xlfn.ANCHORARRAY(Sintesi!$C$9)&gt;_xlfn.ANCHORARRAY(Sintesi!$C$10))*(A73&lt;=_xlfn.ANCHORARRAY(Sintesi!$C$10))+(_xlfn.ANCHORARRAY(Sintesi!$C$9)&lt;_xlfn.ANCHORARRAY(Sintesi!$C$10))*(A73&gt;=_xlfn.ANCHORARRAY(Sintesi!$C$9))*(A73&lt;=_xlfn.ANCHORARRAY(Sintesi!$C$10)))*(_xlfn.ANCHORARRAY(Sintesi!$C$15)&gt;=0)+(_xlfn.ANCHORARRAY(Sintesi!$C$15)&lt;0),0),0)</f>
        <v>0</v>
      </c>
      <c r="D73" s="1">
        <f t="array" ref="D73">IF(ISBLANK($E74),IF(ISNUMBER($E72),IF($C73&gt;0,IF(($E73=INDEX(_xlfn.ANCHORARRAY(Sintesi!$C$14),1,$C73))*(INDEX(_xlfn.ANCHORARRAY(Sintesi!$C$15),1,$C73)&gt;0),0,IF(($E73=INDEX(_xlfn.ANCHORARRAY(Sintesi!$C$14),1,$C73))*(INDEX(_xlfn.ANCHORARRAY(Sintesi!$C$15),1,$C73)&lt;0)+($E73&gt;=$E72)*($E73&lt;=INDEX($E:$E,MATCH(TRUE,INDEX((ISNUMBER($E:$E)),0),0)))*($E73&gt;INDEX(_xlfn.ANCHORARRAY(Sintesi!$C$14),1,$C73))*($E73&lt;=INDEX(_xlfn.ANCHORARRAY(Sintesi!$C$15),1,$C73))*(INDEX(_xlfn.ANCHORARRAY(Sintesi!$C$15),1,$C73)&gt;0),1,IF(($E73&gt;=$E72)*($E73&lt;=INDEX($E:$E,MATCH(TRUE,INDEX((ISNUMBER($E:$E)),0),0)))*($E73&gt;INDEX(_xlfn.ANCHORARRAY(Sintesi!$C$14),1,$C73))*($E73&lt;INDEX(_xlfn.ANCHORARRAY(Sintesi!$C$16),1,$C73))*(INDEX(_xlfn.ANCHORARRAY(Sintesi!$C$15),1,$C73)&lt;0)+($E73&gt;=$E72)*($E73&lt;=INDEX($E:$E,MATCH(TRUE,INDEX((ISNUMBER($E:$E)),0),0)))*($E73&gt;INDEX(_xlfn.ANCHORARRAY(Sintesi!$C$15),1,$C73))*($E73&lt;INDEX(_xlfn.ANCHORARRAY(Sintesi!$C$16),1,$C73))*(INDEX(_xlfn.ANCHORARRAY(Sintesi!$C$15),1,$C73)&gt;0),2,IF($E73=(INDEX(_xlfn.ANCHORARRAY(Sintesi!$C$16),1,$C73)),3,4)))),0),IF($C73&gt;0,IF(($E73=INDEX(_xlfn.ANCHORARRAY(Sintesi!$C$14),1,$C73))*(INDEX(_xlfn.ANCHORARRAY(Sintesi!$C$15),1,$C73)&gt;0),0,IF(($E73=INDEX(_xlfn.ANCHORARRAY(Sintesi!$C$14),1,$C73))*(INDEX(_xlfn.ANCHORARRAY(Sintesi!$C$15),1,$C73)&lt;0)+($E73&gt;=LOOKUP(2,1/($E:$E&lt;&gt;""),$E:$E))*($E73&lt;=INDEX($E:$E,MATCH(TRUE,INDEX((ISNUMBER($E:$E)),0),0)))*($E73&gt;INDEX(_xlfn.ANCHORARRAY(Sintesi!$C$14),1,$C73))*($E73&lt;=INDEX(_xlfn.ANCHORARRAY(Sintesi!$C$15),1,$C73))*(INDEX(_xlfn.ANCHORARRAY(Sintesi!$C$15),1,$C73)&gt;0),1,IF(($E73&gt;=LOOKUP(2,1/($E:$E&lt;&gt;""),$E:$E))*($E73&lt;=INDEX($E:$E,MATCH(TRUE,INDEX((ISNUMBER($E:$E)),0),0)))*($E73&gt;INDEX(_xlfn.ANCHORARRAY(Sintesi!$C$14),1,$C73))*($E73&lt;INDEX(_xlfn.ANCHORARRAY(Sintesi!$C$16),1,$C73))*(INDEX(_xlfn.ANCHORARRAY(Sintesi!$C$15),1,$C73)&lt;0)+($E73&gt;=LOOKUP(2,1/($E:$E&lt;&gt;""),$E:$E))*($E73&lt;=INDEX($E:$E,MATCH(TRUE,INDEX((ISNUMBER($E:$E)),0),0)))*($E73&gt;INDEX(_xlfn.ANCHORARRAY(Sintesi!$C$15),1,$C73))*($E73&lt;INDEX(_xlfn.ANCHORARRAY(Sintesi!$C$16),1,$C73))*(INDEX(_xlfn.ANCHORARRAY(Sintesi!$C$15),1,$C73)&gt;0),2,IF($E73=(INDEX(_xlfn.ANCHORARRAY(Sintesi!$C$16),1,$C73)),3,4)))),0)),IF(ISNUMBER($E72),IF($C73&gt;0,IF(($E73=INDEX(_xlfn.ANCHORARRAY(Sintesi!$C$14),1,$C73))*(INDEX(_xlfn.ANCHORARRAY(Sintesi!$C$15),1,$C73)&gt;0),0,IF(($E73=INDEX(_xlfn.ANCHORARRAY(Sintesi!$C$14),1,$C73))*(INDEX(_xlfn.ANCHORARRAY(Sintesi!$C$15),1,$C73)&lt;0)+($E73&gt;=$E72)*($E73&lt;=$E74)*($E73&gt;INDEX(_xlfn.ANCHORARRAY(Sintesi!$C$14),1,$C73))*($E73&lt;=INDEX(_xlfn.ANCHORARRAY(Sintesi!$C$15),1,$C73))*(INDEX(_xlfn.ANCHORARRAY(Sintesi!$C$15),1,$C73)&gt;0),1,IF(($E73&gt;=$E72)*($E73&lt;=$E74)*($E73&gt;INDEX(_xlfn.ANCHORARRAY(Sintesi!$C$14),1,$C73))*($E73&lt;INDEX(_xlfn.ANCHORARRAY(Sintesi!$C$16),1,$C73))*(INDEX(_xlfn.ANCHORARRAY(Sintesi!$C$15),1,$C73)&lt;0)+($E73&gt;=$E72)*($E73&lt;=$E74)*($E73&gt;INDEX(_xlfn.ANCHORARRAY(Sintesi!$C$15),1,$C73))*($E73&lt;INDEX(_xlfn.ANCHORARRAY(Sintesi!$C$16),1,$C73))*(INDEX(_xlfn.ANCHORARRAY(Sintesi!$C$15),1,$C73)&gt;0),2,IF($E73=(INDEX(_xlfn.ANCHORARRAY(Sintesi!$C$16),1,$C73)),3,4)))),0),IF($C73&gt;0,IF(($E73=INDEX(_xlfn.ANCHORARRAY(Sintesi!$C$14),1,$C73))*(INDEX(_xlfn.ANCHORARRAY(Sintesi!$C$15),1,$C73)&gt;0),0,IF(($E73=INDEX(_xlfn.ANCHORARRAY(Sintesi!$C$14),1,$C73))*(INDEX(_xlfn.ANCHORARRAY(Sintesi!$C$15),1,$C73)&lt;0)+($E73&gt;=LOOKUP(2,1/($E:$E&lt;&gt;""),$E:$E))*($E73&lt;=$E74)*($E73&gt;INDEX(_xlfn.ANCHORARRAY(Sintesi!$C$14),1,$C73))*($E73&lt;=INDEX(_xlfn.ANCHORARRAY(Sintesi!$C$15),1,$C73))*(INDEX(_xlfn.ANCHORARRAY(Sintesi!$C$15),1,$C73)&gt;0),1,IF(($E73&gt;=LOOKUP(2,1/($E:$E&lt;&gt;""),$E:$E))*($E73&lt;=$E74)*($E73&gt;INDEX(_xlfn.ANCHORARRAY(Sintesi!$C$14),1,$C73))*($E73&lt;INDEX(_xlfn.ANCHORARRAY(Sintesi!$C$16),1,$C73))*(INDEX(_xlfn.ANCHORARRAY(Sintesi!$C$15),1,$C73)&lt;0)+($E73&gt;=LOOKUP(2,1/($E:$E&lt;&gt;""),$E:$E))*($E73&lt;=$E74)*($E73&gt;INDEX(_xlfn.ANCHORARRAY(Sintesi!$C$15),1,$C73))*($E73&lt;INDEX(_xlfn.ANCHORARRAY(Sintesi!$C$16),1,$C73))*(INDEX(_xlfn.ANCHORARRAY(Sintesi!$C$15),1,$C73)&gt;0),2,IF($E73=(INDEX(_xlfn.ANCHORARRAY(Sintesi!$C$16),1,$C73)),3,4)))),0)))</f>
        <v>0</v>
      </c>
      <c r="E73" s="1">
        <f>'Paste cell here'!F73</f>
        <v>0</v>
      </c>
      <c r="F73" s="1">
        <f>'Paste cell here'!C73</f>
        <v>16.619999999999756</v>
      </c>
      <c r="G73" s="1">
        <f>'Paste cell here'!D73</f>
        <v>3.3399999999999808</v>
      </c>
      <c r="H73" s="1">
        <f>'Paste cell here'!E73</f>
        <v>1.9128678610970624</v>
      </c>
      <c r="I73" s="1">
        <f>'Paste cell here'!X73</f>
        <v>0</v>
      </c>
      <c r="J73" s="1">
        <f>'Paste cell here'!Y73+'Paste cell here'!S73</f>
        <v>0</v>
      </c>
      <c r="K73" s="1">
        <f t="shared" si="2"/>
        <v>0</v>
      </c>
      <c r="L73" s="1">
        <f t="shared" si="3"/>
        <v>12.546584872046745</v>
      </c>
      <c r="M73" s="1">
        <f t="array" ref="M73">IF(AND(A73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73&gt;=_xlfn.ANCHORARRAY(Sintesi!$C$9))+(_xlfn.ANCHORARRAY(Sintesi!$C$9)&gt;_xlfn.ANCHORARRAY(Sintesi!$C$10))*(A73&lt;=_xlfn.ANCHORARRAY(Sintesi!$C$10))+(_xlfn.ANCHORARRAY(Sintesi!$C$9)&lt;_xlfn.ANCHORARRAY(Sintesi!$C$10))*(A73&gt;=_xlfn.ANCHORARRAY(Sintesi!$C$9))*(A73&lt;=_xlfn.ANCHORARRAY(Sintesi!$C$10)),0)),0),A73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74&gt;=_xlfn.ANCHORARRAY(Sintesi!$C$9))+(_xlfn.ANCHORARRAY(Sintesi!$C$9)&gt;_xlfn.ANCHORARRAY(Sintesi!$C$10))*(A74&lt;=_xlfn.ANCHORARRAY(Sintesi!$C$10))+(_xlfn.ANCHORARRAY(Sintesi!$C$9)&lt;_xlfn.ANCHORARRAY(Sintesi!$C$10))*(A74&gt;=_xlfn.ANCHORARRAY(Sintesi!$C$9))*(A74&lt;=_xlfn.ANCHORARRAY(Sintesi!$C$10)),0)),0)),IF(L73&lt;_xlfn.IFNA(INDEX(_xlfn.ANCHORARRAY(Sintesi!$C$17),1,MATCH(1,(_xlfn.ANCHORARRAY(Sintesi!$C$9)&gt;_xlfn.ANCHORARRAY(Sintesi!$C$10))*(A72&gt;=_xlfn.ANCHORARRAY(Sintesi!$C$9))+(_xlfn.ANCHORARRAY(Sintesi!$C$9)&gt;_xlfn.ANCHORARRAY(Sintesi!$C$10))*(A72&lt;=_xlfn.ANCHORARRAY(Sintesi!$C$10))+(_xlfn.ANCHORARRAY(Sintesi!$C$9)&lt;_xlfn.ANCHORARRAY(Sintesi!$C$10))*(A72&gt;=_xlfn.ANCHORARRAY(Sintesi!$C$9))*(A72&lt;=_xlfn.ANCHORARRAY(Sintesi!$C$10)),0)),0),1,IF(L73&gt;=_xlfn.IFNA(INDEX(_xlfn.ANCHORARRAY(Sintesi!$C$18),1,MATCH(1,(_xlfn.ANCHORARRAY(Sintesi!$C$9)&gt;_xlfn.ANCHORARRAY(Sintesi!$C$10))*(A72&gt;=_xlfn.ANCHORARRAY(Sintesi!$C$9))+(_xlfn.ANCHORARRAY(Sintesi!$C$9)&gt;_xlfn.ANCHORARRAY(Sintesi!$C$10))*(A72&lt;=_xlfn.ANCHORARRAY(Sintesi!$C$10))+(_xlfn.ANCHORARRAY(Sintesi!$C$9)&lt;_xlfn.ANCHORARRAY(Sintesi!$C$10))*(A72&gt;=_xlfn.ANCHORARRAY(Sintesi!$C$9))*(A72&lt;=_xlfn.ANCHORARRAY(Sintesi!$C$10)),0)),0),0,1-(L73-_xlfn.IFNA(INDEX(_xlfn.ANCHORARRAY(Sintesi!$C$17),1,MATCH(1,(_xlfn.ANCHORARRAY(Sintesi!$C$9)&gt;_xlfn.ANCHORARRAY(Sintesi!$C$10))*(A72&gt;=_xlfn.ANCHORARRAY(Sintesi!$C$9))+(_xlfn.ANCHORARRAY(Sintesi!$C$9)&gt;_xlfn.ANCHORARRAY(Sintesi!$C$10))*(A72&lt;=_xlfn.ANCHORARRAY(Sintesi!$C$10))+(_xlfn.ANCHORARRAY(Sintesi!$C$9)&lt;_xlfn.ANCHORARRAY(Sintesi!$C$10))*(A72&gt;=_xlfn.ANCHORARRAY(Sintesi!$C$9))*(A72&lt;=_xlfn.ANCHORARRAY(Sintesi!$C$10)),0)),0))/(_xlfn.IFNA(INDEX(_xlfn.ANCHORARRAY(Sintesi!$C$18),1,MATCH(1,(_xlfn.ANCHORARRAY(Sintesi!$C$9)&gt;_xlfn.ANCHORARRAY(Sintesi!$C$10))*(A72&gt;=_xlfn.ANCHORARRAY(Sintesi!$C$9))+(_xlfn.ANCHORARRAY(Sintesi!$C$9)&gt;_xlfn.ANCHORARRAY(Sintesi!$C$10))*(A72&lt;=_xlfn.ANCHORARRAY(Sintesi!$C$10))+(_xlfn.ANCHORARRAY(Sintesi!$C$9)&lt;_xlfn.ANCHORARRAY(Sintesi!$C$10))*(A72&gt;=_xlfn.ANCHORARRAY(Sintesi!$C$9))*(A72&lt;=_xlfn.ANCHORARRAY(Sintesi!$C$10)),0)),0)-_xlfn.IFNA(INDEX(_xlfn.ANCHORARRAY(Sintesi!$C$17),1,MATCH(1,(_xlfn.ANCHORARRAY(Sintesi!$C$9)&gt;_xlfn.ANCHORARRAY(Sintesi!$C$10))*(A72&gt;=_xlfn.ANCHORARRAY(Sintesi!$C$9))+(_xlfn.ANCHORARRAY(Sintesi!$C$9)&gt;_xlfn.ANCHORARRAY(Sintesi!$C$10))*(A72&lt;=_xlfn.ANCHORARRAY(Sintesi!$C$10))+(_xlfn.ANCHORARRAY(Sintesi!$C$9)&lt;_xlfn.ANCHORARRAY(Sintesi!$C$10))*(A72&gt;=_xlfn.ANCHORARRAY(Sintesi!$C$9))*(A72&lt;=_xlfn.ANCHORARRAY(Sintesi!$C$10)),0)),0)))),0)</f>
        <v>0</v>
      </c>
    </row>
    <row r="74" spans="1:13">
      <c r="A74" s="1">
        <f>'Paste cell here'!A74</f>
        <v>73</v>
      </c>
      <c r="B74" s="2">
        <f>DATE(Sintesi!$C$4-1,12,31)+A74</f>
        <v>44269</v>
      </c>
      <c r="C74" s="34">
        <f t="array" ref="C74">_xlfn.IFNA(MATCH(1,((_xlfn.ANCHORARRAY(Sintesi!$C$9)&gt;_xlfn.ANCHORARRAY(Sintesi!$C$10))*(A74&gt;=_xlfn.ANCHORARRAY(Sintesi!$C$9))+(_xlfn.ANCHORARRAY(Sintesi!$C$9)&gt;_xlfn.ANCHORARRAY(Sintesi!$C$10))*(A74&lt;=_xlfn.ANCHORARRAY(Sintesi!$C$10))+(_xlfn.ANCHORARRAY(Sintesi!$C$9)&lt;_xlfn.ANCHORARRAY(Sintesi!$C$10))*(A74&gt;=_xlfn.ANCHORARRAY(Sintesi!$C$9))*(A74&lt;=_xlfn.ANCHORARRAY(Sintesi!$C$10)))*(_xlfn.ANCHORARRAY(Sintesi!$C$15)&gt;=0)+(_xlfn.ANCHORARRAY(Sintesi!$C$15)&lt;0),0),0)</f>
        <v>0</v>
      </c>
      <c r="D74" s="1">
        <f t="array" ref="D74">IF(ISBLANK($E75),IF(ISNUMBER($E73),IF($C74&gt;0,IF(($E74=INDEX(_xlfn.ANCHORARRAY(Sintesi!$C$14),1,$C74))*(INDEX(_xlfn.ANCHORARRAY(Sintesi!$C$15),1,$C74)&gt;0),0,IF(($E74=INDEX(_xlfn.ANCHORARRAY(Sintesi!$C$14),1,$C74))*(INDEX(_xlfn.ANCHORARRAY(Sintesi!$C$15),1,$C74)&lt;0)+($E74&gt;=$E73)*($E74&lt;=INDEX($E:$E,MATCH(TRUE,INDEX((ISNUMBER($E:$E)),0),0)))*($E74&gt;INDEX(_xlfn.ANCHORARRAY(Sintesi!$C$14),1,$C74))*($E74&lt;=INDEX(_xlfn.ANCHORARRAY(Sintesi!$C$15),1,$C74))*(INDEX(_xlfn.ANCHORARRAY(Sintesi!$C$15),1,$C74)&gt;0),1,IF(($E74&gt;=$E73)*($E74&lt;=INDEX($E:$E,MATCH(TRUE,INDEX((ISNUMBER($E:$E)),0),0)))*($E74&gt;INDEX(_xlfn.ANCHORARRAY(Sintesi!$C$14),1,$C74))*($E74&lt;INDEX(_xlfn.ANCHORARRAY(Sintesi!$C$16),1,$C74))*(INDEX(_xlfn.ANCHORARRAY(Sintesi!$C$15),1,$C74)&lt;0)+($E74&gt;=$E73)*($E74&lt;=INDEX($E:$E,MATCH(TRUE,INDEX((ISNUMBER($E:$E)),0),0)))*($E74&gt;INDEX(_xlfn.ANCHORARRAY(Sintesi!$C$15),1,$C74))*($E74&lt;INDEX(_xlfn.ANCHORARRAY(Sintesi!$C$16),1,$C74))*(INDEX(_xlfn.ANCHORARRAY(Sintesi!$C$15),1,$C74)&gt;0),2,IF($E74=(INDEX(_xlfn.ANCHORARRAY(Sintesi!$C$16),1,$C74)),3,4)))),0),IF($C74&gt;0,IF(($E74=INDEX(_xlfn.ANCHORARRAY(Sintesi!$C$14),1,$C74))*(INDEX(_xlfn.ANCHORARRAY(Sintesi!$C$15),1,$C74)&gt;0),0,IF(($E74=INDEX(_xlfn.ANCHORARRAY(Sintesi!$C$14),1,$C74))*(INDEX(_xlfn.ANCHORARRAY(Sintesi!$C$15),1,$C74)&lt;0)+($E74&gt;=LOOKUP(2,1/($E:$E&lt;&gt;""),$E:$E))*($E74&lt;=INDEX($E:$E,MATCH(TRUE,INDEX((ISNUMBER($E:$E)),0),0)))*($E74&gt;INDEX(_xlfn.ANCHORARRAY(Sintesi!$C$14),1,$C74))*($E74&lt;=INDEX(_xlfn.ANCHORARRAY(Sintesi!$C$15),1,$C74))*(INDEX(_xlfn.ANCHORARRAY(Sintesi!$C$15),1,$C74)&gt;0),1,IF(($E74&gt;=LOOKUP(2,1/($E:$E&lt;&gt;""),$E:$E))*($E74&lt;=INDEX($E:$E,MATCH(TRUE,INDEX((ISNUMBER($E:$E)),0),0)))*($E74&gt;INDEX(_xlfn.ANCHORARRAY(Sintesi!$C$14),1,$C74))*($E74&lt;INDEX(_xlfn.ANCHORARRAY(Sintesi!$C$16),1,$C74))*(INDEX(_xlfn.ANCHORARRAY(Sintesi!$C$15),1,$C74)&lt;0)+($E74&gt;=LOOKUP(2,1/($E:$E&lt;&gt;""),$E:$E))*($E74&lt;=INDEX($E:$E,MATCH(TRUE,INDEX((ISNUMBER($E:$E)),0),0)))*($E74&gt;INDEX(_xlfn.ANCHORARRAY(Sintesi!$C$15),1,$C74))*($E74&lt;INDEX(_xlfn.ANCHORARRAY(Sintesi!$C$16),1,$C74))*(INDEX(_xlfn.ANCHORARRAY(Sintesi!$C$15),1,$C74)&gt;0),2,IF($E74=(INDEX(_xlfn.ANCHORARRAY(Sintesi!$C$16),1,$C74)),3,4)))),0)),IF(ISNUMBER($E73),IF($C74&gt;0,IF(($E74=INDEX(_xlfn.ANCHORARRAY(Sintesi!$C$14),1,$C74))*(INDEX(_xlfn.ANCHORARRAY(Sintesi!$C$15),1,$C74)&gt;0),0,IF(($E74=INDEX(_xlfn.ANCHORARRAY(Sintesi!$C$14),1,$C74))*(INDEX(_xlfn.ANCHORARRAY(Sintesi!$C$15),1,$C74)&lt;0)+($E74&gt;=$E73)*($E74&lt;=$E75)*($E74&gt;INDEX(_xlfn.ANCHORARRAY(Sintesi!$C$14),1,$C74))*($E74&lt;=INDEX(_xlfn.ANCHORARRAY(Sintesi!$C$15),1,$C74))*(INDEX(_xlfn.ANCHORARRAY(Sintesi!$C$15),1,$C74)&gt;0),1,IF(($E74&gt;=$E73)*($E74&lt;=$E75)*($E74&gt;INDEX(_xlfn.ANCHORARRAY(Sintesi!$C$14),1,$C74))*($E74&lt;INDEX(_xlfn.ANCHORARRAY(Sintesi!$C$16),1,$C74))*(INDEX(_xlfn.ANCHORARRAY(Sintesi!$C$15),1,$C74)&lt;0)+($E74&gt;=$E73)*($E74&lt;=$E75)*($E74&gt;INDEX(_xlfn.ANCHORARRAY(Sintesi!$C$15),1,$C74))*($E74&lt;INDEX(_xlfn.ANCHORARRAY(Sintesi!$C$16),1,$C74))*(INDEX(_xlfn.ANCHORARRAY(Sintesi!$C$15),1,$C74)&gt;0),2,IF($E74=(INDEX(_xlfn.ANCHORARRAY(Sintesi!$C$16),1,$C74)),3,4)))),0),IF($C74&gt;0,IF(($E74=INDEX(_xlfn.ANCHORARRAY(Sintesi!$C$14),1,$C74))*(INDEX(_xlfn.ANCHORARRAY(Sintesi!$C$15),1,$C74)&gt;0),0,IF(($E74=INDEX(_xlfn.ANCHORARRAY(Sintesi!$C$14),1,$C74))*(INDEX(_xlfn.ANCHORARRAY(Sintesi!$C$15),1,$C74)&lt;0)+($E74&gt;=LOOKUP(2,1/($E:$E&lt;&gt;""),$E:$E))*($E74&lt;=$E75)*($E74&gt;INDEX(_xlfn.ANCHORARRAY(Sintesi!$C$14),1,$C74))*($E74&lt;=INDEX(_xlfn.ANCHORARRAY(Sintesi!$C$15),1,$C74))*(INDEX(_xlfn.ANCHORARRAY(Sintesi!$C$15),1,$C74)&gt;0),1,IF(($E74&gt;=LOOKUP(2,1/($E:$E&lt;&gt;""),$E:$E))*($E74&lt;=$E75)*($E74&gt;INDEX(_xlfn.ANCHORARRAY(Sintesi!$C$14),1,$C74))*($E74&lt;INDEX(_xlfn.ANCHORARRAY(Sintesi!$C$16),1,$C74))*(INDEX(_xlfn.ANCHORARRAY(Sintesi!$C$15),1,$C74)&lt;0)+($E74&gt;=LOOKUP(2,1/($E:$E&lt;&gt;""),$E:$E))*($E74&lt;=$E75)*($E74&gt;INDEX(_xlfn.ANCHORARRAY(Sintesi!$C$15),1,$C74))*($E74&lt;INDEX(_xlfn.ANCHORARRAY(Sintesi!$C$16),1,$C74))*(INDEX(_xlfn.ANCHORARRAY(Sintesi!$C$15),1,$C74)&gt;0),2,IF($E74=(INDEX(_xlfn.ANCHORARRAY(Sintesi!$C$16),1,$C74)),3,4)))),0)))</f>
        <v>0</v>
      </c>
      <c r="E74" s="1">
        <f>'Paste cell here'!F74</f>
        <v>0</v>
      </c>
      <c r="F74" s="1">
        <f>'Paste cell here'!C74</f>
        <v>15.37999999999977</v>
      </c>
      <c r="G74" s="1">
        <f>'Paste cell here'!D74</f>
        <v>4.0799999999999725</v>
      </c>
      <c r="H74" s="1">
        <f>'Paste cell here'!E74</f>
        <v>3.0969979287906195</v>
      </c>
      <c r="I74" s="1">
        <f>'Paste cell here'!X74</f>
        <v>0</v>
      </c>
      <c r="J74" s="1">
        <f>'Paste cell here'!Y74+'Paste cell here'!S74</f>
        <v>0</v>
      </c>
      <c r="K74" s="1">
        <f t="shared" si="2"/>
        <v>0</v>
      </c>
      <c r="L74" s="1">
        <f t="shared" si="3"/>
        <v>11.913916344437345</v>
      </c>
      <c r="M74" s="1">
        <f t="array" ref="M74">IF(AND(A74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74&gt;=_xlfn.ANCHORARRAY(Sintesi!$C$9))+(_xlfn.ANCHORARRAY(Sintesi!$C$9)&gt;_xlfn.ANCHORARRAY(Sintesi!$C$10))*(A74&lt;=_xlfn.ANCHORARRAY(Sintesi!$C$10))+(_xlfn.ANCHORARRAY(Sintesi!$C$9)&lt;_xlfn.ANCHORARRAY(Sintesi!$C$10))*(A74&gt;=_xlfn.ANCHORARRAY(Sintesi!$C$9))*(A74&lt;=_xlfn.ANCHORARRAY(Sintesi!$C$10)),0)),0),A74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75&gt;=_xlfn.ANCHORARRAY(Sintesi!$C$9))+(_xlfn.ANCHORARRAY(Sintesi!$C$9)&gt;_xlfn.ANCHORARRAY(Sintesi!$C$10))*(A75&lt;=_xlfn.ANCHORARRAY(Sintesi!$C$10))+(_xlfn.ANCHORARRAY(Sintesi!$C$9)&lt;_xlfn.ANCHORARRAY(Sintesi!$C$10))*(A75&gt;=_xlfn.ANCHORARRAY(Sintesi!$C$9))*(A75&lt;=_xlfn.ANCHORARRAY(Sintesi!$C$10)),0)),0)),IF(L74&lt;_xlfn.IFNA(INDEX(_xlfn.ANCHORARRAY(Sintesi!$C$17),1,MATCH(1,(_xlfn.ANCHORARRAY(Sintesi!$C$9)&gt;_xlfn.ANCHORARRAY(Sintesi!$C$10))*(A73&gt;=_xlfn.ANCHORARRAY(Sintesi!$C$9))+(_xlfn.ANCHORARRAY(Sintesi!$C$9)&gt;_xlfn.ANCHORARRAY(Sintesi!$C$10))*(A73&lt;=_xlfn.ANCHORARRAY(Sintesi!$C$10))+(_xlfn.ANCHORARRAY(Sintesi!$C$9)&lt;_xlfn.ANCHORARRAY(Sintesi!$C$10))*(A73&gt;=_xlfn.ANCHORARRAY(Sintesi!$C$9))*(A73&lt;=_xlfn.ANCHORARRAY(Sintesi!$C$10)),0)),0),1,IF(L74&gt;=_xlfn.IFNA(INDEX(_xlfn.ANCHORARRAY(Sintesi!$C$18),1,MATCH(1,(_xlfn.ANCHORARRAY(Sintesi!$C$9)&gt;_xlfn.ANCHORARRAY(Sintesi!$C$10))*(A73&gt;=_xlfn.ANCHORARRAY(Sintesi!$C$9))+(_xlfn.ANCHORARRAY(Sintesi!$C$9)&gt;_xlfn.ANCHORARRAY(Sintesi!$C$10))*(A73&lt;=_xlfn.ANCHORARRAY(Sintesi!$C$10))+(_xlfn.ANCHORARRAY(Sintesi!$C$9)&lt;_xlfn.ANCHORARRAY(Sintesi!$C$10))*(A73&gt;=_xlfn.ANCHORARRAY(Sintesi!$C$9))*(A73&lt;=_xlfn.ANCHORARRAY(Sintesi!$C$10)),0)),0),0,1-(L74-_xlfn.IFNA(INDEX(_xlfn.ANCHORARRAY(Sintesi!$C$17),1,MATCH(1,(_xlfn.ANCHORARRAY(Sintesi!$C$9)&gt;_xlfn.ANCHORARRAY(Sintesi!$C$10))*(A73&gt;=_xlfn.ANCHORARRAY(Sintesi!$C$9))+(_xlfn.ANCHORARRAY(Sintesi!$C$9)&gt;_xlfn.ANCHORARRAY(Sintesi!$C$10))*(A73&lt;=_xlfn.ANCHORARRAY(Sintesi!$C$10))+(_xlfn.ANCHORARRAY(Sintesi!$C$9)&lt;_xlfn.ANCHORARRAY(Sintesi!$C$10))*(A73&gt;=_xlfn.ANCHORARRAY(Sintesi!$C$9))*(A73&lt;=_xlfn.ANCHORARRAY(Sintesi!$C$10)),0)),0))/(_xlfn.IFNA(INDEX(_xlfn.ANCHORARRAY(Sintesi!$C$18),1,MATCH(1,(_xlfn.ANCHORARRAY(Sintesi!$C$9)&gt;_xlfn.ANCHORARRAY(Sintesi!$C$10))*(A73&gt;=_xlfn.ANCHORARRAY(Sintesi!$C$9))+(_xlfn.ANCHORARRAY(Sintesi!$C$9)&gt;_xlfn.ANCHORARRAY(Sintesi!$C$10))*(A73&lt;=_xlfn.ANCHORARRAY(Sintesi!$C$10))+(_xlfn.ANCHORARRAY(Sintesi!$C$9)&lt;_xlfn.ANCHORARRAY(Sintesi!$C$10))*(A73&gt;=_xlfn.ANCHORARRAY(Sintesi!$C$9))*(A73&lt;=_xlfn.ANCHORARRAY(Sintesi!$C$10)),0)),0)-_xlfn.IFNA(INDEX(_xlfn.ANCHORARRAY(Sintesi!$C$17),1,MATCH(1,(_xlfn.ANCHORARRAY(Sintesi!$C$9)&gt;_xlfn.ANCHORARRAY(Sintesi!$C$10))*(A73&gt;=_xlfn.ANCHORARRAY(Sintesi!$C$9))+(_xlfn.ANCHORARRAY(Sintesi!$C$9)&gt;_xlfn.ANCHORARRAY(Sintesi!$C$10))*(A73&lt;=_xlfn.ANCHORARRAY(Sintesi!$C$10))+(_xlfn.ANCHORARRAY(Sintesi!$C$9)&lt;_xlfn.ANCHORARRAY(Sintesi!$C$10))*(A73&gt;=_xlfn.ANCHORARRAY(Sintesi!$C$9))*(A73&lt;=_xlfn.ANCHORARRAY(Sintesi!$C$10)),0)),0)))),0)</f>
        <v>0</v>
      </c>
    </row>
    <row r="75" spans="1:13">
      <c r="A75" s="1">
        <f>'Paste cell here'!A75</f>
        <v>74</v>
      </c>
      <c r="B75" s="2">
        <f>DATE(Sintesi!$C$4-1,12,31)+A75</f>
        <v>44270</v>
      </c>
      <c r="C75" s="34">
        <f t="array" ref="C75">_xlfn.IFNA(MATCH(1,((_xlfn.ANCHORARRAY(Sintesi!$C$9)&gt;_xlfn.ANCHORARRAY(Sintesi!$C$10))*(A75&gt;=_xlfn.ANCHORARRAY(Sintesi!$C$9))+(_xlfn.ANCHORARRAY(Sintesi!$C$9)&gt;_xlfn.ANCHORARRAY(Sintesi!$C$10))*(A75&lt;=_xlfn.ANCHORARRAY(Sintesi!$C$10))+(_xlfn.ANCHORARRAY(Sintesi!$C$9)&lt;_xlfn.ANCHORARRAY(Sintesi!$C$10))*(A75&gt;=_xlfn.ANCHORARRAY(Sintesi!$C$9))*(A75&lt;=_xlfn.ANCHORARRAY(Sintesi!$C$10)))*(_xlfn.ANCHORARRAY(Sintesi!$C$15)&gt;=0)+(_xlfn.ANCHORARRAY(Sintesi!$C$15)&lt;0),0),0)</f>
        <v>0</v>
      </c>
      <c r="D75" s="1">
        <f t="array" ref="D75">IF(ISBLANK($E76),IF(ISNUMBER($E74),IF($C75&gt;0,IF(($E75=INDEX(_xlfn.ANCHORARRAY(Sintesi!$C$14),1,$C75))*(INDEX(_xlfn.ANCHORARRAY(Sintesi!$C$15),1,$C75)&gt;0),0,IF(($E75=INDEX(_xlfn.ANCHORARRAY(Sintesi!$C$14),1,$C75))*(INDEX(_xlfn.ANCHORARRAY(Sintesi!$C$15),1,$C75)&lt;0)+($E75&gt;=$E74)*($E75&lt;=INDEX($E:$E,MATCH(TRUE,INDEX((ISNUMBER($E:$E)),0),0)))*($E75&gt;INDEX(_xlfn.ANCHORARRAY(Sintesi!$C$14),1,$C75))*($E75&lt;=INDEX(_xlfn.ANCHORARRAY(Sintesi!$C$15),1,$C75))*(INDEX(_xlfn.ANCHORARRAY(Sintesi!$C$15),1,$C75)&gt;0),1,IF(($E75&gt;=$E74)*($E75&lt;=INDEX($E:$E,MATCH(TRUE,INDEX((ISNUMBER($E:$E)),0),0)))*($E75&gt;INDEX(_xlfn.ANCHORARRAY(Sintesi!$C$14),1,$C75))*($E75&lt;INDEX(_xlfn.ANCHORARRAY(Sintesi!$C$16),1,$C75))*(INDEX(_xlfn.ANCHORARRAY(Sintesi!$C$15),1,$C75)&lt;0)+($E75&gt;=$E74)*($E75&lt;=INDEX($E:$E,MATCH(TRUE,INDEX((ISNUMBER($E:$E)),0),0)))*($E75&gt;INDEX(_xlfn.ANCHORARRAY(Sintesi!$C$15),1,$C75))*($E75&lt;INDEX(_xlfn.ANCHORARRAY(Sintesi!$C$16),1,$C75))*(INDEX(_xlfn.ANCHORARRAY(Sintesi!$C$15),1,$C75)&gt;0),2,IF($E75=(INDEX(_xlfn.ANCHORARRAY(Sintesi!$C$16),1,$C75)),3,4)))),0),IF($C75&gt;0,IF(($E75=INDEX(_xlfn.ANCHORARRAY(Sintesi!$C$14),1,$C75))*(INDEX(_xlfn.ANCHORARRAY(Sintesi!$C$15),1,$C75)&gt;0),0,IF(($E75=INDEX(_xlfn.ANCHORARRAY(Sintesi!$C$14),1,$C75))*(INDEX(_xlfn.ANCHORARRAY(Sintesi!$C$15),1,$C75)&lt;0)+($E75&gt;=LOOKUP(2,1/($E:$E&lt;&gt;""),$E:$E))*($E75&lt;=INDEX($E:$E,MATCH(TRUE,INDEX((ISNUMBER($E:$E)),0),0)))*($E75&gt;INDEX(_xlfn.ANCHORARRAY(Sintesi!$C$14),1,$C75))*($E75&lt;=INDEX(_xlfn.ANCHORARRAY(Sintesi!$C$15),1,$C75))*(INDEX(_xlfn.ANCHORARRAY(Sintesi!$C$15),1,$C75)&gt;0),1,IF(($E75&gt;=LOOKUP(2,1/($E:$E&lt;&gt;""),$E:$E))*($E75&lt;=INDEX($E:$E,MATCH(TRUE,INDEX((ISNUMBER($E:$E)),0),0)))*($E75&gt;INDEX(_xlfn.ANCHORARRAY(Sintesi!$C$14),1,$C75))*($E75&lt;INDEX(_xlfn.ANCHORARRAY(Sintesi!$C$16),1,$C75))*(INDEX(_xlfn.ANCHORARRAY(Sintesi!$C$15),1,$C75)&lt;0)+($E75&gt;=LOOKUP(2,1/($E:$E&lt;&gt;""),$E:$E))*($E75&lt;=INDEX($E:$E,MATCH(TRUE,INDEX((ISNUMBER($E:$E)),0),0)))*($E75&gt;INDEX(_xlfn.ANCHORARRAY(Sintesi!$C$15),1,$C75))*($E75&lt;INDEX(_xlfn.ANCHORARRAY(Sintesi!$C$16),1,$C75))*(INDEX(_xlfn.ANCHORARRAY(Sintesi!$C$15),1,$C75)&gt;0),2,IF($E75=(INDEX(_xlfn.ANCHORARRAY(Sintesi!$C$16),1,$C75)),3,4)))),0)),IF(ISNUMBER($E74),IF($C75&gt;0,IF(($E75=INDEX(_xlfn.ANCHORARRAY(Sintesi!$C$14),1,$C75))*(INDEX(_xlfn.ANCHORARRAY(Sintesi!$C$15),1,$C75)&gt;0),0,IF(($E75=INDEX(_xlfn.ANCHORARRAY(Sintesi!$C$14),1,$C75))*(INDEX(_xlfn.ANCHORARRAY(Sintesi!$C$15),1,$C75)&lt;0)+($E75&gt;=$E74)*($E75&lt;=$E76)*($E75&gt;INDEX(_xlfn.ANCHORARRAY(Sintesi!$C$14),1,$C75))*($E75&lt;=INDEX(_xlfn.ANCHORARRAY(Sintesi!$C$15),1,$C75))*(INDEX(_xlfn.ANCHORARRAY(Sintesi!$C$15),1,$C75)&gt;0),1,IF(($E75&gt;=$E74)*($E75&lt;=$E76)*($E75&gt;INDEX(_xlfn.ANCHORARRAY(Sintesi!$C$14),1,$C75))*($E75&lt;INDEX(_xlfn.ANCHORARRAY(Sintesi!$C$16),1,$C75))*(INDEX(_xlfn.ANCHORARRAY(Sintesi!$C$15),1,$C75)&lt;0)+($E75&gt;=$E74)*($E75&lt;=$E76)*($E75&gt;INDEX(_xlfn.ANCHORARRAY(Sintesi!$C$15),1,$C75))*($E75&lt;INDEX(_xlfn.ANCHORARRAY(Sintesi!$C$16),1,$C75))*(INDEX(_xlfn.ANCHORARRAY(Sintesi!$C$15),1,$C75)&gt;0),2,IF($E75=(INDEX(_xlfn.ANCHORARRAY(Sintesi!$C$16),1,$C75)),3,4)))),0),IF($C75&gt;0,IF(($E75=INDEX(_xlfn.ANCHORARRAY(Sintesi!$C$14),1,$C75))*(INDEX(_xlfn.ANCHORARRAY(Sintesi!$C$15),1,$C75)&gt;0),0,IF(($E75=INDEX(_xlfn.ANCHORARRAY(Sintesi!$C$14),1,$C75))*(INDEX(_xlfn.ANCHORARRAY(Sintesi!$C$15),1,$C75)&lt;0)+($E75&gt;=LOOKUP(2,1/($E:$E&lt;&gt;""),$E:$E))*($E75&lt;=$E76)*($E75&gt;INDEX(_xlfn.ANCHORARRAY(Sintesi!$C$14),1,$C75))*($E75&lt;=INDEX(_xlfn.ANCHORARRAY(Sintesi!$C$15),1,$C75))*(INDEX(_xlfn.ANCHORARRAY(Sintesi!$C$15),1,$C75)&gt;0),1,IF(($E75&gt;=LOOKUP(2,1/($E:$E&lt;&gt;""),$E:$E))*($E75&lt;=$E76)*($E75&gt;INDEX(_xlfn.ANCHORARRAY(Sintesi!$C$14),1,$C75))*($E75&lt;INDEX(_xlfn.ANCHORARRAY(Sintesi!$C$16),1,$C75))*(INDEX(_xlfn.ANCHORARRAY(Sintesi!$C$15),1,$C75)&lt;0)+($E75&gt;=LOOKUP(2,1/($E:$E&lt;&gt;""),$E:$E))*($E75&lt;=$E76)*($E75&gt;INDEX(_xlfn.ANCHORARRAY(Sintesi!$C$15),1,$C75))*($E75&lt;INDEX(_xlfn.ANCHORARRAY(Sintesi!$C$16),1,$C75))*(INDEX(_xlfn.ANCHORARRAY(Sintesi!$C$15),1,$C75)&gt;0),2,IF($E75=(INDEX(_xlfn.ANCHORARRAY(Sintesi!$C$16),1,$C75)),3,4)))),0)))</f>
        <v>0</v>
      </c>
      <c r="E75" s="1">
        <f>'Paste cell here'!F75</f>
        <v>0</v>
      </c>
      <c r="F75" s="1">
        <f>'Paste cell here'!C75</f>
        <v>16.679999999999755</v>
      </c>
      <c r="G75" s="1">
        <f>'Paste cell here'!D75</f>
        <v>0.98000000000001686</v>
      </c>
      <c r="H75" s="1">
        <f>'Paste cell here'!E75</f>
        <v>2.8312279004221659</v>
      </c>
      <c r="I75" s="1">
        <f>'Paste cell here'!X75</f>
        <v>0</v>
      </c>
      <c r="J75" s="1">
        <f>'Paste cell here'!Y75+'Paste cell here'!S75</f>
        <v>0</v>
      </c>
      <c r="K75" s="1">
        <f t="shared" si="2"/>
        <v>0</v>
      </c>
      <c r="L75" s="1">
        <f t="shared" si="3"/>
        <v>11.864290850236028</v>
      </c>
      <c r="M75" s="1">
        <f t="array" ref="M75">IF(AND(A75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75&gt;=_xlfn.ANCHORARRAY(Sintesi!$C$9))+(_xlfn.ANCHORARRAY(Sintesi!$C$9)&gt;_xlfn.ANCHORARRAY(Sintesi!$C$10))*(A75&lt;=_xlfn.ANCHORARRAY(Sintesi!$C$10))+(_xlfn.ANCHORARRAY(Sintesi!$C$9)&lt;_xlfn.ANCHORARRAY(Sintesi!$C$10))*(A75&gt;=_xlfn.ANCHORARRAY(Sintesi!$C$9))*(A75&lt;=_xlfn.ANCHORARRAY(Sintesi!$C$10)),0)),0),A75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76&gt;=_xlfn.ANCHORARRAY(Sintesi!$C$9))+(_xlfn.ANCHORARRAY(Sintesi!$C$9)&gt;_xlfn.ANCHORARRAY(Sintesi!$C$10))*(A76&lt;=_xlfn.ANCHORARRAY(Sintesi!$C$10))+(_xlfn.ANCHORARRAY(Sintesi!$C$9)&lt;_xlfn.ANCHORARRAY(Sintesi!$C$10))*(A76&gt;=_xlfn.ANCHORARRAY(Sintesi!$C$9))*(A76&lt;=_xlfn.ANCHORARRAY(Sintesi!$C$10)),0)),0)),IF(L75&lt;_xlfn.IFNA(INDEX(_xlfn.ANCHORARRAY(Sintesi!$C$17),1,MATCH(1,(_xlfn.ANCHORARRAY(Sintesi!$C$9)&gt;_xlfn.ANCHORARRAY(Sintesi!$C$10))*(A74&gt;=_xlfn.ANCHORARRAY(Sintesi!$C$9))+(_xlfn.ANCHORARRAY(Sintesi!$C$9)&gt;_xlfn.ANCHORARRAY(Sintesi!$C$10))*(A74&lt;=_xlfn.ANCHORARRAY(Sintesi!$C$10))+(_xlfn.ANCHORARRAY(Sintesi!$C$9)&lt;_xlfn.ANCHORARRAY(Sintesi!$C$10))*(A74&gt;=_xlfn.ANCHORARRAY(Sintesi!$C$9))*(A74&lt;=_xlfn.ANCHORARRAY(Sintesi!$C$10)),0)),0),1,IF(L75&gt;=_xlfn.IFNA(INDEX(_xlfn.ANCHORARRAY(Sintesi!$C$18),1,MATCH(1,(_xlfn.ANCHORARRAY(Sintesi!$C$9)&gt;_xlfn.ANCHORARRAY(Sintesi!$C$10))*(A74&gt;=_xlfn.ANCHORARRAY(Sintesi!$C$9))+(_xlfn.ANCHORARRAY(Sintesi!$C$9)&gt;_xlfn.ANCHORARRAY(Sintesi!$C$10))*(A74&lt;=_xlfn.ANCHORARRAY(Sintesi!$C$10))+(_xlfn.ANCHORARRAY(Sintesi!$C$9)&lt;_xlfn.ANCHORARRAY(Sintesi!$C$10))*(A74&gt;=_xlfn.ANCHORARRAY(Sintesi!$C$9))*(A74&lt;=_xlfn.ANCHORARRAY(Sintesi!$C$10)),0)),0),0,1-(L75-_xlfn.IFNA(INDEX(_xlfn.ANCHORARRAY(Sintesi!$C$17),1,MATCH(1,(_xlfn.ANCHORARRAY(Sintesi!$C$9)&gt;_xlfn.ANCHORARRAY(Sintesi!$C$10))*(A74&gt;=_xlfn.ANCHORARRAY(Sintesi!$C$9))+(_xlfn.ANCHORARRAY(Sintesi!$C$9)&gt;_xlfn.ANCHORARRAY(Sintesi!$C$10))*(A74&lt;=_xlfn.ANCHORARRAY(Sintesi!$C$10))+(_xlfn.ANCHORARRAY(Sintesi!$C$9)&lt;_xlfn.ANCHORARRAY(Sintesi!$C$10))*(A74&gt;=_xlfn.ANCHORARRAY(Sintesi!$C$9))*(A74&lt;=_xlfn.ANCHORARRAY(Sintesi!$C$10)),0)),0))/(_xlfn.IFNA(INDEX(_xlfn.ANCHORARRAY(Sintesi!$C$18),1,MATCH(1,(_xlfn.ANCHORARRAY(Sintesi!$C$9)&gt;_xlfn.ANCHORARRAY(Sintesi!$C$10))*(A74&gt;=_xlfn.ANCHORARRAY(Sintesi!$C$9))+(_xlfn.ANCHORARRAY(Sintesi!$C$9)&gt;_xlfn.ANCHORARRAY(Sintesi!$C$10))*(A74&lt;=_xlfn.ANCHORARRAY(Sintesi!$C$10))+(_xlfn.ANCHORARRAY(Sintesi!$C$9)&lt;_xlfn.ANCHORARRAY(Sintesi!$C$10))*(A74&gt;=_xlfn.ANCHORARRAY(Sintesi!$C$9))*(A74&lt;=_xlfn.ANCHORARRAY(Sintesi!$C$10)),0)),0)-_xlfn.IFNA(INDEX(_xlfn.ANCHORARRAY(Sintesi!$C$17),1,MATCH(1,(_xlfn.ANCHORARRAY(Sintesi!$C$9)&gt;_xlfn.ANCHORARRAY(Sintesi!$C$10))*(A74&gt;=_xlfn.ANCHORARRAY(Sintesi!$C$9))+(_xlfn.ANCHORARRAY(Sintesi!$C$9)&gt;_xlfn.ANCHORARRAY(Sintesi!$C$10))*(A74&lt;=_xlfn.ANCHORARRAY(Sintesi!$C$10))+(_xlfn.ANCHORARRAY(Sintesi!$C$9)&lt;_xlfn.ANCHORARRAY(Sintesi!$C$10))*(A74&gt;=_xlfn.ANCHORARRAY(Sintesi!$C$9))*(A74&lt;=_xlfn.ANCHORARRAY(Sintesi!$C$10)),0)),0)))),0)</f>
        <v>0</v>
      </c>
    </row>
    <row r="76" spans="1:13">
      <c r="A76" s="1">
        <f>'Paste cell here'!A76</f>
        <v>75</v>
      </c>
      <c r="B76" s="2">
        <f>DATE(Sintesi!$C$4-1,12,31)+A76</f>
        <v>44271</v>
      </c>
      <c r="C76" s="34">
        <f t="array" ref="C76">_xlfn.IFNA(MATCH(1,((_xlfn.ANCHORARRAY(Sintesi!$C$9)&gt;_xlfn.ANCHORARRAY(Sintesi!$C$10))*(A76&gt;=_xlfn.ANCHORARRAY(Sintesi!$C$9))+(_xlfn.ANCHORARRAY(Sintesi!$C$9)&gt;_xlfn.ANCHORARRAY(Sintesi!$C$10))*(A76&lt;=_xlfn.ANCHORARRAY(Sintesi!$C$10))+(_xlfn.ANCHORARRAY(Sintesi!$C$9)&lt;_xlfn.ANCHORARRAY(Sintesi!$C$10))*(A76&gt;=_xlfn.ANCHORARRAY(Sintesi!$C$9))*(A76&lt;=_xlfn.ANCHORARRAY(Sintesi!$C$10)))*(_xlfn.ANCHORARRAY(Sintesi!$C$15)&gt;=0)+(_xlfn.ANCHORARRAY(Sintesi!$C$15)&lt;0),0),0)</f>
        <v>0</v>
      </c>
      <c r="D76" s="1">
        <f t="array" ref="D76">IF(ISBLANK($E77),IF(ISNUMBER($E75),IF($C76&gt;0,IF(($E76=INDEX(_xlfn.ANCHORARRAY(Sintesi!$C$14),1,$C76))*(INDEX(_xlfn.ANCHORARRAY(Sintesi!$C$15),1,$C76)&gt;0),0,IF(($E76=INDEX(_xlfn.ANCHORARRAY(Sintesi!$C$14),1,$C76))*(INDEX(_xlfn.ANCHORARRAY(Sintesi!$C$15),1,$C76)&lt;0)+($E76&gt;=$E75)*($E76&lt;=INDEX($E:$E,MATCH(TRUE,INDEX((ISNUMBER($E:$E)),0),0)))*($E76&gt;INDEX(_xlfn.ANCHORARRAY(Sintesi!$C$14),1,$C76))*($E76&lt;=INDEX(_xlfn.ANCHORARRAY(Sintesi!$C$15),1,$C76))*(INDEX(_xlfn.ANCHORARRAY(Sintesi!$C$15),1,$C76)&gt;0),1,IF(($E76&gt;=$E75)*($E76&lt;=INDEX($E:$E,MATCH(TRUE,INDEX((ISNUMBER($E:$E)),0),0)))*($E76&gt;INDEX(_xlfn.ANCHORARRAY(Sintesi!$C$14),1,$C76))*($E76&lt;INDEX(_xlfn.ANCHORARRAY(Sintesi!$C$16),1,$C76))*(INDEX(_xlfn.ANCHORARRAY(Sintesi!$C$15),1,$C76)&lt;0)+($E76&gt;=$E75)*($E76&lt;=INDEX($E:$E,MATCH(TRUE,INDEX((ISNUMBER($E:$E)),0),0)))*($E76&gt;INDEX(_xlfn.ANCHORARRAY(Sintesi!$C$15),1,$C76))*($E76&lt;INDEX(_xlfn.ANCHORARRAY(Sintesi!$C$16),1,$C76))*(INDEX(_xlfn.ANCHORARRAY(Sintesi!$C$15),1,$C76)&gt;0),2,IF($E76=(INDEX(_xlfn.ANCHORARRAY(Sintesi!$C$16),1,$C76)),3,4)))),0),IF($C76&gt;0,IF(($E76=INDEX(_xlfn.ANCHORARRAY(Sintesi!$C$14),1,$C76))*(INDEX(_xlfn.ANCHORARRAY(Sintesi!$C$15),1,$C76)&gt;0),0,IF(($E76=INDEX(_xlfn.ANCHORARRAY(Sintesi!$C$14),1,$C76))*(INDEX(_xlfn.ANCHORARRAY(Sintesi!$C$15),1,$C76)&lt;0)+($E76&gt;=LOOKUP(2,1/($E:$E&lt;&gt;""),$E:$E))*($E76&lt;=INDEX($E:$E,MATCH(TRUE,INDEX((ISNUMBER($E:$E)),0),0)))*($E76&gt;INDEX(_xlfn.ANCHORARRAY(Sintesi!$C$14),1,$C76))*($E76&lt;=INDEX(_xlfn.ANCHORARRAY(Sintesi!$C$15),1,$C76))*(INDEX(_xlfn.ANCHORARRAY(Sintesi!$C$15),1,$C76)&gt;0),1,IF(($E76&gt;=LOOKUP(2,1/($E:$E&lt;&gt;""),$E:$E))*($E76&lt;=INDEX($E:$E,MATCH(TRUE,INDEX((ISNUMBER($E:$E)),0),0)))*($E76&gt;INDEX(_xlfn.ANCHORARRAY(Sintesi!$C$14),1,$C76))*($E76&lt;INDEX(_xlfn.ANCHORARRAY(Sintesi!$C$16),1,$C76))*(INDEX(_xlfn.ANCHORARRAY(Sintesi!$C$15),1,$C76)&lt;0)+($E76&gt;=LOOKUP(2,1/($E:$E&lt;&gt;""),$E:$E))*($E76&lt;=INDEX($E:$E,MATCH(TRUE,INDEX((ISNUMBER($E:$E)),0),0)))*($E76&gt;INDEX(_xlfn.ANCHORARRAY(Sintesi!$C$15),1,$C76))*($E76&lt;INDEX(_xlfn.ANCHORARRAY(Sintesi!$C$16),1,$C76))*(INDEX(_xlfn.ANCHORARRAY(Sintesi!$C$15),1,$C76)&gt;0),2,IF($E76=(INDEX(_xlfn.ANCHORARRAY(Sintesi!$C$16),1,$C76)),3,4)))),0)),IF(ISNUMBER($E75),IF($C76&gt;0,IF(($E76=INDEX(_xlfn.ANCHORARRAY(Sintesi!$C$14),1,$C76))*(INDEX(_xlfn.ANCHORARRAY(Sintesi!$C$15),1,$C76)&gt;0),0,IF(($E76=INDEX(_xlfn.ANCHORARRAY(Sintesi!$C$14),1,$C76))*(INDEX(_xlfn.ANCHORARRAY(Sintesi!$C$15),1,$C76)&lt;0)+($E76&gt;=$E75)*($E76&lt;=$E77)*($E76&gt;INDEX(_xlfn.ANCHORARRAY(Sintesi!$C$14),1,$C76))*($E76&lt;=INDEX(_xlfn.ANCHORARRAY(Sintesi!$C$15),1,$C76))*(INDEX(_xlfn.ANCHORARRAY(Sintesi!$C$15),1,$C76)&gt;0),1,IF(($E76&gt;=$E75)*($E76&lt;=$E77)*($E76&gt;INDEX(_xlfn.ANCHORARRAY(Sintesi!$C$14),1,$C76))*($E76&lt;INDEX(_xlfn.ANCHORARRAY(Sintesi!$C$16),1,$C76))*(INDEX(_xlfn.ANCHORARRAY(Sintesi!$C$15),1,$C76)&lt;0)+($E76&gt;=$E75)*($E76&lt;=$E77)*($E76&gt;INDEX(_xlfn.ANCHORARRAY(Sintesi!$C$15),1,$C76))*($E76&lt;INDEX(_xlfn.ANCHORARRAY(Sintesi!$C$16),1,$C76))*(INDEX(_xlfn.ANCHORARRAY(Sintesi!$C$15),1,$C76)&gt;0),2,IF($E76=(INDEX(_xlfn.ANCHORARRAY(Sintesi!$C$16),1,$C76)),3,4)))),0),IF($C76&gt;0,IF(($E76=INDEX(_xlfn.ANCHORARRAY(Sintesi!$C$14),1,$C76))*(INDEX(_xlfn.ANCHORARRAY(Sintesi!$C$15),1,$C76)&gt;0),0,IF(($E76=INDEX(_xlfn.ANCHORARRAY(Sintesi!$C$14),1,$C76))*(INDEX(_xlfn.ANCHORARRAY(Sintesi!$C$15),1,$C76)&lt;0)+($E76&gt;=LOOKUP(2,1/($E:$E&lt;&gt;""),$E:$E))*($E76&lt;=$E77)*($E76&gt;INDEX(_xlfn.ANCHORARRAY(Sintesi!$C$14),1,$C76))*($E76&lt;=INDEX(_xlfn.ANCHORARRAY(Sintesi!$C$15),1,$C76))*(INDEX(_xlfn.ANCHORARRAY(Sintesi!$C$15),1,$C76)&gt;0),1,IF(($E76&gt;=LOOKUP(2,1/($E:$E&lt;&gt;""),$E:$E))*($E76&lt;=$E77)*($E76&gt;INDEX(_xlfn.ANCHORARRAY(Sintesi!$C$14),1,$C76))*($E76&lt;INDEX(_xlfn.ANCHORARRAY(Sintesi!$C$16),1,$C76))*(INDEX(_xlfn.ANCHORARRAY(Sintesi!$C$15),1,$C76)&lt;0)+($E76&gt;=LOOKUP(2,1/($E:$E&lt;&gt;""),$E:$E))*($E76&lt;=$E77)*($E76&gt;INDEX(_xlfn.ANCHORARRAY(Sintesi!$C$15),1,$C76))*($E76&lt;INDEX(_xlfn.ANCHORARRAY(Sintesi!$C$16),1,$C76))*(INDEX(_xlfn.ANCHORARRAY(Sintesi!$C$15),1,$C76)&gt;0),2,IF($E76=(INDEX(_xlfn.ANCHORARRAY(Sintesi!$C$16),1,$C76)),3,4)))),0)))</f>
        <v>0</v>
      </c>
      <c r="E76" s="1">
        <f>'Paste cell here'!F76</f>
        <v>0</v>
      </c>
      <c r="F76" s="1">
        <f>'Paste cell here'!C76</f>
        <v>15.59999999999976</v>
      </c>
      <c r="G76" s="1">
        <f>'Paste cell here'!D76</f>
        <v>7.8799999999998969</v>
      </c>
      <c r="H76" s="1">
        <f>'Paste cell here'!E76</f>
        <v>4.4411512338888759</v>
      </c>
      <c r="I76" s="1">
        <f>'Paste cell here'!X76</f>
        <v>0</v>
      </c>
      <c r="J76" s="1">
        <f>'Paste cell here'!Y76+'Paste cell here'!S76</f>
        <v>0</v>
      </c>
      <c r="K76" s="1">
        <f t="shared" si="2"/>
        <v>0</v>
      </c>
      <c r="L76" s="1">
        <f t="shared" si="3"/>
        <v>13.23202072381021</v>
      </c>
      <c r="M76" s="1">
        <f t="array" ref="M76">IF(AND(A76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76&gt;=_xlfn.ANCHORARRAY(Sintesi!$C$9))+(_xlfn.ANCHORARRAY(Sintesi!$C$9)&gt;_xlfn.ANCHORARRAY(Sintesi!$C$10))*(A76&lt;=_xlfn.ANCHORARRAY(Sintesi!$C$10))+(_xlfn.ANCHORARRAY(Sintesi!$C$9)&lt;_xlfn.ANCHORARRAY(Sintesi!$C$10))*(A76&gt;=_xlfn.ANCHORARRAY(Sintesi!$C$9))*(A76&lt;=_xlfn.ANCHORARRAY(Sintesi!$C$10)),0)),0),A76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77&gt;=_xlfn.ANCHORARRAY(Sintesi!$C$9))+(_xlfn.ANCHORARRAY(Sintesi!$C$9)&gt;_xlfn.ANCHORARRAY(Sintesi!$C$10))*(A77&lt;=_xlfn.ANCHORARRAY(Sintesi!$C$10))+(_xlfn.ANCHORARRAY(Sintesi!$C$9)&lt;_xlfn.ANCHORARRAY(Sintesi!$C$10))*(A77&gt;=_xlfn.ANCHORARRAY(Sintesi!$C$9))*(A77&lt;=_xlfn.ANCHORARRAY(Sintesi!$C$10)),0)),0)),IF(L76&lt;_xlfn.IFNA(INDEX(_xlfn.ANCHORARRAY(Sintesi!$C$17),1,MATCH(1,(_xlfn.ANCHORARRAY(Sintesi!$C$9)&gt;_xlfn.ANCHORARRAY(Sintesi!$C$10))*(A75&gt;=_xlfn.ANCHORARRAY(Sintesi!$C$9))+(_xlfn.ANCHORARRAY(Sintesi!$C$9)&gt;_xlfn.ANCHORARRAY(Sintesi!$C$10))*(A75&lt;=_xlfn.ANCHORARRAY(Sintesi!$C$10))+(_xlfn.ANCHORARRAY(Sintesi!$C$9)&lt;_xlfn.ANCHORARRAY(Sintesi!$C$10))*(A75&gt;=_xlfn.ANCHORARRAY(Sintesi!$C$9))*(A75&lt;=_xlfn.ANCHORARRAY(Sintesi!$C$10)),0)),0),1,IF(L76&gt;=_xlfn.IFNA(INDEX(_xlfn.ANCHORARRAY(Sintesi!$C$18),1,MATCH(1,(_xlfn.ANCHORARRAY(Sintesi!$C$9)&gt;_xlfn.ANCHORARRAY(Sintesi!$C$10))*(A75&gt;=_xlfn.ANCHORARRAY(Sintesi!$C$9))+(_xlfn.ANCHORARRAY(Sintesi!$C$9)&gt;_xlfn.ANCHORARRAY(Sintesi!$C$10))*(A75&lt;=_xlfn.ANCHORARRAY(Sintesi!$C$10))+(_xlfn.ANCHORARRAY(Sintesi!$C$9)&lt;_xlfn.ANCHORARRAY(Sintesi!$C$10))*(A75&gt;=_xlfn.ANCHORARRAY(Sintesi!$C$9))*(A75&lt;=_xlfn.ANCHORARRAY(Sintesi!$C$10)),0)),0),0,1-(L76-_xlfn.IFNA(INDEX(_xlfn.ANCHORARRAY(Sintesi!$C$17),1,MATCH(1,(_xlfn.ANCHORARRAY(Sintesi!$C$9)&gt;_xlfn.ANCHORARRAY(Sintesi!$C$10))*(A75&gt;=_xlfn.ANCHORARRAY(Sintesi!$C$9))+(_xlfn.ANCHORARRAY(Sintesi!$C$9)&gt;_xlfn.ANCHORARRAY(Sintesi!$C$10))*(A75&lt;=_xlfn.ANCHORARRAY(Sintesi!$C$10))+(_xlfn.ANCHORARRAY(Sintesi!$C$9)&lt;_xlfn.ANCHORARRAY(Sintesi!$C$10))*(A75&gt;=_xlfn.ANCHORARRAY(Sintesi!$C$9))*(A75&lt;=_xlfn.ANCHORARRAY(Sintesi!$C$10)),0)),0))/(_xlfn.IFNA(INDEX(_xlfn.ANCHORARRAY(Sintesi!$C$18),1,MATCH(1,(_xlfn.ANCHORARRAY(Sintesi!$C$9)&gt;_xlfn.ANCHORARRAY(Sintesi!$C$10))*(A75&gt;=_xlfn.ANCHORARRAY(Sintesi!$C$9))+(_xlfn.ANCHORARRAY(Sintesi!$C$9)&gt;_xlfn.ANCHORARRAY(Sintesi!$C$10))*(A75&lt;=_xlfn.ANCHORARRAY(Sintesi!$C$10))+(_xlfn.ANCHORARRAY(Sintesi!$C$9)&lt;_xlfn.ANCHORARRAY(Sintesi!$C$10))*(A75&gt;=_xlfn.ANCHORARRAY(Sintesi!$C$9))*(A75&lt;=_xlfn.ANCHORARRAY(Sintesi!$C$10)),0)),0)-_xlfn.IFNA(INDEX(_xlfn.ANCHORARRAY(Sintesi!$C$17),1,MATCH(1,(_xlfn.ANCHORARRAY(Sintesi!$C$9)&gt;_xlfn.ANCHORARRAY(Sintesi!$C$10))*(A75&gt;=_xlfn.ANCHORARRAY(Sintesi!$C$9))+(_xlfn.ANCHORARRAY(Sintesi!$C$9)&gt;_xlfn.ANCHORARRAY(Sintesi!$C$10))*(A75&lt;=_xlfn.ANCHORARRAY(Sintesi!$C$10))+(_xlfn.ANCHORARRAY(Sintesi!$C$9)&lt;_xlfn.ANCHORARRAY(Sintesi!$C$10))*(A75&gt;=_xlfn.ANCHORARRAY(Sintesi!$C$9))*(A75&lt;=_xlfn.ANCHORARRAY(Sintesi!$C$10)),0)),0)))),0)</f>
        <v>0</v>
      </c>
    </row>
    <row r="77" spans="1:13">
      <c r="A77" s="1">
        <f>'Paste cell here'!A77</f>
        <v>76</v>
      </c>
      <c r="B77" s="2">
        <f>DATE(Sintesi!$C$4-1,12,31)+A77</f>
        <v>44272</v>
      </c>
      <c r="C77" s="34">
        <f t="array" ref="C77">_xlfn.IFNA(MATCH(1,((_xlfn.ANCHORARRAY(Sintesi!$C$9)&gt;_xlfn.ANCHORARRAY(Sintesi!$C$10))*(A77&gt;=_xlfn.ANCHORARRAY(Sintesi!$C$9))+(_xlfn.ANCHORARRAY(Sintesi!$C$9)&gt;_xlfn.ANCHORARRAY(Sintesi!$C$10))*(A77&lt;=_xlfn.ANCHORARRAY(Sintesi!$C$10))+(_xlfn.ANCHORARRAY(Sintesi!$C$9)&lt;_xlfn.ANCHORARRAY(Sintesi!$C$10))*(A77&gt;=_xlfn.ANCHORARRAY(Sintesi!$C$9))*(A77&lt;=_xlfn.ANCHORARRAY(Sintesi!$C$10)))*(_xlfn.ANCHORARRAY(Sintesi!$C$15)&gt;=0)+(_xlfn.ANCHORARRAY(Sintesi!$C$15)&lt;0),0),0)</f>
        <v>0</v>
      </c>
      <c r="D77" s="1">
        <f t="array" ref="D77">IF(ISBLANK($E78),IF(ISNUMBER($E76),IF($C77&gt;0,IF(($E77=INDEX(_xlfn.ANCHORARRAY(Sintesi!$C$14),1,$C77))*(INDEX(_xlfn.ANCHORARRAY(Sintesi!$C$15),1,$C77)&gt;0),0,IF(($E77=INDEX(_xlfn.ANCHORARRAY(Sintesi!$C$14),1,$C77))*(INDEX(_xlfn.ANCHORARRAY(Sintesi!$C$15),1,$C77)&lt;0)+($E77&gt;=$E76)*($E77&lt;=INDEX($E:$E,MATCH(TRUE,INDEX((ISNUMBER($E:$E)),0),0)))*($E77&gt;INDEX(_xlfn.ANCHORARRAY(Sintesi!$C$14),1,$C77))*($E77&lt;=INDEX(_xlfn.ANCHORARRAY(Sintesi!$C$15),1,$C77))*(INDEX(_xlfn.ANCHORARRAY(Sintesi!$C$15),1,$C77)&gt;0),1,IF(($E77&gt;=$E76)*($E77&lt;=INDEX($E:$E,MATCH(TRUE,INDEX((ISNUMBER($E:$E)),0),0)))*($E77&gt;INDEX(_xlfn.ANCHORARRAY(Sintesi!$C$14),1,$C77))*($E77&lt;INDEX(_xlfn.ANCHORARRAY(Sintesi!$C$16),1,$C77))*(INDEX(_xlfn.ANCHORARRAY(Sintesi!$C$15),1,$C77)&lt;0)+($E77&gt;=$E76)*($E77&lt;=INDEX($E:$E,MATCH(TRUE,INDEX((ISNUMBER($E:$E)),0),0)))*($E77&gt;INDEX(_xlfn.ANCHORARRAY(Sintesi!$C$15),1,$C77))*($E77&lt;INDEX(_xlfn.ANCHORARRAY(Sintesi!$C$16),1,$C77))*(INDEX(_xlfn.ANCHORARRAY(Sintesi!$C$15),1,$C77)&gt;0),2,IF($E77=(INDEX(_xlfn.ANCHORARRAY(Sintesi!$C$16),1,$C77)),3,4)))),0),IF($C77&gt;0,IF(($E77=INDEX(_xlfn.ANCHORARRAY(Sintesi!$C$14),1,$C77))*(INDEX(_xlfn.ANCHORARRAY(Sintesi!$C$15),1,$C77)&gt;0),0,IF(($E77=INDEX(_xlfn.ANCHORARRAY(Sintesi!$C$14),1,$C77))*(INDEX(_xlfn.ANCHORARRAY(Sintesi!$C$15),1,$C77)&lt;0)+($E77&gt;=LOOKUP(2,1/($E:$E&lt;&gt;""),$E:$E))*($E77&lt;=INDEX($E:$E,MATCH(TRUE,INDEX((ISNUMBER($E:$E)),0),0)))*($E77&gt;INDEX(_xlfn.ANCHORARRAY(Sintesi!$C$14),1,$C77))*($E77&lt;=INDEX(_xlfn.ANCHORARRAY(Sintesi!$C$15),1,$C77))*(INDEX(_xlfn.ANCHORARRAY(Sintesi!$C$15),1,$C77)&gt;0),1,IF(($E77&gt;=LOOKUP(2,1/($E:$E&lt;&gt;""),$E:$E))*($E77&lt;=INDEX($E:$E,MATCH(TRUE,INDEX((ISNUMBER($E:$E)),0),0)))*($E77&gt;INDEX(_xlfn.ANCHORARRAY(Sintesi!$C$14),1,$C77))*($E77&lt;INDEX(_xlfn.ANCHORARRAY(Sintesi!$C$16),1,$C77))*(INDEX(_xlfn.ANCHORARRAY(Sintesi!$C$15),1,$C77)&lt;0)+($E77&gt;=LOOKUP(2,1/($E:$E&lt;&gt;""),$E:$E))*($E77&lt;=INDEX($E:$E,MATCH(TRUE,INDEX((ISNUMBER($E:$E)),0),0)))*($E77&gt;INDEX(_xlfn.ANCHORARRAY(Sintesi!$C$15),1,$C77))*($E77&lt;INDEX(_xlfn.ANCHORARRAY(Sintesi!$C$16),1,$C77))*(INDEX(_xlfn.ANCHORARRAY(Sintesi!$C$15),1,$C77)&gt;0),2,IF($E77=(INDEX(_xlfn.ANCHORARRAY(Sintesi!$C$16),1,$C77)),3,4)))),0)),IF(ISNUMBER($E76),IF($C77&gt;0,IF(($E77=INDEX(_xlfn.ANCHORARRAY(Sintesi!$C$14),1,$C77))*(INDEX(_xlfn.ANCHORARRAY(Sintesi!$C$15),1,$C77)&gt;0),0,IF(($E77=INDEX(_xlfn.ANCHORARRAY(Sintesi!$C$14),1,$C77))*(INDEX(_xlfn.ANCHORARRAY(Sintesi!$C$15),1,$C77)&lt;0)+($E77&gt;=$E76)*($E77&lt;=$E78)*($E77&gt;INDEX(_xlfn.ANCHORARRAY(Sintesi!$C$14),1,$C77))*($E77&lt;=INDEX(_xlfn.ANCHORARRAY(Sintesi!$C$15),1,$C77))*(INDEX(_xlfn.ANCHORARRAY(Sintesi!$C$15),1,$C77)&gt;0),1,IF(($E77&gt;=$E76)*($E77&lt;=$E78)*($E77&gt;INDEX(_xlfn.ANCHORARRAY(Sintesi!$C$14),1,$C77))*($E77&lt;INDEX(_xlfn.ANCHORARRAY(Sintesi!$C$16),1,$C77))*(INDEX(_xlfn.ANCHORARRAY(Sintesi!$C$15),1,$C77)&lt;0)+($E77&gt;=$E76)*($E77&lt;=$E78)*($E77&gt;INDEX(_xlfn.ANCHORARRAY(Sintesi!$C$15),1,$C77))*($E77&lt;INDEX(_xlfn.ANCHORARRAY(Sintesi!$C$16),1,$C77))*(INDEX(_xlfn.ANCHORARRAY(Sintesi!$C$15),1,$C77)&gt;0),2,IF($E77=(INDEX(_xlfn.ANCHORARRAY(Sintesi!$C$16),1,$C77)),3,4)))),0),IF($C77&gt;0,IF(($E77=INDEX(_xlfn.ANCHORARRAY(Sintesi!$C$14),1,$C77))*(INDEX(_xlfn.ANCHORARRAY(Sintesi!$C$15),1,$C77)&gt;0),0,IF(($E77=INDEX(_xlfn.ANCHORARRAY(Sintesi!$C$14),1,$C77))*(INDEX(_xlfn.ANCHORARRAY(Sintesi!$C$15),1,$C77)&lt;0)+($E77&gt;=LOOKUP(2,1/($E:$E&lt;&gt;""),$E:$E))*($E77&lt;=$E78)*($E77&gt;INDEX(_xlfn.ANCHORARRAY(Sintesi!$C$14),1,$C77))*($E77&lt;=INDEX(_xlfn.ANCHORARRAY(Sintesi!$C$15),1,$C77))*(INDEX(_xlfn.ANCHORARRAY(Sintesi!$C$15),1,$C77)&gt;0),1,IF(($E77&gt;=LOOKUP(2,1/($E:$E&lt;&gt;""),$E:$E))*($E77&lt;=$E78)*($E77&gt;INDEX(_xlfn.ANCHORARRAY(Sintesi!$C$14),1,$C77))*($E77&lt;INDEX(_xlfn.ANCHORARRAY(Sintesi!$C$16),1,$C77))*(INDEX(_xlfn.ANCHORARRAY(Sintesi!$C$15),1,$C77)&lt;0)+($E77&gt;=LOOKUP(2,1/($E:$E&lt;&gt;""),$E:$E))*($E77&lt;=$E78)*($E77&gt;INDEX(_xlfn.ANCHORARRAY(Sintesi!$C$15),1,$C77))*($E77&lt;INDEX(_xlfn.ANCHORARRAY(Sintesi!$C$16),1,$C77))*(INDEX(_xlfn.ANCHORARRAY(Sintesi!$C$15),1,$C77)&gt;0),2,IF($E77=(INDEX(_xlfn.ANCHORARRAY(Sintesi!$C$16),1,$C77)),3,4)))),0)))</f>
        <v>0</v>
      </c>
      <c r="E77" s="1">
        <f>'Paste cell here'!F77</f>
        <v>0</v>
      </c>
      <c r="F77" s="1">
        <f>'Paste cell here'!C77</f>
        <v>15.91999999999976</v>
      </c>
      <c r="G77" s="1">
        <f>'Paste cell here'!D77</f>
        <v>4.2799999999999576</v>
      </c>
      <c r="H77" s="1">
        <f>'Paste cell here'!E77</f>
        <v>3.2630826757556375</v>
      </c>
      <c r="I77" s="1">
        <f>'Paste cell here'!X77</f>
        <v>0</v>
      </c>
      <c r="J77" s="1">
        <f>'Paste cell here'!Y77+'Paste cell here'!S77</f>
        <v>0</v>
      </c>
      <c r="K77" s="1">
        <f t="shared" si="2"/>
        <v>0</v>
      </c>
      <c r="L77" s="1">
        <f t="shared" si="3"/>
        <v>12.349627101703598</v>
      </c>
      <c r="M77" s="1">
        <f t="array" ref="M77">IF(AND(A77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77&gt;=_xlfn.ANCHORARRAY(Sintesi!$C$9))+(_xlfn.ANCHORARRAY(Sintesi!$C$9)&gt;_xlfn.ANCHORARRAY(Sintesi!$C$10))*(A77&lt;=_xlfn.ANCHORARRAY(Sintesi!$C$10))+(_xlfn.ANCHORARRAY(Sintesi!$C$9)&lt;_xlfn.ANCHORARRAY(Sintesi!$C$10))*(A77&gt;=_xlfn.ANCHORARRAY(Sintesi!$C$9))*(A77&lt;=_xlfn.ANCHORARRAY(Sintesi!$C$10)),0)),0),A77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78&gt;=_xlfn.ANCHORARRAY(Sintesi!$C$9))+(_xlfn.ANCHORARRAY(Sintesi!$C$9)&gt;_xlfn.ANCHORARRAY(Sintesi!$C$10))*(A78&lt;=_xlfn.ANCHORARRAY(Sintesi!$C$10))+(_xlfn.ANCHORARRAY(Sintesi!$C$9)&lt;_xlfn.ANCHORARRAY(Sintesi!$C$10))*(A78&gt;=_xlfn.ANCHORARRAY(Sintesi!$C$9))*(A78&lt;=_xlfn.ANCHORARRAY(Sintesi!$C$10)),0)),0)),IF(L77&lt;_xlfn.IFNA(INDEX(_xlfn.ANCHORARRAY(Sintesi!$C$17),1,MATCH(1,(_xlfn.ANCHORARRAY(Sintesi!$C$9)&gt;_xlfn.ANCHORARRAY(Sintesi!$C$10))*(A76&gt;=_xlfn.ANCHORARRAY(Sintesi!$C$9))+(_xlfn.ANCHORARRAY(Sintesi!$C$9)&gt;_xlfn.ANCHORARRAY(Sintesi!$C$10))*(A76&lt;=_xlfn.ANCHORARRAY(Sintesi!$C$10))+(_xlfn.ANCHORARRAY(Sintesi!$C$9)&lt;_xlfn.ANCHORARRAY(Sintesi!$C$10))*(A76&gt;=_xlfn.ANCHORARRAY(Sintesi!$C$9))*(A76&lt;=_xlfn.ANCHORARRAY(Sintesi!$C$10)),0)),0),1,IF(L77&gt;=_xlfn.IFNA(INDEX(_xlfn.ANCHORARRAY(Sintesi!$C$18),1,MATCH(1,(_xlfn.ANCHORARRAY(Sintesi!$C$9)&gt;_xlfn.ANCHORARRAY(Sintesi!$C$10))*(A76&gt;=_xlfn.ANCHORARRAY(Sintesi!$C$9))+(_xlfn.ANCHORARRAY(Sintesi!$C$9)&gt;_xlfn.ANCHORARRAY(Sintesi!$C$10))*(A76&lt;=_xlfn.ANCHORARRAY(Sintesi!$C$10))+(_xlfn.ANCHORARRAY(Sintesi!$C$9)&lt;_xlfn.ANCHORARRAY(Sintesi!$C$10))*(A76&gt;=_xlfn.ANCHORARRAY(Sintesi!$C$9))*(A76&lt;=_xlfn.ANCHORARRAY(Sintesi!$C$10)),0)),0),0,1-(L77-_xlfn.IFNA(INDEX(_xlfn.ANCHORARRAY(Sintesi!$C$17),1,MATCH(1,(_xlfn.ANCHORARRAY(Sintesi!$C$9)&gt;_xlfn.ANCHORARRAY(Sintesi!$C$10))*(A76&gt;=_xlfn.ANCHORARRAY(Sintesi!$C$9))+(_xlfn.ANCHORARRAY(Sintesi!$C$9)&gt;_xlfn.ANCHORARRAY(Sintesi!$C$10))*(A76&lt;=_xlfn.ANCHORARRAY(Sintesi!$C$10))+(_xlfn.ANCHORARRAY(Sintesi!$C$9)&lt;_xlfn.ANCHORARRAY(Sintesi!$C$10))*(A76&gt;=_xlfn.ANCHORARRAY(Sintesi!$C$9))*(A76&lt;=_xlfn.ANCHORARRAY(Sintesi!$C$10)),0)),0))/(_xlfn.IFNA(INDEX(_xlfn.ANCHORARRAY(Sintesi!$C$18),1,MATCH(1,(_xlfn.ANCHORARRAY(Sintesi!$C$9)&gt;_xlfn.ANCHORARRAY(Sintesi!$C$10))*(A76&gt;=_xlfn.ANCHORARRAY(Sintesi!$C$9))+(_xlfn.ANCHORARRAY(Sintesi!$C$9)&gt;_xlfn.ANCHORARRAY(Sintesi!$C$10))*(A76&lt;=_xlfn.ANCHORARRAY(Sintesi!$C$10))+(_xlfn.ANCHORARRAY(Sintesi!$C$9)&lt;_xlfn.ANCHORARRAY(Sintesi!$C$10))*(A76&gt;=_xlfn.ANCHORARRAY(Sintesi!$C$9))*(A76&lt;=_xlfn.ANCHORARRAY(Sintesi!$C$10)),0)),0)-_xlfn.IFNA(INDEX(_xlfn.ANCHORARRAY(Sintesi!$C$17),1,MATCH(1,(_xlfn.ANCHORARRAY(Sintesi!$C$9)&gt;_xlfn.ANCHORARRAY(Sintesi!$C$10))*(A76&gt;=_xlfn.ANCHORARRAY(Sintesi!$C$9))+(_xlfn.ANCHORARRAY(Sintesi!$C$9)&gt;_xlfn.ANCHORARRAY(Sintesi!$C$10))*(A76&lt;=_xlfn.ANCHORARRAY(Sintesi!$C$10))+(_xlfn.ANCHORARRAY(Sintesi!$C$9)&lt;_xlfn.ANCHORARRAY(Sintesi!$C$10))*(A76&gt;=_xlfn.ANCHORARRAY(Sintesi!$C$9))*(A76&lt;=_xlfn.ANCHORARRAY(Sintesi!$C$10)),0)),0)))),0)</f>
        <v>0</v>
      </c>
    </row>
    <row r="78" spans="1:13">
      <c r="A78" s="1">
        <f>'Paste cell here'!A78</f>
        <v>77</v>
      </c>
      <c r="B78" s="2">
        <f>DATE(Sintesi!$C$4-1,12,31)+A78</f>
        <v>44273</v>
      </c>
      <c r="C78" s="34">
        <f t="array" ref="C78">_xlfn.IFNA(MATCH(1,((_xlfn.ANCHORARRAY(Sintesi!$C$9)&gt;_xlfn.ANCHORARRAY(Sintesi!$C$10))*(A78&gt;=_xlfn.ANCHORARRAY(Sintesi!$C$9))+(_xlfn.ANCHORARRAY(Sintesi!$C$9)&gt;_xlfn.ANCHORARRAY(Sintesi!$C$10))*(A78&lt;=_xlfn.ANCHORARRAY(Sintesi!$C$10))+(_xlfn.ANCHORARRAY(Sintesi!$C$9)&lt;_xlfn.ANCHORARRAY(Sintesi!$C$10))*(A78&gt;=_xlfn.ANCHORARRAY(Sintesi!$C$9))*(A78&lt;=_xlfn.ANCHORARRAY(Sintesi!$C$10)))*(_xlfn.ANCHORARRAY(Sintesi!$C$15)&gt;=0)+(_xlfn.ANCHORARRAY(Sintesi!$C$15)&lt;0),0),0)</f>
        <v>0</v>
      </c>
      <c r="D78" s="1">
        <f t="array" ref="D78">IF(ISBLANK($E79),IF(ISNUMBER($E77),IF($C78&gt;0,IF(($E78=INDEX(_xlfn.ANCHORARRAY(Sintesi!$C$14),1,$C78))*(INDEX(_xlfn.ANCHORARRAY(Sintesi!$C$15),1,$C78)&gt;0),0,IF(($E78=INDEX(_xlfn.ANCHORARRAY(Sintesi!$C$14),1,$C78))*(INDEX(_xlfn.ANCHORARRAY(Sintesi!$C$15),1,$C78)&lt;0)+($E78&gt;=$E77)*($E78&lt;=INDEX($E:$E,MATCH(TRUE,INDEX((ISNUMBER($E:$E)),0),0)))*($E78&gt;INDEX(_xlfn.ANCHORARRAY(Sintesi!$C$14),1,$C78))*($E78&lt;=INDEX(_xlfn.ANCHORARRAY(Sintesi!$C$15),1,$C78))*(INDEX(_xlfn.ANCHORARRAY(Sintesi!$C$15),1,$C78)&gt;0),1,IF(($E78&gt;=$E77)*($E78&lt;=INDEX($E:$E,MATCH(TRUE,INDEX((ISNUMBER($E:$E)),0),0)))*($E78&gt;INDEX(_xlfn.ANCHORARRAY(Sintesi!$C$14),1,$C78))*($E78&lt;INDEX(_xlfn.ANCHORARRAY(Sintesi!$C$16),1,$C78))*(INDEX(_xlfn.ANCHORARRAY(Sintesi!$C$15),1,$C78)&lt;0)+($E78&gt;=$E77)*($E78&lt;=INDEX($E:$E,MATCH(TRUE,INDEX((ISNUMBER($E:$E)),0),0)))*($E78&gt;INDEX(_xlfn.ANCHORARRAY(Sintesi!$C$15),1,$C78))*($E78&lt;INDEX(_xlfn.ANCHORARRAY(Sintesi!$C$16),1,$C78))*(INDEX(_xlfn.ANCHORARRAY(Sintesi!$C$15),1,$C78)&gt;0),2,IF($E78=(INDEX(_xlfn.ANCHORARRAY(Sintesi!$C$16),1,$C78)),3,4)))),0),IF($C78&gt;0,IF(($E78=INDEX(_xlfn.ANCHORARRAY(Sintesi!$C$14),1,$C78))*(INDEX(_xlfn.ANCHORARRAY(Sintesi!$C$15),1,$C78)&gt;0),0,IF(($E78=INDEX(_xlfn.ANCHORARRAY(Sintesi!$C$14),1,$C78))*(INDEX(_xlfn.ANCHORARRAY(Sintesi!$C$15),1,$C78)&lt;0)+($E78&gt;=LOOKUP(2,1/($E:$E&lt;&gt;""),$E:$E))*($E78&lt;=INDEX($E:$E,MATCH(TRUE,INDEX((ISNUMBER($E:$E)),0),0)))*($E78&gt;INDEX(_xlfn.ANCHORARRAY(Sintesi!$C$14),1,$C78))*($E78&lt;=INDEX(_xlfn.ANCHORARRAY(Sintesi!$C$15),1,$C78))*(INDEX(_xlfn.ANCHORARRAY(Sintesi!$C$15),1,$C78)&gt;0),1,IF(($E78&gt;=LOOKUP(2,1/($E:$E&lt;&gt;""),$E:$E))*($E78&lt;=INDEX($E:$E,MATCH(TRUE,INDEX((ISNUMBER($E:$E)),0),0)))*($E78&gt;INDEX(_xlfn.ANCHORARRAY(Sintesi!$C$14),1,$C78))*($E78&lt;INDEX(_xlfn.ANCHORARRAY(Sintesi!$C$16),1,$C78))*(INDEX(_xlfn.ANCHORARRAY(Sintesi!$C$15),1,$C78)&lt;0)+($E78&gt;=LOOKUP(2,1/($E:$E&lt;&gt;""),$E:$E))*($E78&lt;=INDEX($E:$E,MATCH(TRUE,INDEX((ISNUMBER($E:$E)),0),0)))*($E78&gt;INDEX(_xlfn.ANCHORARRAY(Sintesi!$C$15),1,$C78))*($E78&lt;INDEX(_xlfn.ANCHORARRAY(Sintesi!$C$16),1,$C78))*(INDEX(_xlfn.ANCHORARRAY(Sintesi!$C$15),1,$C78)&gt;0),2,IF($E78=(INDEX(_xlfn.ANCHORARRAY(Sintesi!$C$16),1,$C78)),3,4)))),0)),IF(ISNUMBER($E77),IF($C78&gt;0,IF(($E78=INDEX(_xlfn.ANCHORARRAY(Sintesi!$C$14),1,$C78))*(INDEX(_xlfn.ANCHORARRAY(Sintesi!$C$15),1,$C78)&gt;0),0,IF(($E78=INDEX(_xlfn.ANCHORARRAY(Sintesi!$C$14),1,$C78))*(INDEX(_xlfn.ANCHORARRAY(Sintesi!$C$15),1,$C78)&lt;0)+($E78&gt;=$E77)*($E78&lt;=$E79)*($E78&gt;INDEX(_xlfn.ANCHORARRAY(Sintesi!$C$14),1,$C78))*($E78&lt;=INDEX(_xlfn.ANCHORARRAY(Sintesi!$C$15),1,$C78))*(INDEX(_xlfn.ANCHORARRAY(Sintesi!$C$15),1,$C78)&gt;0),1,IF(($E78&gt;=$E77)*($E78&lt;=$E79)*($E78&gt;INDEX(_xlfn.ANCHORARRAY(Sintesi!$C$14),1,$C78))*($E78&lt;INDEX(_xlfn.ANCHORARRAY(Sintesi!$C$16),1,$C78))*(INDEX(_xlfn.ANCHORARRAY(Sintesi!$C$15),1,$C78)&lt;0)+($E78&gt;=$E77)*($E78&lt;=$E79)*($E78&gt;INDEX(_xlfn.ANCHORARRAY(Sintesi!$C$15),1,$C78))*($E78&lt;INDEX(_xlfn.ANCHORARRAY(Sintesi!$C$16),1,$C78))*(INDEX(_xlfn.ANCHORARRAY(Sintesi!$C$15),1,$C78)&gt;0),2,IF($E78=(INDEX(_xlfn.ANCHORARRAY(Sintesi!$C$16),1,$C78)),3,4)))),0),IF($C78&gt;0,IF(($E78=INDEX(_xlfn.ANCHORARRAY(Sintesi!$C$14),1,$C78))*(INDEX(_xlfn.ANCHORARRAY(Sintesi!$C$15),1,$C78)&gt;0),0,IF(($E78=INDEX(_xlfn.ANCHORARRAY(Sintesi!$C$14),1,$C78))*(INDEX(_xlfn.ANCHORARRAY(Sintesi!$C$15),1,$C78)&lt;0)+($E78&gt;=LOOKUP(2,1/($E:$E&lt;&gt;""),$E:$E))*($E78&lt;=$E79)*($E78&gt;INDEX(_xlfn.ANCHORARRAY(Sintesi!$C$14),1,$C78))*($E78&lt;=INDEX(_xlfn.ANCHORARRAY(Sintesi!$C$15),1,$C78))*(INDEX(_xlfn.ANCHORARRAY(Sintesi!$C$15),1,$C78)&gt;0),1,IF(($E78&gt;=LOOKUP(2,1/($E:$E&lt;&gt;""),$E:$E))*($E78&lt;=$E79)*($E78&gt;INDEX(_xlfn.ANCHORARRAY(Sintesi!$C$14),1,$C78))*($E78&lt;INDEX(_xlfn.ANCHORARRAY(Sintesi!$C$16),1,$C78))*(INDEX(_xlfn.ANCHORARRAY(Sintesi!$C$15),1,$C78)&lt;0)+($E78&gt;=LOOKUP(2,1/($E:$E&lt;&gt;""),$E:$E))*($E78&lt;=$E79)*($E78&gt;INDEX(_xlfn.ANCHORARRAY(Sintesi!$C$15),1,$C78))*($E78&lt;INDEX(_xlfn.ANCHORARRAY(Sintesi!$C$16),1,$C78))*(INDEX(_xlfn.ANCHORARRAY(Sintesi!$C$15),1,$C78)&gt;0),2,IF($E78=(INDEX(_xlfn.ANCHORARRAY(Sintesi!$C$16),1,$C78)),3,4)))),0)))</f>
        <v>0</v>
      </c>
      <c r="E78" s="1">
        <f>'Paste cell here'!F78</f>
        <v>0</v>
      </c>
      <c r="F78" s="1">
        <f>'Paste cell here'!C78</f>
        <v>11.459999999999825</v>
      </c>
      <c r="G78" s="1">
        <f>'Paste cell here'!D78</f>
        <v>2.6799999999999926</v>
      </c>
      <c r="H78" s="1">
        <f>'Paste cell here'!E78</f>
        <v>1.9527928425403283</v>
      </c>
      <c r="I78" s="1">
        <f>'Paste cell here'!X78</f>
        <v>0</v>
      </c>
      <c r="J78" s="1">
        <f>'Paste cell here'!Y78+'Paste cell here'!S78</f>
        <v>0</v>
      </c>
      <c r="K78" s="1">
        <f t="shared" si="2"/>
        <v>0</v>
      </c>
      <c r="L78" s="1">
        <f t="shared" si="3"/>
        <v>8.7668836729345117</v>
      </c>
      <c r="M78" s="1">
        <f t="array" ref="M78">IF(AND(A78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78&gt;=_xlfn.ANCHORARRAY(Sintesi!$C$9))+(_xlfn.ANCHORARRAY(Sintesi!$C$9)&gt;_xlfn.ANCHORARRAY(Sintesi!$C$10))*(A78&lt;=_xlfn.ANCHORARRAY(Sintesi!$C$10))+(_xlfn.ANCHORARRAY(Sintesi!$C$9)&lt;_xlfn.ANCHORARRAY(Sintesi!$C$10))*(A78&gt;=_xlfn.ANCHORARRAY(Sintesi!$C$9))*(A78&lt;=_xlfn.ANCHORARRAY(Sintesi!$C$10)),0)),0),A78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79&gt;=_xlfn.ANCHORARRAY(Sintesi!$C$9))+(_xlfn.ANCHORARRAY(Sintesi!$C$9)&gt;_xlfn.ANCHORARRAY(Sintesi!$C$10))*(A79&lt;=_xlfn.ANCHORARRAY(Sintesi!$C$10))+(_xlfn.ANCHORARRAY(Sintesi!$C$9)&lt;_xlfn.ANCHORARRAY(Sintesi!$C$10))*(A79&gt;=_xlfn.ANCHORARRAY(Sintesi!$C$9))*(A79&lt;=_xlfn.ANCHORARRAY(Sintesi!$C$10)),0)),0)),IF(L78&lt;_xlfn.IFNA(INDEX(_xlfn.ANCHORARRAY(Sintesi!$C$17),1,MATCH(1,(_xlfn.ANCHORARRAY(Sintesi!$C$9)&gt;_xlfn.ANCHORARRAY(Sintesi!$C$10))*(A77&gt;=_xlfn.ANCHORARRAY(Sintesi!$C$9))+(_xlfn.ANCHORARRAY(Sintesi!$C$9)&gt;_xlfn.ANCHORARRAY(Sintesi!$C$10))*(A77&lt;=_xlfn.ANCHORARRAY(Sintesi!$C$10))+(_xlfn.ANCHORARRAY(Sintesi!$C$9)&lt;_xlfn.ANCHORARRAY(Sintesi!$C$10))*(A77&gt;=_xlfn.ANCHORARRAY(Sintesi!$C$9))*(A77&lt;=_xlfn.ANCHORARRAY(Sintesi!$C$10)),0)),0),1,IF(L78&gt;=_xlfn.IFNA(INDEX(_xlfn.ANCHORARRAY(Sintesi!$C$18),1,MATCH(1,(_xlfn.ANCHORARRAY(Sintesi!$C$9)&gt;_xlfn.ANCHORARRAY(Sintesi!$C$10))*(A77&gt;=_xlfn.ANCHORARRAY(Sintesi!$C$9))+(_xlfn.ANCHORARRAY(Sintesi!$C$9)&gt;_xlfn.ANCHORARRAY(Sintesi!$C$10))*(A77&lt;=_xlfn.ANCHORARRAY(Sintesi!$C$10))+(_xlfn.ANCHORARRAY(Sintesi!$C$9)&lt;_xlfn.ANCHORARRAY(Sintesi!$C$10))*(A77&gt;=_xlfn.ANCHORARRAY(Sintesi!$C$9))*(A77&lt;=_xlfn.ANCHORARRAY(Sintesi!$C$10)),0)),0),0,1-(L78-_xlfn.IFNA(INDEX(_xlfn.ANCHORARRAY(Sintesi!$C$17),1,MATCH(1,(_xlfn.ANCHORARRAY(Sintesi!$C$9)&gt;_xlfn.ANCHORARRAY(Sintesi!$C$10))*(A77&gt;=_xlfn.ANCHORARRAY(Sintesi!$C$9))+(_xlfn.ANCHORARRAY(Sintesi!$C$9)&gt;_xlfn.ANCHORARRAY(Sintesi!$C$10))*(A77&lt;=_xlfn.ANCHORARRAY(Sintesi!$C$10))+(_xlfn.ANCHORARRAY(Sintesi!$C$9)&lt;_xlfn.ANCHORARRAY(Sintesi!$C$10))*(A77&gt;=_xlfn.ANCHORARRAY(Sintesi!$C$9))*(A77&lt;=_xlfn.ANCHORARRAY(Sintesi!$C$10)),0)),0))/(_xlfn.IFNA(INDEX(_xlfn.ANCHORARRAY(Sintesi!$C$18),1,MATCH(1,(_xlfn.ANCHORARRAY(Sintesi!$C$9)&gt;_xlfn.ANCHORARRAY(Sintesi!$C$10))*(A77&gt;=_xlfn.ANCHORARRAY(Sintesi!$C$9))+(_xlfn.ANCHORARRAY(Sintesi!$C$9)&gt;_xlfn.ANCHORARRAY(Sintesi!$C$10))*(A77&lt;=_xlfn.ANCHORARRAY(Sintesi!$C$10))+(_xlfn.ANCHORARRAY(Sintesi!$C$9)&lt;_xlfn.ANCHORARRAY(Sintesi!$C$10))*(A77&gt;=_xlfn.ANCHORARRAY(Sintesi!$C$9))*(A77&lt;=_xlfn.ANCHORARRAY(Sintesi!$C$10)),0)),0)-_xlfn.IFNA(INDEX(_xlfn.ANCHORARRAY(Sintesi!$C$17),1,MATCH(1,(_xlfn.ANCHORARRAY(Sintesi!$C$9)&gt;_xlfn.ANCHORARRAY(Sintesi!$C$10))*(A77&gt;=_xlfn.ANCHORARRAY(Sintesi!$C$9))+(_xlfn.ANCHORARRAY(Sintesi!$C$9)&gt;_xlfn.ANCHORARRAY(Sintesi!$C$10))*(A77&lt;=_xlfn.ANCHORARRAY(Sintesi!$C$10))+(_xlfn.ANCHORARRAY(Sintesi!$C$9)&lt;_xlfn.ANCHORARRAY(Sintesi!$C$10))*(A77&gt;=_xlfn.ANCHORARRAY(Sintesi!$C$9))*(A77&lt;=_xlfn.ANCHORARRAY(Sintesi!$C$10)),0)),0)))),0)</f>
        <v>0</v>
      </c>
    </row>
    <row r="79" spans="1:13">
      <c r="A79" s="1">
        <f>'Paste cell here'!A79</f>
        <v>78</v>
      </c>
      <c r="B79" s="2">
        <f>DATE(Sintesi!$C$4-1,12,31)+A79</f>
        <v>44274</v>
      </c>
      <c r="C79" s="34">
        <f t="array" ref="C79">_xlfn.IFNA(MATCH(1,((_xlfn.ANCHORARRAY(Sintesi!$C$9)&gt;_xlfn.ANCHORARRAY(Sintesi!$C$10))*(A79&gt;=_xlfn.ANCHORARRAY(Sintesi!$C$9))+(_xlfn.ANCHORARRAY(Sintesi!$C$9)&gt;_xlfn.ANCHORARRAY(Sintesi!$C$10))*(A79&lt;=_xlfn.ANCHORARRAY(Sintesi!$C$10))+(_xlfn.ANCHORARRAY(Sintesi!$C$9)&lt;_xlfn.ANCHORARRAY(Sintesi!$C$10))*(A79&gt;=_xlfn.ANCHORARRAY(Sintesi!$C$9))*(A79&lt;=_xlfn.ANCHORARRAY(Sintesi!$C$10)))*(_xlfn.ANCHORARRAY(Sintesi!$C$15)&gt;=0)+(_xlfn.ANCHORARRAY(Sintesi!$C$15)&lt;0),0),0)</f>
        <v>0</v>
      </c>
      <c r="D79" s="1">
        <f t="array" ref="D79">IF(ISBLANK($E80),IF(ISNUMBER($E78),IF($C79&gt;0,IF(($E79=INDEX(_xlfn.ANCHORARRAY(Sintesi!$C$14),1,$C79))*(INDEX(_xlfn.ANCHORARRAY(Sintesi!$C$15),1,$C79)&gt;0),0,IF(($E79=INDEX(_xlfn.ANCHORARRAY(Sintesi!$C$14),1,$C79))*(INDEX(_xlfn.ANCHORARRAY(Sintesi!$C$15),1,$C79)&lt;0)+($E79&gt;=$E78)*($E79&lt;=INDEX($E:$E,MATCH(TRUE,INDEX((ISNUMBER($E:$E)),0),0)))*($E79&gt;INDEX(_xlfn.ANCHORARRAY(Sintesi!$C$14),1,$C79))*($E79&lt;=INDEX(_xlfn.ANCHORARRAY(Sintesi!$C$15),1,$C79))*(INDEX(_xlfn.ANCHORARRAY(Sintesi!$C$15),1,$C79)&gt;0),1,IF(($E79&gt;=$E78)*($E79&lt;=INDEX($E:$E,MATCH(TRUE,INDEX((ISNUMBER($E:$E)),0),0)))*($E79&gt;INDEX(_xlfn.ANCHORARRAY(Sintesi!$C$14),1,$C79))*($E79&lt;INDEX(_xlfn.ANCHORARRAY(Sintesi!$C$16),1,$C79))*(INDEX(_xlfn.ANCHORARRAY(Sintesi!$C$15),1,$C79)&lt;0)+($E79&gt;=$E78)*($E79&lt;=INDEX($E:$E,MATCH(TRUE,INDEX((ISNUMBER($E:$E)),0),0)))*($E79&gt;INDEX(_xlfn.ANCHORARRAY(Sintesi!$C$15),1,$C79))*($E79&lt;INDEX(_xlfn.ANCHORARRAY(Sintesi!$C$16),1,$C79))*(INDEX(_xlfn.ANCHORARRAY(Sintesi!$C$15),1,$C79)&gt;0),2,IF($E79=(INDEX(_xlfn.ANCHORARRAY(Sintesi!$C$16),1,$C79)),3,4)))),0),IF($C79&gt;0,IF(($E79=INDEX(_xlfn.ANCHORARRAY(Sintesi!$C$14),1,$C79))*(INDEX(_xlfn.ANCHORARRAY(Sintesi!$C$15),1,$C79)&gt;0),0,IF(($E79=INDEX(_xlfn.ANCHORARRAY(Sintesi!$C$14),1,$C79))*(INDEX(_xlfn.ANCHORARRAY(Sintesi!$C$15),1,$C79)&lt;0)+($E79&gt;=LOOKUP(2,1/($E:$E&lt;&gt;""),$E:$E))*($E79&lt;=INDEX($E:$E,MATCH(TRUE,INDEX((ISNUMBER($E:$E)),0),0)))*($E79&gt;INDEX(_xlfn.ANCHORARRAY(Sintesi!$C$14),1,$C79))*($E79&lt;=INDEX(_xlfn.ANCHORARRAY(Sintesi!$C$15),1,$C79))*(INDEX(_xlfn.ANCHORARRAY(Sintesi!$C$15),1,$C79)&gt;0),1,IF(($E79&gt;=LOOKUP(2,1/($E:$E&lt;&gt;""),$E:$E))*($E79&lt;=INDEX($E:$E,MATCH(TRUE,INDEX((ISNUMBER($E:$E)),0),0)))*($E79&gt;INDEX(_xlfn.ANCHORARRAY(Sintesi!$C$14),1,$C79))*($E79&lt;INDEX(_xlfn.ANCHORARRAY(Sintesi!$C$16),1,$C79))*(INDEX(_xlfn.ANCHORARRAY(Sintesi!$C$15),1,$C79)&lt;0)+($E79&gt;=LOOKUP(2,1/($E:$E&lt;&gt;""),$E:$E))*($E79&lt;=INDEX($E:$E,MATCH(TRUE,INDEX((ISNUMBER($E:$E)),0),0)))*($E79&gt;INDEX(_xlfn.ANCHORARRAY(Sintesi!$C$15),1,$C79))*($E79&lt;INDEX(_xlfn.ANCHORARRAY(Sintesi!$C$16),1,$C79))*(INDEX(_xlfn.ANCHORARRAY(Sintesi!$C$15),1,$C79)&gt;0),2,IF($E79=(INDEX(_xlfn.ANCHORARRAY(Sintesi!$C$16),1,$C79)),3,4)))),0)),IF(ISNUMBER($E78),IF($C79&gt;0,IF(($E79=INDEX(_xlfn.ANCHORARRAY(Sintesi!$C$14),1,$C79))*(INDEX(_xlfn.ANCHORARRAY(Sintesi!$C$15),1,$C79)&gt;0),0,IF(($E79=INDEX(_xlfn.ANCHORARRAY(Sintesi!$C$14),1,$C79))*(INDEX(_xlfn.ANCHORARRAY(Sintesi!$C$15),1,$C79)&lt;0)+($E79&gt;=$E78)*($E79&lt;=$E80)*($E79&gt;INDEX(_xlfn.ANCHORARRAY(Sintesi!$C$14),1,$C79))*($E79&lt;=INDEX(_xlfn.ANCHORARRAY(Sintesi!$C$15),1,$C79))*(INDEX(_xlfn.ANCHORARRAY(Sintesi!$C$15),1,$C79)&gt;0),1,IF(($E79&gt;=$E78)*($E79&lt;=$E80)*($E79&gt;INDEX(_xlfn.ANCHORARRAY(Sintesi!$C$14),1,$C79))*($E79&lt;INDEX(_xlfn.ANCHORARRAY(Sintesi!$C$16),1,$C79))*(INDEX(_xlfn.ANCHORARRAY(Sintesi!$C$15),1,$C79)&lt;0)+($E79&gt;=$E78)*($E79&lt;=$E80)*($E79&gt;INDEX(_xlfn.ANCHORARRAY(Sintesi!$C$15),1,$C79))*($E79&lt;INDEX(_xlfn.ANCHORARRAY(Sintesi!$C$16),1,$C79))*(INDEX(_xlfn.ANCHORARRAY(Sintesi!$C$15),1,$C79)&gt;0),2,IF($E79=(INDEX(_xlfn.ANCHORARRAY(Sintesi!$C$16),1,$C79)),3,4)))),0),IF($C79&gt;0,IF(($E79=INDEX(_xlfn.ANCHORARRAY(Sintesi!$C$14),1,$C79))*(INDEX(_xlfn.ANCHORARRAY(Sintesi!$C$15),1,$C79)&gt;0),0,IF(($E79=INDEX(_xlfn.ANCHORARRAY(Sintesi!$C$14),1,$C79))*(INDEX(_xlfn.ANCHORARRAY(Sintesi!$C$15),1,$C79)&lt;0)+($E79&gt;=LOOKUP(2,1/($E:$E&lt;&gt;""),$E:$E))*($E79&lt;=$E80)*($E79&gt;INDEX(_xlfn.ANCHORARRAY(Sintesi!$C$14),1,$C79))*($E79&lt;=INDEX(_xlfn.ANCHORARRAY(Sintesi!$C$15),1,$C79))*(INDEX(_xlfn.ANCHORARRAY(Sintesi!$C$15),1,$C79)&gt;0),1,IF(($E79&gt;=LOOKUP(2,1/($E:$E&lt;&gt;""),$E:$E))*($E79&lt;=$E80)*($E79&gt;INDEX(_xlfn.ANCHORARRAY(Sintesi!$C$14),1,$C79))*($E79&lt;INDEX(_xlfn.ANCHORARRAY(Sintesi!$C$16),1,$C79))*(INDEX(_xlfn.ANCHORARRAY(Sintesi!$C$15),1,$C79)&lt;0)+($E79&gt;=LOOKUP(2,1/($E:$E&lt;&gt;""),$E:$E))*($E79&lt;=$E80)*($E79&gt;INDEX(_xlfn.ANCHORARRAY(Sintesi!$C$15),1,$C79))*($E79&lt;INDEX(_xlfn.ANCHORARRAY(Sintesi!$C$16),1,$C79))*(INDEX(_xlfn.ANCHORARRAY(Sintesi!$C$15),1,$C79)&gt;0),2,IF($E79=(INDEX(_xlfn.ANCHORARRAY(Sintesi!$C$16),1,$C79)),3,4)))),0)))</f>
        <v>0</v>
      </c>
      <c r="E79" s="1">
        <f>'Paste cell here'!F79</f>
        <v>0</v>
      </c>
      <c r="F79" s="1">
        <f>'Paste cell here'!C79</f>
        <v>11.939999999999838</v>
      </c>
      <c r="G79" s="1">
        <f>'Paste cell here'!D79</f>
        <v>1.7999999999999874</v>
      </c>
      <c r="H79" s="1">
        <f>'Paste cell here'!E79</f>
        <v>2.0177222615058032</v>
      </c>
      <c r="I79" s="1">
        <f>'Paste cell here'!X79</f>
        <v>0</v>
      </c>
      <c r="J79" s="1">
        <f>'Paste cell here'!Y79+'Paste cell here'!S79</f>
        <v>0</v>
      </c>
      <c r="K79" s="1">
        <f t="shared" si="2"/>
        <v>0</v>
      </c>
      <c r="L79" s="1">
        <f t="shared" si="3"/>
        <v>8.8297267019995651</v>
      </c>
      <c r="M79" s="1">
        <f t="array" ref="M79">IF(AND(A79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79&gt;=_xlfn.ANCHORARRAY(Sintesi!$C$9))+(_xlfn.ANCHORARRAY(Sintesi!$C$9)&gt;_xlfn.ANCHORARRAY(Sintesi!$C$10))*(A79&lt;=_xlfn.ANCHORARRAY(Sintesi!$C$10))+(_xlfn.ANCHORARRAY(Sintesi!$C$9)&lt;_xlfn.ANCHORARRAY(Sintesi!$C$10))*(A79&gt;=_xlfn.ANCHORARRAY(Sintesi!$C$9))*(A79&lt;=_xlfn.ANCHORARRAY(Sintesi!$C$10)),0)),0),A79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80&gt;=_xlfn.ANCHORARRAY(Sintesi!$C$9))+(_xlfn.ANCHORARRAY(Sintesi!$C$9)&gt;_xlfn.ANCHORARRAY(Sintesi!$C$10))*(A80&lt;=_xlfn.ANCHORARRAY(Sintesi!$C$10))+(_xlfn.ANCHORARRAY(Sintesi!$C$9)&lt;_xlfn.ANCHORARRAY(Sintesi!$C$10))*(A80&gt;=_xlfn.ANCHORARRAY(Sintesi!$C$9))*(A80&lt;=_xlfn.ANCHORARRAY(Sintesi!$C$10)),0)),0)),IF(L79&lt;_xlfn.IFNA(INDEX(_xlfn.ANCHORARRAY(Sintesi!$C$17),1,MATCH(1,(_xlfn.ANCHORARRAY(Sintesi!$C$9)&gt;_xlfn.ANCHORARRAY(Sintesi!$C$10))*(A78&gt;=_xlfn.ANCHORARRAY(Sintesi!$C$9))+(_xlfn.ANCHORARRAY(Sintesi!$C$9)&gt;_xlfn.ANCHORARRAY(Sintesi!$C$10))*(A78&lt;=_xlfn.ANCHORARRAY(Sintesi!$C$10))+(_xlfn.ANCHORARRAY(Sintesi!$C$9)&lt;_xlfn.ANCHORARRAY(Sintesi!$C$10))*(A78&gt;=_xlfn.ANCHORARRAY(Sintesi!$C$9))*(A78&lt;=_xlfn.ANCHORARRAY(Sintesi!$C$10)),0)),0),1,IF(L79&gt;=_xlfn.IFNA(INDEX(_xlfn.ANCHORARRAY(Sintesi!$C$18),1,MATCH(1,(_xlfn.ANCHORARRAY(Sintesi!$C$9)&gt;_xlfn.ANCHORARRAY(Sintesi!$C$10))*(A78&gt;=_xlfn.ANCHORARRAY(Sintesi!$C$9))+(_xlfn.ANCHORARRAY(Sintesi!$C$9)&gt;_xlfn.ANCHORARRAY(Sintesi!$C$10))*(A78&lt;=_xlfn.ANCHORARRAY(Sintesi!$C$10))+(_xlfn.ANCHORARRAY(Sintesi!$C$9)&lt;_xlfn.ANCHORARRAY(Sintesi!$C$10))*(A78&gt;=_xlfn.ANCHORARRAY(Sintesi!$C$9))*(A78&lt;=_xlfn.ANCHORARRAY(Sintesi!$C$10)),0)),0),0,1-(L79-_xlfn.IFNA(INDEX(_xlfn.ANCHORARRAY(Sintesi!$C$17),1,MATCH(1,(_xlfn.ANCHORARRAY(Sintesi!$C$9)&gt;_xlfn.ANCHORARRAY(Sintesi!$C$10))*(A78&gt;=_xlfn.ANCHORARRAY(Sintesi!$C$9))+(_xlfn.ANCHORARRAY(Sintesi!$C$9)&gt;_xlfn.ANCHORARRAY(Sintesi!$C$10))*(A78&lt;=_xlfn.ANCHORARRAY(Sintesi!$C$10))+(_xlfn.ANCHORARRAY(Sintesi!$C$9)&lt;_xlfn.ANCHORARRAY(Sintesi!$C$10))*(A78&gt;=_xlfn.ANCHORARRAY(Sintesi!$C$9))*(A78&lt;=_xlfn.ANCHORARRAY(Sintesi!$C$10)),0)),0))/(_xlfn.IFNA(INDEX(_xlfn.ANCHORARRAY(Sintesi!$C$18),1,MATCH(1,(_xlfn.ANCHORARRAY(Sintesi!$C$9)&gt;_xlfn.ANCHORARRAY(Sintesi!$C$10))*(A78&gt;=_xlfn.ANCHORARRAY(Sintesi!$C$9))+(_xlfn.ANCHORARRAY(Sintesi!$C$9)&gt;_xlfn.ANCHORARRAY(Sintesi!$C$10))*(A78&lt;=_xlfn.ANCHORARRAY(Sintesi!$C$10))+(_xlfn.ANCHORARRAY(Sintesi!$C$9)&lt;_xlfn.ANCHORARRAY(Sintesi!$C$10))*(A78&gt;=_xlfn.ANCHORARRAY(Sintesi!$C$9))*(A78&lt;=_xlfn.ANCHORARRAY(Sintesi!$C$10)),0)),0)-_xlfn.IFNA(INDEX(_xlfn.ANCHORARRAY(Sintesi!$C$17),1,MATCH(1,(_xlfn.ANCHORARRAY(Sintesi!$C$9)&gt;_xlfn.ANCHORARRAY(Sintesi!$C$10))*(A78&gt;=_xlfn.ANCHORARRAY(Sintesi!$C$9))+(_xlfn.ANCHORARRAY(Sintesi!$C$9)&gt;_xlfn.ANCHORARRAY(Sintesi!$C$10))*(A78&lt;=_xlfn.ANCHORARRAY(Sintesi!$C$10))+(_xlfn.ANCHORARRAY(Sintesi!$C$9)&lt;_xlfn.ANCHORARRAY(Sintesi!$C$10))*(A78&gt;=_xlfn.ANCHORARRAY(Sintesi!$C$9))*(A78&lt;=_xlfn.ANCHORARRAY(Sintesi!$C$10)),0)),0)))),0)</f>
        <v>0</v>
      </c>
    </row>
    <row r="80" spans="1:13">
      <c r="A80" s="1">
        <f>'Paste cell here'!A80</f>
        <v>79</v>
      </c>
      <c r="B80" s="2">
        <f>DATE(Sintesi!$C$4-1,12,31)+A80</f>
        <v>44275</v>
      </c>
      <c r="C80" s="34">
        <f t="array" ref="C80">_xlfn.IFNA(MATCH(1,((_xlfn.ANCHORARRAY(Sintesi!$C$9)&gt;_xlfn.ANCHORARRAY(Sintesi!$C$10))*(A80&gt;=_xlfn.ANCHORARRAY(Sintesi!$C$9))+(_xlfn.ANCHORARRAY(Sintesi!$C$9)&gt;_xlfn.ANCHORARRAY(Sintesi!$C$10))*(A80&lt;=_xlfn.ANCHORARRAY(Sintesi!$C$10))+(_xlfn.ANCHORARRAY(Sintesi!$C$9)&lt;_xlfn.ANCHORARRAY(Sintesi!$C$10))*(A80&gt;=_xlfn.ANCHORARRAY(Sintesi!$C$9))*(A80&lt;=_xlfn.ANCHORARRAY(Sintesi!$C$10)))*(_xlfn.ANCHORARRAY(Sintesi!$C$15)&gt;=0)+(_xlfn.ANCHORARRAY(Sintesi!$C$15)&lt;0),0),0)</f>
        <v>0</v>
      </c>
      <c r="D80" s="1">
        <f t="array" ref="D80">IF(ISBLANK($E81),IF(ISNUMBER($E79),IF($C80&gt;0,IF(($E80=INDEX(_xlfn.ANCHORARRAY(Sintesi!$C$14),1,$C80))*(INDEX(_xlfn.ANCHORARRAY(Sintesi!$C$15),1,$C80)&gt;0),0,IF(($E80=INDEX(_xlfn.ANCHORARRAY(Sintesi!$C$14),1,$C80))*(INDEX(_xlfn.ANCHORARRAY(Sintesi!$C$15),1,$C80)&lt;0)+($E80&gt;=$E79)*($E80&lt;=INDEX($E:$E,MATCH(TRUE,INDEX((ISNUMBER($E:$E)),0),0)))*($E80&gt;INDEX(_xlfn.ANCHORARRAY(Sintesi!$C$14),1,$C80))*($E80&lt;=INDEX(_xlfn.ANCHORARRAY(Sintesi!$C$15),1,$C80))*(INDEX(_xlfn.ANCHORARRAY(Sintesi!$C$15),1,$C80)&gt;0),1,IF(($E80&gt;=$E79)*($E80&lt;=INDEX($E:$E,MATCH(TRUE,INDEX((ISNUMBER($E:$E)),0),0)))*($E80&gt;INDEX(_xlfn.ANCHORARRAY(Sintesi!$C$14),1,$C80))*($E80&lt;INDEX(_xlfn.ANCHORARRAY(Sintesi!$C$16),1,$C80))*(INDEX(_xlfn.ANCHORARRAY(Sintesi!$C$15),1,$C80)&lt;0)+($E80&gt;=$E79)*($E80&lt;=INDEX($E:$E,MATCH(TRUE,INDEX((ISNUMBER($E:$E)),0),0)))*($E80&gt;INDEX(_xlfn.ANCHORARRAY(Sintesi!$C$15),1,$C80))*($E80&lt;INDEX(_xlfn.ANCHORARRAY(Sintesi!$C$16),1,$C80))*(INDEX(_xlfn.ANCHORARRAY(Sintesi!$C$15),1,$C80)&gt;0),2,IF($E80=(INDEX(_xlfn.ANCHORARRAY(Sintesi!$C$16),1,$C80)),3,4)))),0),IF($C80&gt;0,IF(($E80=INDEX(_xlfn.ANCHORARRAY(Sintesi!$C$14),1,$C80))*(INDEX(_xlfn.ANCHORARRAY(Sintesi!$C$15),1,$C80)&gt;0),0,IF(($E80=INDEX(_xlfn.ANCHORARRAY(Sintesi!$C$14),1,$C80))*(INDEX(_xlfn.ANCHORARRAY(Sintesi!$C$15),1,$C80)&lt;0)+($E80&gt;=LOOKUP(2,1/($E:$E&lt;&gt;""),$E:$E))*($E80&lt;=INDEX($E:$E,MATCH(TRUE,INDEX((ISNUMBER($E:$E)),0),0)))*($E80&gt;INDEX(_xlfn.ANCHORARRAY(Sintesi!$C$14),1,$C80))*($E80&lt;=INDEX(_xlfn.ANCHORARRAY(Sintesi!$C$15),1,$C80))*(INDEX(_xlfn.ANCHORARRAY(Sintesi!$C$15),1,$C80)&gt;0),1,IF(($E80&gt;=LOOKUP(2,1/($E:$E&lt;&gt;""),$E:$E))*($E80&lt;=INDEX($E:$E,MATCH(TRUE,INDEX((ISNUMBER($E:$E)),0),0)))*($E80&gt;INDEX(_xlfn.ANCHORARRAY(Sintesi!$C$14),1,$C80))*($E80&lt;INDEX(_xlfn.ANCHORARRAY(Sintesi!$C$16),1,$C80))*(INDEX(_xlfn.ANCHORARRAY(Sintesi!$C$15),1,$C80)&lt;0)+($E80&gt;=LOOKUP(2,1/($E:$E&lt;&gt;""),$E:$E))*($E80&lt;=INDEX($E:$E,MATCH(TRUE,INDEX((ISNUMBER($E:$E)),0),0)))*($E80&gt;INDEX(_xlfn.ANCHORARRAY(Sintesi!$C$15),1,$C80))*($E80&lt;INDEX(_xlfn.ANCHORARRAY(Sintesi!$C$16),1,$C80))*(INDEX(_xlfn.ANCHORARRAY(Sintesi!$C$15),1,$C80)&gt;0),2,IF($E80=(INDEX(_xlfn.ANCHORARRAY(Sintesi!$C$16),1,$C80)),3,4)))),0)),IF(ISNUMBER($E79),IF($C80&gt;0,IF(($E80=INDEX(_xlfn.ANCHORARRAY(Sintesi!$C$14),1,$C80))*(INDEX(_xlfn.ANCHORARRAY(Sintesi!$C$15),1,$C80)&gt;0),0,IF(($E80=INDEX(_xlfn.ANCHORARRAY(Sintesi!$C$14),1,$C80))*(INDEX(_xlfn.ANCHORARRAY(Sintesi!$C$15),1,$C80)&lt;0)+($E80&gt;=$E79)*($E80&lt;=$E81)*($E80&gt;INDEX(_xlfn.ANCHORARRAY(Sintesi!$C$14),1,$C80))*($E80&lt;=INDEX(_xlfn.ANCHORARRAY(Sintesi!$C$15),1,$C80))*(INDEX(_xlfn.ANCHORARRAY(Sintesi!$C$15),1,$C80)&gt;0),1,IF(($E80&gt;=$E79)*($E80&lt;=$E81)*($E80&gt;INDEX(_xlfn.ANCHORARRAY(Sintesi!$C$14),1,$C80))*($E80&lt;INDEX(_xlfn.ANCHORARRAY(Sintesi!$C$16),1,$C80))*(INDEX(_xlfn.ANCHORARRAY(Sintesi!$C$15),1,$C80)&lt;0)+($E80&gt;=$E79)*($E80&lt;=$E81)*($E80&gt;INDEX(_xlfn.ANCHORARRAY(Sintesi!$C$15),1,$C80))*($E80&lt;INDEX(_xlfn.ANCHORARRAY(Sintesi!$C$16),1,$C80))*(INDEX(_xlfn.ANCHORARRAY(Sintesi!$C$15),1,$C80)&gt;0),2,IF($E80=(INDEX(_xlfn.ANCHORARRAY(Sintesi!$C$16),1,$C80)),3,4)))),0),IF($C80&gt;0,IF(($E80=INDEX(_xlfn.ANCHORARRAY(Sintesi!$C$14),1,$C80))*(INDEX(_xlfn.ANCHORARRAY(Sintesi!$C$15),1,$C80)&gt;0),0,IF(($E80=INDEX(_xlfn.ANCHORARRAY(Sintesi!$C$14),1,$C80))*(INDEX(_xlfn.ANCHORARRAY(Sintesi!$C$15),1,$C80)&lt;0)+($E80&gt;=LOOKUP(2,1/($E:$E&lt;&gt;""),$E:$E))*($E80&lt;=$E81)*($E80&gt;INDEX(_xlfn.ANCHORARRAY(Sintesi!$C$14),1,$C80))*($E80&lt;=INDEX(_xlfn.ANCHORARRAY(Sintesi!$C$15),1,$C80))*(INDEX(_xlfn.ANCHORARRAY(Sintesi!$C$15),1,$C80)&gt;0),1,IF(($E80&gt;=LOOKUP(2,1/($E:$E&lt;&gt;""),$E:$E))*($E80&lt;=$E81)*($E80&gt;INDEX(_xlfn.ANCHORARRAY(Sintesi!$C$14),1,$C80))*($E80&lt;INDEX(_xlfn.ANCHORARRAY(Sintesi!$C$16),1,$C80))*(INDEX(_xlfn.ANCHORARRAY(Sintesi!$C$15),1,$C80)&lt;0)+($E80&gt;=LOOKUP(2,1/($E:$E&lt;&gt;""),$E:$E))*($E80&lt;=$E81)*($E80&gt;INDEX(_xlfn.ANCHORARRAY(Sintesi!$C$15),1,$C80))*($E80&lt;INDEX(_xlfn.ANCHORARRAY(Sintesi!$C$16),1,$C80))*(INDEX(_xlfn.ANCHORARRAY(Sintesi!$C$15),1,$C80)&gt;0),2,IF($E80=(INDEX(_xlfn.ANCHORARRAY(Sintesi!$C$16),1,$C80)),3,4)))),0)))</f>
        <v>0</v>
      </c>
      <c r="E80" s="1">
        <f>'Paste cell here'!F80</f>
        <v>0</v>
      </c>
      <c r="F80" s="1">
        <f>'Paste cell here'!C80</f>
        <v>12.459999999999816</v>
      </c>
      <c r="G80" s="1">
        <f>'Paste cell here'!D80</f>
        <v>-1.2199999999999691</v>
      </c>
      <c r="H80" s="1">
        <f>'Paste cell here'!E80</f>
        <v>2.0594793422068642</v>
      </c>
      <c r="I80" s="1">
        <f>'Paste cell here'!X80</f>
        <v>0</v>
      </c>
      <c r="J80" s="1">
        <f>'Paste cell here'!Y80+'Paste cell here'!S80</f>
        <v>0</v>
      </c>
      <c r="K80" s="1">
        <f t="shared" si="2"/>
        <v>0</v>
      </c>
      <c r="L80" s="1">
        <f t="shared" si="3"/>
        <v>8.2638916453012268</v>
      </c>
      <c r="M80" s="1">
        <f t="array" ref="M80">IF(AND(A80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80&gt;=_xlfn.ANCHORARRAY(Sintesi!$C$9))+(_xlfn.ANCHORARRAY(Sintesi!$C$9)&gt;_xlfn.ANCHORARRAY(Sintesi!$C$10))*(A80&lt;=_xlfn.ANCHORARRAY(Sintesi!$C$10))+(_xlfn.ANCHORARRAY(Sintesi!$C$9)&lt;_xlfn.ANCHORARRAY(Sintesi!$C$10))*(A80&gt;=_xlfn.ANCHORARRAY(Sintesi!$C$9))*(A80&lt;=_xlfn.ANCHORARRAY(Sintesi!$C$10)),0)),0),A80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81&gt;=_xlfn.ANCHORARRAY(Sintesi!$C$9))+(_xlfn.ANCHORARRAY(Sintesi!$C$9)&gt;_xlfn.ANCHORARRAY(Sintesi!$C$10))*(A81&lt;=_xlfn.ANCHORARRAY(Sintesi!$C$10))+(_xlfn.ANCHORARRAY(Sintesi!$C$9)&lt;_xlfn.ANCHORARRAY(Sintesi!$C$10))*(A81&gt;=_xlfn.ANCHORARRAY(Sintesi!$C$9))*(A81&lt;=_xlfn.ANCHORARRAY(Sintesi!$C$10)),0)),0)),IF(L80&lt;_xlfn.IFNA(INDEX(_xlfn.ANCHORARRAY(Sintesi!$C$17),1,MATCH(1,(_xlfn.ANCHORARRAY(Sintesi!$C$9)&gt;_xlfn.ANCHORARRAY(Sintesi!$C$10))*(A79&gt;=_xlfn.ANCHORARRAY(Sintesi!$C$9))+(_xlfn.ANCHORARRAY(Sintesi!$C$9)&gt;_xlfn.ANCHORARRAY(Sintesi!$C$10))*(A79&lt;=_xlfn.ANCHORARRAY(Sintesi!$C$10))+(_xlfn.ANCHORARRAY(Sintesi!$C$9)&lt;_xlfn.ANCHORARRAY(Sintesi!$C$10))*(A79&gt;=_xlfn.ANCHORARRAY(Sintesi!$C$9))*(A79&lt;=_xlfn.ANCHORARRAY(Sintesi!$C$10)),0)),0),1,IF(L80&gt;=_xlfn.IFNA(INDEX(_xlfn.ANCHORARRAY(Sintesi!$C$18),1,MATCH(1,(_xlfn.ANCHORARRAY(Sintesi!$C$9)&gt;_xlfn.ANCHORARRAY(Sintesi!$C$10))*(A79&gt;=_xlfn.ANCHORARRAY(Sintesi!$C$9))+(_xlfn.ANCHORARRAY(Sintesi!$C$9)&gt;_xlfn.ANCHORARRAY(Sintesi!$C$10))*(A79&lt;=_xlfn.ANCHORARRAY(Sintesi!$C$10))+(_xlfn.ANCHORARRAY(Sintesi!$C$9)&lt;_xlfn.ANCHORARRAY(Sintesi!$C$10))*(A79&gt;=_xlfn.ANCHORARRAY(Sintesi!$C$9))*(A79&lt;=_xlfn.ANCHORARRAY(Sintesi!$C$10)),0)),0),0,1-(L80-_xlfn.IFNA(INDEX(_xlfn.ANCHORARRAY(Sintesi!$C$17),1,MATCH(1,(_xlfn.ANCHORARRAY(Sintesi!$C$9)&gt;_xlfn.ANCHORARRAY(Sintesi!$C$10))*(A79&gt;=_xlfn.ANCHORARRAY(Sintesi!$C$9))+(_xlfn.ANCHORARRAY(Sintesi!$C$9)&gt;_xlfn.ANCHORARRAY(Sintesi!$C$10))*(A79&lt;=_xlfn.ANCHORARRAY(Sintesi!$C$10))+(_xlfn.ANCHORARRAY(Sintesi!$C$9)&lt;_xlfn.ANCHORARRAY(Sintesi!$C$10))*(A79&gt;=_xlfn.ANCHORARRAY(Sintesi!$C$9))*(A79&lt;=_xlfn.ANCHORARRAY(Sintesi!$C$10)),0)),0))/(_xlfn.IFNA(INDEX(_xlfn.ANCHORARRAY(Sintesi!$C$18),1,MATCH(1,(_xlfn.ANCHORARRAY(Sintesi!$C$9)&gt;_xlfn.ANCHORARRAY(Sintesi!$C$10))*(A79&gt;=_xlfn.ANCHORARRAY(Sintesi!$C$9))+(_xlfn.ANCHORARRAY(Sintesi!$C$9)&gt;_xlfn.ANCHORARRAY(Sintesi!$C$10))*(A79&lt;=_xlfn.ANCHORARRAY(Sintesi!$C$10))+(_xlfn.ANCHORARRAY(Sintesi!$C$9)&lt;_xlfn.ANCHORARRAY(Sintesi!$C$10))*(A79&gt;=_xlfn.ANCHORARRAY(Sintesi!$C$9))*(A79&lt;=_xlfn.ANCHORARRAY(Sintesi!$C$10)),0)),0)-_xlfn.IFNA(INDEX(_xlfn.ANCHORARRAY(Sintesi!$C$17),1,MATCH(1,(_xlfn.ANCHORARRAY(Sintesi!$C$9)&gt;_xlfn.ANCHORARRAY(Sintesi!$C$10))*(A79&gt;=_xlfn.ANCHORARRAY(Sintesi!$C$9))+(_xlfn.ANCHORARRAY(Sintesi!$C$9)&gt;_xlfn.ANCHORARRAY(Sintesi!$C$10))*(A79&lt;=_xlfn.ANCHORARRAY(Sintesi!$C$10))+(_xlfn.ANCHORARRAY(Sintesi!$C$9)&lt;_xlfn.ANCHORARRAY(Sintesi!$C$10))*(A79&gt;=_xlfn.ANCHORARRAY(Sintesi!$C$9))*(A79&lt;=_xlfn.ANCHORARRAY(Sintesi!$C$10)),0)),0)))),0)</f>
        <v>0</v>
      </c>
    </row>
    <row r="81" spans="1:13">
      <c r="A81" s="1">
        <f>'Paste cell here'!A81</f>
        <v>80</v>
      </c>
      <c r="B81" s="2">
        <f>DATE(Sintesi!$C$4-1,12,31)+A81</f>
        <v>44276</v>
      </c>
      <c r="C81" s="34">
        <f t="array" ref="C81">_xlfn.IFNA(MATCH(1,((_xlfn.ANCHORARRAY(Sintesi!$C$9)&gt;_xlfn.ANCHORARRAY(Sintesi!$C$10))*(A81&gt;=_xlfn.ANCHORARRAY(Sintesi!$C$9))+(_xlfn.ANCHORARRAY(Sintesi!$C$9)&gt;_xlfn.ANCHORARRAY(Sintesi!$C$10))*(A81&lt;=_xlfn.ANCHORARRAY(Sintesi!$C$10))+(_xlfn.ANCHORARRAY(Sintesi!$C$9)&lt;_xlfn.ANCHORARRAY(Sintesi!$C$10))*(A81&gt;=_xlfn.ANCHORARRAY(Sintesi!$C$9))*(A81&lt;=_xlfn.ANCHORARRAY(Sintesi!$C$10)))*(_xlfn.ANCHORARRAY(Sintesi!$C$15)&gt;=0)+(_xlfn.ANCHORARRAY(Sintesi!$C$15)&lt;0),0),0)</f>
        <v>0</v>
      </c>
      <c r="D81" s="1">
        <f t="array" ref="D81">IF(ISBLANK($E82),IF(ISNUMBER($E80),IF($C81&gt;0,IF(($E81=INDEX(_xlfn.ANCHORARRAY(Sintesi!$C$14),1,$C81))*(INDEX(_xlfn.ANCHORARRAY(Sintesi!$C$15),1,$C81)&gt;0),0,IF(($E81=INDEX(_xlfn.ANCHORARRAY(Sintesi!$C$14),1,$C81))*(INDEX(_xlfn.ANCHORARRAY(Sintesi!$C$15),1,$C81)&lt;0)+($E81&gt;=$E80)*($E81&lt;=INDEX($E:$E,MATCH(TRUE,INDEX((ISNUMBER($E:$E)),0),0)))*($E81&gt;INDEX(_xlfn.ANCHORARRAY(Sintesi!$C$14),1,$C81))*($E81&lt;=INDEX(_xlfn.ANCHORARRAY(Sintesi!$C$15),1,$C81))*(INDEX(_xlfn.ANCHORARRAY(Sintesi!$C$15),1,$C81)&gt;0),1,IF(($E81&gt;=$E80)*($E81&lt;=INDEX($E:$E,MATCH(TRUE,INDEX((ISNUMBER($E:$E)),0),0)))*($E81&gt;INDEX(_xlfn.ANCHORARRAY(Sintesi!$C$14),1,$C81))*($E81&lt;INDEX(_xlfn.ANCHORARRAY(Sintesi!$C$16),1,$C81))*(INDEX(_xlfn.ANCHORARRAY(Sintesi!$C$15),1,$C81)&lt;0)+($E81&gt;=$E80)*($E81&lt;=INDEX($E:$E,MATCH(TRUE,INDEX((ISNUMBER($E:$E)),0),0)))*($E81&gt;INDEX(_xlfn.ANCHORARRAY(Sintesi!$C$15),1,$C81))*($E81&lt;INDEX(_xlfn.ANCHORARRAY(Sintesi!$C$16),1,$C81))*(INDEX(_xlfn.ANCHORARRAY(Sintesi!$C$15),1,$C81)&gt;0),2,IF($E81=(INDEX(_xlfn.ANCHORARRAY(Sintesi!$C$16),1,$C81)),3,4)))),0),IF($C81&gt;0,IF(($E81=INDEX(_xlfn.ANCHORARRAY(Sintesi!$C$14),1,$C81))*(INDEX(_xlfn.ANCHORARRAY(Sintesi!$C$15),1,$C81)&gt;0),0,IF(($E81=INDEX(_xlfn.ANCHORARRAY(Sintesi!$C$14),1,$C81))*(INDEX(_xlfn.ANCHORARRAY(Sintesi!$C$15),1,$C81)&lt;0)+($E81&gt;=LOOKUP(2,1/($E:$E&lt;&gt;""),$E:$E))*($E81&lt;=INDEX($E:$E,MATCH(TRUE,INDEX((ISNUMBER($E:$E)),0),0)))*($E81&gt;INDEX(_xlfn.ANCHORARRAY(Sintesi!$C$14),1,$C81))*($E81&lt;=INDEX(_xlfn.ANCHORARRAY(Sintesi!$C$15),1,$C81))*(INDEX(_xlfn.ANCHORARRAY(Sintesi!$C$15),1,$C81)&gt;0),1,IF(($E81&gt;=LOOKUP(2,1/($E:$E&lt;&gt;""),$E:$E))*($E81&lt;=INDEX($E:$E,MATCH(TRUE,INDEX((ISNUMBER($E:$E)),0),0)))*($E81&gt;INDEX(_xlfn.ANCHORARRAY(Sintesi!$C$14),1,$C81))*($E81&lt;INDEX(_xlfn.ANCHORARRAY(Sintesi!$C$16),1,$C81))*(INDEX(_xlfn.ANCHORARRAY(Sintesi!$C$15),1,$C81)&lt;0)+($E81&gt;=LOOKUP(2,1/($E:$E&lt;&gt;""),$E:$E))*($E81&lt;=INDEX($E:$E,MATCH(TRUE,INDEX((ISNUMBER($E:$E)),0),0)))*($E81&gt;INDEX(_xlfn.ANCHORARRAY(Sintesi!$C$15),1,$C81))*($E81&lt;INDEX(_xlfn.ANCHORARRAY(Sintesi!$C$16),1,$C81))*(INDEX(_xlfn.ANCHORARRAY(Sintesi!$C$15),1,$C81)&gt;0),2,IF($E81=(INDEX(_xlfn.ANCHORARRAY(Sintesi!$C$16),1,$C81)),3,4)))),0)),IF(ISNUMBER($E80),IF($C81&gt;0,IF(($E81=INDEX(_xlfn.ANCHORARRAY(Sintesi!$C$14),1,$C81))*(INDEX(_xlfn.ANCHORARRAY(Sintesi!$C$15),1,$C81)&gt;0),0,IF(($E81=INDEX(_xlfn.ANCHORARRAY(Sintesi!$C$14),1,$C81))*(INDEX(_xlfn.ANCHORARRAY(Sintesi!$C$15),1,$C81)&lt;0)+($E81&gt;=$E80)*($E81&lt;=$E82)*($E81&gt;INDEX(_xlfn.ANCHORARRAY(Sintesi!$C$14),1,$C81))*($E81&lt;=INDEX(_xlfn.ANCHORARRAY(Sintesi!$C$15),1,$C81))*(INDEX(_xlfn.ANCHORARRAY(Sintesi!$C$15),1,$C81)&gt;0),1,IF(($E81&gt;=$E80)*($E81&lt;=$E82)*($E81&gt;INDEX(_xlfn.ANCHORARRAY(Sintesi!$C$14),1,$C81))*($E81&lt;INDEX(_xlfn.ANCHORARRAY(Sintesi!$C$16),1,$C81))*(INDEX(_xlfn.ANCHORARRAY(Sintesi!$C$15),1,$C81)&lt;0)+($E81&gt;=$E80)*($E81&lt;=$E82)*($E81&gt;INDEX(_xlfn.ANCHORARRAY(Sintesi!$C$15),1,$C81))*($E81&lt;INDEX(_xlfn.ANCHORARRAY(Sintesi!$C$16),1,$C81))*(INDEX(_xlfn.ANCHORARRAY(Sintesi!$C$15),1,$C81)&gt;0),2,IF($E81=(INDEX(_xlfn.ANCHORARRAY(Sintesi!$C$16),1,$C81)),3,4)))),0),IF($C81&gt;0,IF(($E81=INDEX(_xlfn.ANCHORARRAY(Sintesi!$C$14),1,$C81))*(INDEX(_xlfn.ANCHORARRAY(Sintesi!$C$15),1,$C81)&gt;0),0,IF(($E81=INDEX(_xlfn.ANCHORARRAY(Sintesi!$C$14),1,$C81))*(INDEX(_xlfn.ANCHORARRAY(Sintesi!$C$15),1,$C81)&lt;0)+($E81&gt;=LOOKUP(2,1/($E:$E&lt;&gt;""),$E:$E))*($E81&lt;=$E82)*($E81&gt;INDEX(_xlfn.ANCHORARRAY(Sintesi!$C$14),1,$C81))*($E81&lt;=INDEX(_xlfn.ANCHORARRAY(Sintesi!$C$15),1,$C81))*(INDEX(_xlfn.ANCHORARRAY(Sintesi!$C$15),1,$C81)&gt;0),1,IF(($E81&gt;=LOOKUP(2,1/($E:$E&lt;&gt;""),$E:$E))*($E81&lt;=$E82)*($E81&gt;INDEX(_xlfn.ANCHORARRAY(Sintesi!$C$14),1,$C81))*($E81&lt;INDEX(_xlfn.ANCHORARRAY(Sintesi!$C$16),1,$C81))*(INDEX(_xlfn.ANCHORARRAY(Sintesi!$C$15),1,$C81)&lt;0)+($E81&gt;=LOOKUP(2,1/($E:$E&lt;&gt;""),$E:$E))*($E81&lt;=$E82)*($E81&gt;INDEX(_xlfn.ANCHORARRAY(Sintesi!$C$15),1,$C81))*($E81&lt;INDEX(_xlfn.ANCHORARRAY(Sintesi!$C$16),1,$C81))*(INDEX(_xlfn.ANCHORARRAY(Sintesi!$C$15),1,$C81)&gt;0),2,IF($E81=(INDEX(_xlfn.ANCHORARRAY(Sintesi!$C$16),1,$C81)),3,4)))),0)))</f>
        <v>0</v>
      </c>
      <c r="E81" s="1">
        <f>'Paste cell here'!F81</f>
        <v>0</v>
      </c>
      <c r="F81" s="1">
        <f>'Paste cell here'!C81</f>
        <v>10.679999999999836</v>
      </c>
      <c r="G81" s="1">
        <f>'Paste cell here'!D81</f>
        <v>-1.2199999999999602</v>
      </c>
      <c r="H81" s="1">
        <f>'Paste cell here'!E81</f>
        <v>1.9452590269667953</v>
      </c>
      <c r="I81" s="1">
        <f>'Paste cell here'!X81</f>
        <v>0</v>
      </c>
      <c r="J81" s="1">
        <f>'Paste cell here'!Y81+'Paste cell here'!S81</f>
        <v>0</v>
      </c>
      <c r="K81" s="1">
        <f t="shared" si="2"/>
        <v>0</v>
      </c>
      <c r="L81" s="1">
        <f t="shared" si="3"/>
        <v>7.029876504319053</v>
      </c>
      <c r="M81" s="1">
        <f t="array" ref="M81">IF(AND(A81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81&gt;=_xlfn.ANCHORARRAY(Sintesi!$C$9))+(_xlfn.ANCHORARRAY(Sintesi!$C$9)&gt;_xlfn.ANCHORARRAY(Sintesi!$C$10))*(A81&lt;=_xlfn.ANCHORARRAY(Sintesi!$C$10))+(_xlfn.ANCHORARRAY(Sintesi!$C$9)&lt;_xlfn.ANCHORARRAY(Sintesi!$C$10))*(A81&gt;=_xlfn.ANCHORARRAY(Sintesi!$C$9))*(A81&lt;=_xlfn.ANCHORARRAY(Sintesi!$C$10)),0)),0),A81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82&gt;=_xlfn.ANCHORARRAY(Sintesi!$C$9))+(_xlfn.ANCHORARRAY(Sintesi!$C$9)&gt;_xlfn.ANCHORARRAY(Sintesi!$C$10))*(A82&lt;=_xlfn.ANCHORARRAY(Sintesi!$C$10))+(_xlfn.ANCHORARRAY(Sintesi!$C$9)&lt;_xlfn.ANCHORARRAY(Sintesi!$C$10))*(A82&gt;=_xlfn.ANCHORARRAY(Sintesi!$C$9))*(A82&lt;=_xlfn.ANCHORARRAY(Sintesi!$C$10)),0)),0)),IF(L81&lt;_xlfn.IFNA(INDEX(_xlfn.ANCHORARRAY(Sintesi!$C$17),1,MATCH(1,(_xlfn.ANCHORARRAY(Sintesi!$C$9)&gt;_xlfn.ANCHORARRAY(Sintesi!$C$10))*(A80&gt;=_xlfn.ANCHORARRAY(Sintesi!$C$9))+(_xlfn.ANCHORARRAY(Sintesi!$C$9)&gt;_xlfn.ANCHORARRAY(Sintesi!$C$10))*(A80&lt;=_xlfn.ANCHORARRAY(Sintesi!$C$10))+(_xlfn.ANCHORARRAY(Sintesi!$C$9)&lt;_xlfn.ANCHORARRAY(Sintesi!$C$10))*(A80&gt;=_xlfn.ANCHORARRAY(Sintesi!$C$9))*(A80&lt;=_xlfn.ANCHORARRAY(Sintesi!$C$10)),0)),0),1,IF(L81&gt;=_xlfn.IFNA(INDEX(_xlfn.ANCHORARRAY(Sintesi!$C$18),1,MATCH(1,(_xlfn.ANCHORARRAY(Sintesi!$C$9)&gt;_xlfn.ANCHORARRAY(Sintesi!$C$10))*(A80&gt;=_xlfn.ANCHORARRAY(Sintesi!$C$9))+(_xlfn.ANCHORARRAY(Sintesi!$C$9)&gt;_xlfn.ANCHORARRAY(Sintesi!$C$10))*(A80&lt;=_xlfn.ANCHORARRAY(Sintesi!$C$10))+(_xlfn.ANCHORARRAY(Sintesi!$C$9)&lt;_xlfn.ANCHORARRAY(Sintesi!$C$10))*(A80&gt;=_xlfn.ANCHORARRAY(Sintesi!$C$9))*(A80&lt;=_xlfn.ANCHORARRAY(Sintesi!$C$10)),0)),0),0,1-(L81-_xlfn.IFNA(INDEX(_xlfn.ANCHORARRAY(Sintesi!$C$17),1,MATCH(1,(_xlfn.ANCHORARRAY(Sintesi!$C$9)&gt;_xlfn.ANCHORARRAY(Sintesi!$C$10))*(A80&gt;=_xlfn.ANCHORARRAY(Sintesi!$C$9))+(_xlfn.ANCHORARRAY(Sintesi!$C$9)&gt;_xlfn.ANCHORARRAY(Sintesi!$C$10))*(A80&lt;=_xlfn.ANCHORARRAY(Sintesi!$C$10))+(_xlfn.ANCHORARRAY(Sintesi!$C$9)&lt;_xlfn.ANCHORARRAY(Sintesi!$C$10))*(A80&gt;=_xlfn.ANCHORARRAY(Sintesi!$C$9))*(A80&lt;=_xlfn.ANCHORARRAY(Sintesi!$C$10)),0)),0))/(_xlfn.IFNA(INDEX(_xlfn.ANCHORARRAY(Sintesi!$C$18),1,MATCH(1,(_xlfn.ANCHORARRAY(Sintesi!$C$9)&gt;_xlfn.ANCHORARRAY(Sintesi!$C$10))*(A80&gt;=_xlfn.ANCHORARRAY(Sintesi!$C$9))+(_xlfn.ANCHORARRAY(Sintesi!$C$9)&gt;_xlfn.ANCHORARRAY(Sintesi!$C$10))*(A80&lt;=_xlfn.ANCHORARRAY(Sintesi!$C$10))+(_xlfn.ANCHORARRAY(Sintesi!$C$9)&lt;_xlfn.ANCHORARRAY(Sintesi!$C$10))*(A80&gt;=_xlfn.ANCHORARRAY(Sintesi!$C$9))*(A80&lt;=_xlfn.ANCHORARRAY(Sintesi!$C$10)),0)),0)-_xlfn.IFNA(INDEX(_xlfn.ANCHORARRAY(Sintesi!$C$17),1,MATCH(1,(_xlfn.ANCHORARRAY(Sintesi!$C$9)&gt;_xlfn.ANCHORARRAY(Sintesi!$C$10))*(A80&gt;=_xlfn.ANCHORARRAY(Sintesi!$C$9))+(_xlfn.ANCHORARRAY(Sintesi!$C$9)&gt;_xlfn.ANCHORARRAY(Sintesi!$C$10))*(A80&lt;=_xlfn.ANCHORARRAY(Sintesi!$C$10))+(_xlfn.ANCHORARRAY(Sintesi!$C$9)&lt;_xlfn.ANCHORARRAY(Sintesi!$C$10))*(A80&gt;=_xlfn.ANCHORARRAY(Sintesi!$C$9))*(A80&lt;=_xlfn.ANCHORARRAY(Sintesi!$C$10)),0)),0)))),0)</f>
        <v>0</v>
      </c>
    </row>
    <row r="82" spans="1:13">
      <c r="A82" s="1">
        <f>'Paste cell here'!A82</f>
        <v>81</v>
      </c>
      <c r="B82" s="2">
        <f>DATE(Sintesi!$C$4-1,12,31)+A82</f>
        <v>44277</v>
      </c>
      <c r="C82" s="34">
        <f t="array" ref="C82">_xlfn.IFNA(MATCH(1,((_xlfn.ANCHORARRAY(Sintesi!$C$9)&gt;_xlfn.ANCHORARRAY(Sintesi!$C$10))*(A82&gt;=_xlfn.ANCHORARRAY(Sintesi!$C$9))+(_xlfn.ANCHORARRAY(Sintesi!$C$9)&gt;_xlfn.ANCHORARRAY(Sintesi!$C$10))*(A82&lt;=_xlfn.ANCHORARRAY(Sintesi!$C$10))+(_xlfn.ANCHORARRAY(Sintesi!$C$9)&lt;_xlfn.ANCHORARRAY(Sintesi!$C$10))*(A82&gt;=_xlfn.ANCHORARRAY(Sintesi!$C$9))*(A82&lt;=_xlfn.ANCHORARRAY(Sintesi!$C$10)))*(_xlfn.ANCHORARRAY(Sintesi!$C$15)&gt;=0)+(_xlfn.ANCHORARRAY(Sintesi!$C$15)&lt;0),0),0)</f>
        <v>0</v>
      </c>
      <c r="D82" s="1">
        <f t="array" ref="D82">IF(ISBLANK($E83),IF(ISNUMBER($E81),IF($C82&gt;0,IF(($E82=INDEX(_xlfn.ANCHORARRAY(Sintesi!$C$14),1,$C82))*(INDEX(_xlfn.ANCHORARRAY(Sintesi!$C$15),1,$C82)&gt;0),0,IF(($E82=INDEX(_xlfn.ANCHORARRAY(Sintesi!$C$14),1,$C82))*(INDEX(_xlfn.ANCHORARRAY(Sintesi!$C$15),1,$C82)&lt;0)+($E82&gt;=$E81)*($E82&lt;=INDEX($E:$E,MATCH(TRUE,INDEX((ISNUMBER($E:$E)),0),0)))*($E82&gt;INDEX(_xlfn.ANCHORARRAY(Sintesi!$C$14),1,$C82))*($E82&lt;=INDEX(_xlfn.ANCHORARRAY(Sintesi!$C$15),1,$C82))*(INDEX(_xlfn.ANCHORARRAY(Sintesi!$C$15),1,$C82)&gt;0),1,IF(($E82&gt;=$E81)*($E82&lt;=INDEX($E:$E,MATCH(TRUE,INDEX((ISNUMBER($E:$E)),0),0)))*($E82&gt;INDEX(_xlfn.ANCHORARRAY(Sintesi!$C$14),1,$C82))*($E82&lt;INDEX(_xlfn.ANCHORARRAY(Sintesi!$C$16),1,$C82))*(INDEX(_xlfn.ANCHORARRAY(Sintesi!$C$15),1,$C82)&lt;0)+($E82&gt;=$E81)*($E82&lt;=INDEX($E:$E,MATCH(TRUE,INDEX((ISNUMBER($E:$E)),0),0)))*($E82&gt;INDEX(_xlfn.ANCHORARRAY(Sintesi!$C$15),1,$C82))*($E82&lt;INDEX(_xlfn.ANCHORARRAY(Sintesi!$C$16),1,$C82))*(INDEX(_xlfn.ANCHORARRAY(Sintesi!$C$15),1,$C82)&gt;0),2,IF($E82=(INDEX(_xlfn.ANCHORARRAY(Sintesi!$C$16),1,$C82)),3,4)))),0),IF($C82&gt;0,IF(($E82=INDEX(_xlfn.ANCHORARRAY(Sintesi!$C$14),1,$C82))*(INDEX(_xlfn.ANCHORARRAY(Sintesi!$C$15),1,$C82)&gt;0),0,IF(($E82=INDEX(_xlfn.ANCHORARRAY(Sintesi!$C$14),1,$C82))*(INDEX(_xlfn.ANCHORARRAY(Sintesi!$C$15),1,$C82)&lt;0)+($E82&gt;=LOOKUP(2,1/($E:$E&lt;&gt;""),$E:$E))*($E82&lt;=INDEX($E:$E,MATCH(TRUE,INDEX((ISNUMBER($E:$E)),0),0)))*($E82&gt;INDEX(_xlfn.ANCHORARRAY(Sintesi!$C$14),1,$C82))*($E82&lt;=INDEX(_xlfn.ANCHORARRAY(Sintesi!$C$15),1,$C82))*(INDEX(_xlfn.ANCHORARRAY(Sintesi!$C$15),1,$C82)&gt;0),1,IF(($E82&gt;=LOOKUP(2,1/($E:$E&lt;&gt;""),$E:$E))*($E82&lt;=INDEX($E:$E,MATCH(TRUE,INDEX((ISNUMBER($E:$E)),0),0)))*($E82&gt;INDEX(_xlfn.ANCHORARRAY(Sintesi!$C$14),1,$C82))*($E82&lt;INDEX(_xlfn.ANCHORARRAY(Sintesi!$C$16),1,$C82))*(INDEX(_xlfn.ANCHORARRAY(Sintesi!$C$15),1,$C82)&lt;0)+($E82&gt;=LOOKUP(2,1/($E:$E&lt;&gt;""),$E:$E))*($E82&lt;=INDEX($E:$E,MATCH(TRUE,INDEX((ISNUMBER($E:$E)),0),0)))*($E82&gt;INDEX(_xlfn.ANCHORARRAY(Sintesi!$C$15),1,$C82))*($E82&lt;INDEX(_xlfn.ANCHORARRAY(Sintesi!$C$16),1,$C82))*(INDEX(_xlfn.ANCHORARRAY(Sintesi!$C$15),1,$C82)&gt;0),2,IF($E82=(INDEX(_xlfn.ANCHORARRAY(Sintesi!$C$16),1,$C82)),3,4)))),0)),IF(ISNUMBER($E81),IF($C82&gt;0,IF(($E82=INDEX(_xlfn.ANCHORARRAY(Sintesi!$C$14),1,$C82))*(INDEX(_xlfn.ANCHORARRAY(Sintesi!$C$15),1,$C82)&gt;0),0,IF(($E82=INDEX(_xlfn.ANCHORARRAY(Sintesi!$C$14),1,$C82))*(INDEX(_xlfn.ANCHORARRAY(Sintesi!$C$15),1,$C82)&lt;0)+($E82&gt;=$E81)*($E82&lt;=$E83)*($E82&gt;INDEX(_xlfn.ANCHORARRAY(Sintesi!$C$14),1,$C82))*($E82&lt;=INDEX(_xlfn.ANCHORARRAY(Sintesi!$C$15),1,$C82))*(INDEX(_xlfn.ANCHORARRAY(Sintesi!$C$15),1,$C82)&gt;0),1,IF(($E82&gt;=$E81)*($E82&lt;=$E83)*($E82&gt;INDEX(_xlfn.ANCHORARRAY(Sintesi!$C$14),1,$C82))*($E82&lt;INDEX(_xlfn.ANCHORARRAY(Sintesi!$C$16),1,$C82))*(INDEX(_xlfn.ANCHORARRAY(Sintesi!$C$15),1,$C82)&lt;0)+($E82&gt;=$E81)*($E82&lt;=$E83)*($E82&gt;INDEX(_xlfn.ANCHORARRAY(Sintesi!$C$15),1,$C82))*($E82&lt;INDEX(_xlfn.ANCHORARRAY(Sintesi!$C$16),1,$C82))*(INDEX(_xlfn.ANCHORARRAY(Sintesi!$C$15),1,$C82)&gt;0),2,IF($E82=(INDEX(_xlfn.ANCHORARRAY(Sintesi!$C$16),1,$C82)),3,4)))),0),IF($C82&gt;0,IF(($E82=INDEX(_xlfn.ANCHORARRAY(Sintesi!$C$14),1,$C82))*(INDEX(_xlfn.ANCHORARRAY(Sintesi!$C$15),1,$C82)&gt;0),0,IF(($E82=INDEX(_xlfn.ANCHORARRAY(Sintesi!$C$14),1,$C82))*(INDEX(_xlfn.ANCHORARRAY(Sintesi!$C$15),1,$C82)&lt;0)+($E82&gt;=LOOKUP(2,1/($E:$E&lt;&gt;""),$E:$E))*($E82&lt;=$E83)*($E82&gt;INDEX(_xlfn.ANCHORARRAY(Sintesi!$C$14),1,$C82))*($E82&lt;=INDEX(_xlfn.ANCHORARRAY(Sintesi!$C$15),1,$C82))*(INDEX(_xlfn.ANCHORARRAY(Sintesi!$C$15),1,$C82)&gt;0),1,IF(($E82&gt;=LOOKUP(2,1/($E:$E&lt;&gt;""),$E:$E))*($E82&lt;=$E83)*($E82&gt;INDEX(_xlfn.ANCHORARRAY(Sintesi!$C$14),1,$C82))*($E82&lt;INDEX(_xlfn.ANCHORARRAY(Sintesi!$C$16),1,$C82))*(INDEX(_xlfn.ANCHORARRAY(Sintesi!$C$15),1,$C82)&lt;0)+($E82&gt;=LOOKUP(2,1/($E:$E&lt;&gt;""),$E:$E))*($E82&lt;=$E83)*($E82&gt;INDEX(_xlfn.ANCHORARRAY(Sintesi!$C$15),1,$C82))*($E82&lt;INDEX(_xlfn.ANCHORARRAY(Sintesi!$C$16),1,$C82))*(INDEX(_xlfn.ANCHORARRAY(Sintesi!$C$15),1,$C82)&gt;0),2,IF($E82=(INDEX(_xlfn.ANCHORARRAY(Sintesi!$C$16),1,$C82)),3,4)))),0)))</f>
        <v>0</v>
      </c>
      <c r="E82" s="1">
        <f>'Paste cell here'!F82</f>
        <v>0</v>
      </c>
      <c r="F82" s="1">
        <f>'Paste cell here'!C82</f>
        <v>16.539999999999758</v>
      </c>
      <c r="G82" s="1">
        <f>'Paste cell here'!D82</f>
        <v>-0.93999999999995931</v>
      </c>
      <c r="H82" s="1">
        <f>'Paste cell here'!E82</f>
        <v>2.299485159174576</v>
      </c>
      <c r="I82" s="1">
        <f>'Paste cell here'!X82</f>
        <v>0</v>
      </c>
      <c r="J82" s="1">
        <f>'Paste cell here'!Y82+'Paste cell here'!S82</f>
        <v>0</v>
      </c>
      <c r="K82" s="1">
        <f t="shared" si="2"/>
        <v>0</v>
      </c>
      <c r="L82" s="1">
        <f t="shared" si="3"/>
        <v>11.178305991218233</v>
      </c>
      <c r="M82" s="1">
        <f t="array" ref="M82">IF(AND(A82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82&gt;=_xlfn.ANCHORARRAY(Sintesi!$C$9))+(_xlfn.ANCHORARRAY(Sintesi!$C$9)&gt;_xlfn.ANCHORARRAY(Sintesi!$C$10))*(A82&lt;=_xlfn.ANCHORARRAY(Sintesi!$C$10))+(_xlfn.ANCHORARRAY(Sintesi!$C$9)&lt;_xlfn.ANCHORARRAY(Sintesi!$C$10))*(A82&gt;=_xlfn.ANCHORARRAY(Sintesi!$C$9))*(A82&lt;=_xlfn.ANCHORARRAY(Sintesi!$C$10)),0)),0),A82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83&gt;=_xlfn.ANCHORARRAY(Sintesi!$C$9))+(_xlfn.ANCHORARRAY(Sintesi!$C$9)&gt;_xlfn.ANCHORARRAY(Sintesi!$C$10))*(A83&lt;=_xlfn.ANCHORARRAY(Sintesi!$C$10))+(_xlfn.ANCHORARRAY(Sintesi!$C$9)&lt;_xlfn.ANCHORARRAY(Sintesi!$C$10))*(A83&gt;=_xlfn.ANCHORARRAY(Sintesi!$C$9))*(A83&lt;=_xlfn.ANCHORARRAY(Sintesi!$C$10)),0)),0)),IF(L82&lt;_xlfn.IFNA(INDEX(_xlfn.ANCHORARRAY(Sintesi!$C$17),1,MATCH(1,(_xlfn.ANCHORARRAY(Sintesi!$C$9)&gt;_xlfn.ANCHORARRAY(Sintesi!$C$10))*(A81&gt;=_xlfn.ANCHORARRAY(Sintesi!$C$9))+(_xlfn.ANCHORARRAY(Sintesi!$C$9)&gt;_xlfn.ANCHORARRAY(Sintesi!$C$10))*(A81&lt;=_xlfn.ANCHORARRAY(Sintesi!$C$10))+(_xlfn.ANCHORARRAY(Sintesi!$C$9)&lt;_xlfn.ANCHORARRAY(Sintesi!$C$10))*(A81&gt;=_xlfn.ANCHORARRAY(Sintesi!$C$9))*(A81&lt;=_xlfn.ANCHORARRAY(Sintesi!$C$10)),0)),0),1,IF(L82&gt;=_xlfn.IFNA(INDEX(_xlfn.ANCHORARRAY(Sintesi!$C$18),1,MATCH(1,(_xlfn.ANCHORARRAY(Sintesi!$C$9)&gt;_xlfn.ANCHORARRAY(Sintesi!$C$10))*(A81&gt;=_xlfn.ANCHORARRAY(Sintesi!$C$9))+(_xlfn.ANCHORARRAY(Sintesi!$C$9)&gt;_xlfn.ANCHORARRAY(Sintesi!$C$10))*(A81&lt;=_xlfn.ANCHORARRAY(Sintesi!$C$10))+(_xlfn.ANCHORARRAY(Sintesi!$C$9)&lt;_xlfn.ANCHORARRAY(Sintesi!$C$10))*(A81&gt;=_xlfn.ANCHORARRAY(Sintesi!$C$9))*(A81&lt;=_xlfn.ANCHORARRAY(Sintesi!$C$10)),0)),0),0,1-(L82-_xlfn.IFNA(INDEX(_xlfn.ANCHORARRAY(Sintesi!$C$17),1,MATCH(1,(_xlfn.ANCHORARRAY(Sintesi!$C$9)&gt;_xlfn.ANCHORARRAY(Sintesi!$C$10))*(A81&gt;=_xlfn.ANCHORARRAY(Sintesi!$C$9))+(_xlfn.ANCHORARRAY(Sintesi!$C$9)&gt;_xlfn.ANCHORARRAY(Sintesi!$C$10))*(A81&lt;=_xlfn.ANCHORARRAY(Sintesi!$C$10))+(_xlfn.ANCHORARRAY(Sintesi!$C$9)&lt;_xlfn.ANCHORARRAY(Sintesi!$C$10))*(A81&gt;=_xlfn.ANCHORARRAY(Sintesi!$C$9))*(A81&lt;=_xlfn.ANCHORARRAY(Sintesi!$C$10)),0)),0))/(_xlfn.IFNA(INDEX(_xlfn.ANCHORARRAY(Sintesi!$C$18),1,MATCH(1,(_xlfn.ANCHORARRAY(Sintesi!$C$9)&gt;_xlfn.ANCHORARRAY(Sintesi!$C$10))*(A81&gt;=_xlfn.ANCHORARRAY(Sintesi!$C$9))+(_xlfn.ANCHORARRAY(Sintesi!$C$9)&gt;_xlfn.ANCHORARRAY(Sintesi!$C$10))*(A81&lt;=_xlfn.ANCHORARRAY(Sintesi!$C$10))+(_xlfn.ANCHORARRAY(Sintesi!$C$9)&lt;_xlfn.ANCHORARRAY(Sintesi!$C$10))*(A81&gt;=_xlfn.ANCHORARRAY(Sintesi!$C$9))*(A81&lt;=_xlfn.ANCHORARRAY(Sintesi!$C$10)),0)),0)-_xlfn.IFNA(INDEX(_xlfn.ANCHORARRAY(Sintesi!$C$17),1,MATCH(1,(_xlfn.ANCHORARRAY(Sintesi!$C$9)&gt;_xlfn.ANCHORARRAY(Sintesi!$C$10))*(A81&gt;=_xlfn.ANCHORARRAY(Sintesi!$C$9))+(_xlfn.ANCHORARRAY(Sintesi!$C$9)&gt;_xlfn.ANCHORARRAY(Sintesi!$C$10))*(A81&lt;=_xlfn.ANCHORARRAY(Sintesi!$C$10))+(_xlfn.ANCHORARRAY(Sintesi!$C$9)&lt;_xlfn.ANCHORARRAY(Sintesi!$C$10))*(A81&gt;=_xlfn.ANCHORARRAY(Sintesi!$C$9))*(A81&lt;=_xlfn.ANCHORARRAY(Sintesi!$C$10)),0)),0)))),0)</f>
        <v>0</v>
      </c>
    </row>
    <row r="83" spans="1:13">
      <c r="A83" s="1">
        <f>'Paste cell here'!A83</f>
        <v>82</v>
      </c>
      <c r="B83" s="2">
        <f>DATE(Sintesi!$C$4-1,12,31)+A83</f>
        <v>44278</v>
      </c>
      <c r="C83" s="34">
        <f t="array" ref="C83">_xlfn.IFNA(MATCH(1,((_xlfn.ANCHORARRAY(Sintesi!$C$9)&gt;_xlfn.ANCHORARRAY(Sintesi!$C$10))*(A83&gt;=_xlfn.ANCHORARRAY(Sintesi!$C$9))+(_xlfn.ANCHORARRAY(Sintesi!$C$9)&gt;_xlfn.ANCHORARRAY(Sintesi!$C$10))*(A83&lt;=_xlfn.ANCHORARRAY(Sintesi!$C$10))+(_xlfn.ANCHORARRAY(Sintesi!$C$9)&lt;_xlfn.ANCHORARRAY(Sintesi!$C$10))*(A83&gt;=_xlfn.ANCHORARRAY(Sintesi!$C$9))*(A83&lt;=_xlfn.ANCHORARRAY(Sintesi!$C$10)))*(_xlfn.ANCHORARRAY(Sintesi!$C$15)&gt;=0)+(_xlfn.ANCHORARRAY(Sintesi!$C$15)&lt;0),0),0)</f>
        <v>0</v>
      </c>
      <c r="D83" s="1">
        <f t="array" ref="D83">IF(ISBLANK($E84),IF(ISNUMBER($E82),IF($C83&gt;0,IF(($E83=INDEX(_xlfn.ANCHORARRAY(Sintesi!$C$14),1,$C83))*(INDEX(_xlfn.ANCHORARRAY(Sintesi!$C$15),1,$C83)&gt;0),0,IF(($E83=INDEX(_xlfn.ANCHORARRAY(Sintesi!$C$14),1,$C83))*(INDEX(_xlfn.ANCHORARRAY(Sintesi!$C$15),1,$C83)&lt;0)+($E83&gt;=$E82)*($E83&lt;=INDEX($E:$E,MATCH(TRUE,INDEX((ISNUMBER($E:$E)),0),0)))*($E83&gt;INDEX(_xlfn.ANCHORARRAY(Sintesi!$C$14),1,$C83))*($E83&lt;=INDEX(_xlfn.ANCHORARRAY(Sintesi!$C$15),1,$C83))*(INDEX(_xlfn.ANCHORARRAY(Sintesi!$C$15),1,$C83)&gt;0),1,IF(($E83&gt;=$E82)*($E83&lt;=INDEX($E:$E,MATCH(TRUE,INDEX((ISNUMBER($E:$E)),0),0)))*($E83&gt;INDEX(_xlfn.ANCHORARRAY(Sintesi!$C$14),1,$C83))*($E83&lt;INDEX(_xlfn.ANCHORARRAY(Sintesi!$C$16),1,$C83))*(INDEX(_xlfn.ANCHORARRAY(Sintesi!$C$15),1,$C83)&lt;0)+($E83&gt;=$E82)*($E83&lt;=INDEX($E:$E,MATCH(TRUE,INDEX((ISNUMBER($E:$E)),0),0)))*($E83&gt;INDEX(_xlfn.ANCHORARRAY(Sintesi!$C$15),1,$C83))*($E83&lt;INDEX(_xlfn.ANCHORARRAY(Sintesi!$C$16),1,$C83))*(INDEX(_xlfn.ANCHORARRAY(Sintesi!$C$15),1,$C83)&gt;0),2,IF($E83=(INDEX(_xlfn.ANCHORARRAY(Sintesi!$C$16),1,$C83)),3,4)))),0),IF($C83&gt;0,IF(($E83=INDEX(_xlfn.ANCHORARRAY(Sintesi!$C$14),1,$C83))*(INDEX(_xlfn.ANCHORARRAY(Sintesi!$C$15),1,$C83)&gt;0),0,IF(($E83=INDEX(_xlfn.ANCHORARRAY(Sintesi!$C$14),1,$C83))*(INDEX(_xlfn.ANCHORARRAY(Sintesi!$C$15),1,$C83)&lt;0)+($E83&gt;=LOOKUP(2,1/($E:$E&lt;&gt;""),$E:$E))*($E83&lt;=INDEX($E:$E,MATCH(TRUE,INDEX((ISNUMBER($E:$E)),0),0)))*($E83&gt;INDEX(_xlfn.ANCHORARRAY(Sintesi!$C$14),1,$C83))*($E83&lt;=INDEX(_xlfn.ANCHORARRAY(Sintesi!$C$15),1,$C83))*(INDEX(_xlfn.ANCHORARRAY(Sintesi!$C$15),1,$C83)&gt;0),1,IF(($E83&gt;=LOOKUP(2,1/($E:$E&lt;&gt;""),$E:$E))*($E83&lt;=INDEX($E:$E,MATCH(TRUE,INDEX((ISNUMBER($E:$E)),0),0)))*($E83&gt;INDEX(_xlfn.ANCHORARRAY(Sintesi!$C$14),1,$C83))*($E83&lt;INDEX(_xlfn.ANCHORARRAY(Sintesi!$C$16),1,$C83))*(INDEX(_xlfn.ANCHORARRAY(Sintesi!$C$15),1,$C83)&lt;0)+($E83&gt;=LOOKUP(2,1/($E:$E&lt;&gt;""),$E:$E))*($E83&lt;=INDEX($E:$E,MATCH(TRUE,INDEX((ISNUMBER($E:$E)),0),0)))*($E83&gt;INDEX(_xlfn.ANCHORARRAY(Sintesi!$C$15),1,$C83))*($E83&lt;INDEX(_xlfn.ANCHORARRAY(Sintesi!$C$16),1,$C83))*(INDEX(_xlfn.ANCHORARRAY(Sintesi!$C$15),1,$C83)&gt;0),2,IF($E83=(INDEX(_xlfn.ANCHORARRAY(Sintesi!$C$16),1,$C83)),3,4)))),0)),IF(ISNUMBER($E82),IF($C83&gt;0,IF(($E83=INDEX(_xlfn.ANCHORARRAY(Sintesi!$C$14),1,$C83))*(INDEX(_xlfn.ANCHORARRAY(Sintesi!$C$15),1,$C83)&gt;0),0,IF(($E83=INDEX(_xlfn.ANCHORARRAY(Sintesi!$C$14),1,$C83))*(INDEX(_xlfn.ANCHORARRAY(Sintesi!$C$15),1,$C83)&lt;0)+($E83&gt;=$E82)*($E83&lt;=$E84)*($E83&gt;INDEX(_xlfn.ANCHORARRAY(Sintesi!$C$14),1,$C83))*($E83&lt;=INDEX(_xlfn.ANCHORARRAY(Sintesi!$C$15),1,$C83))*(INDEX(_xlfn.ANCHORARRAY(Sintesi!$C$15),1,$C83)&gt;0),1,IF(($E83&gt;=$E82)*($E83&lt;=$E84)*($E83&gt;INDEX(_xlfn.ANCHORARRAY(Sintesi!$C$14),1,$C83))*($E83&lt;INDEX(_xlfn.ANCHORARRAY(Sintesi!$C$16),1,$C83))*(INDEX(_xlfn.ANCHORARRAY(Sintesi!$C$15),1,$C83)&lt;0)+($E83&gt;=$E82)*($E83&lt;=$E84)*($E83&gt;INDEX(_xlfn.ANCHORARRAY(Sintesi!$C$15),1,$C83))*($E83&lt;INDEX(_xlfn.ANCHORARRAY(Sintesi!$C$16),1,$C83))*(INDEX(_xlfn.ANCHORARRAY(Sintesi!$C$15),1,$C83)&gt;0),2,IF($E83=(INDEX(_xlfn.ANCHORARRAY(Sintesi!$C$16),1,$C83)),3,4)))),0),IF($C83&gt;0,IF(($E83=INDEX(_xlfn.ANCHORARRAY(Sintesi!$C$14),1,$C83))*(INDEX(_xlfn.ANCHORARRAY(Sintesi!$C$15),1,$C83)&gt;0),0,IF(($E83=INDEX(_xlfn.ANCHORARRAY(Sintesi!$C$14),1,$C83))*(INDEX(_xlfn.ANCHORARRAY(Sintesi!$C$15),1,$C83)&lt;0)+($E83&gt;=LOOKUP(2,1/($E:$E&lt;&gt;""),$E:$E))*($E83&lt;=$E84)*($E83&gt;INDEX(_xlfn.ANCHORARRAY(Sintesi!$C$14),1,$C83))*($E83&lt;=INDEX(_xlfn.ANCHORARRAY(Sintesi!$C$15),1,$C83))*(INDEX(_xlfn.ANCHORARRAY(Sintesi!$C$15),1,$C83)&gt;0),1,IF(($E83&gt;=LOOKUP(2,1/($E:$E&lt;&gt;""),$E:$E))*($E83&lt;=$E84)*($E83&gt;INDEX(_xlfn.ANCHORARRAY(Sintesi!$C$14),1,$C83))*($E83&lt;INDEX(_xlfn.ANCHORARRAY(Sintesi!$C$16),1,$C83))*(INDEX(_xlfn.ANCHORARRAY(Sintesi!$C$15),1,$C83)&lt;0)+($E83&gt;=LOOKUP(2,1/($E:$E&lt;&gt;""),$E:$E))*($E83&lt;=$E84)*($E83&gt;INDEX(_xlfn.ANCHORARRAY(Sintesi!$C$15),1,$C83))*($E83&lt;INDEX(_xlfn.ANCHORARRAY(Sintesi!$C$16),1,$C83))*(INDEX(_xlfn.ANCHORARRAY(Sintesi!$C$15),1,$C83)&gt;0),2,IF($E83=(INDEX(_xlfn.ANCHORARRAY(Sintesi!$C$16),1,$C83)),3,4)))),0)))</f>
        <v>0</v>
      </c>
      <c r="E83" s="1">
        <f>'Paste cell here'!F83</f>
        <v>0</v>
      </c>
      <c r="F83" s="1">
        <f>'Paste cell here'!C83</f>
        <v>15.139999999999779</v>
      </c>
      <c r="G83" s="1">
        <f>'Paste cell here'!D83</f>
        <v>3.8399999999999777</v>
      </c>
      <c r="H83" s="1">
        <f>'Paste cell here'!E83</f>
        <v>2.6211931766354044</v>
      </c>
      <c r="I83" s="1">
        <f>'Paste cell here'!X83</f>
        <v>0</v>
      </c>
      <c r="J83" s="1">
        <f>'Paste cell here'!Y83+'Paste cell here'!S83</f>
        <v>0</v>
      </c>
      <c r="K83" s="1">
        <f t="shared" si="2"/>
        <v>0</v>
      </c>
      <c r="L83" s="1">
        <f t="shared" si="3"/>
        <v>11.673916344437355</v>
      </c>
      <c r="M83" s="1">
        <f t="array" ref="M83">IF(AND(A83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83&gt;=_xlfn.ANCHORARRAY(Sintesi!$C$9))+(_xlfn.ANCHORARRAY(Sintesi!$C$9)&gt;_xlfn.ANCHORARRAY(Sintesi!$C$10))*(A83&lt;=_xlfn.ANCHORARRAY(Sintesi!$C$10))+(_xlfn.ANCHORARRAY(Sintesi!$C$9)&lt;_xlfn.ANCHORARRAY(Sintesi!$C$10))*(A83&gt;=_xlfn.ANCHORARRAY(Sintesi!$C$9))*(A83&lt;=_xlfn.ANCHORARRAY(Sintesi!$C$10)),0)),0),A83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84&gt;=_xlfn.ANCHORARRAY(Sintesi!$C$9))+(_xlfn.ANCHORARRAY(Sintesi!$C$9)&gt;_xlfn.ANCHORARRAY(Sintesi!$C$10))*(A84&lt;=_xlfn.ANCHORARRAY(Sintesi!$C$10))+(_xlfn.ANCHORARRAY(Sintesi!$C$9)&lt;_xlfn.ANCHORARRAY(Sintesi!$C$10))*(A84&gt;=_xlfn.ANCHORARRAY(Sintesi!$C$9))*(A84&lt;=_xlfn.ANCHORARRAY(Sintesi!$C$10)),0)),0)),IF(L83&lt;_xlfn.IFNA(INDEX(_xlfn.ANCHORARRAY(Sintesi!$C$17),1,MATCH(1,(_xlfn.ANCHORARRAY(Sintesi!$C$9)&gt;_xlfn.ANCHORARRAY(Sintesi!$C$10))*(A82&gt;=_xlfn.ANCHORARRAY(Sintesi!$C$9))+(_xlfn.ANCHORARRAY(Sintesi!$C$9)&gt;_xlfn.ANCHORARRAY(Sintesi!$C$10))*(A82&lt;=_xlfn.ANCHORARRAY(Sintesi!$C$10))+(_xlfn.ANCHORARRAY(Sintesi!$C$9)&lt;_xlfn.ANCHORARRAY(Sintesi!$C$10))*(A82&gt;=_xlfn.ANCHORARRAY(Sintesi!$C$9))*(A82&lt;=_xlfn.ANCHORARRAY(Sintesi!$C$10)),0)),0),1,IF(L83&gt;=_xlfn.IFNA(INDEX(_xlfn.ANCHORARRAY(Sintesi!$C$18),1,MATCH(1,(_xlfn.ANCHORARRAY(Sintesi!$C$9)&gt;_xlfn.ANCHORARRAY(Sintesi!$C$10))*(A82&gt;=_xlfn.ANCHORARRAY(Sintesi!$C$9))+(_xlfn.ANCHORARRAY(Sintesi!$C$9)&gt;_xlfn.ANCHORARRAY(Sintesi!$C$10))*(A82&lt;=_xlfn.ANCHORARRAY(Sintesi!$C$10))+(_xlfn.ANCHORARRAY(Sintesi!$C$9)&lt;_xlfn.ANCHORARRAY(Sintesi!$C$10))*(A82&gt;=_xlfn.ANCHORARRAY(Sintesi!$C$9))*(A82&lt;=_xlfn.ANCHORARRAY(Sintesi!$C$10)),0)),0),0,1-(L83-_xlfn.IFNA(INDEX(_xlfn.ANCHORARRAY(Sintesi!$C$17),1,MATCH(1,(_xlfn.ANCHORARRAY(Sintesi!$C$9)&gt;_xlfn.ANCHORARRAY(Sintesi!$C$10))*(A82&gt;=_xlfn.ANCHORARRAY(Sintesi!$C$9))+(_xlfn.ANCHORARRAY(Sintesi!$C$9)&gt;_xlfn.ANCHORARRAY(Sintesi!$C$10))*(A82&lt;=_xlfn.ANCHORARRAY(Sintesi!$C$10))+(_xlfn.ANCHORARRAY(Sintesi!$C$9)&lt;_xlfn.ANCHORARRAY(Sintesi!$C$10))*(A82&gt;=_xlfn.ANCHORARRAY(Sintesi!$C$9))*(A82&lt;=_xlfn.ANCHORARRAY(Sintesi!$C$10)),0)),0))/(_xlfn.IFNA(INDEX(_xlfn.ANCHORARRAY(Sintesi!$C$18),1,MATCH(1,(_xlfn.ANCHORARRAY(Sintesi!$C$9)&gt;_xlfn.ANCHORARRAY(Sintesi!$C$10))*(A82&gt;=_xlfn.ANCHORARRAY(Sintesi!$C$9))+(_xlfn.ANCHORARRAY(Sintesi!$C$9)&gt;_xlfn.ANCHORARRAY(Sintesi!$C$10))*(A82&lt;=_xlfn.ANCHORARRAY(Sintesi!$C$10))+(_xlfn.ANCHORARRAY(Sintesi!$C$9)&lt;_xlfn.ANCHORARRAY(Sintesi!$C$10))*(A82&gt;=_xlfn.ANCHORARRAY(Sintesi!$C$9))*(A82&lt;=_xlfn.ANCHORARRAY(Sintesi!$C$10)),0)),0)-_xlfn.IFNA(INDEX(_xlfn.ANCHORARRAY(Sintesi!$C$17),1,MATCH(1,(_xlfn.ANCHORARRAY(Sintesi!$C$9)&gt;_xlfn.ANCHORARRAY(Sintesi!$C$10))*(A82&gt;=_xlfn.ANCHORARRAY(Sintesi!$C$9))+(_xlfn.ANCHORARRAY(Sintesi!$C$9)&gt;_xlfn.ANCHORARRAY(Sintesi!$C$10))*(A82&lt;=_xlfn.ANCHORARRAY(Sintesi!$C$10))+(_xlfn.ANCHORARRAY(Sintesi!$C$9)&lt;_xlfn.ANCHORARRAY(Sintesi!$C$10))*(A82&gt;=_xlfn.ANCHORARRAY(Sintesi!$C$9))*(A82&lt;=_xlfn.ANCHORARRAY(Sintesi!$C$10)),0)),0)))),0)</f>
        <v>0</v>
      </c>
    </row>
    <row r="84" spans="1:13">
      <c r="A84" s="1">
        <f>'Paste cell here'!A84</f>
        <v>83</v>
      </c>
      <c r="B84" s="2">
        <f>DATE(Sintesi!$C$4-1,12,31)+A84</f>
        <v>44279</v>
      </c>
      <c r="C84" s="34">
        <f t="array" ref="C84">_xlfn.IFNA(MATCH(1,((_xlfn.ANCHORARRAY(Sintesi!$C$9)&gt;_xlfn.ANCHORARRAY(Sintesi!$C$10))*(A84&gt;=_xlfn.ANCHORARRAY(Sintesi!$C$9))+(_xlfn.ANCHORARRAY(Sintesi!$C$9)&gt;_xlfn.ANCHORARRAY(Sintesi!$C$10))*(A84&lt;=_xlfn.ANCHORARRAY(Sintesi!$C$10))+(_xlfn.ANCHORARRAY(Sintesi!$C$9)&lt;_xlfn.ANCHORARRAY(Sintesi!$C$10))*(A84&gt;=_xlfn.ANCHORARRAY(Sintesi!$C$9))*(A84&lt;=_xlfn.ANCHORARRAY(Sintesi!$C$10)))*(_xlfn.ANCHORARRAY(Sintesi!$C$15)&gt;=0)+(_xlfn.ANCHORARRAY(Sintesi!$C$15)&lt;0),0),0)</f>
        <v>0</v>
      </c>
      <c r="D84" s="1">
        <f t="array" ref="D84">IF(ISBLANK($E85),IF(ISNUMBER($E83),IF($C84&gt;0,IF(($E84=INDEX(_xlfn.ANCHORARRAY(Sintesi!$C$14),1,$C84))*(INDEX(_xlfn.ANCHORARRAY(Sintesi!$C$15),1,$C84)&gt;0),0,IF(($E84=INDEX(_xlfn.ANCHORARRAY(Sintesi!$C$14),1,$C84))*(INDEX(_xlfn.ANCHORARRAY(Sintesi!$C$15),1,$C84)&lt;0)+($E84&gt;=$E83)*($E84&lt;=INDEX($E:$E,MATCH(TRUE,INDEX((ISNUMBER($E:$E)),0),0)))*($E84&gt;INDEX(_xlfn.ANCHORARRAY(Sintesi!$C$14),1,$C84))*($E84&lt;=INDEX(_xlfn.ANCHORARRAY(Sintesi!$C$15),1,$C84))*(INDEX(_xlfn.ANCHORARRAY(Sintesi!$C$15),1,$C84)&gt;0),1,IF(($E84&gt;=$E83)*($E84&lt;=INDEX($E:$E,MATCH(TRUE,INDEX((ISNUMBER($E:$E)),0),0)))*($E84&gt;INDEX(_xlfn.ANCHORARRAY(Sintesi!$C$14),1,$C84))*($E84&lt;INDEX(_xlfn.ANCHORARRAY(Sintesi!$C$16),1,$C84))*(INDEX(_xlfn.ANCHORARRAY(Sintesi!$C$15),1,$C84)&lt;0)+($E84&gt;=$E83)*($E84&lt;=INDEX($E:$E,MATCH(TRUE,INDEX((ISNUMBER($E:$E)),0),0)))*($E84&gt;INDEX(_xlfn.ANCHORARRAY(Sintesi!$C$15),1,$C84))*($E84&lt;INDEX(_xlfn.ANCHORARRAY(Sintesi!$C$16),1,$C84))*(INDEX(_xlfn.ANCHORARRAY(Sintesi!$C$15),1,$C84)&gt;0),2,IF($E84=(INDEX(_xlfn.ANCHORARRAY(Sintesi!$C$16),1,$C84)),3,4)))),0),IF($C84&gt;0,IF(($E84=INDEX(_xlfn.ANCHORARRAY(Sintesi!$C$14),1,$C84))*(INDEX(_xlfn.ANCHORARRAY(Sintesi!$C$15),1,$C84)&gt;0),0,IF(($E84=INDEX(_xlfn.ANCHORARRAY(Sintesi!$C$14),1,$C84))*(INDEX(_xlfn.ANCHORARRAY(Sintesi!$C$15),1,$C84)&lt;0)+($E84&gt;=LOOKUP(2,1/($E:$E&lt;&gt;""),$E:$E))*($E84&lt;=INDEX($E:$E,MATCH(TRUE,INDEX((ISNUMBER($E:$E)),0),0)))*($E84&gt;INDEX(_xlfn.ANCHORARRAY(Sintesi!$C$14),1,$C84))*($E84&lt;=INDEX(_xlfn.ANCHORARRAY(Sintesi!$C$15),1,$C84))*(INDEX(_xlfn.ANCHORARRAY(Sintesi!$C$15),1,$C84)&gt;0),1,IF(($E84&gt;=LOOKUP(2,1/($E:$E&lt;&gt;""),$E:$E))*($E84&lt;=INDEX($E:$E,MATCH(TRUE,INDEX((ISNUMBER($E:$E)),0),0)))*($E84&gt;INDEX(_xlfn.ANCHORARRAY(Sintesi!$C$14),1,$C84))*($E84&lt;INDEX(_xlfn.ANCHORARRAY(Sintesi!$C$16),1,$C84))*(INDEX(_xlfn.ANCHORARRAY(Sintesi!$C$15),1,$C84)&lt;0)+($E84&gt;=LOOKUP(2,1/($E:$E&lt;&gt;""),$E:$E))*($E84&lt;=INDEX($E:$E,MATCH(TRUE,INDEX((ISNUMBER($E:$E)),0),0)))*($E84&gt;INDEX(_xlfn.ANCHORARRAY(Sintesi!$C$15),1,$C84))*($E84&lt;INDEX(_xlfn.ANCHORARRAY(Sintesi!$C$16),1,$C84))*(INDEX(_xlfn.ANCHORARRAY(Sintesi!$C$15),1,$C84)&gt;0),2,IF($E84=(INDEX(_xlfn.ANCHORARRAY(Sintesi!$C$16),1,$C84)),3,4)))),0)),IF(ISNUMBER($E83),IF($C84&gt;0,IF(($E84=INDEX(_xlfn.ANCHORARRAY(Sintesi!$C$14),1,$C84))*(INDEX(_xlfn.ANCHORARRAY(Sintesi!$C$15),1,$C84)&gt;0),0,IF(($E84=INDEX(_xlfn.ANCHORARRAY(Sintesi!$C$14),1,$C84))*(INDEX(_xlfn.ANCHORARRAY(Sintesi!$C$15),1,$C84)&lt;0)+($E84&gt;=$E83)*($E84&lt;=$E85)*($E84&gt;INDEX(_xlfn.ANCHORARRAY(Sintesi!$C$14),1,$C84))*($E84&lt;=INDEX(_xlfn.ANCHORARRAY(Sintesi!$C$15),1,$C84))*(INDEX(_xlfn.ANCHORARRAY(Sintesi!$C$15),1,$C84)&gt;0),1,IF(($E84&gt;=$E83)*($E84&lt;=$E85)*($E84&gt;INDEX(_xlfn.ANCHORARRAY(Sintesi!$C$14),1,$C84))*($E84&lt;INDEX(_xlfn.ANCHORARRAY(Sintesi!$C$16),1,$C84))*(INDEX(_xlfn.ANCHORARRAY(Sintesi!$C$15),1,$C84)&lt;0)+($E84&gt;=$E83)*($E84&lt;=$E85)*($E84&gt;INDEX(_xlfn.ANCHORARRAY(Sintesi!$C$15),1,$C84))*($E84&lt;INDEX(_xlfn.ANCHORARRAY(Sintesi!$C$16),1,$C84))*(INDEX(_xlfn.ANCHORARRAY(Sintesi!$C$15),1,$C84)&gt;0),2,IF($E84=(INDEX(_xlfn.ANCHORARRAY(Sintesi!$C$16),1,$C84)),3,4)))),0),IF($C84&gt;0,IF(($E84=INDEX(_xlfn.ANCHORARRAY(Sintesi!$C$14),1,$C84))*(INDEX(_xlfn.ANCHORARRAY(Sintesi!$C$15),1,$C84)&gt;0),0,IF(($E84=INDEX(_xlfn.ANCHORARRAY(Sintesi!$C$14),1,$C84))*(INDEX(_xlfn.ANCHORARRAY(Sintesi!$C$15),1,$C84)&lt;0)+($E84&gt;=LOOKUP(2,1/($E:$E&lt;&gt;""),$E:$E))*($E84&lt;=$E85)*($E84&gt;INDEX(_xlfn.ANCHORARRAY(Sintesi!$C$14),1,$C84))*($E84&lt;=INDEX(_xlfn.ANCHORARRAY(Sintesi!$C$15),1,$C84))*(INDEX(_xlfn.ANCHORARRAY(Sintesi!$C$15),1,$C84)&gt;0),1,IF(($E84&gt;=LOOKUP(2,1/($E:$E&lt;&gt;""),$E:$E))*($E84&lt;=$E85)*($E84&gt;INDEX(_xlfn.ANCHORARRAY(Sintesi!$C$14),1,$C84))*($E84&lt;INDEX(_xlfn.ANCHORARRAY(Sintesi!$C$16),1,$C84))*(INDEX(_xlfn.ANCHORARRAY(Sintesi!$C$15),1,$C84)&lt;0)+($E84&gt;=LOOKUP(2,1/($E:$E&lt;&gt;""),$E:$E))*($E84&lt;=$E85)*($E84&gt;INDEX(_xlfn.ANCHORARRAY(Sintesi!$C$15),1,$C84))*($E84&lt;INDEX(_xlfn.ANCHORARRAY(Sintesi!$C$16),1,$C84))*(INDEX(_xlfn.ANCHORARRAY(Sintesi!$C$15),1,$C84)&gt;0),2,IF($E84=(INDEX(_xlfn.ANCHORARRAY(Sintesi!$C$16),1,$C84)),3,4)))),0)))</f>
        <v>0</v>
      </c>
      <c r="E84" s="1">
        <f>'Paste cell here'!F84</f>
        <v>0</v>
      </c>
      <c r="F84" s="1">
        <f>'Paste cell here'!C84</f>
        <v>18.659999999999734</v>
      </c>
      <c r="G84" s="1">
        <f>'Paste cell here'!D84</f>
        <v>1.6799999999999942</v>
      </c>
      <c r="H84" s="1">
        <f>'Paste cell here'!E84</f>
        <v>2.5032888752656226</v>
      </c>
      <c r="I84" s="1">
        <f>'Paste cell here'!X84</f>
        <v>0</v>
      </c>
      <c r="J84" s="1">
        <f>'Paste cell here'!Y84+'Paste cell here'!S84</f>
        <v>0</v>
      </c>
      <c r="K84" s="1">
        <f t="shared" si="2"/>
        <v>0</v>
      </c>
      <c r="L84" s="1">
        <f t="shared" si="3"/>
        <v>13.451672524650169</v>
      </c>
      <c r="M84" s="1">
        <f t="array" ref="M84">IF(AND(A84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84&gt;=_xlfn.ANCHORARRAY(Sintesi!$C$9))+(_xlfn.ANCHORARRAY(Sintesi!$C$9)&gt;_xlfn.ANCHORARRAY(Sintesi!$C$10))*(A84&lt;=_xlfn.ANCHORARRAY(Sintesi!$C$10))+(_xlfn.ANCHORARRAY(Sintesi!$C$9)&lt;_xlfn.ANCHORARRAY(Sintesi!$C$10))*(A84&gt;=_xlfn.ANCHORARRAY(Sintesi!$C$9))*(A84&lt;=_xlfn.ANCHORARRAY(Sintesi!$C$10)),0)),0),A84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85&gt;=_xlfn.ANCHORARRAY(Sintesi!$C$9))+(_xlfn.ANCHORARRAY(Sintesi!$C$9)&gt;_xlfn.ANCHORARRAY(Sintesi!$C$10))*(A85&lt;=_xlfn.ANCHORARRAY(Sintesi!$C$10))+(_xlfn.ANCHORARRAY(Sintesi!$C$9)&lt;_xlfn.ANCHORARRAY(Sintesi!$C$10))*(A85&gt;=_xlfn.ANCHORARRAY(Sintesi!$C$9))*(A85&lt;=_xlfn.ANCHORARRAY(Sintesi!$C$10)),0)),0)),IF(L84&lt;_xlfn.IFNA(INDEX(_xlfn.ANCHORARRAY(Sintesi!$C$17),1,MATCH(1,(_xlfn.ANCHORARRAY(Sintesi!$C$9)&gt;_xlfn.ANCHORARRAY(Sintesi!$C$10))*(A83&gt;=_xlfn.ANCHORARRAY(Sintesi!$C$9))+(_xlfn.ANCHORARRAY(Sintesi!$C$9)&gt;_xlfn.ANCHORARRAY(Sintesi!$C$10))*(A83&lt;=_xlfn.ANCHORARRAY(Sintesi!$C$10))+(_xlfn.ANCHORARRAY(Sintesi!$C$9)&lt;_xlfn.ANCHORARRAY(Sintesi!$C$10))*(A83&gt;=_xlfn.ANCHORARRAY(Sintesi!$C$9))*(A83&lt;=_xlfn.ANCHORARRAY(Sintesi!$C$10)),0)),0),1,IF(L84&gt;=_xlfn.IFNA(INDEX(_xlfn.ANCHORARRAY(Sintesi!$C$18),1,MATCH(1,(_xlfn.ANCHORARRAY(Sintesi!$C$9)&gt;_xlfn.ANCHORARRAY(Sintesi!$C$10))*(A83&gt;=_xlfn.ANCHORARRAY(Sintesi!$C$9))+(_xlfn.ANCHORARRAY(Sintesi!$C$9)&gt;_xlfn.ANCHORARRAY(Sintesi!$C$10))*(A83&lt;=_xlfn.ANCHORARRAY(Sintesi!$C$10))+(_xlfn.ANCHORARRAY(Sintesi!$C$9)&lt;_xlfn.ANCHORARRAY(Sintesi!$C$10))*(A83&gt;=_xlfn.ANCHORARRAY(Sintesi!$C$9))*(A83&lt;=_xlfn.ANCHORARRAY(Sintesi!$C$10)),0)),0),0,1-(L84-_xlfn.IFNA(INDEX(_xlfn.ANCHORARRAY(Sintesi!$C$17),1,MATCH(1,(_xlfn.ANCHORARRAY(Sintesi!$C$9)&gt;_xlfn.ANCHORARRAY(Sintesi!$C$10))*(A83&gt;=_xlfn.ANCHORARRAY(Sintesi!$C$9))+(_xlfn.ANCHORARRAY(Sintesi!$C$9)&gt;_xlfn.ANCHORARRAY(Sintesi!$C$10))*(A83&lt;=_xlfn.ANCHORARRAY(Sintesi!$C$10))+(_xlfn.ANCHORARRAY(Sintesi!$C$9)&lt;_xlfn.ANCHORARRAY(Sintesi!$C$10))*(A83&gt;=_xlfn.ANCHORARRAY(Sintesi!$C$9))*(A83&lt;=_xlfn.ANCHORARRAY(Sintesi!$C$10)),0)),0))/(_xlfn.IFNA(INDEX(_xlfn.ANCHORARRAY(Sintesi!$C$18),1,MATCH(1,(_xlfn.ANCHORARRAY(Sintesi!$C$9)&gt;_xlfn.ANCHORARRAY(Sintesi!$C$10))*(A83&gt;=_xlfn.ANCHORARRAY(Sintesi!$C$9))+(_xlfn.ANCHORARRAY(Sintesi!$C$9)&gt;_xlfn.ANCHORARRAY(Sintesi!$C$10))*(A83&lt;=_xlfn.ANCHORARRAY(Sintesi!$C$10))+(_xlfn.ANCHORARRAY(Sintesi!$C$9)&lt;_xlfn.ANCHORARRAY(Sintesi!$C$10))*(A83&gt;=_xlfn.ANCHORARRAY(Sintesi!$C$9))*(A83&lt;=_xlfn.ANCHORARRAY(Sintesi!$C$10)),0)),0)-_xlfn.IFNA(INDEX(_xlfn.ANCHORARRAY(Sintesi!$C$17),1,MATCH(1,(_xlfn.ANCHORARRAY(Sintesi!$C$9)&gt;_xlfn.ANCHORARRAY(Sintesi!$C$10))*(A83&gt;=_xlfn.ANCHORARRAY(Sintesi!$C$9))+(_xlfn.ANCHORARRAY(Sintesi!$C$9)&gt;_xlfn.ANCHORARRAY(Sintesi!$C$10))*(A83&lt;=_xlfn.ANCHORARRAY(Sintesi!$C$10))+(_xlfn.ANCHORARRAY(Sintesi!$C$9)&lt;_xlfn.ANCHORARRAY(Sintesi!$C$10))*(A83&gt;=_xlfn.ANCHORARRAY(Sintesi!$C$9))*(A83&lt;=_xlfn.ANCHORARRAY(Sintesi!$C$10)),0)),0)))),0)</f>
        <v>0</v>
      </c>
    </row>
    <row r="85" spans="1:13">
      <c r="A85" s="1">
        <f>'Paste cell here'!A85</f>
        <v>84</v>
      </c>
      <c r="B85" s="2">
        <f>DATE(Sintesi!$C$4-1,12,31)+A85</f>
        <v>44280</v>
      </c>
      <c r="C85" s="34">
        <f t="array" ref="C85">_xlfn.IFNA(MATCH(1,((_xlfn.ANCHORARRAY(Sintesi!$C$9)&gt;_xlfn.ANCHORARRAY(Sintesi!$C$10))*(A85&gt;=_xlfn.ANCHORARRAY(Sintesi!$C$9))+(_xlfn.ANCHORARRAY(Sintesi!$C$9)&gt;_xlfn.ANCHORARRAY(Sintesi!$C$10))*(A85&lt;=_xlfn.ANCHORARRAY(Sintesi!$C$10))+(_xlfn.ANCHORARRAY(Sintesi!$C$9)&lt;_xlfn.ANCHORARRAY(Sintesi!$C$10))*(A85&gt;=_xlfn.ANCHORARRAY(Sintesi!$C$9))*(A85&lt;=_xlfn.ANCHORARRAY(Sintesi!$C$10)))*(_xlfn.ANCHORARRAY(Sintesi!$C$15)&gt;=0)+(_xlfn.ANCHORARRAY(Sintesi!$C$15)&lt;0),0),0)</f>
        <v>0</v>
      </c>
      <c r="D85" s="1">
        <f t="array" ref="D85">IF(ISBLANK($E86),IF(ISNUMBER($E84),IF($C85&gt;0,IF(($E85=INDEX(_xlfn.ANCHORARRAY(Sintesi!$C$14),1,$C85))*(INDEX(_xlfn.ANCHORARRAY(Sintesi!$C$15),1,$C85)&gt;0),0,IF(($E85=INDEX(_xlfn.ANCHORARRAY(Sintesi!$C$14),1,$C85))*(INDEX(_xlfn.ANCHORARRAY(Sintesi!$C$15),1,$C85)&lt;0)+($E85&gt;=$E84)*($E85&lt;=INDEX($E:$E,MATCH(TRUE,INDEX((ISNUMBER($E:$E)),0),0)))*($E85&gt;INDEX(_xlfn.ANCHORARRAY(Sintesi!$C$14),1,$C85))*($E85&lt;=INDEX(_xlfn.ANCHORARRAY(Sintesi!$C$15),1,$C85))*(INDEX(_xlfn.ANCHORARRAY(Sintesi!$C$15),1,$C85)&gt;0),1,IF(($E85&gt;=$E84)*($E85&lt;=INDEX($E:$E,MATCH(TRUE,INDEX((ISNUMBER($E:$E)),0),0)))*($E85&gt;INDEX(_xlfn.ANCHORARRAY(Sintesi!$C$14),1,$C85))*($E85&lt;INDEX(_xlfn.ANCHORARRAY(Sintesi!$C$16),1,$C85))*(INDEX(_xlfn.ANCHORARRAY(Sintesi!$C$15),1,$C85)&lt;0)+($E85&gt;=$E84)*($E85&lt;=INDEX($E:$E,MATCH(TRUE,INDEX((ISNUMBER($E:$E)),0),0)))*($E85&gt;INDEX(_xlfn.ANCHORARRAY(Sintesi!$C$15),1,$C85))*($E85&lt;INDEX(_xlfn.ANCHORARRAY(Sintesi!$C$16),1,$C85))*(INDEX(_xlfn.ANCHORARRAY(Sintesi!$C$15),1,$C85)&gt;0),2,IF($E85=(INDEX(_xlfn.ANCHORARRAY(Sintesi!$C$16),1,$C85)),3,4)))),0),IF($C85&gt;0,IF(($E85=INDEX(_xlfn.ANCHORARRAY(Sintesi!$C$14),1,$C85))*(INDEX(_xlfn.ANCHORARRAY(Sintesi!$C$15),1,$C85)&gt;0),0,IF(($E85=INDEX(_xlfn.ANCHORARRAY(Sintesi!$C$14),1,$C85))*(INDEX(_xlfn.ANCHORARRAY(Sintesi!$C$15),1,$C85)&lt;0)+($E85&gt;=LOOKUP(2,1/($E:$E&lt;&gt;""),$E:$E))*($E85&lt;=INDEX($E:$E,MATCH(TRUE,INDEX((ISNUMBER($E:$E)),0),0)))*($E85&gt;INDEX(_xlfn.ANCHORARRAY(Sintesi!$C$14),1,$C85))*($E85&lt;=INDEX(_xlfn.ANCHORARRAY(Sintesi!$C$15),1,$C85))*(INDEX(_xlfn.ANCHORARRAY(Sintesi!$C$15),1,$C85)&gt;0),1,IF(($E85&gt;=LOOKUP(2,1/($E:$E&lt;&gt;""),$E:$E))*($E85&lt;=INDEX($E:$E,MATCH(TRUE,INDEX((ISNUMBER($E:$E)),0),0)))*($E85&gt;INDEX(_xlfn.ANCHORARRAY(Sintesi!$C$14),1,$C85))*($E85&lt;INDEX(_xlfn.ANCHORARRAY(Sintesi!$C$16),1,$C85))*(INDEX(_xlfn.ANCHORARRAY(Sintesi!$C$15),1,$C85)&lt;0)+($E85&gt;=LOOKUP(2,1/($E:$E&lt;&gt;""),$E:$E))*($E85&lt;=INDEX($E:$E,MATCH(TRUE,INDEX((ISNUMBER($E:$E)),0),0)))*($E85&gt;INDEX(_xlfn.ANCHORARRAY(Sintesi!$C$15),1,$C85))*($E85&lt;INDEX(_xlfn.ANCHORARRAY(Sintesi!$C$16),1,$C85))*(INDEX(_xlfn.ANCHORARRAY(Sintesi!$C$15),1,$C85)&gt;0),2,IF($E85=(INDEX(_xlfn.ANCHORARRAY(Sintesi!$C$16),1,$C85)),3,4)))),0)),IF(ISNUMBER($E84),IF($C85&gt;0,IF(($E85=INDEX(_xlfn.ANCHORARRAY(Sintesi!$C$14),1,$C85))*(INDEX(_xlfn.ANCHORARRAY(Sintesi!$C$15),1,$C85)&gt;0),0,IF(($E85=INDEX(_xlfn.ANCHORARRAY(Sintesi!$C$14),1,$C85))*(INDEX(_xlfn.ANCHORARRAY(Sintesi!$C$15),1,$C85)&lt;0)+($E85&gt;=$E84)*($E85&lt;=$E86)*($E85&gt;INDEX(_xlfn.ANCHORARRAY(Sintesi!$C$14),1,$C85))*($E85&lt;=INDEX(_xlfn.ANCHORARRAY(Sintesi!$C$15),1,$C85))*(INDEX(_xlfn.ANCHORARRAY(Sintesi!$C$15),1,$C85)&gt;0),1,IF(($E85&gt;=$E84)*($E85&lt;=$E86)*($E85&gt;INDEX(_xlfn.ANCHORARRAY(Sintesi!$C$14),1,$C85))*($E85&lt;INDEX(_xlfn.ANCHORARRAY(Sintesi!$C$16),1,$C85))*(INDEX(_xlfn.ANCHORARRAY(Sintesi!$C$15),1,$C85)&lt;0)+($E85&gt;=$E84)*($E85&lt;=$E86)*($E85&gt;INDEX(_xlfn.ANCHORARRAY(Sintesi!$C$15),1,$C85))*($E85&lt;INDEX(_xlfn.ANCHORARRAY(Sintesi!$C$16),1,$C85))*(INDEX(_xlfn.ANCHORARRAY(Sintesi!$C$15),1,$C85)&gt;0),2,IF($E85=(INDEX(_xlfn.ANCHORARRAY(Sintesi!$C$16),1,$C85)),3,4)))),0),IF($C85&gt;0,IF(($E85=INDEX(_xlfn.ANCHORARRAY(Sintesi!$C$14),1,$C85))*(INDEX(_xlfn.ANCHORARRAY(Sintesi!$C$15),1,$C85)&gt;0),0,IF(($E85=INDEX(_xlfn.ANCHORARRAY(Sintesi!$C$14),1,$C85))*(INDEX(_xlfn.ANCHORARRAY(Sintesi!$C$15),1,$C85)&lt;0)+($E85&gt;=LOOKUP(2,1/($E:$E&lt;&gt;""),$E:$E))*($E85&lt;=$E86)*($E85&gt;INDEX(_xlfn.ANCHORARRAY(Sintesi!$C$14),1,$C85))*($E85&lt;=INDEX(_xlfn.ANCHORARRAY(Sintesi!$C$15),1,$C85))*(INDEX(_xlfn.ANCHORARRAY(Sintesi!$C$15),1,$C85)&gt;0),1,IF(($E85&gt;=LOOKUP(2,1/($E:$E&lt;&gt;""),$E:$E))*($E85&lt;=$E86)*($E85&gt;INDEX(_xlfn.ANCHORARRAY(Sintesi!$C$14),1,$C85))*($E85&lt;INDEX(_xlfn.ANCHORARRAY(Sintesi!$C$16),1,$C85))*(INDEX(_xlfn.ANCHORARRAY(Sintesi!$C$15),1,$C85)&lt;0)+($E85&gt;=LOOKUP(2,1/($E:$E&lt;&gt;""),$E:$E))*($E85&lt;=$E86)*($E85&gt;INDEX(_xlfn.ANCHORARRAY(Sintesi!$C$15),1,$C85))*($E85&lt;INDEX(_xlfn.ANCHORARRAY(Sintesi!$C$16),1,$C85))*(INDEX(_xlfn.ANCHORARRAY(Sintesi!$C$15),1,$C85)&gt;0),2,IF($E85=(INDEX(_xlfn.ANCHORARRAY(Sintesi!$C$16),1,$C85)),3,4)))),0)))</f>
        <v>0</v>
      </c>
      <c r="E85" s="1">
        <f>'Paste cell here'!F85</f>
        <v>0</v>
      </c>
      <c r="F85" s="1">
        <f>'Paste cell here'!C85</f>
        <v>19.439999999999721</v>
      </c>
      <c r="G85" s="1">
        <f>'Paste cell here'!D85</f>
        <v>3.7999999999999714</v>
      </c>
      <c r="H85" s="1">
        <f>'Paste cell here'!E85</f>
        <v>2.518138071863377</v>
      </c>
      <c r="I85" s="1">
        <f>'Paste cell here'!X85</f>
        <v>0</v>
      </c>
      <c r="J85" s="1">
        <f>'Paste cell here'!Y85+'Paste cell here'!S85</f>
        <v>0</v>
      </c>
      <c r="K85" s="1">
        <f t="shared" si="2"/>
        <v>0</v>
      </c>
      <c r="L85" s="1">
        <f t="shared" si="3"/>
        <v>14.642694834247825</v>
      </c>
      <c r="M85" s="1">
        <f t="array" ref="M85">IF(AND(A85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85&gt;=_xlfn.ANCHORARRAY(Sintesi!$C$9))+(_xlfn.ANCHORARRAY(Sintesi!$C$9)&gt;_xlfn.ANCHORARRAY(Sintesi!$C$10))*(A85&lt;=_xlfn.ANCHORARRAY(Sintesi!$C$10))+(_xlfn.ANCHORARRAY(Sintesi!$C$9)&lt;_xlfn.ANCHORARRAY(Sintesi!$C$10))*(A85&gt;=_xlfn.ANCHORARRAY(Sintesi!$C$9))*(A85&lt;=_xlfn.ANCHORARRAY(Sintesi!$C$10)),0)),0),A85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86&gt;=_xlfn.ANCHORARRAY(Sintesi!$C$9))+(_xlfn.ANCHORARRAY(Sintesi!$C$9)&gt;_xlfn.ANCHORARRAY(Sintesi!$C$10))*(A86&lt;=_xlfn.ANCHORARRAY(Sintesi!$C$10))+(_xlfn.ANCHORARRAY(Sintesi!$C$9)&lt;_xlfn.ANCHORARRAY(Sintesi!$C$10))*(A86&gt;=_xlfn.ANCHORARRAY(Sintesi!$C$9))*(A86&lt;=_xlfn.ANCHORARRAY(Sintesi!$C$10)),0)),0)),IF(L85&lt;_xlfn.IFNA(INDEX(_xlfn.ANCHORARRAY(Sintesi!$C$17),1,MATCH(1,(_xlfn.ANCHORARRAY(Sintesi!$C$9)&gt;_xlfn.ANCHORARRAY(Sintesi!$C$10))*(A84&gt;=_xlfn.ANCHORARRAY(Sintesi!$C$9))+(_xlfn.ANCHORARRAY(Sintesi!$C$9)&gt;_xlfn.ANCHORARRAY(Sintesi!$C$10))*(A84&lt;=_xlfn.ANCHORARRAY(Sintesi!$C$10))+(_xlfn.ANCHORARRAY(Sintesi!$C$9)&lt;_xlfn.ANCHORARRAY(Sintesi!$C$10))*(A84&gt;=_xlfn.ANCHORARRAY(Sintesi!$C$9))*(A84&lt;=_xlfn.ANCHORARRAY(Sintesi!$C$10)),0)),0),1,IF(L85&gt;=_xlfn.IFNA(INDEX(_xlfn.ANCHORARRAY(Sintesi!$C$18),1,MATCH(1,(_xlfn.ANCHORARRAY(Sintesi!$C$9)&gt;_xlfn.ANCHORARRAY(Sintesi!$C$10))*(A84&gt;=_xlfn.ANCHORARRAY(Sintesi!$C$9))+(_xlfn.ANCHORARRAY(Sintesi!$C$9)&gt;_xlfn.ANCHORARRAY(Sintesi!$C$10))*(A84&lt;=_xlfn.ANCHORARRAY(Sintesi!$C$10))+(_xlfn.ANCHORARRAY(Sintesi!$C$9)&lt;_xlfn.ANCHORARRAY(Sintesi!$C$10))*(A84&gt;=_xlfn.ANCHORARRAY(Sintesi!$C$9))*(A84&lt;=_xlfn.ANCHORARRAY(Sintesi!$C$10)),0)),0),0,1-(L85-_xlfn.IFNA(INDEX(_xlfn.ANCHORARRAY(Sintesi!$C$17),1,MATCH(1,(_xlfn.ANCHORARRAY(Sintesi!$C$9)&gt;_xlfn.ANCHORARRAY(Sintesi!$C$10))*(A84&gt;=_xlfn.ANCHORARRAY(Sintesi!$C$9))+(_xlfn.ANCHORARRAY(Sintesi!$C$9)&gt;_xlfn.ANCHORARRAY(Sintesi!$C$10))*(A84&lt;=_xlfn.ANCHORARRAY(Sintesi!$C$10))+(_xlfn.ANCHORARRAY(Sintesi!$C$9)&lt;_xlfn.ANCHORARRAY(Sintesi!$C$10))*(A84&gt;=_xlfn.ANCHORARRAY(Sintesi!$C$9))*(A84&lt;=_xlfn.ANCHORARRAY(Sintesi!$C$10)),0)),0))/(_xlfn.IFNA(INDEX(_xlfn.ANCHORARRAY(Sintesi!$C$18),1,MATCH(1,(_xlfn.ANCHORARRAY(Sintesi!$C$9)&gt;_xlfn.ANCHORARRAY(Sintesi!$C$10))*(A84&gt;=_xlfn.ANCHORARRAY(Sintesi!$C$9))+(_xlfn.ANCHORARRAY(Sintesi!$C$9)&gt;_xlfn.ANCHORARRAY(Sintesi!$C$10))*(A84&lt;=_xlfn.ANCHORARRAY(Sintesi!$C$10))+(_xlfn.ANCHORARRAY(Sintesi!$C$9)&lt;_xlfn.ANCHORARRAY(Sintesi!$C$10))*(A84&gt;=_xlfn.ANCHORARRAY(Sintesi!$C$9))*(A84&lt;=_xlfn.ANCHORARRAY(Sintesi!$C$10)),0)),0)-_xlfn.IFNA(INDEX(_xlfn.ANCHORARRAY(Sintesi!$C$17),1,MATCH(1,(_xlfn.ANCHORARRAY(Sintesi!$C$9)&gt;_xlfn.ANCHORARRAY(Sintesi!$C$10))*(A84&gt;=_xlfn.ANCHORARRAY(Sintesi!$C$9))+(_xlfn.ANCHORARRAY(Sintesi!$C$9)&gt;_xlfn.ANCHORARRAY(Sintesi!$C$10))*(A84&lt;=_xlfn.ANCHORARRAY(Sintesi!$C$10))+(_xlfn.ANCHORARRAY(Sintesi!$C$9)&lt;_xlfn.ANCHORARRAY(Sintesi!$C$10))*(A84&gt;=_xlfn.ANCHORARRAY(Sintesi!$C$9))*(A84&lt;=_xlfn.ANCHORARRAY(Sintesi!$C$10)),0)),0)))),0)</f>
        <v>0</v>
      </c>
    </row>
    <row r="86" spans="1:13">
      <c r="A86" s="1">
        <f>'Paste cell here'!A86</f>
        <v>85</v>
      </c>
      <c r="B86" s="2">
        <f>DATE(Sintesi!$C$4-1,12,31)+A86</f>
        <v>44281</v>
      </c>
      <c r="C86" s="34">
        <f t="array" ref="C86">_xlfn.IFNA(MATCH(1,((_xlfn.ANCHORARRAY(Sintesi!$C$9)&gt;_xlfn.ANCHORARRAY(Sintesi!$C$10))*(A86&gt;=_xlfn.ANCHORARRAY(Sintesi!$C$9))+(_xlfn.ANCHORARRAY(Sintesi!$C$9)&gt;_xlfn.ANCHORARRAY(Sintesi!$C$10))*(A86&lt;=_xlfn.ANCHORARRAY(Sintesi!$C$10))+(_xlfn.ANCHORARRAY(Sintesi!$C$9)&lt;_xlfn.ANCHORARRAY(Sintesi!$C$10))*(A86&gt;=_xlfn.ANCHORARRAY(Sintesi!$C$9))*(A86&lt;=_xlfn.ANCHORARRAY(Sintesi!$C$10)))*(_xlfn.ANCHORARRAY(Sintesi!$C$15)&gt;=0)+(_xlfn.ANCHORARRAY(Sintesi!$C$15)&lt;0),0),0)</f>
        <v>0</v>
      </c>
      <c r="D86" s="1">
        <f t="array" ref="D86">IF(ISBLANK($E87),IF(ISNUMBER($E85),IF($C86&gt;0,IF(($E86=INDEX(_xlfn.ANCHORARRAY(Sintesi!$C$14),1,$C86))*(INDEX(_xlfn.ANCHORARRAY(Sintesi!$C$15),1,$C86)&gt;0),0,IF(($E86=INDEX(_xlfn.ANCHORARRAY(Sintesi!$C$14),1,$C86))*(INDEX(_xlfn.ANCHORARRAY(Sintesi!$C$15),1,$C86)&lt;0)+($E86&gt;=$E85)*($E86&lt;=INDEX($E:$E,MATCH(TRUE,INDEX((ISNUMBER($E:$E)),0),0)))*($E86&gt;INDEX(_xlfn.ANCHORARRAY(Sintesi!$C$14),1,$C86))*($E86&lt;=INDEX(_xlfn.ANCHORARRAY(Sintesi!$C$15),1,$C86))*(INDEX(_xlfn.ANCHORARRAY(Sintesi!$C$15),1,$C86)&gt;0),1,IF(($E86&gt;=$E85)*($E86&lt;=INDEX($E:$E,MATCH(TRUE,INDEX((ISNUMBER($E:$E)),0),0)))*($E86&gt;INDEX(_xlfn.ANCHORARRAY(Sintesi!$C$14),1,$C86))*($E86&lt;INDEX(_xlfn.ANCHORARRAY(Sintesi!$C$16),1,$C86))*(INDEX(_xlfn.ANCHORARRAY(Sintesi!$C$15),1,$C86)&lt;0)+($E86&gt;=$E85)*($E86&lt;=INDEX($E:$E,MATCH(TRUE,INDEX((ISNUMBER($E:$E)),0),0)))*($E86&gt;INDEX(_xlfn.ANCHORARRAY(Sintesi!$C$15),1,$C86))*($E86&lt;INDEX(_xlfn.ANCHORARRAY(Sintesi!$C$16),1,$C86))*(INDEX(_xlfn.ANCHORARRAY(Sintesi!$C$15),1,$C86)&gt;0),2,IF($E86=(INDEX(_xlfn.ANCHORARRAY(Sintesi!$C$16),1,$C86)),3,4)))),0),IF($C86&gt;0,IF(($E86=INDEX(_xlfn.ANCHORARRAY(Sintesi!$C$14),1,$C86))*(INDEX(_xlfn.ANCHORARRAY(Sintesi!$C$15),1,$C86)&gt;0),0,IF(($E86=INDEX(_xlfn.ANCHORARRAY(Sintesi!$C$14),1,$C86))*(INDEX(_xlfn.ANCHORARRAY(Sintesi!$C$15),1,$C86)&lt;0)+($E86&gt;=LOOKUP(2,1/($E:$E&lt;&gt;""),$E:$E))*($E86&lt;=INDEX($E:$E,MATCH(TRUE,INDEX((ISNUMBER($E:$E)),0),0)))*($E86&gt;INDEX(_xlfn.ANCHORARRAY(Sintesi!$C$14),1,$C86))*($E86&lt;=INDEX(_xlfn.ANCHORARRAY(Sintesi!$C$15),1,$C86))*(INDEX(_xlfn.ANCHORARRAY(Sintesi!$C$15),1,$C86)&gt;0),1,IF(($E86&gt;=LOOKUP(2,1/($E:$E&lt;&gt;""),$E:$E))*($E86&lt;=INDEX($E:$E,MATCH(TRUE,INDEX((ISNUMBER($E:$E)),0),0)))*($E86&gt;INDEX(_xlfn.ANCHORARRAY(Sintesi!$C$14),1,$C86))*($E86&lt;INDEX(_xlfn.ANCHORARRAY(Sintesi!$C$16),1,$C86))*(INDEX(_xlfn.ANCHORARRAY(Sintesi!$C$15),1,$C86)&lt;0)+($E86&gt;=LOOKUP(2,1/($E:$E&lt;&gt;""),$E:$E))*($E86&lt;=INDEX($E:$E,MATCH(TRUE,INDEX((ISNUMBER($E:$E)),0),0)))*($E86&gt;INDEX(_xlfn.ANCHORARRAY(Sintesi!$C$15),1,$C86))*($E86&lt;INDEX(_xlfn.ANCHORARRAY(Sintesi!$C$16),1,$C86))*(INDEX(_xlfn.ANCHORARRAY(Sintesi!$C$15),1,$C86)&gt;0),2,IF($E86=(INDEX(_xlfn.ANCHORARRAY(Sintesi!$C$16),1,$C86)),3,4)))),0)),IF(ISNUMBER($E85),IF($C86&gt;0,IF(($E86=INDEX(_xlfn.ANCHORARRAY(Sintesi!$C$14),1,$C86))*(INDEX(_xlfn.ANCHORARRAY(Sintesi!$C$15),1,$C86)&gt;0),0,IF(($E86=INDEX(_xlfn.ANCHORARRAY(Sintesi!$C$14),1,$C86))*(INDEX(_xlfn.ANCHORARRAY(Sintesi!$C$15),1,$C86)&lt;0)+($E86&gt;=$E85)*($E86&lt;=$E87)*($E86&gt;INDEX(_xlfn.ANCHORARRAY(Sintesi!$C$14),1,$C86))*($E86&lt;=INDEX(_xlfn.ANCHORARRAY(Sintesi!$C$15),1,$C86))*(INDEX(_xlfn.ANCHORARRAY(Sintesi!$C$15),1,$C86)&gt;0),1,IF(($E86&gt;=$E85)*($E86&lt;=$E87)*($E86&gt;INDEX(_xlfn.ANCHORARRAY(Sintesi!$C$14),1,$C86))*($E86&lt;INDEX(_xlfn.ANCHORARRAY(Sintesi!$C$16),1,$C86))*(INDEX(_xlfn.ANCHORARRAY(Sintesi!$C$15),1,$C86)&lt;0)+($E86&gt;=$E85)*($E86&lt;=$E87)*($E86&gt;INDEX(_xlfn.ANCHORARRAY(Sintesi!$C$15),1,$C86))*($E86&lt;INDEX(_xlfn.ANCHORARRAY(Sintesi!$C$16),1,$C86))*(INDEX(_xlfn.ANCHORARRAY(Sintesi!$C$15),1,$C86)&gt;0),2,IF($E86=(INDEX(_xlfn.ANCHORARRAY(Sintesi!$C$16),1,$C86)),3,4)))),0),IF($C86&gt;0,IF(($E86=INDEX(_xlfn.ANCHORARRAY(Sintesi!$C$14),1,$C86))*(INDEX(_xlfn.ANCHORARRAY(Sintesi!$C$15),1,$C86)&gt;0),0,IF(($E86=INDEX(_xlfn.ANCHORARRAY(Sintesi!$C$14),1,$C86))*(INDEX(_xlfn.ANCHORARRAY(Sintesi!$C$15),1,$C86)&lt;0)+($E86&gt;=LOOKUP(2,1/($E:$E&lt;&gt;""),$E:$E))*($E86&lt;=$E87)*($E86&gt;INDEX(_xlfn.ANCHORARRAY(Sintesi!$C$14),1,$C86))*($E86&lt;=INDEX(_xlfn.ANCHORARRAY(Sintesi!$C$15),1,$C86))*(INDEX(_xlfn.ANCHORARRAY(Sintesi!$C$15),1,$C86)&gt;0),1,IF(($E86&gt;=LOOKUP(2,1/($E:$E&lt;&gt;""),$E:$E))*($E86&lt;=$E87)*($E86&gt;INDEX(_xlfn.ANCHORARRAY(Sintesi!$C$14),1,$C86))*($E86&lt;INDEX(_xlfn.ANCHORARRAY(Sintesi!$C$16),1,$C86))*(INDEX(_xlfn.ANCHORARRAY(Sintesi!$C$15),1,$C86)&lt;0)+($E86&gt;=LOOKUP(2,1/($E:$E&lt;&gt;""),$E:$E))*($E86&lt;=$E87)*($E86&gt;INDEX(_xlfn.ANCHORARRAY(Sintesi!$C$15),1,$C86))*($E86&lt;INDEX(_xlfn.ANCHORARRAY(Sintesi!$C$16),1,$C86))*(INDEX(_xlfn.ANCHORARRAY(Sintesi!$C$15),1,$C86)&gt;0),2,IF($E86=(INDEX(_xlfn.ANCHORARRAY(Sintesi!$C$16),1,$C86)),3,4)))),0)))</f>
        <v>0</v>
      </c>
      <c r="E86" s="1">
        <f>'Paste cell here'!F86</f>
        <v>0</v>
      </c>
      <c r="F86" s="1">
        <f>'Paste cell here'!C86</f>
        <v>19.239999999999718</v>
      </c>
      <c r="G86" s="1">
        <f>'Paste cell here'!D86</f>
        <v>5.1399999999999553</v>
      </c>
      <c r="H86" s="1">
        <f>'Paste cell here'!E86</f>
        <v>2.4432596103505113</v>
      </c>
      <c r="I86" s="1">
        <f>'Paste cell here'!X86</f>
        <v>0</v>
      </c>
      <c r="J86" s="1">
        <f>'Paste cell here'!Y86+'Paste cell here'!S86</f>
        <v>0</v>
      </c>
      <c r="K86" s="1">
        <f t="shared" si="2"/>
        <v>0</v>
      </c>
      <c r="L86" s="1">
        <f t="shared" si="3"/>
        <v>14.915063757218283</v>
      </c>
      <c r="M86" s="1">
        <f t="array" ref="M86">IF(AND(A86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86&gt;=_xlfn.ANCHORARRAY(Sintesi!$C$9))+(_xlfn.ANCHORARRAY(Sintesi!$C$9)&gt;_xlfn.ANCHORARRAY(Sintesi!$C$10))*(A86&lt;=_xlfn.ANCHORARRAY(Sintesi!$C$10))+(_xlfn.ANCHORARRAY(Sintesi!$C$9)&lt;_xlfn.ANCHORARRAY(Sintesi!$C$10))*(A86&gt;=_xlfn.ANCHORARRAY(Sintesi!$C$9))*(A86&lt;=_xlfn.ANCHORARRAY(Sintesi!$C$10)),0)),0),A86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87&gt;=_xlfn.ANCHORARRAY(Sintesi!$C$9))+(_xlfn.ANCHORARRAY(Sintesi!$C$9)&gt;_xlfn.ANCHORARRAY(Sintesi!$C$10))*(A87&lt;=_xlfn.ANCHORARRAY(Sintesi!$C$10))+(_xlfn.ANCHORARRAY(Sintesi!$C$9)&lt;_xlfn.ANCHORARRAY(Sintesi!$C$10))*(A87&gt;=_xlfn.ANCHORARRAY(Sintesi!$C$9))*(A87&lt;=_xlfn.ANCHORARRAY(Sintesi!$C$10)),0)),0)),IF(L86&lt;_xlfn.IFNA(INDEX(_xlfn.ANCHORARRAY(Sintesi!$C$17),1,MATCH(1,(_xlfn.ANCHORARRAY(Sintesi!$C$9)&gt;_xlfn.ANCHORARRAY(Sintesi!$C$10))*(A85&gt;=_xlfn.ANCHORARRAY(Sintesi!$C$9))+(_xlfn.ANCHORARRAY(Sintesi!$C$9)&gt;_xlfn.ANCHORARRAY(Sintesi!$C$10))*(A85&lt;=_xlfn.ANCHORARRAY(Sintesi!$C$10))+(_xlfn.ANCHORARRAY(Sintesi!$C$9)&lt;_xlfn.ANCHORARRAY(Sintesi!$C$10))*(A85&gt;=_xlfn.ANCHORARRAY(Sintesi!$C$9))*(A85&lt;=_xlfn.ANCHORARRAY(Sintesi!$C$10)),0)),0),1,IF(L86&gt;=_xlfn.IFNA(INDEX(_xlfn.ANCHORARRAY(Sintesi!$C$18),1,MATCH(1,(_xlfn.ANCHORARRAY(Sintesi!$C$9)&gt;_xlfn.ANCHORARRAY(Sintesi!$C$10))*(A85&gt;=_xlfn.ANCHORARRAY(Sintesi!$C$9))+(_xlfn.ANCHORARRAY(Sintesi!$C$9)&gt;_xlfn.ANCHORARRAY(Sintesi!$C$10))*(A85&lt;=_xlfn.ANCHORARRAY(Sintesi!$C$10))+(_xlfn.ANCHORARRAY(Sintesi!$C$9)&lt;_xlfn.ANCHORARRAY(Sintesi!$C$10))*(A85&gt;=_xlfn.ANCHORARRAY(Sintesi!$C$9))*(A85&lt;=_xlfn.ANCHORARRAY(Sintesi!$C$10)),0)),0),0,1-(L86-_xlfn.IFNA(INDEX(_xlfn.ANCHORARRAY(Sintesi!$C$17),1,MATCH(1,(_xlfn.ANCHORARRAY(Sintesi!$C$9)&gt;_xlfn.ANCHORARRAY(Sintesi!$C$10))*(A85&gt;=_xlfn.ANCHORARRAY(Sintesi!$C$9))+(_xlfn.ANCHORARRAY(Sintesi!$C$9)&gt;_xlfn.ANCHORARRAY(Sintesi!$C$10))*(A85&lt;=_xlfn.ANCHORARRAY(Sintesi!$C$10))+(_xlfn.ANCHORARRAY(Sintesi!$C$9)&lt;_xlfn.ANCHORARRAY(Sintesi!$C$10))*(A85&gt;=_xlfn.ANCHORARRAY(Sintesi!$C$9))*(A85&lt;=_xlfn.ANCHORARRAY(Sintesi!$C$10)),0)),0))/(_xlfn.IFNA(INDEX(_xlfn.ANCHORARRAY(Sintesi!$C$18),1,MATCH(1,(_xlfn.ANCHORARRAY(Sintesi!$C$9)&gt;_xlfn.ANCHORARRAY(Sintesi!$C$10))*(A85&gt;=_xlfn.ANCHORARRAY(Sintesi!$C$9))+(_xlfn.ANCHORARRAY(Sintesi!$C$9)&gt;_xlfn.ANCHORARRAY(Sintesi!$C$10))*(A85&lt;=_xlfn.ANCHORARRAY(Sintesi!$C$10))+(_xlfn.ANCHORARRAY(Sintesi!$C$9)&lt;_xlfn.ANCHORARRAY(Sintesi!$C$10))*(A85&gt;=_xlfn.ANCHORARRAY(Sintesi!$C$9))*(A85&lt;=_xlfn.ANCHORARRAY(Sintesi!$C$10)),0)),0)-_xlfn.IFNA(INDEX(_xlfn.ANCHORARRAY(Sintesi!$C$17),1,MATCH(1,(_xlfn.ANCHORARRAY(Sintesi!$C$9)&gt;_xlfn.ANCHORARRAY(Sintesi!$C$10))*(A85&gt;=_xlfn.ANCHORARRAY(Sintesi!$C$9))+(_xlfn.ANCHORARRAY(Sintesi!$C$9)&gt;_xlfn.ANCHORARRAY(Sintesi!$C$10))*(A85&lt;=_xlfn.ANCHORARRAY(Sintesi!$C$10))+(_xlfn.ANCHORARRAY(Sintesi!$C$9)&lt;_xlfn.ANCHORARRAY(Sintesi!$C$10))*(A85&gt;=_xlfn.ANCHORARRAY(Sintesi!$C$9))*(A85&lt;=_xlfn.ANCHORARRAY(Sintesi!$C$10)),0)),0)))),0)</f>
        <v>0</v>
      </c>
    </row>
    <row r="87" spans="1:13">
      <c r="A87" s="1">
        <f>'Paste cell here'!A87</f>
        <v>86</v>
      </c>
      <c r="B87" s="2">
        <f>DATE(Sintesi!$C$4-1,12,31)+A87</f>
        <v>44282</v>
      </c>
      <c r="C87" s="34">
        <f t="array" ref="C87">_xlfn.IFNA(MATCH(1,((_xlfn.ANCHORARRAY(Sintesi!$C$9)&gt;_xlfn.ANCHORARRAY(Sintesi!$C$10))*(A87&gt;=_xlfn.ANCHORARRAY(Sintesi!$C$9))+(_xlfn.ANCHORARRAY(Sintesi!$C$9)&gt;_xlfn.ANCHORARRAY(Sintesi!$C$10))*(A87&lt;=_xlfn.ANCHORARRAY(Sintesi!$C$10))+(_xlfn.ANCHORARRAY(Sintesi!$C$9)&lt;_xlfn.ANCHORARRAY(Sintesi!$C$10))*(A87&gt;=_xlfn.ANCHORARRAY(Sintesi!$C$9))*(A87&lt;=_xlfn.ANCHORARRAY(Sintesi!$C$10)))*(_xlfn.ANCHORARRAY(Sintesi!$C$15)&gt;=0)+(_xlfn.ANCHORARRAY(Sintesi!$C$15)&lt;0),0),0)</f>
        <v>0</v>
      </c>
      <c r="D87" s="1">
        <f t="array" ref="D87">IF(ISBLANK($E88),IF(ISNUMBER($E86),IF($C87&gt;0,IF(($E87=INDEX(_xlfn.ANCHORARRAY(Sintesi!$C$14),1,$C87))*(INDEX(_xlfn.ANCHORARRAY(Sintesi!$C$15),1,$C87)&gt;0),0,IF(($E87=INDEX(_xlfn.ANCHORARRAY(Sintesi!$C$14),1,$C87))*(INDEX(_xlfn.ANCHORARRAY(Sintesi!$C$15),1,$C87)&lt;0)+($E87&gt;=$E86)*($E87&lt;=INDEX($E:$E,MATCH(TRUE,INDEX((ISNUMBER($E:$E)),0),0)))*($E87&gt;INDEX(_xlfn.ANCHORARRAY(Sintesi!$C$14),1,$C87))*($E87&lt;=INDEX(_xlfn.ANCHORARRAY(Sintesi!$C$15),1,$C87))*(INDEX(_xlfn.ANCHORARRAY(Sintesi!$C$15),1,$C87)&gt;0),1,IF(($E87&gt;=$E86)*($E87&lt;=INDEX($E:$E,MATCH(TRUE,INDEX((ISNUMBER($E:$E)),0),0)))*($E87&gt;INDEX(_xlfn.ANCHORARRAY(Sintesi!$C$14),1,$C87))*($E87&lt;INDEX(_xlfn.ANCHORARRAY(Sintesi!$C$16),1,$C87))*(INDEX(_xlfn.ANCHORARRAY(Sintesi!$C$15),1,$C87)&lt;0)+($E87&gt;=$E86)*($E87&lt;=INDEX($E:$E,MATCH(TRUE,INDEX((ISNUMBER($E:$E)),0),0)))*($E87&gt;INDEX(_xlfn.ANCHORARRAY(Sintesi!$C$15),1,$C87))*($E87&lt;INDEX(_xlfn.ANCHORARRAY(Sintesi!$C$16),1,$C87))*(INDEX(_xlfn.ANCHORARRAY(Sintesi!$C$15),1,$C87)&gt;0),2,IF($E87=(INDEX(_xlfn.ANCHORARRAY(Sintesi!$C$16),1,$C87)),3,4)))),0),IF($C87&gt;0,IF(($E87=INDEX(_xlfn.ANCHORARRAY(Sintesi!$C$14),1,$C87))*(INDEX(_xlfn.ANCHORARRAY(Sintesi!$C$15),1,$C87)&gt;0),0,IF(($E87=INDEX(_xlfn.ANCHORARRAY(Sintesi!$C$14),1,$C87))*(INDEX(_xlfn.ANCHORARRAY(Sintesi!$C$15),1,$C87)&lt;0)+($E87&gt;=LOOKUP(2,1/($E:$E&lt;&gt;""),$E:$E))*($E87&lt;=INDEX($E:$E,MATCH(TRUE,INDEX((ISNUMBER($E:$E)),0),0)))*($E87&gt;INDEX(_xlfn.ANCHORARRAY(Sintesi!$C$14),1,$C87))*($E87&lt;=INDEX(_xlfn.ANCHORARRAY(Sintesi!$C$15),1,$C87))*(INDEX(_xlfn.ANCHORARRAY(Sintesi!$C$15),1,$C87)&gt;0),1,IF(($E87&gt;=LOOKUP(2,1/($E:$E&lt;&gt;""),$E:$E))*($E87&lt;=INDEX($E:$E,MATCH(TRUE,INDEX((ISNUMBER($E:$E)),0),0)))*($E87&gt;INDEX(_xlfn.ANCHORARRAY(Sintesi!$C$14),1,$C87))*($E87&lt;INDEX(_xlfn.ANCHORARRAY(Sintesi!$C$16),1,$C87))*(INDEX(_xlfn.ANCHORARRAY(Sintesi!$C$15),1,$C87)&lt;0)+($E87&gt;=LOOKUP(2,1/($E:$E&lt;&gt;""),$E:$E))*($E87&lt;=INDEX($E:$E,MATCH(TRUE,INDEX((ISNUMBER($E:$E)),0),0)))*($E87&gt;INDEX(_xlfn.ANCHORARRAY(Sintesi!$C$15),1,$C87))*($E87&lt;INDEX(_xlfn.ANCHORARRAY(Sintesi!$C$16),1,$C87))*(INDEX(_xlfn.ANCHORARRAY(Sintesi!$C$15),1,$C87)&gt;0),2,IF($E87=(INDEX(_xlfn.ANCHORARRAY(Sintesi!$C$16),1,$C87)),3,4)))),0)),IF(ISNUMBER($E86),IF($C87&gt;0,IF(($E87=INDEX(_xlfn.ANCHORARRAY(Sintesi!$C$14),1,$C87))*(INDEX(_xlfn.ANCHORARRAY(Sintesi!$C$15),1,$C87)&gt;0),0,IF(($E87=INDEX(_xlfn.ANCHORARRAY(Sintesi!$C$14),1,$C87))*(INDEX(_xlfn.ANCHORARRAY(Sintesi!$C$15),1,$C87)&lt;0)+($E87&gt;=$E86)*($E87&lt;=$E88)*($E87&gt;INDEX(_xlfn.ANCHORARRAY(Sintesi!$C$14),1,$C87))*($E87&lt;=INDEX(_xlfn.ANCHORARRAY(Sintesi!$C$15),1,$C87))*(INDEX(_xlfn.ANCHORARRAY(Sintesi!$C$15),1,$C87)&gt;0),1,IF(($E87&gt;=$E86)*($E87&lt;=$E88)*($E87&gt;INDEX(_xlfn.ANCHORARRAY(Sintesi!$C$14),1,$C87))*($E87&lt;INDEX(_xlfn.ANCHORARRAY(Sintesi!$C$16),1,$C87))*(INDEX(_xlfn.ANCHORARRAY(Sintesi!$C$15),1,$C87)&lt;0)+($E87&gt;=$E86)*($E87&lt;=$E88)*($E87&gt;INDEX(_xlfn.ANCHORARRAY(Sintesi!$C$15),1,$C87))*($E87&lt;INDEX(_xlfn.ANCHORARRAY(Sintesi!$C$16),1,$C87))*(INDEX(_xlfn.ANCHORARRAY(Sintesi!$C$15),1,$C87)&gt;0),2,IF($E87=(INDEX(_xlfn.ANCHORARRAY(Sintesi!$C$16),1,$C87)),3,4)))),0),IF($C87&gt;0,IF(($E87=INDEX(_xlfn.ANCHORARRAY(Sintesi!$C$14),1,$C87))*(INDEX(_xlfn.ANCHORARRAY(Sintesi!$C$15),1,$C87)&gt;0),0,IF(($E87=INDEX(_xlfn.ANCHORARRAY(Sintesi!$C$14),1,$C87))*(INDEX(_xlfn.ANCHORARRAY(Sintesi!$C$15),1,$C87)&lt;0)+($E87&gt;=LOOKUP(2,1/($E:$E&lt;&gt;""),$E:$E))*($E87&lt;=$E88)*($E87&gt;INDEX(_xlfn.ANCHORARRAY(Sintesi!$C$14),1,$C87))*($E87&lt;=INDEX(_xlfn.ANCHORARRAY(Sintesi!$C$15),1,$C87))*(INDEX(_xlfn.ANCHORARRAY(Sintesi!$C$15),1,$C87)&gt;0),1,IF(($E87&gt;=LOOKUP(2,1/($E:$E&lt;&gt;""),$E:$E))*($E87&lt;=$E88)*($E87&gt;INDEX(_xlfn.ANCHORARRAY(Sintesi!$C$14),1,$C87))*($E87&lt;INDEX(_xlfn.ANCHORARRAY(Sintesi!$C$16),1,$C87))*(INDEX(_xlfn.ANCHORARRAY(Sintesi!$C$15),1,$C87)&lt;0)+($E87&gt;=LOOKUP(2,1/($E:$E&lt;&gt;""),$E:$E))*($E87&lt;=$E88)*($E87&gt;INDEX(_xlfn.ANCHORARRAY(Sintesi!$C$15),1,$C87))*($E87&lt;INDEX(_xlfn.ANCHORARRAY(Sintesi!$C$16),1,$C87))*(INDEX(_xlfn.ANCHORARRAY(Sintesi!$C$15),1,$C87)&gt;0),2,IF($E87=(INDEX(_xlfn.ANCHORARRAY(Sintesi!$C$16),1,$C87)),3,4)))),0)))</f>
        <v>0</v>
      </c>
      <c r="E87" s="1">
        <f>'Paste cell here'!F87</f>
        <v>0</v>
      </c>
      <c r="F87" s="1">
        <f>'Paste cell here'!C87</f>
        <v>16.719999999999757</v>
      </c>
      <c r="G87" s="1">
        <f>'Paste cell here'!D87</f>
        <v>10.199999999999893</v>
      </c>
      <c r="H87" s="1">
        <f>'Paste cell here'!E87</f>
        <v>1.4881636722314306</v>
      </c>
      <c r="I87" s="1">
        <f>'Paste cell here'!X87</f>
        <v>0</v>
      </c>
      <c r="J87" s="1">
        <f>'Paste cell here'!Y87+'Paste cell here'!S87</f>
        <v>0</v>
      </c>
      <c r="K87" s="1">
        <f t="shared" si="2"/>
        <v>0</v>
      </c>
      <c r="L87" s="1">
        <f t="shared" si="3"/>
        <v>14.720100404046931</v>
      </c>
      <c r="M87" s="1">
        <f t="array" ref="M87">IF(AND(A87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87&gt;=_xlfn.ANCHORARRAY(Sintesi!$C$9))+(_xlfn.ANCHORARRAY(Sintesi!$C$9)&gt;_xlfn.ANCHORARRAY(Sintesi!$C$10))*(A87&lt;=_xlfn.ANCHORARRAY(Sintesi!$C$10))+(_xlfn.ANCHORARRAY(Sintesi!$C$9)&lt;_xlfn.ANCHORARRAY(Sintesi!$C$10))*(A87&gt;=_xlfn.ANCHORARRAY(Sintesi!$C$9))*(A87&lt;=_xlfn.ANCHORARRAY(Sintesi!$C$10)),0)),0),A87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88&gt;=_xlfn.ANCHORARRAY(Sintesi!$C$9))+(_xlfn.ANCHORARRAY(Sintesi!$C$9)&gt;_xlfn.ANCHORARRAY(Sintesi!$C$10))*(A88&lt;=_xlfn.ANCHORARRAY(Sintesi!$C$10))+(_xlfn.ANCHORARRAY(Sintesi!$C$9)&lt;_xlfn.ANCHORARRAY(Sintesi!$C$10))*(A88&gt;=_xlfn.ANCHORARRAY(Sintesi!$C$9))*(A88&lt;=_xlfn.ANCHORARRAY(Sintesi!$C$10)),0)),0)),IF(L87&lt;_xlfn.IFNA(INDEX(_xlfn.ANCHORARRAY(Sintesi!$C$17),1,MATCH(1,(_xlfn.ANCHORARRAY(Sintesi!$C$9)&gt;_xlfn.ANCHORARRAY(Sintesi!$C$10))*(A86&gt;=_xlfn.ANCHORARRAY(Sintesi!$C$9))+(_xlfn.ANCHORARRAY(Sintesi!$C$9)&gt;_xlfn.ANCHORARRAY(Sintesi!$C$10))*(A86&lt;=_xlfn.ANCHORARRAY(Sintesi!$C$10))+(_xlfn.ANCHORARRAY(Sintesi!$C$9)&lt;_xlfn.ANCHORARRAY(Sintesi!$C$10))*(A86&gt;=_xlfn.ANCHORARRAY(Sintesi!$C$9))*(A86&lt;=_xlfn.ANCHORARRAY(Sintesi!$C$10)),0)),0),1,IF(L87&gt;=_xlfn.IFNA(INDEX(_xlfn.ANCHORARRAY(Sintesi!$C$18),1,MATCH(1,(_xlfn.ANCHORARRAY(Sintesi!$C$9)&gt;_xlfn.ANCHORARRAY(Sintesi!$C$10))*(A86&gt;=_xlfn.ANCHORARRAY(Sintesi!$C$9))+(_xlfn.ANCHORARRAY(Sintesi!$C$9)&gt;_xlfn.ANCHORARRAY(Sintesi!$C$10))*(A86&lt;=_xlfn.ANCHORARRAY(Sintesi!$C$10))+(_xlfn.ANCHORARRAY(Sintesi!$C$9)&lt;_xlfn.ANCHORARRAY(Sintesi!$C$10))*(A86&gt;=_xlfn.ANCHORARRAY(Sintesi!$C$9))*(A86&lt;=_xlfn.ANCHORARRAY(Sintesi!$C$10)),0)),0),0,1-(L87-_xlfn.IFNA(INDEX(_xlfn.ANCHORARRAY(Sintesi!$C$17),1,MATCH(1,(_xlfn.ANCHORARRAY(Sintesi!$C$9)&gt;_xlfn.ANCHORARRAY(Sintesi!$C$10))*(A86&gt;=_xlfn.ANCHORARRAY(Sintesi!$C$9))+(_xlfn.ANCHORARRAY(Sintesi!$C$9)&gt;_xlfn.ANCHORARRAY(Sintesi!$C$10))*(A86&lt;=_xlfn.ANCHORARRAY(Sintesi!$C$10))+(_xlfn.ANCHORARRAY(Sintesi!$C$9)&lt;_xlfn.ANCHORARRAY(Sintesi!$C$10))*(A86&gt;=_xlfn.ANCHORARRAY(Sintesi!$C$9))*(A86&lt;=_xlfn.ANCHORARRAY(Sintesi!$C$10)),0)),0))/(_xlfn.IFNA(INDEX(_xlfn.ANCHORARRAY(Sintesi!$C$18),1,MATCH(1,(_xlfn.ANCHORARRAY(Sintesi!$C$9)&gt;_xlfn.ANCHORARRAY(Sintesi!$C$10))*(A86&gt;=_xlfn.ANCHORARRAY(Sintesi!$C$9))+(_xlfn.ANCHORARRAY(Sintesi!$C$9)&gt;_xlfn.ANCHORARRAY(Sintesi!$C$10))*(A86&lt;=_xlfn.ANCHORARRAY(Sintesi!$C$10))+(_xlfn.ANCHORARRAY(Sintesi!$C$9)&lt;_xlfn.ANCHORARRAY(Sintesi!$C$10))*(A86&gt;=_xlfn.ANCHORARRAY(Sintesi!$C$9))*(A86&lt;=_xlfn.ANCHORARRAY(Sintesi!$C$10)),0)),0)-_xlfn.IFNA(INDEX(_xlfn.ANCHORARRAY(Sintesi!$C$17),1,MATCH(1,(_xlfn.ANCHORARRAY(Sintesi!$C$9)&gt;_xlfn.ANCHORARRAY(Sintesi!$C$10))*(A86&gt;=_xlfn.ANCHORARRAY(Sintesi!$C$9))+(_xlfn.ANCHORARRAY(Sintesi!$C$9)&gt;_xlfn.ANCHORARRAY(Sintesi!$C$10))*(A86&lt;=_xlfn.ANCHORARRAY(Sintesi!$C$10))+(_xlfn.ANCHORARRAY(Sintesi!$C$9)&lt;_xlfn.ANCHORARRAY(Sintesi!$C$10))*(A86&gt;=_xlfn.ANCHORARRAY(Sintesi!$C$9))*(A86&lt;=_xlfn.ANCHORARRAY(Sintesi!$C$10)),0)),0)))),0)</f>
        <v>0</v>
      </c>
    </row>
    <row r="88" spans="1:13">
      <c r="A88" s="1">
        <f>'Paste cell here'!A88</f>
        <v>87</v>
      </c>
      <c r="B88" s="2">
        <f>DATE(Sintesi!$C$4-1,12,31)+A88</f>
        <v>44283</v>
      </c>
      <c r="C88" s="34">
        <f t="array" ref="C88">_xlfn.IFNA(MATCH(1,((_xlfn.ANCHORARRAY(Sintesi!$C$9)&gt;_xlfn.ANCHORARRAY(Sintesi!$C$10))*(A88&gt;=_xlfn.ANCHORARRAY(Sintesi!$C$9))+(_xlfn.ANCHORARRAY(Sintesi!$C$9)&gt;_xlfn.ANCHORARRAY(Sintesi!$C$10))*(A88&lt;=_xlfn.ANCHORARRAY(Sintesi!$C$10))+(_xlfn.ANCHORARRAY(Sintesi!$C$9)&lt;_xlfn.ANCHORARRAY(Sintesi!$C$10))*(A88&gt;=_xlfn.ANCHORARRAY(Sintesi!$C$9))*(A88&lt;=_xlfn.ANCHORARRAY(Sintesi!$C$10)))*(_xlfn.ANCHORARRAY(Sintesi!$C$15)&gt;=0)+(_xlfn.ANCHORARRAY(Sintesi!$C$15)&lt;0),0),0)</f>
        <v>0</v>
      </c>
      <c r="D88" s="1">
        <f t="array" ref="D88">IF(ISBLANK($E89),IF(ISNUMBER($E87),IF($C88&gt;0,IF(($E88=INDEX(_xlfn.ANCHORARRAY(Sintesi!$C$14),1,$C88))*(INDEX(_xlfn.ANCHORARRAY(Sintesi!$C$15),1,$C88)&gt;0),0,IF(($E88=INDEX(_xlfn.ANCHORARRAY(Sintesi!$C$14),1,$C88))*(INDEX(_xlfn.ANCHORARRAY(Sintesi!$C$15),1,$C88)&lt;0)+($E88&gt;=$E87)*($E88&lt;=INDEX($E:$E,MATCH(TRUE,INDEX((ISNUMBER($E:$E)),0),0)))*($E88&gt;INDEX(_xlfn.ANCHORARRAY(Sintesi!$C$14),1,$C88))*($E88&lt;=INDEX(_xlfn.ANCHORARRAY(Sintesi!$C$15),1,$C88))*(INDEX(_xlfn.ANCHORARRAY(Sintesi!$C$15),1,$C88)&gt;0),1,IF(($E88&gt;=$E87)*($E88&lt;=INDEX($E:$E,MATCH(TRUE,INDEX((ISNUMBER($E:$E)),0),0)))*($E88&gt;INDEX(_xlfn.ANCHORARRAY(Sintesi!$C$14),1,$C88))*($E88&lt;INDEX(_xlfn.ANCHORARRAY(Sintesi!$C$16),1,$C88))*(INDEX(_xlfn.ANCHORARRAY(Sintesi!$C$15),1,$C88)&lt;0)+($E88&gt;=$E87)*($E88&lt;=INDEX($E:$E,MATCH(TRUE,INDEX((ISNUMBER($E:$E)),0),0)))*($E88&gt;INDEX(_xlfn.ANCHORARRAY(Sintesi!$C$15),1,$C88))*($E88&lt;INDEX(_xlfn.ANCHORARRAY(Sintesi!$C$16),1,$C88))*(INDEX(_xlfn.ANCHORARRAY(Sintesi!$C$15),1,$C88)&gt;0),2,IF($E88=(INDEX(_xlfn.ANCHORARRAY(Sintesi!$C$16),1,$C88)),3,4)))),0),IF($C88&gt;0,IF(($E88=INDEX(_xlfn.ANCHORARRAY(Sintesi!$C$14),1,$C88))*(INDEX(_xlfn.ANCHORARRAY(Sintesi!$C$15),1,$C88)&gt;0),0,IF(($E88=INDEX(_xlfn.ANCHORARRAY(Sintesi!$C$14),1,$C88))*(INDEX(_xlfn.ANCHORARRAY(Sintesi!$C$15),1,$C88)&lt;0)+($E88&gt;=LOOKUP(2,1/($E:$E&lt;&gt;""),$E:$E))*($E88&lt;=INDEX($E:$E,MATCH(TRUE,INDEX((ISNUMBER($E:$E)),0),0)))*($E88&gt;INDEX(_xlfn.ANCHORARRAY(Sintesi!$C$14),1,$C88))*($E88&lt;=INDEX(_xlfn.ANCHORARRAY(Sintesi!$C$15),1,$C88))*(INDEX(_xlfn.ANCHORARRAY(Sintesi!$C$15),1,$C88)&gt;0),1,IF(($E88&gt;=LOOKUP(2,1/($E:$E&lt;&gt;""),$E:$E))*($E88&lt;=INDEX($E:$E,MATCH(TRUE,INDEX((ISNUMBER($E:$E)),0),0)))*($E88&gt;INDEX(_xlfn.ANCHORARRAY(Sintesi!$C$14),1,$C88))*($E88&lt;INDEX(_xlfn.ANCHORARRAY(Sintesi!$C$16),1,$C88))*(INDEX(_xlfn.ANCHORARRAY(Sintesi!$C$15),1,$C88)&lt;0)+($E88&gt;=LOOKUP(2,1/($E:$E&lt;&gt;""),$E:$E))*($E88&lt;=INDEX($E:$E,MATCH(TRUE,INDEX((ISNUMBER($E:$E)),0),0)))*($E88&gt;INDEX(_xlfn.ANCHORARRAY(Sintesi!$C$15),1,$C88))*($E88&lt;INDEX(_xlfn.ANCHORARRAY(Sintesi!$C$16),1,$C88))*(INDEX(_xlfn.ANCHORARRAY(Sintesi!$C$15),1,$C88)&gt;0),2,IF($E88=(INDEX(_xlfn.ANCHORARRAY(Sintesi!$C$16),1,$C88)),3,4)))),0)),IF(ISNUMBER($E87),IF($C88&gt;0,IF(($E88=INDEX(_xlfn.ANCHORARRAY(Sintesi!$C$14),1,$C88))*(INDEX(_xlfn.ANCHORARRAY(Sintesi!$C$15),1,$C88)&gt;0),0,IF(($E88=INDEX(_xlfn.ANCHORARRAY(Sintesi!$C$14),1,$C88))*(INDEX(_xlfn.ANCHORARRAY(Sintesi!$C$15),1,$C88)&lt;0)+($E88&gt;=$E87)*($E88&lt;=$E89)*($E88&gt;INDEX(_xlfn.ANCHORARRAY(Sintesi!$C$14),1,$C88))*($E88&lt;=INDEX(_xlfn.ANCHORARRAY(Sintesi!$C$15),1,$C88))*(INDEX(_xlfn.ANCHORARRAY(Sintesi!$C$15),1,$C88)&gt;0),1,IF(($E88&gt;=$E87)*($E88&lt;=$E89)*($E88&gt;INDEX(_xlfn.ANCHORARRAY(Sintesi!$C$14),1,$C88))*($E88&lt;INDEX(_xlfn.ANCHORARRAY(Sintesi!$C$16),1,$C88))*(INDEX(_xlfn.ANCHORARRAY(Sintesi!$C$15),1,$C88)&lt;0)+($E88&gt;=$E87)*($E88&lt;=$E89)*($E88&gt;INDEX(_xlfn.ANCHORARRAY(Sintesi!$C$15),1,$C88))*($E88&lt;INDEX(_xlfn.ANCHORARRAY(Sintesi!$C$16),1,$C88))*(INDEX(_xlfn.ANCHORARRAY(Sintesi!$C$15),1,$C88)&gt;0),2,IF($E88=(INDEX(_xlfn.ANCHORARRAY(Sintesi!$C$16),1,$C88)),3,4)))),0),IF($C88&gt;0,IF(($E88=INDEX(_xlfn.ANCHORARRAY(Sintesi!$C$14),1,$C88))*(INDEX(_xlfn.ANCHORARRAY(Sintesi!$C$15),1,$C88)&gt;0),0,IF(($E88=INDEX(_xlfn.ANCHORARRAY(Sintesi!$C$14),1,$C88))*(INDEX(_xlfn.ANCHORARRAY(Sintesi!$C$15),1,$C88)&lt;0)+($E88&gt;=LOOKUP(2,1/($E:$E&lt;&gt;""),$E:$E))*($E88&lt;=$E89)*($E88&gt;INDEX(_xlfn.ANCHORARRAY(Sintesi!$C$14),1,$C88))*($E88&lt;=INDEX(_xlfn.ANCHORARRAY(Sintesi!$C$15),1,$C88))*(INDEX(_xlfn.ANCHORARRAY(Sintesi!$C$15),1,$C88)&gt;0),1,IF(($E88&gt;=LOOKUP(2,1/($E:$E&lt;&gt;""),$E:$E))*($E88&lt;=$E89)*($E88&gt;INDEX(_xlfn.ANCHORARRAY(Sintesi!$C$14),1,$C88))*($E88&lt;INDEX(_xlfn.ANCHORARRAY(Sintesi!$C$16),1,$C88))*(INDEX(_xlfn.ANCHORARRAY(Sintesi!$C$15),1,$C88)&lt;0)+($E88&gt;=LOOKUP(2,1/($E:$E&lt;&gt;""),$E:$E))*($E88&lt;=$E89)*($E88&gt;INDEX(_xlfn.ANCHORARRAY(Sintesi!$C$15),1,$C88))*($E88&lt;INDEX(_xlfn.ANCHORARRAY(Sintesi!$C$16),1,$C88))*(INDEX(_xlfn.ANCHORARRAY(Sintesi!$C$15),1,$C88)&gt;0),2,IF($E88=(INDEX(_xlfn.ANCHORARRAY(Sintesi!$C$16),1,$C88)),3,4)))),0)))</f>
        <v>0</v>
      </c>
      <c r="E88" s="1">
        <f>'Paste cell here'!F88</f>
        <v>0</v>
      </c>
      <c r="F88" s="1">
        <f>'Paste cell here'!C88</f>
        <v>20.599999999999703</v>
      </c>
      <c r="G88" s="1">
        <f>'Paste cell here'!D88</f>
        <v>5.7999999999999226</v>
      </c>
      <c r="H88" s="1">
        <f>'Paste cell here'!E88</f>
        <v>2.4726428098011146</v>
      </c>
      <c r="I88" s="1">
        <f>'Paste cell here'!X88</f>
        <v>0</v>
      </c>
      <c r="J88" s="1">
        <f>'Paste cell here'!Y88+'Paste cell here'!S88</f>
        <v>0</v>
      </c>
      <c r="K88" s="1">
        <f t="shared" si="2"/>
        <v>0</v>
      </c>
      <c r="L88" s="1">
        <f t="shared" si="3"/>
        <v>16.060350610413508</v>
      </c>
      <c r="M88" s="1">
        <f t="array" ref="M88">IF(AND(A88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88&gt;=_xlfn.ANCHORARRAY(Sintesi!$C$9))+(_xlfn.ANCHORARRAY(Sintesi!$C$9)&gt;_xlfn.ANCHORARRAY(Sintesi!$C$10))*(A88&lt;=_xlfn.ANCHORARRAY(Sintesi!$C$10))+(_xlfn.ANCHORARRAY(Sintesi!$C$9)&lt;_xlfn.ANCHORARRAY(Sintesi!$C$10))*(A88&gt;=_xlfn.ANCHORARRAY(Sintesi!$C$9))*(A88&lt;=_xlfn.ANCHORARRAY(Sintesi!$C$10)),0)),0),A88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89&gt;=_xlfn.ANCHORARRAY(Sintesi!$C$9))+(_xlfn.ANCHORARRAY(Sintesi!$C$9)&gt;_xlfn.ANCHORARRAY(Sintesi!$C$10))*(A89&lt;=_xlfn.ANCHORARRAY(Sintesi!$C$10))+(_xlfn.ANCHORARRAY(Sintesi!$C$9)&lt;_xlfn.ANCHORARRAY(Sintesi!$C$10))*(A89&gt;=_xlfn.ANCHORARRAY(Sintesi!$C$9))*(A89&lt;=_xlfn.ANCHORARRAY(Sintesi!$C$10)),0)),0)),IF(L88&lt;_xlfn.IFNA(INDEX(_xlfn.ANCHORARRAY(Sintesi!$C$17),1,MATCH(1,(_xlfn.ANCHORARRAY(Sintesi!$C$9)&gt;_xlfn.ANCHORARRAY(Sintesi!$C$10))*(A87&gt;=_xlfn.ANCHORARRAY(Sintesi!$C$9))+(_xlfn.ANCHORARRAY(Sintesi!$C$9)&gt;_xlfn.ANCHORARRAY(Sintesi!$C$10))*(A87&lt;=_xlfn.ANCHORARRAY(Sintesi!$C$10))+(_xlfn.ANCHORARRAY(Sintesi!$C$9)&lt;_xlfn.ANCHORARRAY(Sintesi!$C$10))*(A87&gt;=_xlfn.ANCHORARRAY(Sintesi!$C$9))*(A87&lt;=_xlfn.ANCHORARRAY(Sintesi!$C$10)),0)),0),1,IF(L88&gt;=_xlfn.IFNA(INDEX(_xlfn.ANCHORARRAY(Sintesi!$C$18),1,MATCH(1,(_xlfn.ANCHORARRAY(Sintesi!$C$9)&gt;_xlfn.ANCHORARRAY(Sintesi!$C$10))*(A87&gt;=_xlfn.ANCHORARRAY(Sintesi!$C$9))+(_xlfn.ANCHORARRAY(Sintesi!$C$9)&gt;_xlfn.ANCHORARRAY(Sintesi!$C$10))*(A87&lt;=_xlfn.ANCHORARRAY(Sintesi!$C$10))+(_xlfn.ANCHORARRAY(Sintesi!$C$9)&lt;_xlfn.ANCHORARRAY(Sintesi!$C$10))*(A87&gt;=_xlfn.ANCHORARRAY(Sintesi!$C$9))*(A87&lt;=_xlfn.ANCHORARRAY(Sintesi!$C$10)),0)),0),0,1-(L88-_xlfn.IFNA(INDEX(_xlfn.ANCHORARRAY(Sintesi!$C$17),1,MATCH(1,(_xlfn.ANCHORARRAY(Sintesi!$C$9)&gt;_xlfn.ANCHORARRAY(Sintesi!$C$10))*(A87&gt;=_xlfn.ANCHORARRAY(Sintesi!$C$9))+(_xlfn.ANCHORARRAY(Sintesi!$C$9)&gt;_xlfn.ANCHORARRAY(Sintesi!$C$10))*(A87&lt;=_xlfn.ANCHORARRAY(Sintesi!$C$10))+(_xlfn.ANCHORARRAY(Sintesi!$C$9)&lt;_xlfn.ANCHORARRAY(Sintesi!$C$10))*(A87&gt;=_xlfn.ANCHORARRAY(Sintesi!$C$9))*(A87&lt;=_xlfn.ANCHORARRAY(Sintesi!$C$10)),0)),0))/(_xlfn.IFNA(INDEX(_xlfn.ANCHORARRAY(Sintesi!$C$18),1,MATCH(1,(_xlfn.ANCHORARRAY(Sintesi!$C$9)&gt;_xlfn.ANCHORARRAY(Sintesi!$C$10))*(A87&gt;=_xlfn.ANCHORARRAY(Sintesi!$C$9))+(_xlfn.ANCHORARRAY(Sintesi!$C$9)&gt;_xlfn.ANCHORARRAY(Sintesi!$C$10))*(A87&lt;=_xlfn.ANCHORARRAY(Sintesi!$C$10))+(_xlfn.ANCHORARRAY(Sintesi!$C$9)&lt;_xlfn.ANCHORARRAY(Sintesi!$C$10))*(A87&gt;=_xlfn.ANCHORARRAY(Sintesi!$C$9))*(A87&lt;=_xlfn.ANCHORARRAY(Sintesi!$C$10)),0)),0)-_xlfn.IFNA(INDEX(_xlfn.ANCHORARRAY(Sintesi!$C$17),1,MATCH(1,(_xlfn.ANCHORARRAY(Sintesi!$C$9)&gt;_xlfn.ANCHORARRAY(Sintesi!$C$10))*(A87&gt;=_xlfn.ANCHORARRAY(Sintesi!$C$9))+(_xlfn.ANCHORARRAY(Sintesi!$C$9)&gt;_xlfn.ANCHORARRAY(Sintesi!$C$10))*(A87&lt;=_xlfn.ANCHORARRAY(Sintesi!$C$10))+(_xlfn.ANCHORARRAY(Sintesi!$C$9)&lt;_xlfn.ANCHORARRAY(Sintesi!$C$10))*(A87&gt;=_xlfn.ANCHORARRAY(Sintesi!$C$9))*(A87&lt;=_xlfn.ANCHORARRAY(Sintesi!$C$10)),0)),0)))),0)</f>
        <v>0</v>
      </c>
    </row>
    <row r="89" spans="1:13">
      <c r="A89" s="1">
        <f>'Paste cell here'!A89</f>
        <v>88</v>
      </c>
      <c r="B89" s="2">
        <f>DATE(Sintesi!$C$4-1,12,31)+A89</f>
        <v>44284</v>
      </c>
      <c r="C89" s="34">
        <f t="array" ref="C89">_xlfn.IFNA(MATCH(1,((_xlfn.ANCHORARRAY(Sintesi!$C$9)&gt;_xlfn.ANCHORARRAY(Sintesi!$C$10))*(A89&gt;=_xlfn.ANCHORARRAY(Sintesi!$C$9))+(_xlfn.ANCHORARRAY(Sintesi!$C$9)&gt;_xlfn.ANCHORARRAY(Sintesi!$C$10))*(A89&lt;=_xlfn.ANCHORARRAY(Sintesi!$C$10))+(_xlfn.ANCHORARRAY(Sintesi!$C$9)&lt;_xlfn.ANCHORARRAY(Sintesi!$C$10))*(A89&gt;=_xlfn.ANCHORARRAY(Sintesi!$C$9))*(A89&lt;=_xlfn.ANCHORARRAY(Sintesi!$C$10)))*(_xlfn.ANCHORARRAY(Sintesi!$C$15)&gt;=0)+(_xlfn.ANCHORARRAY(Sintesi!$C$15)&lt;0),0),0)</f>
        <v>0</v>
      </c>
      <c r="D89" s="1">
        <f t="array" ref="D89">IF(ISBLANK($E90),IF(ISNUMBER($E88),IF($C89&gt;0,IF(($E89=INDEX(_xlfn.ANCHORARRAY(Sintesi!$C$14),1,$C89))*(INDEX(_xlfn.ANCHORARRAY(Sintesi!$C$15),1,$C89)&gt;0),0,IF(($E89=INDEX(_xlfn.ANCHORARRAY(Sintesi!$C$14),1,$C89))*(INDEX(_xlfn.ANCHORARRAY(Sintesi!$C$15),1,$C89)&lt;0)+($E89&gt;=$E88)*($E89&lt;=INDEX($E:$E,MATCH(TRUE,INDEX((ISNUMBER($E:$E)),0),0)))*($E89&gt;INDEX(_xlfn.ANCHORARRAY(Sintesi!$C$14),1,$C89))*($E89&lt;=INDEX(_xlfn.ANCHORARRAY(Sintesi!$C$15),1,$C89))*(INDEX(_xlfn.ANCHORARRAY(Sintesi!$C$15),1,$C89)&gt;0),1,IF(($E89&gt;=$E88)*($E89&lt;=INDEX($E:$E,MATCH(TRUE,INDEX((ISNUMBER($E:$E)),0),0)))*($E89&gt;INDEX(_xlfn.ANCHORARRAY(Sintesi!$C$14),1,$C89))*($E89&lt;INDEX(_xlfn.ANCHORARRAY(Sintesi!$C$16),1,$C89))*(INDEX(_xlfn.ANCHORARRAY(Sintesi!$C$15),1,$C89)&lt;0)+($E89&gt;=$E88)*($E89&lt;=INDEX($E:$E,MATCH(TRUE,INDEX((ISNUMBER($E:$E)),0),0)))*($E89&gt;INDEX(_xlfn.ANCHORARRAY(Sintesi!$C$15),1,$C89))*($E89&lt;INDEX(_xlfn.ANCHORARRAY(Sintesi!$C$16),1,$C89))*(INDEX(_xlfn.ANCHORARRAY(Sintesi!$C$15),1,$C89)&gt;0),2,IF($E89=(INDEX(_xlfn.ANCHORARRAY(Sintesi!$C$16),1,$C89)),3,4)))),0),IF($C89&gt;0,IF(($E89=INDEX(_xlfn.ANCHORARRAY(Sintesi!$C$14),1,$C89))*(INDEX(_xlfn.ANCHORARRAY(Sintesi!$C$15),1,$C89)&gt;0),0,IF(($E89=INDEX(_xlfn.ANCHORARRAY(Sintesi!$C$14),1,$C89))*(INDEX(_xlfn.ANCHORARRAY(Sintesi!$C$15),1,$C89)&lt;0)+($E89&gt;=LOOKUP(2,1/($E:$E&lt;&gt;""),$E:$E))*($E89&lt;=INDEX($E:$E,MATCH(TRUE,INDEX((ISNUMBER($E:$E)),0),0)))*($E89&gt;INDEX(_xlfn.ANCHORARRAY(Sintesi!$C$14),1,$C89))*($E89&lt;=INDEX(_xlfn.ANCHORARRAY(Sintesi!$C$15),1,$C89))*(INDEX(_xlfn.ANCHORARRAY(Sintesi!$C$15),1,$C89)&gt;0),1,IF(($E89&gt;=LOOKUP(2,1/($E:$E&lt;&gt;""),$E:$E))*($E89&lt;=INDEX($E:$E,MATCH(TRUE,INDEX((ISNUMBER($E:$E)),0),0)))*($E89&gt;INDEX(_xlfn.ANCHORARRAY(Sintesi!$C$14),1,$C89))*($E89&lt;INDEX(_xlfn.ANCHORARRAY(Sintesi!$C$16),1,$C89))*(INDEX(_xlfn.ANCHORARRAY(Sintesi!$C$15),1,$C89)&lt;0)+($E89&gt;=LOOKUP(2,1/($E:$E&lt;&gt;""),$E:$E))*($E89&lt;=INDEX($E:$E,MATCH(TRUE,INDEX((ISNUMBER($E:$E)),0),0)))*($E89&gt;INDEX(_xlfn.ANCHORARRAY(Sintesi!$C$15),1,$C89))*($E89&lt;INDEX(_xlfn.ANCHORARRAY(Sintesi!$C$16),1,$C89))*(INDEX(_xlfn.ANCHORARRAY(Sintesi!$C$15),1,$C89)&gt;0),2,IF($E89=(INDEX(_xlfn.ANCHORARRAY(Sintesi!$C$16),1,$C89)),3,4)))),0)),IF(ISNUMBER($E88),IF($C89&gt;0,IF(($E89=INDEX(_xlfn.ANCHORARRAY(Sintesi!$C$14),1,$C89))*(INDEX(_xlfn.ANCHORARRAY(Sintesi!$C$15),1,$C89)&gt;0),0,IF(($E89=INDEX(_xlfn.ANCHORARRAY(Sintesi!$C$14),1,$C89))*(INDEX(_xlfn.ANCHORARRAY(Sintesi!$C$15),1,$C89)&lt;0)+($E89&gt;=$E88)*($E89&lt;=$E90)*($E89&gt;INDEX(_xlfn.ANCHORARRAY(Sintesi!$C$14),1,$C89))*($E89&lt;=INDEX(_xlfn.ANCHORARRAY(Sintesi!$C$15),1,$C89))*(INDEX(_xlfn.ANCHORARRAY(Sintesi!$C$15),1,$C89)&gt;0),1,IF(($E89&gt;=$E88)*($E89&lt;=$E90)*($E89&gt;INDEX(_xlfn.ANCHORARRAY(Sintesi!$C$14),1,$C89))*($E89&lt;INDEX(_xlfn.ANCHORARRAY(Sintesi!$C$16),1,$C89))*(INDEX(_xlfn.ANCHORARRAY(Sintesi!$C$15),1,$C89)&lt;0)+($E89&gt;=$E88)*($E89&lt;=$E90)*($E89&gt;INDEX(_xlfn.ANCHORARRAY(Sintesi!$C$15),1,$C89))*($E89&lt;INDEX(_xlfn.ANCHORARRAY(Sintesi!$C$16),1,$C89))*(INDEX(_xlfn.ANCHORARRAY(Sintesi!$C$15),1,$C89)&gt;0),2,IF($E89=(INDEX(_xlfn.ANCHORARRAY(Sintesi!$C$16),1,$C89)),3,4)))),0),IF($C89&gt;0,IF(($E89=INDEX(_xlfn.ANCHORARRAY(Sintesi!$C$14),1,$C89))*(INDEX(_xlfn.ANCHORARRAY(Sintesi!$C$15),1,$C89)&gt;0),0,IF(($E89=INDEX(_xlfn.ANCHORARRAY(Sintesi!$C$14),1,$C89))*(INDEX(_xlfn.ANCHORARRAY(Sintesi!$C$15),1,$C89)&lt;0)+($E89&gt;=LOOKUP(2,1/($E:$E&lt;&gt;""),$E:$E))*($E89&lt;=$E90)*($E89&gt;INDEX(_xlfn.ANCHORARRAY(Sintesi!$C$14),1,$C89))*($E89&lt;=INDEX(_xlfn.ANCHORARRAY(Sintesi!$C$15),1,$C89))*(INDEX(_xlfn.ANCHORARRAY(Sintesi!$C$15),1,$C89)&gt;0),1,IF(($E89&gt;=LOOKUP(2,1/($E:$E&lt;&gt;""),$E:$E))*($E89&lt;=$E90)*($E89&gt;INDEX(_xlfn.ANCHORARRAY(Sintesi!$C$14),1,$C89))*($E89&lt;INDEX(_xlfn.ANCHORARRAY(Sintesi!$C$16),1,$C89))*(INDEX(_xlfn.ANCHORARRAY(Sintesi!$C$15),1,$C89)&lt;0)+($E89&gt;=LOOKUP(2,1/($E:$E&lt;&gt;""),$E:$E))*($E89&lt;=$E90)*($E89&gt;INDEX(_xlfn.ANCHORARRAY(Sintesi!$C$15),1,$C89))*($E89&lt;INDEX(_xlfn.ANCHORARRAY(Sintesi!$C$16),1,$C89))*(INDEX(_xlfn.ANCHORARRAY(Sintesi!$C$15),1,$C89)&gt;0),2,IF($E89=(INDEX(_xlfn.ANCHORARRAY(Sintesi!$C$16),1,$C89)),3,4)))),0)))</f>
        <v>0</v>
      </c>
      <c r="E89" s="1">
        <f>'Paste cell here'!F89</f>
        <v>0</v>
      </c>
      <c r="F89" s="1">
        <f>'Paste cell here'!C89</f>
        <v>23.059999999999661</v>
      </c>
      <c r="G89" s="1">
        <f>'Paste cell here'!D89</f>
        <v>6.6999999999999353</v>
      </c>
      <c r="H89" s="1">
        <f>'Paste cell here'!E89</f>
        <v>2.865324657388256</v>
      </c>
      <c r="I89" s="1">
        <f>'Paste cell here'!X89</f>
        <v>0</v>
      </c>
      <c r="J89" s="1">
        <f>'Paste cell here'!Y89+'Paste cell here'!S89</f>
        <v>0</v>
      </c>
      <c r="K89" s="1">
        <f t="shared" si="2"/>
        <v>0</v>
      </c>
      <c r="L89" s="1">
        <f t="shared" si="3"/>
        <v>18.041847026105739</v>
      </c>
      <c r="M89" s="1">
        <f t="array" ref="M89">IF(AND(A89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89&gt;=_xlfn.ANCHORARRAY(Sintesi!$C$9))+(_xlfn.ANCHORARRAY(Sintesi!$C$9)&gt;_xlfn.ANCHORARRAY(Sintesi!$C$10))*(A89&lt;=_xlfn.ANCHORARRAY(Sintesi!$C$10))+(_xlfn.ANCHORARRAY(Sintesi!$C$9)&lt;_xlfn.ANCHORARRAY(Sintesi!$C$10))*(A89&gt;=_xlfn.ANCHORARRAY(Sintesi!$C$9))*(A89&lt;=_xlfn.ANCHORARRAY(Sintesi!$C$10)),0)),0),A89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90&gt;=_xlfn.ANCHORARRAY(Sintesi!$C$9))+(_xlfn.ANCHORARRAY(Sintesi!$C$9)&gt;_xlfn.ANCHORARRAY(Sintesi!$C$10))*(A90&lt;=_xlfn.ANCHORARRAY(Sintesi!$C$10))+(_xlfn.ANCHORARRAY(Sintesi!$C$9)&lt;_xlfn.ANCHORARRAY(Sintesi!$C$10))*(A90&gt;=_xlfn.ANCHORARRAY(Sintesi!$C$9))*(A90&lt;=_xlfn.ANCHORARRAY(Sintesi!$C$10)),0)),0)),IF(L89&lt;_xlfn.IFNA(INDEX(_xlfn.ANCHORARRAY(Sintesi!$C$17),1,MATCH(1,(_xlfn.ANCHORARRAY(Sintesi!$C$9)&gt;_xlfn.ANCHORARRAY(Sintesi!$C$10))*(A88&gt;=_xlfn.ANCHORARRAY(Sintesi!$C$9))+(_xlfn.ANCHORARRAY(Sintesi!$C$9)&gt;_xlfn.ANCHORARRAY(Sintesi!$C$10))*(A88&lt;=_xlfn.ANCHORARRAY(Sintesi!$C$10))+(_xlfn.ANCHORARRAY(Sintesi!$C$9)&lt;_xlfn.ANCHORARRAY(Sintesi!$C$10))*(A88&gt;=_xlfn.ANCHORARRAY(Sintesi!$C$9))*(A88&lt;=_xlfn.ANCHORARRAY(Sintesi!$C$10)),0)),0),1,IF(L89&gt;=_xlfn.IFNA(INDEX(_xlfn.ANCHORARRAY(Sintesi!$C$18),1,MATCH(1,(_xlfn.ANCHORARRAY(Sintesi!$C$9)&gt;_xlfn.ANCHORARRAY(Sintesi!$C$10))*(A88&gt;=_xlfn.ANCHORARRAY(Sintesi!$C$9))+(_xlfn.ANCHORARRAY(Sintesi!$C$9)&gt;_xlfn.ANCHORARRAY(Sintesi!$C$10))*(A88&lt;=_xlfn.ANCHORARRAY(Sintesi!$C$10))+(_xlfn.ANCHORARRAY(Sintesi!$C$9)&lt;_xlfn.ANCHORARRAY(Sintesi!$C$10))*(A88&gt;=_xlfn.ANCHORARRAY(Sintesi!$C$9))*(A88&lt;=_xlfn.ANCHORARRAY(Sintesi!$C$10)),0)),0),0,1-(L89-_xlfn.IFNA(INDEX(_xlfn.ANCHORARRAY(Sintesi!$C$17),1,MATCH(1,(_xlfn.ANCHORARRAY(Sintesi!$C$9)&gt;_xlfn.ANCHORARRAY(Sintesi!$C$10))*(A88&gt;=_xlfn.ANCHORARRAY(Sintesi!$C$9))+(_xlfn.ANCHORARRAY(Sintesi!$C$9)&gt;_xlfn.ANCHORARRAY(Sintesi!$C$10))*(A88&lt;=_xlfn.ANCHORARRAY(Sintesi!$C$10))+(_xlfn.ANCHORARRAY(Sintesi!$C$9)&lt;_xlfn.ANCHORARRAY(Sintesi!$C$10))*(A88&gt;=_xlfn.ANCHORARRAY(Sintesi!$C$9))*(A88&lt;=_xlfn.ANCHORARRAY(Sintesi!$C$10)),0)),0))/(_xlfn.IFNA(INDEX(_xlfn.ANCHORARRAY(Sintesi!$C$18),1,MATCH(1,(_xlfn.ANCHORARRAY(Sintesi!$C$9)&gt;_xlfn.ANCHORARRAY(Sintesi!$C$10))*(A88&gt;=_xlfn.ANCHORARRAY(Sintesi!$C$9))+(_xlfn.ANCHORARRAY(Sintesi!$C$9)&gt;_xlfn.ANCHORARRAY(Sintesi!$C$10))*(A88&lt;=_xlfn.ANCHORARRAY(Sintesi!$C$10))+(_xlfn.ANCHORARRAY(Sintesi!$C$9)&lt;_xlfn.ANCHORARRAY(Sintesi!$C$10))*(A88&gt;=_xlfn.ANCHORARRAY(Sintesi!$C$9))*(A88&lt;=_xlfn.ANCHORARRAY(Sintesi!$C$10)),0)),0)-_xlfn.IFNA(INDEX(_xlfn.ANCHORARRAY(Sintesi!$C$17),1,MATCH(1,(_xlfn.ANCHORARRAY(Sintesi!$C$9)&gt;_xlfn.ANCHORARRAY(Sintesi!$C$10))*(A88&gt;=_xlfn.ANCHORARRAY(Sintesi!$C$9))+(_xlfn.ANCHORARRAY(Sintesi!$C$9)&gt;_xlfn.ANCHORARRAY(Sintesi!$C$10))*(A88&lt;=_xlfn.ANCHORARRAY(Sintesi!$C$10))+(_xlfn.ANCHORARRAY(Sintesi!$C$9)&lt;_xlfn.ANCHORARRAY(Sintesi!$C$10))*(A88&gt;=_xlfn.ANCHORARRAY(Sintesi!$C$9))*(A88&lt;=_xlfn.ANCHORARRAY(Sintesi!$C$10)),0)),0)))),0)</f>
        <v>0</v>
      </c>
    </row>
    <row r="90" spans="1:13">
      <c r="A90" s="1">
        <f>'Paste cell here'!A90</f>
        <v>89</v>
      </c>
      <c r="B90" s="2">
        <f>DATE(Sintesi!$C$4-1,12,31)+A90</f>
        <v>44285</v>
      </c>
      <c r="C90" s="34">
        <f t="array" ref="C90">_xlfn.IFNA(MATCH(1,((_xlfn.ANCHORARRAY(Sintesi!$C$9)&gt;_xlfn.ANCHORARRAY(Sintesi!$C$10))*(A90&gt;=_xlfn.ANCHORARRAY(Sintesi!$C$9))+(_xlfn.ANCHORARRAY(Sintesi!$C$9)&gt;_xlfn.ANCHORARRAY(Sintesi!$C$10))*(A90&lt;=_xlfn.ANCHORARRAY(Sintesi!$C$10))+(_xlfn.ANCHORARRAY(Sintesi!$C$9)&lt;_xlfn.ANCHORARRAY(Sintesi!$C$10))*(A90&gt;=_xlfn.ANCHORARRAY(Sintesi!$C$9))*(A90&lt;=_xlfn.ANCHORARRAY(Sintesi!$C$10)))*(_xlfn.ANCHORARRAY(Sintesi!$C$15)&gt;=0)+(_xlfn.ANCHORARRAY(Sintesi!$C$15)&lt;0),0),0)</f>
        <v>0</v>
      </c>
      <c r="D90" s="1">
        <f t="array" ref="D90">IF(ISBLANK($E91),IF(ISNUMBER($E89),IF($C90&gt;0,IF(($E90=INDEX(_xlfn.ANCHORARRAY(Sintesi!$C$14),1,$C90))*(INDEX(_xlfn.ANCHORARRAY(Sintesi!$C$15),1,$C90)&gt;0),0,IF(($E90=INDEX(_xlfn.ANCHORARRAY(Sintesi!$C$14),1,$C90))*(INDEX(_xlfn.ANCHORARRAY(Sintesi!$C$15),1,$C90)&lt;0)+($E90&gt;=$E89)*($E90&lt;=INDEX($E:$E,MATCH(TRUE,INDEX((ISNUMBER($E:$E)),0),0)))*($E90&gt;INDEX(_xlfn.ANCHORARRAY(Sintesi!$C$14),1,$C90))*($E90&lt;=INDEX(_xlfn.ANCHORARRAY(Sintesi!$C$15),1,$C90))*(INDEX(_xlfn.ANCHORARRAY(Sintesi!$C$15),1,$C90)&gt;0),1,IF(($E90&gt;=$E89)*($E90&lt;=INDEX($E:$E,MATCH(TRUE,INDEX((ISNUMBER($E:$E)),0),0)))*($E90&gt;INDEX(_xlfn.ANCHORARRAY(Sintesi!$C$14),1,$C90))*($E90&lt;INDEX(_xlfn.ANCHORARRAY(Sintesi!$C$16),1,$C90))*(INDEX(_xlfn.ANCHORARRAY(Sintesi!$C$15),1,$C90)&lt;0)+($E90&gt;=$E89)*($E90&lt;=INDEX($E:$E,MATCH(TRUE,INDEX((ISNUMBER($E:$E)),0),0)))*($E90&gt;INDEX(_xlfn.ANCHORARRAY(Sintesi!$C$15),1,$C90))*($E90&lt;INDEX(_xlfn.ANCHORARRAY(Sintesi!$C$16),1,$C90))*(INDEX(_xlfn.ANCHORARRAY(Sintesi!$C$15),1,$C90)&gt;0),2,IF($E90=(INDEX(_xlfn.ANCHORARRAY(Sintesi!$C$16),1,$C90)),3,4)))),0),IF($C90&gt;0,IF(($E90=INDEX(_xlfn.ANCHORARRAY(Sintesi!$C$14),1,$C90))*(INDEX(_xlfn.ANCHORARRAY(Sintesi!$C$15),1,$C90)&gt;0),0,IF(($E90=INDEX(_xlfn.ANCHORARRAY(Sintesi!$C$14),1,$C90))*(INDEX(_xlfn.ANCHORARRAY(Sintesi!$C$15),1,$C90)&lt;0)+($E90&gt;=LOOKUP(2,1/($E:$E&lt;&gt;""),$E:$E))*($E90&lt;=INDEX($E:$E,MATCH(TRUE,INDEX((ISNUMBER($E:$E)),0),0)))*($E90&gt;INDEX(_xlfn.ANCHORARRAY(Sintesi!$C$14),1,$C90))*($E90&lt;=INDEX(_xlfn.ANCHORARRAY(Sintesi!$C$15),1,$C90))*(INDEX(_xlfn.ANCHORARRAY(Sintesi!$C$15),1,$C90)&gt;0),1,IF(($E90&gt;=LOOKUP(2,1/($E:$E&lt;&gt;""),$E:$E))*($E90&lt;=INDEX($E:$E,MATCH(TRUE,INDEX((ISNUMBER($E:$E)),0),0)))*($E90&gt;INDEX(_xlfn.ANCHORARRAY(Sintesi!$C$14),1,$C90))*($E90&lt;INDEX(_xlfn.ANCHORARRAY(Sintesi!$C$16),1,$C90))*(INDEX(_xlfn.ANCHORARRAY(Sintesi!$C$15),1,$C90)&lt;0)+($E90&gt;=LOOKUP(2,1/($E:$E&lt;&gt;""),$E:$E))*($E90&lt;=INDEX($E:$E,MATCH(TRUE,INDEX((ISNUMBER($E:$E)),0),0)))*($E90&gt;INDEX(_xlfn.ANCHORARRAY(Sintesi!$C$15),1,$C90))*($E90&lt;INDEX(_xlfn.ANCHORARRAY(Sintesi!$C$16),1,$C90))*(INDEX(_xlfn.ANCHORARRAY(Sintesi!$C$15),1,$C90)&gt;0),2,IF($E90=(INDEX(_xlfn.ANCHORARRAY(Sintesi!$C$16),1,$C90)),3,4)))),0)),IF(ISNUMBER($E89),IF($C90&gt;0,IF(($E90=INDEX(_xlfn.ANCHORARRAY(Sintesi!$C$14),1,$C90))*(INDEX(_xlfn.ANCHORARRAY(Sintesi!$C$15),1,$C90)&gt;0),0,IF(($E90=INDEX(_xlfn.ANCHORARRAY(Sintesi!$C$14),1,$C90))*(INDEX(_xlfn.ANCHORARRAY(Sintesi!$C$15),1,$C90)&lt;0)+($E90&gt;=$E89)*($E90&lt;=$E91)*($E90&gt;INDEX(_xlfn.ANCHORARRAY(Sintesi!$C$14),1,$C90))*($E90&lt;=INDEX(_xlfn.ANCHORARRAY(Sintesi!$C$15),1,$C90))*(INDEX(_xlfn.ANCHORARRAY(Sintesi!$C$15),1,$C90)&gt;0),1,IF(($E90&gt;=$E89)*($E90&lt;=$E91)*($E90&gt;INDEX(_xlfn.ANCHORARRAY(Sintesi!$C$14),1,$C90))*($E90&lt;INDEX(_xlfn.ANCHORARRAY(Sintesi!$C$16),1,$C90))*(INDEX(_xlfn.ANCHORARRAY(Sintesi!$C$15),1,$C90)&lt;0)+($E90&gt;=$E89)*($E90&lt;=$E91)*($E90&gt;INDEX(_xlfn.ANCHORARRAY(Sintesi!$C$15),1,$C90))*($E90&lt;INDEX(_xlfn.ANCHORARRAY(Sintesi!$C$16),1,$C90))*(INDEX(_xlfn.ANCHORARRAY(Sintesi!$C$15),1,$C90)&gt;0),2,IF($E90=(INDEX(_xlfn.ANCHORARRAY(Sintesi!$C$16),1,$C90)),3,4)))),0),IF($C90&gt;0,IF(($E90=INDEX(_xlfn.ANCHORARRAY(Sintesi!$C$14),1,$C90))*(INDEX(_xlfn.ANCHORARRAY(Sintesi!$C$15),1,$C90)&gt;0),0,IF(($E90=INDEX(_xlfn.ANCHORARRAY(Sintesi!$C$14),1,$C90))*(INDEX(_xlfn.ANCHORARRAY(Sintesi!$C$15),1,$C90)&lt;0)+($E90&gt;=LOOKUP(2,1/($E:$E&lt;&gt;""),$E:$E))*($E90&lt;=$E91)*($E90&gt;INDEX(_xlfn.ANCHORARRAY(Sintesi!$C$14),1,$C90))*($E90&lt;=INDEX(_xlfn.ANCHORARRAY(Sintesi!$C$15),1,$C90))*(INDEX(_xlfn.ANCHORARRAY(Sintesi!$C$15),1,$C90)&gt;0),1,IF(($E90&gt;=LOOKUP(2,1/($E:$E&lt;&gt;""),$E:$E))*($E90&lt;=$E91)*($E90&gt;INDEX(_xlfn.ANCHORARRAY(Sintesi!$C$14),1,$C90))*($E90&lt;INDEX(_xlfn.ANCHORARRAY(Sintesi!$C$16),1,$C90))*(INDEX(_xlfn.ANCHORARRAY(Sintesi!$C$15),1,$C90)&lt;0)+($E90&gt;=LOOKUP(2,1/($E:$E&lt;&gt;""),$E:$E))*($E90&lt;=$E91)*($E90&gt;INDEX(_xlfn.ANCHORARRAY(Sintesi!$C$15),1,$C90))*($E90&lt;INDEX(_xlfn.ANCHORARRAY(Sintesi!$C$16),1,$C90))*(INDEX(_xlfn.ANCHORARRAY(Sintesi!$C$15),1,$C90)&gt;0),2,IF($E90=(INDEX(_xlfn.ANCHORARRAY(Sintesi!$C$16),1,$C90)),3,4)))),0)))</f>
        <v>0</v>
      </c>
      <c r="E90" s="1">
        <f>'Paste cell here'!F90</f>
        <v>0</v>
      </c>
      <c r="F90" s="1">
        <f>'Paste cell here'!C90</f>
        <v>24.719999999999644</v>
      </c>
      <c r="G90" s="1">
        <f>'Paste cell here'!D90</f>
        <v>9.9399999999998911</v>
      </c>
      <c r="H90" s="1">
        <f>'Paste cell here'!E90</f>
        <v>3.1965668426947431</v>
      </c>
      <c r="I90" s="1">
        <f>'Paste cell here'!X90</f>
        <v>0</v>
      </c>
      <c r="J90" s="1">
        <f>'Paste cell here'!Y90+'Paste cell here'!S90</f>
        <v>0</v>
      </c>
      <c r="K90" s="1">
        <f t="shared" si="2"/>
        <v>0</v>
      </c>
      <c r="L90" s="1">
        <f t="shared" si="3"/>
        <v>20.186485271750737</v>
      </c>
      <c r="M90" s="1">
        <f t="array" ref="M90">IF(AND(A90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90&gt;=_xlfn.ANCHORARRAY(Sintesi!$C$9))+(_xlfn.ANCHORARRAY(Sintesi!$C$9)&gt;_xlfn.ANCHORARRAY(Sintesi!$C$10))*(A90&lt;=_xlfn.ANCHORARRAY(Sintesi!$C$10))+(_xlfn.ANCHORARRAY(Sintesi!$C$9)&lt;_xlfn.ANCHORARRAY(Sintesi!$C$10))*(A90&gt;=_xlfn.ANCHORARRAY(Sintesi!$C$9))*(A90&lt;=_xlfn.ANCHORARRAY(Sintesi!$C$10)),0)),0),A90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91&gt;=_xlfn.ANCHORARRAY(Sintesi!$C$9))+(_xlfn.ANCHORARRAY(Sintesi!$C$9)&gt;_xlfn.ANCHORARRAY(Sintesi!$C$10))*(A91&lt;=_xlfn.ANCHORARRAY(Sintesi!$C$10))+(_xlfn.ANCHORARRAY(Sintesi!$C$9)&lt;_xlfn.ANCHORARRAY(Sintesi!$C$10))*(A91&gt;=_xlfn.ANCHORARRAY(Sintesi!$C$9))*(A91&lt;=_xlfn.ANCHORARRAY(Sintesi!$C$10)),0)),0)),IF(L90&lt;_xlfn.IFNA(INDEX(_xlfn.ANCHORARRAY(Sintesi!$C$17),1,MATCH(1,(_xlfn.ANCHORARRAY(Sintesi!$C$9)&gt;_xlfn.ANCHORARRAY(Sintesi!$C$10))*(A89&gt;=_xlfn.ANCHORARRAY(Sintesi!$C$9))+(_xlfn.ANCHORARRAY(Sintesi!$C$9)&gt;_xlfn.ANCHORARRAY(Sintesi!$C$10))*(A89&lt;=_xlfn.ANCHORARRAY(Sintesi!$C$10))+(_xlfn.ANCHORARRAY(Sintesi!$C$9)&lt;_xlfn.ANCHORARRAY(Sintesi!$C$10))*(A89&gt;=_xlfn.ANCHORARRAY(Sintesi!$C$9))*(A89&lt;=_xlfn.ANCHORARRAY(Sintesi!$C$10)),0)),0),1,IF(L90&gt;=_xlfn.IFNA(INDEX(_xlfn.ANCHORARRAY(Sintesi!$C$18),1,MATCH(1,(_xlfn.ANCHORARRAY(Sintesi!$C$9)&gt;_xlfn.ANCHORARRAY(Sintesi!$C$10))*(A89&gt;=_xlfn.ANCHORARRAY(Sintesi!$C$9))+(_xlfn.ANCHORARRAY(Sintesi!$C$9)&gt;_xlfn.ANCHORARRAY(Sintesi!$C$10))*(A89&lt;=_xlfn.ANCHORARRAY(Sintesi!$C$10))+(_xlfn.ANCHORARRAY(Sintesi!$C$9)&lt;_xlfn.ANCHORARRAY(Sintesi!$C$10))*(A89&gt;=_xlfn.ANCHORARRAY(Sintesi!$C$9))*(A89&lt;=_xlfn.ANCHORARRAY(Sintesi!$C$10)),0)),0),0,1-(L90-_xlfn.IFNA(INDEX(_xlfn.ANCHORARRAY(Sintesi!$C$17),1,MATCH(1,(_xlfn.ANCHORARRAY(Sintesi!$C$9)&gt;_xlfn.ANCHORARRAY(Sintesi!$C$10))*(A89&gt;=_xlfn.ANCHORARRAY(Sintesi!$C$9))+(_xlfn.ANCHORARRAY(Sintesi!$C$9)&gt;_xlfn.ANCHORARRAY(Sintesi!$C$10))*(A89&lt;=_xlfn.ANCHORARRAY(Sintesi!$C$10))+(_xlfn.ANCHORARRAY(Sintesi!$C$9)&lt;_xlfn.ANCHORARRAY(Sintesi!$C$10))*(A89&gt;=_xlfn.ANCHORARRAY(Sintesi!$C$9))*(A89&lt;=_xlfn.ANCHORARRAY(Sintesi!$C$10)),0)),0))/(_xlfn.IFNA(INDEX(_xlfn.ANCHORARRAY(Sintesi!$C$18),1,MATCH(1,(_xlfn.ANCHORARRAY(Sintesi!$C$9)&gt;_xlfn.ANCHORARRAY(Sintesi!$C$10))*(A89&gt;=_xlfn.ANCHORARRAY(Sintesi!$C$9))+(_xlfn.ANCHORARRAY(Sintesi!$C$9)&gt;_xlfn.ANCHORARRAY(Sintesi!$C$10))*(A89&lt;=_xlfn.ANCHORARRAY(Sintesi!$C$10))+(_xlfn.ANCHORARRAY(Sintesi!$C$9)&lt;_xlfn.ANCHORARRAY(Sintesi!$C$10))*(A89&gt;=_xlfn.ANCHORARRAY(Sintesi!$C$9))*(A89&lt;=_xlfn.ANCHORARRAY(Sintesi!$C$10)),0)),0)-_xlfn.IFNA(INDEX(_xlfn.ANCHORARRAY(Sintesi!$C$17),1,MATCH(1,(_xlfn.ANCHORARRAY(Sintesi!$C$9)&gt;_xlfn.ANCHORARRAY(Sintesi!$C$10))*(A89&gt;=_xlfn.ANCHORARRAY(Sintesi!$C$9))+(_xlfn.ANCHORARRAY(Sintesi!$C$9)&gt;_xlfn.ANCHORARRAY(Sintesi!$C$10))*(A89&lt;=_xlfn.ANCHORARRAY(Sintesi!$C$10))+(_xlfn.ANCHORARRAY(Sintesi!$C$9)&lt;_xlfn.ANCHORARRAY(Sintesi!$C$10))*(A89&gt;=_xlfn.ANCHORARRAY(Sintesi!$C$9))*(A89&lt;=_xlfn.ANCHORARRAY(Sintesi!$C$10)),0)),0)))),0)</f>
        <v>0</v>
      </c>
    </row>
    <row r="91" spans="1:13">
      <c r="A91" s="1">
        <f>'Paste cell here'!A91</f>
        <v>90</v>
      </c>
      <c r="B91" s="2">
        <f>DATE(Sintesi!$C$4-1,12,31)+A91</f>
        <v>44286</v>
      </c>
      <c r="C91" s="34">
        <f t="array" ref="C91">_xlfn.IFNA(MATCH(1,((_xlfn.ANCHORARRAY(Sintesi!$C$9)&gt;_xlfn.ANCHORARRAY(Sintesi!$C$10))*(A91&gt;=_xlfn.ANCHORARRAY(Sintesi!$C$9))+(_xlfn.ANCHORARRAY(Sintesi!$C$9)&gt;_xlfn.ANCHORARRAY(Sintesi!$C$10))*(A91&lt;=_xlfn.ANCHORARRAY(Sintesi!$C$10))+(_xlfn.ANCHORARRAY(Sintesi!$C$9)&lt;_xlfn.ANCHORARRAY(Sintesi!$C$10))*(A91&gt;=_xlfn.ANCHORARRAY(Sintesi!$C$9))*(A91&lt;=_xlfn.ANCHORARRAY(Sintesi!$C$10)))*(_xlfn.ANCHORARRAY(Sintesi!$C$15)&gt;=0)+(_xlfn.ANCHORARRAY(Sintesi!$C$15)&lt;0),0),0)</f>
        <v>0</v>
      </c>
      <c r="D91" s="1">
        <f t="array" ref="D91">IF(ISBLANK($E92),IF(ISNUMBER($E90),IF($C91&gt;0,IF(($E91=INDEX(_xlfn.ANCHORARRAY(Sintesi!$C$14),1,$C91))*(INDEX(_xlfn.ANCHORARRAY(Sintesi!$C$15),1,$C91)&gt;0),0,IF(($E91=INDEX(_xlfn.ANCHORARRAY(Sintesi!$C$14),1,$C91))*(INDEX(_xlfn.ANCHORARRAY(Sintesi!$C$15),1,$C91)&lt;0)+($E91&gt;=$E90)*($E91&lt;=INDEX($E:$E,MATCH(TRUE,INDEX((ISNUMBER($E:$E)),0),0)))*($E91&gt;INDEX(_xlfn.ANCHORARRAY(Sintesi!$C$14),1,$C91))*($E91&lt;=INDEX(_xlfn.ANCHORARRAY(Sintesi!$C$15),1,$C91))*(INDEX(_xlfn.ANCHORARRAY(Sintesi!$C$15),1,$C91)&gt;0),1,IF(($E91&gt;=$E90)*($E91&lt;=INDEX($E:$E,MATCH(TRUE,INDEX((ISNUMBER($E:$E)),0),0)))*($E91&gt;INDEX(_xlfn.ANCHORARRAY(Sintesi!$C$14),1,$C91))*($E91&lt;INDEX(_xlfn.ANCHORARRAY(Sintesi!$C$16),1,$C91))*(INDEX(_xlfn.ANCHORARRAY(Sintesi!$C$15),1,$C91)&lt;0)+($E91&gt;=$E90)*($E91&lt;=INDEX($E:$E,MATCH(TRUE,INDEX((ISNUMBER($E:$E)),0),0)))*($E91&gt;INDEX(_xlfn.ANCHORARRAY(Sintesi!$C$15),1,$C91))*($E91&lt;INDEX(_xlfn.ANCHORARRAY(Sintesi!$C$16),1,$C91))*(INDEX(_xlfn.ANCHORARRAY(Sintesi!$C$15),1,$C91)&gt;0),2,IF($E91=(INDEX(_xlfn.ANCHORARRAY(Sintesi!$C$16),1,$C91)),3,4)))),0),IF($C91&gt;0,IF(($E91=INDEX(_xlfn.ANCHORARRAY(Sintesi!$C$14),1,$C91))*(INDEX(_xlfn.ANCHORARRAY(Sintesi!$C$15),1,$C91)&gt;0),0,IF(($E91=INDEX(_xlfn.ANCHORARRAY(Sintesi!$C$14),1,$C91))*(INDEX(_xlfn.ANCHORARRAY(Sintesi!$C$15),1,$C91)&lt;0)+($E91&gt;=LOOKUP(2,1/($E:$E&lt;&gt;""),$E:$E))*($E91&lt;=INDEX($E:$E,MATCH(TRUE,INDEX((ISNUMBER($E:$E)),0),0)))*($E91&gt;INDEX(_xlfn.ANCHORARRAY(Sintesi!$C$14),1,$C91))*($E91&lt;=INDEX(_xlfn.ANCHORARRAY(Sintesi!$C$15),1,$C91))*(INDEX(_xlfn.ANCHORARRAY(Sintesi!$C$15),1,$C91)&gt;0),1,IF(($E91&gt;=LOOKUP(2,1/($E:$E&lt;&gt;""),$E:$E))*($E91&lt;=INDEX($E:$E,MATCH(TRUE,INDEX((ISNUMBER($E:$E)),0),0)))*($E91&gt;INDEX(_xlfn.ANCHORARRAY(Sintesi!$C$14),1,$C91))*($E91&lt;INDEX(_xlfn.ANCHORARRAY(Sintesi!$C$16),1,$C91))*(INDEX(_xlfn.ANCHORARRAY(Sintesi!$C$15),1,$C91)&lt;0)+($E91&gt;=LOOKUP(2,1/($E:$E&lt;&gt;""),$E:$E))*($E91&lt;=INDEX($E:$E,MATCH(TRUE,INDEX((ISNUMBER($E:$E)),0),0)))*($E91&gt;INDEX(_xlfn.ANCHORARRAY(Sintesi!$C$15),1,$C91))*($E91&lt;INDEX(_xlfn.ANCHORARRAY(Sintesi!$C$16),1,$C91))*(INDEX(_xlfn.ANCHORARRAY(Sintesi!$C$15),1,$C91)&gt;0),2,IF($E91=(INDEX(_xlfn.ANCHORARRAY(Sintesi!$C$16),1,$C91)),3,4)))),0)),IF(ISNUMBER($E90),IF($C91&gt;0,IF(($E91=INDEX(_xlfn.ANCHORARRAY(Sintesi!$C$14),1,$C91))*(INDEX(_xlfn.ANCHORARRAY(Sintesi!$C$15),1,$C91)&gt;0),0,IF(($E91=INDEX(_xlfn.ANCHORARRAY(Sintesi!$C$14),1,$C91))*(INDEX(_xlfn.ANCHORARRAY(Sintesi!$C$15),1,$C91)&lt;0)+($E91&gt;=$E90)*($E91&lt;=$E92)*($E91&gt;INDEX(_xlfn.ANCHORARRAY(Sintesi!$C$14),1,$C91))*($E91&lt;=INDEX(_xlfn.ANCHORARRAY(Sintesi!$C$15),1,$C91))*(INDEX(_xlfn.ANCHORARRAY(Sintesi!$C$15),1,$C91)&gt;0),1,IF(($E91&gt;=$E90)*($E91&lt;=$E92)*($E91&gt;INDEX(_xlfn.ANCHORARRAY(Sintesi!$C$14),1,$C91))*($E91&lt;INDEX(_xlfn.ANCHORARRAY(Sintesi!$C$16),1,$C91))*(INDEX(_xlfn.ANCHORARRAY(Sintesi!$C$15),1,$C91)&lt;0)+($E91&gt;=$E90)*($E91&lt;=$E92)*($E91&gt;INDEX(_xlfn.ANCHORARRAY(Sintesi!$C$15),1,$C91))*($E91&lt;INDEX(_xlfn.ANCHORARRAY(Sintesi!$C$16),1,$C91))*(INDEX(_xlfn.ANCHORARRAY(Sintesi!$C$15),1,$C91)&gt;0),2,IF($E91=(INDEX(_xlfn.ANCHORARRAY(Sintesi!$C$16),1,$C91)),3,4)))),0),IF($C91&gt;0,IF(($E91=INDEX(_xlfn.ANCHORARRAY(Sintesi!$C$14),1,$C91))*(INDEX(_xlfn.ANCHORARRAY(Sintesi!$C$15),1,$C91)&gt;0),0,IF(($E91=INDEX(_xlfn.ANCHORARRAY(Sintesi!$C$14),1,$C91))*(INDEX(_xlfn.ANCHORARRAY(Sintesi!$C$15),1,$C91)&lt;0)+($E91&gt;=LOOKUP(2,1/($E:$E&lt;&gt;""),$E:$E))*($E91&lt;=$E92)*($E91&gt;INDEX(_xlfn.ANCHORARRAY(Sintesi!$C$14),1,$C91))*($E91&lt;=INDEX(_xlfn.ANCHORARRAY(Sintesi!$C$15),1,$C91))*(INDEX(_xlfn.ANCHORARRAY(Sintesi!$C$15),1,$C91)&gt;0),1,IF(($E91&gt;=LOOKUP(2,1/($E:$E&lt;&gt;""),$E:$E))*($E91&lt;=$E92)*($E91&gt;INDEX(_xlfn.ANCHORARRAY(Sintesi!$C$14),1,$C91))*($E91&lt;INDEX(_xlfn.ANCHORARRAY(Sintesi!$C$16),1,$C91))*(INDEX(_xlfn.ANCHORARRAY(Sintesi!$C$15),1,$C91)&lt;0)+($E91&gt;=LOOKUP(2,1/($E:$E&lt;&gt;""),$E:$E))*($E91&lt;=$E92)*($E91&gt;INDEX(_xlfn.ANCHORARRAY(Sintesi!$C$15),1,$C91))*($E91&lt;INDEX(_xlfn.ANCHORARRAY(Sintesi!$C$16),1,$C91))*(INDEX(_xlfn.ANCHORARRAY(Sintesi!$C$15),1,$C91)&gt;0),2,IF($E91=(INDEX(_xlfn.ANCHORARRAY(Sintesi!$C$16),1,$C91)),3,4)))),0)))</f>
        <v>0</v>
      </c>
      <c r="E91" s="1">
        <f>'Paste cell here'!F91</f>
        <v>0</v>
      </c>
      <c r="F91" s="1">
        <f>'Paste cell here'!C91</f>
        <v>25.959999999999624</v>
      </c>
      <c r="G91" s="1">
        <f>'Paste cell here'!D91</f>
        <v>9.8599999999998822</v>
      </c>
      <c r="H91" s="1">
        <f>'Paste cell here'!E91</f>
        <v>3.2124604926350795</v>
      </c>
      <c r="I91" s="1">
        <f>'Paste cell here'!X91</f>
        <v>0</v>
      </c>
      <c r="J91" s="1">
        <f>'Paste cell here'!Y91+'Paste cell here'!S91</f>
        <v>0</v>
      </c>
      <c r="K91" s="1">
        <f t="shared" si="2"/>
        <v>0</v>
      </c>
      <c r="L91" s="1">
        <f t="shared" si="3"/>
        <v>21.021597623490322</v>
      </c>
      <c r="M91" s="1">
        <f t="array" ref="M91">IF(AND(A91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91&gt;=_xlfn.ANCHORARRAY(Sintesi!$C$9))+(_xlfn.ANCHORARRAY(Sintesi!$C$9)&gt;_xlfn.ANCHORARRAY(Sintesi!$C$10))*(A91&lt;=_xlfn.ANCHORARRAY(Sintesi!$C$10))+(_xlfn.ANCHORARRAY(Sintesi!$C$9)&lt;_xlfn.ANCHORARRAY(Sintesi!$C$10))*(A91&gt;=_xlfn.ANCHORARRAY(Sintesi!$C$9))*(A91&lt;=_xlfn.ANCHORARRAY(Sintesi!$C$10)),0)),0),A91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92&gt;=_xlfn.ANCHORARRAY(Sintesi!$C$9))+(_xlfn.ANCHORARRAY(Sintesi!$C$9)&gt;_xlfn.ANCHORARRAY(Sintesi!$C$10))*(A92&lt;=_xlfn.ANCHORARRAY(Sintesi!$C$10))+(_xlfn.ANCHORARRAY(Sintesi!$C$9)&lt;_xlfn.ANCHORARRAY(Sintesi!$C$10))*(A92&gt;=_xlfn.ANCHORARRAY(Sintesi!$C$9))*(A92&lt;=_xlfn.ANCHORARRAY(Sintesi!$C$10)),0)),0)),IF(L91&lt;_xlfn.IFNA(INDEX(_xlfn.ANCHORARRAY(Sintesi!$C$17),1,MATCH(1,(_xlfn.ANCHORARRAY(Sintesi!$C$9)&gt;_xlfn.ANCHORARRAY(Sintesi!$C$10))*(A90&gt;=_xlfn.ANCHORARRAY(Sintesi!$C$9))+(_xlfn.ANCHORARRAY(Sintesi!$C$9)&gt;_xlfn.ANCHORARRAY(Sintesi!$C$10))*(A90&lt;=_xlfn.ANCHORARRAY(Sintesi!$C$10))+(_xlfn.ANCHORARRAY(Sintesi!$C$9)&lt;_xlfn.ANCHORARRAY(Sintesi!$C$10))*(A90&gt;=_xlfn.ANCHORARRAY(Sintesi!$C$9))*(A90&lt;=_xlfn.ANCHORARRAY(Sintesi!$C$10)),0)),0),1,IF(L91&gt;=_xlfn.IFNA(INDEX(_xlfn.ANCHORARRAY(Sintesi!$C$18),1,MATCH(1,(_xlfn.ANCHORARRAY(Sintesi!$C$9)&gt;_xlfn.ANCHORARRAY(Sintesi!$C$10))*(A90&gt;=_xlfn.ANCHORARRAY(Sintesi!$C$9))+(_xlfn.ANCHORARRAY(Sintesi!$C$9)&gt;_xlfn.ANCHORARRAY(Sintesi!$C$10))*(A90&lt;=_xlfn.ANCHORARRAY(Sintesi!$C$10))+(_xlfn.ANCHORARRAY(Sintesi!$C$9)&lt;_xlfn.ANCHORARRAY(Sintesi!$C$10))*(A90&gt;=_xlfn.ANCHORARRAY(Sintesi!$C$9))*(A90&lt;=_xlfn.ANCHORARRAY(Sintesi!$C$10)),0)),0),0,1-(L91-_xlfn.IFNA(INDEX(_xlfn.ANCHORARRAY(Sintesi!$C$17),1,MATCH(1,(_xlfn.ANCHORARRAY(Sintesi!$C$9)&gt;_xlfn.ANCHORARRAY(Sintesi!$C$10))*(A90&gt;=_xlfn.ANCHORARRAY(Sintesi!$C$9))+(_xlfn.ANCHORARRAY(Sintesi!$C$9)&gt;_xlfn.ANCHORARRAY(Sintesi!$C$10))*(A90&lt;=_xlfn.ANCHORARRAY(Sintesi!$C$10))+(_xlfn.ANCHORARRAY(Sintesi!$C$9)&lt;_xlfn.ANCHORARRAY(Sintesi!$C$10))*(A90&gt;=_xlfn.ANCHORARRAY(Sintesi!$C$9))*(A90&lt;=_xlfn.ANCHORARRAY(Sintesi!$C$10)),0)),0))/(_xlfn.IFNA(INDEX(_xlfn.ANCHORARRAY(Sintesi!$C$18),1,MATCH(1,(_xlfn.ANCHORARRAY(Sintesi!$C$9)&gt;_xlfn.ANCHORARRAY(Sintesi!$C$10))*(A90&gt;=_xlfn.ANCHORARRAY(Sintesi!$C$9))+(_xlfn.ANCHORARRAY(Sintesi!$C$9)&gt;_xlfn.ANCHORARRAY(Sintesi!$C$10))*(A90&lt;=_xlfn.ANCHORARRAY(Sintesi!$C$10))+(_xlfn.ANCHORARRAY(Sintesi!$C$9)&lt;_xlfn.ANCHORARRAY(Sintesi!$C$10))*(A90&gt;=_xlfn.ANCHORARRAY(Sintesi!$C$9))*(A90&lt;=_xlfn.ANCHORARRAY(Sintesi!$C$10)),0)),0)-_xlfn.IFNA(INDEX(_xlfn.ANCHORARRAY(Sintesi!$C$17),1,MATCH(1,(_xlfn.ANCHORARRAY(Sintesi!$C$9)&gt;_xlfn.ANCHORARRAY(Sintesi!$C$10))*(A90&gt;=_xlfn.ANCHORARRAY(Sintesi!$C$9))+(_xlfn.ANCHORARRAY(Sintesi!$C$9)&gt;_xlfn.ANCHORARRAY(Sintesi!$C$10))*(A90&lt;=_xlfn.ANCHORARRAY(Sintesi!$C$10))+(_xlfn.ANCHORARRAY(Sintesi!$C$9)&lt;_xlfn.ANCHORARRAY(Sintesi!$C$10))*(A90&gt;=_xlfn.ANCHORARRAY(Sintesi!$C$9))*(A90&lt;=_xlfn.ANCHORARRAY(Sintesi!$C$10)),0)),0)))),0)</f>
        <v>0</v>
      </c>
    </row>
    <row r="92" spans="1:13">
      <c r="A92" s="1">
        <f>'Paste cell here'!A92</f>
        <v>91</v>
      </c>
      <c r="B92" s="2">
        <f>DATE(Sintesi!$C$4-1,12,31)+A92</f>
        <v>44287</v>
      </c>
      <c r="C92" s="34">
        <f t="array" ref="C92">_xlfn.IFNA(MATCH(1,((_xlfn.ANCHORARRAY(Sintesi!$C$9)&gt;_xlfn.ANCHORARRAY(Sintesi!$C$10))*(A92&gt;=_xlfn.ANCHORARRAY(Sintesi!$C$9))+(_xlfn.ANCHORARRAY(Sintesi!$C$9)&gt;_xlfn.ANCHORARRAY(Sintesi!$C$10))*(A92&lt;=_xlfn.ANCHORARRAY(Sintesi!$C$10))+(_xlfn.ANCHORARRAY(Sintesi!$C$9)&lt;_xlfn.ANCHORARRAY(Sintesi!$C$10))*(A92&gt;=_xlfn.ANCHORARRAY(Sintesi!$C$9))*(A92&lt;=_xlfn.ANCHORARRAY(Sintesi!$C$10)))*(_xlfn.ANCHORARRAY(Sintesi!$C$15)&gt;=0)+(_xlfn.ANCHORARRAY(Sintesi!$C$15)&lt;0),0),0)</f>
        <v>0</v>
      </c>
      <c r="D92" s="1">
        <f t="array" ref="D92">IF(ISBLANK($E93),IF(ISNUMBER($E91),IF($C92&gt;0,IF(($E92=INDEX(_xlfn.ANCHORARRAY(Sintesi!$C$14),1,$C92))*(INDEX(_xlfn.ANCHORARRAY(Sintesi!$C$15),1,$C92)&gt;0),0,IF(($E92=INDEX(_xlfn.ANCHORARRAY(Sintesi!$C$14),1,$C92))*(INDEX(_xlfn.ANCHORARRAY(Sintesi!$C$15),1,$C92)&lt;0)+($E92&gt;=$E91)*($E92&lt;=INDEX($E:$E,MATCH(TRUE,INDEX((ISNUMBER($E:$E)),0),0)))*($E92&gt;INDEX(_xlfn.ANCHORARRAY(Sintesi!$C$14),1,$C92))*($E92&lt;=INDEX(_xlfn.ANCHORARRAY(Sintesi!$C$15),1,$C92))*(INDEX(_xlfn.ANCHORARRAY(Sintesi!$C$15),1,$C92)&gt;0),1,IF(($E92&gt;=$E91)*($E92&lt;=INDEX($E:$E,MATCH(TRUE,INDEX((ISNUMBER($E:$E)),0),0)))*($E92&gt;INDEX(_xlfn.ANCHORARRAY(Sintesi!$C$14),1,$C92))*($E92&lt;INDEX(_xlfn.ANCHORARRAY(Sintesi!$C$16),1,$C92))*(INDEX(_xlfn.ANCHORARRAY(Sintesi!$C$15),1,$C92)&lt;0)+($E92&gt;=$E91)*($E92&lt;=INDEX($E:$E,MATCH(TRUE,INDEX((ISNUMBER($E:$E)),0),0)))*($E92&gt;INDEX(_xlfn.ANCHORARRAY(Sintesi!$C$15),1,$C92))*($E92&lt;INDEX(_xlfn.ANCHORARRAY(Sintesi!$C$16),1,$C92))*(INDEX(_xlfn.ANCHORARRAY(Sintesi!$C$15),1,$C92)&gt;0),2,IF($E92=(INDEX(_xlfn.ANCHORARRAY(Sintesi!$C$16),1,$C92)),3,4)))),0),IF($C92&gt;0,IF(($E92=INDEX(_xlfn.ANCHORARRAY(Sintesi!$C$14),1,$C92))*(INDEX(_xlfn.ANCHORARRAY(Sintesi!$C$15),1,$C92)&gt;0),0,IF(($E92=INDEX(_xlfn.ANCHORARRAY(Sintesi!$C$14),1,$C92))*(INDEX(_xlfn.ANCHORARRAY(Sintesi!$C$15),1,$C92)&lt;0)+($E92&gt;=LOOKUP(2,1/($E:$E&lt;&gt;""),$E:$E))*($E92&lt;=INDEX($E:$E,MATCH(TRUE,INDEX((ISNUMBER($E:$E)),0),0)))*($E92&gt;INDEX(_xlfn.ANCHORARRAY(Sintesi!$C$14),1,$C92))*($E92&lt;=INDEX(_xlfn.ANCHORARRAY(Sintesi!$C$15),1,$C92))*(INDEX(_xlfn.ANCHORARRAY(Sintesi!$C$15),1,$C92)&gt;0),1,IF(($E92&gt;=LOOKUP(2,1/($E:$E&lt;&gt;""),$E:$E))*($E92&lt;=INDEX($E:$E,MATCH(TRUE,INDEX((ISNUMBER($E:$E)),0),0)))*($E92&gt;INDEX(_xlfn.ANCHORARRAY(Sintesi!$C$14),1,$C92))*($E92&lt;INDEX(_xlfn.ANCHORARRAY(Sintesi!$C$16),1,$C92))*(INDEX(_xlfn.ANCHORARRAY(Sintesi!$C$15),1,$C92)&lt;0)+($E92&gt;=LOOKUP(2,1/($E:$E&lt;&gt;""),$E:$E))*($E92&lt;=INDEX($E:$E,MATCH(TRUE,INDEX((ISNUMBER($E:$E)),0),0)))*($E92&gt;INDEX(_xlfn.ANCHORARRAY(Sintesi!$C$15),1,$C92))*($E92&lt;INDEX(_xlfn.ANCHORARRAY(Sintesi!$C$16),1,$C92))*(INDEX(_xlfn.ANCHORARRAY(Sintesi!$C$15),1,$C92)&gt;0),2,IF($E92=(INDEX(_xlfn.ANCHORARRAY(Sintesi!$C$16),1,$C92)),3,4)))),0)),IF(ISNUMBER($E91),IF($C92&gt;0,IF(($E92=INDEX(_xlfn.ANCHORARRAY(Sintesi!$C$14),1,$C92))*(INDEX(_xlfn.ANCHORARRAY(Sintesi!$C$15),1,$C92)&gt;0),0,IF(($E92=INDEX(_xlfn.ANCHORARRAY(Sintesi!$C$14),1,$C92))*(INDEX(_xlfn.ANCHORARRAY(Sintesi!$C$15),1,$C92)&lt;0)+($E92&gt;=$E91)*($E92&lt;=$E93)*($E92&gt;INDEX(_xlfn.ANCHORARRAY(Sintesi!$C$14),1,$C92))*($E92&lt;=INDEX(_xlfn.ANCHORARRAY(Sintesi!$C$15),1,$C92))*(INDEX(_xlfn.ANCHORARRAY(Sintesi!$C$15),1,$C92)&gt;0),1,IF(($E92&gt;=$E91)*($E92&lt;=$E93)*($E92&gt;INDEX(_xlfn.ANCHORARRAY(Sintesi!$C$14),1,$C92))*($E92&lt;INDEX(_xlfn.ANCHORARRAY(Sintesi!$C$16),1,$C92))*(INDEX(_xlfn.ANCHORARRAY(Sintesi!$C$15),1,$C92)&lt;0)+($E92&gt;=$E91)*($E92&lt;=$E93)*($E92&gt;INDEX(_xlfn.ANCHORARRAY(Sintesi!$C$15),1,$C92))*($E92&lt;INDEX(_xlfn.ANCHORARRAY(Sintesi!$C$16),1,$C92))*(INDEX(_xlfn.ANCHORARRAY(Sintesi!$C$15),1,$C92)&gt;0),2,IF($E92=(INDEX(_xlfn.ANCHORARRAY(Sintesi!$C$16),1,$C92)),3,4)))),0),IF($C92&gt;0,IF(($E92=INDEX(_xlfn.ANCHORARRAY(Sintesi!$C$14),1,$C92))*(INDEX(_xlfn.ANCHORARRAY(Sintesi!$C$15),1,$C92)&gt;0),0,IF(($E92=INDEX(_xlfn.ANCHORARRAY(Sintesi!$C$14),1,$C92))*(INDEX(_xlfn.ANCHORARRAY(Sintesi!$C$15),1,$C92)&lt;0)+($E92&gt;=LOOKUP(2,1/($E:$E&lt;&gt;""),$E:$E))*($E92&lt;=$E93)*($E92&gt;INDEX(_xlfn.ANCHORARRAY(Sintesi!$C$14),1,$C92))*($E92&lt;=INDEX(_xlfn.ANCHORARRAY(Sintesi!$C$15),1,$C92))*(INDEX(_xlfn.ANCHORARRAY(Sintesi!$C$15),1,$C92)&gt;0),1,IF(($E92&gt;=LOOKUP(2,1/($E:$E&lt;&gt;""),$E:$E))*($E92&lt;=$E93)*($E92&gt;INDEX(_xlfn.ANCHORARRAY(Sintesi!$C$14),1,$C92))*($E92&lt;INDEX(_xlfn.ANCHORARRAY(Sintesi!$C$16),1,$C92))*(INDEX(_xlfn.ANCHORARRAY(Sintesi!$C$15),1,$C92)&lt;0)+($E92&gt;=LOOKUP(2,1/($E:$E&lt;&gt;""),$E:$E))*($E92&lt;=$E93)*($E92&gt;INDEX(_xlfn.ANCHORARRAY(Sintesi!$C$15),1,$C92))*($E92&lt;INDEX(_xlfn.ANCHORARRAY(Sintesi!$C$16),1,$C92))*(INDEX(_xlfn.ANCHORARRAY(Sintesi!$C$15),1,$C92)&gt;0),2,IF($E92=(INDEX(_xlfn.ANCHORARRAY(Sintesi!$C$16),1,$C92)),3,4)))),0)))</f>
        <v>0</v>
      </c>
      <c r="E92" s="1">
        <f>'Paste cell here'!F92</f>
        <v>0</v>
      </c>
      <c r="F92" s="1">
        <f>'Paste cell here'!C92</f>
        <v>27.319999999999609</v>
      </c>
      <c r="G92" s="1">
        <f>'Paste cell here'!D92</f>
        <v>9.9199999999998791</v>
      </c>
      <c r="H92" s="1">
        <f>'Paste cell here'!E92</f>
        <v>3.5973501558169216</v>
      </c>
      <c r="I92" s="1">
        <f>'Paste cell here'!X92</f>
        <v>0</v>
      </c>
      <c r="J92" s="1">
        <f>'Paste cell here'!Y92+'Paste cell here'!S92</f>
        <v>0</v>
      </c>
      <c r="K92" s="1">
        <f t="shared" si="2"/>
        <v>0</v>
      </c>
      <c r="L92" s="1">
        <f t="shared" si="3"/>
        <v>20.807519934689697</v>
      </c>
      <c r="M92" s="1">
        <f t="array" ref="M92">IF(AND(A92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92&gt;=_xlfn.ANCHORARRAY(Sintesi!$C$9))+(_xlfn.ANCHORARRAY(Sintesi!$C$9)&gt;_xlfn.ANCHORARRAY(Sintesi!$C$10))*(A92&lt;=_xlfn.ANCHORARRAY(Sintesi!$C$10))+(_xlfn.ANCHORARRAY(Sintesi!$C$9)&lt;_xlfn.ANCHORARRAY(Sintesi!$C$10))*(A92&gt;=_xlfn.ANCHORARRAY(Sintesi!$C$9))*(A92&lt;=_xlfn.ANCHORARRAY(Sintesi!$C$10)),0)),0),A92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93&gt;=_xlfn.ANCHORARRAY(Sintesi!$C$9))+(_xlfn.ANCHORARRAY(Sintesi!$C$9)&gt;_xlfn.ANCHORARRAY(Sintesi!$C$10))*(A93&lt;=_xlfn.ANCHORARRAY(Sintesi!$C$10))+(_xlfn.ANCHORARRAY(Sintesi!$C$9)&lt;_xlfn.ANCHORARRAY(Sintesi!$C$10))*(A93&gt;=_xlfn.ANCHORARRAY(Sintesi!$C$9))*(A93&lt;=_xlfn.ANCHORARRAY(Sintesi!$C$10)),0)),0)),IF(L92&lt;_xlfn.IFNA(INDEX(_xlfn.ANCHORARRAY(Sintesi!$C$17),1,MATCH(1,(_xlfn.ANCHORARRAY(Sintesi!$C$9)&gt;_xlfn.ANCHORARRAY(Sintesi!$C$10))*(A91&gt;=_xlfn.ANCHORARRAY(Sintesi!$C$9))+(_xlfn.ANCHORARRAY(Sintesi!$C$9)&gt;_xlfn.ANCHORARRAY(Sintesi!$C$10))*(A91&lt;=_xlfn.ANCHORARRAY(Sintesi!$C$10))+(_xlfn.ANCHORARRAY(Sintesi!$C$9)&lt;_xlfn.ANCHORARRAY(Sintesi!$C$10))*(A91&gt;=_xlfn.ANCHORARRAY(Sintesi!$C$9))*(A91&lt;=_xlfn.ANCHORARRAY(Sintesi!$C$10)),0)),0),1,IF(L92&gt;=_xlfn.IFNA(INDEX(_xlfn.ANCHORARRAY(Sintesi!$C$18),1,MATCH(1,(_xlfn.ANCHORARRAY(Sintesi!$C$9)&gt;_xlfn.ANCHORARRAY(Sintesi!$C$10))*(A91&gt;=_xlfn.ANCHORARRAY(Sintesi!$C$9))+(_xlfn.ANCHORARRAY(Sintesi!$C$9)&gt;_xlfn.ANCHORARRAY(Sintesi!$C$10))*(A91&lt;=_xlfn.ANCHORARRAY(Sintesi!$C$10))+(_xlfn.ANCHORARRAY(Sintesi!$C$9)&lt;_xlfn.ANCHORARRAY(Sintesi!$C$10))*(A91&gt;=_xlfn.ANCHORARRAY(Sintesi!$C$9))*(A91&lt;=_xlfn.ANCHORARRAY(Sintesi!$C$10)),0)),0),0,1-(L92-_xlfn.IFNA(INDEX(_xlfn.ANCHORARRAY(Sintesi!$C$17),1,MATCH(1,(_xlfn.ANCHORARRAY(Sintesi!$C$9)&gt;_xlfn.ANCHORARRAY(Sintesi!$C$10))*(A91&gt;=_xlfn.ANCHORARRAY(Sintesi!$C$9))+(_xlfn.ANCHORARRAY(Sintesi!$C$9)&gt;_xlfn.ANCHORARRAY(Sintesi!$C$10))*(A91&lt;=_xlfn.ANCHORARRAY(Sintesi!$C$10))+(_xlfn.ANCHORARRAY(Sintesi!$C$9)&lt;_xlfn.ANCHORARRAY(Sintesi!$C$10))*(A91&gt;=_xlfn.ANCHORARRAY(Sintesi!$C$9))*(A91&lt;=_xlfn.ANCHORARRAY(Sintesi!$C$10)),0)),0))/(_xlfn.IFNA(INDEX(_xlfn.ANCHORARRAY(Sintesi!$C$18),1,MATCH(1,(_xlfn.ANCHORARRAY(Sintesi!$C$9)&gt;_xlfn.ANCHORARRAY(Sintesi!$C$10))*(A91&gt;=_xlfn.ANCHORARRAY(Sintesi!$C$9))+(_xlfn.ANCHORARRAY(Sintesi!$C$9)&gt;_xlfn.ANCHORARRAY(Sintesi!$C$10))*(A91&lt;=_xlfn.ANCHORARRAY(Sintesi!$C$10))+(_xlfn.ANCHORARRAY(Sintesi!$C$9)&lt;_xlfn.ANCHORARRAY(Sintesi!$C$10))*(A91&gt;=_xlfn.ANCHORARRAY(Sintesi!$C$9))*(A91&lt;=_xlfn.ANCHORARRAY(Sintesi!$C$10)),0)),0)-_xlfn.IFNA(INDEX(_xlfn.ANCHORARRAY(Sintesi!$C$17),1,MATCH(1,(_xlfn.ANCHORARRAY(Sintesi!$C$9)&gt;_xlfn.ANCHORARRAY(Sintesi!$C$10))*(A91&gt;=_xlfn.ANCHORARRAY(Sintesi!$C$9))+(_xlfn.ANCHORARRAY(Sintesi!$C$9)&gt;_xlfn.ANCHORARRAY(Sintesi!$C$10))*(A91&lt;=_xlfn.ANCHORARRAY(Sintesi!$C$10))+(_xlfn.ANCHORARRAY(Sintesi!$C$9)&lt;_xlfn.ANCHORARRAY(Sintesi!$C$10))*(A91&gt;=_xlfn.ANCHORARRAY(Sintesi!$C$9))*(A91&lt;=_xlfn.ANCHORARRAY(Sintesi!$C$10)),0)),0)))),0)</f>
        <v>0</v>
      </c>
    </row>
    <row r="93" spans="1:13">
      <c r="A93" s="1">
        <f>'Paste cell here'!A93</f>
        <v>92</v>
      </c>
      <c r="B93" s="2">
        <f>DATE(Sintesi!$C$4-1,12,31)+A93</f>
        <v>44288</v>
      </c>
      <c r="C93" s="34">
        <f t="array" ref="C93">_xlfn.IFNA(MATCH(1,((_xlfn.ANCHORARRAY(Sintesi!$C$9)&gt;_xlfn.ANCHORARRAY(Sintesi!$C$10))*(A93&gt;=_xlfn.ANCHORARRAY(Sintesi!$C$9))+(_xlfn.ANCHORARRAY(Sintesi!$C$9)&gt;_xlfn.ANCHORARRAY(Sintesi!$C$10))*(A93&lt;=_xlfn.ANCHORARRAY(Sintesi!$C$10))+(_xlfn.ANCHORARRAY(Sintesi!$C$9)&lt;_xlfn.ANCHORARRAY(Sintesi!$C$10))*(A93&gt;=_xlfn.ANCHORARRAY(Sintesi!$C$9))*(A93&lt;=_xlfn.ANCHORARRAY(Sintesi!$C$10)))*(_xlfn.ANCHORARRAY(Sintesi!$C$15)&gt;=0)+(_xlfn.ANCHORARRAY(Sintesi!$C$15)&lt;0),0),0)</f>
        <v>0</v>
      </c>
      <c r="D93" s="1">
        <f t="array" ref="D93">IF(ISBLANK($E94),IF(ISNUMBER($E92),IF($C93&gt;0,IF(($E93=INDEX(_xlfn.ANCHORARRAY(Sintesi!$C$14),1,$C93))*(INDEX(_xlfn.ANCHORARRAY(Sintesi!$C$15),1,$C93)&gt;0),0,IF(($E93=INDEX(_xlfn.ANCHORARRAY(Sintesi!$C$14),1,$C93))*(INDEX(_xlfn.ANCHORARRAY(Sintesi!$C$15),1,$C93)&lt;0)+($E93&gt;=$E92)*($E93&lt;=INDEX($E:$E,MATCH(TRUE,INDEX((ISNUMBER($E:$E)),0),0)))*($E93&gt;INDEX(_xlfn.ANCHORARRAY(Sintesi!$C$14),1,$C93))*($E93&lt;=INDEX(_xlfn.ANCHORARRAY(Sintesi!$C$15),1,$C93))*(INDEX(_xlfn.ANCHORARRAY(Sintesi!$C$15),1,$C93)&gt;0),1,IF(($E93&gt;=$E92)*($E93&lt;=INDEX($E:$E,MATCH(TRUE,INDEX((ISNUMBER($E:$E)),0),0)))*($E93&gt;INDEX(_xlfn.ANCHORARRAY(Sintesi!$C$14),1,$C93))*($E93&lt;INDEX(_xlfn.ANCHORARRAY(Sintesi!$C$16),1,$C93))*(INDEX(_xlfn.ANCHORARRAY(Sintesi!$C$15),1,$C93)&lt;0)+($E93&gt;=$E92)*($E93&lt;=INDEX($E:$E,MATCH(TRUE,INDEX((ISNUMBER($E:$E)),0),0)))*($E93&gt;INDEX(_xlfn.ANCHORARRAY(Sintesi!$C$15),1,$C93))*($E93&lt;INDEX(_xlfn.ANCHORARRAY(Sintesi!$C$16),1,$C93))*(INDEX(_xlfn.ANCHORARRAY(Sintesi!$C$15),1,$C93)&gt;0),2,IF($E93=(INDEX(_xlfn.ANCHORARRAY(Sintesi!$C$16),1,$C93)),3,4)))),0),IF($C93&gt;0,IF(($E93=INDEX(_xlfn.ANCHORARRAY(Sintesi!$C$14),1,$C93))*(INDEX(_xlfn.ANCHORARRAY(Sintesi!$C$15),1,$C93)&gt;0),0,IF(($E93=INDEX(_xlfn.ANCHORARRAY(Sintesi!$C$14),1,$C93))*(INDEX(_xlfn.ANCHORARRAY(Sintesi!$C$15),1,$C93)&lt;0)+($E93&gt;=LOOKUP(2,1/($E:$E&lt;&gt;""),$E:$E))*($E93&lt;=INDEX($E:$E,MATCH(TRUE,INDEX((ISNUMBER($E:$E)),0),0)))*($E93&gt;INDEX(_xlfn.ANCHORARRAY(Sintesi!$C$14),1,$C93))*($E93&lt;=INDEX(_xlfn.ANCHORARRAY(Sintesi!$C$15),1,$C93))*(INDEX(_xlfn.ANCHORARRAY(Sintesi!$C$15),1,$C93)&gt;0),1,IF(($E93&gt;=LOOKUP(2,1/($E:$E&lt;&gt;""),$E:$E))*($E93&lt;=INDEX($E:$E,MATCH(TRUE,INDEX((ISNUMBER($E:$E)),0),0)))*($E93&gt;INDEX(_xlfn.ANCHORARRAY(Sintesi!$C$14),1,$C93))*($E93&lt;INDEX(_xlfn.ANCHORARRAY(Sintesi!$C$16),1,$C93))*(INDEX(_xlfn.ANCHORARRAY(Sintesi!$C$15),1,$C93)&lt;0)+($E93&gt;=LOOKUP(2,1/($E:$E&lt;&gt;""),$E:$E))*($E93&lt;=INDEX($E:$E,MATCH(TRUE,INDEX((ISNUMBER($E:$E)),0),0)))*($E93&gt;INDEX(_xlfn.ANCHORARRAY(Sintesi!$C$15),1,$C93))*($E93&lt;INDEX(_xlfn.ANCHORARRAY(Sintesi!$C$16),1,$C93))*(INDEX(_xlfn.ANCHORARRAY(Sintesi!$C$15),1,$C93)&gt;0),2,IF($E93=(INDEX(_xlfn.ANCHORARRAY(Sintesi!$C$16),1,$C93)),3,4)))),0)),IF(ISNUMBER($E92),IF($C93&gt;0,IF(($E93=INDEX(_xlfn.ANCHORARRAY(Sintesi!$C$14),1,$C93))*(INDEX(_xlfn.ANCHORARRAY(Sintesi!$C$15),1,$C93)&gt;0),0,IF(($E93=INDEX(_xlfn.ANCHORARRAY(Sintesi!$C$14),1,$C93))*(INDEX(_xlfn.ANCHORARRAY(Sintesi!$C$15),1,$C93)&lt;0)+($E93&gt;=$E92)*($E93&lt;=$E94)*($E93&gt;INDEX(_xlfn.ANCHORARRAY(Sintesi!$C$14),1,$C93))*($E93&lt;=INDEX(_xlfn.ANCHORARRAY(Sintesi!$C$15),1,$C93))*(INDEX(_xlfn.ANCHORARRAY(Sintesi!$C$15),1,$C93)&gt;0),1,IF(($E93&gt;=$E92)*($E93&lt;=$E94)*($E93&gt;INDEX(_xlfn.ANCHORARRAY(Sintesi!$C$14),1,$C93))*($E93&lt;INDEX(_xlfn.ANCHORARRAY(Sintesi!$C$16),1,$C93))*(INDEX(_xlfn.ANCHORARRAY(Sintesi!$C$15),1,$C93)&lt;0)+($E93&gt;=$E92)*($E93&lt;=$E94)*($E93&gt;INDEX(_xlfn.ANCHORARRAY(Sintesi!$C$15),1,$C93))*($E93&lt;INDEX(_xlfn.ANCHORARRAY(Sintesi!$C$16),1,$C93))*(INDEX(_xlfn.ANCHORARRAY(Sintesi!$C$15),1,$C93)&gt;0),2,IF($E93=(INDEX(_xlfn.ANCHORARRAY(Sintesi!$C$16),1,$C93)),3,4)))),0),IF($C93&gt;0,IF(($E93=INDEX(_xlfn.ANCHORARRAY(Sintesi!$C$14),1,$C93))*(INDEX(_xlfn.ANCHORARRAY(Sintesi!$C$15),1,$C93)&gt;0),0,IF(($E93=INDEX(_xlfn.ANCHORARRAY(Sintesi!$C$14),1,$C93))*(INDEX(_xlfn.ANCHORARRAY(Sintesi!$C$15),1,$C93)&lt;0)+($E93&gt;=LOOKUP(2,1/($E:$E&lt;&gt;""),$E:$E))*($E93&lt;=$E94)*($E93&gt;INDEX(_xlfn.ANCHORARRAY(Sintesi!$C$14),1,$C93))*($E93&lt;=INDEX(_xlfn.ANCHORARRAY(Sintesi!$C$15),1,$C93))*(INDEX(_xlfn.ANCHORARRAY(Sintesi!$C$15),1,$C93)&gt;0),1,IF(($E93&gt;=LOOKUP(2,1/($E:$E&lt;&gt;""),$E:$E))*($E93&lt;=$E94)*($E93&gt;INDEX(_xlfn.ANCHORARRAY(Sintesi!$C$14),1,$C93))*($E93&lt;INDEX(_xlfn.ANCHORARRAY(Sintesi!$C$16),1,$C93))*(INDEX(_xlfn.ANCHORARRAY(Sintesi!$C$15),1,$C93)&lt;0)+($E93&gt;=LOOKUP(2,1/($E:$E&lt;&gt;""),$E:$E))*($E93&lt;=$E94)*($E93&gt;INDEX(_xlfn.ANCHORARRAY(Sintesi!$C$15),1,$C93))*($E93&lt;INDEX(_xlfn.ANCHORARRAY(Sintesi!$C$16),1,$C93))*(INDEX(_xlfn.ANCHORARRAY(Sintesi!$C$15),1,$C93)&gt;0),2,IF($E93=(INDEX(_xlfn.ANCHORARRAY(Sintesi!$C$16),1,$C93)),3,4)))),0)))</f>
        <v>0</v>
      </c>
      <c r="E93" s="1">
        <f>'Paste cell here'!F93</f>
        <v>0</v>
      </c>
      <c r="F93" s="1">
        <f>'Paste cell here'!C93</f>
        <v>27.619999999999603</v>
      </c>
      <c r="G93" s="1">
        <f>'Paste cell here'!D93</f>
        <v>10.519999999999886</v>
      </c>
      <c r="H93" s="1">
        <f>'Paste cell here'!E93</f>
        <v>4.0446167507067505</v>
      </c>
      <c r="I93" s="1">
        <f>'Paste cell here'!X93</f>
        <v>0</v>
      </c>
      <c r="J93" s="1">
        <f>'Paste cell here'!Y93+'Paste cell here'!S93</f>
        <v>0</v>
      </c>
      <c r="K93" s="1">
        <f t="shared" si="2"/>
        <v>0</v>
      </c>
      <c r="L93" s="1">
        <f t="shared" si="3"/>
        <v>21.219804073746758</v>
      </c>
      <c r="M93" s="1">
        <f t="array" ref="M93">IF(AND(A93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93&gt;=_xlfn.ANCHORARRAY(Sintesi!$C$9))+(_xlfn.ANCHORARRAY(Sintesi!$C$9)&gt;_xlfn.ANCHORARRAY(Sintesi!$C$10))*(A93&lt;=_xlfn.ANCHORARRAY(Sintesi!$C$10))+(_xlfn.ANCHORARRAY(Sintesi!$C$9)&lt;_xlfn.ANCHORARRAY(Sintesi!$C$10))*(A93&gt;=_xlfn.ANCHORARRAY(Sintesi!$C$9))*(A93&lt;=_xlfn.ANCHORARRAY(Sintesi!$C$10)),0)),0),A93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94&gt;=_xlfn.ANCHORARRAY(Sintesi!$C$9))+(_xlfn.ANCHORARRAY(Sintesi!$C$9)&gt;_xlfn.ANCHORARRAY(Sintesi!$C$10))*(A94&lt;=_xlfn.ANCHORARRAY(Sintesi!$C$10))+(_xlfn.ANCHORARRAY(Sintesi!$C$9)&lt;_xlfn.ANCHORARRAY(Sintesi!$C$10))*(A94&gt;=_xlfn.ANCHORARRAY(Sintesi!$C$9))*(A94&lt;=_xlfn.ANCHORARRAY(Sintesi!$C$10)),0)),0)),IF(L93&lt;_xlfn.IFNA(INDEX(_xlfn.ANCHORARRAY(Sintesi!$C$17),1,MATCH(1,(_xlfn.ANCHORARRAY(Sintesi!$C$9)&gt;_xlfn.ANCHORARRAY(Sintesi!$C$10))*(A92&gt;=_xlfn.ANCHORARRAY(Sintesi!$C$9))+(_xlfn.ANCHORARRAY(Sintesi!$C$9)&gt;_xlfn.ANCHORARRAY(Sintesi!$C$10))*(A92&lt;=_xlfn.ANCHORARRAY(Sintesi!$C$10))+(_xlfn.ANCHORARRAY(Sintesi!$C$9)&lt;_xlfn.ANCHORARRAY(Sintesi!$C$10))*(A92&gt;=_xlfn.ANCHORARRAY(Sintesi!$C$9))*(A92&lt;=_xlfn.ANCHORARRAY(Sintesi!$C$10)),0)),0),1,IF(L93&gt;=_xlfn.IFNA(INDEX(_xlfn.ANCHORARRAY(Sintesi!$C$18),1,MATCH(1,(_xlfn.ANCHORARRAY(Sintesi!$C$9)&gt;_xlfn.ANCHORARRAY(Sintesi!$C$10))*(A92&gt;=_xlfn.ANCHORARRAY(Sintesi!$C$9))+(_xlfn.ANCHORARRAY(Sintesi!$C$9)&gt;_xlfn.ANCHORARRAY(Sintesi!$C$10))*(A92&lt;=_xlfn.ANCHORARRAY(Sintesi!$C$10))+(_xlfn.ANCHORARRAY(Sintesi!$C$9)&lt;_xlfn.ANCHORARRAY(Sintesi!$C$10))*(A92&gt;=_xlfn.ANCHORARRAY(Sintesi!$C$9))*(A92&lt;=_xlfn.ANCHORARRAY(Sintesi!$C$10)),0)),0),0,1-(L93-_xlfn.IFNA(INDEX(_xlfn.ANCHORARRAY(Sintesi!$C$17),1,MATCH(1,(_xlfn.ANCHORARRAY(Sintesi!$C$9)&gt;_xlfn.ANCHORARRAY(Sintesi!$C$10))*(A92&gt;=_xlfn.ANCHORARRAY(Sintesi!$C$9))+(_xlfn.ANCHORARRAY(Sintesi!$C$9)&gt;_xlfn.ANCHORARRAY(Sintesi!$C$10))*(A92&lt;=_xlfn.ANCHORARRAY(Sintesi!$C$10))+(_xlfn.ANCHORARRAY(Sintesi!$C$9)&lt;_xlfn.ANCHORARRAY(Sintesi!$C$10))*(A92&gt;=_xlfn.ANCHORARRAY(Sintesi!$C$9))*(A92&lt;=_xlfn.ANCHORARRAY(Sintesi!$C$10)),0)),0))/(_xlfn.IFNA(INDEX(_xlfn.ANCHORARRAY(Sintesi!$C$18),1,MATCH(1,(_xlfn.ANCHORARRAY(Sintesi!$C$9)&gt;_xlfn.ANCHORARRAY(Sintesi!$C$10))*(A92&gt;=_xlfn.ANCHORARRAY(Sintesi!$C$9))+(_xlfn.ANCHORARRAY(Sintesi!$C$9)&gt;_xlfn.ANCHORARRAY(Sintesi!$C$10))*(A92&lt;=_xlfn.ANCHORARRAY(Sintesi!$C$10))+(_xlfn.ANCHORARRAY(Sintesi!$C$9)&lt;_xlfn.ANCHORARRAY(Sintesi!$C$10))*(A92&gt;=_xlfn.ANCHORARRAY(Sintesi!$C$9))*(A92&lt;=_xlfn.ANCHORARRAY(Sintesi!$C$10)),0)),0)-_xlfn.IFNA(INDEX(_xlfn.ANCHORARRAY(Sintesi!$C$17),1,MATCH(1,(_xlfn.ANCHORARRAY(Sintesi!$C$9)&gt;_xlfn.ANCHORARRAY(Sintesi!$C$10))*(A92&gt;=_xlfn.ANCHORARRAY(Sintesi!$C$9))+(_xlfn.ANCHORARRAY(Sintesi!$C$9)&gt;_xlfn.ANCHORARRAY(Sintesi!$C$10))*(A92&lt;=_xlfn.ANCHORARRAY(Sintesi!$C$10))+(_xlfn.ANCHORARRAY(Sintesi!$C$9)&lt;_xlfn.ANCHORARRAY(Sintesi!$C$10))*(A92&gt;=_xlfn.ANCHORARRAY(Sintesi!$C$9))*(A92&lt;=_xlfn.ANCHORARRAY(Sintesi!$C$10)),0)),0)))),0)</f>
        <v>0</v>
      </c>
    </row>
    <row r="94" spans="1:13">
      <c r="A94" s="1">
        <f>'Paste cell here'!A94</f>
        <v>93</v>
      </c>
      <c r="B94" s="2">
        <f>DATE(Sintesi!$C$4-1,12,31)+A94</f>
        <v>44289</v>
      </c>
      <c r="C94" s="34">
        <f t="array" ref="C94">_xlfn.IFNA(MATCH(1,((_xlfn.ANCHORARRAY(Sintesi!$C$9)&gt;_xlfn.ANCHORARRAY(Sintesi!$C$10))*(A94&gt;=_xlfn.ANCHORARRAY(Sintesi!$C$9))+(_xlfn.ANCHORARRAY(Sintesi!$C$9)&gt;_xlfn.ANCHORARRAY(Sintesi!$C$10))*(A94&lt;=_xlfn.ANCHORARRAY(Sintesi!$C$10))+(_xlfn.ANCHORARRAY(Sintesi!$C$9)&lt;_xlfn.ANCHORARRAY(Sintesi!$C$10))*(A94&gt;=_xlfn.ANCHORARRAY(Sintesi!$C$9))*(A94&lt;=_xlfn.ANCHORARRAY(Sintesi!$C$10)))*(_xlfn.ANCHORARRAY(Sintesi!$C$15)&gt;=0)+(_xlfn.ANCHORARRAY(Sintesi!$C$15)&lt;0),0),0)</f>
        <v>1</v>
      </c>
      <c r="D94" s="1">
        <f t="array" ref="D94">IF(ISBLANK($E95),IF(ISNUMBER($E93),IF($C94&gt;0,IF(($E94=INDEX(_xlfn.ANCHORARRAY(Sintesi!$C$14),1,$C94))*(INDEX(_xlfn.ANCHORARRAY(Sintesi!$C$15),1,$C94)&gt;0),0,IF(($E94=INDEX(_xlfn.ANCHORARRAY(Sintesi!$C$14),1,$C94))*(INDEX(_xlfn.ANCHORARRAY(Sintesi!$C$15),1,$C94)&lt;0)+($E94&gt;=$E93)*($E94&lt;=INDEX($E:$E,MATCH(TRUE,INDEX((ISNUMBER($E:$E)),0),0)))*($E94&gt;INDEX(_xlfn.ANCHORARRAY(Sintesi!$C$14),1,$C94))*($E94&lt;=INDEX(_xlfn.ANCHORARRAY(Sintesi!$C$15),1,$C94))*(INDEX(_xlfn.ANCHORARRAY(Sintesi!$C$15),1,$C94)&gt;0),1,IF(($E94&gt;=$E93)*($E94&lt;=INDEX($E:$E,MATCH(TRUE,INDEX((ISNUMBER($E:$E)),0),0)))*($E94&gt;INDEX(_xlfn.ANCHORARRAY(Sintesi!$C$14),1,$C94))*($E94&lt;INDEX(_xlfn.ANCHORARRAY(Sintesi!$C$16),1,$C94))*(INDEX(_xlfn.ANCHORARRAY(Sintesi!$C$15),1,$C94)&lt;0)+($E94&gt;=$E93)*($E94&lt;=INDEX($E:$E,MATCH(TRUE,INDEX((ISNUMBER($E:$E)),0),0)))*($E94&gt;INDEX(_xlfn.ANCHORARRAY(Sintesi!$C$15),1,$C94))*($E94&lt;INDEX(_xlfn.ANCHORARRAY(Sintesi!$C$16),1,$C94))*(INDEX(_xlfn.ANCHORARRAY(Sintesi!$C$15),1,$C94)&gt;0),2,IF($E94=(INDEX(_xlfn.ANCHORARRAY(Sintesi!$C$16),1,$C94)),3,4)))),0),IF($C94&gt;0,IF(($E94=INDEX(_xlfn.ANCHORARRAY(Sintesi!$C$14),1,$C94))*(INDEX(_xlfn.ANCHORARRAY(Sintesi!$C$15),1,$C94)&gt;0),0,IF(($E94=INDEX(_xlfn.ANCHORARRAY(Sintesi!$C$14),1,$C94))*(INDEX(_xlfn.ANCHORARRAY(Sintesi!$C$15),1,$C94)&lt;0)+($E94&gt;=LOOKUP(2,1/($E:$E&lt;&gt;""),$E:$E))*($E94&lt;=INDEX($E:$E,MATCH(TRUE,INDEX((ISNUMBER($E:$E)),0),0)))*($E94&gt;INDEX(_xlfn.ANCHORARRAY(Sintesi!$C$14),1,$C94))*($E94&lt;=INDEX(_xlfn.ANCHORARRAY(Sintesi!$C$15),1,$C94))*(INDEX(_xlfn.ANCHORARRAY(Sintesi!$C$15),1,$C94)&gt;0),1,IF(($E94&gt;=LOOKUP(2,1/($E:$E&lt;&gt;""),$E:$E))*($E94&lt;=INDEX($E:$E,MATCH(TRUE,INDEX((ISNUMBER($E:$E)),0),0)))*($E94&gt;INDEX(_xlfn.ANCHORARRAY(Sintesi!$C$14),1,$C94))*($E94&lt;INDEX(_xlfn.ANCHORARRAY(Sintesi!$C$16),1,$C94))*(INDEX(_xlfn.ANCHORARRAY(Sintesi!$C$15),1,$C94)&lt;0)+($E94&gt;=LOOKUP(2,1/($E:$E&lt;&gt;""),$E:$E))*($E94&lt;=INDEX($E:$E,MATCH(TRUE,INDEX((ISNUMBER($E:$E)),0),0)))*($E94&gt;INDEX(_xlfn.ANCHORARRAY(Sintesi!$C$15),1,$C94))*($E94&lt;INDEX(_xlfn.ANCHORARRAY(Sintesi!$C$16),1,$C94))*(INDEX(_xlfn.ANCHORARRAY(Sintesi!$C$15),1,$C94)&gt;0),2,IF($E94=(INDEX(_xlfn.ANCHORARRAY(Sintesi!$C$16),1,$C94)),3,4)))),0)),IF(ISNUMBER($E93),IF($C94&gt;0,IF(($E94=INDEX(_xlfn.ANCHORARRAY(Sintesi!$C$14),1,$C94))*(INDEX(_xlfn.ANCHORARRAY(Sintesi!$C$15),1,$C94)&gt;0),0,IF(($E94=INDEX(_xlfn.ANCHORARRAY(Sintesi!$C$14),1,$C94))*(INDEX(_xlfn.ANCHORARRAY(Sintesi!$C$15),1,$C94)&lt;0)+($E94&gt;=$E93)*($E94&lt;=$E95)*($E94&gt;INDEX(_xlfn.ANCHORARRAY(Sintesi!$C$14),1,$C94))*($E94&lt;=INDEX(_xlfn.ANCHORARRAY(Sintesi!$C$15),1,$C94))*(INDEX(_xlfn.ANCHORARRAY(Sintesi!$C$15),1,$C94)&gt;0),1,IF(($E94&gt;=$E93)*($E94&lt;=$E95)*($E94&gt;INDEX(_xlfn.ANCHORARRAY(Sintesi!$C$14),1,$C94))*($E94&lt;INDEX(_xlfn.ANCHORARRAY(Sintesi!$C$16),1,$C94))*(INDEX(_xlfn.ANCHORARRAY(Sintesi!$C$15),1,$C94)&lt;0)+($E94&gt;=$E93)*($E94&lt;=$E95)*($E94&gt;INDEX(_xlfn.ANCHORARRAY(Sintesi!$C$15),1,$C94))*($E94&lt;INDEX(_xlfn.ANCHORARRAY(Sintesi!$C$16),1,$C94))*(INDEX(_xlfn.ANCHORARRAY(Sintesi!$C$15),1,$C94)&gt;0),2,IF($E94=(INDEX(_xlfn.ANCHORARRAY(Sintesi!$C$16),1,$C94)),3,4)))),0),IF($C94&gt;0,IF(($E94=INDEX(_xlfn.ANCHORARRAY(Sintesi!$C$14),1,$C94))*(INDEX(_xlfn.ANCHORARRAY(Sintesi!$C$15),1,$C94)&gt;0),0,IF(($E94=INDEX(_xlfn.ANCHORARRAY(Sintesi!$C$14),1,$C94))*(INDEX(_xlfn.ANCHORARRAY(Sintesi!$C$15),1,$C94)&lt;0)+($E94&gt;=LOOKUP(2,1/($E:$E&lt;&gt;""),$E:$E))*($E94&lt;=$E95)*($E94&gt;INDEX(_xlfn.ANCHORARRAY(Sintesi!$C$14),1,$C94))*($E94&lt;=INDEX(_xlfn.ANCHORARRAY(Sintesi!$C$15),1,$C94))*(INDEX(_xlfn.ANCHORARRAY(Sintesi!$C$15),1,$C94)&gt;0),1,IF(($E94&gt;=LOOKUP(2,1/($E:$E&lt;&gt;""),$E:$E))*($E94&lt;=$E95)*($E94&gt;INDEX(_xlfn.ANCHORARRAY(Sintesi!$C$14),1,$C94))*($E94&lt;INDEX(_xlfn.ANCHORARRAY(Sintesi!$C$16),1,$C94))*(INDEX(_xlfn.ANCHORARRAY(Sintesi!$C$15),1,$C94)&lt;0)+($E94&gt;=LOOKUP(2,1/($E:$E&lt;&gt;""),$E:$E))*($E94&lt;=$E95)*($E94&gt;INDEX(_xlfn.ANCHORARRAY(Sintesi!$C$15),1,$C94))*($E94&lt;INDEX(_xlfn.ANCHORARRAY(Sintesi!$C$16),1,$C94))*(INDEX(_xlfn.ANCHORARRAY(Sintesi!$C$15),1,$C94)&gt;0),2,IF($E94=(INDEX(_xlfn.ANCHORARRAY(Sintesi!$C$16),1,$C94)),3,4)))),0)))</f>
        <v>0</v>
      </c>
      <c r="E94" s="1">
        <f>'Paste cell here'!F94</f>
        <v>0</v>
      </c>
      <c r="F94" s="1">
        <f>'Paste cell here'!C94</f>
        <v>20.179999999999701</v>
      </c>
      <c r="G94" s="1">
        <f>'Paste cell here'!D94</f>
        <v>11.339999999999838</v>
      </c>
      <c r="H94" s="1">
        <f>'Paste cell here'!E94</f>
        <v>3.4737220599447554</v>
      </c>
      <c r="I94" s="1">
        <f>'Paste cell here'!X94</f>
        <v>0</v>
      </c>
      <c r="J94" s="1">
        <f>'Paste cell here'!Y94+'Paste cell here'!S94</f>
        <v>0</v>
      </c>
      <c r="K94" s="1">
        <f t="shared" si="2"/>
        <v>0</v>
      </c>
      <c r="L94" s="1">
        <f t="shared" si="3"/>
        <v>16.871360702451444</v>
      </c>
      <c r="M94" s="1">
        <f t="array" ref="M94">IF(AND(A94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94&gt;=_xlfn.ANCHORARRAY(Sintesi!$C$9))+(_xlfn.ANCHORARRAY(Sintesi!$C$9)&gt;_xlfn.ANCHORARRAY(Sintesi!$C$10))*(A94&lt;=_xlfn.ANCHORARRAY(Sintesi!$C$10))+(_xlfn.ANCHORARRAY(Sintesi!$C$9)&lt;_xlfn.ANCHORARRAY(Sintesi!$C$10))*(A94&gt;=_xlfn.ANCHORARRAY(Sintesi!$C$9))*(A94&lt;=_xlfn.ANCHORARRAY(Sintesi!$C$10)),0)),0),A94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95&gt;=_xlfn.ANCHORARRAY(Sintesi!$C$9))+(_xlfn.ANCHORARRAY(Sintesi!$C$9)&gt;_xlfn.ANCHORARRAY(Sintesi!$C$10))*(A95&lt;=_xlfn.ANCHORARRAY(Sintesi!$C$10))+(_xlfn.ANCHORARRAY(Sintesi!$C$9)&lt;_xlfn.ANCHORARRAY(Sintesi!$C$10))*(A95&gt;=_xlfn.ANCHORARRAY(Sintesi!$C$9))*(A95&lt;=_xlfn.ANCHORARRAY(Sintesi!$C$10)),0)),0)),IF(L94&lt;_xlfn.IFNA(INDEX(_xlfn.ANCHORARRAY(Sintesi!$C$17),1,MATCH(1,(_xlfn.ANCHORARRAY(Sintesi!$C$9)&gt;_xlfn.ANCHORARRAY(Sintesi!$C$10))*(A93&gt;=_xlfn.ANCHORARRAY(Sintesi!$C$9))+(_xlfn.ANCHORARRAY(Sintesi!$C$9)&gt;_xlfn.ANCHORARRAY(Sintesi!$C$10))*(A93&lt;=_xlfn.ANCHORARRAY(Sintesi!$C$10))+(_xlfn.ANCHORARRAY(Sintesi!$C$9)&lt;_xlfn.ANCHORARRAY(Sintesi!$C$10))*(A93&gt;=_xlfn.ANCHORARRAY(Sintesi!$C$9))*(A93&lt;=_xlfn.ANCHORARRAY(Sintesi!$C$10)),0)),0),1,IF(L94&gt;=_xlfn.IFNA(INDEX(_xlfn.ANCHORARRAY(Sintesi!$C$18),1,MATCH(1,(_xlfn.ANCHORARRAY(Sintesi!$C$9)&gt;_xlfn.ANCHORARRAY(Sintesi!$C$10))*(A93&gt;=_xlfn.ANCHORARRAY(Sintesi!$C$9))+(_xlfn.ANCHORARRAY(Sintesi!$C$9)&gt;_xlfn.ANCHORARRAY(Sintesi!$C$10))*(A93&lt;=_xlfn.ANCHORARRAY(Sintesi!$C$10))+(_xlfn.ANCHORARRAY(Sintesi!$C$9)&lt;_xlfn.ANCHORARRAY(Sintesi!$C$10))*(A93&gt;=_xlfn.ANCHORARRAY(Sintesi!$C$9))*(A93&lt;=_xlfn.ANCHORARRAY(Sintesi!$C$10)),0)),0),0,1-(L94-_xlfn.IFNA(INDEX(_xlfn.ANCHORARRAY(Sintesi!$C$17),1,MATCH(1,(_xlfn.ANCHORARRAY(Sintesi!$C$9)&gt;_xlfn.ANCHORARRAY(Sintesi!$C$10))*(A93&gt;=_xlfn.ANCHORARRAY(Sintesi!$C$9))+(_xlfn.ANCHORARRAY(Sintesi!$C$9)&gt;_xlfn.ANCHORARRAY(Sintesi!$C$10))*(A93&lt;=_xlfn.ANCHORARRAY(Sintesi!$C$10))+(_xlfn.ANCHORARRAY(Sintesi!$C$9)&lt;_xlfn.ANCHORARRAY(Sintesi!$C$10))*(A93&gt;=_xlfn.ANCHORARRAY(Sintesi!$C$9))*(A93&lt;=_xlfn.ANCHORARRAY(Sintesi!$C$10)),0)),0))/(_xlfn.IFNA(INDEX(_xlfn.ANCHORARRAY(Sintesi!$C$18),1,MATCH(1,(_xlfn.ANCHORARRAY(Sintesi!$C$9)&gt;_xlfn.ANCHORARRAY(Sintesi!$C$10))*(A93&gt;=_xlfn.ANCHORARRAY(Sintesi!$C$9))+(_xlfn.ANCHORARRAY(Sintesi!$C$9)&gt;_xlfn.ANCHORARRAY(Sintesi!$C$10))*(A93&lt;=_xlfn.ANCHORARRAY(Sintesi!$C$10))+(_xlfn.ANCHORARRAY(Sintesi!$C$9)&lt;_xlfn.ANCHORARRAY(Sintesi!$C$10))*(A93&gt;=_xlfn.ANCHORARRAY(Sintesi!$C$9))*(A93&lt;=_xlfn.ANCHORARRAY(Sintesi!$C$10)),0)),0)-_xlfn.IFNA(INDEX(_xlfn.ANCHORARRAY(Sintesi!$C$17),1,MATCH(1,(_xlfn.ANCHORARRAY(Sintesi!$C$9)&gt;_xlfn.ANCHORARRAY(Sintesi!$C$10))*(A93&gt;=_xlfn.ANCHORARRAY(Sintesi!$C$9))+(_xlfn.ANCHORARRAY(Sintesi!$C$9)&gt;_xlfn.ANCHORARRAY(Sintesi!$C$10))*(A93&lt;=_xlfn.ANCHORARRAY(Sintesi!$C$10))+(_xlfn.ANCHORARRAY(Sintesi!$C$9)&lt;_xlfn.ANCHORARRAY(Sintesi!$C$10))*(A93&gt;=_xlfn.ANCHORARRAY(Sintesi!$C$9))*(A93&lt;=_xlfn.ANCHORARRAY(Sintesi!$C$10)),0)),0)))),0)</f>
        <v>0</v>
      </c>
    </row>
    <row r="95" spans="1:13">
      <c r="A95" s="1">
        <f>'Paste cell here'!A95</f>
        <v>94</v>
      </c>
      <c r="B95" s="2">
        <f>DATE(Sintesi!$C$4-1,12,31)+A95</f>
        <v>44290</v>
      </c>
      <c r="C95" s="34">
        <f t="array" ref="C95">_xlfn.IFNA(MATCH(1,((_xlfn.ANCHORARRAY(Sintesi!$C$9)&gt;_xlfn.ANCHORARRAY(Sintesi!$C$10))*(A95&gt;=_xlfn.ANCHORARRAY(Sintesi!$C$9))+(_xlfn.ANCHORARRAY(Sintesi!$C$9)&gt;_xlfn.ANCHORARRAY(Sintesi!$C$10))*(A95&lt;=_xlfn.ANCHORARRAY(Sintesi!$C$10))+(_xlfn.ANCHORARRAY(Sintesi!$C$9)&lt;_xlfn.ANCHORARRAY(Sintesi!$C$10))*(A95&gt;=_xlfn.ANCHORARRAY(Sintesi!$C$9))*(A95&lt;=_xlfn.ANCHORARRAY(Sintesi!$C$10)))*(_xlfn.ANCHORARRAY(Sintesi!$C$15)&gt;=0)+(_xlfn.ANCHORARRAY(Sintesi!$C$15)&lt;0),0),0)</f>
        <v>1</v>
      </c>
      <c r="D95" s="1">
        <f t="array" ref="D95">IF(ISBLANK($E96),IF(ISNUMBER($E94),IF($C95&gt;0,IF(($E95=INDEX(_xlfn.ANCHORARRAY(Sintesi!$C$14),1,$C95))*(INDEX(_xlfn.ANCHORARRAY(Sintesi!$C$15),1,$C95)&gt;0),0,IF(($E95=INDEX(_xlfn.ANCHORARRAY(Sintesi!$C$14),1,$C95))*(INDEX(_xlfn.ANCHORARRAY(Sintesi!$C$15),1,$C95)&lt;0)+($E95&gt;=$E94)*($E95&lt;=INDEX($E:$E,MATCH(TRUE,INDEX((ISNUMBER($E:$E)),0),0)))*($E95&gt;INDEX(_xlfn.ANCHORARRAY(Sintesi!$C$14),1,$C95))*($E95&lt;=INDEX(_xlfn.ANCHORARRAY(Sintesi!$C$15),1,$C95))*(INDEX(_xlfn.ANCHORARRAY(Sintesi!$C$15),1,$C95)&gt;0),1,IF(($E95&gt;=$E94)*($E95&lt;=INDEX($E:$E,MATCH(TRUE,INDEX((ISNUMBER($E:$E)),0),0)))*($E95&gt;INDEX(_xlfn.ANCHORARRAY(Sintesi!$C$14),1,$C95))*($E95&lt;INDEX(_xlfn.ANCHORARRAY(Sintesi!$C$16),1,$C95))*(INDEX(_xlfn.ANCHORARRAY(Sintesi!$C$15),1,$C95)&lt;0)+($E95&gt;=$E94)*($E95&lt;=INDEX($E:$E,MATCH(TRUE,INDEX((ISNUMBER($E:$E)),0),0)))*($E95&gt;INDEX(_xlfn.ANCHORARRAY(Sintesi!$C$15),1,$C95))*($E95&lt;INDEX(_xlfn.ANCHORARRAY(Sintesi!$C$16),1,$C95))*(INDEX(_xlfn.ANCHORARRAY(Sintesi!$C$15),1,$C95)&gt;0),2,IF($E95=(INDEX(_xlfn.ANCHORARRAY(Sintesi!$C$16),1,$C95)),3,4)))),0),IF($C95&gt;0,IF(($E95=INDEX(_xlfn.ANCHORARRAY(Sintesi!$C$14),1,$C95))*(INDEX(_xlfn.ANCHORARRAY(Sintesi!$C$15),1,$C95)&gt;0),0,IF(($E95=INDEX(_xlfn.ANCHORARRAY(Sintesi!$C$14),1,$C95))*(INDEX(_xlfn.ANCHORARRAY(Sintesi!$C$15),1,$C95)&lt;0)+($E95&gt;=LOOKUP(2,1/($E:$E&lt;&gt;""),$E:$E))*($E95&lt;=INDEX($E:$E,MATCH(TRUE,INDEX((ISNUMBER($E:$E)),0),0)))*($E95&gt;INDEX(_xlfn.ANCHORARRAY(Sintesi!$C$14),1,$C95))*($E95&lt;=INDEX(_xlfn.ANCHORARRAY(Sintesi!$C$15),1,$C95))*(INDEX(_xlfn.ANCHORARRAY(Sintesi!$C$15),1,$C95)&gt;0),1,IF(($E95&gt;=LOOKUP(2,1/($E:$E&lt;&gt;""),$E:$E))*($E95&lt;=INDEX($E:$E,MATCH(TRUE,INDEX((ISNUMBER($E:$E)),0),0)))*($E95&gt;INDEX(_xlfn.ANCHORARRAY(Sintesi!$C$14),1,$C95))*($E95&lt;INDEX(_xlfn.ANCHORARRAY(Sintesi!$C$16),1,$C95))*(INDEX(_xlfn.ANCHORARRAY(Sintesi!$C$15),1,$C95)&lt;0)+($E95&gt;=LOOKUP(2,1/($E:$E&lt;&gt;""),$E:$E))*($E95&lt;=INDEX($E:$E,MATCH(TRUE,INDEX((ISNUMBER($E:$E)),0),0)))*($E95&gt;INDEX(_xlfn.ANCHORARRAY(Sintesi!$C$15),1,$C95))*($E95&lt;INDEX(_xlfn.ANCHORARRAY(Sintesi!$C$16),1,$C95))*(INDEX(_xlfn.ANCHORARRAY(Sintesi!$C$15),1,$C95)&gt;0),2,IF($E95=(INDEX(_xlfn.ANCHORARRAY(Sintesi!$C$16),1,$C95)),3,4)))),0)),IF(ISNUMBER($E94),IF($C95&gt;0,IF(($E95=INDEX(_xlfn.ANCHORARRAY(Sintesi!$C$14),1,$C95))*(INDEX(_xlfn.ANCHORARRAY(Sintesi!$C$15),1,$C95)&gt;0),0,IF(($E95=INDEX(_xlfn.ANCHORARRAY(Sintesi!$C$14),1,$C95))*(INDEX(_xlfn.ANCHORARRAY(Sintesi!$C$15),1,$C95)&lt;0)+($E95&gt;=$E94)*($E95&lt;=$E96)*($E95&gt;INDEX(_xlfn.ANCHORARRAY(Sintesi!$C$14),1,$C95))*($E95&lt;=INDEX(_xlfn.ANCHORARRAY(Sintesi!$C$15),1,$C95))*(INDEX(_xlfn.ANCHORARRAY(Sintesi!$C$15),1,$C95)&gt;0),1,IF(($E95&gt;=$E94)*($E95&lt;=$E96)*($E95&gt;INDEX(_xlfn.ANCHORARRAY(Sintesi!$C$14),1,$C95))*($E95&lt;INDEX(_xlfn.ANCHORARRAY(Sintesi!$C$16),1,$C95))*(INDEX(_xlfn.ANCHORARRAY(Sintesi!$C$15),1,$C95)&lt;0)+($E95&gt;=$E94)*($E95&lt;=$E96)*($E95&gt;INDEX(_xlfn.ANCHORARRAY(Sintesi!$C$15),1,$C95))*($E95&lt;INDEX(_xlfn.ANCHORARRAY(Sintesi!$C$16),1,$C95))*(INDEX(_xlfn.ANCHORARRAY(Sintesi!$C$15),1,$C95)&gt;0),2,IF($E95=(INDEX(_xlfn.ANCHORARRAY(Sintesi!$C$16),1,$C95)),3,4)))),0),IF($C95&gt;0,IF(($E95=INDEX(_xlfn.ANCHORARRAY(Sintesi!$C$14),1,$C95))*(INDEX(_xlfn.ANCHORARRAY(Sintesi!$C$15),1,$C95)&gt;0),0,IF(($E95=INDEX(_xlfn.ANCHORARRAY(Sintesi!$C$14),1,$C95))*(INDEX(_xlfn.ANCHORARRAY(Sintesi!$C$15),1,$C95)&lt;0)+($E95&gt;=LOOKUP(2,1/($E:$E&lt;&gt;""),$E:$E))*($E95&lt;=$E96)*($E95&gt;INDEX(_xlfn.ANCHORARRAY(Sintesi!$C$14),1,$C95))*($E95&lt;=INDEX(_xlfn.ANCHORARRAY(Sintesi!$C$15),1,$C95))*(INDEX(_xlfn.ANCHORARRAY(Sintesi!$C$15),1,$C95)&gt;0),1,IF(($E95&gt;=LOOKUP(2,1/($E:$E&lt;&gt;""),$E:$E))*($E95&lt;=$E96)*($E95&gt;INDEX(_xlfn.ANCHORARRAY(Sintesi!$C$14),1,$C95))*($E95&lt;INDEX(_xlfn.ANCHORARRAY(Sintesi!$C$16),1,$C95))*(INDEX(_xlfn.ANCHORARRAY(Sintesi!$C$15),1,$C95)&lt;0)+($E95&gt;=LOOKUP(2,1/($E:$E&lt;&gt;""),$E:$E))*($E95&lt;=$E96)*($E95&gt;INDEX(_xlfn.ANCHORARRAY(Sintesi!$C$15),1,$C95))*($E95&lt;INDEX(_xlfn.ANCHORARRAY(Sintesi!$C$16),1,$C95))*(INDEX(_xlfn.ANCHORARRAY(Sintesi!$C$15),1,$C95)&gt;0),2,IF($E95=(INDEX(_xlfn.ANCHORARRAY(Sintesi!$C$16),1,$C95)),3,4)))),0)))</f>
        <v>0</v>
      </c>
      <c r="E95" s="1">
        <f>'Paste cell here'!F95</f>
        <v>0</v>
      </c>
      <c r="F95" s="1">
        <f>'Paste cell here'!C95</f>
        <v>16.579999999999757</v>
      </c>
      <c r="G95" s="1">
        <f>'Paste cell here'!D95</f>
        <v>7.63999999999991</v>
      </c>
      <c r="H95" s="1">
        <f>'Paste cell here'!E95</f>
        <v>3.1194395235593269</v>
      </c>
      <c r="I95" s="1">
        <f>'Paste cell here'!X95</f>
        <v>0</v>
      </c>
      <c r="J95" s="1">
        <f>'Paste cell here'!Y95+'Paste cell here'!S95</f>
        <v>0</v>
      </c>
      <c r="K95" s="1">
        <f t="shared" si="2"/>
        <v>0</v>
      </c>
      <c r="L95" s="1">
        <f t="shared" si="3"/>
        <v>13.233932656099148</v>
      </c>
      <c r="M95" s="1">
        <f t="array" ref="M95">IF(AND(A95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95&gt;=_xlfn.ANCHORARRAY(Sintesi!$C$9))+(_xlfn.ANCHORARRAY(Sintesi!$C$9)&gt;_xlfn.ANCHORARRAY(Sintesi!$C$10))*(A95&lt;=_xlfn.ANCHORARRAY(Sintesi!$C$10))+(_xlfn.ANCHORARRAY(Sintesi!$C$9)&lt;_xlfn.ANCHORARRAY(Sintesi!$C$10))*(A95&gt;=_xlfn.ANCHORARRAY(Sintesi!$C$9))*(A95&lt;=_xlfn.ANCHORARRAY(Sintesi!$C$10)),0)),0),A95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96&gt;=_xlfn.ANCHORARRAY(Sintesi!$C$9))+(_xlfn.ANCHORARRAY(Sintesi!$C$9)&gt;_xlfn.ANCHORARRAY(Sintesi!$C$10))*(A96&lt;=_xlfn.ANCHORARRAY(Sintesi!$C$10))+(_xlfn.ANCHORARRAY(Sintesi!$C$9)&lt;_xlfn.ANCHORARRAY(Sintesi!$C$10))*(A96&gt;=_xlfn.ANCHORARRAY(Sintesi!$C$9))*(A96&lt;=_xlfn.ANCHORARRAY(Sintesi!$C$10)),0)),0)),IF(L95&lt;_xlfn.IFNA(INDEX(_xlfn.ANCHORARRAY(Sintesi!$C$17),1,MATCH(1,(_xlfn.ANCHORARRAY(Sintesi!$C$9)&gt;_xlfn.ANCHORARRAY(Sintesi!$C$10))*(A94&gt;=_xlfn.ANCHORARRAY(Sintesi!$C$9))+(_xlfn.ANCHORARRAY(Sintesi!$C$9)&gt;_xlfn.ANCHORARRAY(Sintesi!$C$10))*(A94&lt;=_xlfn.ANCHORARRAY(Sintesi!$C$10))+(_xlfn.ANCHORARRAY(Sintesi!$C$9)&lt;_xlfn.ANCHORARRAY(Sintesi!$C$10))*(A94&gt;=_xlfn.ANCHORARRAY(Sintesi!$C$9))*(A94&lt;=_xlfn.ANCHORARRAY(Sintesi!$C$10)),0)),0),1,IF(L95&gt;=_xlfn.IFNA(INDEX(_xlfn.ANCHORARRAY(Sintesi!$C$18),1,MATCH(1,(_xlfn.ANCHORARRAY(Sintesi!$C$9)&gt;_xlfn.ANCHORARRAY(Sintesi!$C$10))*(A94&gt;=_xlfn.ANCHORARRAY(Sintesi!$C$9))+(_xlfn.ANCHORARRAY(Sintesi!$C$9)&gt;_xlfn.ANCHORARRAY(Sintesi!$C$10))*(A94&lt;=_xlfn.ANCHORARRAY(Sintesi!$C$10))+(_xlfn.ANCHORARRAY(Sintesi!$C$9)&lt;_xlfn.ANCHORARRAY(Sintesi!$C$10))*(A94&gt;=_xlfn.ANCHORARRAY(Sintesi!$C$9))*(A94&lt;=_xlfn.ANCHORARRAY(Sintesi!$C$10)),0)),0),0,1-(L95-_xlfn.IFNA(INDEX(_xlfn.ANCHORARRAY(Sintesi!$C$17),1,MATCH(1,(_xlfn.ANCHORARRAY(Sintesi!$C$9)&gt;_xlfn.ANCHORARRAY(Sintesi!$C$10))*(A94&gt;=_xlfn.ANCHORARRAY(Sintesi!$C$9))+(_xlfn.ANCHORARRAY(Sintesi!$C$9)&gt;_xlfn.ANCHORARRAY(Sintesi!$C$10))*(A94&lt;=_xlfn.ANCHORARRAY(Sintesi!$C$10))+(_xlfn.ANCHORARRAY(Sintesi!$C$9)&lt;_xlfn.ANCHORARRAY(Sintesi!$C$10))*(A94&gt;=_xlfn.ANCHORARRAY(Sintesi!$C$9))*(A94&lt;=_xlfn.ANCHORARRAY(Sintesi!$C$10)),0)),0))/(_xlfn.IFNA(INDEX(_xlfn.ANCHORARRAY(Sintesi!$C$18),1,MATCH(1,(_xlfn.ANCHORARRAY(Sintesi!$C$9)&gt;_xlfn.ANCHORARRAY(Sintesi!$C$10))*(A94&gt;=_xlfn.ANCHORARRAY(Sintesi!$C$9))+(_xlfn.ANCHORARRAY(Sintesi!$C$9)&gt;_xlfn.ANCHORARRAY(Sintesi!$C$10))*(A94&lt;=_xlfn.ANCHORARRAY(Sintesi!$C$10))+(_xlfn.ANCHORARRAY(Sintesi!$C$9)&lt;_xlfn.ANCHORARRAY(Sintesi!$C$10))*(A94&gt;=_xlfn.ANCHORARRAY(Sintesi!$C$9))*(A94&lt;=_xlfn.ANCHORARRAY(Sintesi!$C$10)),0)),0)-_xlfn.IFNA(INDEX(_xlfn.ANCHORARRAY(Sintesi!$C$17),1,MATCH(1,(_xlfn.ANCHORARRAY(Sintesi!$C$9)&gt;_xlfn.ANCHORARRAY(Sintesi!$C$10))*(A94&gt;=_xlfn.ANCHORARRAY(Sintesi!$C$9))+(_xlfn.ANCHORARRAY(Sintesi!$C$9)&gt;_xlfn.ANCHORARRAY(Sintesi!$C$10))*(A94&lt;=_xlfn.ANCHORARRAY(Sintesi!$C$10))+(_xlfn.ANCHORARRAY(Sintesi!$C$9)&lt;_xlfn.ANCHORARRAY(Sintesi!$C$10))*(A94&gt;=_xlfn.ANCHORARRAY(Sintesi!$C$9))*(A94&lt;=_xlfn.ANCHORARRAY(Sintesi!$C$10)),0)),0)))),0)</f>
        <v>0</v>
      </c>
    </row>
    <row r="96" spans="1:13">
      <c r="A96" s="1">
        <f>'Paste cell here'!A96</f>
        <v>95</v>
      </c>
      <c r="B96" s="2">
        <f>DATE(Sintesi!$C$4-1,12,31)+A96</f>
        <v>44291</v>
      </c>
      <c r="C96" s="34">
        <f t="array" ref="C96">_xlfn.IFNA(MATCH(1,((_xlfn.ANCHORARRAY(Sintesi!$C$9)&gt;_xlfn.ANCHORARRAY(Sintesi!$C$10))*(A96&gt;=_xlfn.ANCHORARRAY(Sintesi!$C$9))+(_xlfn.ANCHORARRAY(Sintesi!$C$9)&gt;_xlfn.ANCHORARRAY(Sintesi!$C$10))*(A96&lt;=_xlfn.ANCHORARRAY(Sintesi!$C$10))+(_xlfn.ANCHORARRAY(Sintesi!$C$9)&lt;_xlfn.ANCHORARRAY(Sintesi!$C$10))*(A96&gt;=_xlfn.ANCHORARRAY(Sintesi!$C$9))*(A96&lt;=_xlfn.ANCHORARRAY(Sintesi!$C$10)))*(_xlfn.ANCHORARRAY(Sintesi!$C$15)&gt;=0)+(_xlfn.ANCHORARRAY(Sintesi!$C$15)&lt;0),0),0)</f>
        <v>1</v>
      </c>
      <c r="D96" s="1">
        <f t="array" ref="D96">IF(ISBLANK($E97),IF(ISNUMBER($E95),IF($C96&gt;0,IF(($E96=INDEX(_xlfn.ANCHORARRAY(Sintesi!$C$14),1,$C96))*(INDEX(_xlfn.ANCHORARRAY(Sintesi!$C$15),1,$C96)&gt;0),0,IF(($E96=INDEX(_xlfn.ANCHORARRAY(Sintesi!$C$14),1,$C96))*(INDEX(_xlfn.ANCHORARRAY(Sintesi!$C$15),1,$C96)&lt;0)+($E96&gt;=$E95)*($E96&lt;=INDEX($E:$E,MATCH(TRUE,INDEX((ISNUMBER($E:$E)),0),0)))*($E96&gt;INDEX(_xlfn.ANCHORARRAY(Sintesi!$C$14),1,$C96))*($E96&lt;=INDEX(_xlfn.ANCHORARRAY(Sintesi!$C$15),1,$C96))*(INDEX(_xlfn.ANCHORARRAY(Sintesi!$C$15),1,$C96)&gt;0),1,IF(($E96&gt;=$E95)*($E96&lt;=INDEX($E:$E,MATCH(TRUE,INDEX((ISNUMBER($E:$E)),0),0)))*($E96&gt;INDEX(_xlfn.ANCHORARRAY(Sintesi!$C$14),1,$C96))*($E96&lt;INDEX(_xlfn.ANCHORARRAY(Sintesi!$C$16),1,$C96))*(INDEX(_xlfn.ANCHORARRAY(Sintesi!$C$15),1,$C96)&lt;0)+($E96&gt;=$E95)*($E96&lt;=INDEX($E:$E,MATCH(TRUE,INDEX((ISNUMBER($E:$E)),0),0)))*($E96&gt;INDEX(_xlfn.ANCHORARRAY(Sintesi!$C$15),1,$C96))*($E96&lt;INDEX(_xlfn.ANCHORARRAY(Sintesi!$C$16),1,$C96))*(INDEX(_xlfn.ANCHORARRAY(Sintesi!$C$15),1,$C96)&gt;0),2,IF($E96=(INDEX(_xlfn.ANCHORARRAY(Sintesi!$C$16),1,$C96)),3,4)))),0),IF($C96&gt;0,IF(($E96=INDEX(_xlfn.ANCHORARRAY(Sintesi!$C$14),1,$C96))*(INDEX(_xlfn.ANCHORARRAY(Sintesi!$C$15),1,$C96)&gt;0),0,IF(($E96=INDEX(_xlfn.ANCHORARRAY(Sintesi!$C$14),1,$C96))*(INDEX(_xlfn.ANCHORARRAY(Sintesi!$C$15),1,$C96)&lt;0)+($E96&gt;=LOOKUP(2,1/($E:$E&lt;&gt;""),$E:$E))*($E96&lt;=INDEX($E:$E,MATCH(TRUE,INDEX((ISNUMBER($E:$E)),0),0)))*($E96&gt;INDEX(_xlfn.ANCHORARRAY(Sintesi!$C$14),1,$C96))*($E96&lt;=INDEX(_xlfn.ANCHORARRAY(Sintesi!$C$15),1,$C96))*(INDEX(_xlfn.ANCHORARRAY(Sintesi!$C$15),1,$C96)&gt;0),1,IF(($E96&gt;=LOOKUP(2,1/($E:$E&lt;&gt;""),$E:$E))*($E96&lt;=INDEX($E:$E,MATCH(TRUE,INDEX((ISNUMBER($E:$E)),0),0)))*($E96&gt;INDEX(_xlfn.ANCHORARRAY(Sintesi!$C$14),1,$C96))*($E96&lt;INDEX(_xlfn.ANCHORARRAY(Sintesi!$C$16),1,$C96))*(INDEX(_xlfn.ANCHORARRAY(Sintesi!$C$15),1,$C96)&lt;0)+($E96&gt;=LOOKUP(2,1/($E:$E&lt;&gt;""),$E:$E))*($E96&lt;=INDEX($E:$E,MATCH(TRUE,INDEX((ISNUMBER($E:$E)),0),0)))*($E96&gt;INDEX(_xlfn.ANCHORARRAY(Sintesi!$C$15),1,$C96))*($E96&lt;INDEX(_xlfn.ANCHORARRAY(Sintesi!$C$16),1,$C96))*(INDEX(_xlfn.ANCHORARRAY(Sintesi!$C$15),1,$C96)&gt;0),2,IF($E96=(INDEX(_xlfn.ANCHORARRAY(Sintesi!$C$16),1,$C96)),3,4)))),0)),IF(ISNUMBER($E95),IF($C96&gt;0,IF(($E96=INDEX(_xlfn.ANCHORARRAY(Sintesi!$C$14),1,$C96))*(INDEX(_xlfn.ANCHORARRAY(Sintesi!$C$15),1,$C96)&gt;0),0,IF(($E96=INDEX(_xlfn.ANCHORARRAY(Sintesi!$C$14),1,$C96))*(INDEX(_xlfn.ANCHORARRAY(Sintesi!$C$15),1,$C96)&lt;0)+($E96&gt;=$E95)*($E96&lt;=$E97)*($E96&gt;INDEX(_xlfn.ANCHORARRAY(Sintesi!$C$14),1,$C96))*($E96&lt;=INDEX(_xlfn.ANCHORARRAY(Sintesi!$C$15),1,$C96))*(INDEX(_xlfn.ANCHORARRAY(Sintesi!$C$15),1,$C96)&gt;0),1,IF(($E96&gt;=$E95)*($E96&lt;=$E97)*($E96&gt;INDEX(_xlfn.ANCHORARRAY(Sintesi!$C$14),1,$C96))*($E96&lt;INDEX(_xlfn.ANCHORARRAY(Sintesi!$C$16),1,$C96))*(INDEX(_xlfn.ANCHORARRAY(Sintesi!$C$15),1,$C96)&lt;0)+($E96&gt;=$E95)*($E96&lt;=$E97)*($E96&gt;INDEX(_xlfn.ANCHORARRAY(Sintesi!$C$15),1,$C96))*($E96&lt;INDEX(_xlfn.ANCHORARRAY(Sintesi!$C$16),1,$C96))*(INDEX(_xlfn.ANCHORARRAY(Sintesi!$C$15),1,$C96)&gt;0),2,IF($E96=(INDEX(_xlfn.ANCHORARRAY(Sintesi!$C$16),1,$C96)),3,4)))),0),IF($C96&gt;0,IF(($E96=INDEX(_xlfn.ANCHORARRAY(Sintesi!$C$14),1,$C96))*(INDEX(_xlfn.ANCHORARRAY(Sintesi!$C$15),1,$C96)&gt;0),0,IF(($E96=INDEX(_xlfn.ANCHORARRAY(Sintesi!$C$14),1,$C96))*(INDEX(_xlfn.ANCHORARRAY(Sintesi!$C$15),1,$C96)&lt;0)+($E96&gt;=LOOKUP(2,1/($E:$E&lt;&gt;""),$E:$E))*($E96&lt;=$E97)*($E96&gt;INDEX(_xlfn.ANCHORARRAY(Sintesi!$C$14),1,$C96))*($E96&lt;=INDEX(_xlfn.ANCHORARRAY(Sintesi!$C$15),1,$C96))*(INDEX(_xlfn.ANCHORARRAY(Sintesi!$C$15),1,$C96)&gt;0),1,IF(($E96&gt;=LOOKUP(2,1/($E:$E&lt;&gt;""),$E:$E))*($E96&lt;=$E97)*($E96&gt;INDEX(_xlfn.ANCHORARRAY(Sintesi!$C$14),1,$C96))*($E96&lt;INDEX(_xlfn.ANCHORARRAY(Sintesi!$C$16),1,$C96))*(INDEX(_xlfn.ANCHORARRAY(Sintesi!$C$15),1,$C96)&lt;0)+($E96&gt;=LOOKUP(2,1/($E:$E&lt;&gt;""),$E:$E))*($E96&lt;=$E97)*($E96&gt;INDEX(_xlfn.ANCHORARRAY(Sintesi!$C$15),1,$C96))*($E96&lt;INDEX(_xlfn.ANCHORARRAY(Sintesi!$C$16),1,$C96))*(INDEX(_xlfn.ANCHORARRAY(Sintesi!$C$15),1,$C96)&gt;0),2,IF($E96=(INDEX(_xlfn.ANCHORARRAY(Sintesi!$C$16),1,$C96)),3,4)))),0)))</f>
        <v>0</v>
      </c>
      <c r="E96" s="1">
        <f>'Paste cell here'!F96</f>
        <v>0</v>
      </c>
      <c r="F96" s="1">
        <f>'Paste cell here'!C96</f>
        <v>17.739999999999746</v>
      </c>
      <c r="G96" s="1">
        <f>'Paste cell here'!D96</f>
        <v>5.9199999999999369</v>
      </c>
      <c r="H96" s="1">
        <f>'Paste cell here'!E96</f>
        <v>3.012161307604361</v>
      </c>
      <c r="I96" s="1">
        <f>'Paste cell here'!X96</f>
        <v>0</v>
      </c>
      <c r="J96" s="1">
        <f>'Paste cell here'!Y96+'Paste cell here'!S96</f>
        <v>0</v>
      </c>
      <c r="K96" s="1">
        <f t="shared" si="2"/>
        <v>0</v>
      </c>
      <c r="L96" s="1">
        <f t="shared" si="3"/>
        <v>13.316004921151288</v>
      </c>
      <c r="M96" s="1">
        <f t="array" ref="M96">IF(AND(A96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96&gt;=_xlfn.ANCHORARRAY(Sintesi!$C$9))+(_xlfn.ANCHORARRAY(Sintesi!$C$9)&gt;_xlfn.ANCHORARRAY(Sintesi!$C$10))*(A96&lt;=_xlfn.ANCHORARRAY(Sintesi!$C$10))+(_xlfn.ANCHORARRAY(Sintesi!$C$9)&lt;_xlfn.ANCHORARRAY(Sintesi!$C$10))*(A96&gt;=_xlfn.ANCHORARRAY(Sintesi!$C$9))*(A96&lt;=_xlfn.ANCHORARRAY(Sintesi!$C$10)),0)),0),A96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97&gt;=_xlfn.ANCHORARRAY(Sintesi!$C$9))+(_xlfn.ANCHORARRAY(Sintesi!$C$9)&gt;_xlfn.ANCHORARRAY(Sintesi!$C$10))*(A97&lt;=_xlfn.ANCHORARRAY(Sintesi!$C$10))+(_xlfn.ANCHORARRAY(Sintesi!$C$9)&lt;_xlfn.ANCHORARRAY(Sintesi!$C$10))*(A97&gt;=_xlfn.ANCHORARRAY(Sintesi!$C$9))*(A97&lt;=_xlfn.ANCHORARRAY(Sintesi!$C$10)),0)),0)),IF(L96&lt;_xlfn.IFNA(INDEX(_xlfn.ANCHORARRAY(Sintesi!$C$17),1,MATCH(1,(_xlfn.ANCHORARRAY(Sintesi!$C$9)&gt;_xlfn.ANCHORARRAY(Sintesi!$C$10))*(A95&gt;=_xlfn.ANCHORARRAY(Sintesi!$C$9))+(_xlfn.ANCHORARRAY(Sintesi!$C$9)&gt;_xlfn.ANCHORARRAY(Sintesi!$C$10))*(A95&lt;=_xlfn.ANCHORARRAY(Sintesi!$C$10))+(_xlfn.ANCHORARRAY(Sintesi!$C$9)&lt;_xlfn.ANCHORARRAY(Sintesi!$C$10))*(A95&gt;=_xlfn.ANCHORARRAY(Sintesi!$C$9))*(A95&lt;=_xlfn.ANCHORARRAY(Sintesi!$C$10)),0)),0),1,IF(L96&gt;=_xlfn.IFNA(INDEX(_xlfn.ANCHORARRAY(Sintesi!$C$18),1,MATCH(1,(_xlfn.ANCHORARRAY(Sintesi!$C$9)&gt;_xlfn.ANCHORARRAY(Sintesi!$C$10))*(A95&gt;=_xlfn.ANCHORARRAY(Sintesi!$C$9))+(_xlfn.ANCHORARRAY(Sintesi!$C$9)&gt;_xlfn.ANCHORARRAY(Sintesi!$C$10))*(A95&lt;=_xlfn.ANCHORARRAY(Sintesi!$C$10))+(_xlfn.ANCHORARRAY(Sintesi!$C$9)&lt;_xlfn.ANCHORARRAY(Sintesi!$C$10))*(A95&gt;=_xlfn.ANCHORARRAY(Sintesi!$C$9))*(A95&lt;=_xlfn.ANCHORARRAY(Sintesi!$C$10)),0)),0),0,1-(L96-_xlfn.IFNA(INDEX(_xlfn.ANCHORARRAY(Sintesi!$C$17),1,MATCH(1,(_xlfn.ANCHORARRAY(Sintesi!$C$9)&gt;_xlfn.ANCHORARRAY(Sintesi!$C$10))*(A95&gt;=_xlfn.ANCHORARRAY(Sintesi!$C$9))+(_xlfn.ANCHORARRAY(Sintesi!$C$9)&gt;_xlfn.ANCHORARRAY(Sintesi!$C$10))*(A95&lt;=_xlfn.ANCHORARRAY(Sintesi!$C$10))+(_xlfn.ANCHORARRAY(Sintesi!$C$9)&lt;_xlfn.ANCHORARRAY(Sintesi!$C$10))*(A95&gt;=_xlfn.ANCHORARRAY(Sintesi!$C$9))*(A95&lt;=_xlfn.ANCHORARRAY(Sintesi!$C$10)),0)),0))/(_xlfn.IFNA(INDEX(_xlfn.ANCHORARRAY(Sintesi!$C$18),1,MATCH(1,(_xlfn.ANCHORARRAY(Sintesi!$C$9)&gt;_xlfn.ANCHORARRAY(Sintesi!$C$10))*(A95&gt;=_xlfn.ANCHORARRAY(Sintesi!$C$9))+(_xlfn.ANCHORARRAY(Sintesi!$C$9)&gt;_xlfn.ANCHORARRAY(Sintesi!$C$10))*(A95&lt;=_xlfn.ANCHORARRAY(Sintesi!$C$10))+(_xlfn.ANCHORARRAY(Sintesi!$C$9)&lt;_xlfn.ANCHORARRAY(Sintesi!$C$10))*(A95&gt;=_xlfn.ANCHORARRAY(Sintesi!$C$9))*(A95&lt;=_xlfn.ANCHORARRAY(Sintesi!$C$10)),0)),0)-_xlfn.IFNA(INDEX(_xlfn.ANCHORARRAY(Sintesi!$C$17),1,MATCH(1,(_xlfn.ANCHORARRAY(Sintesi!$C$9)&gt;_xlfn.ANCHORARRAY(Sintesi!$C$10))*(A95&gt;=_xlfn.ANCHORARRAY(Sintesi!$C$9))+(_xlfn.ANCHORARRAY(Sintesi!$C$9)&gt;_xlfn.ANCHORARRAY(Sintesi!$C$10))*(A95&lt;=_xlfn.ANCHORARRAY(Sintesi!$C$10))+(_xlfn.ANCHORARRAY(Sintesi!$C$9)&lt;_xlfn.ANCHORARRAY(Sintesi!$C$10))*(A95&gt;=_xlfn.ANCHORARRAY(Sintesi!$C$9))*(A95&lt;=_xlfn.ANCHORARRAY(Sintesi!$C$10)),0)),0)))),0)</f>
        <v>0</v>
      </c>
    </row>
    <row r="97" spans="1:13">
      <c r="A97" s="1">
        <f>'Paste cell here'!A97</f>
        <v>96</v>
      </c>
      <c r="B97" s="2">
        <f>DATE(Sintesi!$C$4-1,12,31)+A97</f>
        <v>44292</v>
      </c>
      <c r="C97" s="34">
        <f t="array" ref="C97">_xlfn.IFNA(MATCH(1,((_xlfn.ANCHORARRAY(Sintesi!$C$9)&gt;_xlfn.ANCHORARRAY(Sintesi!$C$10))*(A97&gt;=_xlfn.ANCHORARRAY(Sintesi!$C$9))+(_xlfn.ANCHORARRAY(Sintesi!$C$9)&gt;_xlfn.ANCHORARRAY(Sintesi!$C$10))*(A97&lt;=_xlfn.ANCHORARRAY(Sintesi!$C$10))+(_xlfn.ANCHORARRAY(Sintesi!$C$9)&lt;_xlfn.ANCHORARRAY(Sintesi!$C$10))*(A97&gt;=_xlfn.ANCHORARRAY(Sintesi!$C$9))*(A97&lt;=_xlfn.ANCHORARRAY(Sintesi!$C$10)))*(_xlfn.ANCHORARRAY(Sintesi!$C$15)&gt;=0)+(_xlfn.ANCHORARRAY(Sintesi!$C$15)&lt;0),0),0)</f>
        <v>1</v>
      </c>
      <c r="D97" s="1">
        <f t="array" ref="D97">IF(ISBLANK($E98),IF(ISNUMBER($E96),IF($C97&gt;0,IF(($E97=INDEX(_xlfn.ANCHORARRAY(Sintesi!$C$14),1,$C97))*(INDEX(_xlfn.ANCHORARRAY(Sintesi!$C$15),1,$C97)&gt;0),0,IF(($E97=INDEX(_xlfn.ANCHORARRAY(Sintesi!$C$14),1,$C97))*(INDEX(_xlfn.ANCHORARRAY(Sintesi!$C$15),1,$C97)&lt;0)+($E97&gt;=$E96)*($E97&lt;=INDEX($E:$E,MATCH(TRUE,INDEX((ISNUMBER($E:$E)),0),0)))*($E97&gt;INDEX(_xlfn.ANCHORARRAY(Sintesi!$C$14),1,$C97))*($E97&lt;=INDEX(_xlfn.ANCHORARRAY(Sintesi!$C$15),1,$C97))*(INDEX(_xlfn.ANCHORARRAY(Sintesi!$C$15),1,$C97)&gt;0),1,IF(($E97&gt;=$E96)*($E97&lt;=INDEX($E:$E,MATCH(TRUE,INDEX((ISNUMBER($E:$E)),0),0)))*($E97&gt;INDEX(_xlfn.ANCHORARRAY(Sintesi!$C$14),1,$C97))*($E97&lt;INDEX(_xlfn.ANCHORARRAY(Sintesi!$C$16),1,$C97))*(INDEX(_xlfn.ANCHORARRAY(Sintesi!$C$15),1,$C97)&lt;0)+($E97&gt;=$E96)*($E97&lt;=INDEX($E:$E,MATCH(TRUE,INDEX((ISNUMBER($E:$E)),0),0)))*($E97&gt;INDEX(_xlfn.ANCHORARRAY(Sintesi!$C$15),1,$C97))*($E97&lt;INDEX(_xlfn.ANCHORARRAY(Sintesi!$C$16),1,$C97))*(INDEX(_xlfn.ANCHORARRAY(Sintesi!$C$15),1,$C97)&gt;0),2,IF($E97=(INDEX(_xlfn.ANCHORARRAY(Sintesi!$C$16),1,$C97)),3,4)))),0),IF($C97&gt;0,IF(($E97=INDEX(_xlfn.ANCHORARRAY(Sintesi!$C$14),1,$C97))*(INDEX(_xlfn.ANCHORARRAY(Sintesi!$C$15),1,$C97)&gt;0),0,IF(($E97=INDEX(_xlfn.ANCHORARRAY(Sintesi!$C$14),1,$C97))*(INDEX(_xlfn.ANCHORARRAY(Sintesi!$C$15),1,$C97)&lt;0)+($E97&gt;=LOOKUP(2,1/($E:$E&lt;&gt;""),$E:$E))*($E97&lt;=INDEX($E:$E,MATCH(TRUE,INDEX((ISNUMBER($E:$E)),0),0)))*($E97&gt;INDEX(_xlfn.ANCHORARRAY(Sintesi!$C$14),1,$C97))*($E97&lt;=INDEX(_xlfn.ANCHORARRAY(Sintesi!$C$15),1,$C97))*(INDEX(_xlfn.ANCHORARRAY(Sintesi!$C$15),1,$C97)&gt;0),1,IF(($E97&gt;=LOOKUP(2,1/($E:$E&lt;&gt;""),$E:$E))*($E97&lt;=INDEX($E:$E,MATCH(TRUE,INDEX((ISNUMBER($E:$E)),0),0)))*($E97&gt;INDEX(_xlfn.ANCHORARRAY(Sintesi!$C$14),1,$C97))*($E97&lt;INDEX(_xlfn.ANCHORARRAY(Sintesi!$C$16),1,$C97))*(INDEX(_xlfn.ANCHORARRAY(Sintesi!$C$15),1,$C97)&lt;0)+($E97&gt;=LOOKUP(2,1/($E:$E&lt;&gt;""),$E:$E))*($E97&lt;=INDEX($E:$E,MATCH(TRUE,INDEX((ISNUMBER($E:$E)),0),0)))*($E97&gt;INDEX(_xlfn.ANCHORARRAY(Sintesi!$C$15),1,$C97))*($E97&lt;INDEX(_xlfn.ANCHORARRAY(Sintesi!$C$16),1,$C97))*(INDEX(_xlfn.ANCHORARRAY(Sintesi!$C$15),1,$C97)&gt;0),2,IF($E97=(INDEX(_xlfn.ANCHORARRAY(Sintesi!$C$16),1,$C97)),3,4)))),0)),IF(ISNUMBER($E96),IF($C97&gt;0,IF(($E97=INDEX(_xlfn.ANCHORARRAY(Sintesi!$C$14),1,$C97))*(INDEX(_xlfn.ANCHORARRAY(Sintesi!$C$15),1,$C97)&gt;0),0,IF(($E97=INDEX(_xlfn.ANCHORARRAY(Sintesi!$C$14),1,$C97))*(INDEX(_xlfn.ANCHORARRAY(Sintesi!$C$15),1,$C97)&lt;0)+($E97&gt;=$E96)*($E97&lt;=$E98)*($E97&gt;INDEX(_xlfn.ANCHORARRAY(Sintesi!$C$14),1,$C97))*($E97&lt;=INDEX(_xlfn.ANCHORARRAY(Sintesi!$C$15),1,$C97))*(INDEX(_xlfn.ANCHORARRAY(Sintesi!$C$15),1,$C97)&gt;0),1,IF(($E97&gt;=$E96)*($E97&lt;=$E98)*($E97&gt;INDEX(_xlfn.ANCHORARRAY(Sintesi!$C$14),1,$C97))*($E97&lt;INDEX(_xlfn.ANCHORARRAY(Sintesi!$C$16),1,$C97))*(INDEX(_xlfn.ANCHORARRAY(Sintesi!$C$15),1,$C97)&lt;0)+($E97&gt;=$E96)*($E97&lt;=$E98)*($E97&gt;INDEX(_xlfn.ANCHORARRAY(Sintesi!$C$15),1,$C97))*($E97&lt;INDEX(_xlfn.ANCHORARRAY(Sintesi!$C$16),1,$C97))*(INDEX(_xlfn.ANCHORARRAY(Sintesi!$C$15),1,$C97)&gt;0),2,IF($E97=(INDEX(_xlfn.ANCHORARRAY(Sintesi!$C$16),1,$C97)),3,4)))),0),IF($C97&gt;0,IF(($E97=INDEX(_xlfn.ANCHORARRAY(Sintesi!$C$14),1,$C97))*(INDEX(_xlfn.ANCHORARRAY(Sintesi!$C$15),1,$C97)&gt;0),0,IF(($E97=INDEX(_xlfn.ANCHORARRAY(Sintesi!$C$14),1,$C97))*(INDEX(_xlfn.ANCHORARRAY(Sintesi!$C$15),1,$C97)&lt;0)+($E97&gt;=LOOKUP(2,1/($E:$E&lt;&gt;""),$E:$E))*($E97&lt;=$E98)*($E97&gt;INDEX(_xlfn.ANCHORARRAY(Sintesi!$C$14),1,$C97))*($E97&lt;=INDEX(_xlfn.ANCHORARRAY(Sintesi!$C$15),1,$C97))*(INDEX(_xlfn.ANCHORARRAY(Sintesi!$C$15),1,$C97)&gt;0),1,IF(($E97&gt;=LOOKUP(2,1/($E:$E&lt;&gt;""),$E:$E))*($E97&lt;=$E98)*($E97&gt;INDEX(_xlfn.ANCHORARRAY(Sintesi!$C$14),1,$C97))*($E97&lt;INDEX(_xlfn.ANCHORARRAY(Sintesi!$C$16),1,$C97))*(INDEX(_xlfn.ANCHORARRAY(Sintesi!$C$15),1,$C97)&lt;0)+($E97&gt;=LOOKUP(2,1/($E:$E&lt;&gt;""),$E:$E))*($E97&lt;=$E98)*($E97&gt;INDEX(_xlfn.ANCHORARRAY(Sintesi!$C$15),1,$C97))*($E97&lt;INDEX(_xlfn.ANCHORARRAY(Sintesi!$C$16),1,$C97))*(INDEX(_xlfn.ANCHORARRAY(Sintesi!$C$15),1,$C97)&gt;0),2,IF($E97=(INDEX(_xlfn.ANCHORARRAY(Sintesi!$C$16),1,$C97)),3,4)))),0)))</f>
        <v>0</v>
      </c>
      <c r="E97" s="1">
        <f>'Paste cell here'!F97</f>
        <v>0</v>
      </c>
      <c r="F97" s="1">
        <f>'Paste cell here'!C97</f>
        <v>14.699999999999767</v>
      </c>
      <c r="G97" s="1">
        <f>'Paste cell here'!D97</f>
        <v>2.3199999999999918</v>
      </c>
      <c r="H97" s="1">
        <f>'Paste cell here'!E97</f>
        <v>3.5596909169415603</v>
      </c>
      <c r="I97" s="1">
        <f>'Paste cell here'!X97</f>
        <v>0</v>
      </c>
      <c r="J97" s="1">
        <f>'Paste cell here'!Y97+'Paste cell here'!S97</f>
        <v>0</v>
      </c>
      <c r="K97" s="1">
        <f t="shared" si="2"/>
        <v>0</v>
      </c>
      <c r="L97" s="1">
        <f t="shared" si="3"/>
        <v>10.066407861578126</v>
      </c>
      <c r="M97" s="1">
        <f t="array" ref="M97">IF(AND(A97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97&gt;=_xlfn.ANCHORARRAY(Sintesi!$C$9))+(_xlfn.ANCHORARRAY(Sintesi!$C$9)&gt;_xlfn.ANCHORARRAY(Sintesi!$C$10))*(A97&lt;=_xlfn.ANCHORARRAY(Sintesi!$C$10))+(_xlfn.ANCHORARRAY(Sintesi!$C$9)&lt;_xlfn.ANCHORARRAY(Sintesi!$C$10))*(A97&gt;=_xlfn.ANCHORARRAY(Sintesi!$C$9))*(A97&lt;=_xlfn.ANCHORARRAY(Sintesi!$C$10)),0)),0),A97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98&gt;=_xlfn.ANCHORARRAY(Sintesi!$C$9))+(_xlfn.ANCHORARRAY(Sintesi!$C$9)&gt;_xlfn.ANCHORARRAY(Sintesi!$C$10))*(A98&lt;=_xlfn.ANCHORARRAY(Sintesi!$C$10))+(_xlfn.ANCHORARRAY(Sintesi!$C$9)&lt;_xlfn.ANCHORARRAY(Sintesi!$C$10))*(A98&gt;=_xlfn.ANCHORARRAY(Sintesi!$C$9))*(A98&lt;=_xlfn.ANCHORARRAY(Sintesi!$C$10)),0)),0)),IF(L97&lt;_xlfn.IFNA(INDEX(_xlfn.ANCHORARRAY(Sintesi!$C$17),1,MATCH(1,(_xlfn.ANCHORARRAY(Sintesi!$C$9)&gt;_xlfn.ANCHORARRAY(Sintesi!$C$10))*(A96&gt;=_xlfn.ANCHORARRAY(Sintesi!$C$9))+(_xlfn.ANCHORARRAY(Sintesi!$C$9)&gt;_xlfn.ANCHORARRAY(Sintesi!$C$10))*(A96&lt;=_xlfn.ANCHORARRAY(Sintesi!$C$10))+(_xlfn.ANCHORARRAY(Sintesi!$C$9)&lt;_xlfn.ANCHORARRAY(Sintesi!$C$10))*(A96&gt;=_xlfn.ANCHORARRAY(Sintesi!$C$9))*(A96&lt;=_xlfn.ANCHORARRAY(Sintesi!$C$10)),0)),0),1,IF(L97&gt;=_xlfn.IFNA(INDEX(_xlfn.ANCHORARRAY(Sintesi!$C$18),1,MATCH(1,(_xlfn.ANCHORARRAY(Sintesi!$C$9)&gt;_xlfn.ANCHORARRAY(Sintesi!$C$10))*(A96&gt;=_xlfn.ANCHORARRAY(Sintesi!$C$9))+(_xlfn.ANCHORARRAY(Sintesi!$C$9)&gt;_xlfn.ANCHORARRAY(Sintesi!$C$10))*(A96&lt;=_xlfn.ANCHORARRAY(Sintesi!$C$10))+(_xlfn.ANCHORARRAY(Sintesi!$C$9)&lt;_xlfn.ANCHORARRAY(Sintesi!$C$10))*(A96&gt;=_xlfn.ANCHORARRAY(Sintesi!$C$9))*(A96&lt;=_xlfn.ANCHORARRAY(Sintesi!$C$10)),0)),0),0,1-(L97-_xlfn.IFNA(INDEX(_xlfn.ANCHORARRAY(Sintesi!$C$17),1,MATCH(1,(_xlfn.ANCHORARRAY(Sintesi!$C$9)&gt;_xlfn.ANCHORARRAY(Sintesi!$C$10))*(A96&gt;=_xlfn.ANCHORARRAY(Sintesi!$C$9))+(_xlfn.ANCHORARRAY(Sintesi!$C$9)&gt;_xlfn.ANCHORARRAY(Sintesi!$C$10))*(A96&lt;=_xlfn.ANCHORARRAY(Sintesi!$C$10))+(_xlfn.ANCHORARRAY(Sintesi!$C$9)&lt;_xlfn.ANCHORARRAY(Sintesi!$C$10))*(A96&gt;=_xlfn.ANCHORARRAY(Sintesi!$C$9))*(A96&lt;=_xlfn.ANCHORARRAY(Sintesi!$C$10)),0)),0))/(_xlfn.IFNA(INDEX(_xlfn.ANCHORARRAY(Sintesi!$C$18),1,MATCH(1,(_xlfn.ANCHORARRAY(Sintesi!$C$9)&gt;_xlfn.ANCHORARRAY(Sintesi!$C$10))*(A96&gt;=_xlfn.ANCHORARRAY(Sintesi!$C$9))+(_xlfn.ANCHORARRAY(Sintesi!$C$9)&gt;_xlfn.ANCHORARRAY(Sintesi!$C$10))*(A96&lt;=_xlfn.ANCHORARRAY(Sintesi!$C$10))+(_xlfn.ANCHORARRAY(Sintesi!$C$9)&lt;_xlfn.ANCHORARRAY(Sintesi!$C$10))*(A96&gt;=_xlfn.ANCHORARRAY(Sintesi!$C$9))*(A96&lt;=_xlfn.ANCHORARRAY(Sintesi!$C$10)),0)),0)-_xlfn.IFNA(INDEX(_xlfn.ANCHORARRAY(Sintesi!$C$17),1,MATCH(1,(_xlfn.ANCHORARRAY(Sintesi!$C$9)&gt;_xlfn.ANCHORARRAY(Sintesi!$C$10))*(A96&gt;=_xlfn.ANCHORARRAY(Sintesi!$C$9))+(_xlfn.ANCHORARRAY(Sintesi!$C$9)&gt;_xlfn.ANCHORARRAY(Sintesi!$C$10))*(A96&lt;=_xlfn.ANCHORARRAY(Sintesi!$C$10))+(_xlfn.ANCHORARRAY(Sintesi!$C$9)&lt;_xlfn.ANCHORARRAY(Sintesi!$C$10))*(A96&gt;=_xlfn.ANCHORARRAY(Sintesi!$C$9))*(A96&lt;=_xlfn.ANCHORARRAY(Sintesi!$C$10)),0)),0)))),0)</f>
        <v>0</v>
      </c>
    </row>
    <row r="98" spans="1:13">
      <c r="A98" s="1">
        <f>'Paste cell here'!A98</f>
        <v>97</v>
      </c>
      <c r="B98" s="2">
        <f>DATE(Sintesi!$C$4-1,12,31)+A98</f>
        <v>44293</v>
      </c>
      <c r="C98" s="34">
        <f t="array" ref="C98">_xlfn.IFNA(MATCH(1,((_xlfn.ANCHORARRAY(Sintesi!$C$9)&gt;_xlfn.ANCHORARRAY(Sintesi!$C$10))*(A98&gt;=_xlfn.ANCHORARRAY(Sintesi!$C$9))+(_xlfn.ANCHORARRAY(Sintesi!$C$9)&gt;_xlfn.ANCHORARRAY(Sintesi!$C$10))*(A98&lt;=_xlfn.ANCHORARRAY(Sintesi!$C$10))+(_xlfn.ANCHORARRAY(Sintesi!$C$9)&lt;_xlfn.ANCHORARRAY(Sintesi!$C$10))*(A98&gt;=_xlfn.ANCHORARRAY(Sintesi!$C$9))*(A98&lt;=_xlfn.ANCHORARRAY(Sintesi!$C$10)))*(_xlfn.ANCHORARRAY(Sintesi!$C$15)&gt;=0)+(_xlfn.ANCHORARRAY(Sintesi!$C$15)&lt;0),0),0)</f>
        <v>1</v>
      </c>
      <c r="D98" s="1">
        <f t="array" ref="D98">IF(ISBLANK($E99),IF(ISNUMBER($E97),IF($C98&gt;0,IF(($E98=INDEX(_xlfn.ANCHORARRAY(Sintesi!$C$14),1,$C98))*(INDEX(_xlfn.ANCHORARRAY(Sintesi!$C$15),1,$C98)&gt;0),0,IF(($E98=INDEX(_xlfn.ANCHORARRAY(Sintesi!$C$14),1,$C98))*(INDEX(_xlfn.ANCHORARRAY(Sintesi!$C$15),1,$C98)&lt;0)+($E98&gt;=$E97)*($E98&lt;=INDEX($E:$E,MATCH(TRUE,INDEX((ISNUMBER($E:$E)),0),0)))*($E98&gt;INDEX(_xlfn.ANCHORARRAY(Sintesi!$C$14),1,$C98))*($E98&lt;=INDEX(_xlfn.ANCHORARRAY(Sintesi!$C$15),1,$C98))*(INDEX(_xlfn.ANCHORARRAY(Sintesi!$C$15),1,$C98)&gt;0),1,IF(($E98&gt;=$E97)*($E98&lt;=INDEX($E:$E,MATCH(TRUE,INDEX((ISNUMBER($E:$E)),0),0)))*($E98&gt;INDEX(_xlfn.ANCHORARRAY(Sintesi!$C$14),1,$C98))*($E98&lt;INDEX(_xlfn.ANCHORARRAY(Sintesi!$C$16),1,$C98))*(INDEX(_xlfn.ANCHORARRAY(Sintesi!$C$15),1,$C98)&lt;0)+($E98&gt;=$E97)*($E98&lt;=INDEX($E:$E,MATCH(TRUE,INDEX((ISNUMBER($E:$E)),0),0)))*($E98&gt;INDEX(_xlfn.ANCHORARRAY(Sintesi!$C$15),1,$C98))*($E98&lt;INDEX(_xlfn.ANCHORARRAY(Sintesi!$C$16),1,$C98))*(INDEX(_xlfn.ANCHORARRAY(Sintesi!$C$15),1,$C98)&gt;0),2,IF($E98=(INDEX(_xlfn.ANCHORARRAY(Sintesi!$C$16),1,$C98)),3,4)))),0),IF($C98&gt;0,IF(($E98=INDEX(_xlfn.ANCHORARRAY(Sintesi!$C$14),1,$C98))*(INDEX(_xlfn.ANCHORARRAY(Sintesi!$C$15),1,$C98)&gt;0),0,IF(($E98=INDEX(_xlfn.ANCHORARRAY(Sintesi!$C$14),1,$C98))*(INDEX(_xlfn.ANCHORARRAY(Sintesi!$C$15),1,$C98)&lt;0)+($E98&gt;=LOOKUP(2,1/($E:$E&lt;&gt;""),$E:$E))*($E98&lt;=INDEX($E:$E,MATCH(TRUE,INDEX((ISNUMBER($E:$E)),0),0)))*($E98&gt;INDEX(_xlfn.ANCHORARRAY(Sintesi!$C$14),1,$C98))*($E98&lt;=INDEX(_xlfn.ANCHORARRAY(Sintesi!$C$15),1,$C98))*(INDEX(_xlfn.ANCHORARRAY(Sintesi!$C$15),1,$C98)&gt;0),1,IF(($E98&gt;=LOOKUP(2,1/($E:$E&lt;&gt;""),$E:$E))*($E98&lt;=INDEX($E:$E,MATCH(TRUE,INDEX((ISNUMBER($E:$E)),0),0)))*($E98&gt;INDEX(_xlfn.ANCHORARRAY(Sintesi!$C$14),1,$C98))*($E98&lt;INDEX(_xlfn.ANCHORARRAY(Sintesi!$C$16),1,$C98))*(INDEX(_xlfn.ANCHORARRAY(Sintesi!$C$15),1,$C98)&lt;0)+($E98&gt;=LOOKUP(2,1/($E:$E&lt;&gt;""),$E:$E))*($E98&lt;=INDEX($E:$E,MATCH(TRUE,INDEX((ISNUMBER($E:$E)),0),0)))*($E98&gt;INDEX(_xlfn.ANCHORARRAY(Sintesi!$C$15),1,$C98))*($E98&lt;INDEX(_xlfn.ANCHORARRAY(Sintesi!$C$16),1,$C98))*(INDEX(_xlfn.ANCHORARRAY(Sintesi!$C$15),1,$C98)&gt;0),2,IF($E98=(INDEX(_xlfn.ANCHORARRAY(Sintesi!$C$16),1,$C98)),3,4)))),0)),IF(ISNUMBER($E97),IF($C98&gt;0,IF(($E98=INDEX(_xlfn.ANCHORARRAY(Sintesi!$C$14),1,$C98))*(INDEX(_xlfn.ANCHORARRAY(Sintesi!$C$15),1,$C98)&gt;0),0,IF(($E98=INDEX(_xlfn.ANCHORARRAY(Sintesi!$C$14),1,$C98))*(INDEX(_xlfn.ANCHORARRAY(Sintesi!$C$15),1,$C98)&lt;0)+($E98&gt;=$E97)*($E98&lt;=$E99)*($E98&gt;INDEX(_xlfn.ANCHORARRAY(Sintesi!$C$14),1,$C98))*($E98&lt;=INDEX(_xlfn.ANCHORARRAY(Sintesi!$C$15),1,$C98))*(INDEX(_xlfn.ANCHORARRAY(Sintesi!$C$15),1,$C98)&gt;0),1,IF(($E98&gt;=$E97)*($E98&lt;=$E99)*($E98&gt;INDEX(_xlfn.ANCHORARRAY(Sintesi!$C$14),1,$C98))*($E98&lt;INDEX(_xlfn.ANCHORARRAY(Sintesi!$C$16),1,$C98))*(INDEX(_xlfn.ANCHORARRAY(Sintesi!$C$15),1,$C98)&lt;0)+($E98&gt;=$E97)*($E98&lt;=$E99)*($E98&gt;INDEX(_xlfn.ANCHORARRAY(Sintesi!$C$15),1,$C98))*($E98&lt;INDEX(_xlfn.ANCHORARRAY(Sintesi!$C$16),1,$C98))*(INDEX(_xlfn.ANCHORARRAY(Sintesi!$C$15),1,$C98)&gt;0),2,IF($E98=(INDEX(_xlfn.ANCHORARRAY(Sintesi!$C$16),1,$C98)),3,4)))),0),IF($C98&gt;0,IF(($E98=INDEX(_xlfn.ANCHORARRAY(Sintesi!$C$14),1,$C98))*(INDEX(_xlfn.ANCHORARRAY(Sintesi!$C$15),1,$C98)&gt;0),0,IF(($E98=INDEX(_xlfn.ANCHORARRAY(Sintesi!$C$14),1,$C98))*(INDEX(_xlfn.ANCHORARRAY(Sintesi!$C$15),1,$C98)&lt;0)+($E98&gt;=LOOKUP(2,1/($E:$E&lt;&gt;""),$E:$E))*($E98&lt;=$E99)*($E98&gt;INDEX(_xlfn.ANCHORARRAY(Sintesi!$C$14),1,$C98))*($E98&lt;=INDEX(_xlfn.ANCHORARRAY(Sintesi!$C$15),1,$C98))*(INDEX(_xlfn.ANCHORARRAY(Sintesi!$C$15),1,$C98)&gt;0),1,IF(($E98&gt;=LOOKUP(2,1/($E:$E&lt;&gt;""),$E:$E))*($E98&lt;=$E99)*($E98&gt;INDEX(_xlfn.ANCHORARRAY(Sintesi!$C$14),1,$C98))*($E98&lt;INDEX(_xlfn.ANCHORARRAY(Sintesi!$C$16),1,$C98))*(INDEX(_xlfn.ANCHORARRAY(Sintesi!$C$15),1,$C98)&lt;0)+($E98&gt;=LOOKUP(2,1/($E:$E&lt;&gt;""),$E:$E))*($E98&lt;=$E99)*($E98&gt;INDEX(_xlfn.ANCHORARRAY(Sintesi!$C$15),1,$C98))*($E98&lt;INDEX(_xlfn.ANCHORARRAY(Sintesi!$C$16),1,$C98))*(INDEX(_xlfn.ANCHORARRAY(Sintesi!$C$15),1,$C98)&gt;0),2,IF($E98=(INDEX(_xlfn.ANCHORARRAY(Sintesi!$C$16),1,$C98)),3,4)))),0)))</f>
        <v>0</v>
      </c>
      <c r="E98" s="1">
        <f>'Paste cell here'!F98</f>
        <v>0</v>
      </c>
      <c r="F98" s="1">
        <f>'Paste cell here'!C98</f>
        <v>11.639999999999821</v>
      </c>
      <c r="G98" s="1">
        <f>'Paste cell here'!D98</f>
        <v>1.0799999999999941</v>
      </c>
      <c r="H98" s="1">
        <f>'Paste cell here'!E98</f>
        <v>3.2451726675100336</v>
      </c>
      <c r="I98" s="1">
        <f>'Paste cell here'!X98</f>
        <v>0</v>
      </c>
      <c r="J98" s="1">
        <f>'Paste cell here'!Y98+'Paste cell here'!S98</f>
        <v>0</v>
      </c>
      <c r="K98" s="1">
        <f t="shared" si="2"/>
        <v>0</v>
      </c>
      <c r="L98" s="1">
        <f t="shared" si="3"/>
        <v>7.6875983051910479</v>
      </c>
      <c r="M98" s="1">
        <f t="array" ref="M98">IF(AND(A98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98&gt;=_xlfn.ANCHORARRAY(Sintesi!$C$9))+(_xlfn.ANCHORARRAY(Sintesi!$C$9)&gt;_xlfn.ANCHORARRAY(Sintesi!$C$10))*(A98&lt;=_xlfn.ANCHORARRAY(Sintesi!$C$10))+(_xlfn.ANCHORARRAY(Sintesi!$C$9)&lt;_xlfn.ANCHORARRAY(Sintesi!$C$10))*(A98&gt;=_xlfn.ANCHORARRAY(Sintesi!$C$9))*(A98&lt;=_xlfn.ANCHORARRAY(Sintesi!$C$10)),0)),0),A98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99&gt;=_xlfn.ANCHORARRAY(Sintesi!$C$9))+(_xlfn.ANCHORARRAY(Sintesi!$C$9)&gt;_xlfn.ANCHORARRAY(Sintesi!$C$10))*(A99&lt;=_xlfn.ANCHORARRAY(Sintesi!$C$10))+(_xlfn.ANCHORARRAY(Sintesi!$C$9)&lt;_xlfn.ANCHORARRAY(Sintesi!$C$10))*(A99&gt;=_xlfn.ANCHORARRAY(Sintesi!$C$9))*(A99&lt;=_xlfn.ANCHORARRAY(Sintesi!$C$10)),0)),0)),IF(L98&lt;_xlfn.IFNA(INDEX(_xlfn.ANCHORARRAY(Sintesi!$C$17),1,MATCH(1,(_xlfn.ANCHORARRAY(Sintesi!$C$9)&gt;_xlfn.ANCHORARRAY(Sintesi!$C$10))*(A97&gt;=_xlfn.ANCHORARRAY(Sintesi!$C$9))+(_xlfn.ANCHORARRAY(Sintesi!$C$9)&gt;_xlfn.ANCHORARRAY(Sintesi!$C$10))*(A97&lt;=_xlfn.ANCHORARRAY(Sintesi!$C$10))+(_xlfn.ANCHORARRAY(Sintesi!$C$9)&lt;_xlfn.ANCHORARRAY(Sintesi!$C$10))*(A97&gt;=_xlfn.ANCHORARRAY(Sintesi!$C$9))*(A97&lt;=_xlfn.ANCHORARRAY(Sintesi!$C$10)),0)),0),1,IF(L98&gt;=_xlfn.IFNA(INDEX(_xlfn.ANCHORARRAY(Sintesi!$C$18),1,MATCH(1,(_xlfn.ANCHORARRAY(Sintesi!$C$9)&gt;_xlfn.ANCHORARRAY(Sintesi!$C$10))*(A97&gt;=_xlfn.ANCHORARRAY(Sintesi!$C$9))+(_xlfn.ANCHORARRAY(Sintesi!$C$9)&gt;_xlfn.ANCHORARRAY(Sintesi!$C$10))*(A97&lt;=_xlfn.ANCHORARRAY(Sintesi!$C$10))+(_xlfn.ANCHORARRAY(Sintesi!$C$9)&lt;_xlfn.ANCHORARRAY(Sintesi!$C$10))*(A97&gt;=_xlfn.ANCHORARRAY(Sintesi!$C$9))*(A97&lt;=_xlfn.ANCHORARRAY(Sintesi!$C$10)),0)),0),0,1-(L98-_xlfn.IFNA(INDEX(_xlfn.ANCHORARRAY(Sintesi!$C$17),1,MATCH(1,(_xlfn.ANCHORARRAY(Sintesi!$C$9)&gt;_xlfn.ANCHORARRAY(Sintesi!$C$10))*(A97&gt;=_xlfn.ANCHORARRAY(Sintesi!$C$9))+(_xlfn.ANCHORARRAY(Sintesi!$C$9)&gt;_xlfn.ANCHORARRAY(Sintesi!$C$10))*(A97&lt;=_xlfn.ANCHORARRAY(Sintesi!$C$10))+(_xlfn.ANCHORARRAY(Sintesi!$C$9)&lt;_xlfn.ANCHORARRAY(Sintesi!$C$10))*(A97&gt;=_xlfn.ANCHORARRAY(Sintesi!$C$9))*(A97&lt;=_xlfn.ANCHORARRAY(Sintesi!$C$10)),0)),0))/(_xlfn.IFNA(INDEX(_xlfn.ANCHORARRAY(Sintesi!$C$18),1,MATCH(1,(_xlfn.ANCHORARRAY(Sintesi!$C$9)&gt;_xlfn.ANCHORARRAY(Sintesi!$C$10))*(A97&gt;=_xlfn.ANCHORARRAY(Sintesi!$C$9))+(_xlfn.ANCHORARRAY(Sintesi!$C$9)&gt;_xlfn.ANCHORARRAY(Sintesi!$C$10))*(A97&lt;=_xlfn.ANCHORARRAY(Sintesi!$C$10))+(_xlfn.ANCHORARRAY(Sintesi!$C$9)&lt;_xlfn.ANCHORARRAY(Sintesi!$C$10))*(A97&gt;=_xlfn.ANCHORARRAY(Sintesi!$C$9))*(A97&lt;=_xlfn.ANCHORARRAY(Sintesi!$C$10)),0)),0)-_xlfn.IFNA(INDEX(_xlfn.ANCHORARRAY(Sintesi!$C$17),1,MATCH(1,(_xlfn.ANCHORARRAY(Sintesi!$C$9)&gt;_xlfn.ANCHORARRAY(Sintesi!$C$10))*(A97&gt;=_xlfn.ANCHORARRAY(Sintesi!$C$9))+(_xlfn.ANCHORARRAY(Sintesi!$C$9)&gt;_xlfn.ANCHORARRAY(Sintesi!$C$10))*(A97&lt;=_xlfn.ANCHORARRAY(Sintesi!$C$10))+(_xlfn.ANCHORARRAY(Sintesi!$C$9)&lt;_xlfn.ANCHORARRAY(Sintesi!$C$10))*(A97&gt;=_xlfn.ANCHORARRAY(Sintesi!$C$9))*(A97&lt;=_xlfn.ANCHORARRAY(Sintesi!$C$10)),0)),0)))),0)</f>
        <v>0</v>
      </c>
    </row>
    <row r="99" spans="1:13">
      <c r="A99" s="1">
        <f>'Paste cell here'!A99</f>
        <v>98</v>
      </c>
      <c r="B99" s="2">
        <f>DATE(Sintesi!$C$4-1,12,31)+A99</f>
        <v>44294</v>
      </c>
      <c r="C99" s="34">
        <f t="array" ref="C99">_xlfn.IFNA(MATCH(1,((_xlfn.ANCHORARRAY(Sintesi!$C$9)&gt;_xlfn.ANCHORARRAY(Sintesi!$C$10))*(A99&gt;=_xlfn.ANCHORARRAY(Sintesi!$C$9))+(_xlfn.ANCHORARRAY(Sintesi!$C$9)&gt;_xlfn.ANCHORARRAY(Sintesi!$C$10))*(A99&lt;=_xlfn.ANCHORARRAY(Sintesi!$C$10))+(_xlfn.ANCHORARRAY(Sintesi!$C$9)&lt;_xlfn.ANCHORARRAY(Sintesi!$C$10))*(A99&gt;=_xlfn.ANCHORARRAY(Sintesi!$C$9))*(A99&lt;=_xlfn.ANCHORARRAY(Sintesi!$C$10)))*(_xlfn.ANCHORARRAY(Sintesi!$C$15)&gt;=0)+(_xlfn.ANCHORARRAY(Sintesi!$C$15)&lt;0),0),0)</f>
        <v>1</v>
      </c>
      <c r="D99" s="1">
        <f t="array" ref="D99">IF(ISBLANK($E100),IF(ISNUMBER($E98),IF($C99&gt;0,IF(($E99=INDEX(_xlfn.ANCHORARRAY(Sintesi!$C$14),1,$C99))*(INDEX(_xlfn.ANCHORARRAY(Sintesi!$C$15),1,$C99)&gt;0),0,IF(($E99=INDEX(_xlfn.ANCHORARRAY(Sintesi!$C$14),1,$C99))*(INDEX(_xlfn.ANCHORARRAY(Sintesi!$C$15),1,$C99)&lt;0)+($E99&gt;=$E98)*($E99&lt;=INDEX($E:$E,MATCH(TRUE,INDEX((ISNUMBER($E:$E)),0),0)))*($E99&gt;INDEX(_xlfn.ANCHORARRAY(Sintesi!$C$14),1,$C99))*($E99&lt;=INDEX(_xlfn.ANCHORARRAY(Sintesi!$C$15),1,$C99))*(INDEX(_xlfn.ANCHORARRAY(Sintesi!$C$15),1,$C99)&gt;0),1,IF(($E99&gt;=$E98)*($E99&lt;=INDEX($E:$E,MATCH(TRUE,INDEX((ISNUMBER($E:$E)),0),0)))*($E99&gt;INDEX(_xlfn.ANCHORARRAY(Sintesi!$C$14),1,$C99))*($E99&lt;INDEX(_xlfn.ANCHORARRAY(Sintesi!$C$16),1,$C99))*(INDEX(_xlfn.ANCHORARRAY(Sintesi!$C$15),1,$C99)&lt;0)+($E99&gt;=$E98)*($E99&lt;=INDEX($E:$E,MATCH(TRUE,INDEX((ISNUMBER($E:$E)),0),0)))*($E99&gt;INDEX(_xlfn.ANCHORARRAY(Sintesi!$C$15),1,$C99))*($E99&lt;INDEX(_xlfn.ANCHORARRAY(Sintesi!$C$16),1,$C99))*(INDEX(_xlfn.ANCHORARRAY(Sintesi!$C$15),1,$C99)&gt;0),2,IF($E99=(INDEX(_xlfn.ANCHORARRAY(Sintesi!$C$16),1,$C99)),3,4)))),0),IF($C99&gt;0,IF(($E99=INDEX(_xlfn.ANCHORARRAY(Sintesi!$C$14),1,$C99))*(INDEX(_xlfn.ANCHORARRAY(Sintesi!$C$15),1,$C99)&gt;0),0,IF(($E99=INDEX(_xlfn.ANCHORARRAY(Sintesi!$C$14),1,$C99))*(INDEX(_xlfn.ANCHORARRAY(Sintesi!$C$15),1,$C99)&lt;0)+($E99&gt;=LOOKUP(2,1/($E:$E&lt;&gt;""),$E:$E))*($E99&lt;=INDEX($E:$E,MATCH(TRUE,INDEX((ISNUMBER($E:$E)),0),0)))*($E99&gt;INDEX(_xlfn.ANCHORARRAY(Sintesi!$C$14),1,$C99))*($E99&lt;=INDEX(_xlfn.ANCHORARRAY(Sintesi!$C$15),1,$C99))*(INDEX(_xlfn.ANCHORARRAY(Sintesi!$C$15),1,$C99)&gt;0),1,IF(($E99&gt;=LOOKUP(2,1/($E:$E&lt;&gt;""),$E:$E))*($E99&lt;=INDEX($E:$E,MATCH(TRUE,INDEX((ISNUMBER($E:$E)),0),0)))*($E99&gt;INDEX(_xlfn.ANCHORARRAY(Sintesi!$C$14),1,$C99))*($E99&lt;INDEX(_xlfn.ANCHORARRAY(Sintesi!$C$16),1,$C99))*(INDEX(_xlfn.ANCHORARRAY(Sintesi!$C$15),1,$C99)&lt;0)+($E99&gt;=LOOKUP(2,1/($E:$E&lt;&gt;""),$E:$E))*($E99&lt;=INDEX($E:$E,MATCH(TRUE,INDEX((ISNUMBER($E:$E)),0),0)))*($E99&gt;INDEX(_xlfn.ANCHORARRAY(Sintesi!$C$15),1,$C99))*($E99&lt;INDEX(_xlfn.ANCHORARRAY(Sintesi!$C$16),1,$C99))*(INDEX(_xlfn.ANCHORARRAY(Sintesi!$C$15),1,$C99)&gt;0),2,IF($E99=(INDEX(_xlfn.ANCHORARRAY(Sintesi!$C$16),1,$C99)),3,4)))),0)),IF(ISNUMBER($E98),IF($C99&gt;0,IF(($E99=INDEX(_xlfn.ANCHORARRAY(Sintesi!$C$14),1,$C99))*(INDEX(_xlfn.ANCHORARRAY(Sintesi!$C$15),1,$C99)&gt;0),0,IF(($E99=INDEX(_xlfn.ANCHORARRAY(Sintesi!$C$14),1,$C99))*(INDEX(_xlfn.ANCHORARRAY(Sintesi!$C$15),1,$C99)&lt;0)+($E99&gt;=$E98)*($E99&lt;=$E100)*($E99&gt;INDEX(_xlfn.ANCHORARRAY(Sintesi!$C$14),1,$C99))*($E99&lt;=INDEX(_xlfn.ANCHORARRAY(Sintesi!$C$15),1,$C99))*(INDEX(_xlfn.ANCHORARRAY(Sintesi!$C$15),1,$C99)&gt;0),1,IF(($E99&gt;=$E98)*($E99&lt;=$E100)*($E99&gt;INDEX(_xlfn.ANCHORARRAY(Sintesi!$C$14),1,$C99))*($E99&lt;INDEX(_xlfn.ANCHORARRAY(Sintesi!$C$16),1,$C99))*(INDEX(_xlfn.ANCHORARRAY(Sintesi!$C$15),1,$C99)&lt;0)+($E99&gt;=$E98)*($E99&lt;=$E100)*($E99&gt;INDEX(_xlfn.ANCHORARRAY(Sintesi!$C$15),1,$C99))*($E99&lt;INDEX(_xlfn.ANCHORARRAY(Sintesi!$C$16),1,$C99))*(INDEX(_xlfn.ANCHORARRAY(Sintesi!$C$15),1,$C99)&gt;0),2,IF($E99=(INDEX(_xlfn.ANCHORARRAY(Sintesi!$C$16),1,$C99)),3,4)))),0),IF($C99&gt;0,IF(($E99=INDEX(_xlfn.ANCHORARRAY(Sintesi!$C$14),1,$C99))*(INDEX(_xlfn.ANCHORARRAY(Sintesi!$C$15),1,$C99)&gt;0),0,IF(($E99=INDEX(_xlfn.ANCHORARRAY(Sintesi!$C$14),1,$C99))*(INDEX(_xlfn.ANCHORARRAY(Sintesi!$C$15),1,$C99)&lt;0)+($E99&gt;=LOOKUP(2,1/($E:$E&lt;&gt;""),$E:$E))*($E99&lt;=$E100)*($E99&gt;INDEX(_xlfn.ANCHORARRAY(Sintesi!$C$14),1,$C99))*($E99&lt;=INDEX(_xlfn.ANCHORARRAY(Sintesi!$C$15),1,$C99))*(INDEX(_xlfn.ANCHORARRAY(Sintesi!$C$15),1,$C99)&gt;0),1,IF(($E99&gt;=LOOKUP(2,1/($E:$E&lt;&gt;""),$E:$E))*($E99&lt;=$E100)*($E99&gt;INDEX(_xlfn.ANCHORARRAY(Sintesi!$C$14),1,$C99))*($E99&lt;INDEX(_xlfn.ANCHORARRAY(Sintesi!$C$16),1,$C99))*(INDEX(_xlfn.ANCHORARRAY(Sintesi!$C$15),1,$C99)&lt;0)+($E99&gt;=LOOKUP(2,1/($E:$E&lt;&gt;""),$E:$E))*($E99&lt;=$E100)*($E99&gt;INDEX(_xlfn.ANCHORARRAY(Sintesi!$C$15),1,$C99))*($E99&lt;INDEX(_xlfn.ANCHORARRAY(Sintesi!$C$16),1,$C99))*(INDEX(_xlfn.ANCHORARRAY(Sintesi!$C$15),1,$C99)&gt;0),2,IF($E99=(INDEX(_xlfn.ANCHORARRAY(Sintesi!$C$16),1,$C99)),3,4)))),0)))</f>
        <v>0</v>
      </c>
      <c r="E99" s="1">
        <f>'Paste cell here'!F99</f>
        <v>0</v>
      </c>
      <c r="F99" s="1">
        <f>'Paste cell here'!C99</f>
        <v>16.959999999999752</v>
      </c>
      <c r="G99" s="1">
        <f>'Paste cell here'!D99</f>
        <v>-0.39999999999996461</v>
      </c>
      <c r="H99" s="1">
        <f>'Paste cell here'!E99</f>
        <v>3.2454601097965292</v>
      </c>
      <c r="I99" s="1">
        <f>'Paste cell here'!X99</f>
        <v>0</v>
      </c>
      <c r="J99" s="1">
        <f>'Paste cell here'!Y99+'Paste cell here'!S99</f>
        <v>0</v>
      </c>
      <c r="K99" s="1">
        <f t="shared" si="2"/>
        <v>0</v>
      </c>
      <c r="L99" s="1">
        <f t="shared" si="3"/>
        <v>10.462491153230784</v>
      </c>
      <c r="M99" s="1">
        <f t="array" ref="M99">IF(AND(A99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99&gt;=_xlfn.ANCHORARRAY(Sintesi!$C$9))+(_xlfn.ANCHORARRAY(Sintesi!$C$9)&gt;_xlfn.ANCHORARRAY(Sintesi!$C$10))*(A99&lt;=_xlfn.ANCHORARRAY(Sintesi!$C$10))+(_xlfn.ANCHORARRAY(Sintesi!$C$9)&lt;_xlfn.ANCHORARRAY(Sintesi!$C$10))*(A99&gt;=_xlfn.ANCHORARRAY(Sintesi!$C$9))*(A99&lt;=_xlfn.ANCHORARRAY(Sintesi!$C$10)),0)),0),A99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100&gt;=_xlfn.ANCHORARRAY(Sintesi!$C$9))+(_xlfn.ANCHORARRAY(Sintesi!$C$9)&gt;_xlfn.ANCHORARRAY(Sintesi!$C$10))*(A100&lt;=_xlfn.ANCHORARRAY(Sintesi!$C$10))+(_xlfn.ANCHORARRAY(Sintesi!$C$9)&lt;_xlfn.ANCHORARRAY(Sintesi!$C$10))*(A100&gt;=_xlfn.ANCHORARRAY(Sintesi!$C$9))*(A100&lt;=_xlfn.ANCHORARRAY(Sintesi!$C$10)),0)),0)),IF(L99&lt;_xlfn.IFNA(INDEX(_xlfn.ANCHORARRAY(Sintesi!$C$17),1,MATCH(1,(_xlfn.ANCHORARRAY(Sintesi!$C$9)&gt;_xlfn.ANCHORARRAY(Sintesi!$C$10))*(A98&gt;=_xlfn.ANCHORARRAY(Sintesi!$C$9))+(_xlfn.ANCHORARRAY(Sintesi!$C$9)&gt;_xlfn.ANCHORARRAY(Sintesi!$C$10))*(A98&lt;=_xlfn.ANCHORARRAY(Sintesi!$C$10))+(_xlfn.ANCHORARRAY(Sintesi!$C$9)&lt;_xlfn.ANCHORARRAY(Sintesi!$C$10))*(A98&gt;=_xlfn.ANCHORARRAY(Sintesi!$C$9))*(A98&lt;=_xlfn.ANCHORARRAY(Sintesi!$C$10)),0)),0),1,IF(L99&gt;=_xlfn.IFNA(INDEX(_xlfn.ANCHORARRAY(Sintesi!$C$18),1,MATCH(1,(_xlfn.ANCHORARRAY(Sintesi!$C$9)&gt;_xlfn.ANCHORARRAY(Sintesi!$C$10))*(A98&gt;=_xlfn.ANCHORARRAY(Sintesi!$C$9))+(_xlfn.ANCHORARRAY(Sintesi!$C$9)&gt;_xlfn.ANCHORARRAY(Sintesi!$C$10))*(A98&lt;=_xlfn.ANCHORARRAY(Sintesi!$C$10))+(_xlfn.ANCHORARRAY(Sintesi!$C$9)&lt;_xlfn.ANCHORARRAY(Sintesi!$C$10))*(A98&gt;=_xlfn.ANCHORARRAY(Sintesi!$C$9))*(A98&lt;=_xlfn.ANCHORARRAY(Sintesi!$C$10)),0)),0),0,1-(L99-_xlfn.IFNA(INDEX(_xlfn.ANCHORARRAY(Sintesi!$C$17),1,MATCH(1,(_xlfn.ANCHORARRAY(Sintesi!$C$9)&gt;_xlfn.ANCHORARRAY(Sintesi!$C$10))*(A98&gt;=_xlfn.ANCHORARRAY(Sintesi!$C$9))+(_xlfn.ANCHORARRAY(Sintesi!$C$9)&gt;_xlfn.ANCHORARRAY(Sintesi!$C$10))*(A98&lt;=_xlfn.ANCHORARRAY(Sintesi!$C$10))+(_xlfn.ANCHORARRAY(Sintesi!$C$9)&lt;_xlfn.ANCHORARRAY(Sintesi!$C$10))*(A98&gt;=_xlfn.ANCHORARRAY(Sintesi!$C$9))*(A98&lt;=_xlfn.ANCHORARRAY(Sintesi!$C$10)),0)),0))/(_xlfn.IFNA(INDEX(_xlfn.ANCHORARRAY(Sintesi!$C$18),1,MATCH(1,(_xlfn.ANCHORARRAY(Sintesi!$C$9)&gt;_xlfn.ANCHORARRAY(Sintesi!$C$10))*(A98&gt;=_xlfn.ANCHORARRAY(Sintesi!$C$9))+(_xlfn.ANCHORARRAY(Sintesi!$C$9)&gt;_xlfn.ANCHORARRAY(Sintesi!$C$10))*(A98&lt;=_xlfn.ANCHORARRAY(Sintesi!$C$10))+(_xlfn.ANCHORARRAY(Sintesi!$C$9)&lt;_xlfn.ANCHORARRAY(Sintesi!$C$10))*(A98&gt;=_xlfn.ANCHORARRAY(Sintesi!$C$9))*(A98&lt;=_xlfn.ANCHORARRAY(Sintesi!$C$10)),0)),0)-_xlfn.IFNA(INDEX(_xlfn.ANCHORARRAY(Sintesi!$C$17),1,MATCH(1,(_xlfn.ANCHORARRAY(Sintesi!$C$9)&gt;_xlfn.ANCHORARRAY(Sintesi!$C$10))*(A98&gt;=_xlfn.ANCHORARRAY(Sintesi!$C$9))+(_xlfn.ANCHORARRAY(Sintesi!$C$9)&gt;_xlfn.ANCHORARRAY(Sintesi!$C$10))*(A98&lt;=_xlfn.ANCHORARRAY(Sintesi!$C$10))+(_xlfn.ANCHORARRAY(Sintesi!$C$9)&lt;_xlfn.ANCHORARRAY(Sintesi!$C$10))*(A98&gt;=_xlfn.ANCHORARRAY(Sintesi!$C$9))*(A98&lt;=_xlfn.ANCHORARRAY(Sintesi!$C$10)),0)),0)))),0)</f>
        <v>0</v>
      </c>
    </row>
    <row r="100" spans="1:13">
      <c r="A100" s="1">
        <f>'Paste cell here'!A100</f>
        <v>99</v>
      </c>
      <c r="B100" s="2">
        <f>DATE(Sintesi!$C$4-1,12,31)+A100</f>
        <v>44295</v>
      </c>
      <c r="C100" s="34">
        <f t="array" ref="C100">_xlfn.IFNA(MATCH(1,((_xlfn.ANCHORARRAY(Sintesi!$C$9)&gt;_xlfn.ANCHORARRAY(Sintesi!$C$10))*(A100&gt;=_xlfn.ANCHORARRAY(Sintesi!$C$9))+(_xlfn.ANCHORARRAY(Sintesi!$C$9)&gt;_xlfn.ANCHORARRAY(Sintesi!$C$10))*(A100&lt;=_xlfn.ANCHORARRAY(Sintesi!$C$10))+(_xlfn.ANCHORARRAY(Sintesi!$C$9)&lt;_xlfn.ANCHORARRAY(Sintesi!$C$10))*(A100&gt;=_xlfn.ANCHORARRAY(Sintesi!$C$9))*(A100&lt;=_xlfn.ANCHORARRAY(Sintesi!$C$10)))*(_xlfn.ANCHORARRAY(Sintesi!$C$15)&gt;=0)+(_xlfn.ANCHORARRAY(Sintesi!$C$15)&lt;0),0),0)</f>
        <v>1</v>
      </c>
      <c r="D100" s="1">
        <f t="array" ref="D100">IF(ISBLANK($E101),IF(ISNUMBER($E99),IF($C100&gt;0,IF(($E100=INDEX(_xlfn.ANCHORARRAY(Sintesi!$C$14),1,$C100))*(INDEX(_xlfn.ANCHORARRAY(Sintesi!$C$15),1,$C100)&gt;0),0,IF(($E100=INDEX(_xlfn.ANCHORARRAY(Sintesi!$C$14),1,$C100))*(INDEX(_xlfn.ANCHORARRAY(Sintesi!$C$15),1,$C100)&lt;0)+($E100&gt;=$E99)*($E100&lt;=INDEX($E:$E,MATCH(TRUE,INDEX((ISNUMBER($E:$E)),0),0)))*($E100&gt;INDEX(_xlfn.ANCHORARRAY(Sintesi!$C$14),1,$C100))*($E100&lt;=INDEX(_xlfn.ANCHORARRAY(Sintesi!$C$15),1,$C100))*(INDEX(_xlfn.ANCHORARRAY(Sintesi!$C$15),1,$C100)&gt;0),1,IF(($E100&gt;=$E99)*($E100&lt;=INDEX($E:$E,MATCH(TRUE,INDEX((ISNUMBER($E:$E)),0),0)))*($E100&gt;INDEX(_xlfn.ANCHORARRAY(Sintesi!$C$14),1,$C100))*($E100&lt;INDEX(_xlfn.ANCHORARRAY(Sintesi!$C$16),1,$C100))*(INDEX(_xlfn.ANCHORARRAY(Sintesi!$C$15),1,$C100)&lt;0)+($E100&gt;=$E99)*($E100&lt;=INDEX($E:$E,MATCH(TRUE,INDEX((ISNUMBER($E:$E)),0),0)))*($E100&gt;INDEX(_xlfn.ANCHORARRAY(Sintesi!$C$15),1,$C100))*($E100&lt;INDEX(_xlfn.ANCHORARRAY(Sintesi!$C$16),1,$C100))*(INDEX(_xlfn.ANCHORARRAY(Sintesi!$C$15),1,$C100)&gt;0),2,IF($E100=(INDEX(_xlfn.ANCHORARRAY(Sintesi!$C$16),1,$C100)),3,4)))),0),IF($C100&gt;0,IF(($E100=INDEX(_xlfn.ANCHORARRAY(Sintesi!$C$14),1,$C100))*(INDEX(_xlfn.ANCHORARRAY(Sintesi!$C$15),1,$C100)&gt;0),0,IF(($E100=INDEX(_xlfn.ANCHORARRAY(Sintesi!$C$14),1,$C100))*(INDEX(_xlfn.ANCHORARRAY(Sintesi!$C$15),1,$C100)&lt;0)+($E100&gt;=LOOKUP(2,1/($E:$E&lt;&gt;""),$E:$E))*($E100&lt;=INDEX($E:$E,MATCH(TRUE,INDEX((ISNUMBER($E:$E)),0),0)))*($E100&gt;INDEX(_xlfn.ANCHORARRAY(Sintesi!$C$14),1,$C100))*($E100&lt;=INDEX(_xlfn.ANCHORARRAY(Sintesi!$C$15),1,$C100))*(INDEX(_xlfn.ANCHORARRAY(Sintesi!$C$15),1,$C100)&gt;0),1,IF(($E100&gt;=LOOKUP(2,1/($E:$E&lt;&gt;""),$E:$E))*($E100&lt;=INDEX($E:$E,MATCH(TRUE,INDEX((ISNUMBER($E:$E)),0),0)))*($E100&gt;INDEX(_xlfn.ANCHORARRAY(Sintesi!$C$14),1,$C100))*($E100&lt;INDEX(_xlfn.ANCHORARRAY(Sintesi!$C$16),1,$C100))*(INDEX(_xlfn.ANCHORARRAY(Sintesi!$C$15),1,$C100)&lt;0)+($E100&gt;=LOOKUP(2,1/($E:$E&lt;&gt;""),$E:$E))*($E100&lt;=INDEX($E:$E,MATCH(TRUE,INDEX((ISNUMBER($E:$E)),0),0)))*($E100&gt;INDEX(_xlfn.ANCHORARRAY(Sintesi!$C$15),1,$C100))*($E100&lt;INDEX(_xlfn.ANCHORARRAY(Sintesi!$C$16),1,$C100))*(INDEX(_xlfn.ANCHORARRAY(Sintesi!$C$15),1,$C100)&gt;0),2,IF($E100=(INDEX(_xlfn.ANCHORARRAY(Sintesi!$C$16),1,$C100)),3,4)))),0)),IF(ISNUMBER($E99),IF($C100&gt;0,IF(($E100=INDEX(_xlfn.ANCHORARRAY(Sintesi!$C$14),1,$C100))*(INDEX(_xlfn.ANCHORARRAY(Sintesi!$C$15),1,$C100)&gt;0),0,IF(($E100=INDEX(_xlfn.ANCHORARRAY(Sintesi!$C$14),1,$C100))*(INDEX(_xlfn.ANCHORARRAY(Sintesi!$C$15),1,$C100)&lt;0)+($E100&gt;=$E99)*($E100&lt;=$E101)*($E100&gt;INDEX(_xlfn.ANCHORARRAY(Sintesi!$C$14),1,$C100))*($E100&lt;=INDEX(_xlfn.ANCHORARRAY(Sintesi!$C$15),1,$C100))*(INDEX(_xlfn.ANCHORARRAY(Sintesi!$C$15),1,$C100)&gt;0),1,IF(($E100&gt;=$E99)*($E100&lt;=$E101)*($E100&gt;INDEX(_xlfn.ANCHORARRAY(Sintesi!$C$14),1,$C100))*($E100&lt;INDEX(_xlfn.ANCHORARRAY(Sintesi!$C$16),1,$C100))*(INDEX(_xlfn.ANCHORARRAY(Sintesi!$C$15),1,$C100)&lt;0)+($E100&gt;=$E99)*($E100&lt;=$E101)*($E100&gt;INDEX(_xlfn.ANCHORARRAY(Sintesi!$C$15),1,$C100))*($E100&lt;INDEX(_xlfn.ANCHORARRAY(Sintesi!$C$16),1,$C100))*(INDEX(_xlfn.ANCHORARRAY(Sintesi!$C$15),1,$C100)&gt;0),2,IF($E100=(INDEX(_xlfn.ANCHORARRAY(Sintesi!$C$16),1,$C100)),3,4)))),0),IF($C100&gt;0,IF(($E100=INDEX(_xlfn.ANCHORARRAY(Sintesi!$C$14),1,$C100))*(INDEX(_xlfn.ANCHORARRAY(Sintesi!$C$15),1,$C100)&gt;0),0,IF(($E100=INDEX(_xlfn.ANCHORARRAY(Sintesi!$C$14),1,$C100))*(INDEX(_xlfn.ANCHORARRAY(Sintesi!$C$15),1,$C100)&lt;0)+($E100&gt;=LOOKUP(2,1/($E:$E&lt;&gt;""),$E:$E))*($E100&lt;=$E101)*($E100&gt;INDEX(_xlfn.ANCHORARRAY(Sintesi!$C$14),1,$C100))*($E100&lt;=INDEX(_xlfn.ANCHORARRAY(Sintesi!$C$15),1,$C100))*(INDEX(_xlfn.ANCHORARRAY(Sintesi!$C$15),1,$C100)&gt;0),1,IF(($E100&gt;=LOOKUP(2,1/($E:$E&lt;&gt;""),$E:$E))*($E100&lt;=$E101)*($E100&gt;INDEX(_xlfn.ANCHORARRAY(Sintesi!$C$14),1,$C100))*($E100&lt;INDEX(_xlfn.ANCHORARRAY(Sintesi!$C$16),1,$C100))*(INDEX(_xlfn.ANCHORARRAY(Sintesi!$C$15),1,$C100)&lt;0)+($E100&gt;=LOOKUP(2,1/($E:$E&lt;&gt;""),$E:$E))*($E100&lt;=$E101)*($E100&gt;INDEX(_xlfn.ANCHORARRAY(Sintesi!$C$15),1,$C100))*($E100&lt;INDEX(_xlfn.ANCHORARRAY(Sintesi!$C$16),1,$C100))*(INDEX(_xlfn.ANCHORARRAY(Sintesi!$C$15),1,$C100)&gt;0),2,IF($E100=(INDEX(_xlfn.ANCHORARRAY(Sintesi!$C$16),1,$C100)),3,4)))),0)))</f>
        <v>0</v>
      </c>
      <c r="E100" s="1">
        <f>'Paste cell here'!F100</f>
        <v>0</v>
      </c>
      <c r="F100" s="1">
        <f>'Paste cell here'!C100</f>
        <v>15.619999999999768</v>
      </c>
      <c r="G100" s="1">
        <f>'Paste cell here'!D100</f>
        <v>5.7599999999999625</v>
      </c>
      <c r="H100" s="1">
        <f>'Paste cell here'!E100</f>
        <v>2.0923332210417454</v>
      </c>
      <c r="I100" s="1">
        <f>'Paste cell here'!X100</f>
        <v>0</v>
      </c>
      <c r="J100" s="1">
        <f>'Paste cell here'!Y100+'Paste cell here'!S100</f>
        <v>0</v>
      </c>
      <c r="K100" s="1">
        <f t="shared" si="2"/>
        <v>0</v>
      </c>
      <c r="L100" s="1">
        <f t="shared" si="3"/>
        <v>11.929594629657499</v>
      </c>
      <c r="M100" s="1">
        <f t="array" ref="M100">IF(AND(A100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100&gt;=_xlfn.ANCHORARRAY(Sintesi!$C$9))+(_xlfn.ANCHORARRAY(Sintesi!$C$9)&gt;_xlfn.ANCHORARRAY(Sintesi!$C$10))*(A100&lt;=_xlfn.ANCHORARRAY(Sintesi!$C$10))+(_xlfn.ANCHORARRAY(Sintesi!$C$9)&lt;_xlfn.ANCHORARRAY(Sintesi!$C$10))*(A100&gt;=_xlfn.ANCHORARRAY(Sintesi!$C$9))*(A100&lt;=_xlfn.ANCHORARRAY(Sintesi!$C$10)),0)),0),A100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101&gt;=_xlfn.ANCHORARRAY(Sintesi!$C$9))+(_xlfn.ANCHORARRAY(Sintesi!$C$9)&gt;_xlfn.ANCHORARRAY(Sintesi!$C$10))*(A101&lt;=_xlfn.ANCHORARRAY(Sintesi!$C$10))+(_xlfn.ANCHORARRAY(Sintesi!$C$9)&lt;_xlfn.ANCHORARRAY(Sintesi!$C$10))*(A101&gt;=_xlfn.ANCHORARRAY(Sintesi!$C$9))*(A101&lt;=_xlfn.ANCHORARRAY(Sintesi!$C$10)),0)),0)),IF(L100&lt;_xlfn.IFNA(INDEX(_xlfn.ANCHORARRAY(Sintesi!$C$17),1,MATCH(1,(_xlfn.ANCHORARRAY(Sintesi!$C$9)&gt;_xlfn.ANCHORARRAY(Sintesi!$C$10))*(A99&gt;=_xlfn.ANCHORARRAY(Sintesi!$C$9))+(_xlfn.ANCHORARRAY(Sintesi!$C$9)&gt;_xlfn.ANCHORARRAY(Sintesi!$C$10))*(A99&lt;=_xlfn.ANCHORARRAY(Sintesi!$C$10))+(_xlfn.ANCHORARRAY(Sintesi!$C$9)&lt;_xlfn.ANCHORARRAY(Sintesi!$C$10))*(A99&gt;=_xlfn.ANCHORARRAY(Sintesi!$C$9))*(A99&lt;=_xlfn.ANCHORARRAY(Sintesi!$C$10)),0)),0),1,IF(L100&gt;=_xlfn.IFNA(INDEX(_xlfn.ANCHORARRAY(Sintesi!$C$18),1,MATCH(1,(_xlfn.ANCHORARRAY(Sintesi!$C$9)&gt;_xlfn.ANCHORARRAY(Sintesi!$C$10))*(A99&gt;=_xlfn.ANCHORARRAY(Sintesi!$C$9))+(_xlfn.ANCHORARRAY(Sintesi!$C$9)&gt;_xlfn.ANCHORARRAY(Sintesi!$C$10))*(A99&lt;=_xlfn.ANCHORARRAY(Sintesi!$C$10))+(_xlfn.ANCHORARRAY(Sintesi!$C$9)&lt;_xlfn.ANCHORARRAY(Sintesi!$C$10))*(A99&gt;=_xlfn.ANCHORARRAY(Sintesi!$C$9))*(A99&lt;=_xlfn.ANCHORARRAY(Sintesi!$C$10)),0)),0),0,1-(L100-_xlfn.IFNA(INDEX(_xlfn.ANCHORARRAY(Sintesi!$C$17),1,MATCH(1,(_xlfn.ANCHORARRAY(Sintesi!$C$9)&gt;_xlfn.ANCHORARRAY(Sintesi!$C$10))*(A99&gt;=_xlfn.ANCHORARRAY(Sintesi!$C$9))+(_xlfn.ANCHORARRAY(Sintesi!$C$9)&gt;_xlfn.ANCHORARRAY(Sintesi!$C$10))*(A99&lt;=_xlfn.ANCHORARRAY(Sintesi!$C$10))+(_xlfn.ANCHORARRAY(Sintesi!$C$9)&lt;_xlfn.ANCHORARRAY(Sintesi!$C$10))*(A99&gt;=_xlfn.ANCHORARRAY(Sintesi!$C$9))*(A99&lt;=_xlfn.ANCHORARRAY(Sintesi!$C$10)),0)),0))/(_xlfn.IFNA(INDEX(_xlfn.ANCHORARRAY(Sintesi!$C$18),1,MATCH(1,(_xlfn.ANCHORARRAY(Sintesi!$C$9)&gt;_xlfn.ANCHORARRAY(Sintesi!$C$10))*(A99&gt;=_xlfn.ANCHORARRAY(Sintesi!$C$9))+(_xlfn.ANCHORARRAY(Sintesi!$C$9)&gt;_xlfn.ANCHORARRAY(Sintesi!$C$10))*(A99&lt;=_xlfn.ANCHORARRAY(Sintesi!$C$10))+(_xlfn.ANCHORARRAY(Sintesi!$C$9)&lt;_xlfn.ANCHORARRAY(Sintesi!$C$10))*(A99&gt;=_xlfn.ANCHORARRAY(Sintesi!$C$9))*(A99&lt;=_xlfn.ANCHORARRAY(Sintesi!$C$10)),0)),0)-_xlfn.IFNA(INDEX(_xlfn.ANCHORARRAY(Sintesi!$C$17),1,MATCH(1,(_xlfn.ANCHORARRAY(Sintesi!$C$9)&gt;_xlfn.ANCHORARRAY(Sintesi!$C$10))*(A99&gt;=_xlfn.ANCHORARRAY(Sintesi!$C$9))+(_xlfn.ANCHORARRAY(Sintesi!$C$9)&gt;_xlfn.ANCHORARRAY(Sintesi!$C$10))*(A99&lt;=_xlfn.ANCHORARRAY(Sintesi!$C$10))+(_xlfn.ANCHORARRAY(Sintesi!$C$9)&lt;_xlfn.ANCHORARRAY(Sintesi!$C$10))*(A99&gt;=_xlfn.ANCHORARRAY(Sintesi!$C$9))*(A99&lt;=_xlfn.ANCHORARRAY(Sintesi!$C$10)),0)),0)))),0)</f>
        <v>0</v>
      </c>
    </row>
    <row r="101" spans="1:13">
      <c r="A101" s="1">
        <f>'Paste cell here'!A101</f>
        <v>100</v>
      </c>
      <c r="B101" s="2">
        <f>DATE(Sintesi!$C$4-1,12,31)+A101</f>
        <v>44296</v>
      </c>
      <c r="C101" s="34">
        <f t="array" ref="C101">_xlfn.IFNA(MATCH(1,((_xlfn.ANCHORARRAY(Sintesi!$C$9)&gt;_xlfn.ANCHORARRAY(Sintesi!$C$10))*(A101&gt;=_xlfn.ANCHORARRAY(Sintesi!$C$9))+(_xlfn.ANCHORARRAY(Sintesi!$C$9)&gt;_xlfn.ANCHORARRAY(Sintesi!$C$10))*(A101&lt;=_xlfn.ANCHORARRAY(Sintesi!$C$10))+(_xlfn.ANCHORARRAY(Sintesi!$C$9)&lt;_xlfn.ANCHORARRAY(Sintesi!$C$10))*(A101&gt;=_xlfn.ANCHORARRAY(Sintesi!$C$9))*(A101&lt;=_xlfn.ANCHORARRAY(Sintesi!$C$10)))*(_xlfn.ANCHORARRAY(Sintesi!$C$15)&gt;=0)+(_xlfn.ANCHORARRAY(Sintesi!$C$15)&lt;0),0),0)</f>
        <v>1</v>
      </c>
      <c r="D101" s="1">
        <f t="array" ref="D101">IF(ISBLANK($E102),IF(ISNUMBER($E100),IF($C101&gt;0,IF(($E101=INDEX(_xlfn.ANCHORARRAY(Sintesi!$C$14),1,$C101))*(INDEX(_xlfn.ANCHORARRAY(Sintesi!$C$15),1,$C101)&gt;0),0,IF(($E101=INDEX(_xlfn.ANCHORARRAY(Sintesi!$C$14),1,$C101))*(INDEX(_xlfn.ANCHORARRAY(Sintesi!$C$15),1,$C101)&lt;0)+($E101&gt;=$E100)*($E101&lt;=INDEX($E:$E,MATCH(TRUE,INDEX((ISNUMBER($E:$E)),0),0)))*($E101&gt;INDEX(_xlfn.ANCHORARRAY(Sintesi!$C$14),1,$C101))*($E101&lt;=INDEX(_xlfn.ANCHORARRAY(Sintesi!$C$15),1,$C101))*(INDEX(_xlfn.ANCHORARRAY(Sintesi!$C$15),1,$C101)&gt;0),1,IF(($E101&gt;=$E100)*($E101&lt;=INDEX($E:$E,MATCH(TRUE,INDEX((ISNUMBER($E:$E)),0),0)))*($E101&gt;INDEX(_xlfn.ANCHORARRAY(Sintesi!$C$14),1,$C101))*($E101&lt;INDEX(_xlfn.ANCHORARRAY(Sintesi!$C$16),1,$C101))*(INDEX(_xlfn.ANCHORARRAY(Sintesi!$C$15),1,$C101)&lt;0)+($E101&gt;=$E100)*($E101&lt;=INDEX($E:$E,MATCH(TRUE,INDEX((ISNUMBER($E:$E)),0),0)))*($E101&gt;INDEX(_xlfn.ANCHORARRAY(Sintesi!$C$15),1,$C101))*($E101&lt;INDEX(_xlfn.ANCHORARRAY(Sintesi!$C$16),1,$C101))*(INDEX(_xlfn.ANCHORARRAY(Sintesi!$C$15),1,$C101)&gt;0),2,IF($E101=(INDEX(_xlfn.ANCHORARRAY(Sintesi!$C$16),1,$C101)),3,4)))),0),IF($C101&gt;0,IF(($E101=INDEX(_xlfn.ANCHORARRAY(Sintesi!$C$14),1,$C101))*(INDEX(_xlfn.ANCHORARRAY(Sintesi!$C$15),1,$C101)&gt;0),0,IF(($E101=INDEX(_xlfn.ANCHORARRAY(Sintesi!$C$14),1,$C101))*(INDEX(_xlfn.ANCHORARRAY(Sintesi!$C$15),1,$C101)&lt;0)+($E101&gt;=LOOKUP(2,1/($E:$E&lt;&gt;""),$E:$E))*($E101&lt;=INDEX($E:$E,MATCH(TRUE,INDEX((ISNUMBER($E:$E)),0),0)))*($E101&gt;INDEX(_xlfn.ANCHORARRAY(Sintesi!$C$14),1,$C101))*($E101&lt;=INDEX(_xlfn.ANCHORARRAY(Sintesi!$C$15),1,$C101))*(INDEX(_xlfn.ANCHORARRAY(Sintesi!$C$15),1,$C101)&gt;0),1,IF(($E101&gt;=LOOKUP(2,1/($E:$E&lt;&gt;""),$E:$E))*($E101&lt;=INDEX($E:$E,MATCH(TRUE,INDEX((ISNUMBER($E:$E)),0),0)))*($E101&gt;INDEX(_xlfn.ANCHORARRAY(Sintesi!$C$14),1,$C101))*($E101&lt;INDEX(_xlfn.ANCHORARRAY(Sintesi!$C$16),1,$C101))*(INDEX(_xlfn.ANCHORARRAY(Sintesi!$C$15),1,$C101)&lt;0)+($E101&gt;=LOOKUP(2,1/($E:$E&lt;&gt;""),$E:$E))*($E101&lt;=INDEX($E:$E,MATCH(TRUE,INDEX((ISNUMBER($E:$E)),0),0)))*($E101&gt;INDEX(_xlfn.ANCHORARRAY(Sintesi!$C$15),1,$C101))*($E101&lt;INDEX(_xlfn.ANCHORARRAY(Sintesi!$C$16),1,$C101))*(INDEX(_xlfn.ANCHORARRAY(Sintesi!$C$15),1,$C101)&gt;0),2,IF($E101=(INDEX(_xlfn.ANCHORARRAY(Sintesi!$C$16),1,$C101)),3,4)))),0)),IF(ISNUMBER($E100),IF($C101&gt;0,IF(($E101=INDEX(_xlfn.ANCHORARRAY(Sintesi!$C$14),1,$C101))*(INDEX(_xlfn.ANCHORARRAY(Sintesi!$C$15),1,$C101)&gt;0),0,IF(($E101=INDEX(_xlfn.ANCHORARRAY(Sintesi!$C$14),1,$C101))*(INDEX(_xlfn.ANCHORARRAY(Sintesi!$C$15),1,$C101)&lt;0)+($E101&gt;=$E100)*($E101&lt;=$E102)*($E101&gt;INDEX(_xlfn.ANCHORARRAY(Sintesi!$C$14),1,$C101))*($E101&lt;=INDEX(_xlfn.ANCHORARRAY(Sintesi!$C$15),1,$C101))*(INDEX(_xlfn.ANCHORARRAY(Sintesi!$C$15),1,$C101)&gt;0),1,IF(($E101&gt;=$E100)*($E101&lt;=$E102)*($E101&gt;INDEX(_xlfn.ANCHORARRAY(Sintesi!$C$14),1,$C101))*($E101&lt;INDEX(_xlfn.ANCHORARRAY(Sintesi!$C$16),1,$C101))*(INDEX(_xlfn.ANCHORARRAY(Sintesi!$C$15),1,$C101)&lt;0)+($E101&gt;=$E100)*($E101&lt;=$E102)*($E101&gt;INDEX(_xlfn.ANCHORARRAY(Sintesi!$C$15),1,$C101))*($E101&lt;INDEX(_xlfn.ANCHORARRAY(Sintesi!$C$16),1,$C101))*(INDEX(_xlfn.ANCHORARRAY(Sintesi!$C$15),1,$C101)&gt;0),2,IF($E101=(INDEX(_xlfn.ANCHORARRAY(Sintesi!$C$16),1,$C101)),3,4)))),0),IF($C101&gt;0,IF(($E101=INDEX(_xlfn.ANCHORARRAY(Sintesi!$C$14),1,$C101))*(INDEX(_xlfn.ANCHORARRAY(Sintesi!$C$15),1,$C101)&gt;0),0,IF(($E101=INDEX(_xlfn.ANCHORARRAY(Sintesi!$C$14),1,$C101))*(INDEX(_xlfn.ANCHORARRAY(Sintesi!$C$15),1,$C101)&lt;0)+($E101&gt;=LOOKUP(2,1/($E:$E&lt;&gt;""),$E:$E))*($E101&lt;=$E102)*($E101&gt;INDEX(_xlfn.ANCHORARRAY(Sintesi!$C$14),1,$C101))*($E101&lt;=INDEX(_xlfn.ANCHORARRAY(Sintesi!$C$15),1,$C101))*(INDEX(_xlfn.ANCHORARRAY(Sintesi!$C$15),1,$C101)&gt;0),1,IF(($E101&gt;=LOOKUP(2,1/($E:$E&lt;&gt;""),$E:$E))*($E101&lt;=$E102)*($E101&gt;INDEX(_xlfn.ANCHORARRAY(Sintesi!$C$14),1,$C101))*($E101&lt;INDEX(_xlfn.ANCHORARRAY(Sintesi!$C$16),1,$C101))*(INDEX(_xlfn.ANCHORARRAY(Sintesi!$C$15),1,$C101)&lt;0)+($E101&gt;=LOOKUP(2,1/($E:$E&lt;&gt;""),$E:$E))*($E101&lt;=$E102)*($E101&gt;INDEX(_xlfn.ANCHORARRAY(Sintesi!$C$15),1,$C101))*($E101&lt;INDEX(_xlfn.ANCHORARRAY(Sintesi!$C$16),1,$C101))*(INDEX(_xlfn.ANCHORARRAY(Sintesi!$C$15),1,$C101)&gt;0),2,IF($E101=(INDEX(_xlfn.ANCHORARRAY(Sintesi!$C$16),1,$C101)),3,4)))),0)))</f>
        <v>0</v>
      </c>
      <c r="E101" s="1">
        <f>'Paste cell here'!F101</f>
        <v>0</v>
      </c>
      <c r="F101" s="1">
        <f>'Paste cell here'!C101</f>
        <v>14.919999999999774</v>
      </c>
      <c r="G101" s="1">
        <f>'Paste cell here'!D101</f>
        <v>8.2599999999998968</v>
      </c>
      <c r="H101" s="1">
        <f>'Paste cell here'!E101</f>
        <v>1.5989842671848917</v>
      </c>
      <c r="I101" s="1">
        <f>'Paste cell here'!X101</f>
        <v>0</v>
      </c>
      <c r="J101" s="1">
        <f>'Paste cell here'!Y101+'Paste cell here'!S101</f>
        <v>0</v>
      </c>
      <c r="K101" s="1">
        <f t="shared" si="2"/>
        <v>0</v>
      </c>
      <c r="L101" s="1">
        <f t="shared" si="3"/>
        <v>12.427292112932886</v>
      </c>
      <c r="M101" s="1">
        <f t="array" ref="M101">IF(AND(A101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101&gt;=_xlfn.ANCHORARRAY(Sintesi!$C$9))+(_xlfn.ANCHORARRAY(Sintesi!$C$9)&gt;_xlfn.ANCHORARRAY(Sintesi!$C$10))*(A101&lt;=_xlfn.ANCHORARRAY(Sintesi!$C$10))+(_xlfn.ANCHORARRAY(Sintesi!$C$9)&lt;_xlfn.ANCHORARRAY(Sintesi!$C$10))*(A101&gt;=_xlfn.ANCHORARRAY(Sintesi!$C$9))*(A101&lt;=_xlfn.ANCHORARRAY(Sintesi!$C$10)),0)),0),A101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102&gt;=_xlfn.ANCHORARRAY(Sintesi!$C$9))+(_xlfn.ANCHORARRAY(Sintesi!$C$9)&gt;_xlfn.ANCHORARRAY(Sintesi!$C$10))*(A102&lt;=_xlfn.ANCHORARRAY(Sintesi!$C$10))+(_xlfn.ANCHORARRAY(Sintesi!$C$9)&lt;_xlfn.ANCHORARRAY(Sintesi!$C$10))*(A102&gt;=_xlfn.ANCHORARRAY(Sintesi!$C$9))*(A102&lt;=_xlfn.ANCHORARRAY(Sintesi!$C$10)),0)),0)),IF(L101&lt;_xlfn.IFNA(INDEX(_xlfn.ANCHORARRAY(Sintesi!$C$17),1,MATCH(1,(_xlfn.ANCHORARRAY(Sintesi!$C$9)&gt;_xlfn.ANCHORARRAY(Sintesi!$C$10))*(A100&gt;=_xlfn.ANCHORARRAY(Sintesi!$C$9))+(_xlfn.ANCHORARRAY(Sintesi!$C$9)&gt;_xlfn.ANCHORARRAY(Sintesi!$C$10))*(A100&lt;=_xlfn.ANCHORARRAY(Sintesi!$C$10))+(_xlfn.ANCHORARRAY(Sintesi!$C$9)&lt;_xlfn.ANCHORARRAY(Sintesi!$C$10))*(A100&gt;=_xlfn.ANCHORARRAY(Sintesi!$C$9))*(A100&lt;=_xlfn.ANCHORARRAY(Sintesi!$C$10)),0)),0),1,IF(L101&gt;=_xlfn.IFNA(INDEX(_xlfn.ANCHORARRAY(Sintesi!$C$18),1,MATCH(1,(_xlfn.ANCHORARRAY(Sintesi!$C$9)&gt;_xlfn.ANCHORARRAY(Sintesi!$C$10))*(A100&gt;=_xlfn.ANCHORARRAY(Sintesi!$C$9))+(_xlfn.ANCHORARRAY(Sintesi!$C$9)&gt;_xlfn.ANCHORARRAY(Sintesi!$C$10))*(A100&lt;=_xlfn.ANCHORARRAY(Sintesi!$C$10))+(_xlfn.ANCHORARRAY(Sintesi!$C$9)&lt;_xlfn.ANCHORARRAY(Sintesi!$C$10))*(A100&gt;=_xlfn.ANCHORARRAY(Sintesi!$C$9))*(A100&lt;=_xlfn.ANCHORARRAY(Sintesi!$C$10)),0)),0),0,1-(L101-_xlfn.IFNA(INDEX(_xlfn.ANCHORARRAY(Sintesi!$C$17),1,MATCH(1,(_xlfn.ANCHORARRAY(Sintesi!$C$9)&gt;_xlfn.ANCHORARRAY(Sintesi!$C$10))*(A100&gt;=_xlfn.ANCHORARRAY(Sintesi!$C$9))+(_xlfn.ANCHORARRAY(Sintesi!$C$9)&gt;_xlfn.ANCHORARRAY(Sintesi!$C$10))*(A100&lt;=_xlfn.ANCHORARRAY(Sintesi!$C$10))+(_xlfn.ANCHORARRAY(Sintesi!$C$9)&lt;_xlfn.ANCHORARRAY(Sintesi!$C$10))*(A100&gt;=_xlfn.ANCHORARRAY(Sintesi!$C$9))*(A100&lt;=_xlfn.ANCHORARRAY(Sintesi!$C$10)),0)),0))/(_xlfn.IFNA(INDEX(_xlfn.ANCHORARRAY(Sintesi!$C$18),1,MATCH(1,(_xlfn.ANCHORARRAY(Sintesi!$C$9)&gt;_xlfn.ANCHORARRAY(Sintesi!$C$10))*(A100&gt;=_xlfn.ANCHORARRAY(Sintesi!$C$9))+(_xlfn.ANCHORARRAY(Sintesi!$C$9)&gt;_xlfn.ANCHORARRAY(Sintesi!$C$10))*(A100&lt;=_xlfn.ANCHORARRAY(Sintesi!$C$10))+(_xlfn.ANCHORARRAY(Sintesi!$C$9)&lt;_xlfn.ANCHORARRAY(Sintesi!$C$10))*(A100&gt;=_xlfn.ANCHORARRAY(Sintesi!$C$9))*(A100&lt;=_xlfn.ANCHORARRAY(Sintesi!$C$10)),0)),0)-_xlfn.IFNA(INDEX(_xlfn.ANCHORARRAY(Sintesi!$C$17),1,MATCH(1,(_xlfn.ANCHORARRAY(Sintesi!$C$9)&gt;_xlfn.ANCHORARRAY(Sintesi!$C$10))*(A100&gt;=_xlfn.ANCHORARRAY(Sintesi!$C$9))+(_xlfn.ANCHORARRAY(Sintesi!$C$9)&gt;_xlfn.ANCHORARRAY(Sintesi!$C$10))*(A100&lt;=_xlfn.ANCHORARRAY(Sintesi!$C$10))+(_xlfn.ANCHORARRAY(Sintesi!$C$9)&lt;_xlfn.ANCHORARRAY(Sintesi!$C$10))*(A100&gt;=_xlfn.ANCHORARRAY(Sintesi!$C$9))*(A100&lt;=_xlfn.ANCHORARRAY(Sintesi!$C$10)),0)),0)))),0)</f>
        <v>0</v>
      </c>
    </row>
    <row r="102" spans="1:13">
      <c r="A102" s="1">
        <f>'Paste cell here'!A102</f>
        <v>101</v>
      </c>
      <c r="B102" s="2">
        <f>DATE(Sintesi!$C$4-1,12,31)+A102</f>
        <v>44297</v>
      </c>
      <c r="C102" s="34">
        <f t="array" ref="C102">_xlfn.IFNA(MATCH(1,((_xlfn.ANCHORARRAY(Sintesi!$C$9)&gt;_xlfn.ANCHORARRAY(Sintesi!$C$10))*(A102&gt;=_xlfn.ANCHORARRAY(Sintesi!$C$9))+(_xlfn.ANCHORARRAY(Sintesi!$C$9)&gt;_xlfn.ANCHORARRAY(Sintesi!$C$10))*(A102&lt;=_xlfn.ANCHORARRAY(Sintesi!$C$10))+(_xlfn.ANCHORARRAY(Sintesi!$C$9)&lt;_xlfn.ANCHORARRAY(Sintesi!$C$10))*(A102&gt;=_xlfn.ANCHORARRAY(Sintesi!$C$9))*(A102&lt;=_xlfn.ANCHORARRAY(Sintesi!$C$10)))*(_xlfn.ANCHORARRAY(Sintesi!$C$15)&gt;=0)+(_xlfn.ANCHORARRAY(Sintesi!$C$15)&lt;0),0),0)</f>
        <v>1</v>
      </c>
      <c r="D102" s="1">
        <f t="array" ref="D102">IF(ISBLANK($E103),IF(ISNUMBER($E101),IF($C102&gt;0,IF(($E102=INDEX(_xlfn.ANCHORARRAY(Sintesi!$C$14),1,$C102))*(INDEX(_xlfn.ANCHORARRAY(Sintesi!$C$15),1,$C102)&gt;0),0,IF(($E102=INDEX(_xlfn.ANCHORARRAY(Sintesi!$C$14),1,$C102))*(INDEX(_xlfn.ANCHORARRAY(Sintesi!$C$15),1,$C102)&lt;0)+($E102&gt;=$E101)*($E102&lt;=INDEX($E:$E,MATCH(TRUE,INDEX((ISNUMBER($E:$E)),0),0)))*($E102&gt;INDEX(_xlfn.ANCHORARRAY(Sintesi!$C$14),1,$C102))*($E102&lt;=INDEX(_xlfn.ANCHORARRAY(Sintesi!$C$15),1,$C102))*(INDEX(_xlfn.ANCHORARRAY(Sintesi!$C$15),1,$C102)&gt;0),1,IF(($E102&gt;=$E101)*($E102&lt;=INDEX($E:$E,MATCH(TRUE,INDEX((ISNUMBER($E:$E)),0),0)))*($E102&gt;INDEX(_xlfn.ANCHORARRAY(Sintesi!$C$14),1,$C102))*($E102&lt;INDEX(_xlfn.ANCHORARRAY(Sintesi!$C$16),1,$C102))*(INDEX(_xlfn.ANCHORARRAY(Sintesi!$C$15),1,$C102)&lt;0)+($E102&gt;=$E101)*($E102&lt;=INDEX($E:$E,MATCH(TRUE,INDEX((ISNUMBER($E:$E)),0),0)))*($E102&gt;INDEX(_xlfn.ANCHORARRAY(Sintesi!$C$15),1,$C102))*($E102&lt;INDEX(_xlfn.ANCHORARRAY(Sintesi!$C$16),1,$C102))*(INDEX(_xlfn.ANCHORARRAY(Sintesi!$C$15),1,$C102)&gt;0),2,IF($E102=(INDEX(_xlfn.ANCHORARRAY(Sintesi!$C$16),1,$C102)),3,4)))),0),IF($C102&gt;0,IF(($E102=INDEX(_xlfn.ANCHORARRAY(Sintesi!$C$14),1,$C102))*(INDEX(_xlfn.ANCHORARRAY(Sintesi!$C$15),1,$C102)&gt;0),0,IF(($E102=INDEX(_xlfn.ANCHORARRAY(Sintesi!$C$14),1,$C102))*(INDEX(_xlfn.ANCHORARRAY(Sintesi!$C$15),1,$C102)&lt;0)+($E102&gt;=LOOKUP(2,1/($E:$E&lt;&gt;""),$E:$E))*($E102&lt;=INDEX($E:$E,MATCH(TRUE,INDEX((ISNUMBER($E:$E)),0),0)))*($E102&gt;INDEX(_xlfn.ANCHORARRAY(Sintesi!$C$14),1,$C102))*($E102&lt;=INDEX(_xlfn.ANCHORARRAY(Sintesi!$C$15),1,$C102))*(INDEX(_xlfn.ANCHORARRAY(Sintesi!$C$15),1,$C102)&gt;0),1,IF(($E102&gt;=LOOKUP(2,1/($E:$E&lt;&gt;""),$E:$E))*($E102&lt;=INDEX($E:$E,MATCH(TRUE,INDEX((ISNUMBER($E:$E)),0),0)))*($E102&gt;INDEX(_xlfn.ANCHORARRAY(Sintesi!$C$14),1,$C102))*($E102&lt;INDEX(_xlfn.ANCHORARRAY(Sintesi!$C$16),1,$C102))*(INDEX(_xlfn.ANCHORARRAY(Sintesi!$C$15),1,$C102)&lt;0)+($E102&gt;=LOOKUP(2,1/($E:$E&lt;&gt;""),$E:$E))*($E102&lt;=INDEX($E:$E,MATCH(TRUE,INDEX((ISNUMBER($E:$E)),0),0)))*($E102&gt;INDEX(_xlfn.ANCHORARRAY(Sintesi!$C$15),1,$C102))*($E102&lt;INDEX(_xlfn.ANCHORARRAY(Sintesi!$C$16),1,$C102))*(INDEX(_xlfn.ANCHORARRAY(Sintesi!$C$15),1,$C102)&gt;0),2,IF($E102=(INDEX(_xlfn.ANCHORARRAY(Sintesi!$C$16),1,$C102)),3,4)))),0)),IF(ISNUMBER($E101),IF($C102&gt;0,IF(($E102=INDEX(_xlfn.ANCHORARRAY(Sintesi!$C$14),1,$C102))*(INDEX(_xlfn.ANCHORARRAY(Sintesi!$C$15),1,$C102)&gt;0),0,IF(($E102=INDEX(_xlfn.ANCHORARRAY(Sintesi!$C$14),1,$C102))*(INDEX(_xlfn.ANCHORARRAY(Sintesi!$C$15),1,$C102)&lt;0)+($E102&gt;=$E101)*($E102&lt;=$E103)*($E102&gt;INDEX(_xlfn.ANCHORARRAY(Sintesi!$C$14),1,$C102))*($E102&lt;=INDEX(_xlfn.ANCHORARRAY(Sintesi!$C$15),1,$C102))*(INDEX(_xlfn.ANCHORARRAY(Sintesi!$C$15),1,$C102)&gt;0),1,IF(($E102&gt;=$E101)*($E102&lt;=$E103)*($E102&gt;INDEX(_xlfn.ANCHORARRAY(Sintesi!$C$14),1,$C102))*($E102&lt;INDEX(_xlfn.ANCHORARRAY(Sintesi!$C$16),1,$C102))*(INDEX(_xlfn.ANCHORARRAY(Sintesi!$C$15),1,$C102)&lt;0)+($E102&gt;=$E101)*($E102&lt;=$E103)*($E102&gt;INDEX(_xlfn.ANCHORARRAY(Sintesi!$C$15),1,$C102))*($E102&lt;INDEX(_xlfn.ANCHORARRAY(Sintesi!$C$16),1,$C102))*(INDEX(_xlfn.ANCHORARRAY(Sintesi!$C$15),1,$C102)&gt;0),2,IF($E102=(INDEX(_xlfn.ANCHORARRAY(Sintesi!$C$16),1,$C102)),3,4)))),0),IF($C102&gt;0,IF(($E102=INDEX(_xlfn.ANCHORARRAY(Sintesi!$C$14),1,$C102))*(INDEX(_xlfn.ANCHORARRAY(Sintesi!$C$15),1,$C102)&gt;0),0,IF(($E102=INDEX(_xlfn.ANCHORARRAY(Sintesi!$C$14),1,$C102))*(INDEX(_xlfn.ANCHORARRAY(Sintesi!$C$15),1,$C102)&lt;0)+($E102&gt;=LOOKUP(2,1/($E:$E&lt;&gt;""),$E:$E))*($E102&lt;=$E103)*($E102&gt;INDEX(_xlfn.ANCHORARRAY(Sintesi!$C$14),1,$C102))*($E102&lt;=INDEX(_xlfn.ANCHORARRAY(Sintesi!$C$15),1,$C102))*(INDEX(_xlfn.ANCHORARRAY(Sintesi!$C$15),1,$C102)&gt;0),1,IF(($E102&gt;=LOOKUP(2,1/($E:$E&lt;&gt;""),$E:$E))*($E102&lt;=$E103)*($E102&gt;INDEX(_xlfn.ANCHORARRAY(Sintesi!$C$14),1,$C102))*($E102&lt;INDEX(_xlfn.ANCHORARRAY(Sintesi!$C$16),1,$C102))*(INDEX(_xlfn.ANCHORARRAY(Sintesi!$C$15),1,$C102)&lt;0)+($E102&gt;=LOOKUP(2,1/($E:$E&lt;&gt;""),$E:$E))*($E102&lt;=$E103)*($E102&gt;INDEX(_xlfn.ANCHORARRAY(Sintesi!$C$15),1,$C102))*($E102&lt;INDEX(_xlfn.ANCHORARRAY(Sintesi!$C$16),1,$C102))*(INDEX(_xlfn.ANCHORARRAY(Sintesi!$C$15),1,$C102)&gt;0),2,IF($E102=(INDEX(_xlfn.ANCHORARRAY(Sintesi!$C$16),1,$C102)),3,4)))),0)))</f>
        <v>0</v>
      </c>
      <c r="E102" s="1">
        <f>'Paste cell here'!F102</f>
        <v>0</v>
      </c>
      <c r="F102" s="1">
        <f>'Paste cell here'!C102</f>
        <v>12.259999999999827</v>
      </c>
      <c r="G102" s="1">
        <f>'Paste cell here'!D102</f>
        <v>8.399999999999876</v>
      </c>
      <c r="H102" s="1">
        <f>'Paste cell here'!E102</f>
        <v>1.0526101754501798</v>
      </c>
      <c r="I102" s="1">
        <f>'Paste cell here'!X102</f>
        <v>0</v>
      </c>
      <c r="J102" s="1">
        <f>'Paste cell here'!Y102+'Paste cell here'!S102</f>
        <v>0</v>
      </c>
      <c r="K102" s="1">
        <f t="shared" si="2"/>
        <v>0</v>
      </c>
      <c r="L102" s="1">
        <f t="shared" si="3"/>
        <v>10.815277410798888</v>
      </c>
      <c r="M102" s="1">
        <f t="array" ref="M102">IF(AND(A102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102&gt;=_xlfn.ANCHORARRAY(Sintesi!$C$9))+(_xlfn.ANCHORARRAY(Sintesi!$C$9)&gt;_xlfn.ANCHORARRAY(Sintesi!$C$10))*(A102&lt;=_xlfn.ANCHORARRAY(Sintesi!$C$10))+(_xlfn.ANCHORARRAY(Sintesi!$C$9)&lt;_xlfn.ANCHORARRAY(Sintesi!$C$10))*(A102&gt;=_xlfn.ANCHORARRAY(Sintesi!$C$9))*(A102&lt;=_xlfn.ANCHORARRAY(Sintesi!$C$10)),0)),0),A102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103&gt;=_xlfn.ANCHORARRAY(Sintesi!$C$9))+(_xlfn.ANCHORARRAY(Sintesi!$C$9)&gt;_xlfn.ANCHORARRAY(Sintesi!$C$10))*(A103&lt;=_xlfn.ANCHORARRAY(Sintesi!$C$10))+(_xlfn.ANCHORARRAY(Sintesi!$C$9)&lt;_xlfn.ANCHORARRAY(Sintesi!$C$10))*(A103&gt;=_xlfn.ANCHORARRAY(Sintesi!$C$9))*(A103&lt;=_xlfn.ANCHORARRAY(Sintesi!$C$10)),0)),0)),IF(L102&lt;_xlfn.IFNA(INDEX(_xlfn.ANCHORARRAY(Sintesi!$C$17),1,MATCH(1,(_xlfn.ANCHORARRAY(Sintesi!$C$9)&gt;_xlfn.ANCHORARRAY(Sintesi!$C$10))*(A101&gt;=_xlfn.ANCHORARRAY(Sintesi!$C$9))+(_xlfn.ANCHORARRAY(Sintesi!$C$9)&gt;_xlfn.ANCHORARRAY(Sintesi!$C$10))*(A101&lt;=_xlfn.ANCHORARRAY(Sintesi!$C$10))+(_xlfn.ANCHORARRAY(Sintesi!$C$9)&lt;_xlfn.ANCHORARRAY(Sintesi!$C$10))*(A101&gt;=_xlfn.ANCHORARRAY(Sintesi!$C$9))*(A101&lt;=_xlfn.ANCHORARRAY(Sintesi!$C$10)),0)),0),1,IF(L102&gt;=_xlfn.IFNA(INDEX(_xlfn.ANCHORARRAY(Sintesi!$C$18),1,MATCH(1,(_xlfn.ANCHORARRAY(Sintesi!$C$9)&gt;_xlfn.ANCHORARRAY(Sintesi!$C$10))*(A101&gt;=_xlfn.ANCHORARRAY(Sintesi!$C$9))+(_xlfn.ANCHORARRAY(Sintesi!$C$9)&gt;_xlfn.ANCHORARRAY(Sintesi!$C$10))*(A101&lt;=_xlfn.ANCHORARRAY(Sintesi!$C$10))+(_xlfn.ANCHORARRAY(Sintesi!$C$9)&lt;_xlfn.ANCHORARRAY(Sintesi!$C$10))*(A101&gt;=_xlfn.ANCHORARRAY(Sintesi!$C$9))*(A101&lt;=_xlfn.ANCHORARRAY(Sintesi!$C$10)),0)),0),0,1-(L102-_xlfn.IFNA(INDEX(_xlfn.ANCHORARRAY(Sintesi!$C$17),1,MATCH(1,(_xlfn.ANCHORARRAY(Sintesi!$C$9)&gt;_xlfn.ANCHORARRAY(Sintesi!$C$10))*(A101&gt;=_xlfn.ANCHORARRAY(Sintesi!$C$9))+(_xlfn.ANCHORARRAY(Sintesi!$C$9)&gt;_xlfn.ANCHORARRAY(Sintesi!$C$10))*(A101&lt;=_xlfn.ANCHORARRAY(Sintesi!$C$10))+(_xlfn.ANCHORARRAY(Sintesi!$C$9)&lt;_xlfn.ANCHORARRAY(Sintesi!$C$10))*(A101&gt;=_xlfn.ANCHORARRAY(Sintesi!$C$9))*(A101&lt;=_xlfn.ANCHORARRAY(Sintesi!$C$10)),0)),0))/(_xlfn.IFNA(INDEX(_xlfn.ANCHORARRAY(Sintesi!$C$18),1,MATCH(1,(_xlfn.ANCHORARRAY(Sintesi!$C$9)&gt;_xlfn.ANCHORARRAY(Sintesi!$C$10))*(A101&gt;=_xlfn.ANCHORARRAY(Sintesi!$C$9))+(_xlfn.ANCHORARRAY(Sintesi!$C$9)&gt;_xlfn.ANCHORARRAY(Sintesi!$C$10))*(A101&lt;=_xlfn.ANCHORARRAY(Sintesi!$C$10))+(_xlfn.ANCHORARRAY(Sintesi!$C$9)&lt;_xlfn.ANCHORARRAY(Sintesi!$C$10))*(A101&gt;=_xlfn.ANCHORARRAY(Sintesi!$C$9))*(A101&lt;=_xlfn.ANCHORARRAY(Sintesi!$C$10)),0)),0)-_xlfn.IFNA(INDEX(_xlfn.ANCHORARRAY(Sintesi!$C$17),1,MATCH(1,(_xlfn.ANCHORARRAY(Sintesi!$C$9)&gt;_xlfn.ANCHORARRAY(Sintesi!$C$10))*(A101&gt;=_xlfn.ANCHORARRAY(Sintesi!$C$9))+(_xlfn.ANCHORARRAY(Sintesi!$C$9)&gt;_xlfn.ANCHORARRAY(Sintesi!$C$10))*(A101&lt;=_xlfn.ANCHORARRAY(Sintesi!$C$10))+(_xlfn.ANCHORARRAY(Sintesi!$C$9)&lt;_xlfn.ANCHORARRAY(Sintesi!$C$10))*(A101&gt;=_xlfn.ANCHORARRAY(Sintesi!$C$9))*(A101&lt;=_xlfn.ANCHORARRAY(Sintesi!$C$10)),0)),0)))),0)</f>
        <v>0</v>
      </c>
    </row>
    <row r="103" spans="1:13">
      <c r="A103" s="1">
        <f>'Paste cell here'!A103</f>
        <v>102</v>
      </c>
      <c r="B103" s="2">
        <f>DATE(Sintesi!$C$4-1,12,31)+A103</f>
        <v>44298</v>
      </c>
      <c r="C103" s="34">
        <f t="array" ref="C103">_xlfn.IFNA(MATCH(1,((_xlfn.ANCHORARRAY(Sintesi!$C$9)&gt;_xlfn.ANCHORARRAY(Sintesi!$C$10))*(A103&gt;=_xlfn.ANCHORARRAY(Sintesi!$C$9))+(_xlfn.ANCHORARRAY(Sintesi!$C$9)&gt;_xlfn.ANCHORARRAY(Sintesi!$C$10))*(A103&lt;=_xlfn.ANCHORARRAY(Sintesi!$C$10))+(_xlfn.ANCHORARRAY(Sintesi!$C$9)&lt;_xlfn.ANCHORARRAY(Sintesi!$C$10))*(A103&gt;=_xlfn.ANCHORARRAY(Sintesi!$C$9))*(A103&lt;=_xlfn.ANCHORARRAY(Sintesi!$C$10)))*(_xlfn.ANCHORARRAY(Sintesi!$C$15)&gt;=0)+(_xlfn.ANCHORARRAY(Sintesi!$C$15)&lt;0),0),0)</f>
        <v>1</v>
      </c>
      <c r="D103" s="1">
        <f t="array" ref="D103">IF(ISBLANK($E104),IF(ISNUMBER($E102),IF($C103&gt;0,IF(($E103=INDEX(_xlfn.ANCHORARRAY(Sintesi!$C$14),1,$C103))*(INDEX(_xlfn.ANCHORARRAY(Sintesi!$C$15),1,$C103)&gt;0),0,IF(($E103=INDEX(_xlfn.ANCHORARRAY(Sintesi!$C$14),1,$C103))*(INDEX(_xlfn.ANCHORARRAY(Sintesi!$C$15),1,$C103)&lt;0)+($E103&gt;=$E102)*($E103&lt;=INDEX($E:$E,MATCH(TRUE,INDEX((ISNUMBER($E:$E)),0),0)))*($E103&gt;INDEX(_xlfn.ANCHORARRAY(Sintesi!$C$14),1,$C103))*($E103&lt;=INDEX(_xlfn.ANCHORARRAY(Sintesi!$C$15),1,$C103))*(INDEX(_xlfn.ANCHORARRAY(Sintesi!$C$15),1,$C103)&gt;0),1,IF(($E103&gt;=$E102)*($E103&lt;=INDEX($E:$E,MATCH(TRUE,INDEX((ISNUMBER($E:$E)),0),0)))*($E103&gt;INDEX(_xlfn.ANCHORARRAY(Sintesi!$C$14),1,$C103))*($E103&lt;INDEX(_xlfn.ANCHORARRAY(Sintesi!$C$16),1,$C103))*(INDEX(_xlfn.ANCHORARRAY(Sintesi!$C$15),1,$C103)&lt;0)+($E103&gt;=$E102)*($E103&lt;=INDEX($E:$E,MATCH(TRUE,INDEX((ISNUMBER($E:$E)),0),0)))*($E103&gt;INDEX(_xlfn.ANCHORARRAY(Sintesi!$C$15),1,$C103))*($E103&lt;INDEX(_xlfn.ANCHORARRAY(Sintesi!$C$16),1,$C103))*(INDEX(_xlfn.ANCHORARRAY(Sintesi!$C$15),1,$C103)&gt;0),2,IF($E103=(INDEX(_xlfn.ANCHORARRAY(Sintesi!$C$16),1,$C103)),3,4)))),0),IF($C103&gt;0,IF(($E103=INDEX(_xlfn.ANCHORARRAY(Sintesi!$C$14),1,$C103))*(INDEX(_xlfn.ANCHORARRAY(Sintesi!$C$15),1,$C103)&gt;0),0,IF(($E103=INDEX(_xlfn.ANCHORARRAY(Sintesi!$C$14),1,$C103))*(INDEX(_xlfn.ANCHORARRAY(Sintesi!$C$15),1,$C103)&lt;0)+($E103&gt;=LOOKUP(2,1/($E:$E&lt;&gt;""),$E:$E))*($E103&lt;=INDEX($E:$E,MATCH(TRUE,INDEX((ISNUMBER($E:$E)),0),0)))*($E103&gt;INDEX(_xlfn.ANCHORARRAY(Sintesi!$C$14),1,$C103))*($E103&lt;=INDEX(_xlfn.ANCHORARRAY(Sintesi!$C$15),1,$C103))*(INDEX(_xlfn.ANCHORARRAY(Sintesi!$C$15),1,$C103)&gt;0),1,IF(($E103&gt;=LOOKUP(2,1/($E:$E&lt;&gt;""),$E:$E))*($E103&lt;=INDEX($E:$E,MATCH(TRUE,INDEX((ISNUMBER($E:$E)),0),0)))*($E103&gt;INDEX(_xlfn.ANCHORARRAY(Sintesi!$C$14),1,$C103))*($E103&lt;INDEX(_xlfn.ANCHORARRAY(Sintesi!$C$16),1,$C103))*(INDEX(_xlfn.ANCHORARRAY(Sintesi!$C$15),1,$C103)&lt;0)+($E103&gt;=LOOKUP(2,1/($E:$E&lt;&gt;""),$E:$E))*($E103&lt;=INDEX($E:$E,MATCH(TRUE,INDEX((ISNUMBER($E:$E)),0),0)))*($E103&gt;INDEX(_xlfn.ANCHORARRAY(Sintesi!$C$15),1,$C103))*($E103&lt;INDEX(_xlfn.ANCHORARRAY(Sintesi!$C$16),1,$C103))*(INDEX(_xlfn.ANCHORARRAY(Sintesi!$C$15),1,$C103)&gt;0),2,IF($E103=(INDEX(_xlfn.ANCHORARRAY(Sintesi!$C$16),1,$C103)),3,4)))),0)),IF(ISNUMBER($E102),IF($C103&gt;0,IF(($E103=INDEX(_xlfn.ANCHORARRAY(Sintesi!$C$14),1,$C103))*(INDEX(_xlfn.ANCHORARRAY(Sintesi!$C$15),1,$C103)&gt;0),0,IF(($E103=INDEX(_xlfn.ANCHORARRAY(Sintesi!$C$14),1,$C103))*(INDEX(_xlfn.ANCHORARRAY(Sintesi!$C$15),1,$C103)&lt;0)+($E103&gt;=$E102)*($E103&lt;=$E104)*($E103&gt;INDEX(_xlfn.ANCHORARRAY(Sintesi!$C$14),1,$C103))*($E103&lt;=INDEX(_xlfn.ANCHORARRAY(Sintesi!$C$15),1,$C103))*(INDEX(_xlfn.ANCHORARRAY(Sintesi!$C$15),1,$C103)&gt;0),1,IF(($E103&gt;=$E102)*($E103&lt;=$E104)*($E103&gt;INDEX(_xlfn.ANCHORARRAY(Sintesi!$C$14),1,$C103))*($E103&lt;INDEX(_xlfn.ANCHORARRAY(Sintesi!$C$16),1,$C103))*(INDEX(_xlfn.ANCHORARRAY(Sintesi!$C$15),1,$C103)&lt;0)+($E103&gt;=$E102)*($E103&lt;=$E104)*($E103&gt;INDEX(_xlfn.ANCHORARRAY(Sintesi!$C$15),1,$C103))*($E103&lt;INDEX(_xlfn.ANCHORARRAY(Sintesi!$C$16),1,$C103))*(INDEX(_xlfn.ANCHORARRAY(Sintesi!$C$15),1,$C103)&gt;0),2,IF($E103=(INDEX(_xlfn.ANCHORARRAY(Sintesi!$C$16),1,$C103)),3,4)))),0),IF($C103&gt;0,IF(($E103=INDEX(_xlfn.ANCHORARRAY(Sintesi!$C$14),1,$C103))*(INDEX(_xlfn.ANCHORARRAY(Sintesi!$C$15),1,$C103)&gt;0),0,IF(($E103=INDEX(_xlfn.ANCHORARRAY(Sintesi!$C$14),1,$C103))*(INDEX(_xlfn.ANCHORARRAY(Sintesi!$C$15),1,$C103)&lt;0)+($E103&gt;=LOOKUP(2,1/($E:$E&lt;&gt;""),$E:$E))*($E103&lt;=$E104)*($E103&gt;INDEX(_xlfn.ANCHORARRAY(Sintesi!$C$14),1,$C103))*($E103&lt;=INDEX(_xlfn.ANCHORARRAY(Sintesi!$C$15),1,$C103))*(INDEX(_xlfn.ANCHORARRAY(Sintesi!$C$15),1,$C103)&gt;0),1,IF(($E103&gt;=LOOKUP(2,1/($E:$E&lt;&gt;""),$E:$E))*($E103&lt;=$E104)*($E103&gt;INDEX(_xlfn.ANCHORARRAY(Sintesi!$C$14),1,$C103))*($E103&lt;INDEX(_xlfn.ANCHORARRAY(Sintesi!$C$16),1,$C103))*(INDEX(_xlfn.ANCHORARRAY(Sintesi!$C$15),1,$C103)&lt;0)+($E103&gt;=LOOKUP(2,1/($E:$E&lt;&gt;""),$E:$E))*($E103&lt;=$E104)*($E103&gt;INDEX(_xlfn.ANCHORARRAY(Sintesi!$C$15),1,$C103))*($E103&lt;INDEX(_xlfn.ANCHORARRAY(Sintesi!$C$16),1,$C103))*(INDEX(_xlfn.ANCHORARRAY(Sintesi!$C$15),1,$C103)&gt;0),2,IF($E103=(INDEX(_xlfn.ANCHORARRAY(Sintesi!$C$16),1,$C103)),3,4)))),0)))</f>
        <v>0</v>
      </c>
      <c r="E103" s="1">
        <f>'Paste cell here'!F103</f>
        <v>0</v>
      </c>
      <c r="F103" s="1">
        <f>'Paste cell here'!C103</f>
        <v>12.199999999999825</v>
      </c>
      <c r="G103" s="1">
        <f>'Paste cell here'!D103</f>
        <v>8.9399999999998663</v>
      </c>
      <c r="H103" s="1">
        <f>'Paste cell here'!E103</f>
        <v>1.0063905039212586</v>
      </c>
      <c r="I103" s="1">
        <f>'Paste cell here'!X103</f>
        <v>0</v>
      </c>
      <c r="J103" s="1">
        <f>'Paste cell here'!Y103+'Paste cell here'!S103</f>
        <v>0</v>
      </c>
      <c r="K103" s="1">
        <f t="shared" si="2"/>
        <v>0</v>
      </c>
      <c r="L103" s="1">
        <f t="shared" si="3"/>
        <v>10.979845688913022</v>
      </c>
      <c r="M103" s="1">
        <f t="array" ref="M103">IF(AND(A103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103&gt;=_xlfn.ANCHORARRAY(Sintesi!$C$9))+(_xlfn.ANCHORARRAY(Sintesi!$C$9)&gt;_xlfn.ANCHORARRAY(Sintesi!$C$10))*(A103&lt;=_xlfn.ANCHORARRAY(Sintesi!$C$10))+(_xlfn.ANCHORARRAY(Sintesi!$C$9)&lt;_xlfn.ANCHORARRAY(Sintesi!$C$10))*(A103&gt;=_xlfn.ANCHORARRAY(Sintesi!$C$9))*(A103&lt;=_xlfn.ANCHORARRAY(Sintesi!$C$10)),0)),0),A103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104&gt;=_xlfn.ANCHORARRAY(Sintesi!$C$9))+(_xlfn.ANCHORARRAY(Sintesi!$C$9)&gt;_xlfn.ANCHORARRAY(Sintesi!$C$10))*(A104&lt;=_xlfn.ANCHORARRAY(Sintesi!$C$10))+(_xlfn.ANCHORARRAY(Sintesi!$C$9)&lt;_xlfn.ANCHORARRAY(Sintesi!$C$10))*(A104&gt;=_xlfn.ANCHORARRAY(Sintesi!$C$9))*(A104&lt;=_xlfn.ANCHORARRAY(Sintesi!$C$10)),0)),0)),IF(L103&lt;_xlfn.IFNA(INDEX(_xlfn.ANCHORARRAY(Sintesi!$C$17),1,MATCH(1,(_xlfn.ANCHORARRAY(Sintesi!$C$9)&gt;_xlfn.ANCHORARRAY(Sintesi!$C$10))*(A102&gt;=_xlfn.ANCHORARRAY(Sintesi!$C$9))+(_xlfn.ANCHORARRAY(Sintesi!$C$9)&gt;_xlfn.ANCHORARRAY(Sintesi!$C$10))*(A102&lt;=_xlfn.ANCHORARRAY(Sintesi!$C$10))+(_xlfn.ANCHORARRAY(Sintesi!$C$9)&lt;_xlfn.ANCHORARRAY(Sintesi!$C$10))*(A102&gt;=_xlfn.ANCHORARRAY(Sintesi!$C$9))*(A102&lt;=_xlfn.ANCHORARRAY(Sintesi!$C$10)),0)),0),1,IF(L103&gt;=_xlfn.IFNA(INDEX(_xlfn.ANCHORARRAY(Sintesi!$C$18),1,MATCH(1,(_xlfn.ANCHORARRAY(Sintesi!$C$9)&gt;_xlfn.ANCHORARRAY(Sintesi!$C$10))*(A102&gt;=_xlfn.ANCHORARRAY(Sintesi!$C$9))+(_xlfn.ANCHORARRAY(Sintesi!$C$9)&gt;_xlfn.ANCHORARRAY(Sintesi!$C$10))*(A102&lt;=_xlfn.ANCHORARRAY(Sintesi!$C$10))+(_xlfn.ANCHORARRAY(Sintesi!$C$9)&lt;_xlfn.ANCHORARRAY(Sintesi!$C$10))*(A102&gt;=_xlfn.ANCHORARRAY(Sintesi!$C$9))*(A102&lt;=_xlfn.ANCHORARRAY(Sintesi!$C$10)),0)),0),0,1-(L103-_xlfn.IFNA(INDEX(_xlfn.ANCHORARRAY(Sintesi!$C$17),1,MATCH(1,(_xlfn.ANCHORARRAY(Sintesi!$C$9)&gt;_xlfn.ANCHORARRAY(Sintesi!$C$10))*(A102&gt;=_xlfn.ANCHORARRAY(Sintesi!$C$9))+(_xlfn.ANCHORARRAY(Sintesi!$C$9)&gt;_xlfn.ANCHORARRAY(Sintesi!$C$10))*(A102&lt;=_xlfn.ANCHORARRAY(Sintesi!$C$10))+(_xlfn.ANCHORARRAY(Sintesi!$C$9)&lt;_xlfn.ANCHORARRAY(Sintesi!$C$10))*(A102&gt;=_xlfn.ANCHORARRAY(Sintesi!$C$9))*(A102&lt;=_xlfn.ANCHORARRAY(Sintesi!$C$10)),0)),0))/(_xlfn.IFNA(INDEX(_xlfn.ANCHORARRAY(Sintesi!$C$18),1,MATCH(1,(_xlfn.ANCHORARRAY(Sintesi!$C$9)&gt;_xlfn.ANCHORARRAY(Sintesi!$C$10))*(A102&gt;=_xlfn.ANCHORARRAY(Sintesi!$C$9))+(_xlfn.ANCHORARRAY(Sintesi!$C$9)&gt;_xlfn.ANCHORARRAY(Sintesi!$C$10))*(A102&lt;=_xlfn.ANCHORARRAY(Sintesi!$C$10))+(_xlfn.ANCHORARRAY(Sintesi!$C$9)&lt;_xlfn.ANCHORARRAY(Sintesi!$C$10))*(A102&gt;=_xlfn.ANCHORARRAY(Sintesi!$C$9))*(A102&lt;=_xlfn.ANCHORARRAY(Sintesi!$C$10)),0)),0)-_xlfn.IFNA(INDEX(_xlfn.ANCHORARRAY(Sintesi!$C$17),1,MATCH(1,(_xlfn.ANCHORARRAY(Sintesi!$C$9)&gt;_xlfn.ANCHORARRAY(Sintesi!$C$10))*(A102&gt;=_xlfn.ANCHORARRAY(Sintesi!$C$9))+(_xlfn.ANCHORARRAY(Sintesi!$C$9)&gt;_xlfn.ANCHORARRAY(Sintesi!$C$10))*(A102&lt;=_xlfn.ANCHORARRAY(Sintesi!$C$10))+(_xlfn.ANCHORARRAY(Sintesi!$C$9)&lt;_xlfn.ANCHORARRAY(Sintesi!$C$10))*(A102&gt;=_xlfn.ANCHORARRAY(Sintesi!$C$9))*(A102&lt;=_xlfn.ANCHORARRAY(Sintesi!$C$10)),0)),0)))),0)</f>
        <v>0</v>
      </c>
    </row>
    <row r="104" spans="1:13">
      <c r="A104" s="1">
        <f>'Paste cell here'!A104</f>
        <v>103</v>
      </c>
      <c r="B104" s="2">
        <f>DATE(Sintesi!$C$4-1,12,31)+A104</f>
        <v>44299</v>
      </c>
      <c r="C104" s="34">
        <f t="array" ref="C104">_xlfn.IFNA(MATCH(1,((_xlfn.ANCHORARRAY(Sintesi!$C$9)&gt;_xlfn.ANCHORARRAY(Sintesi!$C$10))*(A104&gt;=_xlfn.ANCHORARRAY(Sintesi!$C$9))+(_xlfn.ANCHORARRAY(Sintesi!$C$9)&gt;_xlfn.ANCHORARRAY(Sintesi!$C$10))*(A104&lt;=_xlfn.ANCHORARRAY(Sintesi!$C$10))+(_xlfn.ANCHORARRAY(Sintesi!$C$9)&lt;_xlfn.ANCHORARRAY(Sintesi!$C$10))*(A104&gt;=_xlfn.ANCHORARRAY(Sintesi!$C$9))*(A104&lt;=_xlfn.ANCHORARRAY(Sintesi!$C$10)))*(_xlfn.ANCHORARRAY(Sintesi!$C$15)&gt;=0)+(_xlfn.ANCHORARRAY(Sintesi!$C$15)&lt;0),0),0)</f>
        <v>1</v>
      </c>
      <c r="D104" s="1">
        <f t="array" ref="D104">IF(ISBLANK($E105),IF(ISNUMBER($E103),IF($C104&gt;0,IF(($E104=INDEX(_xlfn.ANCHORARRAY(Sintesi!$C$14),1,$C104))*(INDEX(_xlfn.ANCHORARRAY(Sintesi!$C$15),1,$C104)&gt;0),0,IF(($E104=INDEX(_xlfn.ANCHORARRAY(Sintesi!$C$14),1,$C104))*(INDEX(_xlfn.ANCHORARRAY(Sintesi!$C$15),1,$C104)&lt;0)+($E104&gt;=$E103)*($E104&lt;=INDEX($E:$E,MATCH(TRUE,INDEX((ISNUMBER($E:$E)),0),0)))*($E104&gt;INDEX(_xlfn.ANCHORARRAY(Sintesi!$C$14),1,$C104))*($E104&lt;=INDEX(_xlfn.ANCHORARRAY(Sintesi!$C$15),1,$C104))*(INDEX(_xlfn.ANCHORARRAY(Sintesi!$C$15),1,$C104)&gt;0),1,IF(($E104&gt;=$E103)*($E104&lt;=INDEX($E:$E,MATCH(TRUE,INDEX((ISNUMBER($E:$E)),0),0)))*($E104&gt;INDEX(_xlfn.ANCHORARRAY(Sintesi!$C$14),1,$C104))*($E104&lt;INDEX(_xlfn.ANCHORARRAY(Sintesi!$C$16),1,$C104))*(INDEX(_xlfn.ANCHORARRAY(Sintesi!$C$15),1,$C104)&lt;0)+($E104&gt;=$E103)*($E104&lt;=INDEX($E:$E,MATCH(TRUE,INDEX((ISNUMBER($E:$E)),0),0)))*($E104&gt;INDEX(_xlfn.ANCHORARRAY(Sintesi!$C$15),1,$C104))*($E104&lt;INDEX(_xlfn.ANCHORARRAY(Sintesi!$C$16),1,$C104))*(INDEX(_xlfn.ANCHORARRAY(Sintesi!$C$15),1,$C104)&gt;0),2,IF($E104=(INDEX(_xlfn.ANCHORARRAY(Sintesi!$C$16),1,$C104)),3,4)))),0),IF($C104&gt;0,IF(($E104=INDEX(_xlfn.ANCHORARRAY(Sintesi!$C$14),1,$C104))*(INDEX(_xlfn.ANCHORARRAY(Sintesi!$C$15),1,$C104)&gt;0),0,IF(($E104=INDEX(_xlfn.ANCHORARRAY(Sintesi!$C$14),1,$C104))*(INDEX(_xlfn.ANCHORARRAY(Sintesi!$C$15),1,$C104)&lt;0)+($E104&gt;=LOOKUP(2,1/($E:$E&lt;&gt;""),$E:$E))*($E104&lt;=INDEX($E:$E,MATCH(TRUE,INDEX((ISNUMBER($E:$E)),0),0)))*($E104&gt;INDEX(_xlfn.ANCHORARRAY(Sintesi!$C$14),1,$C104))*($E104&lt;=INDEX(_xlfn.ANCHORARRAY(Sintesi!$C$15),1,$C104))*(INDEX(_xlfn.ANCHORARRAY(Sintesi!$C$15),1,$C104)&gt;0),1,IF(($E104&gt;=LOOKUP(2,1/($E:$E&lt;&gt;""),$E:$E))*($E104&lt;=INDEX($E:$E,MATCH(TRUE,INDEX((ISNUMBER($E:$E)),0),0)))*($E104&gt;INDEX(_xlfn.ANCHORARRAY(Sintesi!$C$14),1,$C104))*($E104&lt;INDEX(_xlfn.ANCHORARRAY(Sintesi!$C$16),1,$C104))*(INDEX(_xlfn.ANCHORARRAY(Sintesi!$C$15),1,$C104)&lt;0)+($E104&gt;=LOOKUP(2,1/($E:$E&lt;&gt;""),$E:$E))*($E104&lt;=INDEX($E:$E,MATCH(TRUE,INDEX((ISNUMBER($E:$E)),0),0)))*($E104&gt;INDEX(_xlfn.ANCHORARRAY(Sintesi!$C$15),1,$C104))*($E104&lt;INDEX(_xlfn.ANCHORARRAY(Sintesi!$C$16),1,$C104))*(INDEX(_xlfn.ANCHORARRAY(Sintesi!$C$15),1,$C104)&gt;0),2,IF($E104=(INDEX(_xlfn.ANCHORARRAY(Sintesi!$C$16),1,$C104)),3,4)))),0)),IF(ISNUMBER($E103),IF($C104&gt;0,IF(($E104=INDEX(_xlfn.ANCHORARRAY(Sintesi!$C$14),1,$C104))*(INDEX(_xlfn.ANCHORARRAY(Sintesi!$C$15),1,$C104)&gt;0),0,IF(($E104=INDEX(_xlfn.ANCHORARRAY(Sintesi!$C$14),1,$C104))*(INDEX(_xlfn.ANCHORARRAY(Sintesi!$C$15),1,$C104)&lt;0)+($E104&gt;=$E103)*($E104&lt;=$E105)*($E104&gt;INDEX(_xlfn.ANCHORARRAY(Sintesi!$C$14),1,$C104))*($E104&lt;=INDEX(_xlfn.ANCHORARRAY(Sintesi!$C$15),1,$C104))*(INDEX(_xlfn.ANCHORARRAY(Sintesi!$C$15),1,$C104)&gt;0),1,IF(($E104&gt;=$E103)*($E104&lt;=$E105)*($E104&gt;INDEX(_xlfn.ANCHORARRAY(Sintesi!$C$14),1,$C104))*($E104&lt;INDEX(_xlfn.ANCHORARRAY(Sintesi!$C$16),1,$C104))*(INDEX(_xlfn.ANCHORARRAY(Sintesi!$C$15),1,$C104)&lt;0)+($E104&gt;=$E103)*($E104&lt;=$E105)*($E104&gt;INDEX(_xlfn.ANCHORARRAY(Sintesi!$C$15),1,$C104))*($E104&lt;INDEX(_xlfn.ANCHORARRAY(Sintesi!$C$16),1,$C104))*(INDEX(_xlfn.ANCHORARRAY(Sintesi!$C$15),1,$C104)&gt;0),2,IF($E104=(INDEX(_xlfn.ANCHORARRAY(Sintesi!$C$16),1,$C104)),3,4)))),0),IF($C104&gt;0,IF(($E104=INDEX(_xlfn.ANCHORARRAY(Sintesi!$C$14),1,$C104))*(INDEX(_xlfn.ANCHORARRAY(Sintesi!$C$15),1,$C104)&gt;0),0,IF(($E104=INDEX(_xlfn.ANCHORARRAY(Sintesi!$C$14),1,$C104))*(INDEX(_xlfn.ANCHORARRAY(Sintesi!$C$15),1,$C104)&lt;0)+($E104&gt;=LOOKUP(2,1/($E:$E&lt;&gt;""),$E:$E))*($E104&lt;=$E105)*($E104&gt;INDEX(_xlfn.ANCHORARRAY(Sintesi!$C$14),1,$C104))*($E104&lt;=INDEX(_xlfn.ANCHORARRAY(Sintesi!$C$15),1,$C104))*(INDEX(_xlfn.ANCHORARRAY(Sintesi!$C$15),1,$C104)&gt;0),1,IF(($E104&gt;=LOOKUP(2,1/($E:$E&lt;&gt;""),$E:$E))*($E104&lt;=$E105)*($E104&gt;INDEX(_xlfn.ANCHORARRAY(Sintesi!$C$14),1,$C104))*($E104&lt;INDEX(_xlfn.ANCHORARRAY(Sintesi!$C$16),1,$C104))*(INDEX(_xlfn.ANCHORARRAY(Sintesi!$C$15),1,$C104)&lt;0)+($E104&gt;=LOOKUP(2,1/($E:$E&lt;&gt;""),$E:$E))*($E104&lt;=$E105)*($E104&gt;INDEX(_xlfn.ANCHORARRAY(Sintesi!$C$15),1,$C104))*($E104&lt;INDEX(_xlfn.ANCHORARRAY(Sintesi!$C$16),1,$C104))*(INDEX(_xlfn.ANCHORARRAY(Sintesi!$C$15),1,$C104)&gt;0),2,IF($E104=(INDEX(_xlfn.ANCHORARRAY(Sintesi!$C$16),1,$C104)),3,4)))),0)))</f>
        <v>1</v>
      </c>
      <c r="E104" s="1">
        <f>'Paste cell here'!F104</f>
        <v>3.6999999999999998E-2</v>
      </c>
      <c r="F104" s="1">
        <f>'Paste cell here'!C104</f>
        <v>15.099999999999781</v>
      </c>
      <c r="G104" s="1">
        <f>'Paste cell here'!D104</f>
        <v>5.7199999999999172</v>
      </c>
      <c r="H104" s="1">
        <f>'Paste cell here'!E104</f>
        <v>2.6450138601881661</v>
      </c>
      <c r="I104" s="1">
        <f>'Paste cell here'!X104</f>
        <v>9.7865038200653329E-2</v>
      </c>
      <c r="J104" s="1">
        <f>'Paste cell here'!Y104+'Paste cell here'!S104</f>
        <v>9.7865038200653329E-2</v>
      </c>
      <c r="K104" s="1">
        <f t="shared" si="2"/>
        <v>3.6999820558101429E-2</v>
      </c>
      <c r="L104" s="1">
        <f t="shared" si="3"/>
        <v>11.5892492521488</v>
      </c>
      <c r="M104" s="1">
        <f t="array" ref="M104">IF(AND(A104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104&gt;=_xlfn.ANCHORARRAY(Sintesi!$C$9))+(_xlfn.ANCHORARRAY(Sintesi!$C$9)&gt;_xlfn.ANCHORARRAY(Sintesi!$C$10))*(A104&lt;=_xlfn.ANCHORARRAY(Sintesi!$C$10))+(_xlfn.ANCHORARRAY(Sintesi!$C$9)&lt;_xlfn.ANCHORARRAY(Sintesi!$C$10))*(A104&gt;=_xlfn.ANCHORARRAY(Sintesi!$C$9))*(A104&lt;=_xlfn.ANCHORARRAY(Sintesi!$C$10)),0)),0),A104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105&gt;=_xlfn.ANCHORARRAY(Sintesi!$C$9))+(_xlfn.ANCHORARRAY(Sintesi!$C$9)&gt;_xlfn.ANCHORARRAY(Sintesi!$C$10))*(A105&lt;=_xlfn.ANCHORARRAY(Sintesi!$C$10))+(_xlfn.ANCHORARRAY(Sintesi!$C$9)&lt;_xlfn.ANCHORARRAY(Sintesi!$C$10))*(A105&gt;=_xlfn.ANCHORARRAY(Sintesi!$C$9))*(A105&lt;=_xlfn.ANCHORARRAY(Sintesi!$C$10)),0)),0)),IF(L104&lt;_xlfn.IFNA(INDEX(_xlfn.ANCHORARRAY(Sintesi!$C$17),1,MATCH(1,(_xlfn.ANCHORARRAY(Sintesi!$C$9)&gt;_xlfn.ANCHORARRAY(Sintesi!$C$10))*(A103&gt;=_xlfn.ANCHORARRAY(Sintesi!$C$9))+(_xlfn.ANCHORARRAY(Sintesi!$C$9)&gt;_xlfn.ANCHORARRAY(Sintesi!$C$10))*(A103&lt;=_xlfn.ANCHORARRAY(Sintesi!$C$10))+(_xlfn.ANCHORARRAY(Sintesi!$C$9)&lt;_xlfn.ANCHORARRAY(Sintesi!$C$10))*(A103&gt;=_xlfn.ANCHORARRAY(Sintesi!$C$9))*(A103&lt;=_xlfn.ANCHORARRAY(Sintesi!$C$10)),0)),0),1,IF(L104&gt;=_xlfn.IFNA(INDEX(_xlfn.ANCHORARRAY(Sintesi!$C$18),1,MATCH(1,(_xlfn.ANCHORARRAY(Sintesi!$C$9)&gt;_xlfn.ANCHORARRAY(Sintesi!$C$10))*(A103&gt;=_xlfn.ANCHORARRAY(Sintesi!$C$9))+(_xlfn.ANCHORARRAY(Sintesi!$C$9)&gt;_xlfn.ANCHORARRAY(Sintesi!$C$10))*(A103&lt;=_xlfn.ANCHORARRAY(Sintesi!$C$10))+(_xlfn.ANCHORARRAY(Sintesi!$C$9)&lt;_xlfn.ANCHORARRAY(Sintesi!$C$10))*(A103&gt;=_xlfn.ANCHORARRAY(Sintesi!$C$9))*(A103&lt;=_xlfn.ANCHORARRAY(Sintesi!$C$10)),0)),0),0,1-(L104-_xlfn.IFNA(INDEX(_xlfn.ANCHORARRAY(Sintesi!$C$17),1,MATCH(1,(_xlfn.ANCHORARRAY(Sintesi!$C$9)&gt;_xlfn.ANCHORARRAY(Sintesi!$C$10))*(A103&gt;=_xlfn.ANCHORARRAY(Sintesi!$C$9))+(_xlfn.ANCHORARRAY(Sintesi!$C$9)&gt;_xlfn.ANCHORARRAY(Sintesi!$C$10))*(A103&lt;=_xlfn.ANCHORARRAY(Sintesi!$C$10))+(_xlfn.ANCHORARRAY(Sintesi!$C$9)&lt;_xlfn.ANCHORARRAY(Sintesi!$C$10))*(A103&gt;=_xlfn.ANCHORARRAY(Sintesi!$C$9))*(A103&lt;=_xlfn.ANCHORARRAY(Sintesi!$C$10)),0)),0))/(_xlfn.IFNA(INDEX(_xlfn.ANCHORARRAY(Sintesi!$C$18),1,MATCH(1,(_xlfn.ANCHORARRAY(Sintesi!$C$9)&gt;_xlfn.ANCHORARRAY(Sintesi!$C$10))*(A103&gt;=_xlfn.ANCHORARRAY(Sintesi!$C$9))+(_xlfn.ANCHORARRAY(Sintesi!$C$9)&gt;_xlfn.ANCHORARRAY(Sintesi!$C$10))*(A103&lt;=_xlfn.ANCHORARRAY(Sintesi!$C$10))+(_xlfn.ANCHORARRAY(Sintesi!$C$9)&lt;_xlfn.ANCHORARRAY(Sintesi!$C$10))*(A103&gt;=_xlfn.ANCHORARRAY(Sintesi!$C$9))*(A103&lt;=_xlfn.ANCHORARRAY(Sintesi!$C$10)),0)),0)-_xlfn.IFNA(INDEX(_xlfn.ANCHORARRAY(Sintesi!$C$17),1,MATCH(1,(_xlfn.ANCHORARRAY(Sintesi!$C$9)&gt;_xlfn.ANCHORARRAY(Sintesi!$C$10))*(A103&gt;=_xlfn.ANCHORARRAY(Sintesi!$C$9))+(_xlfn.ANCHORARRAY(Sintesi!$C$9)&gt;_xlfn.ANCHORARRAY(Sintesi!$C$10))*(A103&lt;=_xlfn.ANCHORARRAY(Sintesi!$C$10))+(_xlfn.ANCHORARRAY(Sintesi!$C$9)&lt;_xlfn.ANCHORARRAY(Sintesi!$C$10))*(A103&gt;=_xlfn.ANCHORARRAY(Sintesi!$C$9))*(A103&lt;=_xlfn.ANCHORARRAY(Sintesi!$C$10)),0)),0)))),0)</f>
        <v>0</v>
      </c>
    </row>
    <row r="105" spans="1:13">
      <c r="A105" s="1">
        <f>'Paste cell here'!A105</f>
        <v>104</v>
      </c>
      <c r="B105" s="2">
        <f>DATE(Sintesi!$C$4-1,12,31)+A105</f>
        <v>44300</v>
      </c>
      <c r="C105" s="34">
        <f t="array" ref="C105">_xlfn.IFNA(MATCH(1,((_xlfn.ANCHORARRAY(Sintesi!$C$9)&gt;_xlfn.ANCHORARRAY(Sintesi!$C$10))*(A105&gt;=_xlfn.ANCHORARRAY(Sintesi!$C$9))+(_xlfn.ANCHORARRAY(Sintesi!$C$9)&gt;_xlfn.ANCHORARRAY(Sintesi!$C$10))*(A105&lt;=_xlfn.ANCHORARRAY(Sintesi!$C$10))+(_xlfn.ANCHORARRAY(Sintesi!$C$9)&lt;_xlfn.ANCHORARRAY(Sintesi!$C$10))*(A105&gt;=_xlfn.ANCHORARRAY(Sintesi!$C$9))*(A105&lt;=_xlfn.ANCHORARRAY(Sintesi!$C$10)))*(_xlfn.ANCHORARRAY(Sintesi!$C$15)&gt;=0)+(_xlfn.ANCHORARRAY(Sintesi!$C$15)&lt;0),0),0)</f>
        <v>1</v>
      </c>
      <c r="D105" s="1">
        <f t="array" ref="D105">IF(ISBLANK($E106),IF(ISNUMBER($E104),IF($C105&gt;0,IF(($E105=INDEX(_xlfn.ANCHORARRAY(Sintesi!$C$14),1,$C105))*(INDEX(_xlfn.ANCHORARRAY(Sintesi!$C$15),1,$C105)&gt;0),0,IF(($E105=INDEX(_xlfn.ANCHORARRAY(Sintesi!$C$14),1,$C105))*(INDEX(_xlfn.ANCHORARRAY(Sintesi!$C$15),1,$C105)&lt;0)+($E105&gt;=$E104)*($E105&lt;=INDEX($E:$E,MATCH(TRUE,INDEX((ISNUMBER($E:$E)),0),0)))*($E105&gt;INDEX(_xlfn.ANCHORARRAY(Sintesi!$C$14),1,$C105))*($E105&lt;=INDEX(_xlfn.ANCHORARRAY(Sintesi!$C$15),1,$C105))*(INDEX(_xlfn.ANCHORARRAY(Sintesi!$C$15),1,$C105)&gt;0),1,IF(($E105&gt;=$E104)*($E105&lt;=INDEX($E:$E,MATCH(TRUE,INDEX((ISNUMBER($E:$E)),0),0)))*($E105&gt;INDEX(_xlfn.ANCHORARRAY(Sintesi!$C$14),1,$C105))*($E105&lt;INDEX(_xlfn.ANCHORARRAY(Sintesi!$C$16),1,$C105))*(INDEX(_xlfn.ANCHORARRAY(Sintesi!$C$15),1,$C105)&lt;0)+($E105&gt;=$E104)*($E105&lt;=INDEX($E:$E,MATCH(TRUE,INDEX((ISNUMBER($E:$E)),0),0)))*($E105&gt;INDEX(_xlfn.ANCHORARRAY(Sintesi!$C$15),1,$C105))*($E105&lt;INDEX(_xlfn.ANCHORARRAY(Sintesi!$C$16),1,$C105))*(INDEX(_xlfn.ANCHORARRAY(Sintesi!$C$15),1,$C105)&gt;0),2,IF($E105=(INDEX(_xlfn.ANCHORARRAY(Sintesi!$C$16),1,$C105)),3,4)))),0),IF($C105&gt;0,IF(($E105=INDEX(_xlfn.ANCHORARRAY(Sintesi!$C$14),1,$C105))*(INDEX(_xlfn.ANCHORARRAY(Sintesi!$C$15),1,$C105)&gt;0),0,IF(($E105=INDEX(_xlfn.ANCHORARRAY(Sintesi!$C$14),1,$C105))*(INDEX(_xlfn.ANCHORARRAY(Sintesi!$C$15),1,$C105)&lt;0)+($E105&gt;=LOOKUP(2,1/($E:$E&lt;&gt;""),$E:$E))*($E105&lt;=INDEX($E:$E,MATCH(TRUE,INDEX((ISNUMBER($E:$E)),0),0)))*($E105&gt;INDEX(_xlfn.ANCHORARRAY(Sintesi!$C$14),1,$C105))*($E105&lt;=INDEX(_xlfn.ANCHORARRAY(Sintesi!$C$15),1,$C105))*(INDEX(_xlfn.ANCHORARRAY(Sintesi!$C$15),1,$C105)&gt;0),1,IF(($E105&gt;=LOOKUP(2,1/($E:$E&lt;&gt;""),$E:$E))*($E105&lt;=INDEX($E:$E,MATCH(TRUE,INDEX((ISNUMBER($E:$E)),0),0)))*($E105&gt;INDEX(_xlfn.ANCHORARRAY(Sintesi!$C$14),1,$C105))*($E105&lt;INDEX(_xlfn.ANCHORARRAY(Sintesi!$C$16),1,$C105))*(INDEX(_xlfn.ANCHORARRAY(Sintesi!$C$15),1,$C105)&lt;0)+($E105&gt;=LOOKUP(2,1/($E:$E&lt;&gt;""),$E:$E))*($E105&lt;=INDEX($E:$E,MATCH(TRUE,INDEX((ISNUMBER($E:$E)),0),0)))*($E105&gt;INDEX(_xlfn.ANCHORARRAY(Sintesi!$C$15),1,$C105))*($E105&lt;INDEX(_xlfn.ANCHORARRAY(Sintesi!$C$16),1,$C105))*(INDEX(_xlfn.ANCHORARRAY(Sintesi!$C$15),1,$C105)&gt;0),2,IF($E105=(INDEX(_xlfn.ANCHORARRAY(Sintesi!$C$16),1,$C105)),3,4)))),0)),IF(ISNUMBER($E104),IF($C105&gt;0,IF(($E105=INDEX(_xlfn.ANCHORARRAY(Sintesi!$C$14),1,$C105))*(INDEX(_xlfn.ANCHORARRAY(Sintesi!$C$15),1,$C105)&gt;0),0,IF(($E105=INDEX(_xlfn.ANCHORARRAY(Sintesi!$C$14),1,$C105))*(INDEX(_xlfn.ANCHORARRAY(Sintesi!$C$15),1,$C105)&lt;0)+($E105&gt;=$E104)*($E105&lt;=$E106)*($E105&gt;INDEX(_xlfn.ANCHORARRAY(Sintesi!$C$14),1,$C105))*($E105&lt;=INDEX(_xlfn.ANCHORARRAY(Sintesi!$C$15),1,$C105))*(INDEX(_xlfn.ANCHORARRAY(Sintesi!$C$15),1,$C105)&gt;0),1,IF(($E105&gt;=$E104)*($E105&lt;=$E106)*($E105&gt;INDEX(_xlfn.ANCHORARRAY(Sintesi!$C$14),1,$C105))*($E105&lt;INDEX(_xlfn.ANCHORARRAY(Sintesi!$C$16),1,$C105))*(INDEX(_xlfn.ANCHORARRAY(Sintesi!$C$15),1,$C105)&lt;0)+($E105&gt;=$E104)*($E105&lt;=$E106)*($E105&gt;INDEX(_xlfn.ANCHORARRAY(Sintesi!$C$15),1,$C105))*($E105&lt;INDEX(_xlfn.ANCHORARRAY(Sintesi!$C$16),1,$C105))*(INDEX(_xlfn.ANCHORARRAY(Sintesi!$C$15),1,$C105)&gt;0),2,IF($E105=(INDEX(_xlfn.ANCHORARRAY(Sintesi!$C$16),1,$C105)),3,4)))),0),IF($C105&gt;0,IF(($E105=INDEX(_xlfn.ANCHORARRAY(Sintesi!$C$14),1,$C105))*(INDEX(_xlfn.ANCHORARRAY(Sintesi!$C$15),1,$C105)&gt;0),0,IF(($E105=INDEX(_xlfn.ANCHORARRAY(Sintesi!$C$14),1,$C105))*(INDEX(_xlfn.ANCHORARRAY(Sintesi!$C$15),1,$C105)&lt;0)+($E105&gt;=LOOKUP(2,1/($E:$E&lt;&gt;""),$E:$E))*($E105&lt;=$E106)*($E105&gt;INDEX(_xlfn.ANCHORARRAY(Sintesi!$C$14),1,$C105))*($E105&lt;=INDEX(_xlfn.ANCHORARRAY(Sintesi!$C$15),1,$C105))*(INDEX(_xlfn.ANCHORARRAY(Sintesi!$C$15),1,$C105)&gt;0),1,IF(($E105&gt;=LOOKUP(2,1/($E:$E&lt;&gt;""),$E:$E))*($E105&lt;=$E106)*($E105&gt;INDEX(_xlfn.ANCHORARRAY(Sintesi!$C$14),1,$C105))*($E105&lt;INDEX(_xlfn.ANCHORARRAY(Sintesi!$C$16),1,$C105))*(INDEX(_xlfn.ANCHORARRAY(Sintesi!$C$15),1,$C105)&lt;0)+($E105&gt;=LOOKUP(2,1/($E:$E&lt;&gt;""),$E:$E))*($E105&lt;=$E106)*($E105&gt;INDEX(_xlfn.ANCHORARRAY(Sintesi!$C$15),1,$C105))*($E105&lt;INDEX(_xlfn.ANCHORARRAY(Sintesi!$C$16),1,$C105))*(INDEX(_xlfn.ANCHORARRAY(Sintesi!$C$15),1,$C105)&gt;0),2,IF($E105=(INDEX(_xlfn.ANCHORARRAY(Sintesi!$C$16),1,$C105)),3,4)))),0)))</f>
        <v>1</v>
      </c>
      <c r="E105" s="1">
        <f>'Paste cell here'!F105</f>
        <v>7.4999999999999997E-2</v>
      </c>
      <c r="F105" s="1">
        <f>'Paste cell here'!C105</f>
        <v>14.83999999999978</v>
      </c>
      <c r="G105" s="1">
        <f>'Paste cell here'!D105</f>
        <v>3.2799999999999629</v>
      </c>
      <c r="H105" s="1">
        <f>'Paste cell here'!E105</f>
        <v>2.8815185861065622</v>
      </c>
      <c r="I105" s="1">
        <f>'Paste cell here'!X105</f>
        <v>0.21611275063691474</v>
      </c>
      <c r="J105" s="1">
        <f>'Paste cell here'!Y105+'Paste cell here'!S105</f>
        <v>0.21611275063691474</v>
      </c>
      <c r="K105" s="1">
        <f t="shared" si="2"/>
        <v>7.4999603222730221E-2</v>
      </c>
      <c r="L105" s="1">
        <f t="shared" si="3"/>
        <v>10.513317841667446</v>
      </c>
      <c r="M105" s="1">
        <f t="array" ref="M105">IF(AND(A105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105&gt;=_xlfn.ANCHORARRAY(Sintesi!$C$9))+(_xlfn.ANCHORARRAY(Sintesi!$C$9)&gt;_xlfn.ANCHORARRAY(Sintesi!$C$10))*(A105&lt;=_xlfn.ANCHORARRAY(Sintesi!$C$10))+(_xlfn.ANCHORARRAY(Sintesi!$C$9)&lt;_xlfn.ANCHORARRAY(Sintesi!$C$10))*(A105&gt;=_xlfn.ANCHORARRAY(Sintesi!$C$9))*(A105&lt;=_xlfn.ANCHORARRAY(Sintesi!$C$10)),0)),0),A105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106&gt;=_xlfn.ANCHORARRAY(Sintesi!$C$9))+(_xlfn.ANCHORARRAY(Sintesi!$C$9)&gt;_xlfn.ANCHORARRAY(Sintesi!$C$10))*(A106&lt;=_xlfn.ANCHORARRAY(Sintesi!$C$10))+(_xlfn.ANCHORARRAY(Sintesi!$C$9)&lt;_xlfn.ANCHORARRAY(Sintesi!$C$10))*(A106&gt;=_xlfn.ANCHORARRAY(Sintesi!$C$9))*(A106&lt;=_xlfn.ANCHORARRAY(Sintesi!$C$10)),0)),0)),IF(L105&lt;_xlfn.IFNA(INDEX(_xlfn.ANCHORARRAY(Sintesi!$C$17),1,MATCH(1,(_xlfn.ANCHORARRAY(Sintesi!$C$9)&gt;_xlfn.ANCHORARRAY(Sintesi!$C$10))*(A104&gt;=_xlfn.ANCHORARRAY(Sintesi!$C$9))+(_xlfn.ANCHORARRAY(Sintesi!$C$9)&gt;_xlfn.ANCHORARRAY(Sintesi!$C$10))*(A104&lt;=_xlfn.ANCHORARRAY(Sintesi!$C$10))+(_xlfn.ANCHORARRAY(Sintesi!$C$9)&lt;_xlfn.ANCHORARRAY(Sintesi!$C$10))*(A104&gt;=_xlfn.ANCHORARRAY(Sintesi!$C$9))*(A104&lt;=_xlfn.ANCHORARRAY(Sintesi!$C$10)),0)),0),1,IF(L105&gt;=_xlfn.IFNA(INDEX(_xlfn.ANCHORARRAY(Sintesi!$C$18),1,MATCH(1,(_xlfn.ANCHORARRAY(Sintesi!$C$9)&gt;_xlfn.ANCHORARRAY(Sintesi!$C$10))*(A104&gt;=_xlfn.ANCHORARRAY(Sintesi!$C$9))+(_xlfn.ANCHORARRAY(Sintesi!$C$9)&gt;_xlfn.ANCHORARRAY(Sintesi!$C$10))*(A104&lt;=_xlfn.ANCHORARRAY(Sintesi!$C$10))+(_xlfn.ANCHORARRAY(Sintesi!$C$9)&lt;_xlfn.ANCHORARRAY(Sintesi!$C$10))*(A104&gt;=_xlfn.ANCHORARRAY(Sintesi!$C$9))*(A104&lt;=_xlfn.ANCHORARRAY(Sintesi!$C$10)),0)),0),0,1-(L105-_xlfn.IFNA(INDEX(_xlfn.ANCHORARRAY(Sintesi!$C$17),1,MATCH(1,(_xlfn.ANCHORARRAY(Sintesi!$C$9)&gt;_xlfn.ANCHORARRAY(Sintesi!$C$10))*(A104&gt;=_xlfn.ANCHORARRAY(Sintesi!$C$9))+(_xlfn.ANCHORARRAY(Sintesi!$C$9)&gt;_xlfn.ANCHORARRAY(Sintesi!$C$10))*(A104&lt;=_xlfn.ANCHORARRAY(Sintesi!$C$10))+(_xlfn.ANCHORARRAY(Sintesi!$C$9)&lt;_xlfn.ANCHORARRAY(Sintesi!$C$10))*(A104&gt;=_xlfn.ANCHORARRAY(Sintesi!$C$9))*(A104&lt;=_xlfn.ANCHORARRAY(Sintesi!$C$10)),0)),0))/(_xlfn.IFNA(INDEX(_xlfn.ANCHORARRAY(Sintesi!$C$18),1,MATCH(1,(_xlfn.ANCHORARRAY(Sintesi!$C$9)&gt;_xlfn.ANCHORARRAY(Sintesi!$C$10))*(A104&gt;=_xlfn.ANCHORARRAY(Sintesi!$C$9))+(_xlfn.ANCHORARRAY(Sintesi!$C$9)&gt;_xlfn.ANCHORARRAY(Sintesi!$C$10))*(A104&lt;=_xlfn.ANCHORARRAY(Sintesi!$C$10))+(_xlfn.ANCHORARRAY(Sintesi!$C$9)&lt;_xlfn.ANCHORARRAY(Sintesi!$C$10))*(A104&gt;=_xlfn.ANCHORARRAY(Sintesi!$C$9))*(A104&lt;=_xlfn.ANCHORARRAY(Sintesi!$C$10)),0)),0)-_xlfn.IFNA(INDEX(_xlfn.ANCHORARRAY(Sintesi!$C$17),1,MATCH(1,(_xlfn.ANCHORARRAY(Sintesi!$C$9)&gt;_xlfn.ANCHORARRAY(Sintesi!$C$10))*(A104&gt;=_xlfn.ANCHORARRAY(Sintesi!$C$9))+(_xlfn.ANCHORARRAY(Sintesi!$C$9)&gt;_xlfn.ANCHORARRAY(Sintesi!$C$10))*(A104&lt;=_xlfn.ANCHORARRAY(Sintesi!$C$10))+(_xlfn.ANCHORARRAY(Sintesi!$C$9)&lt;_xlfn.ANCHORARRAY(Sintesi!$C$10))*(A104&gt;=_xlfn.ANCHORARRAY(Sintesi!$C$9))*(A104&lt;=_xlfn.ANCHORARRAY(Sintesi!$C$10)),0)),0)))),0)</f>
        <v>0</v>
      </c>
    </row>
    <row r="106" spans="1:13">
      <c r="A106" s="1">
        <f>'Paste cell here'!A106</f>
        <v>105</v>
      </c>
      <c r="B106" s="2">
        <f>DATE(Sintesi!$C$4-1,12,31)+A106</f>
        <v>44301</v>
      </c>
      <c r="C106" s="34">
        <f t="array" ref="C106">_xlfn.IFNA(MATCH(1,((_xlfn.ANCHORARRAY(Sintesi!$C$9)&gt;_xlfn.ANCHORARRAY(Sintesi!$C$10))*(A106&gt;=_xlfn.ANCHORARRAY(Sintesi!$C$9))+(_xlfn.ANCHORARRAY(Sintesi!$C$9)&gt;_xlfn.ANCHORARRAY(Sintesi!$C$10))*(A106&lt;=_xlfn.ANCHORARRAY(Sintesi!$C$10))+(_xlfn.ANCHORARRAY(Sintesi!$C$9)&lt;_xlfn.ANCHORARRAY(Sintesi!$C$10))*(A106&gt;=_xlfn.ANCHORARRAY(Sintesi!$C$9))*(A106&lt;=_xlfn.ANCHORARRAY(Sintesi!$C$10)))*(_xlfn.ANCHORARRAY(Sintesi!$C$15)&gt;=0)+(_xlfn.ANCHORARRAY(Sintesi!$C$15)&lt;0),0),0)</f>
        <v>1</v>
      </c>
      <c r="D106" s="1">
        <f t="array" ref="D106">IF(ISBLANK($E107),IF(ISNUMBER($E105),IF($C106&gt;0,IF(($E106=INDEX(_xlfn.ANCHORARRAY(Sintesi!$C$14),1,$C106))*(INDEX(_xlfn.ANCHORARRAY(Sintesi!$C$15),1,$C106)&gt;0),0,IF(($E106=INDEX(_xlfn.ANCHORARRAY(Sintesi!$C$14),1,$C106))*(INDEX(_xlfn.ANCHORARRAY(Sintesi!$C$15),1,$C106)&lt;0)+($E106&gt;=$E105)*($E106&lt;=INDEX($E:$E,MATCH(TRUE,INDEX((ISNUMBER($E:$E)),0),0)))*($E106&gt;INDEX(_xlfn.ANCHORARRAY(Sintesi!$C$14),1,$C106))*($E106&lt;=INDEX(_xlfn.ANCHORARRAY(Sintesi!$C$15),1,$C106))*(INDEX(_xlfn.ANCHORARRAY(Sintesi!$C$15),1,$C106)&gt;0),1,IF(($E106&gt;=$E105)*($E106&lt;=INDEX($E:$E,MATCH(TRUE,INDEX((ISNUMBER($E:$E)),0),0)))*($E106&gt;INDEX(_xlfn.ANCHORARRAY(Sintesi!$C$14),1,$C106))*($E106&lt;INDEX(_xlfn.ANCHORARRAY(Sintesi!$C$16),1,$C106))*(INDEX(_xlfn.ANCHORARRAY(Sintesi!$C$15),1,$C106)&lt;0)+($E106&gt;=$E105)*($E106&lt;=INDEX($E:$E,MATCH(TRUE,INDEX((ISNUMBER($E:$E)),0),0)))*($E106&gt;INDEX(_xlfn.ANCHORARRAY(Sintesi!$C$15),1,$C106))*($E106&lt;INDEX(_xlfn.ANCHORARRAY(Sintesi!$C$16),1,$C106))*(INDEX(_xlfn.ANCHORARRAY(Sintesi!$C$15),1,$C106)&gt;0),2,IF($E106=(INDEX(_xlfn.ANCHORARRAY(Sintesi!$C$16),1,$C106)),3,4)))),0),IF($C106&gt;0,IF(($E106=INDEX(_xlfn.ANCHORARRAY(Sintesi!$C$14),1,$C106))*(INDEX(_xlfn.ANCHORARRAY(Sintesi!$C$15),1,$C106)&gt;0),0,IF(($E106=INDEX(_xlfn.ANCHORARRAY(Sintesi!$C$14),1,$C106))*(INDEX(_xlfn.ANCHORARRAY(Sintesi!$C$15),1,$C106)&lt;0)+($E106&gt;=LOOKUP(2,1/($E:$E&lt;&gt;""),$E:$E))*($E106&lt;=INDEX($E:$E,MATCH(TRUE,INDEX((ISNUMBER($E:$E)),0),0)))*($E106&gt;INDEX(_xlfn.ANCHORARRAY(Sintesi!$C$14),1,$C106))*($E106&lt;=INDEX(_xlfn.ANCHORARRAY(Sintesi!$C$15),1,$C106))*(INDEX(_xlfn.ANCHORARRAY(Sintesi!$C$15),1,$C106)&gt;0),1,IF(($E106&gt;=LOOKUP(2,1/($E:$E&lt;&gt;""),$E:$E))*($E106&lt;=INDEX($E:$E,MATCH(TRUE,INDEX((ISNUMBER($E:$E)),0),0)))*($E106&gt;INDEX(_xlfn.ANCHORARRAY(Sintesi!$C$14),1,$C106))*($E106&lt;INDEX(_xlfn.ANCHORARRAY(Sintesi!$C$16),1,$C106))*(INDEX(_xlfn.ANCHORARRAY(Sintesi!$C$15),1,$C106)&lt;0)+($E106&gt;=LOOKUP(2,1/($E:$E&lt;&gt;""),$E:$E))*($E106&lt;=INDEX($E:$E,MATCH(TRUE,INDEX((ISNUMBER($E:$E)),0),0)))*($E106&gt;INDEX(_xlfn.ANCHORARRAY(Sintesi!$C$15),1,$C106))*($E106&lt;INDEX(_xlfn.ANCHORARRAY(Sintesi!$C$16),1,$C106))*(INDEX(_xlfn.ANCHORARRAY(Sintesi!$C$15),1,$C106)&gt;0),2,IF($E106=(INDEX(_xlfn.ANCHORARRAY(Sintesi!$C$16),1,$C106)),3,4)))),0)),IF(ISNUMBER($E105),IF($C106&gt;0,IF(($E106=INDEX(_xlfn.ANCHORARRAY(Sintesi!$C$14),1,$C106))*(INDEX(_xlfn.ANCHORARRAY(Sintesi!$C$15),1,$C106)&gt;0),0,IF(($E106=INDEX(_xlfn.ANCHORARRAY(Sintesi!$C$14),1,$C106))*(INDEX(_xlfn.ANCHORARRAY(Sintesi!$C$15),1,$C106)&lt;0)+($E106&gt;=$E105)*($E106&lt;=$E107)*($E106&gt;INDEX(_xlfn.ANCHORARRAY(Sintesi!$C$14),1,$C106))*($E106&lt;=INDEX(_xlfn.ANCHORARRAY(Sintesi!$C$15),1,$C106))*(INDEX(_xlfn.ANCHORARRAY(Sintesi!$C$15),1,$C106)&gt;0),1,IF(($E106&gt;=$E105)*($E106&lt;=$E107)*($E106&gt;INDEX(_xlfn.ANCHORARRAY(Sintesi!$C$14),1,$C106))*($E106&lt;INDEX(_xlfn.ANCHORARRAY(Sintesi!$C$16),1,$C106))*(INDEX(_xlfn.ANCHORARRAY(Sintesi!$C$15),1,$C106)&lt;0)+($E106&gt;=$E105)*($E106&lt;=$E107)*($E106&gt;INDEX(_xlfn.ANCHORARRAY(Sintesi!$C$15),1,$C106))*($E106&lt;INDEX(_xlfn.ANCHORARRAY(Sintesi!$C$16),1,$C106))*(INDEX(_xlfn.ANCHORARRAY(Sintesi!$C$15),1,$C106)&gt;0),2,IF($E106=(INDEX(_xlfn.ANCHORARRAY(Sintesi!$C$16),1,$C106)),3,4)))),0),IF($C106&gt;0,IF(($E106=INDEX(_xlfn.ANCHORARRAY(Sintesi!$C$14),1,$C106))*(INDEX(_xlfn.ANCHORARRAY(Sintesi!$C$15),1,$C106)&gt;0),0,IF(($E106=INDEX(_xlfn.ANCHORARRAY(Sintesi!$C$14),1,$C106))*(INDEX(_xlfn.ANCHORARRAY(Sintesi!$C$15),1,$C106)&lt;0)+($E106&gt;=LOOKUP(2,1/($E:$E&lt;&gt;""),$E:$E))*($E106&lt;=$E107)*($E106&gt;INDEX(_xlfn.ANCHORARRAY(Sintesi!$C$14),1,$C106))*($E106&lt;=INDEX(_xlfn.ANCHORARRAY(Sintesi!$C$15),1,$C106))*(INDEX(_xlfn.ANCHORARRAY(Sintesi!$C$15),1,$C106)&gt;0),1,IF(($E106&gt;=LOOKUP(2,1/($E:$E&lt;&gt;""),$E:$E))*($E106&lt;=$E107)*($E106&gt;INDEX(_xlfn.ANCHORARRAY(Sintesi!$C$14),1,$C106))*($E106&lt;INDEX(_xlfn.ANCHORARRAY(Sintesi!$C$16),1,$C106))*(INDEX(_xlfn.ANCHORARRAY(Sintesi!$C$15),1,$C106)&lt;0)+($E106&gt;=LOOKUP(2,1/($E:$E&lt;&gt;""),$E:$E))*($E106&lt;=$E107)*($E106&gt;INDEX(_xlfn.ANCHORARRAY(Sintesi!$C$15),1,$C106))*($E106&lt;INDEX(_xlfn.ANCHORARRAY(Sintesi!$C$16),1,$C106))*(INDEX(_xlfn.ANCHORARRAY(Sintesi!$C$15),1,$C106)&gt;0),2,IF($E106=(INDEX(_xlfn.ANCHORARRAY(Sintesi!$C$16),1,$C106)),3,4)))),0)))</f>
        <v>1</v>
      </c>
      <c r="E106" s="1">
        <f>'Paste cell here'!F106</f>
        <v>0.112</v>
      </c>
      <c r="F106" s="1">
        <f>'Paste cell here'!C106</f>
        <v>11.359999999999831</v>
      </c>
      <c r="G106" s="1">
        <f>'Paste cell here'!D106</f>
        <v>4.3599999999999532</v>
      </c>
      <c r="H106" s="1">
        <f>'Paste cell here'!E106</f>
        <v>2.4005129394057105</v>
      </c>
      <c r="I106" s="1">
        <f>'Paste cell here'!X106</f>
        <v>0.26885589972351065</v>
      </c>
      <c r="J106" s="1">
        <f>'Paste cell here'!Y106+'Paste cell here'!S106</f>
        <v>0.26885589972351065</v>
      </c>
      <c r="K106" s="1">
        <f t="shared" si="2"/>
        <v>0.11199935451715194</v>
      </c>
      <c r="L106" s="1">
        <f t="shared" si="3"/>
        <v>8.740036755334927</v>
      </c>
      <c r="M106" s="1">
        <f t="array" ref="M106">IF(AND(A106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106&gt;=_xlfn.ANCHORARRAY(Sintesi!$C$9))+(_xlfn.ANCHORARRAY(Sintesi!$C$9)&gt;_xlfn.ANCHORARRAY(Sintesi!$C$10))*(A106&lt;=_xlfn.ANCHORARRAY(Sintesi!$C$10))+(_xlfn.ANCHORARRAY(Sintesi!$C$9)&lt;_xlfn.ANCHORARRAY(Sintesi!$C$10))*(A106&gt;=_xlfn.ANCHORARRAY(Sintesi!$C$9))*(A106&lt;=_xlfn.ANCHORARRAY(Sintesi!$C$10)),0)),0),A106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107&gt;=_xlfn.ANCHORARRAY(Sintesi!$C$9))+(_xlfn.ANCHORARRAY(Sintesi!$C$9)&gt;_xlfn.ANCHORARRAY(Sintesi!$C$10))*(A107&lt;=_xlfn.ANCHORARRAY(Sintesi!$C$10))+(_xlfn.ANCHORARRAY(Sintesi!$C$9)&lt;_xlfn.ANCHORARRAY(Sintesi!$C$10))*(A107&gt;=_xlfn.ANCHORARRAY(Sintesi!$C$9))*(A107&lt;=_xlfn.ANCHORARRAY(Sintesi!$C$10)),0)),0)),IF(L106&lt;_xlfn.IFNA(INDEX(_xlfn.ANCHORARRAY(Sintesi!$C$17),1,MATCH(1,(_xlfn.ANCHORARRAY(Sintesi!$C$9)&gt;_xlfn.ANCHORARRAY(Sintesi!$C$10))*(A105&gt;=_xlfn.ANCHORARRAY(Sintesi!$C$9))+(_xlfn.ANCHORARRAY(Sintesi!$C$9)&gt;_xlfn.ANCHORARRAY(Sintesi!$C$10))*(A105&lt;=_xlfn.ANCHORARRAY(Sintesi!$C$10))+(_xlfn.ANCHORARRAY(Sintesi!$C$9)&lt;_xlfn.ANCHORARRAY(Sintesi!$C$10))*(A105&gt;=_xlfn.ANCHORARRAY(Sintesi!$C$9))*(A105&lt;=_xlfn.ANCHORARRAY(Sintesi!$C$10)),0)),0),1,IF(L106&gt;=_xlfn.IFNA(INDEX(_xlfn.ANCHORARRAY(Sintesi!$C$18),1,MATCH(1,(_xlfn.ANCHORARRAY(Sintesi!$C$9)&gt;_xlfn.ANCHORARRAY(Sintesi!$C$10))*(A105&gt;=_xlfn.ANCHORARRAY(Sintesi!$C$9))+(_xlfn.ANCHORARRAY(Sintesi!$C$9)&gt;_xlfn.ANCHORARRAY(Sintesi!$C$10))*(A105&lt;=_xlfn.ANCHORARRAY(Sintesi!$C$10))+(_xlfn.ANCHORARRAY(Sintesi!$C$9)&lt;_xlfn.ANCHORARRAY(Sintesi!$C$10))*(A105&gt;=_xlfn.ANCHORARRAY(Sintesi!$C$9))*(A105&lt;=_xlfn.ANCHORARRAY(Sintesi!$C$10)),0)),0),0,1-(L106-_xlfn.IFNA(INDEX(_xlfn.ANCHORARRAY(Sintesi!$C$17),1,MATCH(1,(_xlfn.ANCHORARRAY(Sintesi!$C$9)&gt;_xlfn.ANCHORARRAY(Sintesi!$C$10))*(A105&gt;=_xlfn.ANCHORARRAY(Sintesi!$C$9))+(_xlfn.ANCHORARRAY(Sintesi!$C$9)&gt;_xlfn.ANCHORARRAY(Sintesi!$C$10))*(A105&lt;=_xlfn.ANCHORARRAY(Sintesi!$C$10))+(_xlfn.ANCHORARRAY(Sintesi!$C$9)&lt;_xlfn.ANCHORARRAY(Sintesi!$C$10))*(A105&gt;=_xlfn.ANCHORARRAY(Sintesi!$C$9))*(A105&lt;=_xlfn.ANCHORARRAY(Sintesi!$C$10)),0)),0))/(_xlfn.IFNA(INDEX(_xlfn.ANCHORARRAY(Sintesi!$C$18),1,MATCH(1,(_xlfn.ANCHORARRAY(Sintesi!$C$9)&gt;_xlfn.ANCHORARRAY(Sintesi!$C$10))*(A105&gt;=_xlfn.ANCHORARRAY(Sintesi!$C$9))+(_xlfn.ANCHORARRAY(Sintesi!$C$9)&gt;_xlfn.ANCHORARRAY(Sintesi!$C$10))*(A105&lt;=_xlfn.ANCHORARRAY(Sintesi!$C$10))+(_xlfn.ANCHORARRAY(Sintesi!$C$9)&lt;_xlfn.ANCHORARRAY(Sintesi!$C$10))*(A105&gt;=_xlfn.ANCHORARRAY(Sintesi!$C$9))*(A105&lt;=_xlfn.ANCHORARRAY(Sintesi!$C$10)),0)),0)-_xlfn.IFNA(INDEX(_xlfn.ANCHORARRAY(Sintesi!$C$17),1,MATCH(1,(_xlfn.ANCHORARRAY(Sintesi!$C$9)&gt;_xlfn.ANCHORARRAY(Sintesi!$C$10))*(A105&gt;=_xlfn.ANCHORARRAY(Sintesi!$C$9))+(_xlfn.ANCHORARRAY(Sintesi!$C$9)&gt;_xlfn.ANCHORARRAY(Sintesi!$C$10))*(A105&lt;=_xlfn.ANCHORARRAY(Sintesi!$C$10))+(_xlfn.ANCHORARRAY(Sintesi!$C$9)&lt;_xlfn.ANCHORARRAY(Sintesi!$C$10))*(A105&gt;=_xlfn.ANCHORARRAY(Sintesi!$C$9))*(A105&lt;=_xlfn.ANCHORARRAY(Sintesi!$C$10)),0)),0)))),0)</f>
        <v>0</v>
      </c>
    </row>
    <row r="107" spans="1:13">
      <c r="A107" s="1">
        <f>'Paste cell here'!A107</f>
        <v>106</v>
      </c>
      <c r="B107" s="2">
        <f>DATE(Sintesi!$C$4-1,12,31)+A107</f>
        <v>44302</v>
      </c>
      <c r="C107" s="34">
        <f t="array" ref="C107">_xlfn.IFNA(MATCH(1,((_xlfn.ANCHORARRAY(Sintesi!$C$9)&gt;_xlfn.ANCHORARRAY(Sintesi!$C$10))*(A107&gt;=_xlfn.ANCHORARRAY(Sintesi!$C$9))+(_xlfn.ANCHORARRAY(Sintesi!$C$9)&gt;_xlfn.ANCHORARRAY(Sintesi!$C$10))*(A107&lt;=_xlfn.ANCHORARRAY(Sintesi!$C$10))+(_xlfn.ANCHORARRAY(Sintesi!$C$9)&lt;_xlfn.ANCHORARRAY(Sintesi!$C$10))*(A107&gt;=_xlfn.ANCHORARRAY(Sintesi!$C$9))*(A107&lt;=_xlfn.ANCHORARRAY(Sintesi!$C$10)))*(_xlfn.ANCHORARRAY(Sintesi!$C$15)&gt;=0)+(_xlfn.ANCHORARRAY(Sintesi!$C$15)&lt;0),0),0)</f>
        <v>1</v>
      </c>
      <c r="D107" s="1">
        <f t="array" ref="D107">IF(ISBLANK($E108),IF(ISNUMBER($E106),IF($C107&gt;0,IF(($E107=INDEX(_xlfn.ANCHORARRAY(Sintesi!$C$14),1,$C107))*(INDEX(_xlfn.ANCHORARRAY(Sintesi!$C$15),1,$C107)&gt;0),0,IF(($E107=INDEX(_xlfn.ANCHORARRAY(Sintesi!$C$14),1,$C107))*(INDEX(_xlfn.ANCHORARRAY(Sintesi!$C$15),1,$C107)&lt;0)+($E107&gt;=$E106)*($E107&lt;=INDEX($E:$E,MATCH(TRUE,INDEX((ISNUMBER($E:$E)),0),0)))*($E107&gt;INDEX(_xlfn.ANCHORARRAY(Sintesi!$C$14),1,$C107))*($E107&lt;=INDEX(_xlfn.ANCHORARRAY(Sintesi!$C$15),1,$C107))*(INDEX(_xlfn.ANCHORARRAY(Sintesi!$C$15),1,$C107)&gt;0),1,IF(($E107&gt;=$E106)*($E107&lt;=INDEX($E:$E,MATCH(TRUE,INDEX((ISNUMBER($E:$E)),0),0)))*($E107&gt;INDEX(_xlfn.ANCHORARRAY(Sintesi!$C$14),1,$C107))*($E107&lt;INDEX(_xlfn.ANCHORARRAY(Sintesi!$C$16),1,$C107))*(INDEX(_xlfn.ANCHORARRAY(Sintesi!$C$15),1,$C107)&lt;0)+($E107&gt;=$E106)*($E107&lt;=INDEX($E:$E,MATCH(TRUE,INDEX((ISNUMBER($E:$E)),0),0)))*($E107&gt;INDEX(_xlfn.ANCHORARRAY(Sintesi!$C$15),1,$C107))*($E107&lt;INDEX(_xlfn.ANCHORARRAY(Sintesi!$C$16),1,$C107))*(INDEX(_xlfn.ANCHORARRAY(Sintesi!$C$15),1,$C107)&gt;0),2,IF($E107=(INDEX(_xlfn.ANCHORARRAY(Sintesi!$C$16),1,$C107)),3,4)))),0),IF($C107&gt;0,IF(($E107=INDEX(_xlfn.ANCHORARRAY(Sintesi!$C$14),1,$C107))*(INDEX(_xlfn.ANCHORARRAY(Sintesi!$C$15),1,$C107)&gt;0),0,IF(($E107=INDEX(_xlfn.ANCHORARRAY(Sintesi!$C$14),1,$C107))*(INDEX(_xlfn.ANCHORARRAY(Sintesi!$C$15),1,$C107)&lt;0)+($E107&gt;=LOOKUP(2,1/($E:$E&lt;&gt;""),$E:$E))*($E107&lt;=INDEX($E:$E,MATCH(TRUE,INDEX((ISNUMBER($E:$E)),0),0)))*($E107&gt;INDEX(_xlfn.ANCHORARRAY(Sintesi!$C$14),1,$C107))*($E107&lt;=INDEX(_xlfn.ANCHORARRAY(Sintesi!$C$15),1,$C107))*(INDEX(_xlfn.ANCHORARRAY(Sintesi!$C$15),1,$C107)&gt;0),1,IF(($E107&gt;=LOOKUP(2,1/($E:$E&lt;&gt;""),$E:$E))*($E107&lt;=INDEX($E:$E,MATCH(TRUE,INDEX((ISNUMBER($E:$E)),0),0)))*($E107&gt;INDEX(_xlfn.ANCHORARRAY(Sintesi!$C$14),1,$C107))*($E107&lt;INDEX(_xlfn.ANCHORARRAY(Sintesi!$C$16),1,$C107))*(INDEX(_xlfn.ANCHORARRAY(Sintesi!$C$15),1,$C107)&lt;0)+($E107&gt;=LOOKUP(2,1/($E:$E&lt;&gt;""),$E:$E))*($E107&lt;=INDEX($E:$E,MATCH(TRUE,INDEX((ISNUMBER($E:$E)),0),0)))*($E107&gt;INDEX(_xlfn.ANCHORARRAY(Sintesi!$C$15),1,$C107))*($E107&lt;INDEX(_xlfn.ANCHORARRAY(Sintesi!$C$16),1,$C107))*(INDEX(_xlfn.ANCHORARRAY(Sintesi!$C$15),1,$C107)&gt;0),2,IF($E107=(INDEX(_xlfn.ANCHORARRAY(Sintesi!$C$16),1,$C107)),3,4)))),0)),IF(ISNUMBER($E106),IF($C107&gt;0,IF(($E107=INDEX(_xlfn.ANCHORARRAY(Sintesi!$C$14),1,$C107))*(INDEX(_xlfn.ANCHORARRAY(Sintesi!$C$15),1,$C107)&gt;0),0,IF(($E107=INDEX(_xlfn.ANCHORARRAY(Sintesi!$C$14),1,$C107))*(INDEX(_xlfn.ANCHORARRAY(Sintesi!$C$15),1,$C107)&lt;0)+($E107&gt;=$E106)*($E107&lt;=$E108)*($E107&gt;INDEX(_xlfn.ANCHORARRAY(Sintesi!$C$14),1,$C107))*($E107&lt;=INDEX(_xlfn.ANCHORARRAY(Sintesi!$C$15),1,$C107))*(INDEX(_xlfn.ANCHORARRAY(Sintesi!$C$15),1,$C107)&gt;0),1,IF(($E107&gt;=$E106)*($E107&lt;=$E108)*($E107&gt;INDEX(_xlfn.ANCHORARRAY(Sintesi!$C$14),1,$C107))*($E107&lt;INDEX(_xlfn.ANCHORARRAY(Sintesi!$C$16),1,$C107))*(INDEX(_xlfn.ANCHORARRAY(Sintesi!$C$15),1,$C107)&lt;0)+($E107&gt;=$E106)*($E107&lt;=$E108)*($E107&gt;INDEX(_xlfn.ANCHORARRAY(Sintesi!$C$15),1,$C107))*($E107&lt;INDEX(_xlfn.ANCHORARRAY(Sintesi!$C$16),1,$C107))*(INDEX(_xlfn.ANCHORARRAY(Sintesi!$C$15),1,$C107)&gt;0),2,IF($E107=(INDEX(_xlfn.ANCHORARRAY(Sintesi!$C$16),1,$C107)),3,4)))),0),IF($C107&gt;0,IF(($E107=INDEX(_xlfn.ANCHORARRAY(Sintesi!$C$14),1,$C107))*(INDEX(_xlfn.ANCHORARRAY(Sintesi!$C$15),1,$C107)&gt;0),0,IF(($E107=INDEX(_xlfn.ANCHORARRAY(Sintesi!$C$14),1,$C107))*(INDEX(_xlfn.ANCHORARRAY(Sintesi!$C$15),1,$C107)&lt;0)+($E107&gt;=LOOKUP(2,1/($E:$E&lt;&gt;""),$E:$E))*($E107&lt;=$E108)*($E107&gt;INDEX(_xlfn.ANCHORARRAY(Sintesi!$C$14),1,$C107))*($E107&lt;=INDEX(_xlfn.ANCHORARRAY(Sintesi!$C$15),1,$C107))*(INDEX(_xlfn.ANCHORARRAY(Sintesi!$C$15),1,$C107)&gt;0),1,IF(($E107&gt;=LOOKUP(2,1/($E:$E&lt;&gt;""),$E:$E))*($E107&lt;=$E108)*($E107&gt;INDEX(_xlfn.ANCHORARRAY(Sintesi!$C$14),1,$C107))*($E107&lt;INDEX(_xlfn.ANCHORARRAY(Sintesi!$C$16),1,$C107))*(INDEX(_xlfn.ANCHORARRAY(Sintesi!$C$15),1,$C107)&lt;0)+($E107&gt;=LOOKUP(2,1/($E:$E&lt;&gt;""),$E:$E))*($E107&lt;=$E108)*($E107&gt;INDEX(_xlfn.ANCHORARRAY(Sintesi!$C$15),1,$C107))*($E107&lt;INDEX(_xlfn.ANCHORARRAY(Sintesi!$C$16),1,$C107))*(INDEX(_xlfn.ANCHORARRAY(Sintesi!$C$15),1,$C107)&gt;0),2,IF($E107=(INDEX(_xlfn.ANCHORARRAY(Sintesi!$C$16),1,$C107)),3,4)))),0)))</f>
        <v>1</v>
      </c>
      <c r="E107" s="1">
        <f>'Paste cell here'!F107</f>
        <v>0.15</v>
      </c>
      <c r="F107" s="1">
        <f>'Paste cell here'!C107</f>
        <v>14.939999999999783</v>
      </c>
      <c r="G107" s="1">
        <f>'Paste cell here'!D107</f>
        <v>2.7199999999999691</v>
      </c>
      <c r="H107" s="1">
        <f>'Paste cell here'!E107</f>
        <v>2.9607471572798385</v>
      </c>
      <c r="I107" s="1">
        <f>'Paste cell here'!X107</f>
        <v>0.44410928900234398</v>
      </c>
      <c r="J107" s="1">
        <f>'Paste cell here'!Y107+'Paste cell here'!S107</f>
        <v>0.44410928900234398</v>
      </c>
      <c r="K107" s="1">
        <f t="shared" si="2"/>
        <v>0.14999905949765924</v>
      </c>
      <c r="L107" s="1">
        <f t="shared" si="3"/>
        <v>10.366292735741897</v>
      </c>
      <c r="M107" s="1">
        <f t="array" ref="M107">IF(AND(A107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107&gt;=_xlfn.ANCHORARRAY(Sintesi!$C$9))+(_xlfn.ANCHORARRAY(Sintesi!$C$9)&gt;_xlfn.ANCHORARRAY(Sintesi!$C$10))*(A107&lt;=_xlfn.ANCHORARRAY(Sintesi!$C$10))+(_xlfn.ANCHORARRAY(Sintesi!$C$9)&lt;_xlfn.ANCHORARRAY(Sintesi!$C$10))*(A107&gt;=_xlfn.ANCHORARRAY(Sintesi!$C$9))*(A107&lt;=_xlfn.ANCHORARRAY(Sintesi!$C$10)),0)),0),A107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108&gt;=_xlfn.ANCHORARRAY(Sintesi!$C$9))+(_xlfn.ANCHORARRAY(Sintesi!$C$9)&gt;_xlfn.ANCHORARRAY(Sintesi!$C$10))*(A108&lt;=_xlfn.ANCHORARRAY(Sintesi!$C$10))+(_xlfn.ANCHORARRAY(Sintesi!$C$9)&lt;_xlfn.ANCHORARRAY(Sintesi!$C$10))*(A108&gt;=_xlfn.ANCHORARRAY(Sintesi!$C$9))*(A108&lt;=_xlfn.ANCHORARRAY(Sintesi!$C$10)),0)),0)),IF(L107&lt;_xlfn.IFNA(INDEX(_xlfn.ANCHORARRAY(Sintesi!$C$17),1,MATCH(1,(_xlfn.ANCHORARRAY(Sintesi!$C$9)&gt;_xlfn.ANCHORARRAY(Sintesi!$C$10))*(A106&gt;=_xlfn.ANCHORARRAY(Sintesi!$C$9))+(_xlfn.ANCHORARRAY(Sintesi!$C$9)&gt;_xlfn.ANCHORARRAY(Sintesi!$C$10))*(A106&lt;=_xlfn.ANCHORARRAY(Sintesi!$C$10))+(_xlfn.ANCHORARRAY(Sintesi!$C$9)&lt;_xlfn.ANCHORARRAY(Sintesi!$C$10))*(A106&gt;=_xlfn.ANCHORARRAY(Sintesi!$C$9))*(A106&lt;=_xlfn.ANCHORARRAY(Sintesi!$C$10)),0)),0),1,IF(L107&gt;=_xlfn.IFNA(INDEX(_xlfn.ANCHORARRAY(Sintesi!$C$18),1,MATCH(1,(_xlfn.ANCHORARRAY(Sintesi!$C$9)&gt;_xlfn.ANCHORARRAY(Sintesi!$C$10))*(A106&gt;=_xlfn.ANCHORARRAY(Sintesi!$C$9))+(_xlfn.ANCHORARRAY(Sintesi!$C$9)&gt;_xlfn.ANCHORARRAY(Sintesi!$C$10))*(A106&lt;=_xlfn.ANCHORARRAY(Sintesi!$C$10))+(_xlfn.ANCHORARRAY(Sintesi!$C$9)&lt;_xlfn.ANCHORARRAY(Sintesi!$C$10))*(A106&gt;=_xlfn.ANCHORARRAY(Sintesi!$C$9))*(A106&lt;=_xlfn.ANCHORARRAY(Sintesi!$C$10)),0)),0),0,1-(L107-_xlfn.IFNA(INDEX(_xlfn.ANCHORARRAY(Sintesi!$C$17),1,MATCH(1,(_xlfn.ANCHORARRAY(Sintesi!$C$9)&gt;_xlfn.ANCHORARRAY(Sintesi!$C$10))*(A106&gt;=_xlfn.ANCHORARRAY(Sintesi!$C$9))+(_xlfn.ANCHORARRAY(Sintesi!$C$9)&gt;_xlfn.ANCHORARRAY(Sintesi!$C$10))*(A106&lt;=_xlfn.ANCHORARRAY(Sintesi!$C$10))+(_xlfn.ANCHORARRAY(Sintesi!$C$9)&lt;_xlfn.ANCHORARRAY(Sintesi!$C$10))*(A106&gt;=_xlfn.ANCHORARRAY(Sintesi!$C$9))*(A106&lt;=_xlfn.ANCHORARRAY(Sintesi!$C$10)),0)),0))/(_xlfn.IFNA(INDEX(_xlfn.ANCHORARRAY(Sintesi!$C$18),1,MATCH(1,(_xlfn.ANCHORARRAY(Sintesi!$C$9)&gt;_xlfn.ANCHORARRAY(Sintesi!$C$10))*(A106&gt;=_xlfn.ANCHORARRAY(Sintesi!$C$9))+(_xlfn.ANCHORARRAY(Sintesi!$C$9)&gt;_xlfn.ANCHORARRAY(Sintesi!$C$10))*(A106&lt;=_xlfn.ANCHORARRAY(Sintesi!$C$10))+(_xlfn.ANCHORARRAY(Sintesi!$C$9)&lt;_xlfn.ANCHORARRAY(Sintesi!$C$10))*(A106&gt;=_xlfn.ANCHORARRAY(Sintesi!$C$9))*(A106&lt;=_xlfn.ANCHORARRAY(Sintesi!$C$10)),0)),0)-_xlfn.IFNA(INDEX(_xlfn.ANCHORARRAY(Sintesi!$C$17),1,MATCH(1,(_xlfn.ANCHORARRAY(Sintesi!$C$9)&gt;_xlfn.ANCHORARRAY(Sintesi!$C$10))*(A106&gt;=_xlfn.ANCHORARRAY(Sintesi!$C$9))+(_xlfn.ANCHORARRAY(Sintesi!$C$9)&gt;_xlfn.ANCHORARRAY(Sintesi!$C$10))*(A106&lt;=_xlfn.ANCHORARRAY(Sintesi!$C$10))+(_xlfn.ANCHORARRAY(Sintesi!$C$9)&lt;_xlfn.ANCHORARRAY(Sintesi!$C$10))*(A106&gt;=_xlfn.ANCHORARRAY(Sintesi!$C$9))*(A106&lt;=_xlfn.ANCHORARRAY(Sintesi!$C$10)),0)),0)))),0)</f>
        <v>0</v>
      </c>
    </row>
    <row r="108" spans="1:13">
      <c r="A108" s="1">
        <f>'Paste cell here'!A108</f>
        <v>107</v>
      </c>
      <c r="B108" s="2">
        <f>DATE(Sintesi!$C$4-1,12,31)+A108</f>
        <v>44303</v>
      </c>
      <c r="C108" s="34">
        <f t="array" ref="C108">_xlfn.IFNA(MATCH(1,((_xlfn.ANCHORARRAY(Sintesi!$C$9)&gt;_xlfn.ANCHORARRAY(Sintesi!$C$10))*(A108&gt;=_xlfn.ANCHORARRAY(Sintesi!$C$9))+(_xlfn.ANCHORARRAY(Sintesi!$C$9)&gt;_xlfn.ANCHORARRAY(Sintesi!$C$10))*(A108&lt;=_xlfn.ANCHORARRAY(Sintesi!$C$10))+(_xlfn.ANCHORARRAY(Sintesi!$C$9)&lt;_xlfn.ANCHORARRAY(Sintesi!$C$10))*(A108&gt;=_xlfn.ANCHORARRAY(Sintesi!$C$9))*(A108&lt;=_xlfn.ANCHORARRAY(Sintesi!$C$10)))*(_xlfn.ANCHORARRAY(Sintesi!$C$15)&gt;=0)+(_xlfn.ANCHORARRAY(Sintesi!$C$15)&lt;0),0),0)</f>
        <v>1</v>
      </c>
      <c r="D108" s="1">
        <f t="array" ref="D108">IF(ISBLANK($E109),IF(ISNUMBER($E107),IF($C108&gt;0,IF(($E108=INDEX(_xlfn.ANCHORARRAY(Sintesi!$C$14),1,$C108))*(INDEX(_xlfn.ANCHORARRAY(Sintesi!$C$15),1,$C108)&gt;0),0,IF(($E108=INDEX(_xlfn.ANCHORARRAY(Sintesi!$C$14),1,$C108))*(INDEX(_xlfn.ANCHORARRAY(Sintesi!$C$15),1,$C108)&lt;0)+($E108&gt;=$E107)*($E108&lt;=INDEX($E:$E,MATCH(TRUE,INDEX((ISNUMBER($E:$E)),0),0)))*($E108&gt;INDEX(_xlfn.ANCHORARRAY(Sintesi!$C$14),1,$C108))*($E108&lt;=INDEX(_xlfn.ANCHORARRAY(Sintesi!$C$15),1,$C108))*(INDEX(_xlfn.ANCHORARRAY(Sintesi!$C$15),1,$C108)&gt;0),1,IF(($E108&gt;=$E107)*($E108&lt;=INDEX($E:$E,MATCH(TRUE,INDEX((ISNUMBER($E:$E)),0),0)))*($E108&gt;INDEX(_xlfn.ANCHORARRAY(Sintesi!$C$14),1,$C108))*($E108&lt;INDEX(_xlfn.ANCHORARRAY(Sintesi!$C$16),1,$C108))*(INDEX(_xlfn.ANCHORARRAY(Sintesi!$C$15),1,$C108)&lt;0)+($E108&gt;=$E107)*($E108&lt;=INDEX($E:$E,MATCH(TRUE,INDEX((ISNUMBER($E:$E)),0),0)))*($E108&gt;INDEX(_xlfn.ANCHORARRAY(Sintesi!$C$15),1,$C108))*($E108&lt;INDEX(_xlfn.ANCHORARRAY(Sintesi!$C$16),1,$C108))*(INDEX(_xlfn.ANCHORARRAY(Sintesi!$C$15),1,$C108)&gt;0),2,IF($E108=(INDEX(_xlfn.ANCHORARRAY(Sintesi!$C$16),1,$C108)),3,4)))),0),IF($C108&gt;0,IF(($E108=INDEX(_xlfn.ANCHORARRAY(Sintesi!$C$14),1,$C108))*(INDEX(_xlfn.ANCHORARRAY(Sintesi!$C$15),1,$C108)&gt;0),0,IF(($E108=INDEX(_xlfn.ANCHORARRAY(Sintesi!$C$14),1,$C108))*(INDEX(_xlfn.ANCHORARRAY(Sintesi!$C$15),1,$C108)&lt;0)+($E108&gt;=LOOKUP(2,1/($E:$E&lt;&gt;""),$E:$E))*($E108&lt;=INDEX($E:$E,MATCH(TRUE,INDEX((ISNUMBER($E:$E)),0),0)))*($E108&gt;INDEX(_xlfn.ANCHORARRAY(Sintesi!$C$14),1,$C108))*($E108&lt;=INDEX(_xlfn.ANCHORARRAY(Sintesi!$C$15),1,$C108))*(INDEX(_xlfn.ANCHORARRAY(Sintesi!$C$15),1,$C108)&gt;0),1,IF(($E108&gt;=LOOKUP(2,1/($E:$E&lt;&gt;""),$E:$E))*($E108&lt;=INDEX($E:$E,MATCH(TRUE,INDEX((ISNUMBER($E:$E)),0),0)))*($E108&gt;INDEX(_xlfn.ANCHORARRAY(Sintesi!$C$14),1,$C108))*($E108&lt;INDEX(_xlfn.ANCHORARRAY(Sintesi!$C$16),1,$C108))*(INDEX(_xlfn.ANCHORARRAY(Sintesi!$C$15),1,$C108)&lt;0)+($E108&gt;=LOOKUP(2,1/($E:$E&lt;&gt;""),$E:$E))*($E108&lt;=INDEX($E:$E,MATCH(TRUE,INDEX((ISNUMBER($E:$E)),0),0)))*($E108&gt;INDEX(_xlfn.ANCHORARRAY(Sintesi!$C$15),1,$C108))*($E108&lt;INDEX(_xlfn.ANCHORARRAY(Sintesi!$C$16),1,$C108))*(INDEX(_xlfn.ANCHORARRAY(Sintesi!$C$15),1,$C108)&gt;0),2,IF($E108=(INDEX(_xlfn.ANCHORARRAY(Sintesi!$C$16),1,$C108)),3,4)))),0)),IF(ISNUMBER($E107),IF($C108&gt;0,IF(($E108=INDEX(_xlfn.ANCHORARRAY(Sintesi!$C$14),1,$C108))*(INDEX(_xlfn.ANCHORARRAY(Sintesi!$C$15),1,$C108)&gt;0),0,IF(($E108=INDEX(_xlfn.ANCHORARRAY(Sintesi!$C$14),1,$C108))*(INDEX(_xlfn.ANCHORARRAY(Sintesi!$C$15),1,$C108)&lt;0)+($E108&gt;=$E107)*($E108&lt;=$E109)*($E108&gt;INDEX(_xlfn.ANCHORARRAY(Sintesi!$C$14),1,$C108))*($E108&lt;=INDEX(_xlfn.ANCHORARRAY(Sintesi!$C$15),1,$C108))*(INDEX(_xlfn.ANCHORARRAY(Sintesi!$C$15),1,$C108)&gt;0),1,IF(($E108&gt;=$E107)*($E108&lt;=$E109)*($E108&gt;INDEX(_xlfn.ANCHORARRAY(Sintesi!$C$14),1,$C108))*($E108&lt;INDEX(_xlfn.ANCHORARRAY(Sintesi!$C$16),1,$C108))*(INDEX(_xlfn.ANCHORARRAY(Sintesi!$C$15),1,$C108)&lt;0)+($E108&gt;=$E107)*($E108&lt;=$E109)*($E108&gt;INDEX(_xlfn.ANCHORARRAY(Sintesi!$C$15),1,$C108))*($E108&lt;INDEX(_xlfn.ANCHORARRAY(Sintesi!$C$16),1,$C108))*(INDEX(_xlfn.ANCHORARRAY(Sintesi!$C$15),1,$C108)&gt;0),2,IF($E108=(INDEX(_xlfn.ANCHORARRAY(Sintesi!$C$16),1,$C108)),3,4)))),0),IF($C108&gt;0,IF(($E108=INDEX(_xlfn.ANCHORARRAY(Sintesi!$C$14),1,$C108))*(INDEX(_xlfn.ANCHORARRAY(Sintesi!$C$15),1,$C108)&gt;0),0,IF(($E108=INDEX(_xlfn.ANCHORARRAY(Sintesi!$C$14),1,$C108))*(INDEX(_xlfn.ANCHORARRAY(Sintesi!$C$15),1,$C108)&lt;0)+($E108&gt;=LOOKUP(2,1/($E:$E&lt;&gt;""),$E:$E))*($E108&lt;=$E109)*($E108&gt;INDEX(_xlfn.ANCHORARRAY(Sintesi!$C$14),1,$C108))*($E108&lt;=INDEX(_xlfn.ANCHORARRAY(Sintesi!$C$15),1,$C108))*(INDEX(_xlfn.ANCHORARRAY(Sintesi!$C$15),1,$C108)&gt;0),1,IF(($E108&gt;=LOOKUP(2,1/($E:$E&lt;&gt;""),$E:$E))*($E108&lt;=$E109)*($E108&gt;INDEX(_xlfn.ANCHORARRAY(Sintesi!$C$14),1,$C108))*($E108&lt;INDEX(_xlfn.ANCHORARRAY(Sintesi!$C$16),1,$C108))*(INDEX(_xlfn.ANCHORARRAY(Sintesi!$C$15),1,$C108)&lt;0)+($E108&gt;=LOOKUP(2,1/($E:$E&lt;&gt;""),$E:$E))*($E108&lt;=$E109)*($E108&gt;INDEX(_xlfn.ANCHORARRAY(Sintesi!$C$15),1,$C108))*($E108&lt;INDEX(_xlfn.ANCHORARRAY(Sintesi!$C$16),1,$C108))*(INDEX(_xlfn.ANCHORARRAY(Sintesi!$C$15),1,$C108)&gt;0),2,IF($E108=(INDEX(_xlfn.ANCHORARRAY(Sintesi!$C$16),1,$C108)),3,4)))),0)))</f>
        <v>1</v>
      </c>
      <c r="E108" s="1">
        <f>'Paste cell here'!F108</f>
        <v>0.15</v>
      </c>
      <c r="F108" s="1">
        <f>'Paste cell here'!C108</f>
        <v>16.219999999999764</v>
      </c>
      <c r="G108" s="1">
        <f>'Paste cell here'!D108</f>
        <v>1.8799999999999741</v>
      </c>
      <c r="H108" s="1">
        <f>'Paste cell here'!E108</f>
        <v>2.9732624165173096</v>
      </c>
      <c r="I108" s="1">
        <f>'Paste cell here'!X108</f>
        <v>0.44598632426044721</v>
      </c>
      <c r="J108" s="1">
        <f>'Paste cell here'!Y108+'Paste cell here'!S108</f>
        <v>0.44598632426044721</v>
      </c>
      <c r="K108" s="1">
        <f t="shared" si="2"/>
        <v>0.14999897815371682</v>
      </c>
      <c r="L108" s="1">
        <f t="shared" si="3"/>
        <v>10.852818153071931</v>
      </c>
      <c r="M108" s="1">
        <f t="array" ref="M108">IF(AND(A108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108&gt;=_xlfn.ANCHORARRAY(Sintesi!$C$9))+(_xlfn.ANCHORARRAY(Sintesi!$C$9)&gt;_xlfn.ANCHORARRAY(Sintesi!$C$10))*(A108&lt;=_xlfn.ANCHORARRAY(Sintesi!$C$10))+(_xlfn.ANCHORARRAY(Sintesi!$C$9)&lt;_xlfn.ANCHORARRAY(Sintesi!$C$10))*(A108&gt;=_xlfn.ANCHORARRAY(Sintesi!$C$9))*(A108&lt;=_xlfn.ANCHORARRAY(Sintesi!$C$10)),0)),0),A108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109&gt;=_xlfn.ANCHORARRAY(Sintesi!$C$9))+(_xlfn.ANCHORARRAY(Sintesi!$C$9)&gt;_xlfn.ANCHORARRAY(Sintesi!$C$10))*(A109&lt;=_xlfn.ANCHORARRAY(Sintesi!$C$10))+(_xlfn.ANCHORARRAY(Sintesi!$C$9)&lt;_xlfn.ANCHORARRAY(Sintesi!$C$10))*(A109&gt;=_xlfn.ANCHORARRAY(Sintesi!$C$9))*(A109&lt;=_xlfn.ANCHORARRAY(Sintesi!$C$10)),0)),0)),IF(L108&lt;_xlfn.IFNA(INDEX(_xlfn.ANCHORARRAY(Sintesi!$C$17),1,MATCH(1,(_xlfn.ANCHORARRAY(Sintesi!$C$9)&gt;_xlfn.ANCHORARRAY(Sintesi!$C$10))*(A107&gt;=_xlfn.ANCHORARRAY(Sintesi!$C$9))+(_xlfn.ANCHORARRAY(Sintesi!$C$9)&gt;_xlfn.ANCHORARRAY(Sintesi!$C$10))*(A107&lt;=_xlfn.ANCHORARRAY(Sintesi!$C$10))+(_xlfn.ANCHORARRAY(Sintesi!$C$9)&lt;_xlfn.ANCHORARRAY(Sintesi!$C$10))*(A107&gt;=_xlfn.ANCHORARRAY(Sintesi!$C$9))*(A107&lt;=_xlfn.ANCHORARRAY(Sintesi!$C$10)),0)),0),1,IF(L108&gt;=_xlfn.IFNA(INDEX(_xlfn.ANCHORARRAY(Sintesi!$C$18),1,MATCH(1,(_xlfn.ANCHORARRAY(Sintesi!$C$9)&gt;_xlfn.ANCHORARRAY(Sintesi!$C$10))*(A107&gt;=_xlfn.ANCHORARRAY(Sintesi!$C$9))+(_xlfn.ANCHORARRAY(Sintesi!$C$9)&gt;_xlfn.ANCHORARRAY(Sintesi!$C$10))*(A107&lt;=_xlfn.ANCHORARRAY(Sintesi!$C$10))+(_xlfn.ANCHORARRAY(Sintesi!$C$9)&lt;_xlfn.ANCHORARRAY(Sintesi!$C$10))*(A107&gt;=_xlfn.ANCHORARRAY(Sintesi!$C$9))*(A107&lt;=_xlfn.ANCHORARRAY(Sintesi!$C$10)),0)),0),0,1-(L108-_xlfn.IFNA(INDEX(_xlfn.ANCHORARRAY(Sintesi!$C$17),1,MATCH(1,(_xlfn.ANCHORARRAY(Sintesi!$C$9)&gt;_xlfn.ANCHORARRAY(Sintesi!$C$10))*(A107&gt;=_xlfn.ANCHORARRAY(Sintesi!$C$9))+(_xlfn.ANCHORARRAY(Sintesi!$C$9)&gt;_xlfn.ANCHORARRAY(Sintesi!$C$10))*(A107&lt;=_xlfn.ANCHORARRAY(Sintesi!$C$10))+(_xlfn.ANCHORARRAY(Sintesi!$C$9)&lt;_xlfn.ANCHORARRAY(Sintesi!$C$10))*(A107&gt;=_xlfn.ANCHORARRAY(Sintesi!$C$9))*(A107&lt;=_xlfn.ANCHORARRAY(Sintesi!$C$10)),0)),0))/(_xlfn.IFNA(INDEX(_xlfn.ANCHORARRAY(Sintesi!$C$18),1,MATCH(1,(_xlfn.ANCHORARRAY(Sintesi!$C$9)&gt;_xlfn.ANCHORARRAY(Sintesi!$C$10))*(A107&gt;=_xlfn.ANCHORARRAY(Sintesi!$C$9))+(_xlfn.ANCHORARRAY(Sintesi!$C$9)&gt;_xlfn.ANCHORARRAY(Sintesi!$C$10))*(A107&lt;=_xlfn.ANCHORARRAY(Sintesi!$C$10))+(_xlfn.ANCHORARRAY(Sintesi!$C$9)&lt;_xlfn.ANCHORARRAY(Sintesi!$C$10))*(A107&gt;=_xlfn.ANCHORARRAY(Sintesi!$C$9))*(A107&lt;=_xlfn.ANCHORARRAY(Sintesi!$C$10)),0)),0)-_xlfn.IFNA(INDEX(_xlfn.ANCHORARRAY(Sintesi!$C$17),1,MATCH(1,(_xlfn.ANCHORARRAY(Sintesi!$C$9)&gt;_xlfn.ANCHORARRAY(Sintesi!$C$10))*(A107&gt;=_xlfn.ANCHORARRAY(Sintesi!$C$9))+(_xlfn.ANCHORARRAY(Sintesi!$C$9)&gt;_xlfn.ANCHORARRAY(Sintesi!$C$10))*(A107&lt;=_xlfn.ANCHORARRAY(Sintesi!$C$10))+(_xlfn.ANCHORARRAY(Sintesi!$C$9)&lt;_xlfn.ANCHORARRAY(Sintesi!$C$10))*(A107&gt;=_xlfn.ANCHORARRAY(Sintesi!$C$9))*(A107&lt;=_xlfn.ANCHORARRAY(Sintesi!$C$10)),0)),0)))),0)</f>
        <v>0</v>
      </c>
    </row>
    <row r="109" spans="1:13">
      <c r="A109" s="1">
        <f>'Paste cell here'!A109</f>
        <v>108</v>
      </c>
      <c r="B109" s="2">
        <f>DATE(Sintesi!$C$4-1,12,31)+A109</f>
        <v>44304</v>
      </c>
      <c r="C109" s="34">
        <f t="array" ref="C109">_xlfn.IFNA(MATCH(1,((_xlfn.ANCHORARRAY(Sintesi!$C$9)&gt;_xlfn.ANCHORARRAY(Sintesi!$C$10))*(A109&gt;=_xlfn.ANCHORARRAY(Sintesi!$C$9))+(_xlfn.ANCHORARRAY(Sintesi!$C$9)&gt;_xlfn.ANCHORARRAY(Sintesi!$C$10))*(A109&lt;=_xlfn.ANCHORARRAY(Sintesi!$C$10))+(_xlfn.ANCHORARRAY(Sintesi!$C$9)&lt;_xlfn.ANCHORARRAY(Sintesi!$C$10))*(A109&gt;=_xlfn.ANCHORARRAY(Sintesi!$C$9))*(A109&lt;=_xlfn.ANCHORARRAY(Sintesi!$C$10)))*(_xlfn.ANCHORARRAY(Sintesi!$C$15)&gt;=0)+(_xlfn.ANCHORARRAY(Sintesi!$C$15)&lt;0),0),0)</f>
        <v>1</v>
      </c>
      <c r="D109" s="1">
        <f t="array" ref="D109">IF(ISBLANK($E110),IF(ISNUMBER($E108),IF($C109&gt;0,IF(($E109=INDEX(_xlfn.ANCHORARRAY(Sintesi!$C$14),1,$C109))*(INDEX(_xlfn.ANCHORARRAY(Sintesi!$C$15),1,$C109)&gt;0),0,IF(($E109=INDEX(_xlfn.ANCHORARRAY(Sintesi!$C$14),1,$C109))*(INDEX(_xlfn.ANCHORARRAY(Sintesi!$C$15),1,$C109)&lt;0)+($E109&gt;=$E108)*($E109&lt;=INDEX($E:$E,MATCH(TRUE,INDEX((ISNUMBER($E:$E)),0),0)))*($E109&gt;INDEX(_xlfn.ANCHORARRAY(Sintesi!$C$14),1,$C109))*($E109&lt;=INDEX(_xlfn.ANCHORARRAY(Sintesi!$C$15),1,$C109))*(INDEX(_xlfn.ANCHORARRAY(Sintesi!$C$15),1,$C109)&gt;0),1,IF(($E109&gt;=$E108)*($E109&lt;=INDEX($E:$E,MATCH(TRUE,INDEX((ISNUMBER($E:$E)),0),0)))*($E109&gt;INDEX(_xlfn.ANCHORARRAY(Sintesi!$C$14),1,$C109))*($E109&lt;INDEX(_xlfn.ANCHORARRAY(Sintesi!$C$16),1,$C109))*(INDEX(_xlfn.ANCHORARRAY(Sintesi!$C$15),1,$C109)&lt;0)+($E109&gt;=$E108)*($E109&lt;=INDEX($E:$E,MATCH(TRUE,INDEX((ISNUMBER($E:$E)),0),0)))*($E109&gt;INDEX(_xlfn.ANCHORARRAY(Sintesi!$C$15),1,$C109))*($E109&lt;INDEX(_xlfn.ANCHORARRAY(Sintesi!$C$16),1,$C109))*(INDEX(_xlfn.ANCHORARRAY(Sintesi!$C$15),1,$C109)&gt;0),2,IF($E109=(INDEX(_xlfn.ANCHORARRAY(Sintesi!$C$16),1,$C109)),3,4)))),0),IF($C109&gt;0,IF(($E109=INDEX(_xlfn.ANCHORARRAY(Sintesi!$C$14),1,$C109))*(INDEX(_xlfn.ANCHORARRAY(Sintesi!$C$15),1,$C109)&gt;0),0,IF(($E109=INDEX(_xlfn.ANCHORARRAY(Sintesi!$C$14),1,$C109))*(INDEX(_xlfn.ANCHORARRAY(Sintesi!$C$15),1,$C109)&lt;0)+($E109&gt;=LOOKUP(2,1/($E:$E&lt;&gt;""),$E:$E))*($E109&lt;=INDEX($E:$E,MATCH(TRUE,INDEX((ISNUMBER($E:$E)),0),0)))*($E109&gt;INDEX(_xlfn.ANCHORARRAY(Sintesi!$C$14),1,$C109))*($E109&lt;=INDEX(_xlfn.ANCHORARRAY(Sintesi!$C$15),1,$C109))*(INDEX(_xlfn.ANCHORARRAY(Sintesi!$C$15),1,$C109)&gt;0),1,IF(($E109&gt;=LOOKUP(2,1/($E:$E&lt;&gt;""),$E:$E))*($E109&lt;=INDEX($E:$E,MATCH(TRUE,INDEX((ISNUMBER($E:$E)),0),0)))*($E109&gt;INDEX(_xlfn.ANCHORARRAY(Sintesi!$C$14),1,$C109))*($E109&lt;INDEX(_xlfn.ANCHORARRAY(Sintesi!$C$16),1,$C109))*(INDEX(_xlfn.ANCHORARRAY(Sintesi!$C$15),1,$C109)&lt;0)+($E109&gt;=LOOKUP(2,1/($E:$E&lt;&gt;""),$E:$E))*($E109&lt;=INDEX($E:$E,MATCH(TRUE,INDEX((ISNUMBER($E:$E)),0),0)))*($E109&gt;INDEX(_xlfn.ANCHORARRAY(Sintesi!$C$15),1,$C109))*($E109&lt;INDEX(_xlfn.ANCHORARRAY(Sintesi!$C$16),1,$C109))*(INDEX(_xlfn.ANCHORARRAY(Sintesi!$C$15),1,$C109)&gt;0),2,IF($E109=(INDEX(_xlfn.ANCHORARRAY(Sintesi!$C$16),1,$C109)),3,4)))),0)),IF(ISNUMBER($E108),IF($C109&gt;0,IF(($E109=INDEX(_xlfn.ANCHORARRAY(Sintesi!$C$14),1,$C109))*(INDEX(_xlfn.ANCHORARRAY(Sintesi!$C$15),1,$C109)&gt;0),0,IF(($E109=INDEX(_xlfn.ANCHORARRAY(Sintesi!$C$14),1,$C109))*(INDEX(_xlfn.ANCHORARRAY(Sintesi!$C$15),1,$C109)&lt;0)+($E109&gt;=$E108)*($E109&lt;=$E110)*($E109&gt;INDEX(_xlfn.ANCHORARRAY(Sintesi!$C$14),1,$C109))*($E109&lt;=INDEX(_xlfn.ANCHORARRAY(Sintesi!$C$15),1,$C109))*(INDEX(_xlfn.ANCHORARRAY(Sintesi!$C$15),1,$C109)&gt;0),1,IF(($E109&gt;=$E108)*($E109&lt;=$E110)*($E109&gt;INDEX(_xlfn.ANCHORARRAY(Sintesi!$C$14),1,$C109))*($E109&lt;INDEX(_xlfn.ANCHORARRAY(Sintesi!$C$16),1,$C109))*(INDEX(_xlfn.ANCHORARRAY(Sintesi!$C$15),1,$C109)&lt;0)+($E109&gt;=$E108)*($E109&lt;=$E110)*($E109&gt;INDEX(_xlfn.ANCHORARRAY(Sintesi!$C$15),1,$C109))*($E109&lt;INDEX(_xlfn.ANCHORARRAY(Sintesi!$C$16),1,$C109))*(INDEX(_xlfn.ANCHORARRAY(Sintesi!$C$15),1,$C109)&gt;0),2,IF($E109=(INDEX(_xlfn.ANCHORARRAY(Sintesi!$C$16),1,$C109)),3,4)))),0),IF($C109&gt;0,IF(($E109=INDEX(_xlfn.ANCHORARRAY(Sintesi!$C$14),1,$C109))*(INDEX(_xlfn.ANCHORARRAY(Sintesi!$C$15),1,$C109)&gt;0),0,IF(($E109=INDEX(_xlfn.ANCHORARRAY(Sintesi!$C$14),1,$C109))*(INDEX(_xlfn.ANCHORARRAY(Sintesi!$C$15),1,$C109)&lt;0)+($E109&gt;=LOOKUP(2,1/($E:$E&lt;&gt;""),$E:$E))*($E109&lt;=$E110)*($E109&gt;INDEX(_xlfn.ANCHORARRAY(Sintesi!$C$14),1,$C109))*($E109&lt;=INDEX(_xlfn.ANCHORARRAY(Sintesi!$C$15),1,$C109))*(INDEX(_xlfn.ANCHORARRAY(Sintesi!$C$15),1,$C109)&gt;0),1,IF(($E109&gt;=LOOKUP(2,1/($E:$E&lt;&gt;""),$E:$E))*($E109&lt;=$E110)*($E109&gt;INDEX(_xlfn.ANCHORARRAY(Sintesi!$C$14),1,$C109))*($E109&lt;INDEX(_xlfn.ANCHORARRAY(Sintesi!$C$16),1,$C109))*(INDEX(_xlfn.ANCHORARRAY(Sintesi!$C$15),1,$C109)&lt;0)+($E109&gt;=LOOKUP(2,1/($E:$E&lt;&gt;""),$E:$E))*($E109&lt;=$E110)*($E109&gt;INDEX(_xlfn.ANCHORARRAY(Sintesi!$C$15),1,$C109))*($E109&lt;INDEX(_xlfn.ANCHORARRAY(Sintesi!$C$16),1,$C109))*(INDEX(_xlfn.ANCHORARRAY(Sintesi!$C$15),1,$C109)&gt;0),2,IF($E109=(INDEX(_xlfn.ANCHORARRAY(Sintesi!$C$16),1,$C109)),3,4)))),0)))</f>
        <v>1</v>
      </c>
      <c r="E109" s="1">
        <f>'Paste cell here'!F109</f>
        <v>0.15</v>
      </c>
      <c r="F109" s="1">
        <f>'Paste cell here'!C109</f>
        <v>15.979999999999766</v>
      </c>
      <c r="G109" s="1">
        <f>'Paste cell here'!D109</f>
        <v>7.5999999999998913</v>
      </c>
      <c r="H109" s="1">
        <f>'Paste cell here'!E109</f>
        <v>2.7277830414154272</v>
      </c>
      <c r="I109" s="1">
        <f>'Paste cell here'!X109</f>
        <v>0.40916443175286993</v>
      </c>
      <c r="J109" s="1">
        <f>'Paste cell here'!Y109+'Paste cell here'!S109</f>
        <v>0.40916443175286993</v>
      </c>
      <c r="K109" s="1">
        <f t="shared" si="2"/>
        <v>0.14999889123900317</v>
      </c>
      <c r="L109" s="1">
        <f t="shared" si="3"/>
        <v>12.843529715672345</v>
      </c>
      <c r="M109" s="1">
        <f t="array" ref="M109">IF(AND(A109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109&gt;=_xlfn.ANCHORARRAY(Sintesi!$C$9))+(_xlfn.ANCHORARRAY(Sintesi!$C$9)&gt;_xlfn.ANCHORARRAY(Sintesi!$C$10))*(A109&lt;=_xlfn.ANCHORARRAY(Sintesi!$C$10))+(_xlfn.ANCHORARRAY(Sintesi!$C$9)&lt;_xlfn.ANCHORARRAY(Sintesi!$C$10))*(A109&gt;=_xlfn.ANCHORARRAY(Sintesi!$C$9))*(A109&lt;=_xlfn.ANCHORARRAY(Sintesi!$C$10)),0)),0),A109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110&gt;=_xlfn.ANCHORARRAY(Sintesi!$C$9))+(_xlfn.ANCHORARRAY(Sintesi!$C$9)&gt;_xlfn.ANCHORARRAY(Sintesi!$C$10))*(A110&lt;=_xlfn.ANCHORARRAY(Sintesi!$C$10))+(_xlfn.ANCHORARRAY(Sintesi!$C$9)&lt;_xlfn.ANCHORARRAY(Sintesi!$C$10))*(A110&gt;=_xlfn.ANCHORARRAY(Sintesi!$C$9))*(A110&lt;=_xlfn.ANCHORARRAY(Sintesi!$C$10)),0)),0)),IF(L109&lt;_xlfn.IFNA(INDEX(_xlfn.ANCHORARRAY(Sintesi!$C$17),1,MATCH(1,(_xlfn.ANCHORARRAY(Sintesi!$C$9)&gt;_xlfn.ANCHORARRAY(Sintesi!$C$10))*(A108&gt;=_xlfn.ANCHORARRAY(Sintesi!$C$9))+(_xlfn.ANCHORARRAY(Sintesi!$C$9)&gt;_xlfn.ANCHORARRAY(Sintesi!$C$10))*(A108&lt;=_xlfn.ANCHORARRAY(Sintesi!$C$10))+(_xlfn.ANCHORARRAY(Sintesi!$C$9)&lt;_xlfn.ANCHORARRAY(Sintesi!$C$10))*(A108&gt;=_xlfn.ANCHORARRAY(Sintesi!$C$9))*(A108&lt;=_xlfn.ANCHORARRAY(Sintesi!$C$10)),0)),0),1,IF(L109&gt;=_xlfn.IFNA(INDEX(_xlfn.ANCHORARRAY(Sintesi!$C$18),1,MATCH(1,(_xlfn.ANCHORARRAY(Sintesi!$C$9)&gt;_xlfn.ANCHORARRAY(Sintesi!$C$10))*(A108&gt;=_xlfn.ANCHORARRAY(Sintesi!$C$9))+(_xlfn.ANCHORARRAY(Sintesi!$C$9)&gt;_xlfn.ANCHORARRAY(Sintesi!$C$10))*(A108&lt;=_xlfn.ANCHORARRAY(Sintesi!$C$10))+(_xlfn.ANCHORARRAY(Sintesi!$C$9)&lt;_xlfn.ANCHORARRAY(Sintesi!$C$10))*(A108&gt;=_xlfn.ANCHORARRAY(Sintesi!$C$9))*(A108&lt;=_xlfn.ANCHORARRAY(Sintesi!$C$10)),0)),0),0,1-(L109-_xlfn.IFNA(INDEX(_xlfn.ANCHORARRAY(Sintesi!$C$17),1,MATCH(1,(_xlfn.ANCHORARRAY(Sintesi!$C$9)&gt;_xlfn.ANCHORARRAY(Sintesi!$C$10))*(A108&gt;=_xlfn.ANCHORARRAY(Sintesi!$C$9))+(_xlfn.ANCHORARRAY(Sintesi!$C$9)&gt;_xlfn.ANCHORARRAY(Sintesi!$C$10))*(A108&lt;=_xlfn.ANCHORARRAY(Sintesi!$C$10))+(_xlfn.ANCHORARRAY(Sintesi!$C$9)&lt;_xlfn.ANCHORARRAY(Sintesi!$C$10))*(A108&gt;=_xlfn.ANCHORARRAY(Sintesi!$C$9))*(A108&lt;=_xlfn.ANCHORARRAY(Sintesi!$C$10)),0)),0))/(_xlfn.IFNA(INDEX(_xlfn.ANCHORARRAY(Sintesi!$C$18),1,MATCH(1,(_xlfn.ANCHORARRAY(Sintesi!$C$9)&gt;_xlfn.ANCHORARRAY(Sintesi!$C$10))*(A108&gt;=_xlfn.ANCHORARRAY(Sintesi!$C$9))+(_xlfn.ANCHORARRAY(Sintesi!$C$9)&gt;_xlfn.ANCHORARRAY(Sintesi!$C$10))*(A108&lt;=_xlfn.ANCHORARRAY(Sintesi!$C$10))+(_xlfn.ANCHORARRAY(Sintesi!$C$9)&lt;_xlfn.ANCHORARRAY(Sintesi!$C$10))*(A108&gt;=_xlfn.ANCHORARRAY(Sintesi!$C$9))*(A108&lt;=_xlfn.ANCHORARRAY(Sintesi!$C$10)),0)),0)-_xlfn.IFNA(INDEX(_xlfn.ANCHORARRAY(Sintesi!$C$17),1,MATCH(1,(_xlfn.ANCHORARRAY(Sintesi!$C$9)&gt;_xlfn.ANCHORARRAY(Sintesi!$C$10))*(A108&gt;=_xlfn.ANCHORARRAY(Sintesi!$C$9))+(_xlfn.ANCHORARRAY(Sintesi!$C$9)&gt;_xlfn.ANCHORARRAY(Sintesi!$C$10))*(A108&lt;=_xlfn.ANCHORARRAY(Sintesi!$C$10))+(_xlfn.ANCHORARRAY(Sintesi!$C$9)&lt;_xlfn.ANCHORARRAY(Sintesi!$C$10))*(A108&gt;=_xlfn.ANCHORARRAY(Sintesi!$C$9))*(A108&lt;=_xlfn.ANCHORARRAY(Sintesi!$C$10)),0)),0)))),0)</f>
        <v>0</v>
      </c>
    </row>
    <row r="110" spans="1:13">
      <c r="A110" s="1">
        <f>'Paste cell here'!A110</f>
        <v>109</v>
      </c>
      <c r="B110" s="2">
        <f>DATE(Sintesi!$C$4-1,12,31)+A110</f>
        <v>44305</v>
      </c>
      <c r="C110" s="34">
        <f t="array" ref="C110">_xlfn.IFNA(MATCH(1,((_xlfn.ANCHORARRAY(Sintesi!$C$9)&gt;_xlfn.ANCHORARRAY(Sintesi!$C$10))*(A110&gt;=_xlfn.ANCHORARRAY(Sintesi!$C$9))+(_xlfn.ANCHORARRAY(Sintesi!$C$9)&gt;_xlfn.ANCHORARRAY(Sintesi!$C$10))*(A110&lt;=_xlfn.ANCHORARRAY(Sintesi!$C$10))+(_xlfn.ANCHORARRAY(Sintesi!$C$9)&lt;_xlfn.ANCHORARRAY(Sintesi!$C$10))*(A110&gt;=_xlfn.ANCHORARRAY(Sintesi!$C$9))*(A110&lt;=_xlfn.ANCHORARRAY(Sintesi!$C$10)))*(_xlfn.ANCHORARRAY(Sintesi!$C$15)&gt;=0)+(_xlfn.ANCHORARRAY(Sintesi!$C$15)&lt;0),0),0)</f>
        <v>1</v>
      </c>
      <c r="D110" s="1">
        <f t="array" ref="D110">IF(ISBLANK($E111),IF(ISNUMBER($E109),IF($C110&gt;0,IF(($E110=INDEX(_xlfn.ANCHORARRAY(Sintesi!$C$14),1,$C110))*(INDEX(_xlfn.ANCHORARRAY(Sintesi!$C$15),1,$C110)&gt;0),0,IF(($E110=INDEX(_xlfn.ANCHORARRAY(Sintesi!$C$14),1,$C110))*(INDEX(_xlfn.ANCHORARRAY(Sintesi!$C$15),1,$C110)&lt;0)+($E110&gt;=$E109)*($E110&lt;=INDEX($E:$E,MATCH(TRUE,INDEX((ISNUMBER($E:$E)),0),0)))*($E110&gt;INDEX(_xlfn.ANCHORARRAY(Sintesi!$C$14),1,$C110))*($E110&lt;=INDEX(_xlfn.ANCHORARRAY(Sintesi!$C$15),1,$C110))*(INDEX(_xlfn.ANCHORARRAY(Sintesi!$C$15),1,$C110)&gt;0),1,IF(($E110&gt;=$E109)*($E110&lt;=INDEX($E:$E,MATCH(TRUE,INDEX((ISNUMBER($E:$E)),0),0)))*($E110&gt;INDEX(_xlfn.ANCHORARRAY(Sintesi!$C$14),1,$C110))*($E110&lt;INDEX(_xlfn.ANCHORARRAY(Sintesi!$C$16),1,$C110))*(INDEX(_xlfn.ANCHORARRAY(Sintesi!$C$15),1,$C110)&lt;0)+($E110&gt;=$E109)*($E110&lt;=INDEX($E:$E,MATCH(TRUE,INDEX((ISNUMBER($E:$E)),0),0)))*($E110&gt;INDEX(_xlfn.ANCHORARRAY(Sintesi!$C$15),1,$C110))*($E110&lt;INDEX(_xlfn.ANCHORARRAY(Sintesi!$C$16),1,$C110))*(INDEX(_xlfn.ANCHORARRAY(Sintesi!$C$15),1,$C110)&gt;0),2,IF($E110=(INDEX(_xlfn.ANCHORARRAY(Sintesi!$C$16),1,$C110)),3,4)))),0),IF($C110&gt;0,IF(($E110=INDEX(_xlfn.ANCHORARRAY(Sintesi!$C$14),1,$C110))*(INDEX(_xlfn.ANCHORARRAY(Sintesi!$C$15),1,$C110)&gt;0),0,IF(($E110=INDEX(_xlfn.ANCHORARRAY(Sintesi!$C$14),1,$C110))*(INDEX(_xlfn.ANCHORARRAY(Sintesi!$C$15),1,$C110)&lt;0)+($E110&gt;=LOOKUP(2,1/($E:$E&lt;&gt;""),$E:$E))*($E110&lt;=INDEX($E:$E,MATCH(TRUE,INDEX((ISNUMBER($E:$E)),0),0)))*($E110&gt;INDEX(_xlfn.ANCHORARRAY(Sintesi!$C$14),1,$C110))*($E110&lt;=INDEX(_xlfn.ANCHORARRAY(Sintesi!$C$15),1,$C110))*(INDEX(_xlfn.ANCHORARRAY(Sintesi!$C$15),1,$C110)&gt;0),1,IF(($E110&gt;=LOOKUP(2,1/($E:$E&lt;&gt;""),$E:$E))*($E110&lt;=INDEX($E:$E,MATCH(TRUE,INDEX((ISNUMBER($E:$E)),0),0)))*($E110&gt;INDEX(_xlfn.ANCHORARRAY(Sintesi!$C$14),1,$C110))*($E110&lt;INDEX(_xlfn.ANCHORARRAY(Sintesi!$C$16),1,$C110))*(INDEX(_xlfn.ANCHORARRAY(Sintesi!$C$15),1,$C110)&lt;0)+($E110&gt;=LOOKUP(2,1/($E:$E&lt;&gt;""),$E:$E))*($E110&lt;=INDEX($E:$E,MATCH(TRUE,INDEX((ISNUMBER($E:$E)),0),0)))*($E110&gt;INDEX(_xlfn.ANCHORARRAY(Sintesi!$C$15),1,$C110))*($E110&lt;INDEX(_xlfn.ANCHORARRAY(Sintesi!$C$16),1,$C110))*(INDEX(_xlfn.ANCHORARRAY(Sintesi!$C$15),1,$C110)&gt;0),2,IF($E110=(INDEX(_xlfn.ANCHORARRAY(Sintesi!$C$16),1,$C110)),3,4)))),0)),IF(ISNUMBER($E109),IF($C110&gt;0,IF(($E110=INDEX(_xlfn.ANCHORARRAY(Sintesi!$C$14),1,$C110))*(INDEX(_xlfn.ANCHORARRAY(Sintesi!$C$15),1,$C110)&gt;0),0,IF(($E110=INDEX(_xlfn.ANCHORARRAY(Sintesi!$C$14),1,$C110))*(INDEX(_xlfn.ANCHORARRAY(Sintesi!$C$15),1,$C110)&lt;0)+($E110&gt;=$E109)*($E110&lt;=$E111)*($E110&gt;INDEX(_xlfn.ANCHORARRAY(Sintesi!$C$14),1,$C110))*($E110&lt;=INDEX(_xlfn.ANCHORARRAY(Sintesi!$C$15),1,$C110))*(INDEX(_xlfn.ANCHORARRAY(Sintesi!$C$15),1,$C110)&gt;0),1,IF(($E110&gt;=$E109)*($E110&lt;=$E111)*($E110&gt;INDEX(_xlfn.ANCHORARRAY(Sintesi!$C$14),1,$C110))*($E110&lt;INDEX(_xlfn.ANCHORARRAY(Sintesi!$C$16),1,$C110))*(INDEX(_xlfn.ANCHORARRAY(Sintesi!$C$15),1,$C110)&lt;0)+($E110&gt;=$E109)*($E110&lt;=$E111)*($E110&gt;INDEX(_xlfn.ANCHORARRAY(Sintesi!$C$15),1,$C110))*($E110&lt;INDEX(_xlfn.ANCHORARRAY(Sintesi!$C$16),1,$C110))*(INDEX(_xlfn.ANCHORARRAY(Sintesi!$C$15),1,$C110)&gt;0),2,IF($E110=(INDEX(_xlfn.ANCHORARRAY(Sintesi!$C$16),1,$C110)),3,4)))),0),IF($C110&gt;0,IF(($E110=INDEX(_xlfn.ANCHORARRAY(Sintesi!$C$14),1,$C110))*(INDEX(_xlfn.ANCHORARRAY(Sintesi!$C$15),1,$C110)&gt;0),0,IF(($E110=INDEX(_xlfn.ANCHORARRAY(Sintesi!$C$14),1,$C110))*(INDEX(_xlfn.ANCHORARRAY(Sintesi!$C$15),1,$C110)&lt;0)+($E110&gt;=LOOKUP(2,1/($E:$E&lt;&gt;""),$E:$E))*($E110&lt;=$E111)*($E110&gt;INDEX(_xlfn.ANCHORARRAY(Sintesi!$C$14),1,$C110))*($E110&lt;=INDEX(_xlfn.ANCHORARRAY(Sintesi!$C$15),1,$C110))*(INDEX(_xlfn.ANCHORARRAY(Sintesi!$C$15),1,$C110)&gt;0),1,IF(($E110&gt;=LOOKUP(2,1/($E:$E&lt;&gt;""),$E:$E))*($E110&lt;=$E111)*($E110&gt;INDEX(_xlfn.ANCHORARRAY(Sintesi!$C$14),1,$C110))*($E110&lt;INDEX(_xlfn.ANCHORARRAY(Sintesi!$C$16),1,$C110))*(INDEX(_xlfn.ANCHORARRAY(Sintesi!$C$15),1,$C110)&lt;0)+($E110&gt;=LOOKUP(2,1/($E:$E&lt;&gt;""),$E:$E))*($E110&lt;=$E111)*($E110&gt;INDEX(_xlfn.ANCHORARRAY(Sintesi!$C$15),1,$C110))*($E110&lt;INDEX(_xlfn.ANCHORARRAY(Sintesi!$C$16),1,$C110))*(INDEX(_xlfn.ANCHORARRAY(Sintesi!$C$15),1,$C110)&gt;0),2,IF($E110=(INDEX(_xlfn.ANCHORARRAY(Sintesi!$C$16),1,$C110)),3,4)))),0)))</f>
        <v>1</v>
      </c>
      <c r="E110" s="1">
        <f>'Paste cell here'!F110</f>
        <v>0.15</v>
      </c>
      <c r="F110" s="1">
        <f>'Paste cell here'!C110</f>
        <v>18.419999999999728</v>
      </c>
      <c r="G110" s="1">
        <f>'Paste cell here'!D110</f>
        <v>5.7799999999999194</v>
      </c>
      <c r="H110" s="1">
        <f>'Paste cell here'!E110</f>
        <v>3.0263121274323308</v>
      </c>
      <c r="I110" s="1">
        <f>'Paste cell here'!X110</f>
        <v>0.45394318303357944</v>
      </c>
      <c r="J110" s="1">
        <f>'Paste cell here'!Y110+'Paste cell here'!S110</f>
        <v>0.45394318303357944</v>
      </c>
      <c r="K110" s="1">
        <f t="shared" si="2"/>
        <v>0.14999879851082207</v>
      </c>
      <c r="L110" s="1">
        <f t="shared" si="3"/>
        <v>13.689094941061949</v>
      </c>
      <c r="M110" s="1">
        <f t="array" ref="M110">IF(AND(A110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110&gt;=_xlfn.ANCHORARRAY(Sintesi!$C$9))+(_xlfn.ANCHORARRAY(Sintesi!$C$9)&gt;_xlfn.ANCHORARRAY(Sintesi!$C$10))*(A110&lt;=_xlfn.ANCHORARRAY(Sintesi!$C$10))+(_xlfn.ANCHORARRAY(Sintesi!$C$9)&lt;_xlfn.ANCHORARRAY(Sintesi!$C$10))*(A110&gt;=_xlfn.ANCHORARRAY(Sintesi!$C$9))*(A110&lt;=_xlfn.ANCHORARRAY(Sintesi!$C$10)),0)),0),A110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111&gt;=_xlfn.ANCHORARRAY(Sintesi!$C$9))+(_xlfn.ANCHORARRAY(Sintesi!$C$9)&gt;_xlfn.ANCHORARRAY(Sintesi!$C$10))*(A111&lt;=_xlfn.ANCHORARRAY(Sintesi!$C$10))+(_xlfn.ANCHORARRAY(Sintesi!$C$9)&lt;_xlfn.ANCHORARRAY(Sintesi!$C$10))*(A111&gt;=_xlfn.ANCHORARRAY(Sintesi!$C$9))*(A111&lt;=_xlfn.ANCHORARRAY(Sintesi!$C$10)),0)),0)),IF(L110&lt;_xlfn.IFNA(INDEX(_xlfn.ANCHORARRAY(Sintesi!$C$17),1,MATCH(1,(_xlfn.ANCHORARRAY(Sintesi!$C$9)&gt;_xlfn.ANCHORARRAY(Sintesi!$C$10))*(A109&gt;=_xlfn.ANCHORARRAY(Sintesi!$C$9))+(_xlfn.ANCHORARRAY(Sintesi!$C$9)&gt;_xlfn.ANCHORARRAY(Sintesi!$C$10))*(A109&lt;=_xlfn.ANCHORARRAY(Sintesi!$C$10))+(_xlfn.ANCHORARRAY(Sintesi!$C$9)&lt;_xlfn.ANCHORARRAY(Sintesi!$C$10))*(A109&gt;=_xlfn.ANCHORARRAY(Sintesi!$C$9))*(A109&lt;=_xlfn.ANCHORARRAY(Sintesi!$C$10)),0)),0),1,IF(L110&gt;=_xlfn.IFNA(INDEX(_xlfn.ANCHORARRAY(Sintesi!$C$18),1,MATCH(1,(_xlfn.ANCHORARRAY(Sintesi!$C$9)&gt;_xlfn.ANCHORARRAY(Sintesi!$C$10))*(A109&gt;=_xlfn.ANCHORARRAY(Sintesi!$C$9))+(_xlfn.ANCHORARRAY(Sintesi!$C$9)&gt;_xlfn.ANCHORARRAY(Sintesi!$C$10))*(A109&lt;=_xlfn.ANCHORARRAY(Sintesi!$C$10))+(_xlfn.ANCHORARRAY(Sintesi!$C$9)&lt;_xlfn.ANCHORARRAY(Sintesi!$C$10))*(A109&gt;=_xlfn.ANCHORARRAY(Sintesi!$C$9))*(A109&lt;=_xlfn.ANCHORARRAY(Sintesi!$C$10)),0)),0),0,1-(L110-_xlfn.IFNA(INDEX(_xlfn.ANCHORARRAY(Sintesi!$C$17),1,MATCH(1,(_xlfn.ANCHORARRAY(Sintesi!$C$9)&gt;_xlfn.ANCHORARRAY(Sintesi!$C$10))*(A109&gt;=_xlfn.ANCHORARRAY(Sintesi!$C$9))+(_xlfn.ANCHORARRAY(Sintesi!$C$9)&gt;_xlfn.ANCHORARRAY(Sintesi!$C$10))*(A109&lt;=_xlfn.ANCHORARRAY(Sintesi!$C$10))+(_xlfn.ANCHORARRAY(Sintesi!$C$9)&lt;_xlfn.ANCHORARRAY(Sintesi!$C$10))*(A109&gt;=_xlfn.ANCHORARRAY(Sintesi!$C$9))*(A109&lt;=_xlfn.ANCHORARRAY(Sintesi!$C$10)),0)),0))/(_xlfn.IFNA(INDEX(_xlfn.ANCHORARRAY(Sintesi!$C$18),1,MATCH(1,(_xlfn.ANCHORARRAY(Sintesi!$C$9)&gt;_xlfn.ANCHORARRAY(Sintesi!$C$10))*(A109&gt;=_xlfn.ANCHORARRAY(Sintesi!$C$9))+(_xlfn.ANCHORARRAY(Sintesi!$C$9)&gt;_xlfn.ANCHORARRAY(Sintesi!$C$10))*(A109&lt;=_xlfn.ANCHORARRAY(Sintesi!$C$10))+(_xlfn.ANCHORARRAY(Sintesi!$C$9)&lt;_xlfn.ANCHORARRAY(Sintesi!$C$10))*(A109&gt;=_xlfn.ANCHORARRAY(Sintesi!$C$9))*(A109&lt;=_xlfn.ANCHORARRAY(Sintesi!$C$10)),0)),0)-_xlfn.IFNA(INDEX(_xlfn.ANCHORARRAY(Sintesi!$C$17),1,MATCH(1,(_xlfn.ANCHORARRAY(Sintesi!$C$9)&gt;_xlfn.ANCHORARRAY(Sintesi!$C$10))*(A109&gt;=_xlfn.ANCHORARRAY(Sintesi!$C$9))+(_xlfn.ANCHORARRAY(Sintesi!$C$9)&gt;_xlfn.ANCHORARRAY(Sintesi!$C$10))*(A109&lt;=_xlfn.ANCHORARRAY(Sintesi!$C$10))+(_xlfn.ANCHORARRAY(Sintesi!$C$9)&lt;_xlfn.ANCHORARRAY(Sintesi!$C$10))*(A109&gt;=_xlfn.ANCHORARRAY(Sintesi!$C$9))*(A109&lt;=_xlfn.ANCHORARRAY(Sintesi!$C$10)),0)),0)))),0)</f>
        <v>0</v>
      </c>
    </row>
    <row r="111" spans="1:13">
      <c r="A111" s="1">
        <f>'Paste cell here'!A111</f>
        <v>110</v>
      </c>
      <c r="B111" s="2">
        <f>DATE(Sintesi!$C$4-1,12,31)+A111</f>
        <v>44306</v>
      </c>
      <c r="C111" s="34">
        <f t="array" ref="C111">_xlfn.IFNA(MATCH(1,((_xlfn.ANCHORARRAY(Sintesi!$C$9)&gt;_xlfn.ANCHORARRAY(Sintesi!$C$10))*(A111&gt;=_xlfn.ANCHORARRAY(Sintesi!$C$9))+(_xlfn.ANCHORARRAY(Sintesi!$C$9)&gt;_xlfn.ANCHORARRAY(Sintesi!$C$10))*(A111&lt;=_xlfn.ANCHORARRAY(Sintesi!$C$10))+(_xlfn.ANCHORARRAY(Sintesi!$C$9)&lt;_xlfn.ANCHORARRAY(Sintesi!$C$10))*(A111&gt;=_xlfn.ANCHORARRAY(Sintesi!$C$9))*(A111&lt;=_xlfn.ANCHORARRAY(Sintesi!$C$10)))*(_xlfn.ANCHORARRAY(Sintesi!$C$15)&gt;=0)+(_xlfn.ANCHORARRAY(Sintesi!$C$15)&lt;0),0),0)</f>
        <v>1</v>
      </c>
      <c r="D111" s="1">
        <f t="array" ref="D111">IF(ISBLANK($E112),IF(ISNUMBER($E110),IF($C111&gt;0,IF(($E111=INDEX(_xlfn.ANCHORARRAY(Sintesi!$C$14),1,$C111))*(INDEX(_xlfn.ANCHORARRAY(Sintesi!$C$15),1,$C111)&gt;0),0,IF(($E111=INDEX(_xlfn.ANCHORARRAY(Sintesi!$C$14),1,$C111))*(INDEX(_xlfn.ANCHORARRAY(Sintesi!$C$15),1,$C111)&lt;0)+($E111&gt;=$E110)*($E111&lt;=INDEX($E:$E,MATCH(TRUE,INDEX((ISNUMBER($E:$E)),0),0)))*($E111&gt;INDEX(_xlfn.ANCHORARRAY(Sintesi!$C$14),1,$C111))*($E111&lt;=INDEX(_xlfn.ANCHORARRAY(Sintesi!$C$15),1,$C111))*(INDEX(_xlfn.ANCHORARRAY(Sintesi!$C$15),1,$C111)&gt;0),1,IF(($E111&gt;=$E110)*($E111&lt;=INDEX($E:$E,MATCH(TRUE,INDEX((ISNUMBER($E:$E)),0),0)))*($E111&gt;INDEX(_xlfn.ANCHORARRAY(Sintesi!$C$14),1,$C111))*($E111&lt;INDEX(_xlfn.ANCHORARRAY(Sintesi!$C$16),1,$C111))*(INDEX(_xlfn.ANCHORARRAY(Sintesi!$C$15),1,$C111)&lt;0)+($E111&gt;=$E110)*($E111&lt;=INDEX($E:$E,MATCH(TRUE,INDEX((ISNUMBER($E:$E)),0),0)))*($E111&gt;INDEX(_xlfn.ANCHORARRAY(Sintesi!$C$15),1,$C111))*($E111&lt;INDEX(_xlfn.ANCHORARRAY(Sintesi!$C$16),1,$C111))*(INDEX(_xlfn.ANCHORARRAY(Sintesi!$C$15),1,$C111)&gt;0),2,IF($E111=(INDEX(_xlfn.ANCHORARRAY(Sintesi!$C$16),1,$C111)),3,4)))),0),IF($C111&gt;0,IF(($E111=INDEX(_xlfn.ANCHORARRAY(Sintesi!$C$14),1,$C111))*(INDEX(_xlfn.ANCHORARRAY(Sintesi!$C$15),1,$C111)&gt;0),0,IF(($E111=INDEX(_xlfn.ANCHORARRAY(Sintesi!$C$14),1,$C111))*(INDEX(_xlfn.ANCHORARRAY(Sintesi!$C$15),1,$C111)&lt;0)+($E111&gt;=LOOKUP(2,1/($E:$E&lt;&gt;""),$E:$E))*($E111&lt;=INDEX($E:$E,MATCH(TRUE,INDEX((ISNUMBER($E:$E)),0),0)))*($E111&gt;INDEX(_xlfn.ANCHORARRAY(Sintesi!$C$14),1,$C111))*($E111&lt;=INDEX(_xlfn.ANCHORARRAY(Sintesi!$C$15),1,$C111))*(INDEX(_xlfn.ANCHORARRAY(Sintesi!$C$15),1,$C111)&gt;0),1,IF(($E111&gt;=LOOKUP(2,1/($E:$E&lt;&gt;""),$E:$E))*($E111&lt;=INDEX($E:$E,MATCH(TRUE,INDEX((ISNUMBER($E:$E)),0),0)))*($E111&gt;INDEX(_xlfn.ANCHORARRAY(Sintesi!$C$14),1,$C111))*($E111&lt;INDEX(_xlfn.ANCHORARRAY(Sintesi!$C$16),1,$C111))*(INDEX(_xlfn.ANCHORARRAY(Sintesi!$C$15),1,$C111)&lt;0)+($E111&gt;=LOOKUP(2,1/($E:$E&lt;&gt;""),$E:$E))*($E111&lt;=INDEX($E:$E,MATCH(TRUE,INDEX((ISNUMBER($E:$E)),0),0)))*($E111&gt;INDEX(_xlfn.ANCHORARRAY(Sintesi!$C$15),1,$C111))*($E111&lt;INDEX(_xlfn.ANCHORARRAY(Sintesi!$C$16),1,$C111))*(INDEX(_xlfn.ANCHORARRAY(Sintesi!$C$15),1,$C111)&gt;0),2,IF($E111=(INDEX(_xlfn.ANCHORARRAY(Sintesi!$C$16),1,$C111)),3,4)))),0)),IF(ISNUMBER($E110),IF($C111&gt;0,IF(($E111=INDEX(_xlfn.ANCHORARRAY(Sintesi!$C$14),1,$C111))*(INDEX(_xlfn.ANCHORARRAY(Sintesi!$C$15),1,$C111)&gt;0),0,IF(($E111=INDEX(_xlfn.ANCHORARRAY(Sintesi!$C$14),1,$C111))*(INDEX(_xlfn.ANCHORARRAY(Sintesi!$C$15),1,$C111)&lt;0)+($E111&gt;=$E110)*($E111&lt;=$E112)*($E111&gt;INDEX(_xlfn.ANCHORARRAY(Sintesi!$C$14),1,$C111))*($E111&lt;=INDEX(_xlfn.ANCHORARRAY(Sintesi!$C$15),1,$C111))*(INDEX(_xlfn.ANCHORARRAY(Sintesi!$C$15),1,$C111)&gt;0),1,IF(($E111&gt;=$E110)*($E111&lt;=$E112)*($E111&gt;INDEX(_xlfn.ANCHORARRAY(Sintesi!$C$14),1,$C111))*($E111&lt;INDEX(_xlfn.ANCHORARRAY(Sintesi!$C$16),1,$C111))*(INDEX(_xlfn.ANCHORARRAY(Sintesi!$C$15),1,$C111)&lt;0)+($E111&gt;=$E110)*($E111&lt;=$E112)*($E111&gt;INDEX(_xlfn.ANCHORARRAY(Sintesi!$C$15),1,$C111))*($E111&lt;INDEX(_xlfn.ANCHORARRAY(Sintesi!$C$16),1,$C111))*(INDEX(_xlfn.ANCHORARRAY(Sintesi!$C$15),1,$C111)&gt;0),2,IF($E111=(INDEX(_xlfn.ANCHORARRAY(Sintesi!$C$16),1,$C111)),3,4)))),0),IF($C111&gt;0,IF(($E111=INDEX(_xlfn.ANCHORARRAY(Sintesi!$C$14),1,$C111))*(INDEX(_xlfn.ANCHORARRAY(Sintesi!$C$15),1,$C111)&gt;0),0,IF(($E111=INDEX(_xlfn.ANCHORARRAY(Sintesi!$C$14),1,$C111))*(INDEX(_xlfn.ANCHORARRAY(Sintesi!$C$15),1,$C111)&lt;0)+($E111&gt;=LOOKUP(2,1/($E:$E&lt;&gt;""),$E:$E))*($E111&lt;=$E112)*($E111&gt;INDEX(_xlfn.ANCHORARRAY(Sintesi!$C$14),1,$C111))*($E111&lt;=INDEX(_xlfn.ANCHORARRAY(Sintesi!$C$15),1,$C111))*(INDEX(_xlfn.ANCHORARRAY(Sintesi!$C$15),1,$C111)&gt;0),1,IF(($E111&gt;=LOOKUP(2,1/($E:$E&lt;&gt;""),$E:$E))*($E111&lt;=$E112)*($E111&gt;INDEX(_xlfn.ANCHORARRAY(Sintesi!$C$14),1,$C111))*($E111&lt;INDEX(_xlfn.ANCHORARRAY(Sintesi!$C$16),1,$C111))*(INDEX(_xlfn.ANCHORARRAY(Sintesi!$C$15),1,$C111)&lt;0)+($E111&gt;=LOOKUP(2,1/($E:$E&lt;&gt;""),$E:$E))*($E111&lt;=$E112)*($E111&gt;INDEX(_xlfn.ANCHORARRAY(Sintesi!$C$15),1,$C111))*($E111&lt;INDEX(_xlfn.ANCHORARRAY(Sintesi!$C$16),1,$C111))*(INDEX(_xlfn.ANCHORARRAY(Sintesi!$C$15),1,$C111)&gt;0),2,IF($E111=(INDEX(_xlfn.ANCHORARRAY(Sintesi!$C$16),1,$C111)),3,4)))),0)))</f>
        <v>1</v>
      </c>
      <c r="E111" s="1">
        <f>'Paste cell here'!F111</f>
        <v>0.15</v>
      </c>
      <c r="F111" s="1">
        <f>'Paste cell here'!C111</f>
        <v>20.759999999999692</v>
      </c>
      <c r="G111" s="1">
        <f>'Paste cell here'!D111</f>
        <v>4.7199999999999447</v>
      </c>
      <c r="H111" s="1">
        <f>'Paste cell here'!E111</f>
        <v>3.6048121508267652</v>
      </c>
      <c r="I111" s="1">
        <f>'Paste cell here'!X111</f>
        <v>0.54071713538851496</v>
      </c>
      <c r="J111" s="1">
        <f>'Paste cell here'!Y111+'Paste cell here'!S111</f>
        <v>0.54071713538851496</v>
      </c>
      <c r="K111" s="1">
        <f t="shared" si="2"/>
        <v>0.14999869972822336</v>
      </c>
      <c r="L111" s="1">
        <f t="shared" si="3"/>
        <v>14.756541365081818</v>
      </c>
      <c r="M111" s="1">
        <f t="array" ref="M111">IF(AND(A111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111&gt;=_xlfn.ANCHORARRAY(Sintesi!$C$9))+(_xlfn.ANCHORARRAY(Sintesi!$C$9)&gt;_xlfn.ANCHORARRAY(Sintesi!$C$10))*(A111&lt;=_xlfn.ANCHORARRAY(Sintesi!$C$10))+(_xlfn.ANCHORARRAY(Sintesi!$C$9)&lt;_xlfn.ANCHORARRAY(Sintesi!$C$10))*(A111&gt;=_xlfn.ANCHORARRAY(Sintesi!$C$9))*(A111&lt;=_xlfn.ANCHORARRAY(Sintesi!$C$10)),0)),0),A111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112&gt;=_xlfn.ANCHORARRAY(Sintesi!$C$9))+(_xlfn.ANCHORARRAY(Sintesi!$C$9)&gt;_xlfn.ANCHORARRAY(Sintesi!$C$10))*(A112&lt;=_xlfn.ANCHORARRAY(Sintesi!$C$10))+(_xlfn.ANCHORARRAY(Sintesi!$C$9)&lt;_xlfn.ANCHORARRAY(Sintesi!$C$10))*(A112&gt;=_xlfn.ANCHORARRAY(Sintesi!$C$9))*(A112&lt;=_xlfn.ANCHORARRAY(Sintesi!$C$10)),0)),0)),IF(L111&lt;_xlfn.IFNA(INDEX(_xlfn.ANCHORARRAY(Sintesi!$C$17),1,MATCH(1,(_xlfn.ANCHORARRAY(Sintesi!$C$9)&gt;_xlfn.ANCHORARRAY(Sintesi!$C$10))*(A110&gt;=_xlfn.ANCHORARRAY(Sintesi!$C$9))+(_xlfn.ANCHORARRAY(Sintesi!$C$9)&gt;_xlfn.ANCHORARRAY(Sintesi!$C$10))*(A110&lt;=_xlfn.ANCHORARRAY(Sintesi!$C$10))+(_xlfn.ANCHORARRAY(Sintesi!$C$9)&lt;_xlfn.ANCHORARRAY(Sintesi!$C$10))*(A110&gt;=_xlfn.ANCHORARRAY(Sintesi!$C$9))*(A110&lt;=_xlfn.ANCHORARRAY(Sintesi!$C$10)),0)),0),1,IF(L111&gt;=_xlfn.IFNA(INDEX(_xlfn.ANCHORARRAY(Sintesi!$C$18),1,MATCH(1,(_xlfn.ANCHORARRAY(Sintesi!$C$9)&gt;_xlfn.ANCHORARRAY(Sintesi!$C$10))*(A110&gt;=_xlfn.ANCHORARRAY(Sintesi!$C$9))+(_xlfn.ANCHORARRAY(Sintesi!$C$9)&gt;_xlfn.ANCHORARRAY(Sintesi!$C$10))*(A110&lt;=_xlfn.ANCHORARRAY(Sintesi!$C$10))+(_xlfn.ANCHORARRAY(Sintesi!$C$9)&lt;_xlfn.ANCHORARRAY(Sintesi!$C$10))*(A110&gt;=_xlfn.ANCHORARRAY(Sintesi!$C$9))*(A110&lt;=_xlfn.ANCHORARRAY(Sintesi!$C$10)),0)),0),0,1-(L111-_xlfn.IFNA(INDEX(_xlfn.ANCHORARRAY(Sintesi!$C$17),1,MATCH(1,(_xlfn.ANCHORARRAY(Sintesi!$C$9)&gt;_xlfn.ANCHORARRAY(Sintesi!$C$10))*(A110&gt;=_xlfn.ANCHORARRAY(Sintesi!$C$9))+(_xlfn.ANCHORARRAY(Sintesi!$C$9)&gt;_xlfn.ANCHORARRAY(Sintesi!$C$10))*(A110&lt;=_xlfn.ANCHORARRAY(Sintesi!$C$10))+(_xlfn.ANCHORARRAY(Sintesi!$C$9)&lt;_xlfn.ANCHORARRAY(Sintesi!$C$10))*(A110&gt;=_xlfn.ANCHORARRAY(Sintesi!$C$9))*(A110&lt;=_xlfn.ANCHORARRAY(Sintesi!$C$10)),0)),0))/(_xlfn.IFNA(INDEX(_xlfn.ANCHORARRAY(Sintesi!$C$18),1,MATCH(1,(_xlfn.ANCHORARRAY(Sintesi!$C$9)&gt;_xlfn.ANCHORARRAY(Sintesi!$C$10))*(A110&gt;=_xlfn.ANCHORARRAY(Sintesi!$C$9))+(_xlfn.ANCHORARRAY(Sintesi!$C$9)&gt;_xlfn.ANCHORARRAY(Sintesi!$C$10))*(A110&lt;=_xlfn.ANCHORARRAY(Sintesi!$C$10))+(_xlfn.ANCHORARRAY(Sintesi!$C$9)&lt;_xlfn.ANCHORARRAY(Sintesi!$C$10))*(A110&gt;=_xlfn.ANCHORARRAY(Sintesi!$C$9))*(A110&lt;=_xlfn.ANCHORARRAY(Sintesi!$C$10)),0)),0)-_xlfn.IFNA(INDEX(_xlfn.ANCHORARRAY(Sintesi!$C$17),1,MATCH(1,(_xlfn.ANCHORARRAY(Sintesi!$C$9)&gt;_xlfn.ANCHORARRAY(Sintesi!$C$10))*(A110&gt;=_xlfn.ANCHORARRAY(Sintesi!$C$9))+(_xlfn.ANCHORARRAY(Sintesi!$C$9)&gt;_xlfn.ANCHORARRAY(Sintesi!$C$10))*(A110&lt;=_xlfn.ANCHORARRAY(Sintesi!$C$10))+(_xlfn.ANCHORARRAY(Sintesi!$C$9)&lt;_xlfn.ANCHORARRAY(Sintesi!$C$10))*(A110&gt;=_xlfn.ANCHORARRAY(Sintesi!$C$9))*(A110&lt;=_xlfn.ANCHORARRAY(Sintesi!$C$10)),0)),0)))),0)</f>
        <v>0</v>
      </c>
    </row>
    <row r="112" spans="1:13">
      <c r="A112" s="1">
        <f>'Paste cell here'!A112</f>
        <v>111</v>
      </c>
      <c r="B112" s="2">
        <f>DATE(Sintesi!$C$4-1,12,31)+A112</f>
        <v>44307</v>
      </c>
      <c r="C112" s="34">
        <f t="array" ref="C112">_xlfn.IFNA(MATCH(1,((_xlfn.ANCHORARRAY(Sintesi!$C$9)&gt;_xlfn.ANCHORARRAY(Sintesi!$C$10))*(A112&gt;=_xlfn.ANCHORARRAY(Sintesi!$C$9))+(_xlfn.ANCHORARRAY(Sintesi!$C$9)&gt;_xlfn.ANCHORARRAY(Sintesi!$C$10))*(A112&lt;=_xlfn.ANCHORARRAY(Sintesi!$C$10))+(_xlfn.ANCHORARRAY(Sintesi!$C$9)&lt;_xlfn.ANCHORARRAY(Sintesi!$C$10))*(A112&gt;=_xlfn.ANCHORARRAY(Sintesi!$C$9))*(A112&lt;=_xlfn.ANCHORARRAY(Sintesi!$C$10)))*(_xlfn.ANCHORARRAY(Sintesi!$C$15)&gt;=0)+(_xlfn.ANCHORARRAY(Sintesi!$C$15)&lt;0),0),0)</f>
        <v>1</v>
      </c>
      <c r="D112" s="1">
        <f t="array" ref="D112">IF(ISBLANK($E113),IF(ISNUMBER($E111),IF($C112&gt;0,IF(($E112=INDEX(_xlfn.ANCHORARRAY(Sintesi!$C$14),1,$C112))*(INDEX(_xlfn.ANCHORARRAY(Sintesi!$C$15),1,$C112)&gt;0),0,IF(($E112=INDEX(_xlfn.ANCHORARRAY(Sintesi!$C$14),1,$C112))*(INDEX(_xlfn.ANCHORARRAY(Sintesi!$C$15),1,$C112)&lt;0)+($E112&gt;=$E111)*($E112&lt;=INDEX($E:$E,MATCH(TRUE,INDEX((ISNUMBER($E:$E)),0),0)))*($E112&gt;INDEX(_xlfn.ANCHORARRAY(Sintesi!$C$14),1,$C112))*($E112&lt;=INDEX(_xlfn.ANCHORARRAY(Sintesi!$C$15),1,$C112))*(INDEX(_xlfn.ANCHORARRAY(Sintesi!$C$15),1,$C112)&gt;0),1,IF(($E112&gt;=$E111)*($E112&lt;=INDEX($E:$E,MATCH(TRUE,INDEX((ISNUMBER($E:$E)),0),0)))*($E112&gt;INDEX(_xlfn.ANCHORARRAY(Sintesi!$C$14),1,$C112))*($E112&lt;INDEX(_xlfn.ANCHORARRAY(Sintesi!$C$16),1,$C112))*(INDEX(_xlfn.ANCHORARRAY(Sintesi!$C$15),1,$C112)&lt;0)+($E112&gt;=$E111)*($E112&lt;=INDEX($E:$E,MATCH(TRUE,INDEX((ISNUMBER($E:$E)),0),0)))*($E112&gt;INDEX(_xlfn.ANCHORARRAY(Sintesi!$C$15),1,$C112))*($E112&lt;INDEX(_xlfn.ANCHORARRAY(Sintesi!$C$16),1,$C112))*(INDEX(_xlfn.ANCHORARRAY(Sintesi!$C$15),1,$C112)&gt;0),2,IF($E112=(INDEX(_xlfn.ANCHORARRAY(Sintesi!$C$16),1,$C112)),3,4)))),0),IF($C112&gt;0,IF(($E112=INDEX(_xlfn.ANCHORARRAY(Sintesi!$C$14),1,$C112))*(INDEX(_xlfn.ANCHORARRAY(Sintesi!$C$15),1,$C112)&gt;0),0,IF(($E112=INDEX(_xlfn.ANCHORARRAY(Sintesi!$C$14),1,$C112))*(INDEX(_xlfn.ANCHORARRAY(Sintesi!$C$15),1,$C112)&lt;0)+($E112&gt;=LOOKUP(2,1/($E:$E&lt;&gt;""),$E:$E))*($E112&lt;=INDEX($E:$E,MATCH(TRUE,INDEX((ISNUMBER($E:$E)),0),0)))*($E112&gt;INDEX(_xlfn.ANCHORARRAY(Sintesi!$C$14),1,$C112))*($E112&lt;=INDEX(_xlfn.ANCHORARRAY(Sintesi!$C$15),1,$C112))*(INDEX(_xlfn.ANCHORARRAY(Sintesi!$C$15),1,$C112)&gt;0),1,IF(($E112&gt;=LOOKUP(2,1/($E:$E&lt;&gt;""),$E:$E))*($E112&lt;=INDEX($E:$E,MATCH(TRUE,INDEX((ISNUMBER($E:$E)),0),0)))*($E112&gt;INDEX(_xlfn.ANCHORARRAY(Sintesi!$C$14),1,$C112))*($E112&lt;INDEX(_xlfn.ANCHORARRAY(Sintesi!$C$16),1,$C112))*(INDEX(_xlfn.ANCHORARRAY(Sintesi!$C$15),1,$C112)&lt;0)+($E112&gt;=LOOKUP(2,1/($E:$E&lt;&gt;""),$E:$E))*($E112&lt;=INDEX($E:$E,MATCH(TRUE,INDEX((ISNUMBER($E:$E)),0),0)))*($E112&gt;INDEX(_xlfn.ANCHORARRAY(Sintesi!$C$15),1,$C112))*($E112&lt;INDEX(_xlfn.ANCHORARRAY(Sintesi!$C$16),1,$C112))*(INDEX(_xlfn.ANCHORARRAY(Sintesi!$C$15),1,$C112)&gt;0),2,IF($E112=(INDEX(_xlfn.ANCHORARRAY(Sintesi!$C$16),1,$C112)),3,4)))),0)),IF(ISNUMBER($E111),IF($C112&gt;0,IF(($E112=INDEX(_xlfn.ANCHORARRAY(Sintesi!$C$14),1,$C112))*(INDEX(_xlfn.ANCHORARRAY(Sintesi!$C$15),1,$C112)&gt;0),0,IF(($E112=INDEX(_xlfn.ANCHORARRAY(Sintesi!$C$14),1,$C112))*(INDEX(_xlfn.ANCHORARRAY(Sintesi!$C$15),1,$C112)&lt;0)+($E112&gt;=$E111)*($E112&lt;=$E113)*($E112&gt;INDEX(_xlfn.ANCHORARRAY(Sintesi!$C$14),1,$C112))*($E112&lt;=INDEX(_xlfn.ANCHORARRAY(Sintesi!$C$15),1,$C112))*(INDEX(_xlfn.ANCHORARRAY(Sintesi!$C$15),1,$C112)&gt;0),1,IF(($E112&gt;=$E111)*($E112&lt;=$E113)*($E112&gt;INDEX(_xlfn.ANCHORARRAY(Sintesi!$C$14),1,$C112))*($E112&lt;INDEX(_xlfn.ANCHORARRAY(Sintesi!$C$16),1,$C112))*(INDEX(_xlfn.ANCHORARRAY(Sintesi!$C$15),1,$C112)&lt;0)+($E112&gt;=$E111)*($E112&lt;=$E113)*($E112&gt;INDEX(_xlfn.ANCHORARRAY(Sintesi!$C$15),1,$C112))*($E112&lt;INDEX(_xlfn.ANCHORARRAY(Sintesi!$C$16),1,$C112))*(INDEX(_xlfn.ANCHORARRAY(Sintesi!$C$15),1,$C112)&gt;0),2,IF($E112=(INDEX(_xlfn.ANCHORARRAY(Sintesi!$C$16),1,$C112)),3,4)))),0),IF($C112&gt;0,IF(($E112=INDEX(_xlfn.ANCHORARRAY(Sintesi!$C$14),1,$C112))*(INDEX(_xlfn.ANCHORARRAY(Sintesi!$C$15),1,$C112)&gt;0),0,IF(($E112=INDEX(_xlfn.ANCHORARRAY(Sintesi!$C$14),1,$C112))*(INDEX(_xlfn.ANCHORARRAY(Sintesi!$C$15),1,$C112)&lt;0)+($E112&gt;=LOOKUP(2,1/($E:$E&lt;&gt;""),$E:$E))*($E112&lt;=$E113)*($E112&gt;INDEX(_xlfn.ANCHORARRAY(Sintesi!$C$14),1,$C112))*($E112&lt;=INDEX(_xlfn.ANCHORARRAY(Sintesi!$C$15),1,$C112))*(INDEX(_xlfn.ANCHORARRAY(Sintesi!$C$15),1,$C112)&gt;0),1,IF(($E112&gt;=LOOKUP(2,1/($E:$E&lt;&gt;""),$E:$E))*($E112&lt;=$E113)*($E112&gt;INDEX(_xlfn.ANCHORARRAY(Sintesi!$C$14),1,$C112))*($E112&lt;INDEX(_xlfn.ANCHORARRAY(Sintesi!$C$16),1,$C112))*(INDEX(_xlfn.ANCHORARRAY(Sintesi!$C$15),1,$C112)&lt;0)+($E112&gt;=LOOKUP(2,1/($E:$E&lt;&gt;""),$E:$E))*($E112&lt;=$E113)*($E112&gt;INDEX(_xlfn.ANCHORARRAY(Sintesi!$C$15),1,$C112))*($E112&lt;INDEX(_xlfn.ANCHORARRAY(Sintesi!$C$16),1,$C112))*(INDEX(_xlfn.ANCHORARRAY(Sintesi!$C$15),1,$C112)&gt;0),2,IF($E112=(INDEX(_xlfn.ANCHORARRAY(Sintesi!$C$16),1,$C112)),3,4)))),0)))</f>
        <v>1</v>
      </c>
      <c r="E112" s="1">
        <f>'Paste cell here'!F112</f>
        <v>0.15</v>
      </c>
      <c r="F112" s="1">
        <f>'Paste cell here'!C112</f>
        <v>19.659999999999705</v>
      </c>
      <c r="G112" s="1">
        <f>'Paste cell here'!D112</f>
        <v>8.9399999999999089</v>
      </c>
      <c r="H112" s="1">
        <f>'Paste cell here'!E112</f>
        <v>3.4232575963066063</v>
      </c>
      <c r="I112" s="1">
        <f>'Paste cell here'!X112</f>
        <v>0.513483828582317</v>
      </c>
      <c r="J112" s="1">
        <f>'Paste cell here'!Y112+'Paste cell here'!S112</f>
        <v>0.513483828582317</v>
      </c>
      <c r="K112" s="1">
        <f t="shared" si="2"/>
        <v>0.14999859465332696</v>
      </c>
      <c r="L112" s="1">
        <f t="shared" si="3"/>
        <v>15.647713431027174</v>
      </c>
      <c r="M112" s="1">
        <f t="array" ref="M112">IF(AND(A112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112&gt;=_xlfn.ANCHORARRAY(Sintesi!$C$9))+(_xlfn.ANCHORARRAY(Sintesi!$C$9)&gt;_xlfn.ANCHORARRAY(Sintesi!$C$10))*(A112&lt;=_xlfn.ANCHORARRAY(Sintesi!$C$10))+(_xlfn.ANCHORARRAY(Sintesi!$C$9)&lt;_xlfn.ANCHORARRAY(Sintesi!$C$10))*(A112&gt;=_xlfn.ANCHORARRAY(Sintesi!$C$9))*(A112&lt;=_xlfn.ANCHORARRAY(Sintesi!$C$10)),0)),0),A112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113&gt;=_xlfn.ANCHORARRAY(Sintesi!$C$9))+(_xlfn.ANCHORARRAY(Sintesi!$C$9)&gt;_xlfn.ANCHORARRAY(Sintesi!$C$10))*(A113&lt;=_xlfn.ANCHORARRAY(Sintesi!$C$10))+(_xlfn.ANCHORARRAY(Sintesi!$C$9)&lt;_xlfn.ANCHORARRAY(Sintesi!$C$10))*(A113&gt;=_xlfn.ANCHORARRAY(Sintesi!$C$9))*(A113&lt;=_xlfn.ANCHORARRAY(Sintesi!$C$10)),0)),0)),IF(L112&lt;_xlfn.IFNA(INDEX(_xlfn.ANCHORARRAY(Sintesi!$C$17),1,MATCH(1,(_xlfn.ANCHORARRAY(Sintesi!$C$9)&gt;_xlfn.ANCHORARRAY(Sintesi!$C$10))*(A111&gt;=_xlfn.ANCHORARRAY(Sintesi!$C$9))+(_xlfn.ANCHORARRAY(Sintesi!$C$9)&gt;_xlfn.ANCHORARRAY(Sintesi!$C$10))*(A111&lt;=_xlfn.ANCHORARRAY(Sintesi!$C$10))+(_xlfn.ANCHORARRAY(Sintesi!$C$9)&lt;_xlfn.ANCHORARRAY(Sintesi!$C$10))*(A111&gt;=_xlfn.ANCHORARRAY(Sintesi!$C$9))*(A111&lt;=_xlfn.ANCHORARRAY(Sintesi!$C$10)),0)),0),1,IF(L112&gt;=_xlfn.IFNA(INDEX(_xlfn.ANCHORARRAY(Sintesi!$C$18),1,MATCH(1,(_xlfn.ANCHORARRAY(Sintesi!$C$9)&gt;_xlfn.ANCHORARRAY(Sintesi!$C$10))*(A111&gt;=_xlfn.ANCHORARRAY(Sintesi!$C$9))+(_xlfn.ANCHORARRAY(Sintesi!$C$9)&gt;_xlfn.ANCHORARRAY(Sintesi!$C$10))*(A111&lt;=_xlfn.ANCHORARRAY(Sintesi!$C$10))+(_xlfn.ANCHORARRAY(Sintesi!$C$9)&lt;_xlfn.ANCHORARRAY(Sintesi!$C$10))*(A111&gt;=_xlfn.ANCHORARRAY(Sintesi!$C$9))*(A111&lt;=_xlfn.ANCHORARRAY(Sintesi!$C$10)),0)),0),0,1-(L112-_xlfn.IFNA(INDEX(_xlfn.ANCHORARRAY(Sintesi!$C$17),1,MATCH(1,(_xlfn.ANCHORARRAY(Sintesi!$C$9)&gt;_xlfn.ANCHORARRAY(Sintesi!$C$10))*(A111&gt;=_xlfn.ANCHORARRAY(Sintesi!$C$9))+(_xlfn.ANCHORARRAY(Sintesi!$C$9)&gt;_xlfn.ANCHORARRAY(Sintesi!$C$10))*(A111&lt;=_xlfn.ANCHORARRAY(Sintesi!$C$10))+(_xlfn.ANCHORARRAY(Sintesi!$C$9)&lt;_xlfn.ANCHORARRAY(Sintesi!$C$10))*(A111&gt;=_xlfn.ANCHORARRAY(Sintesi!$C$9))*(A111&lt;=_xlfn.ANCHORARRAY(Sintesi!$C$10)),0)),0))/(_xlfn.IFNA(INDEX(_xlfn.ANCHORARRAY(Sintesi!$C$18),1,MATCH(1,(_xlfn.ANCHORARRAY(Sintesi!$C$9)&gt;_xlfn.ANCHORARRAY(Sintesi!$C$10))*(A111&gt;=_xlfn.ANCHORARRAY(Sintesi!$C$9))+(_xlfn.ANCHORARRAY(Sintesi!$C$9)&gt;_xlfn.ANCHORARRAY(Sintesi!$C$10))*(A111&lt;=_xlfn.ANCHORARRAY(Sintesi!$C$10))+(_xlfn.ANCHORARRAY(Sintesi!$C$9)&lt;_xlfn.ANCHORARRAY(Sintesi!$C$10))*(A111&gt;=_xlfn.ANCHORARRAY(Sintesi!$C$9))*(A111&lt;=_xlfn.ANCHORARRAY(Sintesi!$C$10)),0)),0)-_xlfn.IFNA(INDEX(_xlfn.ANCHORARRAY(Sintesi!$C$17),1,MATCH(1,(_xlfn.ANCHORARRAY(Sintesi!$C$9)&gt;_xlfn.ANCHORARRAY(Sintesi!$C$10))*(A111&gt;=_xlfn.ANCHORARRAY(Sintesi!$C$9))+(_xlfn.ANCHORARRAY(Sintesi!$C$9)&gt;_xlfn.ANCHORARRAY(Sintesi!$C$10))*(A111&lt;=_xlfn.ANCHORARRAY(Sintesi!$C$10))+(_xlfn.ANCHORARRAY(Sintesi!$C$9)&lt;_xlfn.ANCHORARRAY(Sintesi!$C$10))*(A111&gt;=_xlfn.ANCHORARRAY(Sintesi!$C$9))*(A111&lt;=_xlfn.ANCHORARRAY(Sintesi!$C$10)),0)),0)))),0)</f>
        <v>0</v>
      </c>
    </row>
    <row r="113" spans="1:13">
      <c r="A113" s="1">
        <f>'Paste cell here'!A113</f>
        <v>112</v>
      </c>
      <c r="B113" s="2">
        <f>DATE(Sintesi!$C$4-1,12,31)+A113</f>
        <v>44308</v>
      </c>
      <c r="C113" s="34">
        <f t="array" ref="C113">_xlfn.IFNA(MATCH(1,((_xlfn.ANCHORARRAY(Sintesi!$C$9)&gt;_xlfn.ANCHORARRAY(Sintesi!$C$10))*(A113&gt;=_xlfn.ANCHORARRAY(Sintesi!$C$9))+(_xlfn.ANCHORARRAY(Sintesi!$C$9)&gt;_xlfn.ANCHORARRAY(Sintesi!$C$10))*(A113&lt;=_xlfn.ANCHORARRAY(Sintesi!$C$10))+(_xlfn.ANCHORARRAY(Sintesi!$C$9)&lt;_xlfn.ANCHORARRAY(Sintesi!$C$10))*(A113&gt;=_xlfn.ANCHORARRAY(Sintesi!$C$9))*(A113&lt;=_xlfn.ANCHORARRAY(Sintesi!$C$10)))*(_xlfn.ANCHORARRAY(Sintesi!$C$15)&gt;=0)+(_xlfn.ANCHORARRAY(Sintesi!$C$15)&lt;0),0),0)</f>
        <v>1</v>
      </c>
      <c r="D113" s="1">
        <f t="array" ref="D113">IF(ISBLANK($E114),IF(ISNUMBER($E112),IF($C113&gt;0,IF(($E113=INDEX(_xlfn.ANCHORARRAY(Sintesi!$C$14),1,$C113))*(INDEX(_xlfn.ANCHORARRAY(Sintesi!$C$15),1,$C113)&gt;0),0,IF(($E113=INDEX(_xlfn.ANCHORARRAY(Sintesi!$C$14),1,$C113))*(INDEX(_xlfn.ANCHORARRAY(Sintesi!$C$15),1,$C113)&lt;0)+($E113&gt;=$E112)*($E113&lt;=INDEX($E:$E,MATCH(TRUE,INDEX((ISNUMBER($E:$E)),0),0)))*($E113&gt;INDEX(_xlfn.ANCHORARRAY(Sintesi!$C$14),1,$C113))*($E113&lt;=INDEX(_xlfn.ANCHORARRAY(Sintesi!$C$15),1,$C113))*(INDEX(_xlfn.ANCHORARRAY(Sintesi!$C$15),1,$C113)&gt;0),1,IF(($E113&gt;=$E112)*($E113&lt;=INDEX($E:$E,MATCH(TRUE,INDEX((ISNUMBER($E:$E)),0),0)))*($E113&gt;INDEX(_xlfn.ANCHORARRAY(Sintesi!$C$14),1,$C113))*($E113&lt;INDEX(_xlfn.ANCHORARRAY(Sintesi!$C$16),1,$C113))*(INDEX(_xlfn.ANCHORARRAY(Sintesi!$C$15),1,$C113)&lt;0)+($E113&gt;=$E112)*($E113&lt;=INDEX($E:$E,MATCH(TRUE,INDEX((ISNUMBER($E:$E)),0),0)))*($E113&gt;INDEX(_xlfn.ANCHORARRAY(Sintesi!$C$15),1,$C113))*($E113&lt;INDEX(_xlfn.ANCHORARRAY(Sintesi!$C$16),1,$C113))*(INDEX(_xlfn.ANCHORARRAY(Sintesi!$C$15),1,$C113)&gt;0),2,IF($E113=(INDEX(_xlfn.ANCHORARRAY(Sintesi!$C$16),1,$C113)),3,4)))),0),IF($C113&gt;0,IF(($E113=INDEX(_xlfn.ANCHORARRAY(Sintesi!$C$14),1,$C113))*(INDEX(_xlfn.ANCHORARRAY(Sintesi!$C$15),1,$C113)&gt;0),0,IF(($E113=INDEX(_xlfn.ANCHORARRAY(Sintesi!$C$14),1,$C113))*(INDEX(_xlfn.ANCHORARRAY(Sintesi!$C$15),1,$C113)&lt;0)+($E113&gt;=LOOKUP(2,1/($E:$E&lt;&gt;""),$E:$E))*($E113&lt;=INDEX($E:$E,MATCH(TRUE,INDEX((ISNUMBER($E:$E)),0),0)))*($E113&gt;INDEX(_xlfn.ANCHORARRAY(Sintesi!$C$14),1,$C113))*($E113&lt;=INDEX(_xlfn.ANCHORARRAY(Sintesi!$C$15),1,$C113))*(INDEX(_xlfn.ANCHORARRAY(Sintesi!$C$15),1,$C113)&gt;0),1,IF(($E113&gt;=LOOKUP(2,1/($E:$E&lt;&gt;""),$E:$E))*($E113&lt;=INDEX($E:$E,MATCH(TRUE,INDEX((ISNUMBER($E:$E)),0),0)))*($E113&gt;INDEX(_xlfn.ANCHORARRAY(Sintesi!$C$14),1,$C113))*($E113&lt;INDEX(_xlfn.ANCHORARRAY(Sintesi!$C$16),1,$C113))*(INDEX(_xlfn.ANCHORARRAY(Sintesi!$C$15),1,$C113)&lt;0)+($E113&gt;=LOOKUP(2,1/($E:$E&lt;&gt;""),$E:$E))*($E113&lt;=INDEX($E:$E,MATCH(TRUE,INDEX((ISNUMBER($E:$E)),0),0)))*($E113&gt;INDEX(_xlfn.ANCHORARRAY(Sintesi!$C$15),1,$C113))*($E113&lt;INDEX(_xlfn.ANCHORARRAY(Sintesi!$C$16),1,$C113))*(INDEX(_xlfn.ANCHORARRAY(Sintesi!$C$15),1,$C113)&gt;0),2,IF($E113=(INDEX(_xlfn.ANCHORARRAY(Sintesi!$C$16),1,$C113)),3,4)))),0)),IF(ISNUMBER($E112),IF($C113&gt;0,IF(($E113=INDEX(_xlfn.ANCHORARRAY(Sintesi!$C$14),1,$C113))*(INDEX(_xlfn.ANCHORARRAY(Sintesi!$C$15),1,$C113)&gt;0),0,IF(($E113=INDEX(_xlfn.ANCHORARRAY(Sintesi!$C$14),1,$C113))*(INDEX(_xlfn.ANCHORARRAY(Sintesi!$C$15),1,$C113)&lt;0)+($E113&gt;=$E112)*($E113&lt;=$E114)*($E113&gt;INDEX(_xlfn.ANCHORARRAY(Sintesi!$C$14),1,$C113))*($E113&lt;=INDEX(_xlfn.ANCHORARRAY(Sintesi!$C$15),1,$C113))*(INDEX(_xlfn.ANCHORARRAY(Sintesi!$C$15),1,$C113)&gt;0),1,IF(($E113&gt;=$E112)*($E113&lt;=$E114)*($E113&gt;INDEX(_xlfn.ANCHORARRAY(Sintesi!$C$14),1,$C113))*($E113&lt;INDEX(_xlfn.ANCHORARRAY(Sintesi!$C$16),1,$C113))*(INDEX(_xlfn.ANCHORARRAY(Sintesi!$C$15),1,$C113)&lt;0)+($E113&gt;=$E112)*($E113&lt;=$E114)*($E113&gt;INDEX(_xlfn.ANCHORARRAY(Sintesi!$C$15),1,$C113))*($E113&lt;INDEX(_xlfn.ANCHORARRAY(Sintesi!$C$16),1,$C113))*(INDEX(_xlfn.ANCHORARRAY(Sintesi!$C$15),1,$C113)&gt;0),2,IF($E113=(INDEX(_xlfn.ANCHORARRAY(Sintesi!$C$16),1,$C113)),3,4)))),0),IF($C113&gt;0,IF(($E113=INDEX(_xlfn.ANCHORARRAY(Sintesi!$C$14),1,$C113))*(INDEX(_xlfn.ANCHORARRAY(Sintesi!$C$15),1,$C113)&gt;0),0,IF(($E113=INDEX(_xlfn.ANCHORARRAY(Sintesi!$C$14),1,$C113))*(INDEX(_xlfn.ANCHORARRAY(Sintesi!$C$15),1,$C113)&lt;0)+($E113&gt;=LOOKUP(2,1/($E:$E&lt;&gt;""),$E:$E))*($E113&lt;=$E114)*($E113&gt;INDEX(_xlfn.ANCHORARRAY(Sintesi!$C$14),1,$C113))*($E113&lt;=INDEX(_xlfn.ANCHORARRAY(Sintesi!$C$15),1,$C113))*(INDEX(_xlfn.ANCHORARRAY(Sintesi!$C$15),1,$C113)&gt;0),1,IF(($E113&gt;=LOOKUP(2,1/($E:$E&lt;&gt;""),$E:$E))*($E113&lt;=$E114)*($E113&gt;INDEX(_xlfn.ANCHORARRAY(Sintesi!$C$14),1,$C113))*($E113&lt;INDEX(_xlfn.ANCHORARRAY(Sintesi!$C$16),1,$C113))*(INDEX(_xlfn.ANCHORARRAY(Sintesi!$C$15),1,$C113)&lt;0)+($E113&gt;=LOOKUP(2,1/($E:$E&lt;&gt;""),$E:$E))*($E113&lt;=$E114)*($E113&gt;INDEX(_xlfn.ANCHORARRAY(Sintesi!$C$15),1,$C113))*($E113&lt;INDEX(_xlfn.ANCHORARRAY(Sintesi!$C$16),1,$C113))*(INDEX(_xlfn.ANCHORARRAY(Sintesi!$C$15),1,$C113)&gt;0),2,IF($E113=(INDEX(_xlfn.ANCHORARRAY(Sintesi!$C$16),1,$C113)),3,4)))),0)))</f>
        <v>1</v>
      </c>
      <c r="E113" s="1">
        <f>'Paste cell here'!F113</f>
        <v>0.15</v>
      </c>
      <c r="F113" s="1">
        <f>'Paste cell here'!C113</f>
        <v>20.199999999999704</v>
      </c>
      <c r="G113" s="1">
        <f>'Paste cell here'!D113</f>
        <v>7.7399999999998927</v>
      </c>
      <c r="H113" s="1">
        <f>'Paste cell here'!E113</f>
        <v>3.3645928699249965</v>
      </c>
      <c r="I113" s="1">
        <f>'Paste cell here'!X113</f>
        <v>0.50468382657881239</v>
      </c>
      <c r="J113" s="1">
        <f>'Paste cell here'!Y113+'Paste cell here'!S113</f>
        <v>0.50468382657881239</v>
      </c>
      <c r="K113" s="1">
        <f t="shared" si="2"/>
        <v>0.14999848305273938</v>
      </c>
      <c r="L113" s="1">
        <f t="shared" si="3"/>
        <v>15.536465424496161</v>
      </c>
      <c r="M113" s="1">
        <f t="array" ref="M113">IF(AND(A113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113&gt;=_xlfn.ANCHORARRAY(Sintesi!$C$9))+(_xlfn.ANCHORARRAY(Sintesi!$C$9)&gt;_xlfn.ANCHORARRAY(Sintesi!$C$10))*(A113&lt;=_xlfn.ANCHORARRAY(Sintesi!$C$10))+(_xlfn.ANCHORARRAY(Sintesi!$C$9)&lt;_xlfn.ANCHORARRAY(Sintesi!$C$10))*(A113&gt;=_xlfn.ANCHORARRAY(Sintesi!$C$9))*(A113&lt;=_xlfn.ANCHORARRAY(Sintesi!$C$10)),0)),0),A113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114&gt;=_xlfn.ANCHORARRAY(Sintesi!$C$9))+(_xlfn.ANCHORARRAY(Sintesi!$C$9)&gt;_xlfn.ANCHORARRAY(Sintesi!$C$10))*(A114&lt;=_xlfn.ANCHORARRAY(Sintesi!$C$10))+(_xlfn.ANCHORARRAY(Sintesi!$C$9)&lt;_xlfn.ANCHORARRAY(Sintesi!$C$10))*(A114&gt;=_xlfn.ANCHORARRAY(Sintesi!$C$9))*(A114&lt;=_xlfn.ANCHORARRAY(Sintesi!$C$10)),0)),0)),IF(L113&lt;_xlfn.IFNA(INDEX(_xlfn.ANCHORARRAY(Sintesi!$C$17),1,MATCH(1,(_xlfn.ANCHORARRAY(Sintesi!$C$9)&gt;_xlfn.ANCHORARRAY(Sintesi!$C$10))*(A112&gt;=_xlfn.ANCHORARRAY(Sintesi!$C$9))+(_xlfn.ANCHORARRAY(Sintesi!$C$9)&gt;_xlfn.ANCHORARRAY(Sintesi!$C$10))*(A112&lt;=_xlfn.ANCHORARRAY(Sintesi!$C$10))+(_xlfn.ANCHORARRAY(Sintesi!$C$9)&lt;_xlfn.ANCHORARRAY(Sintesi!$C$10))*(A112&gt;=_xlfn.ANCHORARRAY(Sintesi!$C$9))*(A112&lt;=_xlfn.ANCHORARRAY(Sintesi!$C$10)),0)),0),1,IF(L113&gt;=_xlfn.IFNA(INDEX(_xlfn.ANCHORARRAY(Sintesi!$C$18),1,MATCH(1,(_xlfn.ANCHORARRAY(Sintesi!$C$9)&gt;_xlfn.ANCHORARRAY(Sintesi!$C$10))*(A112&gt;=_xlfn.ANCHORARRAY(Sintesi!$C$9))+(_xlfn.ANCHORARRAY(Sintesi!$C$9)&gt;_xlfn.ANCHORARRAY(Sintesi!$C$10))*(A112&lt;=_xlfn.ANCHORARRAY(Sintesi!$C$10))+(_xlfn.ANCHORARRAY(Sintesi!$C$9)&lt;_xlfn.ANCHORARRAY(Sintesi!$C$10))*(A112&gt;=_xlfn.ANCHORARRAY(Sintesi!$C$9))*(A112&lt;=_xlfn.ANCHORARRAY(Sintesi!$C$10)),0)),0),0,1-(L113-_xlfn.IFNA(INDEX(_xlfn.ANCHORARRAY(Sintesi!$C$17),1,MATCH(1,(_xlfn.ANCHORARRAY(Sintesi!$C$9)&gt;_xlfn.ANCHORARRAY(Sintesi!$C$10))*(A112&gt;=_xlfn.ANCHORARRAY(Sintesi!$C$9))+(_xlfn.ANCHORARRAY(Sintesi!$C$9)&gt;_xlfn.ANCHORARRAY(Sintesi!$C$10))*(A112&lt;=_xlfn.ANCHORARRAY(Sintesi!$C$10))+(_xlfn.ANCHORARRAY(Sintesi!$C$9)&lt;_xlfn.ANCHORARRAY(Sintesi!$C$10))*(A112&gt;=_xlfn.ANCHORARRAY(Sintesi!$C$9))*(A112&lt;=_xlfn.ANCHORARRAY(Sintesi!$C$10)),0)),0))/(_xlfn.IFNA(INDEX(_xlfn.ANCHORARRAY(Sintesi!$C$18),1,MATCH(1,(_xlfn.ANCHORARRAY(Sintesi!$C$9)&gt;_xlfn.ANCHORARRAY(Sintesi!$C$10))*(A112&gt;=_xlfn.ANCHORARRAY(Sintesi!$C$9))+(_xlfn.ANCHORARRAY(Sintesi!$C$9)&gt;_xlfn.ANCHORARRAY(Sintesi!$C$10))*(A112&lt;=_xlfn.ANCHORARRAY(Sintesi!$C$10))+(_xlfn.ANCHORARRAY(Sintesi!$C$9)&lt;_xlfn.ANCHORARRAY(Sintesi!$C$10))*(A112&gt;=_xlfn.ANCHORARRAY(Sintesi!$C$9))*(A112&lt;=_xlfn.ANCHORARRAY(Sintesi!$C$10)),0)),0)-_xlfn.IFNA(INDEX(_xlfn.ANCHORARRAY(Sintesi!$C$17),1,MATCH(1,(_xlfn.ANCHORARRAY(Sintesi!$C$9)&gt;_xlfn.ANCHORARRAY(Sintesi!$C$10))*(A112&gt;=_xlfn.ANCHORARRAY(Sintesi!$C$9))+(_xlfn.ANCHORARRAY(Sintesi!$C$9)&gt;_xlfn.ANCHORARRAY(Sintesi!$C$10))*(A112&lt;=_xlfn.ANCHORARRAY(Sintesi!$C$10))+(_xlfn.ANCHORARRAY(Sintesi!$C$9)&lt;_xlfn.ANCHORARRAY(Sintesi!$C$10))*(A112&gt;=_xlfn.ANCHORARRAY(Sintesi!$C$9))*(A112&lt;=_xlfn.ANCHORARRAY(Sintesi!$C$10)),0)),0)))),0)</f>
        <v>0</v>
      </c>
    </row>
    <row r="114" spans="1:13">
      <c r="A114" s="1">
        <f>'Paste cell here'!A114</f>
        <v>113</v>
      </c>
      <c r="B114" s="2">
        <f>DATE(Sintesi!$C$4-1,12,31)+A114</f>
        <v>44309</v>
      </c>
      <c r="C114" s="34">
        <f t="array" ref="C114">_xlfn.IFNA(MATCH(1,((_xlfn.ANCHORARRAY(Sintesi!$C$9)&gt;_xlfn.ANCHORARRAY(Sintesi!$C$10))*(A114&gt;=_xlfn.ANCHORARRAY(Sintesi!$C$9))+(_xlfn.ANCHORARRAY(Sintesi!$C$9)&gt;_xlfn.ANCHORARRAY(Sintesi!$C$10))*(A114&lt;=_xlfn.ANCHORARRAY(Sintesi!$C$10))+(_xlfn.ANCHORARRAY(Sintesi!$C$9)&lt;_xlfn.ANCHORARRAY(Sintesi!$C$10))*(A114&gt;=_xlfn.ANCHORARRAY(Sintesi!$C$9))*(A114&lt;=_xlfn.ANCHORARRAY(Sintesi!$C$10)))*(_xlfn.ANCHORARRAY(Sintesi!$C$15)&gt;=0)+(_xlfn.ANCHORARRAY(Sintesi!$C$15)&lt;0),0),0)</f>
        <v>1</v>
      </c>
      <c r="D114" s="1">
        <f t="array" ref="D114">IF(ISBLANK($E115),IF(ISNUMBER($E113),IF($C114&gt;0,IF(($E114=INDEX(_xlfn.ANCHORARRAY(Sintesi!$C$14),1,$C114))*(INDEX(_xlfn.ANCHORARRAY(Sintesi!$C$15),1,$C114)&gt;0),0,IF(($E114=INDEX(_xlfn.ANCHORARRAY(Sintesi!$C$14),1,$C114))*(INDEX(_xlfn.ANCHORARRAY(Sintesi!$C$15),1,$C114)&lt;0)+($E114&gt;=$E113)*($E114&lt;=INDEX($E:$E,MATCH(TRUE,INDEX((ISNUMBER($E:$E)),0),0)))*($E114&gt;INDEX(_xlfn.ANCHORARRAY(Sintesi!$C$14),1,$C114))*($E114&lt;=INDEX(_xlfn.ANCHORARRAY(Sintesi!$C$15),1,$C114))*(INDEX(_xlfn.ANCHORARRAY(Sintesi!$C$15),1,$C114)&gt;0),1,IF(($E114&gt;=$E113)*($E114&lt;=INDEX($E:$E,MATCH(TRUE,INDEX((ISNUMBER($E:$E)),0),0)))*($E114&gt;INDEX(_xlfn.ANCHORARRAY(Sintesi!$C$14),1,$C114))*($E114&lt;INDEX(_xlfn.ANCHORARRAY(Sintesi!$C$16),1,$C114))*(INDEX(_xlfn.ANCHORARRAY(Sintesi!$C$15),1,$C114)&lt;0)+($E114&gt;=$E113)*($E114&lt;=INDEX($E:$E,MATCH(TRUE,INDEX((ISNUMBER($E:$E)),0),0)))*($E114&gt;INDEX(_xlfn.ANCHORARRAY(Sintesi!$C$15),1,$C114))*($E114&lt;INDEX(_xlfn.ANCHORARRAY(Sintesi!$C$16),1,$C114))*(INDEX(_xlfn.ANCHORARRAY(Sintesi!$C$15),1,$C114)&gt;0),2,IF($E114=(INDEX(_xlfn.ANCHORARRAY(Sintesi!$C$16),1,$C114)),3,4)))),0),IF($C114&gt;0,IF(($E114=INDEX(_xlfn.ANCHORARRAY(Sintesi!$C$14),1,$C114))*(INDEX(_xlfn.ANCHORARRAY(Sintesi!$C$15),1,$C114)&gt;0),0,IF(($E114=INDEX(_xlfn.ANCHORARRAY(Sintesi!$C$14),1,$C114))*(INDEX(_xlfn.ANCHORARRAY(Sintesi!$C$15),1,$C114)&lt;0)+($E114&gt;=LOOKUP(2,1/($E:$E&lt;&gt;""),$E:$E))*($E114&lt;=INDEX($E:$E,MATCH(TRUE,INDEX((ISNUMBER($E:$E)),0),0)))*($E114&gt;INDEX(_xlfn.ANCHORARRAY(Sintesi!$C$14),1,$C114))*($E114&lt;=INDEX(_xlfn.ANCHORARRAY(Sintesi!$C$15),1,$C114))*(INDEX(_xlfn.ANCHORARRAY(Sintesi!$C$15),1,$C114)&gt;0),1,IF(($E114&gt;=LOOKUP(2,1/($E:$E&lt;&gt;""),$E:$E))*($E114&lt;=INDEX($E:$E,MATCH(TRUE,INDEX((ISNUMBER($E:$E)),0),0)))*($E114&gt;INDEX(_xlfn.ANCHORARRAY(Sintesi!$C$14),1,$C114))*($E114&lt;INDEX(_xlfn.ANCHORARRAY(Sintesi!$C$16),1,$C114))*(INDEX(_xlfn.ANCHORARRAY(Sintesi!$C$15),1,$C114)&lt;0)+($E114&gt;=LOOKUP(2,1/($E:$E&lt;&gt;""),$E:$E))*($E114&lt;=INDEX($E:$E,MATCH(TRUE,INDEX((ISNUMBER($E:$E)),0),0)))*($E114&gt;INDEX(_xlfn.ANCHORARRAY(Sintesi!$C$15),1,$C114))*($E114&lt;INDEX(_xlfn.ANCHORARRAY(Sintesi!$C$16),1,$C114))*(INDEX(_xlfn.ANCHORARRAY(Sintesi!$C$15),1,$C114)&gt;0),2,IF($E114=(INDEX(_xlfn.ANCHORARRAY(Sintesi!$C$16),1,$C114)),3,4)))),0)),IF(ISNUMBER($E113),IF($C114&gt;0,IF(($E114=INDEX(_xlfn.ANCHORARRAY(Sintesi!$C$14),1,$C114))*(INDEX(_xlfn.ANCHORARRAY(Sintesi!$C$15),1,$C114)&gt;0),0,IF(($E114=INDEX(_xlfn.ANCHORARRAY(Sintesi!$C$14),1,$C114))*(INDEX(_xlfn.ANCHORARRAY(Sintesi!$C$15),1,$C114)&lt;0)+($E114&gt;=$E113)*($E114&lt;=$E115)*($E114&gt;INDEX(_xlfn.ANCHORARRAY(Sintesi!$C$14),1,$C114))*($E114&lt;=INDEX(_xlfn.ANCHORARRAY(Sintesi!$C$15),1,$C114))*(INDEX(_xlfn.ANCHORARRAY(Sintesi!$C$15),1,$C114)&gt;0),1,IF(($E114&gt;=$E113)*($E114&lt;=$E115)*($E114&gt;INDEX(_xlfn.ANCHORARRAY(Sintesi!$C$14),1,$C114))*($E114&lt;INDEX(_xlfn.ANCHORARRAY(Sintesi!$C$16),1,$C114))*(INDEX(_xlfn.ANCHORARRAY(Sintesi!$C$15),1,$C114)&lt;0)+($E114&gt;=$E113)*($E114&lt;=$E115)*($E114&gt;INDEX(_xlfn.ANCHORARRAY(Sintesi!$C$15),1,$C114))*($E114&lt;INDEX(_xlfn.ANCHORARRAY(Sintesi!$C$16),1,$C114))*(INDEX(_xlfn.ANCHORARRAY(Sintesi!$C$15),1,$C114)&gt;0),2,IF($E114=(INDEX(_xlfn.ANCHORARRAY(Sintesi!$C$16),1,$C114)),3,4)))),0),IF($C114&gt;0,IF(($E114=INDEX(_xlfn.ANCHORARRAY(Sintesi!$C$14),1,$C114))*(INDEX(_xlfn.ANCHORARRAY(Sintesi!$C$15),1,$C114)&gt;0),0,IF(($E114=INDEX(_xlfn.ANCHORARRAY(Sintesi!$C$14),1,$C114))*(INDEX(_xlfn.ANCHORARRAY(Sintesi!$C$15),1,$C114)&lt;0)+($E114&gt;=LOOKUP(2,1/($E:$E&lt;&gt;""),$E:$E))*($E114&lt;=$E115)*($E114&gt;INDEX(_xlfn.ANCHORARRAY(Sintesi!$C$14),1,$C114))*($E114&lt;=INDEX(_xlfn.ANCHORARRAY(Sintesi!$C$15),1,$C114))*(INDEX(_xlfn.ANCHORARRAY(Sintesi!$C$15),1,$C114)&gt;0),1,IF(($E114&gt;=LOOKUP(2,1/($E:$E&lt;&gt;""),$E:$E))*($E114&lt;=$E115)*($E114&gt;INDEX(_xlfn.ANCHORARRAY(Sintesi!$C$14),1,$C114))*($E114&lt;INDEX(_xlfn.ANCHORARRAY(Sintesi!$C$16),1,$C114))*(INDEX(_xlfn.ANCHORARRAY(Sintesi!$C$15),1,$C114)&lt;0)+($E114&gt;=LOOKUP(2,1/($E:$E&lt;&gt;""),$E:$E))*($E114&lt;=$E115)*($E114&gt;INDEX(_xlfn.ANCHORARRAY(Sintesi!$C$15),1,$C114))*($E114&lt;INDEX(_xlfn.ANCHORARRAY(Sintesi!$C$16),1,$C114))*(INDEX(_xlfn.ANCHORARRAY(Sintesi!$C$15),1,$C114)&gt;0),2,IF($E114=(INDEX(_xlfn.ANCHORARRAY(Sintesi!$C$16),1,$C114)),3,4)))),0)))</f>
        <v>1</v>
      </c>
      <c r="E114" s="1">
        <f>'Paste cell here'!F114</f>
        <v>0.15</v>
      </c>
      <c r="F114" s="1">
        <f>'Paste cell here'!C114</f>
        <v>21.67999999999968</v>
      </c>
      <c r="G114" s="1">
        <f>'Paste cell here'!D114</f>
        <v>8.5199999999998965</v>
      </c>
      <c r="H114" s="1">
        <f>'Paste cell here'!E114</f>
        <v>3.5583191212471683</v>
      </c>
      <c r="I114" s="1">
        <f>'Paste cell here'!X114</f>
        <v>0.53374204926447755</v>
      </c>
      <c r="J114" s="1">
        <f>'Paste cell here'!Y114+'Paste cell here'!S114</f>
        <v>0.53374204926447755</v>
      </c>
      <c r="K114" s="1">
        <f t="shared" si="2"/>
        <v>0.14999836469906172</v>
      </c>
      <c r="L114" s="1">
        <f t="shared" si="3"/>
        <v>16.754469100029656</v>
      </c>
      <c r="M114" s="1">
        <f t="array" ref="M114">IF(AND(A114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114&gt;=_xlfn.ANCHORARRAY(Sintesi!$C$9))+(_xlfn.ANCHORARRAY(Sintesi!$C$9)&gt;_xlfn.ANCHORARRAY(Sintesi!$C$10))*(A114&lt;=_xlfn.ANCHORARRAY(Sintesi!$C$10))+(_xlfn.ANCHORARRAY(Sintesi!$C$9)&lt;_xlfn.ANCHORARRAY(Sintesi!$C$10))*(A114&gt;=_xlfn.ANCHORARRAY(Sintesi!$C$9))*(A114&lt;=_xlfn.ANCHORARRAY(Sintesi!$C$10)),0)),0),A114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115&gt;=_xlfn.ANCHORARRAY(Sintesi!$C$9))+(_xlfn.ANCHORARRAY(Sintesi!$C$9)&gt;_xlfn.ANCHORARRAY(Sintesi!$C$10))*(A115&lt;=_xlfn.ANCHORARRAY(Sintesi!$C$10))+(_xlfn.ANCHORARRAY(Sintesi!$C$9)&lt;_xlfn.ANCHORARRAY(Sintesi!$C$10))*(A115&gt;=_xlfn.ANCHORARRAY(Sintesi!$C$9))*(A115&lt;=_xlfn.ANCHORARRAY(Sintesi!$C$10)),0)),0)),IF(L114&lt;_xlfn.IFNA(INDEX(_xlfn.ANCHORARRAY(Sintesi!$C$17),1,MATCH(1,(_xlfn.ANCHORARRAY(Sintesi!$C$9)&gt;_xlfn.ANCHORARRAY(Sintesi!$C$10))*(A113&gt;=_xlfn.ANCHORARRAY(Sintesi!$C$9))+(_xlfn.ANCHORARRAY(Sintesi!$C$9)&gt;_xlfn.ANCHORARRAY(Sintesi!$C$10))*(A113&lt;=_xlfn.ANCHORARRAY(Sintesi!$C$10))+(_xlfn.ANCHORARRAY(Sintesi!$C$9)&lt;_xlfn.ANCHORARRAY(Sintesi!$C$10))*(A113&gt;=_xlfn.ANCHORARRAY(Sintesi!$C$9))*(A113&lt;=_xlfn.ANCHORARRAY(Sintesi!$C$10)),0)),0),1,IF(L114&gt;=_xlfn.IFNA(INDEX(_xlfn.ANCHORARRAY(Sintesi!$C$18),1,MATCH(1,(_xlfn.ANCHORARRAY(Sintesi!$C$9)&gt;_xlfn.ANCHORARRAY(Sintesi!$C$10))*(A113&gt;=_xlfn.ANCHORARRAY(Sintesi!$C$9))+(_xlfn.ANCHORARRAY(Sintesi!$C$9)&gt;_xlfn.ANCHORARRAY(Sintesi!$C$10))*(A113&lt;=_xlfn.ANCHORARRAY(Sintesi!$C$10))+(_xlfn.ANCHORARRAY(Sintesi!$C$9)&lt;_xlfn.ANCHORARRAY(Sintesi!$C$10))*(A113&gt;=_xlfn.ANCHORARRAY(Sintesi!$C$9))*(A113&lt;=_xlfn.ANCHORARRAY(Sintesi!$C$10)),0)),0),0,1-(L114-_xlfn.IFNA(INDEX(_xlfn.ANCHORARRAY(Sintesi!$C$17),1,MATCH(1,(_xlfn.ANCHORARRAY(Sintesi!$C$9)&gt;_xlfn.ANCHORARRAY(Sintesi!$C$10))*(A113&gt;=_xlfn.ANCHORARRAY(Sintesi!$C$9))+(_xlfn.ANCHORARRAY(Sintesi!$C$9)&gt;_xlfn.ANCHORARRAY(Sintesi!$C$10))*(A113&lt;=_xlfn.ANCHORARRAY(Sintesi!$C$10))+(_xlfn.ANCHORARRAY(Sintesi!$C$9)&lt;_xlfn.ANCHORARRAY(Sintesi!$C$10))*(A113&gt;=_xlfn.ANCHORARRAY(Sintesi!$C$9))*(A113&lt;=_xlfn.ANCHORARRAY(Sintesi!$C$10)),0)),0))/(_xlfn.IFNA(INDEX(_xlfn.ANCHORARRAY(Sintesi!$C$18),1,MATCH(1,(_xlfn.ANCHORARRAY(Sintesi!$C$9)&gt;_xlfn.ANCHORARRAY(Sintesi!$C$10))*(A113&gt;=_xlfn.ANCHORARRAY(Sintesi!$C$9))+(_xlfn.ANCHORARRAY(Sintesi!$C$9)&gt;_xlfn.ANCHORARRAY(Sintesi!$C$10))*(A113&lt;=_xlfn.ANCHORARRAY(Sintesi!$C$10))+(_xlfn.ANCHORARRAY(Sintesi!$C$9)&lt;_xlfn.ANCHORARRAY(Sintesi!$C$10))*(A113&gt;=_xlfn.ANCHORARRAY(Sintesi!$C$9))*(A113&lt;=_xlfn.ANCHORARRAY(Sintesi!$C$10)),0)),0)-_xlfn.IFNA(INDEX(_xlfn.ANCHORARRAY(Sintesi!$C$17),1,MATCH(1,(_xlfn.ANCHORARRAY(Sintesi!$C$9)&gt;_xlfn.ANCHORARRAY(Sintesi!$C$10))*(A113&gt;=_xlfn.ANCHORARRAY(Sintesi!$C$9))+(_xlfn.ANCHORARRAY(Sintesi!$C$9)&gt;_xlfn.ANCHORARRAY(Sintesi!$C$10))*(A113&lt;=_xlfn.ANCHORARRAY(Sintesi!$C$10))+(_xlfn.ANCHORARRAY(Sintesi!$C$9)&lt;_xlfn.ANCHORARRAY(Sintesi!$C$10))*(A113&gt;=_xlfn.ANCHORARRAY(Sintesi!$C$9))*(A113&lt;=_xlfn.ANCHORARRAY(Sintesi!$C$10)),0)),0)))),0)</f>
        <v>0</v>
      </c>
    </row>
    <row r="115" spans="1:13">
      <c r="A115" s="1">
        <f>'Paste cell here'!A115</f>
        <v>114</v>
      </c>
      <c r="B115" s="2">
        <f>DATE(Sintesi!$C$4-1,12,31)+A115</f>
        <v>44310</v>
      </c>
      <c r="C115" s="34">
        <f t="array" ref="C115">_xlfn.IFNA(MATCH(1,((_xlfn.ANCHORARRAY(Sintesi!$C$9)&gt;_xlfn.ANCHORARRAY(Sintesi!$C$10))*(A115&gt;=_xlfn.ANCHORARRAY(Sintesi!$C$9))+(_xlfn.ANCHORARRAY(Sintesi!$C$9)&gt;_xlfn.ANCHORARRAY(Sintesi!$C$10))*(A115&lt;=_xlfn.ANCHORARRAY(Sintesi!$C$10))+(_xlfn.ANCHORARRAY(Sintesi!$C$9)&lt;_xlfn.ANCHORARRAY(Sintesi!$C$10))*(A115&gt;=_xlfn.ANCHORARRAY(Sintesi!$C$9))*(A115&lt;=_xlfn.ANCHORARRAY(Sintesi!$C$10)))*(_xlfn.ANCHORARRAY(Sintesi!$C$15)&gt;=0)+(_xlfn.ANCHORARRAY(Sintesi!$C$15)&lt;0),0),0)</f>
        <v>1</v>
      </c>
      <c r="D115" s="1">
        <f t="array" ref="D115">IF(ISBLANK($E116),IF(ISNUMBER($E114),IF($C115&gt;0,IF(($E115=INDEX(_xlfn.ANCHORARRAY(Sintesi!$C$14),1,$C115))*(INDEX(_xlfn.ANCHORARRAY(Sintesi!$C$15),1,$C115)&gt;0),0,IF(($E115=INDEX(_xlfn.ANCHORARRAY(Sintesi!$C$14),1,$C115))*(INDEX(_xlfn.ANCHORARRAY(Sintesi!$C$15),1,$C115)&lt;0)+($E115&gt;=$E114)*($E115&lt;=INDEX($E:$E,MATCH(TRUE,INDEX((ISNUMBER($E:$E)),0),0)))*($E115&gt;INDEX(_xlfn.ANCHORARRAY(Sintesi!$C$14),1,$C115))*($E115&lt;=INDEX(_xlfn.ANCHORARRAY(Sintesi!$C$15),1,$C115))*(INDEX(_xlfn.ANCHORARRAY(Sintesi!$C$15),1,$C115)&gt;0),1,IF(($E115&gt;=$E114)*($E115&lt;=INDEX($E:$E,MATCH(TRUE,INDEX((ISNUMBER($E:$E)),0),0)))*($E115&gt;INDEX(_xlfn.ANCHORARRAY(Sintesi!$C$14),1,$C115))*($E115&lt;INDEX(_xlfn.ANCHORARRAY(Sintesi!$C$16),1,$C115))*(INDEX(_xlfn.ANCHORARRAY(Sintesi!$C$15),1,$C115)&lt;0)+($E115&gt;=$E114)*($E115&lt;=INDEX($E:$E,MATCH(TRUE,INDEX((ISNUMBER($E:$E)),0),0)))*($E115&gt;INDEX(_xlfn.ANCHORARRAY(Sintesi!$C$15),1,$C115))*($E115&lt;INDEX(_xlfn.ANCHORARRAY(Sintesi!$C$16),1,$C115))*(INDEX(_xlfn.ANCHORARRAY(Sintesi!$C$15),1,$C115)&gt;0),2,IF($E115=(INDEX(_xlfn.ANCHORARRAY(Sintesi!$C$16),1,$C115)),3,4)))),0),IF($C115&gt;0,IF(($E115=INDEX(_xlfn.ANCHORARRAY(Sintesi!$C$14),1,$C115))*(INDEX(_xlfn.ANCHORARRAY(Sintesi!$C$15),1,$C115)&gt;0),0,IF(($E115=INDEX(_xlfn.ANCHORARRAY(Sintesi!$C$14),1,$C115))*(INDEX(_xlfn.ANCHORARRAY(Sintesi!$C$15),1,$C115)&lt;0)+($E115&gt;=LOOKUP(2,1/($E:$E&lt;&gt;""),$E:$E))*($E115&lt;=INDEX($E:$E,MATCH(TRUE,INDEX((ISNUMBER($E:$E)),0),0)))*($E115&gt;INDEX(_xlfn.ANCHORARRAY(Sintesi!$C$14),1,$C115))*($E115&lt;=INDEX(_xlfn.ANCHORARRAY(Sintesi!$C$15),1,$C115))*(INDEX(_xlfn.ANCHORARRAY(Sintesi!$C$15),1,$C115)&gt;0),1,IF(($E115&gt;=LOOKUP(2,1/($E:$E&lt;&gt;""),$E:$E))*($E115&lt;=INDEX($E:$E,MATCH(TRUE,INDEX((ISNUMBER($E:$E)),0),0)))*($E115&gt;INDEX(_xlfn.ANCHORARRAY(Sintesi!$C$14),1,$C115))*($E115&lt;INDEX(_xlfn.ANCHORARRAY(Sintesi!$C$16),1,$C115))*(INDEX(_xlfn.ANCHORARRAY(Sintesi!$C$15),1,$C115)&lt;0)+($E115&gt;=LOOKUP(2,1/($E:$E&lt;&gt;""),$E:$E))*($E115&lt;=INDEX($E:$E,MATCH(TRUE,INDEX((ISNUMBER($E:$E)),0),0)))*($E115&gt;INDEX(_xlfn.ANCHORARRAY(Sintesi!$C$15),1,$C115))*($E115&lt;INDEX(_xlfn.ANCHORARRAY(Sintesi!$C$16),1,$C115))*(INDEX(_xlfn.ANCHORARRAY(Sintesi!$C$15),1,$C115)&gt;0),2,IF($E115=(INDEX(_xlfn.ANCHORARRAY(Sintesi!$C$16),1,$C115)),3,4)))),0)),IF(ISNUMBER($E114),IF($C115&gt;0,IF(($E115=INDEX(_xlfn.ANCHORARRAY(Sintesi!$C$14),1,$C115))*(INDEX(_xlfn.ANCHORARRAY(Sintesi!$C$15),1,$C115)&gt;0),0,IF(($E115=INDEX(_xlfn.ANCHORARRAY(Sintesi!$C$14),1,$C115))*(INDEX(_xlfn.ANCHORARRAY(Sintesi!$C$15),1,$C115)&lt;0)+($E115&gt;=$E114)*($E115&lt;=$E116)*($E115&gt;INDEX(_xlfn.ANCHORARRAY(Sintesi!$C$14),1,$C115))*($E115&lt;=INDEX(_xlfn.ANCHORARRAY(Sintesi!$C$15),1,$C115))*(INDEX(_xlfn.ANCHORARRAY(Sintesi!$C$15),1,$C115)&gt;0),1,IF(($E115&gt;=$E114)*($E115&lt;=$E116)*($E115&gt;INDEX(_xlfn.ANCHORARRAY(Sintesi!$C$14),1,$C115))*($E115&lt;INDEX(_xlfn.ANCHORARRAY(Sintesi!$C$16),1,$C115))*(INDEX(_xlfn.ANCHORARRAY(Sintesi!$C$15),1,$C115)&lt;0)+($E115&gt;=$E114)*($E115&lt;=$E116)*($E115&gt;INDEX(_xlfn.ANCHORARRAY(Sintesi!$C$15),1,$C115))*($E115&lt;INDEX(_xlfn.ANCHORARRAY(Sintesi!$C$16),1,$C115))*(INDEX(_xlfn.ANCHORARRAY(Sintesi!$C$15),1,$C115)&gt;0),2,IF($E115=(INDEX(_xlfn.ANCHORARRAY(Sintesi!$C$16),1,$C115)),3,4)))),0),IF($C115&gt;0,IF(($E115=INDEX(_xlfn.ANCHORARRAY(Sintesi!$C$14),1,$C115))*(INDEX(_xlfn.ANCHORARRAY(Sintesi!$C$15),1,$C115)&gt;0),0,IF(($E115=INDEX(_xlfn.ANCHORARRAY(Sintesi!$C$14),1,$C115))*(INDEX(_xlfn.ANCHORARRAY(Sintesi!$C$15),1,$C115)&lt;0)+($E115&gt;=LOOKUP(2,1/($E:$E&lt;&gt;""),$E:$E))*($E115&lt;=$E116)*($E115&gt;INDEX(_xlfn.ANCHORARRAY(Sintesi!$C$14),1,$C115))*($E115&lt;=INDEX(_xlfn.ANCHORARRAY(Sintesi!$C$15),1,$C115))*(INDEX(_xlfn.ANCHORARRAY(Sintesi!$C$15),1,$C115)&gt;0),1,IF(($E115&gt;=LOOKUP(2,1/($E:$E&lt;&gt;""),$E:$E))*($E115&lt;=$E116)*($E115&gt;INDEX(_xlfn.ANCHORARRAY(Sintesi!$C$14),1,$C115))*($E115&lt;INDEX(_xlfn.ANCHORARRAY(Sintesi!$C$16),1,$C115))*(INDEX(_xlfn.ANCHORARRAY(Sintesi!$C$15),1,$C115)&lt;0)+($E115&gt;=LOOKUP(2,1/($E:$E&lt;&gt;""),$E:$E))*($E115&lt;=$E116)*($E115&gt;INDEX(_xlfn.ANCHORARRAY(Sintesi!$C$15),1,$C115))*($E115&lt;INDEX(_xlfn.ANCHORARRAY(Sintesi!$C$16),1,$C115))*(INDEX(_xlfn.ANCHORARRAY(Sintesi!$C$15),1,$C115)&gt;0),2,IF($E115=(INDEX(_xlfn.ANCHORARRAY(Sintesi!$C$16),1,$C115)),3,4)))),0)))</f>
        <v>1</v>
      </c>
      <c r="E115" s="1">
        <f>'Paste cell here'!F115</f>
        <v>0.15</v>
      </c>
      <c r="F115" s="1">
        <f>'Paste cell here'!C115</f>
        <v>23.339999999999662</v>
      </c>
      <c r="G115" s="1">
        <f>'Paste cell here'!D115</f>
        <v>9.4199999999998774</v>
      </c>
      <c r="H115" s="1">
        <f>'Paste cell here'!E115</f>
        <v>3.9204677025066124</v>
      </c>
      <c r="I115" s="1">
        <f>'Paste cell here'!X115</f>
        <v>0.58806325289268113</v>
      </c>
      <c r="J115" s="1">
        <f>'Paste cell here'!Y115+'Paste cell here'!S115</f>
        <v>0.58806325289268113</v>
      </c>
      <c r="K115" s="1">
        <f t="shared" si="2"/>
        <v>0.14999823937248449</v>
      </c>
      <c r="L115" s="1">
        <f t="shared" si="3"/>
        <v>18.130015947751726</v>
      </c>
      <c r="M115" s="1">
        <f t="array" ref="M115">IF(AND(A115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115&gt;=_xlfn.ANCHORARRAY(Sintesi!$C$9))+(_xlfn.ANCHORARRAY(Sintesi!$C$9)&gt;_xlfn.ANCHORARRAY(Sintesi!$C$10))*(A115&lt;=_xlfn.ANCHORARRAY(Sintesi!$C$10))+(_xlfn.ANCHORARRAY(Sintesi!$C$9)&lt;_xlfn.ANCHORARRAY(Sintesi!$C$10))*(A115&gt;=_xlfn.ANCHORARRAY(Sintesi!$C$9))*(A115&lt;=_xlfn.ANCHORARRAY(Sintesi!$C$10)),0)),0),A115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116&gt;=_xlfn.ANCHORARRAY(Sintesi!$C$9))+(_xlfn.ANCHORARRAY(Sintesi!$C$9)&gt;_xlfn.ANCHORARRAY(Sintesi!$C$10))*(A116&lt;=_xlfn.ANCHORARRAY(Sintesi!$C$10))+(_xlfn.ANCHORARRAY(Sintesi!$C$9)&lt;_xlfn.ANCHORARRAY(Sintesi!$C$10))*(A116&gt;=_xlfn.ANCHORARRAY(Sintesi!$C$9))*(A116&lt;=_xlfn.ANCHORARRAY(Sintesi!$C$10)),0)),0)),IF(L115&lt;_xlfn.IFNA(INDEX(_xlfn.ANCHORARRAY(Sintesi!$C$17),1,MATCH(1,(_xlfn.ANCHORARRAY(Sintesi!$C$9)&gt;_xlfn.ANCHORARRAY(Sintesi!$C$10))*(A114&gt;=_xlfn.ANCHORARRAY(Sintesi!$C$9))+(_xlfn.ANCHORARRAY(Sintesi!$C$9)&gt;_xlfn.ANCHORARRAY(Sintesi!$C$10))*(A114&lt;=_xlfn.ANCHORARRAY(Sintesi!$C$10))+(_xlfn.ANCHORARRAY(Sintesi!$C$9)&lt;_xlfn.ANCHORARRAY(Sintesi!$C$10))*(A114&gt;=_xlfn.ANCHORARRAY(Sintesi!$C$9))*(A114&lt;=_xlfn.ANCHORARRAY(Sintesi!$C$10)),0)),0),1,IF(L115&gt;=_xlfn.IFNA(INDEX(_xlfn.ANCHORARRAY(Sintesi!$C$18),1,MATCH(1,(_xlfn.ANCHORARRAY(Sintesi!$C$9)&gt;_xlfn.ANCHORARRAY(Sintesi!$C$10))*(A114&gt;=_xlfn.ANCHORARRAY(Sintesi!$C$9))+(_xlfn.ANCHORARRAY(Sintesi!$C$9)&gt;_xlfn.ANCHORARRAY(Sintesi!$C$10))*(A114&lt;=_xlfn.ANCHORARRAY(Sintesi!$C$10))+(_xlfn.ANCHORARRAY(Sintesi!$C$9)&lt;_xlfn.ANCHORARRAY(Sintesi!$C$10))*(A114&gt;=_xlfn.ANCHORARRAY(Sintesi!$C$9))*(A114&lt;=_xlfn.ANCHORARRAY(Sintesi!$C$10)),0)),0),0,1-(L115-_xlfn.IFNA(INDEX(_xlfn.ANCHORARRAY(Sintesi!$C$17),1,MATCH(1,(_xlfn.ANCHORARRAY(Sintesi!$C$9)&gt;_xlfn.ANCHORARRAY(Sintesi!$C$10))*(A114&gt;=_xlfn.ANCHORARRAY(Sintesi!$C$9))+(_xlfn.ANCHORARRAY(Sintesi!$C$9)&gt;_xlfn.ANCHORARRAY(Sintesi!$C$10))*(A114&lt;=_xlfn.ANCHORARRAY(Sintesi!$C$10))+(_xlfn.ANCHORARRAY(Sintesi!$C$9)&lt;_xlfn.ANCHORARRAY(Sintesi!$C$10))*(A114&gt;=_xlfn.ANCHORARRAY(Sintesi!$C$9))*(A114&lt;=_xlfn.ANCHORARRAY(Sintesi!$C$10)),0)),0))/(_xlfn.IFNA(INDEX(_xlfn.ANCHORARRAY(Sintesi!$C$18),1,MATCH(1,(_xlfn.ANCHORARRAY(Sintesi!$C$9)&gt;_xlfn.ANCHORARRAY(Sintesi!$C$10))*(A114&gt;=_xlfn.ANCHORARRAY(Sintesi!$C$9))+(_xlfn.ANCHORARRAY(Sintesi!$C$9)&gt;_xlfn.ANCHORARRAY(Sintesi!$C$10))*(A114&lt;=_xlfn.ANCHORARRAY(Sintesi!$C$10))+(_xlfn.ANCHORARRAY(Sintesi!$C$9)&lt;_xlfn.ANCHORARRAY(Sintesi!$C$10))*(A114&gt;=_xlfn.ANCHORARRAY(Sintesi!$C$9))*(A114&lt;=_xlfn.ANCHORARRAY(Sintesi!$C$10)),0)),0)-_xlfn.IFNA(INDEX(_xlfn.ANCHORARRAY(Sintesi!$C$17),1,MATCH(1,(_xlfn.ANCHORARRAY(Sintesi!$C$9)&gt;_xlfn.ANCHORARRAY(Sintesi!$C$10))*(A114&gt;=_xlfn.ANCHORARRAY(Sintesi!$C$9))+(_xlfn.ANCHORARRAY(Sintesi!$C$9)&gt;_xlfn.ANCHORARRAY(Sintesi!$C$10))*(A114&lt;=_xlfn.ANCHORARRAY(Sintesi!$C$10))+(_xlfn.ANCHORARRAY(Sintesi!$C$9)&lt;_xlfn.ANCHORARRAY(Sintesi!$C$10))*(A114&gt;=_xlfn.ANCHORARRAY(Sintesi!$C$9))*(A114&lt;=_xlfn.ANCHORARRAY(Sintesi!$C$10)),0)),0)))),0)</f>
        <v>0</v>
      </c>
    </row>
    <row r="116" spans="1:13">
      <c r="A116" s="1">
        <f>'Paste cell here'!A116</f>
        <v>115</v>
      </c>
      <c r="B116" s="2">
        <f>DATE(Sintesi!$C$4-1,12,31)+A116</f>
        <v>44311</v>
      </c>
      <c r="C116" s="34">
        <f t="array" ref="C116">_xlfn.IFNA(MATCH(1,((_xlfn.ANCHORARRAY(Sintesi!$C$9)&gt;_xlfn.ANCHORARRAY(Sintesi!$C$10))*(A116&gt;=_xlfn.ANCHORARRAY(Sintesi!$C$9))+(_xlfn.ANCHORARRAY(Sintesi!$C$9)&gt;_xlfn.ANCHORARRAY(Sintesi!$C$10))*(A116&lt;=_xlfn.ANCHORARRAY(Sintesi!$C$10))+(_xlfn.ANCHORARRAY(Sintesi!$C$9)&lt;_xlfn.ANCHORARRAY(Sintesi!$C$10))*(A116&gt;=_xlfn.ANCHORARRAY(Sintesi!$C$9))*(A116&lt;=_xlfn.ANCHORARRAY(Sintesi!$C$10)))*(_xlfn.ANCHORARRAY(Sintesi!$C$15)&gt;=0)+(_xlfn.ANCHORARRAY(Sintesi!$C$15)&lt;0),0),0)</f>
        <v>1</v>
      </c>
      <c r="D116" s="1">
        <f t="array" ref="D116">IF(ISBLANK($E117),IF(ISNUMBER($E115),IF($C116&gt;0,IF(($E116=INDEX(_xlfn.ANCHORARRAY(Sintesi!$C$14),1,$C116))*(INDEX(_xlfn.ANCHORARRAY(Sintesi!$C$15),1,$C116)&gt;0),0,IF(($E116=INDEX(_xlfn.ANCHORARRAY(Sintesi!$C$14),1,$C116))*(INDEX(_xlfn.ANCHORARRAY(Sintesi!$C$15),1,$C116)&lt;0)+($E116&gt;=$E115)*($E116&lt;=INDEX($E:$E,MATCH(TRUE,INDEX((ISNUMBER($E:$E)),0),0)))*($E116&gt;INDEX(_xlfn.ANCHORARRAY(Sintesi!$C$14),1,$C116))*($E116&lt;=INDEX(_xlfn.ANCHORARRAY(Sintesi!$C$15),1,$C116))*(INDEX(_xlfn.ANCHORARRAY(Sintesi!$C$15),1,$C116)&gt;0),1,IF(($E116&gt;=$E115)*($E116&lt;=INDEX($E:$E,MATCH(TRUE,INDEX((ISNUMBER($E:$E)),0),0)))*($E116&gt;INDEX(_xlfn.ANCHORARRAY(Sintesi!$C$14),1,$C116))*($E116&lt;INDEX(_xlfn.ANCHORARRAY(Sintesi!$C$16),1,$C116))*(INDEX(_xlfn.ANCHORARRAY(Sintesi!$C$15),1,$C116)&lt;0)+($E116&gt;=$E115)*($E116&lt;=INDEX($E:$E,MATCH(TRUE,INDEX((ISNUMBER($E:$E)),0),0)))*($E116&gt;INDEX(_xlfn.ANCHORARRAY(Sintesi!$C$15),1,$C116))*($E116&lt;INDEX(_xlfn.ANCHORARRAY(Sintesi!$C$16),1,$C116))*(INDEX(_xlfn.ANCHORARRAY(Sintesi!$C$15),1,$C116)&gt;0),2,IF($E116=(INDEX(_xlfn.ANCHORARRAY(Sintesi!$C$16),1,$C116)),3,4)))),0),IF($C116&gt;0,IF(($E116=INDEX(_xlfn.ANCHORARRAY(Sintesi!$C$14),1,$C116))*(INDEX(_xlfn.ANCHORARRAY(Sintesi!$C$15),1,$C116)&gt;0),0,IF(($E116=INDEX(_xlfn.ANCHORARRAY(Sintesi!$C$14),1,$C116))*(INDEX(_xlfn.ANCHORARRAY(Sintesi!$C$15),1,$C116)&lt;0)+($E116&gt;=LOOKUP(2,1/($E:$E&lt;&gt;""),$E:$E))*($E116&lt;=INDEX($E:$E,MATCH(TRUE,INDEX((ISNUMBER($E:$E)),0),0)))*($E116&gt;INDEX(_xlfn.ANCHORARRAY(Sintesi!$C$14),1,$C116))*($E116&lt;=INDEX(_xlfn.ANCHORARRAY(Sintesi!$C$15),1,$C116))*(INDEX(_xlfn.ANCHORARRAY(Sintesi!$C$15),1,$C116)&gt;0),1,IF(($E116&gt;=LOOKUP(2,1/($E:$E&lt;&gt;""),$E:$E))*($E116&lt;=INDEX($E:$E,MATCH(TRUE,INDEX((ISNUMBER($E:$E)),0),0)))*($E116&gt;INDEX(_xlfn.ANCHORARRAY(Sintesi!$C$14),1,$C116))*($E116&lt;INDEX(_xlfn.ANCHORARRAY(Sintesi!$C$16),1,$C116))*(INDEX(_xlfn.ANCHORARRAY(Sintesi!$C$15),1,$C116)&lt;0)+($E116&gt;=LOOKUP(2,1/($E:$E&lt;&gt;""),$E:$E))*($E116&lt;=INDEX($E:$E,MATCH(TRUE,INDEX((ISNUMBER($E:$E)),0),0)))*($E116&gt;INDEX(_xlfn.ANCHORARRAY(Sintesi!$C$15),1,$C116))*($E116&lt;INDEX(_xlfn.ANCHORARRAY(Sintesi!$C$16),1,$C116))*(INDEX(_xlfn.ANCHORARRAY(Sintesi!$C$15),1,$C116)&gt;0),2,IF($E116=(INDEX(_xlfn.ANCHORARRAY(Sintesi!$C$16),1,$C116)),3,4)))),0)),IF(ISNUMBER($E115),IF($C116&gt;0,IF(($E116=INDEX(_xlfn.ANCHORARRAY(Sintesi!$C$14),1,$C116))*(INDEX(_xlfn.ANCHORARRAY(Sintesi!$C$15),1,$C116)&gt;0),0,IF(($E116=INDEX(_xlfn.ANCHORARRAY(Sintesi!$C$14),1,$C116))*(INDEX(_xlfn.ANCHORARRAY(Sintesi!$C$15),1,$C116)&lt;0)+($E116&gt;=$E115)*($E116&lt;=$E117)*($E116&gt;INDEX(_xlfn.ANCHORARRAY(Sintesi!$C$14),1,$C116))*($E116&lt;=INDEX(_xlfn.ANCHORARRAY(Sintesi!$C$15),1,$C116))*(INDEX(_xlfn.ANCHORARRAY(Sintesi!$C$15),1,$C116)&gt;0),1,IF(($E116&gt;=$E115)*($E116&lt;=$E117)*($E116&gt;INDEX(_xlfn.ANCHORARRAY(Sintesi!$C$14),1,$C116))*($E116&lt;INDEX(_xlfn.ANCHORARRAY(Sintesi!$C$16),1,$C116))*(INDEX(_xlfn.ANCHORARRAY(Sintesi!$C$15),1,$C116)&lt;0)+($E116&gt;=$E115)*($E116&lt;=$E117)*($E116&gt;INDEX(_xlfn.ANCHORARRAY(Sintesi!$C$15),1,$C116))*($E116&lt;INDEX(_xlfn.ANCHORARRAY(Sintesi!$C$16),1,$C116))*(INDEX(_xlfn.ANCHORARRAY(Sintesi!$C$15),1,$C116)&gt;0),2,IF($E116=(INDEX(_xlfn.ANCHORARRAY(Sintesi!$C$16),1,$C116)),3,4)))),0),IF($C116&gt;0,IF(($E116=INDEX(_xlfn.ANCHORARRAY(Sintesi!$C$14),1,$C116))*(INDEX(_xlfn.ANCHORARRAY(Sintesi!$C$15),1,$C116)&gt;0),0,IF(($E116=INDEX(_xlfn.ANCHORARRAY(Sintesi!$C$14),1,$C116))*(INDEX(_xlfn.ANCHORARRAY(Sintesi!$C$15),1,$C116)&lt;0)+($E116&gt;=LOOKUP(2,1/($E:$E&lt;&gt;""),$E:$E))*($E116&lt;=$E117)*($E116&gt;INDEX(_xlfn.ANCHORARRAY(Sintesi!$C$14),1,$C116))*($E116&lt;=INDEX(_xlfn.ANCHORARRAY(Sintesi!$C$15),1,$C116))*(INDEX(_xlfn.ANCHORARRAY(Sintesi!$C$15),1,$C116)&gt;0),1,IF(($E116&gt;=LOOKUP(2,1/($E:$E&lt;&gt;""),$E:$E))*($E116&lt;=$E117)*($E116&gt;INDEX(_xlfn.ANCHORARRAY(Sintesi!$C$14),1,$C116))*($E116&lt;INDEX(_xlfn.ANCHORARRAY(Sintesi!$C$16),1,$C116))*(INDEX(_xlfn.ANCHORARRAY(Sintesi!$C$15),1,$C116)&lt;0)+($E116&gt;=LOOKUP(2,1/($E:$E&lt;&gt;""),$E:$E))*($E116&lt;=$E117)*($E116&gt;INDEX(_xlfn.ANCHORARRAY(Sintesi!$C$15),1,$C116))*($E116&lt;INDEX(_xlfn.ANCHORARRAY(Sintesi!$C$16),1,$C116))*(INDEX(_xlfn.ANCHORARRAY(Sintesi!$C$15),1,$C116)&gt;0),2,IF($E116=(INDEX(_xlfn.ANCHORARRAY(Sintesi!$C$16),1,$C116)),3,4)))),0)))</f>
        <v>1</v>
      </c>
      <c r="E116" s="1">
        <f>'Paste cell here'!F116</f>
        <v>0.15</v>
      </c>
      <c r="F116" s="1">
        <f>'Paste cell here'!C116</f>
        <v>25.299999999999635</v>
      </c>
      <c r="G116" s="1">
        <f>'Paste cell here'!D116</f>
        <v>9.7999999999998764</v>
      </c>
      <c r="H116" s="1">
        <f>'Paste cell here'!E116</f>
        <v>4.157394646922385</v>
      </c>
      <c r="I116" s="1">
        <f>'Paste cell here'!X116</f>
        <v>0.62360132651851508</v>
      </c>
      <c r="J116" s="1">
        <f>'Paste cell here'!Y116+'Paste cell here'!S116</f>
        <v>0.62360132651851508</v>
      </c>
      <c r="K116" s="1">
        <f t="shared" si="2"/>
        <v>0.1499981068624677</v>
      </c>
      <c r="L116" s="1">
        <f t="shared" si="3"/>
        <v>19.498652815384478</v>
      </c>
      <c r="M116" s="1">
        <f t="array" ref="M116">IF(AND(A116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116&gt;=_xlfn.ANCHORARRAY(Sintesi!$C$9))+(_xlfn.ANCHORARRAY(Sintesi!$C$9)&gt;_xlfn.ANCHORARRAY(Sintesi!$C$10))*(A116&lt;=_xlfn.ANCHORARRAY(Sintesi!$C$10))+(_xlfn.ANCHORARRAY(Sintesi!$C$9)&lt;_xlfn.ANCHORARRAY(Sintesi!$C$10))*(A116&gt;=_xlfn.ANCHORARRAY(Sintesi!$C$9))*(A116&lt;=_xlfn.ANCHORARRAY(Sintesi!$C$10)),0)),0),A116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117&gt;=_xlfn.ANCHORARRAY(Sintesi!$C$9))+(_xlfn.ANCHORARRAY(Sintesi!$C$9)&gt;_xlfn.ANCHORARRAY(Sintesi!$C$10))*(A117&lt;=_xlfn.ANCHORARRAY(Sintesi!$C$10))+(_xlfn.ANCHORARRAY(Sintesi!$C$9)&lt;_xlfn.ANCHORARRAY(Sintesi!$C$10))*(A117&gt;=_xlfn.ANCHORARRAY(Sintesi!$C$9))*(A117&lt;=_xlfn.ANCHORARRAY(Sintesi!$C$10)),0)),0)),IF(L116&lt;_xlfn.IFNA(INDEX(_xlfn.ANCHORARRAY(Sintesi!$C$17),1,MATCH(1,(_xlfn.ANCHORARRAY(Sintesi!$C$9)&gt;_xlfn.ANCHORARRAY(Sintesi!$C$10))*(A115&gt;=_xlfn.ANCHORARRAY(Sintesi!$C$9))+(_xlfn.ANCHORARRAY(Sintesi!$C$9)&gt;_xlfn.ANCHORARRAY(Sintesi!$C$10))*(A115&lt;=_xlfn.ANCHORARRAY(Sintesi!$C$10))+(_xlfn.ANCHORARRAY(Sintesi!$C$9)&lt;_xlfn.ANCHORARRAY(Sintesi!$C$10))*(A115&gt;=_xlfn.ANCHORARRAY(Sintesi!$C$9))*(A115&lt;=_xlfn.ANCHORARRAY(Sintesi!$C$10)),0)),0),1,IF(L116&gt;=_xlfn.IFNA(INDEX(_xlfn.ANCHORARRAY(Sintesi!$C$18),1,MATCH(1,(_xlfn.ANCHORARRAY(Sintesi!$C$9)&gt;_xlfn.ANCHORARRAY(Sintesi!$C$10))*(A115&gt;=_xlfn.ANCHORARRAY(Sintesi!$C$9))+(_xlfn.ANCHORARRAY(Sintesi!$C$9)&gt;_xlfn.ANCHORARRAY(Sintesi!$C$10))*(A115&lt;=_xlfn.ANCHORARRAY(Sintesi!$C$10))+(_xlfn.ANCHORARRAY(Sintesi!$C$9)&lt;_xlfn.ANCHORARRAY(Sintesi!$C$10))*(A115&gt;=_xlfn.ANCHORARRAY(Sintesi!$C$9))*(A115&lt;=_xlfn.ANCHORARRAY(Sintesi!$C$10)),0)),0),0,1-(L116-_xlfn.IFNA(INDEX(_xlfn.ANCHORARRAY(Sintesi!$C$17),1,MATCH(1,(_xlfn.ANCHORARRAY(Sintesi!$C$9)&gt;_xlfn.ANCHORARRAY(Sintesi!$C$10))*(A115&gt;=_xlfn.ANCHORARRAY(Sintesi!$C$9))+(_xlfn.ANCHORARRAY(Sintesi!$C$9)&gt;_xlfn.ANCHORARRAY(Sintesi!$C$10))*(A115&lt;=_xlfn.ANCHORARRAY(Sintesi!$C$10))+(_xlfn.ANCHORARRAY(Sintesi!$C$9)&lt;_xlfn.ANCHORARRAY(Sintesi!$C$10))*(A115&gt;=_xlfn.ANCHORARRAY(Sintesi!$C$9))*(A115&lt;=_xlfn.ANCHORARRAY(Sintesi!$C$10)),0)),0))/(_xlfn.IFNA(INDEX(_xlfn.ANCHORARRAY(Sintesi!$C$18),1,MATCH(1,(_xlfn.ANCHORARRAY(Sintesi!$C$9)&gt;_xlfn.ANCHORARRAY(Sintesi!$C$10))*(A115&gt;=_xlfn.ANCHORARRAY(Sintesi!$C$9))+(_xlfn.ANCHORARRAY(Sintesi!$C$9)&gt;_xlfn.ANCHORARRAY(Sintesi!$C$10))*(A115&lt;=_xlfn.ANCHORARRAY(Sintesi!$C$10))+(_xlfn.ANCHORARRAY(Sintesi!$C$9)&lt;_xlfn.ANCHORARRAY(Sintesi!$C$10))*(A115&gt;=_xlfn.ANCHORARRAY(Sintesi!$C$9))*(A115&lt;=_xlfn.ANCHORARRAY(Sintesi!$C$10)),0)),0)-_xlfn.IFNA(INDEX(_xlfn.ANCHORARRAY(Sintesi!$C$17),1,MATCH(1,(_xlfn.ANCHORARRAY(Sintesi!$C$9)&gt;_xlfn.ANCHORARRAY(Sintesi!$C$10))*(A115&gt;=_xlfn.ANCHORARRAY(Sintesi!$C$9))+(_xlfn.ANCHORARRAY(Sintesi!$C$9)&gt;_xlfn.ANCHORARRAY(Sintesi!$C$10))*(A115&lt;=_xlfn.ANCHORARRAY(Sintesi!$C$10))+(_xlfn.ANCHORARRAY(Sintesi!$C$9)&lt;_xlfn.ANCHORARRAY(Sintesi!$C$10))*(A115&gt;=_xlfn.ANCHORARRAY(Sintesi!$C$9))*(A115&lt;=_xlfn.ANCHORARRAY(Sintesi!$C$10)),0)),0)))),0)</f>
        <v>0</v>
      </c>
    </row>
    <row r="117" spans="1:13">
      <c r="A117" s="1">
        <f>'Paste cell here'!A117</f>
        <v>116</v>
      </c>
      <c r="B117" s="2">
        <f>DATE(Sintesi!$C$4-1,12,31)+A117</f>
        <v>44312</v>
      </c>
      <c r="C117" s="34">
        <f t="array" ref="C117">_xlfn.IFNA(MATCH(1,((_xlfn.ANCHORARRAY(Sintesi!$C$9)&gt;_xlfn.ANCHORARRAY(Sintesi!$C$10))*(A117&gt;=_xlfn.ANCHORARRAY(Sintesi!$C$9))+(_xlfn.ANCHORARRAY(Sintesi!$C$9)&gt;_xlfn.ANCHORARRAY(Sintesi!$C$10))*(A117&lt;=_xlfn.ANCHORARRAY(Sintesi!$C$10))+(_xlfn.ANCHORARRAY(Sintesi!$C$9)&lt;_xlfn.ANCHORARRAY(Sintesi!$C$10))*(A117&gt;=_xlfn.ANCHORARRAY(Sintesi!$C$9))*(A117&lt;=_xlfn.ANCHORARRAY(Sintesi!$C$10)))*(_xlfn.ANCHORARRAY(Sintesi!$C$15)&gt;=0)+(_xlfn.ANCHORARRAY(Sintesi!$C$15)&lt;0),0),0)</f>
        <v>1</v>
      </c>
      <c r="D117" s="1">
        <f t="array" ref="D117">IF(ISBLANK($E118),IF(ISNUMBER($E116),IF($C117&gt;0,IF(($E117=INDEX(_xlfn.ANCHORARRAY(Sintesi!$C$14),1,$C117))*(INDEX(_xlfn.ANCHORARRAY(Sintesi!$C$15),1,$C117)&gt;0),0,IF(($E117=INDEX(_xlfn.ANCHORARRAY(Sintesi!$C$14),1,$C117))*(INDEX(_xlfn.ANCHORARRAY(Sintesi!$C$15),1,$C117)&lt;0)+($E117&gt;=$E116)*($E117&lt;=INDEX($E:$E,MATCH(TRUE,INDEX((ISNUMBER($E:$E)),0),0)))*($E117&gt;INDEX(_xlfn.ANCHORARRAY(Sintesi!$C$14),1,$C117))*($E117&lt;=INDEX(_xlfn.ANCHORARRAY(Sintesi!$C$15),1,$C117))*(INDEX(_xlfn.ANCHORARRAY(Sintesi!$C$15),1,$C117)&gt;0),1,IF(($E117&gt;=$E116)*($E117&lt;=INDEX($E:$E,MATCH(TRUE,INDEX((ISNUMBER($E:$E)),0),0)))*($E117&gt;INDEX(_xlfn.ANCHORARRAY(Sintesi!$C$14),1,$C117))*($E117&lt;INDEX(_xlfn.ANCHORARRAY(Sintesi!$C$16),1,$C117))*(INDEX(_xlfn.ANCHORARRAY(Sintesi!$C$15),1,$C117)&lt;0)+($E117&gt;=$E116)*($E117&lt;=INDEX($E:$E,MATCH(TRUE,INDEX((ISNUMBER($E:$E)),0),0)))*($E117&gt;INDEX(_xlfn.ANCHORARRAY(Sintesi!$C$15),1,$C117))*($E117&lt;INDEX(_xlfn.ANCHORARRAY(Sintesi!$C$16),1,$C117))*(INDEX(_xlfn.ANCHORARRAY(Sintesi!$C$15),1,$C117)&gt;0),2,IF($E117=(INDEX(_xlfn.ANCHORARRAY(Sintesi!$C$16),1,$C117)),3,4)))),0),IF($C117&gt;0,IF(($E117=INDEX(_xlfn.ANCHORARRAY(Sintesi!$C$14),1,$C117))*(INDEX(_xlfn.ANCHORARRAY(Sintesi!$C$15),1,$C117)&gt;0),0,IF(($E117=INDEX(_xlfn.ANCHORARRAY(Sintesi!$C$14),1,$C117))*(INDEX(_xlfn.ANCHORARRAY(Sintesi!$C$15),1,$C117)&lt;0)+($E117&gt;=LOOKUP(2,1/($E:$E&lt;&gt;""),$E:$E))*($E117&lt;=INDEX($E:$E,MATCH(TRUE,INDEX((ISNUMBER($E:$E)),0),0)))*($E117&gt;INDEX(_xlfn.ANCHORARRAY(Sintesi!$C$14),1,$C117))*($E117&lt;=INDEX(_xlfn.ANCHORARRAY(Sintesi!$C$15),1,$C117))*(INDEX(_xlfn.ANCHORARRAY(Sintesi!$C$15),1,$C117)&gt;0),1,IF(($E117&gt;=LOOKUP(2,1/($E:$E&lt;&gt;""),$E:$E))*($E117&lt;=INDEX($E:$E,MATCH(TRUE,INDEX((ISNUMBER($E:$E)),0),0)))*($E117&gt;INDEX(_xlfn.ANCHORARRAY(Sintesi!$C$14),1,$C117))*($E117&lt;INDEX(_xlfn.ANCHORARRAY(Sintesi!$C$16),1,$C117))*(INDEX(_xlfn.ANCHORARRAY(Sintesi!$C$15),1,$C117)&lt;0)+($E117&gt;=LOOKUP(2,1/($E:$E&lt;&gt;""),$E:$E))*($E117&lt;=INDEX($E:$E,MATCH(TRUE,INDEX((ISNUMBER($E:$E)),0),0)))*($E117&gt;INDEX(_xlfn.ANCHORARRAY(Sintesi!$C$15),1,$C117))*($E117&lt;INDEX(_xlfn.ANCHORARRAY(Sintesi!$C$16),1,$C117))*(INDEX(_xlfn.ANCHORARRAY(Sintesi!$C$15),1,$C117)&gt;0),2,IF($E117=(INDEX(_xlfn.ANCHORARRAY(Sintesi!$C$16),1,$C117)),3,4)))),0)),IF(ISNUMBER($E116),IF($C117&gt;0,IF(($E117=INDEX(_xlfn.ANCHORARRAY(Sintesi!$C$14),1,$C117))*(INDEX(_xlfn.ANCHORARRAY(Sintesi!$C$15),1,$C117)&gt;0),0,IF(($E117=INDEX(_xlfn.ANCHORARRAY(Sintesi!$C$14),1,$C117))*(INDEX(_xlfn.ANCHORARRAY(Sintesi!$C$15),1,$C117)&lt;0)+($E117&gt;=$E116)*($E117&lt;=$E118)*($E117&gt;INDEX(_xlfn.ANCHORARRAY(Sintesi!$C$14),1,$C117))*($E117&lt;=INDEX(_xlfn.ANCHORARRAY(Sintesi!$C$15),1,$C117))*(INDEX(_xlfn.ANCHORARRAY(Sintesi!$C$15),1,$C117)&gt;0),1,IF(($E117&gt;=$E116)*($E117&lt;=$E118)*($E117&gt;INDEX(_xlfn.ANCHORARRAY(Sintesi!$C$14),1,$C117))*($E117&lt;INDEX(_xlfn.ANCHORARRAY(Sintesi!$C$16),1,$C117))*(INDEX(_xlfn.ANCHORARRAY(Sintesi!$C$15),1,$C117)&lt;0)+($E117&gt;=$E116)*($E117&lt;=$E118)*($E117&gt;INDEX(_xlfn.ANCHORARRAY(Sintesi!$C$15),1,$C117))*($E117&lt;INDEX(_xlfn.ANCHORARRAY(Sintesi!$C$16),1,$C117))*(INDEX(_xlfn.ANCHORARRAY(Sintesi!$C$15),1,$C117)&gt;0),2,IF($E117=(INDEX(_xlfn.ANCHORARRAY(Sintesi!$C$16),1,$C117)),3,4)))),0),IF($C117&gt;0,IF(($E117=INDEX(_xlfn.ANCHORARRAY(Sintesi!$C$14),1,$C117))*(INDEX(_xlfn.ANCHORARRAY(Sintesi!$C$15),1,$C117)&gt;0),0,IF(($E117=INDEX(_xlfn.ANCHORARRAY(Sintesi!$C$14),1,$C117))*(INDEX(_xlfn.ANCHORARRAY(Sintesi!$C$15),1,$C117)&lt;0)+($E117&gt;=LOOKUP(2,1/($E:$E&lt;&gt;""),$E:$E))*($E117&lt;=$E118)*($E117&gt;INDEX(_xlfn.ANCHORARRAY(Sintesi!$C$14),1,$C117))*($E117&lt;=INDEX(_xlfn.ANCHORARRAY(Sintesi!$C$15),1,$C117))*(INDEX(_xlfn.ANCHORARRAY(Sintesi!$C$15),1,$C117)&gt;0),1,IF(($E117&gt;=LOOKUP(2,1/($E:$E&lt;&gt;""),$E:$E))*($E117&lt;=$E118)*($E117&gt;INDEX(_xlfn.ANCHORARRAY(Sintesi!$C$14),1,$C117))*($E117&lt;INDEX(_xlfn.ANCHORARRAY(Sintesi!$C$16),1,$C117))*(INDEX(_xlfn.ANCHORARRAY(Sintesi!$C$15),1,$C117)&lt;0)+($E117&gt;=LOOKUP(2,1/($E:$E&lt;&gt;""),$E:$E))*($E117&lt;=$E118)*($E117&gt;INDEX(_xlfn.ANCHORARRAY(Sintesi!$C$15),1,$C117))*($E117&lt;INDEX(_xlfn.ANCHORARRAY(Sintesi!$C$16),1,$C117))*(INDEX(_xlfn.ANCHORARRAY(Sintesi!$C$15),1,$C117)&gt;0),2,IF($E117=(INDEX(_xlfn.ANCHORARRAY(Sintesi!$C$16),1,$C117)),3,4)))),0)))</f>
        <v>1</v>
      </c>
      <c r="E117" s="1">
        <f>'Paste cell here'!F117</f>
        <v>0.15</v>
      </c>
      <c r="F117" s="1">
        <f>'Paste cell here'!C117</f>
        <v>17.159999999999755</v>
      </c>
      <c r="G117" s="1">
        <f>'Paste cell here'!D117</f>
        <v>11.559999999999834</v>
      </c>
      <c r="H117" s="1">
        <f>'Paste cell here'!E117</f>
        <v>1.7899195284655649</v>
      </c>
      <c r="I117" s="1">
        <f>'Paste cell here'!X117</f>
        <v>0.26848429030883991</v>
      </c>
      <c r="J117" s="1">
        <f>'Paste cell here'!Y117+'Paste cell here'!S117</f>
        <v>0.26848429030883991</v>
      </c>
      <c r="K117" s="1">
        <f t="shared" si="2"/>
        <v>0.14999796696949949</v>
      </c>
      <c r="L117" s="1">
        <f t="shared" si="3"/>
        <v>15.064029404267824</v>
      </c>
      <c r="M117" s="1">
        <f t="array" ref="M117">IF(AND(A117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117&gt;=_xlfn.ANCHORARRAY(Sintesi!$C$9))+(_xlfn.ANCHORARRAY(Sintesi!$C$9)&gt;_xlfn.ANCHORARRAY(Sintesi!$C$10))*(A117&lt;=_xlfn.ANCHORARRAY(Sintesi!$C$10))+(_xlfn.ANCHORARRAY(Sintesi!$C$9)&lt;_xlfn.ANCHORARRAY(Sintesi!$C$10))*(A117&gt;=_xlfn.ANCHORARRAY(Sintesi!$C$9))*(A117&lt;=_xlfn.ANCHORARRAY(Sintesi!$C$10)),0)),0),A117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118&gt;=_xlfn.ANCHORARRAY(Sintesi!$C$9))+(_xlfn.ANCHORARRAY(Sintesi!$C$9)&gt;_xlfn.ANCHORARRAY(Sintesi!$C$10))*(A118&lt;=_xlfn.ANCHORARRAY(Sintesi!$C$10))+(_xlfn.ANCHORARRAY(Sintesi!$C$9)&lt;_xlfn.ANCHORARRAY(Sintesi!$C$10))*(A118&gt;=_xlfn.ANCHORARRAY(Sintesi!$C$9))*(A118&lt;=_xlfn.ANCHORARRAY(Sintesi!$C$10)),0)),0)),IF(L117&lt;_xlfn.IFNA(INDEX(_xlfn.ANCHORARRAY(Sintesi!$C$17),1,MATCH(1,(_xlfn.ANCHORARRAY(Sintesi!$C$9)&gt;_xlfn.ANCHORARRAY(Sintesi!$C$10))*(A116&gt;=_xlfn.ANCHORARRAY(Sintesi!$C$9))+(_xlfn.ANCHORARRAY(Sintesi!$C$9)&gt;_xlfn.ANCHORARRAY(Sintesi!$C$10))*(A116&lt;=_xlfn.ANCHORARRAY(Sintesi!$C$10))+(_xlfn.ANCHORARRAY(Sintesi!$C$9)&lt;_xlfn.ANCHORARRAY(Sintesi!$C$10))*(A116&gt;=_xlfn.ANCHORARRAY(Sintesi!$C$9))*(A116&lt;=_xlfn.ANCHORARRAY(Sintesi!$C$10)),0)),0),1,IF(L117&gt;=_xlfn.IFNA(INDEX(_xlfn.ANCHORARRAY(Sintesi!$C$18),1,MATCH(1,(_xlfn.ANCHORARRAY(Sintesi!$C$9)&gt;_xlfn.ANCHORARRAY(Sintesi!$C$10))*(A116&gt;=_xlfn.ANCHORARRAY(Sintesi!$C$9))+(_xlfn.ANCHORARRAY(Sintesi!$C$9)&gt;_xlfn.ANCHORARRAY(Sintesi!$C$10))*(A116&lt;=_xlfn.ANCHORARRAY(Sintesi!$C$10))+(_xlfn.ANCHORARRAY(Sintesi!$C$9)&lt;_xlfn.ANCHORARRAY(Sintesi!$C$10))*(A116&gt;=_xlfn.ANCHORARRAY(Sintesi!$C$9))*(A116&lt;=_xlfn.ANCHORARRAY(Sintesi!$C$10)),0)),0),0,1-(L117-_xlfn.IFNA(INDEX(_xlfn.ANCHORARRAY(Sintesi!$C$17),1,MATCH(1,(_xlfn.ANCHORARRAY(Sintesi!$C$9)&gt;_xlfn.ANCHORARRAY(Sintesi!$C$10))*(A116&gt;=_xlfn.ANCHORARRAY(Sintesi!$C$9))+(_xlfn.ANCHORARRAY(Sintesi!$C$9)&gt;_xlfn.ANCHORARRAY(Sintesi!$C$10))*(A116&lt;=_xlfn.ANCHORARRAY(Sintesi!$C$10))+(_xlfn.ANCHORARRAY(Sintesi!$C$9)&lt;_xlfn.ANCHORARRAY(Sintesi!$C$10))*(A116&gt;=_xlfn.ANCHORARRAY(Sintesi!$C$9))*(A116&lt;=_xlfn.ANCHORARRAY(Sintesi!$C$10)),0)),0))/(_xlfn.IFNA(INDEX(_xlfn.ANCHORARRAY(Sintesi!$C$18),1,MATCH(1,(_xlfn.ANCHORARRAY(Sintesi!$C$9)&gt;_xlfn.ANCHORARRAY(Sintesi!$C$10))*(A116&gt;=_xlfn.ANCHORARRAY(Sintesi!$C$9))+(_xlfn.ANCHORARRAY(Sintesi!$C$9)&gt;_xlfn.ANCHORARRAY(Sintesi!$C$10))*(A116&lt;=_xlfn.ANCHORARRAY(Sintesi!$C$10))+(_xlfn.ANCHORARRAY(Sintesi!$C$9)&lt;_xlfn.ANCHORARRAY(Sintesi!$C$10))*(A116&gt;=_xlfn.ANCHORARRAY(Sintesi!$C$9))*(A116&lt;=_xlfn.ANCHORARRAY(Sintesi!$C$10)),0)),0)-_xlfn.IFNA(INDEX(_xlfn.ANCHORARRAY(Sintesi!$C$17),1,MATCH(1,(_xlfn.ANCHORARRAY(Sintesi!$C$9)&gt;_xlfn.ANCHORARRAY(Sintesi!$C$10))*(A116&gt;=_xlfn.ANCHORARRAY(Sintesi!$C$9))+(_xlfn.ANCHORARRAY(Sintesi!$C$9)&gt;_xlfn.ANCHORARRAY(Sintesi!$C$10))*(A116&lt;=_xlfn.ANCHORARRAY(Sintesi!$C$10))+(_xlfn.ANCHORARRAY(Sintesi!$C$9)&lt;_xlfn.ANCHORARRAY(Sintesi!$C$10))*(A116&gt;=_xlfn.ANCHORARRAY(Sintesi!$C$9))*(A116&lt;=_xlfn.ANCHORARRAY(Sintesi!$C$10)),0)),0)))),0)</f>
        <v>0</v>
      </c>
    </row>
    <row r="118" spans="1:13">
      <c r="A118" s="1">
        <f>'Paste cell here'!A118</f>
        <v>117</v>
      </c>
      <c r="B118" s="2">
        <f>DATE(Sintesi!$C$4-1,12,31)+A118</f>
        <v>44313</v>
      </c>
      <c r="C118" s="34">
        <f t="array" ref="C118">_xlfn.IFNA(MATCH(1,((_xlfn.ANCHORARRAY(Sintesi!$C$9)&gt;_xlfn.ANCHORARRAY(Sintesi!$C$10))*(A118&gt;=_xlfn.ANCHORARRAY(Sintesi!$C$9))+(_xlfn.ANCHORARRAY(Sintesi!$C$9)&gt;_xlfn.ANCHORARRAY(Sintesi!$C$10))*(A118&lt;=_xlfn.ANCHORARRAY(Sintesi!$C$10))+(_xlfn.ANCHORARRAY(Sintesi!$C$9)&lt;_xlfn.ANCHORARRAY(Sintesi!$C$10))*(A118&gt;=_xlfn.ANCHORARRAY(Sintesi!$C$9))*(A118&lt;=_xlfn.ANCHORARRAY(Sintesi!$C$10)))*(_xlfn.ANCHORARRAY(Sintesi!$C$15)&gt;=0)+(_xlfn.ANCHORARRAY(Sintesi!$C$15)&lt;0),0),0)</f>
        <v>1</v>
      </c>
      <c r="D118" s="1">
        <f t="array" ref="D118">IF(ISBLANK($E119),IF(ISNUMBER($E117),IF($C118&gt;0,IF(($E118=INDEX(_xlfn.ANCHORARRAY(Sintesi!$C$14),1,$C118))*(INDEX(_xlfn.ANCHORARRAY(Sintesi!$C$15),1,$C118)&gt;0),0,IF(($E118=INDEX(_xlfn.ANCHORARRAY(Sintesi!$C$14),1,$C118))*(INDEX(_xlfn.ANCHORARRAY(Sintesi!$C$15),1,$C118)&lt;0)+($E118&gt;=$E117)*($E118&lt;=INDEX($E:$E,MATCH(TRUE,INDEX((ISNUMBER($E:$E)),0),0)))*($E118&gt;INDEX(_xlfn.ANCHORARRAY(Sintesi!$C$14),1,$C118))*($E118&lt;=INDEX(_xlfn.ANCHORARRAY(Sintesi!$C$15),1,$C118))*(INDEX(_xlfn.ANCHORARRAY(Sintesi!$C$15),1,$C118)&gt;0),1,IF(($E118&gt;=$E117)*($E118&lt;=INDEX($E:$E,MATCH(TRUE,INDEX((ISNUMBER($E:$E)),0),0)))*($E118&gt;INDEX(_xlfn.ANCHORARRAY(Sintesi!$C$14),1,$C118))*($E118&lt;INDEX(_xlfn.ANCHORARRAY(Sintesi!$C$16),1,$C118))*(INDEX(_xlfn.ANCHORARRAY(Sintesi!$C$15),1,$C118)&lt;0)+($E118&gt;=$E117)*($E118&lt;=INDEX($E:$E,MATCH(TRUE,INDEX((ISNUMBER($E:$E)),0),0)))*($E118&gt;INDEX(_xlfn.ANCHORARRAY(Sintesi!$C$15),1,$C118))*($E118&lt;INDEX(_xlfn.ANCHORARRAY(Sintesi!$C$16),1,$C118))*(INDEX(_xlfn.ANCHORARRAY(Sintesi!$C$15),1,$C118)&gt;0),2,IF($E118=(INDEX(_xlfn.ANCHORARRAY(Sintesi!$C$16),1,$C118)),3,4)))),0),IF($C118&gt;0,IF(($E118=INDEX(_xlfn.ANCHORARRAY(Sintesi!$C$14),1,$C118))*(INDEX(_xlfn.ANCHORARRAY(Sintesi!$C$15),1,$C118)&gt;0),0,IF(($E118=INDEX(_xlfn.ANCHORARRAY(Sintesi!$C$14),1,$C118))*(INDEX(_xlfn.ANCHORARRAY(Sintesi!$C$15),1,$C118)&lt;0)+($E118&gt;=LOOKUP(2,1/($E:$E&lt;&gt;""),$E:$E))*($E118&lt;=INDEX($E:$E,MATCH(TRUE,INDEX((ISNUMBER($E:$E)),0),0)))*($E118&gt;INDEX(_xlfn.ANCHORARRAY(Sintesi!$C$14),1,$C118))*($E118&lt;=INDEX(_xlfn.ANCHORARRAY(Sintesi!$C$15),1,$C118))*(INDEX(_xlfn.ANCHORARRAY(Sintesi!$C$15),1,$C118)&gt;0),1,IF(($E118&gt;=LOOKUP(2,1/($E:$E&lt;&gt;""),$E:$E))*($E118&lt;=INDEX($E:$E,MATCH(TRUE,INDEX((ISNUMBER($E:$E)),0),0)))*($E118&gt;INDEX(_xlfn.ANCHORARRAY(Sintesi!$C$14),1,$C118))*($E118&lt;INDEX(_xlfn.ANCHORARRAY(Sintesi!$C$16),1,$C118))*(INDEX(_xlfn.ANCHORARRAY(Sintesi!$C$15),1,$C118)&lt;0)+($E118&gt;=LOOKUP(2,1/($E:$E&lt;&gt;""),$E:$E))*($E118&lt;=INDEX($E:$E,MATCH(TRUE,INDEX((ISNUMBER($E:$E)),0),0)))*($E118&gt;INDEX(_xlfn.ANCHORARRAY(Sintesi!$C$15),1,$C118))*($E118&lt;INDEX(_xlfn.ANCHORARRAY(Sintesi!$C$16),1,$C118))*(INDEX(_xlfn.ANCHORARRAY(Sintesi!$C$15),1,$C118)&gt;0),2,IF($E118=(INDEX(_xlfn.ANCHORARRAY(Sintesi!$C$16),1,$C118)),3,4)))),0)),IF(ISNUMBER($E117),IF($C118&gt;0,IF(($E118=INDEX(_xlfn.ANCHORARRAY(Sintesi!$C$14),1,$C118))*(INDEX(_xlfn.ANCHORARRAY(Sintesi!$C$15),1,$C118)&gt;0),0,IF(($E118=INDEX(_xlfn.ANCHORARRAY(Sintesi!$C$14),1,$C118))*(INDEX(_xlfn.ANCHORARRAY(Sintesi!$C$15),1,$C118)&lt;0)+($E118&gt;=$E117)*($E118&lt;=$E119)*($E118&gt;INDEX(_xlfn.ANCHORARRAY(Sintesi!$C$14),1,$C118))*($E118&lt;=INDEX(_xlfn.ANCHORARRAY(Sintesi!$C$15),1,$C118))*(INDEX(_xlfn.ANCHORARRAY(Sintesi!$C$15),1,$C118)&gt;0),1,IF(($E118&gt;=$E117)*($E118&lt;=$E119)*($E118&gt;INDEX(_xlfn.ANCHORARRAY(Sintesi!$C$14),1,$C118))*($E118&lt;INDEX(_xlfn.ANCHORARRAY(Sintesi!$C$16),1,$C118))*(INDEX(_xlfn.ANCHORARRAY(Sintesi!$C$15),1,$C118)&lt;0)+($E118&gt;=$E117)*($E118&lt;=$E119)*($E118&gt;INDEX(_xlfn.ANCHORARRAY(Sintesi!$C$15),1,$C118))*($E118&lt;INDEX(_xlfn.ANCHORARRAY(Sintesi!$C$16),1,$C118))*(INDEX(_xlfn.ANCHORARRAY(Sintesi!$C$15),1,$C118)&gt;0),2,IF($E118=(INDEX(_xlfn.ANCHORARRAY(Sintesi!$C$16),1,$C118)),3,4)))),0),IF($C118&gt;0,IF(($E118=INDEX(_xlfn.ANCHORARRAY(Sintesi!$C$14),1,$C118))*(INDEX(_xlfn.ANCHORARRAY(Sintesi!$C$15),1,$C118)&gt;0),0,IF(($E118=INDEX(_xlfn.ANCHORARRAY(Sintesi!$C$14),1,$C118))*(INDEX(_xlfn.ANCHORARRAY(Sintesi!$C$15),1,$C118)&lt;0)+($E118&gt;=LOOKUP(2,1/($E:$E&lt;&gt;""),$E:$E))*($E118&lt;=$E119)*($E118&gt;INDEX(_xlfn.ANCHORARRAY(Sintesi!$C$14),1,$C118))*($E118&lt;=INDEX(_xlfn.ANCHORARRAY(Sintesi!$C$15),1,$C118))*(INDEX(_xlfn.ANCHORARRAY(Sintesi!$C$15),1,$C118)&gt;0),1,IF(($E118&gt;=LOOKUP(2,1/($E:$E&lt;&gt;""),$E:$E))*($E118&lt;=$E119)*($E118&gt;INDEX(_xlfn.ANCHORARRAY(Sintesi!$C$14),1,$C118))*($E118&lt;INDEX(_xlfn.ANCHORARRAY(Sintesi!$C$16),1,$C118))*(INDEX(_xlfn.ANCHORARRAY(Sintesi!$C$15),1,$C118)&lt;0)+($E118&gt;=LOOKUP(2,1/($E:$E&lt;&gt;""),$E:$E))*($E118&lt;=$E119)*($E118&gt;INDEX(_xlfn.ANCHORARRAY(Sintesi!$C$15),1,$C118))*($E118&lt;INDEX(_xlfn.ANCHORARRAY(Sintesi!$C$16),1,$C118))*(INDEX(_xlfn.ANCHORARRAY(Sintesi!$C$15),1,$C118)&gt;0),2,IF($E118=(INDEX(_xlfn.ANCHORARRAY(Sintesi!$C$16),1,$C118)),3,4)))),0)))</f>
        <v>1</v>
      </c>
      <c r="E118" s="1">
        <f>'Paste cell here'!F118</f>
        <v>0.15</v>
      </c>
      <c r="F118" s="1">
        <f>'Paste cell here'!C118</f>
        <v>16.219999999999768</v>
      </c>
      <c r="G118" s="1">
        <f>'Paste cell here'!D118</f>
        <v>9.9199999999998543</v>
      </c>
      <c r="H118" s="1">
        <f>'Paste cell here'!E118</f>
        <v>1.764787278976329</v>
      </c>
      <c r="I118" s="1">
        <f>'Paste cell here'!X118</f>
        <v>0.26471424374001346</v>
      </c>
      <c r="J118" s="1">
        <f>'Paste cell here'!Y118+'Paste cell here'!S118</f>
        <v>0.26471424374001346</v>
      </c>
      <c r="K118" s="1">
        <f t="shared" si="2"/>
        <v>0.1499978195069277</v>
      </c>
      <c r="L118" s="1">
        <f t="shared" si="3"/>
        <v>13.862033079801348</v>
      </c>
      <c r="M118" s="1">
        <f t="array" ref="M118">IF(AND(A118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118&gt;=_xlfn.ANCHORARRAY(Sintesi!$C$9))+(_xlfn.ANCHORARRAY(Sintesi!$C$9)&gt;_xlfn.ANCHORARRAY(Sintesi!$C$10))*(A118&lt;=_xlfn.ANCHORARRAY(Sintesi!$C$10))+(_xlfn.ANCHORARRAY(Sintesi!$C$9)&lt;_xlfn.ANCHORARRAY(Sintesi!$C$10))*(A118&gt;=_xlfn.ANCHORARRAY(Sintesi!$C$9))*(A118&lt;=_xlfn.ANCHORARRAY(Sintesi!$C$10)),0)),0),A118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119&gt;=_xlfn.ANCHORARRAY(Sintesi!$C$9))+(_xlfn.ANCHORARRAY(Sintesi!$C$9)&gt;_xlfn.ANCHORARRAY(Sintesi!$C$10))*(A119&lt;=_xlfn.ANCHORARRAY(Sintesi!$C$10))+(_xlfn.ANCHORARRAY(Sintesi!$C$9)&lt;_xlfn.ANCHORARRAY(Sintesi!$C$10))*(A119&gt;=_xlfn.ANCHORARRAY(Sintesi!$C$9))*(A119&lt;=_xlfn.ANCHORARRAY(Sintesi!$C$10)),0)),0)),IF(L118&lt;_xlfn.IFNA(INDEX(_xlfn.ANCHORARRAY(Sintesi!$C$17),1,MATCH(1,(_xlfn.ANCHORARRAY(Sintesi!$C$9)&gt;_xlfn.ANCHORARRAY(Sintesi!$C$10))*(A117&gt;=_xlfn.ANCHORARRAY(Sintesi!$C$9))+(_xlfn.ANCHORARRAY(Sintesi!$C$9)&gt;_xlfn.ANCHORARRAY(Sintesi!$C$10))*(A117&lt;=_xlfn.ANCHORARRAY(Sintesi!$C$10))+(_xlfn.ANCHORARRAY(Sintesi!$C$9)&lt;_xlfn.ANCHORARRAY(Sintesi!$C$10))*(A117&gt;=_xlfn.ANCHORARRAY(Sintesi!$C$9))*(A117&lt;=_xlfn.ANCHORARRAY(Sintesi!$C$10)),0)),0),1,IF(L118&gt;=_xlfn.IFNA(INDEX(_xlfn.ANCHORARRAY(Sintesi!$C$18),1,MATCH(1,(_xlfn.ANCHORARRAY(Sintesi!$C$9)&gt;_xlfn.ANCHORARRAY(Sintesi!$C$10))*(A117&gt;=_xlfn.ANCHORARRAY(Sintesi!$C$9))+(_xlfn.ANCHORARRAY(Sintesi!$C$9)&gt;_xlfn.ANCHORARRAY(Sintesi!$C$10))*(A117&lt;=_xlfn.ANCHORARRAY(Sintesi!$C$10))+(_xlfn.ANCHORARRAY(Sintesi!$C$9)&lt;_xlfn.ANCHORARRAY(Sintesi!$C$10))*(A117&gt;=_xlfn.ANCHORARRAY(Sintesi!$C$9))*(A117&lt;=_xlfn.ANCHORARRAY(Sintesi!$C$10)),0)),0),0,1-(L118-_xlfn.IFNA(INDEX(_xlfn.ANCHORARRAY(Sintesi!$C$17),1,MATCH(1,(_xlfn.ANCHORARRAY(Sintesi!$C$9)&gt;_xlfn.ANCHORARRAY(Sintesi!$C$10))*(A117&gt;=_xlfn.ANCHORARRAY(Sintesi!$C$9))+(_xlfn.ANCHORARRAY(Sintesi!$C$9)&gt;_xlfn.ANCHORARRAY(Sintesi!$C$10))*(A117&lt;=_xlfn.ANCHORARRAY(Sintesi!$C$10))+(_xlfn.ANCHORARRAY(Sintesi!$C$9)&lt;_xlfn.ANCHORARRAY(Sintesi!$C$10))*(A117&gt;=_xlfn.ANCHORARRAY(Sintesi!$C$9))*(A117&lt;=_xlfn.ANCHORARRAY(Sintesi!$C$10)),0)),0))/(_xlfn.IFNA(INDEX(_xlfn.ANCHORARRAY(Sintesi!$C$18),1,MATCH(1,(_xlfn.ANCHORARRAY(Sintesi!$C$9)&gt;_xlfn.ANCHORARRAY(Sintesi!$C$10))*(A117&gt;=_xlfn.ANCHORARRAY(Sintesi!$C$9))+(_xlfn.ANCHORARRAY(Sintesi!$C$9)&gt;_xlfn.ANCHORARRAY(Sintesi!$C$10))*(A117&lt;=_xlfn.ANCHORARRAY(Sintesi!$C$10))+(_xlfn.ANCHORARRAY(Sintesi!$C$9)&lt;_xlfn.ANCHORARRAY(Sintesi!$C$10))*(A117&gt;=_xlfn.ANCHORARRAY(Sintesi!$C$9))*(A117&lt;=_xlfn.ANCHORARRAY(Sintesi!$C$10)),0)),0)-_xlfn.IFNA(INDEX(_xlfn.ANCHORARRAY(Sintesi!$C$17),1,MATCH(1,(_xlfn.ANCHORARRAY(Sintesi!$C$9)&gt;_xlfn.ANCHORARRAY(Sintesi!$C$10))*(A117&gt;=_xlfn.ANCHORARRAY(Sintesi!$C$9))+(_xlfn.ANCHORARRAY(Sintesi!$C$9)&gt;_xlfn.ANCHORARRAY(Sintesi!$C$10))*(A117&lt;=_xlfn.ANCHORARRAY(Sintesi!$C$10))+(_xlfn.ANCHORARRAY(Sintesi!$C$9)&lt;_xlfn.ANCHORARRAY(Sintesi!$C$10))*(A117&gt;=_xlfn.ANCHORARRAY(Sintesi!$C$9))*(A117&lt;=_xlfn.ANCHORARRAY(Sintesi!$C$10)),0)),0)))),0)</f>
        <v>0</v>
      </c>
    </row>
    <row r="119" spans="1:13">
      <c r="A119" s="1">
        <f>'Paste cell here'!A119</f>
        <v>118</v>
      </c>
      <c r="B119" s="2">
        <f>DATE(Sintesi!$C$4-1,12,31)+A119</f>
        <v>44314</v>
      </c>
      <c r="C119" s="34">
        <f t="array" ref="C119">_xlfn.IFNA(MATCH(1,((_xlfn.ANCHORARRAY(Sintesi!$C$9)&gt;_xlfn.ANCHORARRAY(Sintesi!$C$10))*(A119&gt;=_xlfn.ANCHORARRAY(Sintesi!$C$9))+(_xlfn.ANCHORARRAY(Sintesi!$C$9)&gt;_xlfn.ANCHORARRAY(Sintesi!$C$10))*(A119&lt;=_xlfn.ANCHORARRAY(Sintesi!$C$10))+(_xlfn.ANCHORARRAY(Sintesi!$C$9)&lt;_xlfn.ANCHORARRAY(Sintesi!$C$10))*(A119&gt;=_xlfn.ANCHORARRAY(Sintesi!$C$9))*(A119&lt;=_xlfn.ANCHORARRAY(Sintesi!$C$10)))*(_xlfn.ANCHORARRAY(Sintesi!$C$15)&gt;=0)+(_xlfn.ANCHORARRAY(Sintesi!$C$15)&lt;0),0),0)</f>
        <v>1</v>
      </c>
      <c r="D119" s="1">
        <f t="array" ref="D119">IF(ISBLANK($E120),IF(ISNUMBER($E118),IF($C119&gt;0,IF(($E119=INDEX(_xlfn.ANCHORARRAY(Sintesi!$C$14),1,$C119))*(INDEX(_xlfn.ANCHORARRAY(Sintesi!$C$15),1,$C119)&gt;0),0,IF(($E119=INDEX(_xlfn.ANCHORARRAY(Sintesi!$C$14),1,$C119))*(INDEX(_xlfn.ANCHORARRAY(Sintesi!$C$15),1,$C119)&lt;0)+($E119&gt;=$E118)*($E119&lt;=INDEX($E:$E,MATCH(TRUE,INDEX((ISNUMBER($E:$E)),0),0)))*($E119&gt;INDEX(_xlfn.ANCHORARRAY(Sintesi!$C$14),1,$C119))*($E119&lt;=INDEX(_xlfn.ANCHORARRAY(Sintesi!$C$15),1,$C119))*(INDEX(_xlfn.ANCHORARRAY(Sintesi!$C$15),1,$C119)&gt;0),1,IF(($E119&gt;=$E118)*($E119&lt;=INDEX($E:$E,MATCH(TRUE,INDEX((ISNUMBER($E:$E)),0),0)))*($E119&gt;INDEX(_xlfn.ANCHORARRAY(Sintesi!$C$14),1,$C119))*($E119&lt;INDEX(_xlfn.ANCHORARRAY(Sintesi!$C$16),1,$C119))*(INDEX(_xlfn.ANCHORARRAY(Sintesi!$C$15),1,$C119)&lt;0)+($E119&gt;=$E118)*($E119&lt;=INDEX($E:$E,MATCH(TRUE,INDEX((ISNUMBER($E:$E)),0),0)))*($E119&gt;INDEX(_xlfn.ANCHORARRAY(Sintesi!$C$15),1,$C119))*($E119&lt;INDEX(_xlfn.ANCHORARRAY(Sintesi!$C$16),1,$C119))*(INDEX(_xlfn.ANCHORARRAY(Sintesi!$C$15),1,$C119)&gt;0),2,IF($E119=(INDEX(_xlfn.ANCHORARRAY(Sintesi!$C$16),1,$C119)),3,4)))),0),IF($C119&gt;0,IF(($E119=INDEX(_xlfn.ANCHORARRAY(Sintesi!$C$14),1,$C119))*(INDEX(_xlfn.ANCHORARRAY(Sintesi!$C$15),1,$C119)&gt;0),0,IF(($E119=INDEX(_xlfn.ANCHORARRAY(Sintesi!$C$14),1,$C119))*(INDEX(_xlfn.ANCHORARRAY(Sintesi!$C$15),1,$C119)&lt;0)+($E119&gt;=LOOKUP(2,1/($E:$E&lt;&gt;""),$E:$E))*($E119&lt;=INDEX($E:$E,MATCH(TRUE,INDEX((ISNUMBER($E:$E)),0),0)))*($E119&gt;INDEX(_xlfn.ANCHORARRAY(Sintesi!$C$14),1,$C119))*($E119&lt;=INDEX(_xlfn.ANCHORARRAY(Sintesi!$C$15),1,$C119))*(INDEX(_xlfn.ANCHORARRAY(Sintesi!$C$15),1,$C119)&gt;0),1,IF(($E119&gt;=LOOKUP(2,1/($E:$E&lt;&gt;""),$E:$E))*($E119&lt;=INDEX($E:$E,MATCH(TRUE,INDEX((ISNUMBER($E:$E)),0),0)))*($E119&gt;INDEX(_xlfn.ANCHORARRAY(Sintesi!$C$14),1,$C119))*($E119&lt;INDEX(_xlfn.ANCHORARRAY(Sintesi!$C$16),1,$C119))*(INDEX(_xlfn.ANCHORARRAY(Sintesi!$C$15),1,$C119)&lt;0)+($E119&gt;=LOOKUP(2,1/($E:$E&lt;&gt;""),$E:$E))*($E119&lt;=INDEX($E:$E,MATCH(TRUE,INDEX((ISNUMBER($E:$E)),0),0)))*($E119&gt;INDEX(_xlfn.ANCHORARRAY(Sintesi!$C$15),1,$C119))*($E119&lt;INDEX(_xlfn.ANCHORARRAY(Sintesi!$C$16),1,$C119))*(INDEX(_xlfn.ANCHORARRAY(Sintesi!$C$15),1,$C119)&gt;0),2,IF($E119=(INDEX(_xlfn.ANCHORARRAY(Sintesi!$C$16),1,$C119)),3,4)))),0)),IF(ISNUMBER($E118),IF($C119&gt;0,IF(($E119=INDEX(_xlfn.ANCHORARRAY(Sintesi!$C$14),1,$C119))*(INDEX(_xlfn.ANCHORARRAY(Sintesi!$C$15),1,$C119)&gt;0),0,IF(($E119=INDEX(_xlfn.ANCHORARRAY(Sintesi!$C$14),1,$C119))*(INDEX(_xlfn.ANCHORARRAY(Sintesi!$C$15),1,$C119)&lt;0)+($E119&gt;=$E118)*($E119&lt;=$E120)*($E119&gt;INDEX(_xlfn.ANCHORARRAY(Sintesi!$C$14),1,$C119))*($E119&lt;=INDEX(_xlfn.ANCHORARRAY(Sintesi!$C$15),1,$C119))*(INDEX(_xlfn.ANCHORARRAY(Sintesi!$C$15),1,$C119)&gt;0),1,IF(($E119&gt;=$E118)*($E119&lt;=$E120)*($E119&gt;INDEX(_xlfn.ANCHORARRAY(Sintesi!$C$14),1,$C119))*($E119&lt;INDEX(_xlfn.ANCHORARRAY(Sintesi!$C$16),1,$C119))*(INDEX(_xlfn.ANCHORARRAY(Sintesi!$C$15),1,$C119)&lt;0)+($E119&gt;=$E118)*($E119&lt;=$E120)*($E119&gt;INDEX(_xlfn.ANCHORARRAY(Sintesi!$C$15),1,$C119))*($E119&lt;INDEX(_xlfn.ANCHORARRAY(Sintesi!$C$16),1,$C119))*(INDEX(_xlfn.ANCHORARRAY(Sintesi!$C$15),1,$C119)&gt;0),2,IF($E119=(INDEX(_xlfn.ANCHORARRAY(Sintesi!$C$16),1,$C119)),3,4)))),0),IF($C119&gt;0,IF(($E119=INDEX(_xlfn.ANCHORARRAY(Sintesi!$C$14),1,$C119))*(INDEX(_xlfn.ANCHORARRAY(Sintesi!$C$15),1,$C119)&gt;0),0,IF(($E119=INDEX(_xlfn.ANCHORARRAY(Sintesi!$C$14),1,$C119))*(INDEX(_xlfn.ANCHORARRAY(Sintesi!$C$15),1,$C119)&lt;0)+($E119&gt;=LOOKUP(2,1/($E:$E&lt;&gt;""),$E:$E))*($E119&lt;=$E120)*($E119&gt;INDEX(_xlfn.ANCHORARRAY(Sintesi!$C$14),1,$C119))*($E119&lt;=INDEX(_xlfn.ANCHORARRAY(Sintesi!$C$15),1,$C119))*(INDEX(_xlfn.ANCHORARRAY(Sintesi!$C$15),1,$C119)&gt;0),1,IF(($E119&gt;=LOOKUP(2,1/($E:$E&lt;&gt;""),$E:$E))*($E119&lt;=$E120)*($E119&gt;INDEX(_xlfn.ANCHORARRAY(Sintesi!$C$14),1,$C119))*($E119&lt;INDEX(_xlfn.ANCHORARRAY(Sintesi!$C$16),1,$C119))*(INDEX(_xlfn.ANCHORARRAY(Sintesi!$C$15),1,$C119)&lt;0)+($E119&gt;=LOOKUP(2,1/($E:$E&lt;&gt;""),$E:$E))*($E119&lt;=$E120)*($E119&gt;INDEX(_xlfn.ANCHORARRAY(Sintesi!$C$15),1,$C119))*($E119&lt;INDEX(_xlfn.ANCHORARRAY(Sintesi!$C$16),1,$C119))*(INDEX(_xlfn.ANCHORARRAY(Sintesi!$C$15),1,$C119)&gt;0),2,IF($E119=(INDEX(_xlfn.ANCHORARRAY(Sintesi!$C$16),1,$C119)),3,4)))),0)))</f>
        <v>1</v>
      </c>
      <c r="E119" s="1">
        <f>'Paste cell here'!F119</f>
        <v>0.15</v>
      </c>
      <c r="F119" s="1">
        <f>'Paste cell here'!C119</f>
        <v>19.719999999999715</v>
      </c>
      <c r="G119" s="1">
        <f>'Paste cell here'!D119</f>
        <v>11.619999999999838</v>
      </c>
      <c r="H119" s="1">
        <f>'Paste cell here'!E119</f>
        <v>2.6618873201285278</v>
      </c>
      <c r="I119" s="1">
        <f>'Paste cell here'!X119</f>
        <v>0.39927688065667288</v>
      </c>
      <c r="J119" s="1">
        <f>'Paste cell here'!Y119+'Paste cell here'!S119</f>
        <v>0.39927688065667288</v>
      </c>
      <c r="K119" s="1">
        <f t="shared" si="2"/>
        <v>0.14999766430285788</v>
      </c>
      <c r="L119" s="1">
        <f t="shared" si="3"/>
        <v>16.688328245458891</v>
      </c>
      <c r="M119" s="1">
        <f t="array" ref="M119">IF(AND(A119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119&gt;=_xlfn.ANCHORARRAY(Sintesi!$C$9))+(_xlfn.ANCHORARRAY(Sintesi!$C$9)&gt;_xlfn.ANCHORARRAY(Sintesi!$C$10))*(A119&lt;=_xlfn.ANCHORARRAY(Sintesi!$C$10))+(_xlfn.ANCHORARRAY(Sintesi!$C$9)&lt;_xlfn.ANCHORARRAY(Sintesi!$C$10))*(A119&gt;=_xlfn.ANCHORARRAY(Sintesi!$C$9))*(A119&lt;=_xlfn.ANCHORARRAY(Sintesi!$C$10)),0)),0),A119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120&gt;=_xlfn.ANCHORARRAY(Sintesi!$C$9))+(_xlfn.ANCHORARRAY(Sintesi!$C$9)&gt;_xlfn.ANCHORARRAY(Sintesi!$C$10))*(A120&lt;=_xlfn.ANCHORARRAY(Sintesi!$C$10))+(_xlfn.ANCHORARRAY(Sintesi!$C$9)&lt;_xlfn.ANCHORARRAY(Sintesi!$C$10))*(A120&gt;=_xlfn.ANCHORARRAY(Sintesi!$C$9))*(A120&lt;=_xlfn.ANCHORARRAY(Sintesi!$C$10)),0)),0)),IF(L119&lt;_xlfn.IFNA(INDEX(_xlfn.ANCHORARRAY(Sintesi!$C$17),1,MATCH(1,(_xlfn.ANCHORARRAY(Sintesi!$C$9)&gt;_xlfn.ANCHORARRAY(Sintesi!$C$10))*(A118&gt;=_xlfn.ANCHORARRAY(Sintesi!$C$9))+(_xlfn.ANCHORARRAY(Sintesi!$C$9)&gt;_xlfn.ANCHORARRAY(Sintesi!$C$10))*(A118&lt;=_xlfn.ANCHORARRAY(Sintesi!$C$10))+(_xlfn.ANCHORARRAY(Sintesi!$C$9)&lt;_xlfn.ANCHORARRAY(Sintesi!$C$10))*(A118&gt;=_xlfn.ANCHORARRAY(Sintesi!$C$9))*(A118&lt;=_xlfn.ANCHORARRAY(Sintesi!$C$10)),0)),0),1,IF(L119&gt;=_xlfn.IFNA(INDEX(_xlfn.ANCHORARRAY(Sintesi!$C$18),1,MATCH(1,(_xlfn.ANCHORARRAY(Sintesi!$C$9)&gt;_xlfn.ANCHORARRAY(Sintesi!$C$10))*(A118&gt;=_xlfn.ANCHORARRAY(Sintesi!$C$9))+(_xlfn.ANCHORARRAY(Sintesi!$C$9)&gt;_xlfn.ANCHORARRAY(Sintesi!$C$10))*(A118&lt;=_xlfn.ANCHORARRAY(Sintesi!$C$10))+(_xlfn.ANCHORARRAY(Sintesi!$C$9)&lt;_xlfn.ANCHORARRAY(Sintesi!$C$10))*(A118&gt;=_xlfn.ANCHORARRAY(Sintesi!$C$9))*(A118&lt;=_xlfn.ANCHORARRAY(Sintesi!$C$10)),0)),0),0,1-(L119-_xlfn.IFNA(INDEX(_xlfn.ANCHORARRAY(Sintesi!$C$17),1,MATCH(1,(_xlfn.ANCHORARRAY(Sintesi!$C$9)&gt;_xlfn.ANCHORARRAY(Sintesi!$C$10))*(A118&gt;=_xlfn.ANCHORARRAY(Sintesi!$C$9))+(_xlfn.ANCHORARRAY(Sintesi!$C$9)&gt;_xlfn.ANCHORARRAY(Sintesi!$C$10))*(A118&lt;=_xlfn.ANCHORARRAY(Sintesi!$C$10))+(_xlfn.ANCHORARRAY(Sintesi!$C$9)&lt;_xlfn.ANCHORARRAY(Sintesi!$C$10))*(A118&gt;=_xlfn.ANCHORARRAY(Sintesi!$C$9))*(A118&lt;=_xlfn.ANCHORARRAY(Sintesi!$C$10)),0)),0))/(_xlfn.IFNA(INDEX(_xlfn.ANCHORARRAY(Sintesi!$C$18),1,MATCH(1,(_xlfn.ANCHORARRAY(Sintesi!$C$9)&gt;_xlfn.ANCHORARRAY(Sintesi!$C$10))*(A118&gt;=_xlfn.ANCHORARRAY(Sintesi!$C$9))+(_xlfn.ANCHORARRAY(Sintesi!$C$9)&gt;_xlfn.ANCHORARRAY(Sintesi!$C$10))*(A118&lt;=_xlfn.ANCHORARRAY(Sintesi!$C$10))+(_xlfn.ANCHORARRAY(Sintesi!$C$9)&lt;_xlfn.ANCHORARRAY(Sintesi!$C$10))*(A118&gt;=_xlfn.ANCHORARRAY(Sintesi!$C$9))*(A118&lt;=_xlfn.ANCHORARRAY(Sintesi!$C$10)),0)),0)-_xlfn.IFNA(INDEX(_xlfn.ANCHORARRAY(Sintesi!$C$17),1,MATCH(1,(_xlfn.ANCHORARRAY(Sintesi!$C$9)&gt;_xlfn.ANCHORARRAY(Sintesi!$C$10))*(A118&gt;=_xlfn.ANCHORARRAY(Sintesi!$C$9))+(_xlfn.ANCHORARRAY(Sintesi!$C$9)&gt;_xlfn.ANCHORARRAY(Sintesi!$C$10))*(A118&lt;=_xlfn.ANCHORARRAY(Sintesi!$C$10))+(_xlfn.ANCHORARRAY(Sintesi!$C$9)&lt;_xlfn.ANCHORARRAY(Sintesi!$C$10))*(A118&gt;=_xlfn.ANCHORARRAY(Sintesi!$C$9))*(A118&lt;=_xlfn.ANCHORARRAY(Sintesi!$C$10)),0)),0)))),0)</f>
        <v>0</v>
      </c>
    </row>
    <row r="120" spans="1:13">
      <c r="A120" s="1">
        <f>'Paste cell here'!A120</f>
        <v>119</v>
      </c>
      <c r="B120" s="2">
        <f>DATE(Sintesi!$C$4-1,12,31)+A120</f>
        <v>44315</v>
      </c>
      <c r="C120" s="34">
        <f t="array" ref="C120">_xlfn.IFNA(MATCH(1,((_xlfn.ANCHORARRAY(Sintesi!$C$9)&gt;_xlfn.ANCHORARRAY(Sintesi!$C$10))*(A120&gt;=_xlfn.ANCHORARRAY(Sintesi!$C$9))+(_xlfn.ANCHORARRAY(Sintesi!$C$9)&gt;_xlfn.ANCHORARRAY(Sintesi!$C$10))*(A120&lt;=_xlfn.ANCHORARRAY(Sintesi!$C$10))+(_xlfn.ANCHORARRAY(Sintesi!$C$9)&lt;_xlfn.ANCHORARRAY(Sintesi!$C$10))*(A120&gt;=_xlfn.ANCHORARRAY(Sintesi!$C$9))*(A120&lt;=_xlfn.ANCHORARRAY(Sintesi!$C$10)))*(_xlfn.ANCHORARRAY(Sintesi!$C$15)&gt;=0)+(_xlfn.ANCHORARRAY(Sintesi!$C$15)&lt;0),0),0)</f>
        <v>1</v>
      </c>
      <c r="D120" s="1">
        <f t="array" ref="D120">IF(ISBLANK($E121),IF(ISNUMBER($E119),IF($C120&gt;0,IF(($E120=INDEX(_xlfn.ANCHORARRAY(Sintesi!$C$14),1,$C120))*(INDEX(_xlfn.ANCHORARRAY(Sintesi!$C$15),1,$C120)&gt;0),0,IF(($E120=INDEX(_xlfn.ANCHORARRAY(Sintesi!$C$14),1,$C120))*(INDEX(_xlfn.ANCHORARRAY(Sintesi!$C$15),1,$C120)&lt;0)+($E120&gt;=$E119)*($E120&lt;=INDEX($E:$E,MATCH(TRUE,INDEX((ISNUMBER($E:$E)),0),0)))*($E120&gt;INDEX(_xlfn.ANCHORARRAY(Sintesi!$C$14),1,$C120))*($E120&lt;=INDEX(_xlfn.ANCHORARRAY(Sintesi!$C$15),1,$C120))*(INDEX(_xlfn.ANCHORARRAY(Sintesi!$C$15),1,$C120)&gt;0),1,IF(($E120&gt;=$E119)*($E120&lt;=INDEX($E:$E,MATCH(TRUE,INDEX((ISNUMBER($E:$E)),0),0)))*($E120&gt;INDEX(_xlfn.ANCHORARRAY(Sintesi!$C$14),1,$C120))*($E120&lt;INDEX(_xlfn.ANCHORARRAY(Sintesi!$C$16),1,$C120))*(INDEX(_xlfn.ANCHORARRAY(Sintesi!$C$15),1,$C120)&lt;0)+($E120&gt;=$E119)*($E120&lt;=INDEX($E:$E,MATCH(TRUE,INDEX((ISNUMBER($E:$E)),0),0)))*($E120&gt;INDEX(_xlfn.ANCHORARRAY(Sintesi!$C$15),1,$C120))*($E120&lt;INDEX(_xlfn.ANCHORARRAY(Sintesi!$C$16),1,$C120))*(INDEX(_xlfn.ANCHORARRAY(Sintesi!$C$15),1,$C120)&gt;0),2,IF($E120=(INDEX(_xlfn.ANCHORARRAY(Sintesi!$C$16),1,$C120)),3,4)))),0),IF($C120&gt;0,IF(($E120=INDEX(_xlfn.ANCHORARRAY(Sintesi!$C$14),1,$C120))*(INDEX(_xlfn.ANCHORARRAY(Sintesi!$C$15),1,$C120)&gt;0),0,IF(($E120=INDEX(_xlfn.ANCHORARRAY(Sintesi!$C$14),1,$C120))*(INDEX(_xlfn.ANCHORARRAY(Sintesi!$C$15),1,$C120)&lt;0)+($E120&gt;=LOOKUP(2,1/($E:$E&lt;&gt;""),$E:$E))*($E120&lt;=INDEX($E:$E,MATCH(TRUE,INDEX((ISNUMBER($E:$E)),0),0)))*($E120&gt;INDEX(_xlfn.ANCHORARRAY(Sintesi!$C$14),1,$C120))*($E120&lt;=INDEX(_xlfn.ANCHORARRAY(Sintesi!$C$15),1,$C120))*(INDEX(_xlfn.ANCHORARRAY(Sintesi!$C$15),1,$C120)&gt;0),1,IF(($E120&gt;=LOOKUP(2,1/($E:$E&lt;&gt;""),$E:$E))*($E120&lt;=INDEX($E:$E,MATCH(TRUE,INDEX((ISNUMBER($E:$E)),0),0)))*($E120&gt;INDEX(_xlfn.ANCHORARRAY(Sintesi!$C$14),1,$C120))*($E120&lt;INDEX(_xlfn.ANCHORARRAY(Sintesi!$C$16),1,$C120))*(INDEX(_xlfn.ANCHORARRAY(Sintesi!$C$15),1,$C120)&lt;0)+($E120&gt;=LOOKUP(2,1/($E:$E&lt;&gt;""),$E:$E))*($E120&lt;=INDEX($E:$E,MATCH(TRUE,INDEX((ISNUMBER($E:$E)),0),0)))*($E120&gt;INDEX(_xlfn.ANCHORARRAY(Sintesi!$C$15),1,$C120))*($E120&lt;INDEX(_xlfn.ANCHORARRAY(Sintesi!$C$16),1,$C120))*(INDEX(_xlfn.ANCHORARRAY(Sintesi!$C$15),1,$C120)&gt;0),2,IF($E120=(INDEX(_xlfn.ANCHORARRAY(Sintesi!$C$16),1,$C120)),3,4)))),0)),IF(ISNUMBER($E119),IF($C120&gt;0,IF(($E120=INDEX(_xlfn.ANCHORARRAY(Sintesi!$C$14),1,$C120))*(INDEX(_xlfn.ANCHORARRAY(Sintesi!$C$15),1,$C120)&gt;0),0,IF(($E120=INDEX(_xlfn.ANCHORARRAY(Sintesi!$C$14),1,$C120))*(INDEX(_xlfn.ANCHORARRAY(Sintesi!$C$15),1,$C120)&lt;0)+($E120&gt;=$E119)*($E120&lt;=$E121)*($E120&gt;INDEX(_xlfn.ANCHORARRAY(Sintesi!$C$14),1,$C120))*($E120&lt;=INDEX(_xlfn.ANCHORARRAY(Sintesi!$C$15),1,$C120))*(INDEX(_xlfn.ANCHORARRAY(Sintesi!$C$15),1,$C120)&gt;0),1,IF(($E120&gt;=$E119)*($E120&lt;=$E121)*($E120&gt;INDEX(_xlfn.ANCHORARRAY(Sintesi!$C$14),1,$C120))*($E120&lt;INDEX(_xlfn.ANCHORARRAY(Sintesi!$C$16),1,$C120))*(INDEX(_xlfn.ANCHORARRAY(Sintesi!$C$15),1,$C120)&lt;0)+($E120&gt;=$E119)*($E120&lt;=$E121)*($E120&gt;INDEX(_xlfn.ANCHORARRAY(Sintesi!$C$15),1,$C120))*($E120&lt;INDEX(_xlfn.ANCHORARRAY(Sintesi!$C$16),1,$C120))*(INDEX(_xlfn.ANCHORARRAY(Sintesi!$C$15),1,$C120)&gt;0),2,IF($E120=(INDEX(_xlfn.ANCHORARRAY(Sintesi!$C$16),1,$C120)),3,4)))),0),IF($C120&gt;0,IF(($E120=INDEX(_xlfn.ANCHORARRAY(Sintesi!$C$14),1,$C120))*(INDEX(_xlfn.ANCHORARRAY(Sintesi!$C$15),1,$C120)&gt;0),0,IF(($E120=INDEX(_xlfn.ANCHORARRAY(Sintesi!$C$14),1,$C120))*(INDEX(_xlfn.ANCHORARRAY(Sintesi!$C$15),1,$C120)&lt;0)+($E120&gt;=LOOKUP(2,1/($E:$E&lt;&gt;""),$E:$E))*($E120&lt;=$E121)*($E120&gt;INDEX(_xlfn.ANCHORARRAY(Sintesi!$C$14),1,$C120))*($E120&lt;=INDEX(_xlfn.ANCHORARRAY(Sintesi!$C$15),1,$C120))*(INDEX(_xlfn.ANCHORARRAY(Sintesi!$C$15),1,$C120)&gt;0),1,IF(($E120&gt;=LOOKUP(2,1/($E:$E&lt;&gt;""),$E:$E))*($E120&lt;=$E121)*($E120&gt;INDEX(_xlfn.ANCHORARRAY(Sintesi!$C$14),1,$C120))*($E120&lt;INDEX(_xlfn.ANCHORARRAY(Sintesi!$C$16),1,$C120))*(INDEX(_xlfn.ANCHORARRAY(Sintesi!$C$15),1,$C120)&lt;0)+($E120&gt;=LOOKUP(2,1/($E:$E&lt;&gt;""),$E:$E))*($E120&lt;=$E121)*($E120&gt;INDEX(_xlfn.ANCHORARRAY(Sintesi!$C$15),1,$C120))*($E120&lt;INDEX(_xlfn.ANCHORARRAY(Sintesi!$C$16),1,$C120))*(INDEX(_xlfn.ANCHORARRAY(Sintesi!$C$15),1,$C120)&gt;0),2,IF($E120=(INDEX(_xlfn.ANCHORARRAY(Sintesi!$C$16),1,$C120)),3,4)))),0)))</f>
        <v>1</v>
      </c>
      <c r="E120" s="1">
        <f>'Paste cell here'!F120</f>
        <v>0.15</v>
      </c>
      <c r="F120" s="1">
        <f>'Paste cell here'!C120</f>
        <v>15.419999999999771</v>
      </c>
      <c r="G120" s="1">
        <f>'Paste cell here'!D120</f>
        <v>13.059999999999812</v>
      </c>
      <c r="H120" s="1">
        <f>'Paste cell here'!E120</f>
        <v>1.0112741340668603</v>
      </c>
      <c r="I120" s="1">
        <f>'Paste cell here'!X120</f>
        <v>0.15168859314035515</v>
      </c>
      <c r="J120" s="1">
        <f>'Paste cell here'!Y120+'Paste cell here'!S120</f>
        <v>0.15168859314035515</v>
      </c>
      <c r="K120" s="1">
        <f t="shared" si="2"/>
        <v>0.14999750120210856</v>
      </c>
      <c r="L120" s="1">
        <f t="shared" si="3"/>
        <v>14.536698106084176</v>
      </c>
      <c r="M120" s="1">
        <f t="array" ref="M120">IF(AND(A120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120&gt;=_xlfn.ANCHORARRAY(Sintesi!$C$9))+(_xlfn.ANCHORARRAY(Sintesi!$C$9)&gt;_xlfn.ANCHORARRAY(Sintesi!$C$10))*(A120&lt;=_xlfn.ANCHORARRAY(Sintesi!$C$10))+(_xlfn.ANCHORARRAY(Sintesi!$C$9)&lt;_xlfn.ANCHORARRAY(Sintesi!$C$10))*(A120&gt;=_xlfn.ANCHORARRAY(Sintesi!$C$9))*(A120&lt;=_xlfn.ANCHORARRAY(Sintesi!$C$10)),0)),0),A120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121&gt;=_xlfn.ANCHORARRAY(Sintesi!$C$9))+(_xlfn.ANCHORARRAY(Sintesi!$C$9)&gt;_xlfn.ANCHORARRAY(Sintesi!$C$10))*(A121&lt;=_xlfn.ANCHORARRAY(Sintesi!$C$10))+(_xlfn.ANCHORARRAY(Sintesi!$C$9)&lt;_xlfn.ANCHORARRAY(Sintesi!$C$10))*(A121&gt;=_xlfn.ANCHORARRAY(Sintesi!$C$9))*(A121&lt;=_xlfn.ANCHORARRAY(Sintesi!$C$10)),0)),0)),IF(L120&lt;_xlfn.IFNA(INDEX(_xlfn.ANCHORARRAY(Sintesi!$C$17),1,MATCH(1,(_xlfn.ANCHORARRAY(Sintesi!$C$9)&gt;_xlfn.ANCHORARRAY(Sintesi!$C$10))*(A119&gt;=_xlfn.ANCHORARRAY(Sintesi!$C$9))+(_xlfn.ANCHORARRAY(Sintesi!$C$9)&gt;_xlfn.ANCHORARRAY(Sintesi!$C$10))*(A119&lt;=_xlfn.ANCHORARRAY(Sintesi!$C$10))+(_xlfn.ANCHORARRAY(Sintesi!$C$9)&lt;_xlfn.ANCHORARRAY(Sintesi!$C$10))*(A119&gt;=_xlfn.ANCHORARRAY(Sintesi!$C$9))*(A119&lt;=_xlfn.ANCHORARRAY(Sintesi!$C$10)),0)),0),1,IF(L120&gt;=_xlfn.IFNA(INDEX(_xlfn.ANCHORARRAY(Sintesi!$C$18),1,MATCH(1,(_xlfn.ANCHORARRAY(Sintesi!$C$9)&gt;_xlfn.ANCHORARRAY(Sintesi!$C$10))*(A119&gt;=_xlfn.ANCHORARRAY(Sintesi!$C$9))+(_xlfn.ANCHORARRAY(Sintesi!$C$9)&gt;_xlfn.ANCHORARRAY(Sintesi!$C$10))*(A119&lt;=_xlfn.ANCHORARRAY(Sintesi!$C$10))+(_xlfn.ANCHORARRAY(Sintesi!$C$9)&lt;_xlfn.ANCHORARRAY(Sintesi!$C$10))*(A119&gt;=_xlfn.ANCHORARRAY(Sintesi!$C$9))*(A119&lt;=_xlfn.ANCHORARRAY(Sintesi!$C$10)),0)),0),0,1-(L120-_xlfn.IFNA(INDEX(_xlfn.ANCHORARRAY(Sintesi!$C$17),1,MATCH(1,(_xlfn.ANCHORARRAY(Sintesi!$C$9)&gt;_xlfn.ANCHORARRAY(Sintesi!$C$10))*(A119&gt;=_xlfn.ANCHORARRAY(Sintesi!$C$9))+(_xlfn.ANCHORARRAY(Sintesi!$C$9)&gt;_xlfn.ANCHORARRAY(Sintesi!$C$10))*(A119&lt;=_xlfn.ANCHORARRAY(Sintesi!$C$10))+(_xlfn.ANCHORARRAY(Sintesi!$C$9)&lt;_xlfn.ANCHORARRAY(Sintesi!$C$10))*(A119&gt;=_xlfn.ANCHORARRAY(Sintesi!$C$9))*(A119&lt;=_xlfn.ANCHORARRAY(Sintesi!$C$10)),0)),0))/(_xlfn.IFNA(INDEX(_xlfn.ANCHORARRAY(Sintesi!$C$18),1,MATCH(1,(_xlfn.ANCHORARRAY(Sintesi!$C$9)&gt;_xlfn.ANCHORARRAY(Sintesi!$C$10))*(A119&gt;=_xlfn.ANCHORARRAY(Sintesi!$C$9))+(_xlfn.ANCHORARRAY(Sintesi!$C$9)&gt;_xlfn.ANCHORARRAY(Sintesi!$C$10))*(A119&lt;=_xlfn.ANCHORARRAY(Sintesi!$C$10))+(_xlfn.ANCHORARRAY(Sintesi!$C$9)&lt;_xlfn.ANCHORARRAY(Sintesi!$C$10))*(A119&gt;=_xlfn.ANCHORARRAY(Sintesi!$C$9))*(A119&lt;=_xlfn.ANCHORARRAY(Sintesi!$C$10)),0)),0)-_xlfn.IFNA(INDEX(_xlfn.ANCHORARRAY(Sintesi!$C$17),1,MATCH(1,(_xlfn.ANCHORARRAY(Sintesi!$C$9)&gt;_xlfn.ANCHORARRAY(Sintesi!$C$10))*(A119&gt;=_xlfn.ANCHORARRAY(Sintesi!$C$9))+(_xlfn.ANCHORARRAY(Sintesi!$C$9)&gt;_xlfn.ANCHORARRAY(Sintesi!$C$10))*(A119&lt;=_xlfn.ANCHORARRAY(Sintesi!$C$10))+(_xlfn.ANCHORARRAY(Sintesi!$C$9)&lt;_xlfn.ANCHORARRAY(Sintesi!$C$10))*(A119&gt;=_xlfn.ANCHORARRAY(Sintesi!$C$9))*(A119&lt;=_xlfn.ANCHORARRAY(Sintesi!$C$10)),0)),0)))),0)</f>
        <v>0</v>
      </c>
    </row>
    <row r="121" spans="1:13">
      <c r="A121" s="1">
        <f>'Paste cell here'!A121</f>
        <v>120</v>
      </c>
      <c r="B121" s="2">
        <f>DATE(Sintesi!$C$4-1,12,31)+A121</f>
        <v>44316</v>
      </c>
      <c r="C121" s="34">
        <f t="array" ref="C121">_xlfn.IFNA(MATCH(1,((_xlfn.ANCHORARRAY(Sintesi!$C$9)&gt;_xlfn.ANCHORARRAY(Sintesi!$C$10))*(A121&gt;=_xlfn.ANCHORARRAY(Sintesi!$C$9))+(_xlfn.ANCHORARRAY(Sintesi!$C$9)&gt;_xlfn.ANCHORARRAY(Sintesi!$C$10))*(A121&lt;=_xlfn.ANCHORARRAY(Sintesi!$C$10))+(_xlfn.ANCHORARRAY(Sintesi!$C$9)&lt;_xlfn.ANCHORARRAY(Sintesi!$C$10))*(A121&gt;=_xlfn.ANCHORARRAY(Sintesi!$C$9))*(A121&lt;=_xlfn.ANCHORARRAY(Sintesi!$C$10)))*(_xlfn.ANCHORARRAY(Sintesi!$C$15)&gt;=0)+(_xlfn.ANCHORARRAY(Sintesi!$C$15)&lt;0),0),0)</f>
        <v>1</v>
      </c>
      <c r="D121" s="1">
        <f t="array" ref="D121">IF(ISBLANK($E122),IF(ISNUMBER($E120),IF($C121&gt;0,IF(($E121=INDEX(_xlfn.ANCHORARRAY(Sintesi!$C$14),1,$C121))*(INDEX(_xlfn.ANCHORARRAY(Sintesi!$C$15),1,$C121)&gt;0),0,IF(($E121=INDEX(_xlfn.ANCHORARRAY(Sintesi!$C$14),1,$C121))*(INDEX(_xlfn.ANCHORARRAY(Sintesi!$C$15),1,$C121)&lt;0)+($E121&gt;=$E120)*($E121&lt;=INDEX($E:$E,MATCH(TRUE,INDEX((ISNUMBER($E:$E)),0),0)))*($E121&gt;INDEX(_xlfn.ANCHORARRAY(Sintesi!$C$14),1,$C121))*($E121&lt;=INDEX(_xlfn.ANCHORARRAY(Sintesi!$C$15),1,$C121))*(INDEX(_xlfn.ANCHORARRAY(Sintesi!$C$15),1,$C121)&gt;0),1,IF(($E121&gt;=$E120)*($E121&lt;=INDEX($E:$E,MATCH(TRUE,INDEX((ISNUMBER($E:$E)),0),0)))*($E121&gt;INDEX(_xlfn.ANCHORARRAY(Sintesi!$C$14),1,$C121))*($E121&lt;INDEX(_xlfn.ANCHORARRAY(Sintesi!$C$16),1,$C121))*(INDEX(_xlfn.ANCHORARRAY(Sintesi!$C$15),1,$C121)&lt;0)+($E121&gt;=$E120)*($E121&lt;=INDEX($E:$E,MATCH(TRUE,INDEX((ISNUMBER($E:$E)),0),0)))*($E121&gt;INDEX(_xlfn.ANCHORARRAY(Sintesi!$C$15),1,$C121))*($E121&lt;INDEX(_xlfn.ANCHORARRAY(Sintesi!$C$16),1,$C121))*(INDEX(_xlfn.ANCHORARRAY(Sintesi!$C$15),1,$C121)&gt;0),2,IF($E121=(INDEX(_xlfn.ANCHORARRAY(Sintesi!$C$16),1,$C121)),3,4)))),0),IF($C121&gt;0,IF(($E121=INDEX(_xlfn.ANCHORARRAY(Sintesi!$C$14),1,$C121))*(INDEX(_xlfn.ANCHORARRAY(Sintesi!$C$15),1,$C121)&gt;0),0,IF(($E121=INDEX(_xlfn.ANCHORARRAY(Sintesi!$C$14),1,$C121))*(INDEX(_xlfn.ANCHORARRAY(Sintesi!$C$15),1,$C121)&lt;0)+($E121&gt;=LOOKUP(2,1/($E:$E&lt;&gt;""),$E:$E))*($E121&lt;=INDEX($E:$E,MATCH(TRUE,INDEX((ISNUMBER($E:$E)),0),0)))*($E121&gt;INDEX(_xlfn.ANCHORARRAY(Sintesi!$C$14),1,$C121))*($E121&lt;=INDEX(_xlfn.ANCHORARRAY(Sintesi!$C$15),1,$C121))*(INDEX(_xlfn.ANCHORARRAY(Sintesi!$C$15),1,$C121)&gt;0),1,IF(($E121&gt;=LOOKUP(2,1/($E:$E&lt;&gt;""),$E:$E))*($E121&lt;=INDEX($E:$E,MATCH(TRUE,INDEX((ISNUMBER($E:$E)),0),0)))*($E121&gt;INDEX(_xlfn.ANCHORARRAY(Sintesi!$C$14),1,$C121))*($E121&lt;INDEX(_xlfn.ANCHORARRAY(Sintesi!$C$16),1,$C121))*(INDEX(_xlfn.ANCHORARRAY(Sintesi!$C$15),1,$C121)&lt;0)+($E121&gt;=LOOKUP(2,1/($E:$E&lt;&gt;""),$E:$E))*($E121&lt;=INDEX($E:$E,MATCH(TRUE,INDEX((ISNUMBER($E:$E)),0),0)))*($E121&gt;INDEX(_xlfn.ANCHORARRAY(Sintesi!$C$15),1,$C121))*($E121&lt;INDEX(_xlfn.ANCHORARRAY(Sintesi!$C$16),1,$C121))*(INDEX(_xlfn.ANCHORARRAY(Sintesi!$C$15),1,$C121)&gt;0),2,IF($E121=(INDEX(_xlfn.ANCHORARRAY(Sintesi!$C$16),1,$C121)),3,4)))),0)),IF(ISNUMBER($E120),IF($C121&gt;0,IF(($E121=INDEX(_xlfn.ANCHORARRAY(Sintesi!$C$14),1,$C121))*(INDEX(_xlfn.ANCHORARRAY(Sintesi!$C$15),1,$C121)&gt;0),0,IF(($E121=INDEX(_xlfn.ANCHORARRAY(Sintesi!$C$14),1,$C121))*(INDEX(_xlfn.ANCHORARRAY(Sintesi!$C$15),1,$C121)&lt;0)+($E121&gt;=$E120)*($E121&lt;=$E122)*($E121&gt;INDEX(_xlfn.ANCHORARRAY(Sintesi!$C$14),1,$C121))*($E121&lt;=INDEX(_xlfn.ANCHORARRAY(Sintesi!$C$15),1,$C121))*(INDEX(_xlfn.ANCHORARRAY(Sintesi!$C$15),1,$C121)&gt;0),1,IF(($E121&gt;=$E120)*($E121&lt;=$E122)*($E121&gt;INDEX(_xlfn.ANCHORARRAY(Sintesi!$C$14),1,$C121))*($E121&lt;INDEX(_xlfn.ANCHORARRAY(Sintesi!$C$16),1,$C121))*(INDEX(_xlfn.ANCHORARRAY(Sintesi!$C$15),1,$C121)&lt;0)+($E121&gt;=$E120)*($E121&lt;=$E122)*($E121&gt;INDEX(_xlfn.ANCHORARRAY(Sintesi!$C$15),1,$C121))*($E121&lt;INDEX(_xlfn.ANCHORARRAY(Sintesi!$C$16),1,$C121))*(INDEX(_xlfn.ANCHORARRAY(Sintesi!$C$15),1,$C121)&gt;0),2,IF($E121=(INDEX(_xlfn.ANCHORARRAY(Sintesi!$C$16),1,$C121)),3,4)))),0),IF($C121&gt;0,IF(($E121=INDEX(_xlfn.ANCHORARRAY(Sintesi!$C$14),1,$C121))*(INDEX(_xlfn.ANCHORARRAY(Sintesi!$C$15),1,$C121)&gt;0),0,IF(($E121=INDEX(_xlfn.ANCHORARRAY(Sintesi!$C$14),1,$C121))*(INDEX(_xlfn.ANCHORARRAY(Sintesi!$C$15),1,$C121)&lt;0)+($E121&gt;=LOOKUP(2,1/($E:$E&lt;&gt;""),$E:$E))*($E121&lt;=$E122)*($E121&gt;INDEX(_xlfn.ANCHORARRAY(Sintesi!$C$14),1,$C121))*($E121&lt;=INDEX(_xlfn.ANCHORARRAY(Sintesi!$C$15),1,$C121))*(INDEX(_xlfn.ANCHORARRAY(Sintesi!$C$15),1,$C121)&gt;0),1,IF(($E121&gt;=LOOKUP(2,1/($E:$E&lt;&gt;""),$E:$E))*($E121&lt;=$E122)*($E121&gt;INDEX(_xlfn.ANCHORARRAY(Sintesi!$C$14),1,$C121))*($E121&lt;INDEX(_xlfn.ANCHORARRAY(Sintesi!$C$16),1,$C121))*(INDEX(_xlfn.ANCHORARRAY(Sintesi!$C$15),1,$C121)&lt;0)+($E121&gt;=LOOKUP(2,1/($E:$E&lt;&gt;""),$E:$E))*($E121&lt;=$E122)*($E121&gt;INDEX(_xlfn.ANCHORARRAY(Sintesi!$C$15),1,$C121))*($E121&lt;INDEX(_xlfn.ANCHORARRAY(Sintesi!$C$16),1,$C121))*(INDEX(_xlfn.ANCHORARRAY(Sintesi!$C$15),1,$C121)&gt;0),2,IF($E121=(INDEX(_xlfn.ANCHORARRAY(Sintesi!$C$16),1,$C121)),3,4)))),0)))</f>
        <v>1</v>
      </c>
      <c r="E121" s="1">
        <f>'Paste cell here'!F121</f>
        <v>0.15</v>
      </c>
      <c r="F121" s="1">
        <f>'Paste cell here'!C121</f>
        <v>19.479999999999716</v>
      </c>
      <c r="G121" s="1">
        <f>'Paste cell here'!D121</f>
        <v>12.199999999999818</v>
      </c>
      <c r="H121" s="1">
        <f>'Paste cell here'!E121</f>
        <v>2.0248158138445178</v>
      </c>
      <c r="I121" s="1">
        <f>'Paste cell here'!X121</f>
        <v>0.30371696595657627</v>
      </c>
      <c r="J121" s="1">
        <f>'Paste cell here'!Y121+'Paste cell here'!S121</f>
        <v>0.30371696595657627</v>
      </c>
      <c r="K121" s="1">
        <f t="shared" si="2"/>
        <v>0.14999733006821439</v>
      </c>
      <c r="L121" s="1">
        <f t="shared" si="3"/>
        <v>16.755238225548208</v>
      </c>
      <c r="M121" s="1">
        <f t="array" ref="M121">IF(AND(A121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121&gt;=_xlfn.ANCHORARRAY(Sintesi!$C$9))+(_xlfn.ANCHORARRAY(Sintesi!$C$9)&gt;_xlfn.ANCHORARRAY(Sintesi!$C$10))*(A121&lt;=_xlfn.ANCHORARRAY(Sintesi!$C$10))+(_xlfn.ANCHORARRAY(Sintesi!$C$9)&lt;_xlfn.ANCHORARRAY(Sintesi!$C$10))*(A121&gt;=_xlfn.ANCHORARRAY(Sintesi!$C$9))*(A121&lt;=_xlfn.ANCHORARRAY(Sintesi!$C$10)),0)),0),A121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122&gt;=_xlfn.ANCHORARRAY(Sintesi!$C$9))+(_xlfn.ANCHORARRAY(Sintesi!$C$9)&gt;_xlfn.ANCHORARRAY(Sintesi!$C$10))*(A122&lt;=_xlfn.ANCHORARRAY(Sintesi!$C$10))+(_xlfn.ANCHORARRAY(Sintesi!$C$9)&lt;_xlfn.ANCHORARRAY(Sintesi!$C$10))*(A122&gt;=_xlfn.ANCHORARRAY(Sintesi!$C$9))*(A122&lt;=_xlfn.ANCHORARRAY(Sintesi!$C$10)),0)),0)),IF(L121&lt;_xlfn.IFNA(INDEX(_xlfn.ANCHORARRAY(Sintesi!$C$17),1,MATCH(1,(_xlfn.ANCHORARRAY(Sintesi!$C$9)&gt;_xlfn.ANCHORARRAY(Sintesi!$C$10))*(A120&gt;=_xlfn.ANCHORARRAY(Sintesi!$C$9))+(_xlfn.ANCHORARRAY(Sintesi!$C$9)&gt;_xlfn.ANCHORARRAY(Sintesi!$C$10))*(A120&lt;=_xlfn.ANCHORARRAY(Sintesi!$C$10))+(_xlfn.ANCHORARRAY(Sintesi!$C$9)&lt;_xlfn.ANCHORARRAY(Sintesi!$C$10))*(A120&gt;=_xlfn.ANCHORARRAY(Sintesi!$C$9))*(A120&lt;=_xlfn.ANCHORARRAY(Sintesi!$C$10)),0)),0),1,IF(L121&gt;=_xlfn.IFNA(INDEX(_xlfn.ANCHORARRAY(Sintesi!$C$18),1,MATCH(1,(_xlfn.ANCHORARRAY(Sintesi!$C$9)&gt;_xlfn.ANCHORARRAY(Sintesi!$C$10))*(A120&gt;=_xlfn.ANCHORARRAY(Sintesi!$C$9))+(_xlfn.ANCHORARRAY(Sintesi!$C$9)&gt;_xlfn.ANCHORARRAY(Sintesi!$C$10))*(A120&lt;=_xlfn.ANCHORARRAY(Sintesi!$C$10))+(_xlfn.ANCHORARRAY(Sintesi!$C$9)&lt;_xlfn.ANCHORARRAY(Sintesi!$C$10))*(A120&gt;=_xlfn.ANCHORARRAY(Sintesi!$C$9))*(A120&lt;=_xlfn.ANCHORARRAY(Sintesi!$C$10)),0)),0),0,1-(L121-_xlfn.IFNA(INDEX(_xlfn.ANCHORARRAY(Sintesi!$C$17),1,MATCH(1,(_xlfn.ANCHORARRAY(Sintesi!$C$9)&gt;_xlfn.ANCHORARRAY(Sintesi!$C$10))*(A120&gt;=_xlfn.ANCHORARRAY(Sintesi!$C$9))+(_xlfn.ANCHORARRAY(Sintesi!$C$9)&gt;_xlfn.ANCHORARRAY(Sintesi!$C$10))*(A120&lt;=_xlfn.ANCHORARRAY(Sintesi!$C$10))+(_xlfn.ANCHORARRAY(Sintesi!$C$9)&lt;_xlfn.ANCHORARRAY(Sintesi!$C$10))*(A120&gt;=_xlfn.ANCHORARRAY(Sintesi!$C$9))*(A120&lt;=_xlfn.ANCHORARRAY(Sintesi!$C$10)),0)),0))/(_xlfn.IFNA(INDEX(_xlfn.ANCHORARRAY(Sintesi!$C$18),1,MATCH(1,(_xlfn.ANCHORARRAY(Sintesi!$C$9)&gt;_xlfn.ANCHORARRAY(Sintesi!$C$10))*(A120&gt;=_xlfn.ANCHORARRAY(Sintesi!$C$9))+(_xlfn.ANCHORARRAY(Sintesi!$C$9)&gt;_xlfn.ANCHORARRAY(Sintesi!$C$10))*(A120&lt;=_xlfn.ANCHORARRAY(Sintesi!$C$10))+(_xlfn.ANCHORARRAY(Sintesi!$C$9)&lt;_xlfn.ANCHORARRAY(Sintesi!$C$10))*(A120&gt;=_xlfn.ANCHORARRAY(Sintesi!$C$9))*(A120&lt;=_xlfn.ANCHORARRAY(Sintesi!$C$10)),0)),0)-_xlfn.IFNA(INDEX(_xlfn.ANCHORARRAY(Sintesi!$C$17),1,MATCH(1,(_xlfn.ANCHORARRAY(Sintesi!$C$9)&gt;_xlfn.ANCHORARRAY(Sintesi!$C$10))*(A120&gt;=_xlfn.ANCHORARRAY(Sintesi!$C$9))+(_xlfn.ANCHORARRAY(Sintesi!$C$9)&gt;_xlfn.ANCHORARRAY(Sintesi!$C$10))*(A120&lt;=_xlfn.ANCHORARRAY(Sintesi!$C$10))+(_xlfn.ANCHORARRAY(Sintesi!$C$9)&lt;_xlfn.ANCHORARRAY(Sintesi!$C$10))*(A120&gt;=_xlfn.ANCHORARRAY(Sintesi!$C$9))*(A120&lt;=_xlfn.ANCHORARRAY(Sintesi!$C$10)),0)),0)))),0)</f>
        <v>0</v>
      </c>
    </row>
    <row r="122" spans="1:13">
      <c r="A122" s="1">
        <f>'Paste cell here'!A122</f>
        <v>121</v>
      </c>
      <c r="B122" s="2">
        <f>DATE(Sintesi!$C$4-1,12,31)+A122</f>
        <v>44317</v>
      </c>
      <c r="C122" s="34">
        <f t="array" ref="C122">_xlfn.IFNA(MATCH(1,((_xlfn.ANCHORARRAY(Sintesi!$C$9)&gt;_xlfn.ANCHORARRAY(Sintesi!$C$10))*(A122&gt;=_xlfn.ANCHORARRAY(Sintesi!$C$9))+(_xlfn.ANCHORARRAY(Sintesi!$C$9)&gt;_xlfn.ANCHORARRAY(Sintesi!$C$10))*(A122&lt;=_xlfn.ANCHORARRAY(Sintesi!$C$10))+(_xlfn.ANCHORARRAY(Sintesi!$C$9)&lt;_xlfn.ANCHORARRAY(Sintesi!$C$10))*(A122&gt;=_xlfn.ANCHORARRAY(Sintesi!$C$9))*(A122&lt;=_xlfn.ANCHORARRAY(Sintesi!$C$10)))*(_xlfn.ANCHORARRAY(Sintesi!$C$15)&gt;=0)+(_xlfn.ANCHORARRAY(Sintesi!$C$15)&lt;0),0),0)</f>
        <v>1</v>
      </c>
      <c r="D122" s="1">
        <f t="array" ref="D122">IF(ISBLANK($E123),IF(ISNUMBER($E121),IF($C122&gt;0,IF(($E122=INDEX(_xlfn.ANCHORARRAY(Sintesi!$C$14),1,$C122))*(INDEX(_xlfn.ANCHORARRAY(Sintesi!$C$15),1,$C122)&gt;0),0,IF(($E122=INDEX(_xlfn.ANCHORARRAY(Sintesi!$C$14),1,$C122))*(INDEX(_xlfn.ANCHORARRAY(Sintesi!$C$15),1,$C122)&lt;0)+($E122&gt;=$E121)*($E122&lt;=INDEX($E:$E,MATCH(TRUE,INDEX((ISNUMBER($E:$E)),0),0)))*($E122&gt;INDEX(_xlfn.ANCHORARRAY(Sintesi!$C$14),1,$C122))*($E122&lt;=INDEX(_xlfn.ANCHORARRAY(Sintesi!$C$15),1,$C122))*(INDEX(_xlfn.ANCHORARRAY(Sintesi!$C$15),1,$C122)&gt;0),1,IF(($E122&gt;=$E121)*($E122&lt;=INDEX($E:$E,MATCH(TRUE,INDEX((ISNUMBER($E:$E)),0),0)))*($E122&gt;INDEX(_xlfn.ANCHORARRAY(Sintesi!$C$14),1,$C122))*($E122&lt;INDEX(_xlfn.ANCHORARRAY(Sintesi!$C$16),1,$C122))*(INDEX(_xlfn.ANCHORARRAY(Sintesi!$C$15),1,$C122)&lt;0)+($E122&gt;=$E121)*($E122&lt;=INDEX($E:$E,MATCH(TRUE,INDEX((ISNUMBER($E:$E)),0),0)))*($E122&gt;INDEX(_xlfn.ANCHORARRAY(Sintesi!$C$15),1,$C122))*($E122&lt;INDEX(_xlfn.ANCHORARRAY(Sintesi!$C$16),1,$C122))*(INDEX(_xlfn.ANCHORARRAY(Sintesi!$C$15),1,$C122)&gt;0),2,IF($E122=(INDEX(_xlfn.ANCHORARRAY(Sintesi!$C$16),1,$C122)),3,4)))),0),IF($C122&gt;0,IF(($E122=INDEX(_xlfn.ANCHORARRAY(Sintesi!$C$14),1,$C122))*(INDEX(_xlfn.ANCHORARRAY(Sintesi!$C$15),1,$C122)&gt;0),0,IF(($E122=INDEX(_xlfn.ANCHORARRAY(Sintesi!$C$14),1,$C122))*(INDEX(_xlfn.ANCHORARRAY(Sintesi!$C$15),1,$C122)&lt;0)+($E122&gt;=LOOKUP(2,1/($E:$E&lt;&gt;""),$E:$E))*($E122&lt;=INDEX($E:$E,MATCH(TRUE,INDEX((ISNUMBER($E:$E)),0),0)))*($E122&gt;INDEX(_xlfn.ANCHORARRAY(Sintesi!$C$14),1,$C122))*($E122&lt;=INDEX(_xlfn.ANCHORARRAY(Sintesi!$C$15),1,$C122))*(INDEX(_xlfn.ANCHORARRAY(Sintesi!$C$15),1,$C122)&gt;0),1,IF(($E122&gt;=LOOKUP(2,1/($E:$E&lt;&gt;""),$E:$E))*($E122&lt;=INDEX($E:$E,MATCH(TRUE,INDEX((ISNUMBER($E:$E)),0),0)))*($E122&gt;INDEX(_xlfn.ANCHORARRAY(Sintesi!$C$14),1,$C122))*($E122&lt;INDEX(_xlfn.ANCHORARRAY(Sintesi!$C$16),1,$C122))*(INDEX(_xlfn.ANCHORARRAY(Sintesi!$C$15),1,$C122)&lt;0)+($E122&gt;=LOOKUP(2,1/($E:$E&lt;&gt;""),$E:$E))*($E122&lt;=INDEX($E:$E,MATCH(TRUE,INDEX((ISNUMBER($E:$E)),0),0)))*($E122&gt;INDEX(_xlfn.ANCHORARRAY(Sintesi!$C$15),1,$C122))*($E122&lt;INDEX(_xlfn.ANCHORARRAY(Sintesi!$C$16),1,$C122))*(INDEX(_xlfn.ANCHORARRAY(Sintesi!$C$15),1,$C122)&gt;0),2,IF($E122=(INDEX(_xlfn.ANCHORARRAY(Sintesi!$C$16),1,$C122)),3,4)))),0)),IF(ISNUMBER($E121),IF($C122&gt;0,IF(($E122=INDEX(_xlfn.ANCHORARRAY(Sintesi!$C$14),1,$C122))*(INDEX(_xlfn.ANCHORARRAY(Sintesi!$C$15),1,$C122)&gt;0),0,IF(($E122=INDEX(_xlfn.ANCHORARRAY(Sintesi!$C$14),1,$C122))*(INDEX(_xlfn.ANCHORARRAY(Sintesi!$C$15),1,$C122)&lt;0)+($E122&gt;=$E121)*($E122&lt;=$E123)*($E122&gt;INDEX(_xlfn.ANCHORARRAY(Sintesi!$C$14),1,$C122))*($E122&lt;=INDEX(_xlfn.ANCHORARRAY(Sintesi!$C$15),1,$C122))*(INDEX(_xlfn.ANCHORARRAY(Sintesi!$C$15),1,$C122)&gt;0),1,IF(($E122&gt;=$E121)*($E122&lt;=$E123)*($E122&gt;INDEX(_xlfn.ANCHORARRAY(Sintesi!$C$14),1,$C122))*($E122&lt;INDEX(_xlfn.ANCHORARRAY(Sintesi!$C$16),1,$C122))*(INDEX(_xlfn.ANCHORARRAY(Sintesi!$C$15),1,$C122)&lt;0)+($E122&gt;=$E121)*($E122&lt;=$E123)*($E122&gt;INDEX(_xlfn.ANCHORARRAY(Sintesi!$C$15),1,$C122))*($E122&lt;INDEX(_xlfn.ANCHORARRAY(Sintesi!$C$16),1,$C122))*(INDEX(_xlfn.ANCHORARRAY(Sintesi!$C$15),1,$C122)&gt;0),2,IF($E122=(INDEX(_xlfn.ANCHORARRAY(Sintesi!$C$16),1,$C122)),3,4)))),0),IF($C122&gt;0,IF(($E122=INDEX(_xlfn.ANCHORARRAY(Sintesi!$C$14),1,$C122))*(INDEX(_xlfn.ANCHORARRAY(Sintesi!$C$15),1,$C122)&gt;0),0,IF(($E122=INDEX(_xlfn.ANCHORARRAY(Sintesi!$C$14),1,$C122))*(INDEX(_xlfn.ANCHORARRAY(Sintesi!$C$15),1,$C122)&lt;0)+($E122&gt;=LOOKUP(2,1/($E:$E&lt;&gt;""),$E:$E))*($E122&lt;=$E123)*($E122&gt;INDEX(_xlfn.ANCHORARRAY(Sintesi!$C$14),1,$C122))*($E122&lt;=INDEX(_xlfn.ANCHORARRAY(Sintesi!$C$15),1,$C122))*(INDEX(_xlfn.ANCHORARRAY(Sintesi!$C$15),1,$C122)&gt;0),1,IF(($E122&gt;=LOOKUP(2,1/($E:$E&lt;&gt;""),$E:$E))*($E122&lt;=$E123)*($E122&gt;INDEX(_xlfn.ANCHORARRAY(Sintesi!$C$14),1,$C122))*($E122&lt;INDEX(_xlfn.ANCHORARRAY(Sintesi!$C$16),1,$C122))*(INDEX(_xlfn.ANCHORARRAY(Sintesi!$C$15),1,$C122)&lt;0)+($E122&gt;=LOOKUP(2,1/($E:$E&lt;&gt;""),$E:$E))*($E122&lt;=$E123)*($E122&gt;INDEX(_xlfn.ANCHORARRAY(Sintesi!$C$15),1,$C122))*($E122&lt;INDEX(_xlfn.ANCHORARRAY(Sintesi!$C$16),1,$C122))*(INDEX(_xlfn.ANCHORARRAY(Sintesi!$C$15),1,$C122)&gt;0),2,IF($E122=(INDEX(_xlfn.ANCHORARRAY(Sintesi!$C$16),1,$C122)),3,4)))),0)))</f>
        <v>1</v>
      </c>
      <c r="E122" s="1">
        <f>'Paste cell here'!F122</f>
        <v>0.15</v>
      </c>
      <c r="F122" s="1">
        <f>'Paste cell here'!C122</f>
        <v>17.539999999999733</v>
      </c>
      <c r="G122" s="1">
        <f>'Paste cell here'!D122</f>
        <v>11.859999999999838</v>
      </c>
      <c r="H122" s="1">
        <f>'Paste cell here'!E122</f>
        <v>1.3426490759109151</v>
      </c>
      <c r="I122" s="1">
        <f>'Paste cell here'!X122</f>
        <v>0.20139353589137707</v>
      </c>
      <c r="J122" s="1">
        <f>'Paste cell here'!Y122+'Paste cell here'!S122</f>
        <v>0.20139353589137707</v>
      </c>
      <c r="K122" s="1">
        <f t="shared" si="2"/>
        <v>0.14999715078546672</v>
      </c>
      <c r="L122" s="1">
        <f t="shared" si="3"/>
        <v>15.696274937529813</v>
      </c>
      <c r="M122" s="1">
        <f t="array" ref="M122">IF(AND(A122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122&gt;=_xlfn.ANCHORARRAY(Sintesi!$C$9))+(_xlfn.ANCHORARRAY(Sintesi!$C$9)&gt;_xlfn.ANCHORARRAY(Sintesi!$C$10))*(A122&lt;=_xlfn.ANCHORARRAY(Sintesi!$C$10))+(_xlfn.ANCHORARRAY(Sintesi!$C$9)&lt;_xlfn.ANCHORARRAY(Sintesi!$C$10))*(A122&gt;=_xlfn.ANCHORARRAY(Sintesi!$C$9))*(A122&lt;=_xlfn.ANCHORARRAY(Sintesi!$C$10)),0)),0),A122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123&gt;=_xlfn.ANCHORARRAY(Sintesi!$C$9))+(_xlfn.ANCHORARRAY(Sintesi!$C$9)&gt;_xlfn.ANCHORARRAY(Sintesi!$C$10))*(A123&lt;=_xlfn.ANCHORARRAY(Sintesi!$C$10))+(_xlfn.ANCHORARRAY(Sintesi!$C$9)&lt;_xlfn.ANCHORARRAY(Sintesi!$C$10))*(A123&gt;=_xlfn.ANCHORARRAY(Sintesi!$C$9))*(A123&lt;=_xlfn.ANCHORARRAY(Sintesi!$C$10)),0)),0)),IF(L122&lt;_xlfn.IFNA(INDEX(_xlfn.ANCHORARRAY(Sintesi!$C$17),1,MATCH(1,(_xlfn.ANCHORARRAY(Sintesi!$C$9)&gt;_xlfn.ANCHORARRAY(Sintesi!$C$10))*(A121&gt;=_xlfn.ANCHORARRAY(Sintesi!$C$9))+(_xlfn.ANCHORARRAY(Sintesi!$C$9)&gt;_xlfn.ANCHORARRAY(Sintesi!$C$10))*(A121&lt;=_xlfn.ANCHORARRAY(Sintesi!$C$10))+(_xlfn.ANCHORARRAY(Sintesi!$C$9)&lt;_xlfn.ANCHORARRAY(Sintesi!$C$10))*(A121&gt;=_xlfn.ANCHORARRAY(Sintesi!$C$9))*(A121&lt;=_xlfn.ANCHORARRAY(Sintesi!$C$10)),0)),0),1,IF(L122&gt;=_xlfn.IFNA(INDEX(_xlfn.ANCHORARRAY(Sintesi!$C$18),1,MATCH(1,(_xlfn.ANCHORARRAY(Sintesi!$C$9)&gt;_xlfn.ANCHORARRAY(Sintesi!$C$10))*(A121&gt;=_xlfn.ANCHORARRAY(Sintesi!$C$9))+(_xlfn.ANCHORARRAY(Sintesi!$C$9)&gt;_xlfn.ANCHORARRAY(Sintesi!$C$10))*(A121&lt;=_xlfn.ANCHORARRAY(Sintesi!$C$10))+(_xlfn.ANCHORARRAY(Sintesi!$C$9)&lt;_xlfn.ANCHORARRAY(Sintesi!$C$10))*(A121&gt;=_xlfn.ANCHORARRAY(Sintesi!$C$9))*(A121&lt;=_xlfn.ANCHORARRAY(Sintesi!$C$10)),0)),0),0,1-(L122-_xlfn.IFNA(INDEX(_xlfn.ANCHORARRAY(Sintesi!$C$17),1,MATCH(1,(_xlfn.ANCHORARRAY(Sintesi!$C$9)&gt;_xlfn.ANCHORARRAY(Sintesi!$C$10))*(A121&gt;=_xlfn.ANCHORARRAY(Sintesi!$C$9))+(_xlfn.ANCHORARRAY(Sintesi!$C$9)&gt;_xlfn.ANCHORARRAY(Sintesi!$C$10))*(A121&lt;=_xlfn.ANCHORARRAY(Sintesi!$C$10))+(_xlfn.ANCHORARRAY(Sintesi!$C$9)&lt;_xlfn.ANCHORARRAY(Sintesi!$C$10))*(A121&gt;=_xlfn.ANCHORARRAY(Sintesi!$C$9))*(A121&lt;=_xlfn.ANCHORARRAY(Sintesi!$C$10)),0)),0))/(_xlfn.IFNA(INDEX(_xlfn.ANCHORARRAY(Sintesi!$C$18),1,MATCH(1,(_xlfn.ANCHORARRAY(Sintesi!$C$9)&gt;_xlfn.ANCHORARRAY(Sintesi!$C$10))*(A121&gt;=_xlfn.ANCHORARRAY(Sintesi!$C$9))+(_xlfn.ANCHORARRAY(Sintesi!$C$9)&gt;_xlfn.ANCHORARRAY(Sintesi!$C$10))*(A121&lt;=_xlfn.ANCHORARRAY(Sintesi!$C$10))+(_xlfn.ANCHORARRAY(Sintesi!$C$9)&lt;_xlfn.ANCHORARRAY(Sintesi!$C$10))*(A121&gt;=_xlfn.ANCHORARRAY(Sintesi!$C$9))*(A121&lt;=_xlfn.ANCHORARRAY(Sintesi!$C$10)),0)),0)-_xlfn.IFNA(INDEX(_xlfn.ANCHORARRAY(Sintesi!$C$17),1,MATCH(1,(_xlfn.ANCHORARRAY(Sintesi!$C$9)&gt;_xlfn.ANCHORARRAY(Sintesi!$C$10))*(A121&gt;=_xlfn.ANCHORARRAY(Sintesi!$C$9))+(_xlfn.ANCHORARRAY(Sintesi!$C$9)&gt;_xlfn.ANCHORARRAY(Sintesi!$C$10))*(A121&lt;=_xlfn.ANCHORARRAY(Sintesi!$C$10))+(_xlfn.ANCHORARRAY(Sintesi!$C$9)&lt;_xlfn.ANCHORARRAY(Sintesi!$C$10))*(A121&gt;=_xlfn.ANCHORARRAY(Sintesi!$C$9))*(A121&lt;=_xlfn.ANCHORARRAY(Sintesi!$C$10)),0)),0)))),0)</f>
        <v>0</v>
      </c>
    </row>
    <row r="123" spans="1:13">
      <c r="A123" s="1">
        <f>'Paste cell here'!A123</f>
        <v>122</v>
      </c>
      <c r="B123" s="2">
        <f>DATE(Sintesi!$C$4-1,12,31)+A123</f>
        <v>44318</v>
      </c>
      <c r="C123" s="34">
        <f t="array" ref="C123">_xlfn.IFNA(MATCH(1,((_xlfn.ANCHORARRAY(Sintesi!$C$9)&gt;_xlfn.ANCHORARRAY(Sintesi!$C$10))*(A123&gt;=_xlfn.ANCHORARRAY(Sintesi!$C$9))+(_xlfn.ANCHORARRAY(Sintesi!$C$9)&gt;_xlfn.ANCHORARRAY(Sintesi!$C$10))*(A123&lt;=_xlfn.ANCHORARRAY(Sintesi!$C$10))+(_xlfn.ANCHORARRAY(Sintesi!$C$9)&lt;_xlfn.ANCHORARRAY(Sintesi!$C$10))*(A123&gt;=_xlfn.ANCHORARRAY(Sintesi!$C$9))*(A123&lt;=_xlfn.ANCHORARRAY(Sintesi!$C$10)))*(_xlfn.ANCHORARRAY(Sintesi!$C$15)&gt;=0)+(_xlfn.ANCHORARRAY(Sintesi!$C$15)&lt;0),0),0)</f>
        <v>1</v>
      </c>
      <c r="D123" s="1">
        <f t="array" ref="D123">IF(ISBLANK($E124),IF(ISNUMBER($E122),IF($C123&gt;0,IF(($E123=INDEX(_xlfn.ANCHORARRAY(Sintesi!$C$14),1,$C123))*(INDEX(_xlfn.ANCHORARRAY(Sintesi!$C$15),1,$C123)&gt;0),0,IF(($E123=INDEX(_xlfn.ANCHORARRAY(Sintesi!$C$14),1,$C123))*(INDEX(_xlfn.ANCHORARRAY(Sintesi!$C$15),1,$C123)&lt;0)+($E123&gt;=$E122)*($E123&lt;=INDEX($E:$E,MATCH(TRUE,INDEX((ISNUMBER($E:$E)),0),0)))*($E123&gt;INDEX(_xlfn.ANCHORARRAY(Sintesi!$C$14),1,$C123))*($E123&lt;=INDEX(_xlfn.ANCHORARRAY(Sintesi!$C$15),1,$C123))*(INDEX(_xlfn.ANCHORARRAY(Sintesi!$C$15),1,$C123)&gt;0),1,IF(($E123&gt;=$E122)*($E123&lt;=INDEX($E:$E,MATCH(TRUE,INDEX((ISNUMBER($E:$E)),0),0)))*($E123&gt;INDEX(_xlfn.ANCHORARRAY(Sintesi!$C$14),1,$C123))*($E123&lt;INDEX(_xlfn.ANCHORARRAY(Sintesi!$C$16),1,$C123))*(INDEX(_xlfn.ANCHORARRAY(Sintesi!$C$15),1,$C123)&lt;0)+($E123&gt;=$E122)*($E123&lt;=INDEX($E:$E,MATCH(TRUE,INDEX((ISNUMBER($E:$E)),0),0)))*($E123&gt;INDEX(_xlfn.ANCHORARRAY(Sintesi!$C$15),1,$C123))*($E123&lt;INDEX(_xlfn.ANCHORARRAY(Sintesi!$C$16),1,$C123))*(INDEX(_xlfn.ANCHORARRAY(Sintesi!$C$15),1,$C123)&gt;0),2,IF($E123=(INDEX(_xlfn.ANCHORARRAY(Sintesi!$C$16),1,$C123)),3,4)))),0),IF($C123&gt;0,IF(($E123=INDEX(_xlfn.ANCHORARRAY(Sintesi!$C$14),1,$C123))*(INDEX(_xlfn.ANCHORARRAY(Sintesi!$C$15),1,$C123)&gt;0),0,IF(($E123=INDEX(_xlfn.ANCHORARRAY(Sintesi!$C$14),1,$C123))*(INDEX(_xlfn.ANCHORARRAY(Sintesi!$C$15),1,$C123)&lt;0)+($E123&gt;=LOOKUP(2,1/($E:$E&lt;&gt;""),$E:$E))*($E123&lt;=INDEX($E:$E,MATCH(TRUE,INDEX((ISNUMBER($E:$E)),0),0)))*($E123&gt;INDEX(_xlfn.ANCHORARRAY(Sintesi!$C$14),1,$C123))*($E123&lt;=INDEX(_xlfn.ANCHORARRAY(Sintesi!$C$15),1,$C123))*(INDEX(_xlfn.ANCHORARRAY(Sintesi!$C$15),1,$C123)&gt;0),1,IF(($E123&gt;=LOOKUP(2,1/($E:$E&lt;&gt;""),$E:$E))*($E123&lt;=INDEX($E:$E,MATCH(TRUE,INDEX((ISNUMBER($E:$E)),0),0)))*($E123&gt;INDEX(_xlfn.ANCHORARRAY(Sintesi!$C$14),1,$C123))*($E123&lt;INDEX(_xlfn.ANCHORARRAY(Sintesi!$C$16),1,$C123))*(INDEX(_xlfn.ANCHORARRAY(Sintesi!$C$15),1,$C123)&lt;0)+($E123&gt;=LOOKUP(2,1/($E:$E&lt;&gt;""),$E:$E))*($E123&lt;=INDEX($E:$E,MATCH(TRUE,INDEX((ISNUMBER($E:$E)),0),0)))*($E123&gt;INDEX(_xlfn.ANCHORARRAY(Sintesi!$C$15),1,$C123))*($E123&lt;INDEX(_xlfn.ANCHORARRAY(Sintesi!$C$16),1,$C123))*(INDEX(_xlfn.ANCHORARRAY(Sintesi!$C$15),1,$C123)&gt;0),2,IF($E123=(INDEX(_xlfn.ANCHORARRAY(Sintesi!$C$16),1,$C123)),3,4)))),0)),IF(ISNUMBER($E122),IF($C123&gt;0,IF(($E123=INDEX(_xlfn.ANCHORARRAY(Sintesi!$C$14),1,$C123))*(INDEX(_xlfn.ANCHORARRAY(Sintesi!$C$15),1,$C123)&gt;0),0,IF(($E123=INDEX(_xlfn.ANCHORARRAY(Sintesi!$C$14),1,$C123))*(INDEX(_xlfn.ANCHORARRAY(Sintesi!$C$15),1,$C123)&lt;0)+($E123&gt;=$E122)*($E123&lt;=$E124)*($E123&gt;INDEX(_xlfn.ANCHORARRAY(Sintesi!$C$14),1,$C123))*($E123&lt;=INDEX(_xlfn.ANCHORARRAY(Sintesi!$C$15),1,$C123))*(INDEX(_xlfn.ANCHORARRAY(Sintesi!$C$15),1,$C123)&gt;0),1,IF(($E123&gt;=$E122)*($E123&lt;=$E124)*($E123&gt;INDEX(_xlfn.ANCHORARRAY(Sintesi!$C$14),1,$C123))*($E123&lt;INDEX(_xlfn.ANCHORARRAY(Sintesi!$C$16),1,$C123))*(INDEX(_xlfn.ANCHORARRAY(Sintesi!$C$15),1,$C123)&lt;0)+($E123&gt;=$E122)*($E123&lt;=$E124)*($E123&gt;INDEX(_xlfn.ANCHORARRAY(Sintesi!$C$15),1,$C123))*($E123&lt;INDEX(_xlfn.ANCHORARRAY(Sintesi!$C$16),1,$C123))*(INDEX(_xlfn.ANCHORARRAY(Sintesi!$C$15),1,$C123)&gt;0),2,IF($E123=(INDEX(_xlfn.ANCHORARRAY(Sintesi!$C$16),1,$C123)),3,4)))),0),IF($C123&gt;0,IF(($E123=INDEX(_xlfn.ANCHORARRAY(Sintesi!$C$14),1,$C123))*(INDEX(_xlfn.ANCHORARRAY(Sintesi!$C$15),1,$C123)&gt;0),0,IF(($E123=INDEX(_xlfn.ANCHORARRAY(Sintesi!$C$14),1,$C123))*(INDEX(_xlfn.ANCHORARRAY(Sintesi!$C$15),1,$C123)&lt;0)+($E123&gt;=LOOKUP(2,1/($E:$E&lt;&gt;""),$E:$E))*($E123&lt;=$E124)*($E123&gt;INDEX(_xlfn.ANCHORARRAY(Sintesi!$C$14),1,$C123))*($E123&lt;=INDEX(_xlfn.ANCHORARRAY(Sintesi!$C$15),1,$C123))*(INDEX(_xlfn.ANCHORARRAY(Sintesi!$C$15),1,$C123)&gt;0),1,IF(($E123&gt;=LOOKUP(2,1/($E:$E&lt;&gt;""),$E:$E))*($E123&lt;=$E124)*($E123&gt;INDEX(_xlfn.ANCHORARRAY(Sintesi!$C$14),1,$C123))*($E123&lt;INDEX(_xlfn.ANCHORARRAY(Sintesi!$C$16),1,$C123))*(INDEX(_xlfn.ANCHORARRAY(Sintesi!$C$15),1,$C123)&lt;0)+($E123&gt;=LOOKUP(2,1/($E:$E&lt;&gt;""),$E:$E))*($E123&lt;=$E124)*($E123&gt;INDEX(_xlfn.ANCHORARRAY(Sintesi!$C$15),1,$C123))*($E123&lt;INDEX(_xlfn.ANCHORARRAY(Sintesi!$C$16),1,$C123))*(INDEX(_xlfn.ANCHORARRAY(Sintesi!$C$15),1,$C123)&gt;0),2,IF($E123=(INDEX(_xlfn.ANCHORARRAY(Sintesi!$C$16),1,$C123)),3,4)))),0)))</f>
        <v>1</v>
      </c>
      <c r="E123" s="1">
        <f>'Paste cell here'!F123</f>
        <v>0.15</v>
      </c>
      <c r="F123" s="1">
        <f>'Paste cell here'!C123</f>
        <v>21.939999999999678</v>
      </c>
      <c r="G123" s="1">
        <f>'Paste cell here'!D123</f>
        <v>10.159999999999849</v>
      </c>
      <c r="H123" s="1">
        <f>'Paste cell here'!E123</f>
        <v>4.0796765010464213</v>
      </c>
      <c r="I123" s="1">
        <f>'Paste cell here'!X123</f>
        <v>0.61193908624413873</v>
      </c>
      <c r="J123" s="1">
        <f>'Paste cell here'!Y123+'Paste cell here'!S123</f>
        <v>0.61193908624413873</v>
      </c>
      <c r="K123" s="1">
        <f t="shared" si="2"/>
        <v>0.14999696326097883</v>
      </c>
      <c r="L123" s="1">
        <f t="shared" si="3"/>
        <v>18.116218092271559</v>
      </c>
      <c r="M123" s="1">
        <f t="array" ref="M123">IF(AND(A123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123&gt;=_xlfn.ANCHORARRAY(Sintesi!$C$9))+(_xlfn.ANCHORARRAY(Sintesi!$C$9)&gt;_xlfn.ANCHORARRAY(Sintesi!$C$10))*(A123&lt;=_xlfn.ANCHORARRAY(Sintesi!$C$10))+(_xlfn.ANCHORARRAY(Sintesi!$C$9)&lt;_xlfn.ANCHORARRAY(Sintesi!$C$10))*(A123&gt;=_xlfn.ANCHORARRAY(Sintesi!$C$9))*(A123&lt;=_xlfn.ANCHORARRAY(Sintesi!$C$10)),0)),0),A123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124&gt;=_xlfn.ANCHORARRAY(Sintesi!$C$9))+(_xlfn.ANCHORARRAY(Sintesi!$C$9)&gt;_xlfn.ANCHORARRAY(Sintesi!$C$10))*(A124&lt;=_xlfn.ANCHORARRAY(Sintesi!$C$10))+(_xlfn.ANCHORARRAY(Sintesi!$C$9)&lt;_xlfn.ANCHORARRAY(Sintesi!$C$10))*(A124&gt;=_xlfn.ANCHORARRAY(Sintesi!$C$9))*(A124&lt;=_xlfn.ANCHORARRAY(Sintesi!$C$10)),0)),0)),IF(L123&lt;_xlfn.IFNA(INDEX(_xlfn.ANCHORARRAY(Sintesi!$C$17),1,MATCH(1,(_xlfn.ANCHORARRAY(Sintesi!$C$9)&gt;_xlfn.ANCHORARRAY(Sintesi!$C$10))*(A122&gt;=_xlfn.ANCHORARRAY(Sintesi!$C$9))+(_xlfn.ANCHORARRAY(Sintesi!$C$9)&gt;_xlfn.ANCHORARRAY(Sintesi!$C$10))*(A122&lt;=_xlfn.ANCHORARRAY(Sintesi!$C$10))+(_xlfn.ANCHORARRAY(Sintesi!$C$9)&lt;_xlfn.ANCHORARRAY(Sintesi!$C$10))*(A122&gt;=_xlfn.ANCHORARRAY(Sintesi!$C$9))*(A122&lt;=_xlfn.ANCHORARRAY(Sintesi!$C$10)),0)),0),1,IF(L123&gt;=_xlfn.IFNA(INDEX(_xlfn.ANCHORARRAY(Sintesi!$C$18),1,MATCH(1,(_xlfn.ANCHORARRAY(Sintesi!$C$9)&gt;_xlfn.ANCHORARRAY(Sintesi!$C$10))*(A122&gt;=_xlfn.ANCHORARRAY(Sintesi!$C$9))+(_xlfn.ANCHORARRAY(Sintesi!$C$9)&gt;_xlfn.ANCHORARRAY(Sintesi!$C$10))*(A122&lt;=_xlfn.ANCHORARRAY(Sintesi!$C$10))+(_xlfn.ANCHORARRAY(Sintesi!$C$9)&lt;_xlfn.ANCHORARRAY(Sintesi!$C$10))*(A122&gt;=_xlfn.ANCHORARRAY(Sintesi!$C$9))*(A122&lt;=_xlfn.ANCHORARRAY(Sintesi!$C$10)),0)),0),0,1-(L123-_xlfn.IFNA(INDEX(_xlfn.ANCHORARRAY(Sintesi!$C$17),1,MATCH(1,(_xlfn.ANCHORARRAY(Sintesi!$C$9)&gt;_xlfn.ANCHORARRAY(Sintesi!$C$10))*(A122&gt;=_xlfn.ANCHORARRAY(Sintesi!$C$9))+(_xlfn.ANCHORARRAY(Sintesi!$C$9)&gt;_xlfn.ANCHORARRAY(Sintesi!$C$10))*(A122&lt;=_xlfn.ANCHORARRAY(Sintesi!$C$10))+(_xlfn.ANCHORARRAY(Sintesi!$C$9)&lt;_xlfn.ANCHORARRAY(Sintesi!$C$10))*(A122&gt;=_xlfn.ANCHORARRAY(Sintesi!$C$9))*(A122&lt;=_xlfn.ANCHORARRAY(Sintesi!$C$10)),0)),0))/(_xlfn.IFNA(INDEX(_xlfn.ANCHORARRAY(Sintesi!$C$18),1,MATCH(1,(_xlfn.ANCHORARRAY(Sintesi!$C$9)&gt;_xlfn.ANCHORARRAY(Sintesi!$C$10))*(A122&gt;=_xlfn.ANCHORARRAY(Sintesi!$C$9))+(_xlfn.ANCHORARRAY(Sintesi!$C$9)&gt;_xlfn.ANCHORARRAY(Sintesi!$C$10))*(A122&lt;=_xlfn.ANCHORARRAY(Sintesi!$C$10))+(_xlfn.ANCHORARRAY(Sintesi!$C$9)&lt;_xlfn.ANCHORARRAY(Sintesi!$C$10))*(A122&gt;=_xlfn.ANCHORARRAY(Sintesi!$C$9))*(A122&lt;=_xlfn.ANCHORARRAY(Sintesi!$C$10)),0)),0)-_xlfn.IFNA(INDEX(_xlfn.ANCHORARRAY(Sintesi!$C$17),1,MATCH(1,(_xlfn.ANCHORARRAY(Sintesi!$C$9)&gt;_xlfn.ANCHORARRAY(Sintesi!$C$10))*(A122&gt;=_xlfn.ANCHORARRAY(Sintesi!$C$9))+(_xlfn.ANCHORARRAY(Sintesi!$C$9)&gt;_xlfn.ANCHORARRAY(Sintesi!$C$10))*(A122&lt;=_xlfn.ANCHORARRAY(Sintesi!$C$10))+(_xlfn.ANCHORARRAY(Sintesi!$C$9)&lt;_xlfn.ANCHORARRAY(Sintesi!$C$10))*(A122&gt;=_xlfn.ANCHORARRAY(Sintesi!$C$9))*(A122&lt;=_xlfn.ANCHORARRAY(Sintesi!$C$10)),0)),0)))),0)</f>
        <v>0</v>
      </c>
    </row>
    <row r="124" spans="1:13">
      <c r="A124" s="1">
        <f>'Paste cell here'!A124</f>
        <v>123</v>
      </c>
      <c r="B124" s="2">
        <f>DATE(Sintesi!$C$4-1,12,31)+A124</f>
        <v>44319</v>
      </c>
      <c r="C124" s="34">
        <f t="array" ref="C124">_xlfn.IFNA(MATCH(1,((_xlfn.ANCHORARRAY(Sintesi!$C$9)&gt;_xlfn.ANCHORARRAY(Sintesi!$C$10))*(A124&gt;=_xlfn.ANCHORARRAY(Sintesi!$C$9))+(_xlfn.ANCHORARRAY(Sintesi!$C$9)&gt;_xlfn.ANCHORARRAY(Sintesi!$C$10))*(A124&lt;=_xlfn.ANCHORARRAY(Sintesi!$C$10))+(_xlfn.ANCHORARRAY(Sintesi!$C$9)&lt;_xlfn.ANCHORARRAY(Sintesi!$C$10))*(A124&gt;=_xlfn.ANCHORARRAY(Sintesi!$C$9))*(A124&lt;=_xlfn.ANCHORARRAY(Sintesi!$C$10)))*(_xlfn.ANCHORARRAY(Sintesi!$C$15)&gt;=0)+(_xlfn.ANCHORARRAY(Sintesi!$C$15)&lt;0),0),0)</f>
        <v>1</v>
      </c>
      <c r="D124" s="1">
        <f t="array" ref="D124">IF(ISBLANK($E125),IF(ISNUMBER($E123),IF($C124&gt;0,IF(($E124=INDEX(_xlfn.ANCHORARRAY(Sintesi!$C$14),1,$C124))*(INDEX(_xlfn.ANCHORARRAY(Sintesi!$C$15),1,$C124)&gt;0),0,IF(($E124=INDEX(_xlfn.ANCHORARRAY(Sintesi!$C$14),1,$C124))*(INDEX(_xlfn.ANCHORARRAY(Sintesi!$C$15),1,$C124)&lt;0)+($E124&gt;=$E123)*($E124&lt;=INDEX($E:$E,MATCH(TRUE,INDEX((ISNUMBER($E:$E)),0),0)))*($E124&gt;INDEX(_xlfn.ANCHORARRAY(Sintesi!$C$14),1,$C124))*($E124&lt;=INDEX(_xlfn.ANCHORARRAY(Sintesi!$C$15),1,$C124))*(INDEX(_xlfn.ANCHORARRAY(Sintesi!$C$15),1,$C124)&gt;0),1,IF(($E124&gt;=$E123)*($E124&lt;=INDEX($E:$E,MATCH(TRUE,INDEX((ISNUMBER($E:$E)),0),0)))*($E124&gt;INDEX(_xlfn.ANCHORARRAY(Sintesi!$C$14),1,$C124))*($E124&lt;INDEX(_xlfn.ANCHORARRAY(Sintesi!$C$16),1,$C124))*(INDEX(_xlfn.ANCHORARRAY(Sintesi!$C$15),1,$C124)&lt;0)+($E124&gt;=$E123)*($E124&lt;=INDEX($E:$E,MATCH(TRUE,INDEX((ISNUMBER($E:$E)),0),0)))*($E124&gt;INDEX(_xlfn.ANCHORARRAY(Sintesi!$C$15),1,$C124))*($E124&lt;INDEX(_xlfn.ANCHORARRAY(Sintesi!$C$16),1,$C124))*(INDEX(_xlfn.ANCHORARRAY(Sintesi!$C$15),1,$C124)&gt;0),2,IF($E124=(INDEX(_xlfn.ANCHORARRAY(Sintesi!$C$16),1,$C124)),3,4)))),0),IF($C124&gt;0,IF(($E124=INDEX(_xlfn.ANCHORARRAY(Sintesi!$C$14),1,$C124))*(INDEX(_xlfn.ANCHORARRAY(Sintesi!$C$15),1,$C124)&gt;0),0,IF(($E124=INDEX(_xlfn.ANCHORARRAY(Sintesi!$C$14),1,$C124))*(INDEX(_xlfn.ANCHORARRAY(Sintesi!$C$15),1,$C124)&lt;0)+($E124&gt;=LOOKUP(2,1/($E:$E&lt;&gt;""),$E:$E))*($E124&lt;=INDEX($E:$E,MATCH(TRUE,INDEX((ISNUMBER($E:$E)),0),0)))*($E124&gt;INDEX(_xlfn.ANCHORARRAY(Sintesi!$C$14),1,$C124))*($E124&lt;=INDEX(_xlfn.ANCHORARRAY(Sintesi!$C$15),1,$C124))*(INDEX(_xlfn.ANCHORARRAY(Sintesi!$C$15),1,$C124)&gt;0),1,IF(($E124&gt;=LOOKUP(2,1/($E:$E&lt;&gt;""),$E:$E))*($E124&lt;=INDEX($E:$E,MATCH(TRUE,INDEX((ISNUMBER($E:$E)),0),0)))*($E124&gt;INDEX(_xlfn.ANCHORARRAY(Sintesi!$C$14),1,$C124))*($E124&lt;INDEX(_xlfn.ANCHORARRAY(Sintesi!$C$16),1,$C124))*(INDEX(_xlfn.ANCHORARRAY(Sintesi!$C$15),1,$C124)&lt;0)+($E124&gt;=LOOKUP(2,1/($E:$E&lt;&gt;""),$E:$E))*($E124&lt;=INDEX($E:$E,MATCH(TRUE,INDEX((ISNUMBER($E:$E)),0),0)))*($E124&gt;INDEX(_xlfn.ANCHORARRAY(Sintesi!$C$15),1,$C124))*($E124&lt;INDEX(_xlfn.ANCHORARRAY(Sintesi!$C$16),1,$C124))*(INDEX(_xlfn.ANCHORARRAY(Sintesi!$C$15),1,$C124)&gt;0),2,IF($E124=(INDEX(_xlfn.ANCHORARRAY(Sintesi!$C$16),1,$C124)),3,4)))),0)),IF(ISNUMBER($E123),IF($C124&gt;0,IF(($E124=INDEX(_xlfn.ANCHORARRAY(Sintesi!$C$14),1,$C124))*(INDEX(_xlfn.ANCHORARRAY(Sintesi!$C$15),1,$C124)&gt;0),0,IF(($E124=INDEX(_xlfn.ANCHORARRAY(Sintesi!$C$14),1,$C124))*(INDEX(_xlfn.ANCHORARRAY(Sintesi!$C$15),1,$C124)&lt;0)+($E124&gt;=$E123)*($E124&lt;=$E125)*($E124&gt;INDEX(_xlfn.ANCHORARRAY(Sintesi!$C$14),1,$C124))*($E124&lt;=INDEX(_xlfn.ANCHORARRAY(Sintesi!$C$15),1,$C124))*(INDEX(_xlfn.ANCHORARRAY(Sintesi!$C$15),1,$C124)&gt;0),1,IF(($E124&gt;=$E123)*($E124&lt;=$E125)*($E124&gt;INDEX(_xlfn.ANCHORARRAY(Sintesi!$C$14),1,$C124))*($E124&lt;INDEX(_xlfn.ANCHORARRAY(Sintesi!$C$16),1,$C124))*(INDEX(_xlfn.ANCHORARRAY(Sintesi!$C$15),1,$C124)&lt;0)+($E124&gt;=$E123)*($E124&lt;=$E125)*($E124&gt;INDEX(_xlfn.ANCHORARRAY(Sintesi!$C$15),1,$C124))*($E124&lt;INDEX(_xlfn.ANCHORARRAY(Sintesi!$C$16),1,$C124))*(INDEX(_xlfn.ANCHORARRAY(Sintesi!$C$15),1,$C124)&gt;0),2,IF($E124=(INDEX(_xlfn.ANCHORARRAY(Sintesi!$C$16),1,$C124)),3,4)))),0),IF($C124&gt;0,IF(($E124=INDEX(_xlfn.ANCHORARRAY(Sintesi!$C$14),1,$C124))*(INDEX(_xlfn.ANCHORARRAY(Sintesi!$C$15),1,$C124)&gt;0),0,IF(($E124=INDEX(_xlfn.ANCHORARRAY(Sintesi!$C$14),1,$C124))*(INDEX(_xlfn.ANCHORARRAY(Sintesi!$C$15),1,$C124)&lt;0)+($E124&gt;=LOOKUP(2,1/($E:$E&lt;&gt;""),$E:$E))*($E124&lt;=$E125)*($E124&gt;INDEX(_xlfn.ANCHORARRAY(Sintesi!$C$14),1,$C124))*($E124&lt;=INDEX(_xlfn.ANCHORARRAY(Sintesi!$C$15),1,$C124))*(INDEX(_xlfn.ANCHORARRAY(Sintesi!$C$15),1,$C124)&gt;0),1,IF(($E124&gt;=LOOKUP(2,1/($E:$E&lt;&gt;""),$E:$E))*($E124&lt;=$E125)*($E124&gt;INDEX(_xlfn.ANCHORARRAY(Sintesi!$C$14),1,$C124))*($E124&lt;INDEX(_xlfn.ANCHORARRAY(Sintesi!$C$16),1,$C124))*(INDEX(_xlfn.ANCHORARRAY(Sintesi!$C$15),1,$C124)&lt;0)+($E124&gt;=LOOKUP(2,1/($E:$E&lt;&gt;""),$E:$E))*($E124&lt;=$E125)*($E124&gt;INDEX(_xlfn.ANCHORARRAY(Sintesi!$C$15),1,$C124))*($E124&lt;INDEX(_xlfn.ANCHORARRAY(Sintesi!$C$16),1,$C124))*(INDEX(_xlfn.ANCHORARRAY(Sintesi!$C$15),1,$C124)&gt;0),2,IF($E124=(INDEX(_xlfn.ANCHORARRAY(Sintesi!$C$16),1,$C124)),3,4)))),0)))</f>
        <v>1</v>
      </c>
      <c r="E124" s="1">
        <f>'Paste cell here'!F124</f>
        <v>0.15</v>
      </c>
      <c r="F124" s="1">
        <f>'Paste cell here'!C124</f>
        <v>19.939999999999703</v>
      </c>
      <c r="G124" s="1">
        <f>'Paste cell here'!D124</f>
        <v>9.8999999999998636</v>
      </c>
      <c r="H124" s="1">
        <f>'Paste cell here'!E124</f>
        <v>3.8721052271329413</v>
      </c>
      <c r="I124" s="1">
        <f>'Paste cell here'!X124</f>
        <v>0.58080326720621367</v>
      </c>
      <c r="J124" s="1">
        <f>'Paste cell here'!Y124+'Paste cell here'!S124</f>
        <v>0.58080326720621367</v>
      </c>
      <c r="K124" s="1">
        <f t="shared" si="2"/>
        <v>0.14999676742676316</v>
      </c>
      <c r="L124" s="1">
        <f t="shared" si="3"/>
        <v>16.681021192394414</v>
      </c>
      <c r="M124" s="1">
        <f t="array" ref="M124">IF(AND(A124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124&gt;=_xlfn.ANCHORARRAY(Sintesi!$C$9))+(_xlfn.ANCHORARRAY(Sintesi!$C$9)&gt;_xlfn.ANCHORARRAY(Sintesi!$C$10))*(A124&lt;=_xlfn.ANCHORARRAY(Sintesi!$C$10))+(_xlfn.ANCHORARRAY(Sintesi!$C$9)&lt;_xlfn.ANCHORARRAY(Sintesi!$C$10))*(A124&gt;=_xlfn.ANCHORARRAY(Sintesi!$C$9))*(A124&lt;=_xlfn.ANCHORARRAY(Sintesi!$C$10)),0)),0),A124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125&gt;=_xlfn.ANCHORARRAY(Sintesi!$C$9))+(_xlfn.ANCHORARRAY(Sintesi!$C$9)&gt;_xlfn.ANCHORARRAY(Sintesi!$C$10))*(A125&lt;=_xlfn.ANCHORARRAY(Sintesi!$C$10))+(_xlfn.ANCHORARRAY(Sintesi!$C$9)&lt;_xlfn.ANCHORARRAY(Sintesi!$C$10))*(A125&gt;=_xlfn.ANCHORARRAY(Sintesi!$C$9))*(A125&lt;=_xlfn.ANCHORARRAY(Sintesi!$C$10)),0)),0)),IF(L124&lt;_xlfn.IFNA(INDEX(_xlfn.ANCHORARRAY(Sintesi!$C$17),1,MATCH(1,(_xlfn.ANCHORARRAY(Sintesi!$C$9)&gt;_xlfn.ANCHORARRAY(Sintesi!$C$10))*(A123&gt;=_xlfn.ANCHORARRAY(Sintesi!$C$9))+(_xlfn.ANCHORARRAY(Sintesi!$C$9)&gt;_xlfn.ANCHORARRAY(Sintesi!$C$10))*(A123&lt;=_xlfn.ANCHORARRAY(Sintesi!$C$10))+(_xlfn.ANCHORARRAY(Sintesi!$C$9)&lt;_xlfn.ANCHORARRAY(Sintesi!$C$10))*(A123&gt;=_xlfn.ANCHORARRAY(Sintesi!$C$9))*(A123&lt;=_xlfn.ANCHORARRAY(Sintesi!$C$10)),0)),0),1,IF(L124&gt;=_xlfn.IFNA(INDEX(_xlfn.ANCHORARRAY(Sintesi!$C$18),1,MATCH(1,(_xlfn.ANCHORARRAY(Sintesi!$C$9)&gt;_xlfn.ANCHORARRAY(Sintesi!$C$10))*(A123&gt;=_xlfn.ANCHORARRAY(Sintesi!$C$9))+(_xlfn.ANCHORARRAY(Sintesi!$C$9)&gt;_xlfn.ANCHORARRAY(Sintesi!$C$10))*(A123&lt;=_xlfn.ANCHORARRAY(Sintesi!$C$10))+(_xlfn.ANCHORARRAY(Sintesi!$C$9)&lt;_xlfn.ANCHORARRAY(Sintesi!$C$10))*(A123&gt;=_xlfn.ANCHORARRAY(Sintesi!$C$9))*(A123&lt;=_xlfn.ANCHORARRAY(Sintesi!$C$10)),0)),0),0,1-(L124-_xlfn.IFNA(INDEX(_xlfn.ANCHORARRAY(Sintesi!$C$17),1,MATCH(1,(_xlfn.ANCHORARRAY(Sintesi!$C$9)&gt;_xlfn.ANCHORARRAY(Sintesi!$C$10))*(A123&gt;=_xlfn.ANCHORARRAY(Sintesi!$C$9))+(_xlfn.ANCHORARRAY(Sintesi!$C$9)&gt;_xlfn.ANCHORARRAY(Sintesi!$C$10))*(A123&lt;=_xlfn.ANCHORARRAY(Sintesi!$C$10))+(_xlfn.ANCHORARRAY(Sintesi!$C$9)&lt;_xlfn.ANCHORARRAY(Sintesi!$C$10))*(A123&gt;=_xlfn.ANCHORARRAY(Sintesi!$C$9))*(A123&lt;=_xlfn.ANCHORARRAY(Sintesi!$C$10)),0)),0))/(_xlfn.IFNA(INDEX(_xlfn.ANCHORARRAY(Sintesi!$C$18),1,MATCH(1,(_xlfn.ANCHORARRAY(Sintesi!$C$9)&gt;_xlfn.ANCHORARRAY(Sintesi!$C$10))*(A123&gt;=_xlfn.ANCHORARRAY(Sintesi!$C$9))+(_xlfn.ANCHORARRAY(Sintesi!$C$9)&gt;_xlfn.ANCHORARRAY(Sintesi!$C$10))*(A123&lt;=_xlfn.ANCHORARRAY(Sintesi!$C$10))+(_xlfn.ANCHORARRAY(Sintesi!$C$9)&lt;_xlfn.ANCHORARRAY(Sintesi!$C$10))*(A123&gt;=_xlfn.ANCHORARRAY(Sintesi!$C$9))*(A123&lt;=_xlfn.ANCHORARRAY(Sintesi!$C$10)),0)),0)-_xlfn.IFNA(INDEX(_xlfn.ANCHORARRAY(Sintesi!$C$17),1,MATCH(1,(_xlfn.ANCHORARRAY(Sintesi!$C$9)&gt;_xlfn.ANCHORARRAY(Sintesi!$C$10))*(A123&gt;=_xlfn.ANCHORARRAY(Sintesi!$C$9))+(_xlfn.ANCHORARRAY(Sintesi!$C$9)&gt;_xlfn.ANCHORARRAY(Sintesi!$C$10))*(A123&lt;=_xlfn.ANCHORARRAY(Sintesi!$C$10))+(_xlfn.ANCHORARRAY(Sintesi!$C$9)&lt;_xlfn.ANCHORARRAY(Sintesi!$C$10))*(A123&gt;=_xlfn.ANCHORARRAY(Sintesi!$C$9))*(A123&lt;=_xlfn.ANCHORARRAY(Sintesi!$C$10)),0)),0)))),0)</f>
        <v>0</v>
      </c>
    </row>
    <row r="125" spans="1:13">
      <c r="A125" s="1">
        <f>'Paste cell here'!A125</f>
        <v>124</v>
      </c>
      <c r="B125" s="2">
        <f>DATE(Sintesi!$C$4-1,12,31)+A125</f>
        <v>44320</v>
      </c>
      <c r="C125" s="34">
        <f t="array" ref="C125">_xlfn.IFNA(MATCH(1,((_xlfn.ANCHORARRAY(Sintesi!$C$9)&gt;_xlfn.ANCHORARRAY(Sintesi!$C$10))*(A125&gt;=_xlfn.ANCHORARRAY(Sintesi!$C$9))+(_xlfn.ANCHORARRAY(Sintesi!$C$9)&gt;_xlfn.ANCHORARRAY(Sintesi!$C$10))*(A125&lt;=_xlfn.ANCHORARRAY(Sintesi!$C$10))+(_xlfn.ANCHORARRAY(Sintesi!$C$9)&lt;_xlfn.ANCHORARRAY(Sintesi!$C$10))*(A125&gt;=_xlfn.ANCHORARRAY(Sintesi!$C$9))*(A125&lt;=_xlfn.ANCHORARRAY(Sintesi!$C$10)))*(_xlfn.ANCHORARRAY(Sintesi!$C$15)&gt;=0)+(_xlfn.ANCHORARRAY(Sintesi!$C$15)&lt;0),0),0)</f>
        <v>1</v>
      </c>
      <c r="D125" s="1">
        <f t="array" ref="D125">IF(ISBLANK($E126),IF(ISNUMBER($E124),IF($C125&gt;0,IF(($E125=INDEX(_xlfn.ANCHORARRAY(Sintesi!$C$14),1,$C125))*(INDEX(_xlfn.ANCHORARRAY(Sintesi!$C$15),1,$C125)&gt;0),0,IF(($E125=INDEX(_xlfn.ANCHORARRAY(Sintesi!$C$14),1,$C125))*(INDEX(_xlfn.ANCHORARRAY(Sintesi!$C$15),1,$C125)&lt;0)+($E125&gt;=$E124)*($E125&lt;=INDEX($E:$E,MATCH(TRUE,INDEX((ISNUMBER($E:$E)),0),0)))*($E125&gt;INDEX(_xlfn.ANCHORARRAY(Sintesi!$C$14),1,$C125))*($E125&lt;=INDEX(_xlfn.ANCHORARRAY(Sintesi!$C$15),1,$C125))*(INDEX(_xlfn.ANCHORARRAY(Sintesi!$C$15),1,$C125)&gt;0),1,IF(($E125&gt;=$E124)*($E125&lt;=INDEX($E:$E,MATCH(TRUE,INDEX((ISNUMBER($E:$E)),0),0)))*($E125&gt;INDEX(_xlfn.ANCHORARRAY(Sintesi!$C$14),1,$C125))*($E125&lt;INDEX(_xlfn.ANCHORARRAY(Sintesi!$C$16),1,$C125))*(INDEX(_xlfn.ANCHORARRAY(Sintesi!$C$15),1,$C125)&lt;0)+($E125&gt;=$E124)*($E125&lt;=INDEX($E:$E,MATCH(TRUE,INDEX((ISNUMBER($E:$E)),0),0)))*($E125&gt;INDEX(_xlfn.ANCHORARRAY(Sintesi!$C$15),1,$C125))*($E125&lt;INDEX(_xlfn.ANCHORARRAY(Sintesi!$C$16),1,$C125))*(INDEX(_xlfn.ANCHORARRAY(Sintesi!$C$15),1,$C125)&gt;0),2,IF($E125=(INDEX(_xlfn.ANCHORARRAY(Sintesi!$C$16),1,$C125)),3,4)))),0),IF($C125&gt;0,IF(($E125=INDEX(_xlfn.ANCHORARRAY(Sintesi!$C$14),1,$C125))*(INDEX(_xlfn.ANCHORARRAY(Sintesi!$C$15),1,$C125)&gt;0),0,IF(($E125=INDEX(_xlfn.ANCHORARRAY(Sintesi!$C$14),1,$C125))*(INDEX(_xlfn.ANCHORARRAY(Sintesi!$C$15),1,$C125)&lt;0)+($E125&gt;=LOOKUP(2,1/($E:$E&lt;&gt;""),$E:$E))*($E125&lt;=INDEX($E:$E,MATCH(TRUE,INDEX((ISNUMBER($E:$E)),0),0)))*($E125&gt;INDEX(_xlfn.ANCHORARRAY(Sintesi!$C$14),1,$C125))*($E125&lt;=INDEX(_xlfn.ANCHORARRAY(Sintesi!$C$15),1,$C125))*(INDEX(_xlfn.ANCHORARRAY(Sintesi!$C$15),1,$C125)&gt;0),1,IF(($E125&gt;=LOOKUP(2,1/($E:$E&lt;&gt;""),$E:$E))*($E125&lt;=INDEX($E:$E,MATCH(TRUE,INDEX((ISNUMBER($E:$E)),0),0)))*($E125&gt;INDEX(_xlfn.ANCHORARRAY(Sintesi!$C$14),1,$C125))*($E125&lt;INDEX(_xlfn.ANCHORARRAY(Sintesi!$C$16),1,$C125))*(INDEX(_xlfn.ANCHORARRAY(Sintesi!$C$15),1,$C125)&lt;0)+($E125&gt;=LOOKUP(2,1/($E:$E&lt;&gt;""),$E:$E))*($E125&lt;=INDEX($E:$E,MATCH(TRUE,INDEX((ISNUMBER($E:$E)),0),0)))*($E125&gt;INDEX(_xlfn.ANCHORARRAY(Sintesi!$C$15),1,$C125))*($E125&lt;INDEX(_xlfn.ANCHORARRAY(Sintesi!$C$16),1,$C125))*(INDEX(_xlfn.ANCHORARRAY(Sintesi!$C$15),1,$C125)&gt;0),2,IF($E125=(INDEX(_xlfn.ANCHORARRAY(Sintesi!$C$16),1,$C125)),3,4)))),0)),IF(ISNUMBER($E124),IF($C125&gt;0,IF(($E125=INDEX(_xlfn.ANCHORARRAY(Sintesi!$C$14),1,$C125))*(INDEX(_xlfn.ANCHORARRAY(Sintesi!$C$15),1,$C125)&gt;0),0,IF(($E125=INDEX(_xlfn.ANCHORARRAY(Sintesi!$C$14),1,$C125))*(INDEX(_xlfn.ANCHORARRAY(Sintesi!$C$15),1,$C125)&lt;0)+($E125&gt;=$E124)*($E125&lt;=$E126)*($E125&gt;INDEX(_xlfn.ANCHORARRAY(Sintesi!$C$14),1,$C125))*($E125&lt;=INDEX(_xlfn.ANCHORARRAY(Sintesi!$C$15),1,$C125))*(INDEX(_xlfn.ANCHORARRAY(Sintesi!$C$15),1,$C125)&gt;0),1,IF(($E125&gt;=$E124)*($E125&lt;=$E126)*($E125&gt;INDEX(_xlfn.ANCHORARRAY(Sintesi!$C$14),1,$C125))*($E125&lt;INDEX(_xlfn.ANCHORARRAY(Sintesi!$C$16),1,$C125))*(INDEX(_xlfn.ANCHORARRAY(Sintesi!$C$15),1,$C125)&lt;0)+($E125&gt;=$E124)*($E125&lt;=$E126)*($E125&gt;INDEX(_xlfn.ANCHORARRAY(Sintesi!$C$15),1,$C125))*($E125&lt;INDEX(_xlfn.ANCHORARRAY(Sintesi!$C$16),1,$C125))*(INDEX(_xlfn.ANCHORARRAY(Sintesi!$C$15),1,$C125)&gt;0),2,IF($E125=(INDEX(_xlfn.ANCHORARRAY(Sintesi!$C$16),1,$C125)),3,4)))),0),IF($C125&gt;0,IF(($E125=INDEX(_xlfn.ANCHORARRAY(Sintesi!$C$14),1,$C125))*(INDEX(_xlfn.ANCHORARRAY(Sintesi!$C$15),1,$C125)&gt;0),0,IF(($E125=INDEX(_xlfn.ANCHORARRAY(Sintesi!$C$14),1,$C125))*(INDEX(_xlfn.ANCHORARRAY(Sintesi!$C$15),1,$C125)&lt;0)+($E125&gt;=LOOKUP(2,1/($E:$E&lt;&gt;""),$E:$E))*($E125&lt;=$E126)*($E125&gt;INDEX(_xlfn.ANCHORARRAY(Sintesi!$C$14),1,$C125))*($E125&lt;=INDEX(_xlfn.ANCHORARRAY(Sintesi!$C$15),1,$C125))*(INDEX(_xlfn.ANCHORARRAY(Sintesi!$C$15),1,$C125)&gt;0),1,IF(($E125&gt;=LOOKUP(2,1/($E:$E&lt;&gt;""),$E:$E))*($E125&lt;=$E126)*($E125&gt;INDEX(_xlfn.ANCHORARRAY(Sintesi!$C$14),1,$C125))*($E125&lt;INDEX(_xlfn.ANCHORARRAY(Sintesi!$C$16),1,$C125))*(INDEX(_xlfn.ANCHORARRAY(Sintesi!$C$15),1,$C125)&lt;0)+($E125&gt;=LOOKUP(2,1/($E:$E&lt;&gt;""),$E:$E))*($E125&lt;=$E126)*($E125&gt;INDEX(_xlfn.ANCHORARRAY(Sintesi!$C$15),1,$C125))*($E125&lt;INDEX(_xlfn.ANCHORARRAY(Sintesi!$C$16),1,$C125))*(INDEX(_xlfn.ANCHORARRAY(Sintesi!$C$15),1,$C125)&gt;0),2,IF($E125=(INDEX(_xlfn.ANCHORARRAY(Sintesi!$C$16),1,$C125)),3,4)))),0)))</f>
        <v>1</v>
      </c>
      <c r="E125" s="1">
        <f>'Paste cell here'!F125</f>
        <v>0.15</v>
      </c>
      <c r="F125" s="1">
        <f>'Paste cell here'!C125</f>
        <v>21.899999999999679</v>
      </c>
      <c r="G125" s="1">
        <f>'Paste cell here'!D125</f>
        <v>7.5799999999999024</v>
      </c>
      <c r="H125" s="1">
        <f>'Paste cell here'!E125</f>
        <v>3.969723340899606</v>
      </c>
      <c r="I125" s="1">
        <f>'Paste cell here'!X125</f>
        <v>0.59544485815571779</v>
      </c>
      <c r="J125" s="1">
        <f>'Paste cell here'!Y125+'Paste cell here'!S125</f>
        <v>0.59544485815571779</v>
      </c>
      <c r="K125" s="1">
        <f t="shared" si="2"/>
        <v>0.14999656324180516</v>
      </c>
      <c r="L125" s="1">
        <f t="shared" si="3"/>
        <v>17.251735405885366</v>
      </c>
      <c r="M125" s="1">
        <f t="array" ref="M125">IF(AND(A125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125&gt;=_xlfn.ANCHORARRAY(Sintesi!$C$9))+(_xlfn.ANCHORARRAY(Sintesi!$C$9)&gt;_xlfn.ANCHORARRAY(Sintesi!$C$10))*(A125&lt;=_xlfn.ANCHORARRAY(Sintesi!$C$10))+(_xlfn.ANCHORARRAY(Sintesi!$C$9)&lt;_xlfn.ANCHORARRAY(Sintesi!$C$10))*(A125&gt;=_xlfn.ANCHORARRAY(Sintesi!$C$9))*(A125&lt;=_xlfn.ANCHORARRAY(Sintesi!$C$10)),0)),0),A125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126&gt;=_xlfn.ANCHORARRAY(Sintesi!$C$9))+(_xlfn.ANCHORARRAY(Sintesi!$C$9)&gt;_xlfn.ANCHORARRAY(Sintesi!$C$10))*(A126&lt;=_xlfn.ANCHORARRAY(Sintesi!$C$10))+(_xlfn.ANCHORARRAY(Sintesi!$C$9)&lt;_xlfn.ANCHORARRAY(Sintesi!$C$10))*(A126&gt;=_xlfn.ANCHORARRAY(Sintesi!$C$9))*(A126&lt;=_xlfn.ANCHORARRAY(Sintesi!$C$10)),0)),0)),IF(L125&lt;_xlfn.IFNA(INDEX(_xlfn.ANCHORARRAY(Sintesi!$C$17),1,MATCH(1,(_xlfn.ANCHORARRAY(Sintesi!$C$9)&gt;_xlfn.ANCHORARRAY(Sintesi!$C$10))*(A124&gt;=_xlfn.ANCHORARRAY(Sintesi!$C$9))+(_xlfn.ANCHORARRAY(Sintesi!$C$9)&gt;_xlfn.ANCHORARRAY(Sintesi!$C$10))*(A124&lt;=_xlfn.ANCHORARRAY(Sintesi!$C$10))+(_xlfn.ANCHORARRAY(Sintesi!$C$9)&lt;_xlfn.ANCHORARRAY(Sintesi!$C$10))*(A124&gt;=_xlfn.ANCHORARRAY(Sintesi!$C$9))*(A124&lt;=_xlfn.ANCHORARRAY(Sintesi!$C$10)),0)),0),1,IF(L125&gt;=_xlfn.IFNA(INDEX(_xlfn.ANCHORARRAY(Sintesi!$C$18),1,MATCH(1,(_xlfn.ANCHORARRAY(Sintesi!$C$9)&gt;_xlfn.ANCHORARRAY(Sintesi!$C$10))*(A124&gt;=_xlfn.ANCHORARRAY(Sintesi!$C$9))+(_xlfn.ANCHORARRAY(Sintesi!$C$9)&gt;_xlfn.ANCHORARRAY(Sintesi!$C$10))*(A124&lt;=_xlfn.ANCHORARRAY(Sintesi!$C$10))+(_xlfn.ANCHORARRAY(Sintesi!$C$9)&lt;_xlfn.ANCHORARRAY(Sintesi!$C$10))*(A124&gt;=_xlfn.ANCHORARRAY(Sintesi!$C$9))*(A124&lt;=_xlfn.ANCHORARRAY(Sintesi!$C$10)),0)),0),0,1-(L125-_xlfn.IFNA(INDEX(_xlfn.ANCHORARRAY(Sintesi!$C$17),1,MATCH(1,(_xlfn.ANCHORARRAY(Sintesi!$C$9)&gt;_xlfn.ANCHORARRAY(Sintesi!$C$10))*(A124&gt;=_xlfn.ANCHORARRAY(Sintesi!$C$9))+(_xlfn.ANCHORARRAY(Sintesi!$C$9)&gt;_xlfn.ANCHORARRAY(Sintesi!$C$10))*(A124&lt;=_xlfn.ANCHORARRAY(Sintesi!$C$10))+(_xlfn.ANCHORARRAY(Sintesi!$C$9)&lt;_xlfn.ANCHORARRAY(Sintesi!$C$10))*(A124&gt;=_xlfn.ANCHORARRAY(Sintesi!$C$9))*(A124&lt;=_xlfn.ANCHORARRAY(Sintesi!$C$10)),0)),0))/(_xlfn.IFNA(INDEX(_xlfn.ANCHORARRAY(Sintesi!$C$18),1,MATCH(1,(_xlfn.ANCHORARRAY(Sintesi!$C$9)&gt;_xlfn.ANCHORARRAY(Sintesi!$C$10))*(A124&gt;=_xlfn.ANCHORARRAY(Sintesi!$C$9))+(_xlfn.ANCHORARRAY(Sintesi!$C$9)&gt;_xlfn.ANCHORARRAY(Sintesi!$C$10))*(A124&lt;=_xlfn.ANCHORARRAY(Sintesi!$C$10))+(_xlfn.ANCHORARRAY(Sintesi!$C$9)&lt;_xlfn.ANCHORARRAY(Sintesi!$C$10))*(A124&gt;=_xlfn.ANCHORARRAY(Sintesi!$C$9))*(A124&lt;=_xlfn.ANCHORARRAY(Sintesi!$C$10)),0)),0)-_xlfn.IFNA(INDEX(_xlfn.ANCHORARRAY(Sintesi!$C$17),1,MATCH(1,(_xlfn.ANCHORARRAY(Sintesi!$C$9)&gt;_xlfn.ANCHORARRAY(Sintesi!$C$10))*(A124&gt;=_xlfn.ANCHORARRAY(Sintesi!$C$9))+(_xlfn.ANCHORARRAY(Sintesi!$C$9)&gt;_xlfn.ANCHORARRAY(Sintesi!$C$10))*(A124&lt;=_xlfn.ANCHORARRAY(Sintesi!$C$10))+(_xlfn.ANCHORARRAY(Sintesi!$C$9)&lt;_xlfn.ANCHORARRAY(Sintesi!$C$10))*(A124&gt;=_xlfn.ANCHORARRAY(Sintesi!$C$9))*(A124&lt;=_xlfn.ANCHORARRAY(Sintesi!$C$10)),0)),0)))),0)</f>
        <v>0</v>
      </c>
    </row>
    <row r="126" spans="1:13">
      <c r="A126" s="1">
        <f>'Paste cell here'!A126</f>
        <v>125</v>
      </c>
      <c r="B126" s="2">
        <f>DATE(Sintesi!$C$4-1,12,31)+A126</f>
        <v>44321</v>
      </c>
      <c r="C126" s="34">
        <f t="array" ref="C126">_xlfn.IFNA(MATCH(1,((_xlfn.ANCHORARRAY(Sintesi!$C$9)&gt;_xlfn.ANCHORARRAY(Sintesi!$C$10))*(A126&gt;=_xlfn.ANCHORARRAY(Sintesi!$C$9))+(_xlfn.ANCHORARRAY(Sintesi!$C$9)&gt;_xlfn.ANCHORARRAY(Sintesi!$C$10))*(A126&lt;=_xlfn.ANCHORARRAY(Sintesi!$C$10))+(_xlfn.ANCHORARRAY(Sintesi!$C$9)&lt;_xlfn.ANCHORARRAY(Sintesi!$C$10))*(A126&gt;=_xlfn.ANCHORARRAY(Sintesi!$C$9))*(A126&lt;=_xlfn.ANCHORARRAY(Sintesi!$C$10)))*(_xlfn.ANCHORARRAY(Sintesi!$C$15)&gt;=0)+(_xlfn.ANCHORARRAY(Sintesi!$C$15)&lt;0),0),0)</f>
        <v>1</v>
      </c>
      <c r="D126" s="1">
        <f t="array" ref="D126">IF(ISBLANK($E127),IF(ISNUMBER($E125),IF($C126&gt;0,IF(($E126=INDEX(_xlfn.ANCHORARRAY(Sintesi!$C$14),1,$C126))*(INDEX(_xlfn.ANCHORARRAY(Sintesi!$C$15),1,$C126)&gt;0),0,IF(($E126=INDEX(_xlfn.ANCHORARRAY(Sintesi!$C$14),1,$C126))*(INDEX(_xlfn.ANCHORARRAY(Sintesi!$C$15),1,$C126)&lt;0)+($E126&gt;=$E125)*($E126&lt;=INDEX($E:$E,MATCH(TRUE,INDEX((ISNUMBER($E:$E)),0),0)))*($E126&gt;INDEX(_xlfn.ANCHORARRAY(Sintesi!$C$14),1,$C126))*($E126&lt;=INDEX(_xlfn.ANCHORARRAY(Sintesi!$C$15),1,$C126))*(INDEX(_xlfn.ANCHORARRAY(Sintesi!$C$15),1,$C126)&gt;0),1,IF(($E126&gt;=$E125)*($E126&lt;=INDEX($E:$E,MATCH(TRUE,INDEX((ISNUMBER($E:$E)),0),0)))*($E126&gt;INDEX(_xlfn.ANCHORARRAY(Sintesi!$C$14),1,$C126))*($E126&lt;INDEX(_xlfn.ANCHORARRAY(Sintesi!$C$16),1,$C126))*(INDEX(_xlfn.ANCHORARRAY(Sintesi!$C$15),1,$C126)&lt;0)+($E126&gt;=$E125)*($E126&lt;=INDEX($E:$E,MATCH(TRUE,INDEX((ISNUMBER($E:$E)),0),0)))*($E126&gt;INDEX(_xlfn.ANCHORARRAY(Sintesi!$C$15),1,$C126))*($E126&lt;INDEX(_xlfn.ANCHORARRAY(Sintesi!$C$16),1,$C126))*(INDEX(_xlfn.ANCHORARRAY(Sintesi!$C$15),1,$C126)&gt;0),2,IF($E126=(INDEX(_xlfn.ANCHORARRAY(Sintesi!$C$16),1,$C126)),3,4)))),0),IF($C126&gt;0,IF(($E126=INDEX(_xlfn.ANCHORARRAY(Sintesi!$C$14),1,$C126))*(INDEX(_xlfn.ANCHORARRAY(Sintesi!$C$15),1,$C126)&gt;0),0,IF(($E126=INDEX(_xlfn.ANCHORARRAY(Sintesi!$C$14),1,$C126))*(INDEX(_xlfn.ANCHORARRAY(Sintesi!$C$15),1,$C126)&lt;0)+($E126&gt;=LOOKUP(2,1/($E:$E&lt;&gt;""),$E:$E))*($E126&lt;=INDEX($E:$E,MATCH(TRUE,INDEX((ISNUMBER($E:$E)),0),0)))*($E126&gt;INDEX(_xlfn.ANCHORARRAY(Sintesi!$C$14),1,$C126))*($E126&lt;=INDEX(_xlfn.ANCHORARRAY(Sintesi!$C$15),1,$C126))*(INDEX(_xlfn.ANCHORARRAY(Sintesi!$C$15),1,$C126)&gt;0),1,IF(($E126&gt;=LOOKUP(2,1/($E:$E&lt;&gt;""),$E:$E))*($E126&lt;=INDEX($E:$E,MATCH(TRUE,INDEX((ISNUMBER($E:$E)),0),0)))*($E126&gt;INDEX(_xlfn.ANCHORARRAY(Sintesi!$C$14),1,$C126))*($E126&lt;INDEX(_xlfn.ANCHORARRAY(Sintesi!$C$16),1,$C126))*(INDEX(_xlfn.ANCHORARRAY(Sintesi!$C$15),1,$C126)&lt;0)+($E126&gt;=LOOKUP(2,1/($E:$E&lt;&gt;""),$E:$E))*($E126&lt;=INDEX($E:$E,MATCH(TRUE,INDEX((ISNUMBER($E:$E)),0),0)))*($E126&gt;INDEX(_xlfn.ANCHORARRAY(Sintesi!$C$15),1,$C126))*($E126&lt;INDEX(_xlfn.ANCHORARRAY(Sintesi!$C$16),1,$C126))*(INDEX(_xlfn.ANCHORARRAY(Sintesi!$C$15),1,$C126)&gt;0),2,IF($E126=(INDEX(_xlfn.ANCHORARRAY(Sintesi!$C$16),1,$C126)),3,4)))),0)),IF(ISNUMBER($E125),IF($C126&gt;0,IF(($E126=INDEX(_xlfn.ANCHORARRAY(Sintesi!$C$14),1,$C126))*(INDEX(_xlfn.ANCHORARRAY(Sintesi!$C$15),1,$C126)&gt;0),0,IF(($E126=INDEX(_xlfn.ANCHORARRAY(Sintesi!$C$14),1,$C126))*(INDEX(_xlfn.ANCHORARRAY(Sintesi!$C$15),1,$C126)&lt;0)+($E126&gt;=$E125)*($E126&lt;=$E127)*($E126&gt;INDEX(_xlfn.ANCHORARRAY(Sintesi!$C$14),1,$C126))*($E126&lt;=INDEX(_xlfn.ANCHORARRAY(Sintesi!$C$15),1,$C126))*(INDEX(_xlfn.ANCHORARRAY(Sintesi!$C$15),1,$C126)&gt;0),1,IF(($E126&gt;=$E125)*($E126&lt;=$E127)*($E126&gt;INDEX(_xlfn.ANCHORARRAY(Sintesi!$C$14),1,$C126))*($E126&lt;INDEX(_xlfn.ANCHORARRAY(Sintesi!$C$16),1,$C126))*(INDEX(_xlfn.ANCHORARRAY(Sintesi!$C$15),1,$C126)&lt;0)+($E126&gt;=$E125)*($E126&lt;=$E127)*($E126&gt;INDEX(_xlfn.ANCHORARRAY(Sintesi!$C$15),1,$C126))*($E126&lt;INDEX(_xlfn.ANCHORARRAY(Sintesi!$C$16),1,$C126))*(INDEX(_xlfn.ANCHORARRAY(Sintesi!$C$15),1,$C126)&gt;0),2,IF($E126=(INDEX(_xlfn.ANCHORARRAY(Sintesi!$C$16),1,$C126)),3,4)))),0),IF($C126&gt;0,IF(($E126=INDEX(_xlfn.ANCHORARRAY(Sintesi!$C$14),1,$C126))*(INDEX(_xlfn.ANCHORARRAY(Sintesi!$C$15),1,$C126)&gt;0),0,IF(($E126=INDEX(_xlfn.ANCHORARRAY(Sintesi!$C$14),1,$C126))*(INDEX(_xlfn.ANCHORARRAY(Sintesi!$C$15),1,$C126)&lt;0)+($E126&gt;=LOOKUP(2,1/($E:$E&lt;&gt;""),$E:$E))*($E126&lt;=$E127)*($E126&gt;INDEX(_xlfn.ANCHORARRAY(Sintesi!$C$14),1,$C126))*($E126&lt;=INDEX(_xlfn.ANCHORARRAY(Sintesi!$C$15),1,$C126))*(INDEX(_xlfn.ANCHORARRAY(Sintesi!$C$15),1,$C126)&gt;0),1,IF(($E126&gt;=LOOKUP(2,1/($E:$E&lt;&gt;""),$E:$E))*($E126&lt;=$E127)*($E126&gt;INDEX(_xlfn.ANCHORARRAY(Sintesi!$C$14),1,$C126))*($E126&lt;INDEX(_xlfn.ANCHORARRAY(Sintesi!$C$16),1,$C126))*(INDEX(_xlfn.ANCHORARRAY(Sintesi!$C$15),1,$C126)&lt;0)+($E126&gt;=LOOKUP(2,1/($E:$E&lt;&gt;""),$E:$E))*($E126&lt;=$E127)*($E126&gt;INDEX(_xlfn.ANCHORARRAY(Sintesi!$C$15),1,$C126))*($E126&lt;INDEX(_xlfn.ANCHORARRAY(Sintesi!$C$16),1,$C126))*(INDEX(_xlfn.ANCHORARRAY(Sintesi!$C$15),1,$C126)&gt;0),2,IF($E126=(INDEX(_xlfn.ANCHORARRAY(Sintesi!$C$16),1,$C126)),3,4)))),0)))</f>
        <v>1</v>
      </c>
      <c r="E126" s="1">
        <f>'Paste cell here'!F126</f>
        <v>0.15</v>
      </c>
      <c r="F126" s="1">
        <f>'Paste cell here'!C126</f>
        <v>21.539999999999694</v>
      </c>
      <c r="G126" s="1">
        <f>'Paste cell here'!D126</f>
        <v>10.839999999999867</v>
      </c>
      <c r="H126" s="1">
        <f>'Paste cell here'!E126</f>
        <v>3.015317273444345</v>
      </c>
      <c r="I126" s="1">
        <f>'Paste cell here'!X126</f>
        <v>0.45228658720159221</v>
      </c>
      <c r="J126" s="1">
        <f>'Paste cell here'!Y126+'Paste cell here'!S126</f>
        <v>0.45228658720159221</v>
      </c>
      <c r="K126" s="1">
        <f t="shared" si="2"/>
        <v>0.14999635069411885</v>
      </c>
      <c r="L126" s="1">
        <f t="shared" si="3"/>
        <v>18.066785533727128</v>
      </c>
      <c r="M126" s="1">
        <f t="array" ref="M126">IF(AND(A126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126&gt;=_xlfn.ANCHORARRAY(Sintesi!$C$9))+(_xlfn.ANCHORARRAY(Sintesi!$C$9)&gt;_xlfn.ANCHORARRAY(Sintesi!$C$10))*(A126&lt;=_xlfn.ANCHORARRAY(Sintesi!$C$10))+(_xlfn.ANCHORARRAY(Sintesi!$C$9)&lt;_xlfn.ANCHORARRAY(Sintesi!$C$10))*(A126&gt;=_xlfn.ANCHORARRAY(Sintesi!$C$9))*(A126&lt;=_xlfn.ANCHORARRAY(Sintesi!$C$10)),0)),0),A126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127&gt;=_xlfn.ANCHORARRAY(Sintesi!$C$9))+(_xlfn.ANCHORARRAY(Sintesi!$C$9)&gt;_xlfn.ANCHORARRAY(Sintesi!$C$10))*(A127&lt;=_xlfn.ANCHORARRAY(Sintesi!$C$10))+(_xlfn.ANCHORARRAY(Sintesi!$C$9)&lt;_xlfn.ANCHORARRAY(Sintesi!$C$10))*(A127&gt;=_xlfn.ANCHORARRAY(Sintesi!$C$9))*(A127&lt;=_xlfn.ANCHORARRAY(Sintesi!$C$10)),0)),0)),IF(L126&lt;_xlfn.IFNA(INDEX(_xlfn.ANCHORARRAY(Sintesi!$C$17),1,MATCH(1,(_xlfn.ANCHORARRAY(Sintesi!$C$9)&gt;_xlfn.ANCHORARRAY(Sintesi!$C$10))*(A125&gt;=_xlfn.ANCHORARRAY(Sintesi!$C$9))+(_xlfn.ANCHORARRAY(Sintesi!$C$9)&gt;_xlfn.ANCHORARRAY(Sintesi!$C$10))*(A125&lt;=_xlfn.ANCHORARRAY(Sintesi!$C$10))+(_xlfn.ANCHORARRAY(Sintesi!$C$9)&lt;_xlfn.ANCHORARRAY(Sintesi!$C$10))*(A125&gt;=_xlfn.ANCHORARRAY(Sintesi!$C$9))*(A125&lt;=_xlfn.ANCHORARRAY(Sintesi!$C$10)),0)),0),1,IF(L126&gt;=_xlfn.IFNA(INDEX(_xlfn.ANCHORARRAY(Sintesi!$C$18),1,MATCH(1,(_xlfn.ANCHORARRAY(Sintesi!$C$9)&gt;_xlfn.ANCHORARRAY(Sintesi!$C$10))*(A125&gt;=_xlfn.ANCHORARRAY(Sintesi!$C$9))+(_xlfn.ANCHORARRAY(Sintesi!$C$9)&gt;_xlfn.ANCHORARRAY(Sintesi!$C$10))*(A125&lt;=_xlfn.ANCHORARRAY(Sintesi!$C$10))+(_xlfn.ANCHORARRAY(Sintesi!$C$9)&lt;_xlfn.ANCHORARRAY(Sintesi!$C$10))*(A125&gt;=_xlfn.ANCHORARRAY(Sintesi!$C$9))*(A125&lt;=_xlfn.ANCHORARRAY(Sintesi!$C$10)),0)),0),0,1-(L126-_xlfn.IFNA(INDEX(_xlfn.ANCHORARRAY(Sintesi!$C$17),1,MATCH(1,(_xlfn.ANCHORARRAY(Sintesi!$C$9)&gt;_xlfn.ANCHORARRAY(Sintesi!$C$10))*(A125&gt;=_xlfn.ANCHORARRAY(Sintesi!$C$9))+(_xlfn.ANCHORARRAY(Sintesi!$C$9)&gt;_xlfn.ANCHORARRAY(Sintesi!$C$10))*(A125&lt;=_xlfn.ANCHORARRAY(Sintesi!$C$10))+(_xlfn.ANCHORARRAY(Sintesi!$C$9)&lt;_xlfn.ANCHORARRAY(Sintesi!$C$10))*(A125&gt;=_xlfn.ANCHORARRAY(Sintesi!$C$9))*(A125&lt;=_xlfn.ANCHORARRAY(Sintesi!$C$10)),0)),0))/(_xlfn.IFNA(INDEX(_xlfn.ANCHORARRAY(Sintesi!$C$18),1,MATCH(1,(_xlfn.ANCHORARRAY(Sintesi!$C$9)&gt;_xlfn.ANCHORARRAY(Sintesi!$C$10))*(A125&gt;=_xlfn.ANCHORARRAY(Sintesi!$C$9))+(_xlfn.ANCHORARRAY(Sintesi!$C$9)&gt;_xlfn.ANCHORARRAY(Sintesi!$C$10))*(A125&lt;=_xlfn.ANCHORARRAY(Sintesi!$C$10))+(_xlfn.ANCHORARRAY(Sintesi!$C$9)&lt;_xlfn.ANCHORARRAY(Sintesi!$C$10))*(A125&gt;=_xlfn.ANCHORARRAY(Sintesi!$C$9))*(A125&lt;=_xlfn.ANCHORARRAY(Sintesi!$C$10)),0)),0)-_xlfn.IFNA(INDEX(_xlfn.ANCHORARRAY(Sintesi!$C$17),1,MATCH(1,(_xlfn.ANCHORARRAY(Sintesi!$C$9)&gt;_xlfn.ANCHORARRAY(Sintesi!$C$10))*(A125&gt;=_xlfn.ANCHORARRAY(Sintesi!$C$9))+(_xlfn.ANCHORARRAY(Sintesi!$C$9)&gt;_xlfn.ANCHORARRAY(Sintesi!$C$10))*(A125&lt;=_xlfn.ANCHORARRAY(Sintesi!$C$10))+(_xlfn.ANCHORARRAY(Sintesi!$C$9)&lt;_xlfn.ANCHORARRAY(Sintesi!$C$10))*(A125&gt;=_xlfn.ANCHORARRAY(Sintesi!$C$9))*(A125&lt;=_xlfn.ANCHORARRAY(Sintesi!$C$10)),0)),0)))),0)</f>
        <v>0</v>
      </c>
    </row>
    <row r="127" spans="1:13">
      <c r="A127" s="1">
        <f>'Paste cell here'!A127</f>
        <v>126</v>
      </c>
      <c r="B127" s="2">
        <f>DATE(Sintesi!$C$4-1,12,31)+A127</f>
        <v>44322</v>
      </c>
      <c r="C127" s="34">
        <f t="array" ref="C127">_xlfn.IFNA(MATCH(1,((_xlfn.ANCHORARRAY(Sintesi!$C$9)&gt;_xlfn.ANCHORARRAY(Sintesi!$C$10))*(A127&gt;=_xlfn.ANCHORARRAY(Sintesi!$C$9))+(_xlfn.ANCHORARRAY(Sintesi!$C$9)&gt;_xlfn.ANCHORARRAY(Sintesi!$C$10))*(A127&lt;=_xlfn.ANCHORARRAY(Sintesi!$C$10))+(_xlfn.ANCHORARRAY(Sintesi!$C$9)&lt;_xlfn.ANCHORARRAY(Sintesi!$C$10))*(A127&gt;=_xlfn.ANCHORARRAY(Sintesi!$C$9))*(A127&lt;=_xlfn.ANCHORARRAY(Sintesi!$C$10)))*(_xlfn.ANCHORARRAY(Sintesi!$C$15)&gt;=0)+(_xlfn.ANCHORARRAY(Sintesi!$C$15)&lt;0),0),0)</f>
        <v>1</v>
      </c>
      <c r="D127" s="1">
        <f t="array" ref="D127">IF(ISBLANK($E128),IF(ISNUMBER($E126),IF($C127&gt;0,IF(($E127=INDEX(_xlfn.ANCHORARRAY(Sintesi!$C$14),1,$C127))*(INDEX(_xlfn.ANCHORARRAY(Sintesi!$C$15),1,$C127)&gt;0),0,IF(($E127=INDEX(_xlfn.ANCHORARRAY(Sintesi!$C$14),1,$C127))*(INDEX(_xlfn.ANCHORARRAY(Sintesi!$C$15),1,$C127)&lt;0)+($E127&gt;=$E126)*($E127&lt;=INDEX($E:$E,MATCH(TRUE,INDEX((ISNUMBER($E:$E)),0),0)))*($E127&gt;INDEX(_xlfn.ANCHORARRAY(Sintesi!$C$14),1,$C127))*($E127&lt;=INDEX(_xlfn.ANCHORARRAY(Sintesi!$C$15),1,$C127))*(INDEX(_xlfn.ANCHORARRAY(Sintesi!$C$15),1,$C127)&gt;0),1,IF(($E127&gt;=$E126)*($E127&lt;=INDEX($E:$E,MATCH(TRUE,INDEX((ISNUMBER($E:$E)),0),0)))*($E127&gt;INDEX(_xlfn.ANCHORARRAY(Sintesi!$C$14),1,$C127))*($E127&lt;INDEX(_xlfn.ANCHORARRAY(Sintesi!$C$16),1,$C127))*(INDEX(_xlfn.ANCHORARRAY(Sintesi!$C$15),1,$C127)&lt;0)+($E127&gt;=$E126)*($E127&lt;=INDEX($E:$E,MATCH(TRUE,INDEX((ISNUMBER($E:$E)),0),0)))*($E127&gt;INDEX(_xlfn.ANCHORARRAY(Sintesi!$C$15),1,$C127))*($E127&lt;INDEX(_xlfn.ANCHORARRAY(Sintesi!$C$16),1,$C127))*(INDEX(_xlfn.ANCHORARRAY(Sintesi!$C$15),1,$C127)&gt;0),2,IF($E127=(INDEX(_xlfn.ANCHORARRAY(Sintesi!$C$16),1,$C127)),3,4)))),0),IF($C127&gt;0,IF(($E127=INDEX(_xlfn.ANCHORARRAY(Sintesi!$C$14),1,$C127))*(INDEX(_xlfn.ANCHORARRAY(Sintesi!$C$15),1,$C127)&gt;0),0,IF(($E127=INDEX(_xlfn.ANCHORARRAY(Sintesi!$C$14),1,$C127))*(INDEX(_xlfn.ANCHORARRAY(Sintesi!$C$15),1,$C127)&lt;0)+($E127&gt;=LOOKUP(2,1/($E:$E&lt;&gt;""),$E:$E))*($E127&lt;=INDEX($E:$E,MATCH(TRUE,INDEX((ISNUMBER($E:$E)),0),0)))*($E127&gt;INDEX(_xlfn.ANCHORARRAY(Sintesi!$C$14),1,$C127))*($E127&lt;=INDEX(_xlfn.ANCHORARRAY(Sintesi!$C$15),1,$C127))*(INDEX(_xlfn.ANCHORARRAY(Sintesi!$C$15),1,$C127)&gt;0),1,IF(($E127&gt;=LOOKUP(2,1/($E:$E&lt;&gt;""),$E:$E))*($E127&lt;=INDEX($E:$E,MATCH(TRUE,INDEX((ISNUMBER($E:$E)),0),0)))*($E127&gt;INDEX(_xlfn.ANCHORARRAY(Sintesi!$C$14),1,$C127))*($E127&lt;INDEX(_xlfn.ANCHORARRAY(Sintesi!$C$16),1,$C127))*(INDEX(_xlfn.ANCHORARRAY(Sintesi!$C$15),1,$C127)&lt;0)+($E127&gt;=LOOKUP(2,1/($E:$E&lt;&gt;""),$E:$E))*($E127&lt;=INDEX($E:$E,MATCH(TRUE,INDEX((ISNUMBER($E:$E)),0),0)))*($E127&gt;INDEX(_xlfn.ANCHORARRAY(Sintesi!$C$15),1,$C127))*($E127&lt;INDEX(_xlfn.ANCHORARRAY(Sintesi!$C$16),1,$C127))*(INDEX(_xlfn.ANCHORARRAY(Sintesi!$C$15),1,$C127)&gt;0),2,IF($E127=(INDEX(_xlfn.ANCHORARRAY(Sintesi!$C$16),1,$C127)),3,4)))),0)),IF(ISNUMBER($E126),IF($C127&gt;0,IF(($E127=INDEX(_xlfn.ANCHORARRAY(Sintesi!$C$14),1,$C127))*(INDEX(_xlfn.ANCHORARRAY(Sintesi!$C$15),1,$C127)&gt;0),0,IF(($E127=INDEX(_xlfn.ANCHORARRAY(Sintesi!$C$14),1,$C127))*(INDEX(_xlfn.ANCHORARRAY(Sintesi!$C$15),1,$C127)&lt;0)+($E127&gt;=$E126)*($E127&lt;=$E128)*($E127&gt;INDEX(_xlfn.ANCHORARRAY(Sintesi!$C$14),1,$C127))*($E127&lt;=INDEX(_xlfn.ANCHORARRAY(Sintesi!$C$15),1,$C127))*(INDEX(_xlfn.ANCHORARRAY(Sintesi!$C$15),1,$C127)&gt;0),1,IF(($E127&gt;=$E126)*($E127&lt;=$E128)*($E127&gt;INDEX(_xlfn.ANCHORARRAY(Sintesi!$C$14),1,$C127))*($E127&lt;INDEX(_xlfn.ANCHORARRAY(Sintesi!$C$16),1,$C127))*(INDEX(_xlfn.ANCHORARRAY(Sintesi!$C$15),1,$C127)&lt;0)+($E127&gt;=$E126)*($E127&lt;=$E128)*($E127&gt;INDEX(_xlfn.ANCHORARRAY(Sintesi!$C$15),1,$C127))*($E127&lt;INDEX(_xlfn.ANCHORARRAY(Sintesi!$C$16),1,$C127))*(INDEX(_xlfn.ANCHORARRAY(Sintesi!$C$15),1,$C127)&gt;0),2,IF($E127=(INDEX(_xlfn.ANCHORARRAY(Sintesi!$C$16),1,$C127)),3,4)))),0),IF($C127&gt;0,IF(($E127=INDEX(_xlfn.ANCHORARRAY(Sintesi!$C$14),1,$C127))*(INDEX(_xlfn.ANCHORARRAY(Sintesi!$C$15),1,$C127)&gt;0),0,IF(($E127=INDEX(_xlfn.ANCHORARRAY(Sintesi!$C$14),1,$C127))*(INDEX(_xlfn.ANCHORARRAY(Sintesi!$C$15),1,$C127)&lt;0)+($E127&gt;=LOOKUP(2,1/($E:$E&lt;&gt;""),$E:$E))*($E127&lt;=$E128)*($E127&gt;INDEX(_xlfn.ANCHORARRAY(Sintesi!$C$14),1,$C127))*($E127&lt;=INDEX(_xlfn.ANCHORARRAY(Sintesi!$C$15),1,$C127))*(INDEX(_xlfn.ANCHORARRAY(Sintesi!$C$15),1,$C127)&gt;0),1,IF(($E127&gt;=LOOKUP(2,1/($E:$E&lt;&gt;""),$E:$E))*($E127&lt;=$E128)*($E127&gt;INDEX(_xlfn.ANCHORARRAY(Sintesi!$C$14),1,$C127))*($E127&lt;INDEX(_xlfn.ANCHORARRAY(Sintesi!$C$16),1,$C127))*(INDEX(_xlfn.ANCHORARRAY(Sintesi!$C$15),1,$C127)&lt;0)+($E127&gt;=LOOKUP(2,1/($E:$E&lt;&gt;""),$E:$E))*($E127&lt;=$E128)*($E127&gt;INDEX(_xlfn.ANCHORARRAY(Sintesi!$C$15),1,$C127))*($E127&lt;INDEX(_xlfn.ANCHORARRAY(Sintesi!$C$16),1,$C127))*(INDEX(_xlfn.ANCHORARRAY(Sintesi!$C$15),1,$C127)&gt;0),2,IF($E127=(INDEX(_xlfn.ANCHORARRAY(Sintesi!$C$16),1,$C127)),3,4)))),0)))</f>
        <v>1</v>
      </c>
      <c r="E127" s="1">
        <f>'Paste cell here'!F127</f>
        <v>0.15</v>
      </c>
      <c r="F127" s="1">
        <f>'Paste cell here'!C127</f>
        <v>20.499999999999702</v>
      </c>
      <c r="G127" s="1">
        <f>'Paste cell here'!D127</f>
        <v>7.1799999999999038</v>
      </c>
      <c r="H127" s="1">
        <f>'Paste cell here'!E127</f>
        <v>3.2713147263787006</v>
      </c>
      <c r="I127" s="1">
        <f>'Paste cell here'!X127</f>
        <v>0.49068454832360142</v>
      </c>
      <c r="J127" s="1">
        <f>'Paste cell here'!Y127+'Paste cell here'!S127</f>
        <v>0.49068454832360142</v>
      </c>
      <c r="K127" s="1">
        <f t="shared" si="2"/>
        <v>0.14999612980276658</v>
      </c>
      <c r="L127" s="1">
        <f t="shared" si="3"/>
        <v>16.176334888714596</v>
      </c>
      <c r="M127" s="1">
        <f t="array" ref="M127">IF(AND(A127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127&gt;=_xlfn.ANCHORARRAY(Sintesi!$C$9))+(_xlfn.ANCHORARRAY(Sintesi!$C$9)&gt;_xlfn.ANCHORARRAY(Sintesi!$C$10))*(A127&lt;=_xlfn.ANCHORARRAY(Sintesi!$C$10))+(_xlfn.ANCHORARRAY(Sintesi!$C$9)&lt;_xlfn.ANCHORARRAY(Sintesi!$C$10))*(A127&gt;=_xlfn.ANCHORARRAY(Sintesi!$C$9))*(A127&lt;=_xlfn.ANCHORARRAY(Sintesi!$C$10)),0)),0),A127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128&gt;=_xlfn.ANCHORARRAY(Sintesi!$C$9))+(_xlfn.ANCHORARRAY(Sintesi!$C$9)&gt;_xlfn.ANCHORARRAY(Sintesi!$C$10))*(A128&lt;=_xlfn.ANCHORARRAY(Sintesi!$C$10))+(_xlfn.ANCHORARRAY(Sintesi!$C$9)&lt;_xlfn.ANCHORARRAY(Sintesi!$C$10))*(A128&gt;=_xlfn.ANCHORARRAY(Sintesi!$C$9))*(A128&lt;=_xlfn.ANCHORARRAY(Sintesi!$C$10)),0)),0)),IF(L127&lt;_xlfn.IFNA(INDEX(_xlfn.ANCHORARRAY(Sintesi!$C$17),1,MATCH(1,(_xlfn.ANCHORARRAY(Sintesi!$C$9)&gt;_xlfn.ANCHORARRAY(Sintesi!$C$10))*(A126&gt;=_xlfn.ANCHORARRAY(Sintesi!$C$9))+(_xlfn.ANCHORARRAY(Sintesi!$C$9)&gt;_xlfn.ANCHORARRAY(Sintesi!$C$10))*(A126&lt;=_xlfn.ANCHORARRAY(Sintesi!$C$10))+(_xlfn.ANCHORARRAY(Sintesi!$C$9)&lt;_xlfn.ANCHORARRAY(Sintesi!$C$10))*(A126&gt;=_xlfn.ANCHORARRAY(Sintesi!$C$9))*(A126&lt;=_xlfn.ANCHORARRAY(Sintesi!$C$10)),0)),0),1,IF(L127&gt;=_xlfn.IFNA(INDEX(_xlfn.ANCHORARRAY(Sintesi!$C$18),1,MATCH(1,(_xlfn.ANCHORARRAY(Sintesi!$C$9)&gt;_xlfn.ANCHORARRAY(Sintesi!$C$10))*(A126&gt;=_xlfn.ANCHORARRAY(Sintesi!$C$9))+(_xlfn.ANCHORARRAY(Sintesi!$C$9)&gt;_xlfn.ANCHORARRAY(Sintesi!$C$10))*(A126&lt;=_xlfn.ANCHORARRAY(Sintesi!$C$10))+(_xlfn.ANCHORARRAY(Sintesi!$C$9)&lt;_xlfn.ANCHORARRAY(Sintesi!$C$10))*(A126&gt;=_xlfn.ANCHORARRAY(Sintesi!$C$9))*(A126&lt;=_xlfn.ANCHORARRAY(Sintesi!$C$10)),0)),0),0,1-(L127-_xlfn.IFNA(INDEX(_xlfn.ANCHORARRAY(Sintesi!$C$17),1,MATCH(1,(_xlfn.ANCHORARRAY(Sintesi!$C$9)&gt;_xlfn.ANCHORARRAY(Sintesi!$C$10))*(A126&gt;=_xlfn.ANCHORARRAY(Sintesi!$C$9))+(_xlfn.ANCHORARRAY(Sintesi!$C$9)&gt;_xlfn.ANCHORARRAY(Sintesi!$C$10))*(A126&lt;=_xlfn.ANCHORARRAY(Sintesi!$C$10))+(_xlfn.ANCHORARRAY(Sintesi!$C$9)&lt;_xlfn.ANCHORARRAY(Sintesi!$C$10))*(A126&gt;=_xlfn.ANCHORARRAY(Sintesi!$C$9))*(A126&lt;=_xlfn.ANCHORARRAY(Sintesi!$C$10)),0)),0))/(_xlfn.IFNA(INDEX(_xlfn.ANCHORARRAY(Sintesi!$C$18),1,MATCH(1,(_xlfn.ANCHORARRAY(Sintesi!$C$9)&gt;_xlfn.ANCHORARRAY(Sintesi!$C$10))*(A126&gt;=_xlfn.ANCHORARRAY(Sintesi!$C$9))+(_xlfn.ANCHORARRAY(Sintesi!$C$9)&gt;_xlfn.ANCHORARRAY(Sintesi!$C$10))*(A126&lt;=_xlfn.ANCHORARRAY(Sintesi!$C$10))+(_xlfn.ANCHORARRAY(Sintesi!$C$9)&lt;_xlfn.ANCHORARRAY(Sintesi!$C$10))*(A126&gt;=_xlfn.ANCHORARRAY(Sintesi!$C$9))*(A126&lt;=_xlfn.ANCHORARRAY(Sintesi!$C$10)),0)),0)-_xlfn.IFNA(INDEX(_xlfn.ANCHORARRAY(Sintesi!$C$17),1,MATCH(1,(_xlfn.ANCHORARRAY(Sintesi!$C$9)&gt;_xlfn.ANCHORARRAY(Sintesi!$C$10))*(A126&gt;=_xlfn.ANCHORARRAY(Sintesi!$C$9))+(_xlfn.ANCHORARRAY(Sintesi!$C$9)&gt;_xlfn.ANCHORARRAY(Sintesi!$C$10))*(A126&lt;=_xlfn.ANCHORARRAY(Sintesi!$C$10))+(_xlfn.ANCHORARRAY(Sintesi!$C$9)&lt;_xlfn.ANCHORARRAY(Sintesi!$C$10))*(A126&gt;=_xlfn.ANCHORARRAY(Sintesi!$C$9))*(A126&lt;=_xlfn.ANCHORARRAY(Sintesi!$C$10)),0)),0)))),0)</f>
        <v>0</v>
      </c>
    </row>
    <row r="128" spans="1:13">
      <c r="A128" s="1">
        <f>'Paste cell here'!A128</f>
        <v>127</v>
      </c>
      <c r="B128" s="2">
        <f>DATE(Sintesi!$C$4-1,12,31)+A128</f>
        <v>44323</v>
      </c>
      <c r="C128" s="34">
        <f t="array" ref="C128">_xlfn.IFNA(MATCH(1,((_xlfn.ANCHORARRAY(Sintesi!$C$9)&gt;_xlfn.ANCHORARRAY(Sintesi!$C$10))*(A128&gt;=_xlfn.ANCHORARRAY(Sintesi!$C$9))+(_xlfn.ANCHORARRAY(Sintesi!$C$9)&gt;_xlfn.ANCHORARRAY(Sintesi!$C$10))*(A128&lt;=_xlfn.ANCHORARRAY(Sintesi!$C$10))+(_xlfn.ANCHORARRAY(Sintesi!$C$9)&lt;_xlfn.ANCHORARRAY(Sintesi!$C$10))*(A128&gt;=_xlfn.ANCHORARRAY(Sintesi!$C$9))*(A128&lt;=_xlfn.ANCHORARRAY(Sintesi!$C$10)))*(_xlfn.ANCHORARRAY(Sintesi!$C$15)&gt;=0)+(_xlfn.ANCHORARRAY(Sintesi!$C$15)&lt;0),0),0)</f>
        <v>1</v>
      </c>
      <c r="D128" s="1">
        <f t="array" ref="D128">IF(ISBLANK($E129),IF(ISNUMBER($E127),IF($C128&gt;0,IF(($E128=INDEX(_xlfn.ANCHORARRAY(Sintesi!$C$14),1,$C128))*(INDEX(_xlfn.ANCHORARRAY(Sintesi!$C$15),1,$C128)&gt;0),0,IF(($E128=INDEX(_xlfn.ANCHORARRAY(Sintesi!$C$14),1,$C128))*(INDEX(_xlfn.ANCHORARRAY(Sintesi!$C$15),1,$C128)&lt;0)+($E128&gt;=$E127)*($E128&lt;=INDEX($E:$E,MATCH(TRUE,INDEX((ISNUMBER($E:$E)),0),0)))*($E128&gt;INDEX(_xlfn.ANCHORARRAY(Sintesi!$C$14),1,$C128))*($E128&lt;=INDEX(_xlfn.ANCHORARRAY(Sintesi!$C$15),1,$C128))*(INDEX(_xlfn.ANCHORARRAY(Sintesi!$C$15),1,$C128)&gt;0),1,IF(($E128&gt;=$E127)*($E128&lt;=INDEX($E:$E,MATCH(TRUE,INDEX((ISNUMBER($E:$E)),0),0)))*($E128&gt;INDEX(_xlfn.ANCHORARRAY(Sintesi!$C$14),1,$C128))*($E128&lt;INDEX(_xlfn.ANCHORARRAY(Sintesi!$C$16),1,$C128))*(INDEX(_xlfn.ANCHORARRAY(Sintesi!$C$15),1,$C128)&lt;0)+($E128&gt;=$E127)*($E128&lt;=INDEX($E:$E,MATCH(TRUE,INDEX((ISNUMBER($E:$E)),0),0)))*($E128&gt;INDEX(_xlfn.ANCHORARRAY(Sintesi!$C$15),1,$C128))*($E128&lt;INDEX(_xlfn.ANCHORARRAY(Sintesi!$C$16),1,$C128))*(INDEX(_xlfn.ANCHORARRAY(Sintesi!$C$15),1,$C128)&gt;0),2,IF($E128=(INDEX(_xlfn.ANCHORARRAY(Sintesi!$C$16),1,$C128)),3,4)))),0),IF($C128&gt;0,IF(($E128=INDEX(_xlfn.ANCHORARRAY(Sintesi!$C$14),1,$C128))*(INDEX(_xlfn.ANCHORARRAY(Sintesi!$C$15),1,$C128)&gt;0),0,IF(($E128=INDEX(_xlfn.ANCHORARRAY(Sintesi!$C$14),1,$C128))*(INDEX(_xlfn.ANCHORARRAY(Sintesi!$C$15),1,$C128)&lt;0)+($E128&gt;=LOOKUP(2,1/($E:$E&lt;&gt;""),$E:$E))*($E128&lt;=INDEX($E:$E,MATCH(TRUE,INDEX((ISNUMBER($E:$E)),0),0)))*($E128&gt;INDEX(_xlfn.ANCHORARRAY(Sintesi!$C$14),1,$C128))*($E128&lt;=INDEX(_xlfn.ANCHORARRAY(Sintesi!$C$15),1,$C128))*(INDEX(_xlfn.ANCHORARRAY(Sintesi!$C$15),1,$C128)&gt;0),1,IF(($E128&gt;=LOOKUP(2,1/($E:$E&lt;&gt;""),$E:$E))*($E128&lt;=INDEX($E:$E,MATCH(TRUE,INDEX((ISNUMBER($E:$E)),0),0)))*($E128&gt;INDEX(_xlfn.ANCHORARRAY(Sintesi!$C$14),1,$C128))*($E128&lt;INDEX(_xlfn.ANCHORARRAY(Sintesi!$C$16),1,$C128))*(INDEX(_xlfn.ANCHORARRAY(Sintesi!$C$15),1,$C128)&lt;0)+($E128&gt;=LOOKUP(2,1/($E:$E&lt;&gt;""),$E:$E))*($E128&lt;=INDEX($E:$E,MATCH(TRUE,INDEX((ISNUMBER($E:$E)),0),0)))*($E128&gt;INDEX(_xlfn.ANCHORARRAY(Sintesi!$C$15),1,$C128))*($E128&lt;INDEX(_xlfn.ANCHORARRAY(Sintesi!$C$16),1,$C128))*(INDEX(_xlfn.ANCHORARRAY(Sintesi!$C$15),1,$C128)&gt;0),2,IF($E128=(INDEX(_xlfn.ANCHORARRAY(Sintesi!$C$16),1,$C128)),3,4)))),0)),IF(ISNUMBER($E127),IF($C128&gt;0,IF(($E128=INDEX(_xlfn.ANCHORARRAY(Sintesi!$C$14),1,$C128))*(INDEX(_xlfn.ANCHORARRAY(Sintesi!$C$15),1,$C128)&gt;0),0,IF(($E128=INDEX(_xlfn.ANCHORARRAY(Sintesi!$C$14),1,$C128))*(INDEX(_xlfn.ANCHORARRAY(Sintesi!$C$15),1,$C128)&lt;0)+($E128&gt;=$E127)*($E128&lt;=$E129)*($E128&gt;INDEX(_xlfn.ANCHORARRAY(Sintesi!$C$14),1,$C128))*($E128&lt;=INDEX(_xlfn.ANCHORARRAY(Sintesi!$C$15),1,$C128))*(INDEX(_xlfn.ANCHORARRAY(Sintesi!$C$15),1,$C128)&gt;0),1,IF(($E128&gt;=$E127)*($E128&lt;=$E129)*($E128&gt;INDEX(_xlfn.ANCHORARRAY(Sintesi!$C$14),1,$C128))*($E128&lt;INDEX(_xlfn.ANCHORARRAY(Sintesi!$C$16),1,$C128))*(INDEX(_xlfn.ANCHORARRAY(Sintesi!$C$15),1,$C128)&lt;0)+($E128&gt;=$E127)*($E128&lt;=$E129)*($E128&gt;INDEX(_xlfn.ANCHORARRAY(Sintesi!$C$15),1,$C128))*($E128&lt;INDEX(_xlfn.ANCHORARRAY(Sintesi!$C$16),1,$C128))*(INDEX(_xlfn.ANCHORARRAY(Sintesi!$C$15),1,$C128)&gt;0),2,IF($E128=(INDEX(_xlfn.ANCHORARRAY(Sintesi!$C$16),1,$C128)),3,4)))),0),IF($C128&gt;0,IF(($E128=INDEX(_xlfn.ANCHORARRAY(Sintesi!$C$14),1,$C128))*(INDEX(_xlfn.ANCHORARRAY(Sintesi!$C$15),1,$C128)&gt;0),0,IF(($E128=INDEX(_xlfn.ANCHORARRAY(Sintesi!$C$14),1,$C128))*(INDEX(_xlfn.ANCHORARRAY(Sintesi!$C$15),1,$C128)&lt;0)+($E128&gt;=LOOKUP(2,1/($E:$E&lt;&gt;""),$E:$E))*($E128&lt;=$E129)*($E128&gt;INDEX(_xlfn.ANCHORARRAY(Sintesi!$C$14),1,$C128))*($E128&lt;=INDEX(_xlfn.ANCHORARRAY(Sintesi!$C$15),1,$C128))*(INDEX(_xlfn.ANCHORARRAY(Sintesi!$C$15),1,$C128)&gt;0),1,IF(($E128&gt;=LOOKUP(2,1/($E:$E&lt;&gt;""),$E:$E))*($E128&lt;=$E129)*($E128&gt;INDEX(_xlfn.ANCHORARRAY(Sintesi!$C$14),1,$C128))*($E128&lt;INDEX(_xlfn.ANCHORARRAY(Sintesi!$C$16),1,$C128))*(INDEX(_xlfn.ANCHORARRAY(Sintesi!$C$15),1,$C128)&lt;0)+($E128&gt;=LOOKUP(2,1/($E:$E&lt;&gt;""),$E:$E))*($E128&lt;=$E129)*($E128&gt;INDEX(_xlfn.ANCHORARRAY(Sintesi!$C$15),1,$C128))*($E128&lt;INDEX(_xlfn.ANCHORARRAY(Sintesi!$C$16),1,$C128))*(INDEX(_xlfn.ANCHORARRAY(Sintesi!$C$15),1,$C128)&gt;0),2,IF($E128=(INDEX(_xlfn.ANCHORARRAY(Sintesi!$C$16),1,$C128)),3,4)))),0)))</f>
        <v>1</v>
      </c>
      <c r="E128" s="1">
        <f>'Paste cell here'!F128</f>
        <v>0.15</v>
      </c>
      <c r="F128" s="1">
        <f>'Paste cell here'!C128</f>
        <v>24.639999999999638</v>
      </c>
      <c r="G128" s="1">
        <f>'Paste cell here'!D128</f>
        <v>10.939999999999847</v>
      </c>
      <c r="H128" s="1">
        <f>'Paste cell here'!E128</f>
        <v>4.6124267144576194</v>
      </c>
      <c r="I128" s="1">
        <f>'Paste cell here'!X128</f>
        <v>0.69184509907800962</v>
      </c>
      <c r="J128" s="1">
        <f>'Paste cell here'!Y128+'Paste cell here'!S128</f>
        <v>0.69184509907800962</v>
      </c>
      <c r="K128" s="1">
        <f t="shared" si="2"/>
        <v>0.14999590061982471</v>
      </c>
      <c r="L128" s="1">
        <f t="shared" si="3"/>
        <v>20.192987085239434</v>
      </c>
      <c r="M128" s="1">
        <f t="array" ref="M128">IF(AND(A128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128&gt;=_xlfn.ANCHORARRAY(Sintesi!$C$9))+(_xlfn.ANCHORARRAY(Sintesi!$C$9)&gt;_xlfn.ANCHORARRAY(Sintesi!$C$10))*(A128&lt;=_xlfn.ANCHORARRAY(Sintesi!$C$10))+(_xlfn.ANCHORARRAY(Sintesi!$C$9)&lt;_xlfn.ANCHORARRAY(Sintesi!$C$10))*(A128&gt;=_xlfn.ANCHORARRAY(Sintesi!$C$9))*(A128&lt;=_xlfn.ANCHORARRAY(Sintesi!$C$10)),0)),0),A128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129&gt;=_xlfn.ANCHORARRAY(Sintesi!$C$9))+(_xlfn.ANCHORARRAY(Sintesi!$C$9)&gt;_xlfn.ANCHORARRAY(Sintesi!$C$10))*(A129&lt;=_xlfn.ANCHORARRAY(Sintesi!$C$10))+(_xlfn.ANCHORARRAY(Sintesi!$C$9)&lt;_xlfn.ANCHORARRAY(Sintesi!$C$10))*(A129&gt;=_xlfn.ANCHORARRAY(Sintesi!$C$9))*(A129&lt;=_xlfn.ANCHORARRAY(Sintesi!$C$10)),0)),0)),IF(L128&lt;_xlfn.IFNA(INDEX(_xlfn.ANCHORARRAY(Sintesi!$C$17),1,MATCH(1,(_xlfn.ANCHORARRAY(Sintesi!$C$9)&gt;_xlfn.ANCHORARRAY(Sintesi!$C$10))*(A127&gt;=_xlfn.ANCHORARRAY(Sintesi!$C$9))+(_xlfn.ANCHORARRAY(Sintesi!$C$9)&gt;_xlfn.ANCHORARRAY(Sintesi!$C$10))*(A127&lt;=_xlfn.ANCHORARRAY(Sintesi!$C$10))+(_xlfn.ANCHORARRAY(Sintesi!$C$9)&lt;_xlfn.ANCHORARRAY(Sintesi!$C$10))*(A127&gt;=_xlfn.ANCHORARRAY(Sintesi!$C$9))*(A127&lt;=_xlfn.ANCHORARRAY(Sintesi!$C$10)),0)),0),1,IF(L128&gt;=_xlfn.IFNA(INDEX(_xlfn.ANCHORARRAY(Sintesi!$C$18),1,MATCH(1,(_xlfn.ANCHORARRAY(Sintesi!$C$9)&gt;_xlfn.ANCHORARRAY(Sintesi!$C$10))*(A127&gt;=_xlfn.ANCHORARRAY(Sintesi!$C$9))+(_xlfn.ANCHORARRAY(Sintesi!$C$9)&gt;_xlfn.ANCHORARRAY(Sintesi!$C$10))*(A127&lt;=_xlfn.ANCHORARRAY(Sintesi!$C$10))+(_xlfn.ANCHORARRAY(Sintesi!$C$9)&lt;_xlfn.ANCHORARRAY(Sintesi!$C$10))*(A127&gt;=_xlfn.ANCHORARRAY(Sintesi!$C$9))*(A127&lt;=_xlfn.ANCHORARRAY(Sintesi!$C$10)),0)),0),0,1-(L128-_xlfn.IFNA(INDEX(_xlfn.ANCHORARRAY(Sintesi!$C$17),1,MATCH(1,(_xlfn.ANCHORARRAY(Sintesi!$C$9)&gt;_xlfn.ANCHORARRAY(Sintesi!$C$10))*(A127&gt;=_xlfn.ANCHORARRAY(Sintesi!$C$9))+(_xlfn.ANCHORARRAY(Sintesi!$C$9)&gt;_xlfn.ANCHORARRAY(Sintesi!$C$10))*(A127&lt;=_xlfn.ANCHORARRAY(Sintesi!$C$10))+(_xlfn.ANCHORARRAY(Sintesi!$C$9)&lt;_xlfn.ANCHORARRAY(Sintesi!$C$10))*(A127&gt;=_xlfn.ANCHORARRAY(Sintesi!$C$9))*(A127&lt;=_xlfn.ANCHORARRAY(Sintesi!$C$10)),0)),0))/(_xlfn.IFNA(INDEX(_xlfn.ANCHORARRAY(Sintesi!$C$18),1,MATCH(1,(_xlfn.ANCHORARRAY(Sintesi!$C$9)&gt;_xlfn.ANCHORARRAY(Sintesi!$C$10))*(A127&gt;=_xlfn.ANCHORARRAY(Sintesi!$C$9))+(_xlfn.ANCHORARRAY(Sintesi!$C$9)&gt;_xlfn.ANCHORARRAY(Sintesi!$C$10))*(A127&lt;=_xlfn.ANCHORARRAY(Sintesi!$C$10))+(_xlfn.ANCHORARRAY(Sintesi!$C$9)&lt;_xlfn.ANCHORARRAY(Sintesi!$C$10))*(A127&gt;=_xlfn.ANCHORARRAY(Sintesi!$C$9))*(A127&lt;=_xlfn.ANCHORARRAY(Sintesi!$C$10)),0)),0)-_xlfn.IFNA(INDEX(_xlfn.ANCHORARRAY(Sintesi!$C$17),1,MATCH(1,(_xlfn.ANCHORARRAY(Sintesi!$C$9)&gt;_xlfn.ANCHORARRAY(Sintesi!$C$10))*(A127&gt;=_xlfn.ANCHORARRAY(Sintesi!$C$9))+(_xlfn.ANCHORARRAY(Sintesi!$C$9)&gt;_xlfn.ANCHORARRAY(Sintesi!$C$10))*(A127&lt;=_xlfn.ANCHORARRAY(Sintesi!$C$10))+(_xlfn.ANCHORARRAY(Sintesi!$C$9)&lt;_xlfn.ANCHORARRAY(Sintesi!$C$10))*(A127&gt;=_xlfn.ANCHORARRAY(Sintesi!$C$9))*(A127&lt;=_xlfn.ANCHORARRAY(Sintesi!$C$10)),0)),0)))),0)</f>
        <v>0</v>
      </c>
    </row>
    <row r="129" spans="1:13">
      <c r="A129" s="1">
        <f>'Paste cell here'!A129</f>
        <v>128</v>
      </c>
      <c r="B129" s="2">
        <f>DATE(Sintesi!$C$4-1,12,31)+A129</f>
        <v>44324</v>
      </c>
      <c r="C129" s="34">
        <f t="array" ref="C129">_xlfn.IFNA(MATCH(1,((_xlfn.ANCHORARRAY(Sintesi!$C$9)&gt;_xlfn.ANCHORARRAY(Sintesi!$C$10))*(A129&gt;=_xlfn.ANCHORARRAY(Sintesi!$C$9))+(_xlfn.ANCHORARRAY(Sintesi!$C$9)&gt;_xlfn.ANCHORARRAY(Sintesi!$C$10))*(A129&lt;=_xlfn.ANCHORARRAY(Sintesi!$C$10))+(_xlfn.ANCHORARRAY(Sintesi!$C$9)&lt;_xlfn.ANCHORARRAY(Sintesi!$C$10))*(A129&gt;=_xlfn.ANCHORARRAY(Sintesi!$C$9))*(A129&lt;=_xlfn.ANCHORARRAY(Sintesi!$C$10)))*(_xlfn.ANCHORARRAY(Sintesi!$C$15)&gt;=0)+(_xlfn.ANCHORARRAY(Sintesi!$C$15)&lt;0),0),0)</f>
        <v>1</v>
      </c>
      <c r="D129" s="1">
        <f t="array" ref="D129">IF(ISBLANK($E130),IF(ISNUMBER($E128),IF($C129&gt;0,IF(($E129=INDEX(_xlfn.ANCHORARRAY(Sintesi!$C$14),1,$C129))*(INDEX(_xlfn.ANCHORARRAY(Sintesi!$C$15),1,$C129)&gt;0),0,IF(($E129=INDEX(_xlfn.ANCHORARRAY(Sintesi!$C$14),1,$C129))*(INDEX(_xlfn.ANCHORARRAY(Sintesi!$C$15),1,$C129)&lt;0)+($E129&gt;=$E128)*($E129&lt;=INDEX($E:$E,MATCH(TRUE,INDEX((ISNUMBER($E:$E)),0),0)))*($E129&gt;INDEX(_xlfn.ANCHORARRAY(Sintesi!$C$14),1,$C129))*($E129&lt;=INDEX(_xlfn.ANCHORARRAY(Sintesi!$C$15),1,$C129))*(INDEX(_xlfn.ANCHORARRAY(Sintesi!$C$15),1,$C129)&gt;0),1,IF(($E129&gt;=$E128)*($E129&lt;=INDEX($E:$E,MATCH(TRUE,INDEX((ISNUMBER($E:$E)),0),0)))*($E129&gt;INDEX(_xlfn.ANCHORARRAY(Sintesi!$C$14),1,$C129))*($E129&lt;INDEX(_xlfn.ANCHORARRAY(Sintesi!$C$16),1,$C129))*(INDEX(_xlfn.ANCHORARRAY(Sintesi!$C$15),1,$C129)&lt;0)+($E129&gt;=$E128)*($E129&lt;=INDEX($E:$E,MATCH(TRUE,INDEX((ISNUMBER($E:$E)),0),0)))*($E129&gt;INDEX(_xlfn.ANCHORARRAY(Sintesi!$C$15),1,$C129))*($E129&lt;INDEX(_xlfn.ANCHORARRAY(Sintesi!$C$16),1,$C129))*(INDEX(_xlfn.ANCHORARRAY(Sintesi!$C$15),1,$C129)&gt;0),2,IF($E129=(INDEX(_xlfn.ANCHORARRAY(Sintesi!$C$16),1,$C129)),3,4)))),0),IF($C129&gt;0,IF(($E129=INDEX(_xlfn.ANCHORARRAY(Sintesi!$C$14),1,$C129))*(INDEX(_xlfn.ANCHORARRAY(Sintesi!$C$15),1,$C129)&gt;0),0,IF(($E129=INDEX(_xlfn.ANCHORARRAY(Sintesi!$C$14),1,$C129))*(INDEX(_xlfn.ANCHORARRAY(Sintesi!$C$15),1,$C129)&lt;0)+($E129&gt;=LOOKUP(2,1/($E:$E&lt;&gt;""),$E:$E))*($E129&lt;=INDEX($E:$E,MATCH(TRUE,INDEX((ISNUMBER($E:$E)),0),0)))*($E129&gt;INDEX(_xlfn.ANCHORARRAY(Sintesi!$C$14),1,$C129))*($E129&lt;=INDEX(_xlfn.ANCHORARRAY(Sintesi!$C$15),1,$C129))*(INDEX(_xlfn.ANCHORARRAY(Sintesi!$C$15),1,$C129)&gt;0),1,IF(($E129&gt;=LOOKUP(2,1/($E:$E&lt;&gt;""),$E:$E))*($E129&lt;=INDEX($E:$E,MATCH(TRUE,INDEX((ISNUMBER($E:$E)),0),0)))*($E129&gt;INDEX(_xlfn.ANCHORARRAY(Sintesi!$C$14),1,$C129))*($E129&lt;INDEX(_xlfn.ANCHORARRAY(Sintesi!$C$16),1,$C129))*(INDEX(_xlfn.ANCHORARRAY(Sintesi!$C$15),1,$C129)&lt;0)+($E129&gt;=LOOKUP(2,1/($E:$E&lt;&gt;""),$E:$E))*($E129&lt;=INDEX($E:$E,MATCH(TRUE,INDEX((ISNUMBER($E:$E)),0),0)))*($E129&gt;INDEX(_xlfn.ANCHORARRAY(Sintesi!$C$15),1,$C129))*($E129&lt;INDEX(_xlfn.ANCHORARRAY(Sintesi!$C$16),1,$C129))*(INDEX(_xlfn.ANCHORARRAY(Sintesi!$C$15),1,$C129)&gt;0),2,IF($E129=(INDEX(_xlfn.ANCHORARRAY(Sintesi!$C$16),1,$C129)),3,4)))),0)),IF(ISNUMBER($E128),IF($C129&gt;0,IF(($E129=INDEX(_xlfn.ANCHORARRAY(Sintesi!$C$14),1,$C129))*(INDEX(_xlfn.ANCHORARRAY(Sintesi!$C$15),1,$C129)&gt;0),0,IF(($E129=INDEX(_xlfn.ANCHORARRAY(Sintesi!$C$14),1,$C129))*(INDEX(_xlfn.ANCHORARRAY(Sintesi!$C$15),1,$C129)&lt;0)+($E129&gt;=$E128)*($E129&lt;=$E130)*($E129&gt;INDEX(_xlfn.ANCHORARRAY(Sintesi!$C$14),1,$C129))*($E129&lt;=INDEX(_xlfn.ANCHORARRAY(Sintesi!$C$15),1,$C129))*(INDEX(_xlfn.ANCHORARRAY(Sintesi!$C$15),1,$C129)&gt;0),1,IF(($E129&gt;=$E128)*($E129&lt;=$E130)*($E129&gt;INDEX(_xlfn.ANCHORARRAY(Sintesi!$C$14),1,$C129))*($E129&lt;INDEX(_xlfn.ANCHORARRAY(Sintesi!$C$16),1,$C129))*(INDEX(_xlfn.ANCHORARRAY(Sintesi!$C$15),1,$C129)&lt;0)+($E129&gt;=$E128)*($E129&lt;=$E130)*($E129&gt;INDEX(_xlfn.ANCHORARRAY(Sintesi!$C$15),1,$C129))*($E129&lt;INDEX(_xlfn.ANCHORARRAY(Sintesi!$C$16),1,$C129))*(INDEX(_xlfn.ANCHORARRAY(Sintesi!$C$15),1,$C129)&gt;0),2,IF($E129=(INDEX(_xlfn.ANCHORARRAY(Sintesi!$C$16),1,$C129)),3,4)))),0),IF($C129&gt;0,IF(($E129=INDEX(_xlfn.ANCHORARRAY(Sintesi!$C$14),1,$C129))*(INDEX(_xlfn.ANCHORARRAY(Sintesi!$C$15),1,$C129)&gt;0),0,IF(($E129=INDEX(_xlfn.ANCHORARRAY(Sintesi!$C$14),1,$C129))*(INDEX(_xlfn.ANCHORARRAY(Sintesi!$C$15),1,$C129)&lt;0)+($E129&gt;=LOOKUP(2,1/($E:$E&lt;&gt;""),$E:$E))*($E129&lt;=$E130)*($E129&gt;INDEX(_xlfn.ANCHORARRAY(Sintesi!$C$14),1,$C129))*($E129&lt;=INDEX(_xlfn.ANCHORARRAY(Sintesi!$C$15),1,$C129))*(INDEX(_xlfn.ANCHORARRAY(Sintesi!$C$15),1,$C129)&gt;0),1,IF(($E129&gt;=LOOKUP(2,1/($E:$E&lt;&gt;""),$E:$E))*($E129&lt;=$E130)*($E129&gt;INDEX(_xlfn.ANCHORARRAY(Sintesi!$C$14),1,$C129))*($E129&lt;INDEX(_xlfn.ANCHORARRAY(Sintesi!$C$16),1,$C129))*(INDEX(_xlfn.ANCHORARRAY(Sintesi!$C$15),1,$C129)&lt;0)+($E129&gt;=LOOKUP(2,1/($E:$E&lt;&gt;""),$E:$E))*($E129&lt;=$E130)*($E129&gt;INDEX(_xlfn.ANCHORARRAY(Sintesi!$C$15),1,$C129))*($E129&lt;INDEX(_xlfn.ANCHORARRAY(Sintesi!$C$16),1,$C129))*(INDEX(_xlfn.ANCHORARRAY(Sintesi!$C$15),1,$C129)&gt;0),2,IF($E129=(INDEX(_xlfn.ANCHORARRAY(Sintesi!$C$16),1,$C129)),3,4)))),0)))</f>
        <v>1</v>
      </c>
      <c r="E129" s="1">
        <f>'Paste cell here'!F129</f>
        <v>0.15</v>
      </c>
      <c r="F129" s="1">
        <f>'Paste cell here'!C129</f>
        <v>21.839999999999684</v>
      </c>
      <c r="G129" s="1">
        <f>'Paste cell here'!D129</f>
        <v>10.639999999999848</v>
      </c>
      <c r="H129" s="1">
        <f>'Paste cell here'!E129</f>
        <v>4.0198916298750378</v>
      </c>
      <c r="I129" s="1">
        <f>'Paste cell here'!X129</f>
        <v>0.60296631114498644</v>
      </c>
      <c r="J129" s="1">
        <f>'Paste cell here'!Y129+'Paste cell here'!S129</f>
        <v>0.60296631114498644</v>
      </c>
      <c r="K129" s="1">
        <f t="shared" si="2"/>
        <v>0.14999566323227728</v>
      </c>
      <c r="L129" s="1">
        <f t="shared" si="3"/>
        <v>18.204485792312511</v>
      </c>
      <c r="M129" s="1">
        <f t="array" ref="M129">IF(AND(A129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129&gt;=_xlfn.ANCHORARRAY(Sintesi!$C$9))+(_xlfn.ANCHORARRAY(Sintesi!$C$9)&gt;_xlfn.ANCHORARRAY(Sintesi!$C$10))*(A129&lt;=_xlfn.ANCHORARRAY(Sintesi!$C$10))+(_xlfn.ANCHORARRAY(Sintesi!$C$9)&lt;_xlfn.ANCHORARRAY(Sintesi!$C$10))*(A129&gt;=_xlfn.ANCHORARRAY(Sintesi!$C$9))*(A129&lt;=_xlfn.ANCHORARRAY(Sintesi!$C$10)),0)),0),A129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130&gt;=_xlfn.ANCHORARRAY(Sintesi!$C$9))+(_xlfn.ANCHORARRAY(Sintesi!$C$9)&gt;_xlfn.ANCHORARRAY(Sintesi!$C$10))*(A130&lt;=_xlfn.ANCHORARRAY(Sintesi!$C$10))+(_xlfn.ANCHORARRAY(Sintesi!$C$9)&lt;_xlfn.ANCHORARRAY(Sintesi!$C$10))*(A130&gt;=_xlfn.ANCHORARRAY(Sintesi!$C$9))*(A130&lt;=_xlfn.ANCHORARRAY(Sintesi!$C$10)),0)),0)),IF(L129&lt;_xlfn.IFNA(INDEX(_xlfn.ANCHORARRAY(Sintesi!$C$17),1,MATCH(1,(_xlfn.ANCHORARRAY(Sintesi!$C$9)&gt;_xlfn.ANCHORARRAY(Sintesi!$C$10))*(A128&gt;=_xlfn.ANCHORARRAY(Sintesi!$C$9))+(_xlfn.ANCHORARRAY(Sintesi!$C$9)&gt;_xlfn.ANCHORARRAY(Sintesi!$C$10))*(A128&lt;=_xlfn.ANCHORARRAY(Sintesi!$C$10))+(_xlfn.ANCHORARRAY(Sintesi!$C$9)&lt;_xlfn.ANCHORARRAY(Sintesi!$C$10))*(A128&gt;=_xlfn.ANCHORARRAY(Sintesi!$C$9))*(A128&lt;=_xlfn.ANCHORARRAY(Sintesi!$C$10)),0)),0),1,IF(L129&gt;=_xlfn.IFNA(INDEX(_xlfn.ANCHORARRAY(Sintesi!$C$18),1,MATCH(1,(_xlfn.ANCHORARRAY(Sintesi!$C$9)&gt;_xlfn.ANCHORARRAY(Sintesi!$C$10))*(A128&gt;=_xlfn.ANCHORARRAY(Sintesi!$C$9))+(_xlfn.ANCHORARRAY(Sintesi!$C$9)&gt;_xlfn.ANCHORARRAY(Sintesi!$C$10))*(A128&lt;=_xlfn.ANCHORARRAY(Sintesi!$C$10))+(_xlfn.ANCHORARRAY(Sintesi!$C$9)&lt;_xlfn.ANCHORARRAY(Sintesi!$C$10))*(A128&gt;=_xlfn.ANCHORARRAY(Sintesi!$C$9))*(A128&lt;=_xlfn.ANCHORARRAY(Sintesi!$C$10)),0)),0),0,1-(L129-_xlfn.IFNA(INDEX(_xlfn.ANCHORARRAY(Sintesi!$C$17),1,MATCH(1,(_xlfn.ANCHORARRAY(Sintesi!$C$9)&gt;_xlfn.ANCHORARRAY(Sintesi!$C$10))*(A128&gt;=_xlfn.ANCHORARRAY(Sintesi!$C$9))+(_xlfn.ANCHORARRAY(Sintesi!$C$9)&gt;_xlfn.ANCHORARRAY(Sintesi!$C$10))*(A128&lt;=_xlfn.ANCHORARRAY(Sintesi!$C$10))+(_xlfn.ANCHORARRAY(Sintesi!$C$9)&lt;_xlfn.ANCHORARRAY(Sintesi!$C$10))*(A128&gt;=_xlfn.ANCHORARRAY(Sintesi!$C$9))*(A128&lt;=_xlfn.ANCHORARRAY(Sintesi!$C$10)),0)),0))/(_xlfn.IFNA(INDEX(_xlfn.ANCHORARRAY(Sintesi!$C$18),1,MATCH(1,(_xlfn.ANCHORARRAY(Sintesi!$C$9)&gt;_xlfn.ANCHORARRAY(Sintesi!$C$10))*(A128&gt;=_xlfn.ANCHORARRAY(Sintesi!$C$9))+(_xlfn.ANCHORARRAY(Sintesi!$C$9)&gt;_xlfn.ANCHORARRAY(Sintesi!$C$10))*(A128&lt;=_xlfn.ANCHORARRAY(Sintesi!$C$10))+(_xlfn.ANCHORARRAY(Sintesi!$C$9)&lt;_xlfn.ANCHORARRAY(Sintesi!$C$10))*(A128&gt;=_xlfn.ANCHORARRAY(Sintesi!$C$9))*(A128&lt;=_xlfn.ANCHORARRAY(Sintesi!$C$10)),0)),0)-_xlfn.IFNA(INDEX(_xlfn.ANCHORARRAY(Sintesi!$C$17),1,MATCH(1,(_xlfn.ANCHORARRAY(Sintesi!$C$9)&gt;_xlfn.ANCHORARRAY(Sintesi!$C$10))*(A128&gt;=_xlfn.ANCHORARRAY(Sintesi!$C$9))+(_xlfn.ANCHORARRAY(Sintesi!$C$9)&gt;_xlfn.ANCHORARRAY(Sintesi!$C$10))*(A128&lt;=_xlfn.ANCHORARRAY(Sintesi!$C$10))+(_xlfn.ANCHORARRAY(Sintesi!$C$9)&lt;_xlfn.ANCHORARRAY(Sintesi!$C$10))*(A128&gt;=_xlfn.ANCHORARRAY(Sintesi!$C$9))*(A128&lt;=_xlfn.ANCHORARRAY(Sintesi!$C$10)),0)),0)))),0)</f>
        <v>0</v>
      </c>
    </row>
    <row r="130" spans="1:13">
      <c r="A130" s="1">
        <f>'Paste cell here'!A130</f>
        <v>129</v>
      </c>
      <c r="B130" s="2">
        <f>DATE(Sintesi!$C$4-1,12,31)+A130</f>
        <v>44325</v>
      </c>
      <c r="C130" s="34">
        <f t="array" ref="C130">_xlfn.IFNA(MATCH(1,((_xlfn.ANCHORARRAY(Sintesi!$C$9)&gt;_xlfn.ANCHORARRAY(Sintesi!$C$10))*(A130&gt;=_xlfn.ANCHORARRAY(Sintesi!$C$9))+(_xlfn.ANCHORARRAY(Sintesi!$C$9)&gt;_xlfn.ANCHORARRAY(Sintesi!$C$10))*(A130&lt;=_xlfn.ANCHORARRAY(Sintesi!$C$10))+(_xlfn.ANCHORARRAY(Sintesi!$C$9)&lt;_xlfn.ANCHORARRAY(Sintesi!$C$10))*(A130&gt;=_xlfn.ANCHORARRAY(Sintesi!$C$9))*(A130&lt;=_xlfn.ANCHORARRAY(Sintesi!$C$10)))*(_xlfn.ANCHORARRAY(Sintesi!$C$15)&gt;=0)+(_xlfn.ANCHORARRAY(Sintesi!$C$15)&lt;0),0),0)</f>
        <v>1</v>
      </c>
      <c r="D130" s="1">
        <f t="array" ref="D130">IF(ISBLANK($E131),IF(ISNUMBER($E129),IF($C130&gt;0,IF(($E130=INDEX(_xlfn.ANCHORARRAY(Sintesi!$C$14),1,$C130))*(INDEX(_xlfn.ANCHORARRAY(Sintesi!$C$15),1,$C130)&gt;0),0,IF(($E130=INDEX(_xlfn.ANCHORARRAY(Sintesi!$C$14),1,$C130))*(INDEX(_xlfn.ANCHORARRAY(Sintesi!$C$15),1,$C130)&lt;0)+($E130&gt;=$E129)*($E130&lt;=INDEX($E:$E,MATCH(TRUE,INDEX((ISNUMBER($E:$E)),0),0)))*($E130&gt;INDEX(_xlfn.ANCHORARRAY(Sintesi!$C$14),1,$C130))*($E130&lt;=INDEX(_xlfn.ANCHORARRAY(Sintesi!$C$15),1,$C130))*(INDEX(_xlfn.ANCHORARRAY(Sintesi!$C$15),1,$C130)&gt;0),1,IF(($E130&gt;=$E129)*($E130&lt;=INDEX($E:$E,MATCH(TRUE,INDEX((ISNUMBER($E:$E)),0),0)))*($E130&gt;INDEX(_xlfn.ANCHORARRAY(Sintesi!$C$14),1,$C130))*($E130&lt;INDEX(_xlfn.ANCHORARRAY(Sintesi!$C$16),1,$C130))*(INDEX(_xlfn.ANCHORARRAY(Sintesi!$C$15),1,$C130)&lt;0)+($E130&gt;=$E129)*($E130&lt;=INDEX($E:$E,MATCH(TRUE,INDEX((ISNUMBER($E:$E)),0),0)))*($E130&gt;INDEX(_xlfn.ANCHORARRAY(Sintesi!$C$15),1,$C130))*($E130&lt;INDEX(_xlfn.ANCHORARRAY(Sintesi!$C$16),1,$C130))*(INDEX(_xlfn.ANCHORARRAY(Sintesi!$C$15),1,$C130)&gt;0),2,IF($E130=(INDEX(_xlfn.ANCHORARRAY(Sintesi!$C$16),1,$C130)),3,4)))),0),IF($C130&gt;0,IF(($E130=INDEX(_xlfn.ANCHORARRAY(Sintesi!$C$14),1,$C130))*(INDEX(_xlfn.ANCHORARRAY(Sintesi!$C$15),1,$C130)&gt;0),0,IF(($E130=INDEX(_xlfn.ANCHORARRAY(Sintesi!$C$14),1,$C130))*(INDEX(_xlfn.ANCHORARRAY(Sintesi!$C$15),1,$C130)&lt;0)+($E130&gt;=LOOKUP(2,1/($E:$E&lt;&gt;""),$E:$E))*($E130&lt;=INDEX($E:$E,MATCH(TRUE,INDEX((ISNUMBER($E:$E)),0),0)))*($E130&gt;INDEX(_xlfn.ANCHORARRAY(Sintesi!$C$14),1,$C130))*($E130&lt;=INDEX(_xlfn.ANCHORARRAY(Sintesi!$C$15),1,$C130))*(INDEX(_xlfn.ANCHORARRAY(Sintesi!$C$15),1,$C130)&gt;0),1,IF(($E130&gt;=LOOKUP(2,1/($E:$E&lt;&gt;""),$E:$E))*($E130&lt;=INDEX($E:$E,MATCH(TRUE,INDEX((ISNUMBER($E:$E)),0),0)))*($E130&gt;INDEX(_xlfn.ANCHORARRAY(Sintesi!$C$14),1,$C130))*($E130&lt;INDEX(_xlfn.ANCHORARRAY(Sintesi!$C$16),1,$C130))*(INDEX(_xlfn.ANCHORARRAY(Sintesi!$C$15),1,$C130)&lt;0)+($E130&gt;=LOOKUP(2,1/($E:$E&lt;&gt;""),$E:$E))*($E130&lt;=INDEX($E:$E,MATCH(TRUE,INDEX((ISNUMBER($E:$E)),0),0)))*($E130&gt;INDEX(_xlfn.ANCHORARRAY(Sintesi!$C$15),1,$C130))*($E130&lt;INDEX(_xlfn.ANCHORARRAY(Sintesi!$C$16),1,$C130))*(INDEX(_xlfn.ANCHORARRAY(Sintesi!$C$15),1,$C130)&gt;0),2,IF($E130=(INDEX(_xlfn.ANCHORARRAY(Sintesi!$C$16),1,$C130)),3,4)))),0)),IF(ISNUMBER($E129),IF($C130&gt;0,IF(($E130=INDEX(_xlfn.ANCHORARRAY(Sintesi!$C$14),1,$C130))*(INDEX(_xlfn.ANCHORARRAY(Sintesi!$C$15),1,$C130)&gt;0),0,IF(($E130=INDEX(_xlfn.ANCHORARRAY(Sintesi!$C$14),1,$C130))*(INDEX(_xlfn.ANCHORARRAY(Sintesi!$C$15),1,$C130)&lt;0)+($E130&gt;=$E129)*($E130&lt;=$E131)*($E130&gt;INDEX(_xlfn.ANCHORARRAY(Sintesi!$C$14),1,$C130))*($E130&lt;=INDEX(_xlfn.ANCHORARRAY(Sintesi!$C$15),1,$C130))*(INDEX(_xlfn.ANCHORARRAY(Sintesi!$C$15),1,$C130)&gt;0),1,IF(($E130&gt;=$E129)*($E130&lt;=$E131)*($E130&gt;INDEX(_xlfn.ANCHORARRAY(Sintesi!$C$14),1,$C130))*($E130&lt;INDEX(_xlfn.ANCHORARRAY(Sintesi!$C$16),1,$C130))*(INDEX(_xlfn.ANCHORARRAY(Sintesi!$C$15),1,$C130)&lt;0)+($E130&gt;=$E129)*($E130&lt;=$E131)*($E130&gt;INDEX(_xlfn.ANCHORARRAY(Sintesi!$C$15),1,$C130))*($E130&lt;INDEX(_xlfn.ANCHORARRAY(Sintesi!$C$16),1,$C130))*(INDEX(_xlfn.ANCHORARRAY(Sintesi!$C$15),1,$C130)&gt;0),2,IF($E130=(INDEX(_xlfn.ANCHORARRAY(Sintesi!$C$16),1,$C130)),3,4)))),0),IF($C130&gt;0,IF(($E130=INDEX(_xlfn.ANCHORARRAY(Sintesi!$C$14),1,$C130))*(INDEX(_xlfn.ANCHORARRAY(Sintesi!$C$15),1,$C130)&gt;0),0,IF(($E130=INDEX(_xlfn.ANCHORARRAY(Sintesi!$C$14),1,$C130))*(INDEX(_xlfn.ANCHORARRAY(Sintesi!$C$15),1,$C130)&lt;0)+($E130&gt;=LOOKUP(2,1/($E:$E&lt;&gt;""),$E:$E))*($E130&lt;=$E131)*($E130&gt;INDEX(_xlfn.ANCHORARRAY(Sintesi!$C$14),1,$C130))*($E130&lt;=INDEX(_xlfn.ANCHORARRAY(Sintesi!$C$15),1,$C130))*(INDEX(_xlfn.ANCHORARRAY(Sintesi!$C$15),1,$C130)&gt;0),1,IF(($E130&gt;=LOOKUP(2,1/($E:$E&lt;&gt;""),$E:$E))*($E130&lt;=$E131)*($E130&gt;INDEX(_xlfn.ANCHORARRAY(Sintesi!$C$14),1,$C130))*($E130&lt;INDEX(_xlfn.ANCHORARRAY(Sintesi!$C$16),1,$C130))*(INDEX(_xlfn.ANCHORARRAY(Sintesi!$C$15),1,$C130)&lt;0)+($E130&gt;=LOOKUP(2,1/($E:$E&lt;&gt;""),$E:$E))*($E130&lt;=$E131)*($E130&gt;INDEX(_xlfn.ANCHORARRAY(Sintesi!$C$15),1,$C130))*($E130&lt;INDEX(_xlfn.ANCHORARRAY(Sintesi!$C$16),1,$C130))*(INDEX(_xlfn.ANCHORARRAY(Sintesi!$C$15),1,$C130)&gt;0),2,IF($E130=(INDEX(_xlfn.ANCHORARRAY(Sintesi!$C$16),1,$C130)),3,4)))),0)))</f>
        <v>1</v>
      </c>
      <c r="E130" s="1">
        <f>'Paste cell here'!F130</f>
        <v>0.15</v>
      </c>
      <c r="F130" s="1">
        <f>'Paste cell here'!C130</f>
        <v>23.89999999999965</v>
      </c>
      <c r="G130" s="1">
        <f>'Paste cell here'!D130</f>
        <v>9.039999999999873</v>
      </c>
      <c r="H130" s="1">
        <f>'Paste cell here'!E130</f>
        <v>3.7531687338359405</v>
      </c>
      <c r="I130" s="1">
        <f>'Paste cell here'!X130</f>
        <v>0.56295811216981562</v>
      </c>
      <c r="J130" s="1">
        <f>'Paste cell here'!Y130+'Paste cell here'!S130</f>
        <v>0.56295811216981562</v>
      </c>
      <c r="K130" s="1">
        <f t="shared" ref="K130:K193" si="4">I130/H130</f>
        <v>0.14999541776381636</v>
      </c>
      <c r="L130" s="1">
        <f t="shared" ref="L130:L193" si="5">AVERAGE(($F130+$G130)/2-($F130-$G130)/2*COS(PI()*(8-VLOOKUP(MONTH(B130),$O$1:$Q$13,3))/(VLOOKUP(MONTH(B130),$O$1:$Q$13,2)-VLOOKUP(MONTH(B130),$O$1:$Q$13,3))),($F130+$G130)/2-($F130-$G130)/2*COS(PI()*(9-VLOOKUP(MONTH(B130),$O$1:$Q$13,3))/(VLOOKUP(MONTH(B130),$O$1:$Q$13,2)-VLOOKUP(MONTH(B130),$O$1:$Q$13,3))),($F130+$G130)/2-($F130-$G130)/2*COS(PI()*(10-VLOOKUP(MONTH(B130),$O$1:$Q$13,3))/(VLOOKUP(MONTH(B130),$O$1:$Q$13,2)-VLOOKUP(MONTH(B130),$O$1:$Q$13,3))),($F130+$G130)/2-($F130-$G130)/2*COS(PI()*(11-VLOOKUP(MONTH(B130),$O$1:$Q$13,3))/(VLOOKUP(MONTH(B130),$O$1:$Q$13,2)-VLOOKUP(MONTH(B130),$O$1:$Q$13,3))),($F130+$G130)/2-($F130-$G130)/2*COS(PI()*(12-VLOOKUP(MONTH(B130),$O$1:$Q$13,3))/(VLOOKUP(MONTH(B130),$O$1:$Q$13,2)-VLOOKUP(MONTH(B130),$O$1:$Q$13,3))),($F130+$G130)/2-($F130-$G130)/2*COS(PI()*(13-VLOOKUP(MONTH(B130),$O$1:$Q$13,3))/(VLOOKUP(MONTH(B130),$O$1:$Q$13,2)-VLOOKUP(MONTH(B130),$O$1:$Q$13,3))),($F130+$G130)/2-($F130-$G130)/2*COS(PI()*(14-VLOOKUP(MONTH(B130),$O$1:$Q$13,3))/(VLOOKUP(MONTH(B130),$O$1:$Q$13,2)-VLOOKUP(MONTH(B130),$O$1:$Q$13,3))))</f>
        <v>19.076451685157561</v>
      </c>
      <c r="M130" s="1">
        <f t="array" ref="M130">IF(AND(A130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130&gt;=_xlfn.ANCHORARRAY(Sintesi!$C$9))+(_xlfn.ANCHORARRAY(Sintesi!$C$9)&gt;_xlfn.ANCHORARRAY(Sintesi!$C$10))*(A130&lt;=_xlfn.ANCHORARRAY(Sintesi!$C$10))+(_xlfn.ANCHORARRAY(Sintesi!$C$9)&lt;_xlfn.ANCHORARRAY(Sintesi!$C$10))*(A130&gt;=_xlfn.ANCHORARRAY(Sintesi!$C$9))*(A130&lt;=_xlfn.ANCHORARRAY(Sintesi!$C$10)),0)),0),A130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131&gt;=_xlfn.ANCHORARRAY(Sintesi!$C$9))+(_xlfn.ANCHORARRAY(Sintesi!$C$9)&gt;_xlfn.ANCHORARRAY(Sintesi!$C$10))*(A131&lt;=_xlfn.ANCHORARRAY(Sintesi!$C$10))+(_xlfn.ANCHORARRAY(Sintesi!$C$9)&lt;_xlfn.ANCHORARRAY(Sintesi!$C$10))*(A131&gt;=_xlfn.ANCHORARRAY(Sintesi!$C$9))*(A131&lt;=_xlfn.ANCHORARRAY(Sintesi!$C$10)),0)),0)),IF(L130&lt;_xlfn.IFNA(INDEX(_xlfn.ANCHORARRAY(Sintesi!$C$17),1,MATCH(1,(_xlfn.ANCHORARRAY(Sintesi!$C$9)&gt;_xlfn.ANCHORARRAY(Sintesi!$C$10))*(A129&gt;=_xlfn.ANCHORARRAY(Sintesi!$C$9))+(_xlfn.ANCHORARRAY(Sintesi!$C$9)&gt;_xlfn.ANCHORARRAY(Sintesi!$C$10))*(A129&lt;=_xlfn.ANCHORARRAY(Sintesi!$C$10))+(_xlfn.ANCHORARRAY(Sintesi!$C$9)&lt;_xlfn.ANCHORARRAY(Sintesi!$C$10))*(A129&gt;=_xlfn.ANCHORARRAY(Sintesi!$C$9))*(A129&lt;=_xlfn.ANCHORARRAY(Sintesi!$C$10)),0)),0),1,IF(L130&gt;=_xlfn.IFNA(INDEX(_xlfn.ANCHORARRAY(Sintesi!$C$18),1,MATCH(1,(_xlfn.ANCHORARRAY(Sintesi!$C$9)&gt;_xlfn.ANCHORARRAY(Sintesi!$C$10))*(A129&gt;=_xlfn.ANCHORARRAY(Sintesi!$C$9))+(_xlfn.ANCHORARRAY(Sintesi!$C$9)&gt;_xlfn.ANCHORARRAY(Sintesi!$C$10))*(A129&lt;=_xlfn.ANCHORARRAY(Sintesi!$C$10))+(_xlfn.ANCHORARRAY(Sintesi!$C$9)&lt;_xlfn.ANCHORARRAY(Sintesi!$C$10))*(A129&gt;=_xlfn.ANCHORARRAY(Sintesi!$C$9))*(A129&lt;=_xlfn.ANCHORARRAY(Sintesi!$C$10)),0)),0),0,1-(L130-_xlfn.IFNA(INDEX(_xlfn.ANCHORARRAY(Sintesi!$C$17),1,MATCH(1,(_xlfn.ANCHORARRAY(Sintesi!$C$9)&gt;_xlfn.ANCHORARRAY(Sintesi!$C$10))*(A129&gt;=_xlfn.ANCHORARRAY(Sintesi!$C$9))+(_xlfn.ANCHORARRAY(Sintesi!$C$9)&gt;_xlfn.ANCHORARRAY(Sintesi!$C$10))*(A129&lt;=_xlfn.ANCHORARRAY(Sintesi!$C$10))+(_xlfn.ANCHORARRAY(Sintesi!$C$9)&lt;_xlfn.ANCHORARRAY(Sintesi!$C$10))*(A129&gt;=_xlfn.ANCHORARRAY(Sintesi!$C$9))*(A129&lt;=_xlfn.ANCHORARRAY(Sintesi!$C$10)),0)),0))/(_xlfn.IFNA(INDEX(_xlfn.ANCHORARRAY(Sintesi!$C$18),1,MATCH(1,(_xlfn.ANCHORARRAY(Sintesi!$C$9)&gt;_xlfn.ANCHORARRAY(Sintesi!$C$10))*(A129&gt;=_xlfn.ANCHORARRAY(Sintesi!$C$9))+(_xlfn.ANCHORARRAY(Sintesi!$C$9)&gt;_xlfn.ANCHORARRAY(Sintesi!$C$10))*(A129&lt;=_xlfn.ANCHORARRAY(Sintesi!$C$10))+(_xlfn.ANCHORARRAY(Sintesi!$C$9)&lt;_xlfn.ANCHORARRAY(Sintesi!$C$10))*(A129&gt;=_xlfn.ANCHORARRAY(Sintesi!$C$9))*(A129&lt;=_xlfn.ANCHORARRAY(Sintesi!$C$10)),0)),0)-_xlfn.IFNA(INDEX(_xlfn.ANCHORARRAY(Sintesi!$C$17),1,MATCH(1,(_xlfn.ANCHORARRAY(Sintesi!$C$9)&gt;_xlfn.ANCHORARRAY(Sintesi!$C$10))*(A129&gt;=_xlfn.ANCHORARRAY(Sintesi!$C$9))+(_xlfn.ANCHORARRAY(Sintesi!$C$9)&gt;_xlfn.ANCHORARRAY(Sintesi!$C$10))*(A129&lt;=_xlfn.ANCHORARRAY(Sintesi!$C$10))+(_xlfn.ANCHORARRAY(Sintesi!$C$9)&lt;_xlfn.ANCHORARRAY(Sintesi!$C$10))*(A129&gt;=_xlfn.ANCHORARRAY(Sintesi!$C$9))*(A129&lt;=_xlfn.ANCHORARRAY(Sintesi!$C$10)),0)),0)))),0)</f>
        <v>0</v>
      </c>
    </row>
    <row r="131" spans="1:13">
      <c r="A131" s="1">
        <f>'Paste cell here'!A131</f>
        <v>130</v>
      </c>
      <c r="B131" s="2">
        <f>DATE(Sintesi!$C$4-1,12,31)+A131</f>
        <v>44326</v>
      </c>
      <c r="C131" s="34">
        <f t="array" ref="C131">_xlfn.IFNA(MATCH(1,((_xlfn.ANCHORARRAY(Sintesi!$C$9)&gt;_xlfn.ANCHORARRAY(Sintesi!$C$10))*(A131&gt;=_xlfn.ANCHORARRAY(Sintesi!$C$9))+(_xlfn.ANCHORARRAY(Sintesi!$C$9)&gt;_xlfn.ANCHORARRAY(Sintesi!$C$10))*(A131&lt;=_xlfn.ANCHORARRAY(Sintesi!$C$10))+(_xlfn.ANCHORARRAY(Sintesi!$C$9)&lt;_xlfn.ANCHORARRAY(Sintesi!$C$10))*(A131&gt;=_xlfn.ANCHORARRAY(Sintesi!$C$9))*(A131&lt;=_xlfn.ANCHORARRAY(Sintesi!$C$10)))*(_xlfn.ANCHORARRAY(Sintesi!$C$15)&gt;=0)+(_xlfn.ANCHORARRAY(Sintesi!$C$15)&lt;0),0),0)</f>
        <v>1</v>
      </c>
      <c r="D131" s="1">
        <f t="array" ref="D131">IF(ISBLANK($E132),IF(ISNUMBER($E130),IF($C131&gt;0,IF(($E131=INDEX(_xlfn.ANCHORARRAY(Sintesi!$C$14),1,$C131))*(INDEX(_xlfn.ANCHORARRAY(Sintesi!$C$15),1,$C131)&gt;0),0,IF(($E131=INDEX(_xlfn.ANCHORARRAY(Sintesi!$C$14),1,$C131))*(INDEX(_xlfn.ANCHORARRAY(Sintesi!$C$15),1,$C131)&lt;0)+($E131&gt;=$E130)*($E131&lt;=INDEX($E:$E,MATCH(TRUE,INDEX((ISNUMBER($E:$E)),0),0)))*($E131&gt;INDEX(_xlfn.ANCHORARRAY(Sintesi!$C$14),1,$C131))*($E131&lt;=INDEX(_xlfn.ANCHORARRAY(Sintesi!$C$15),1,$C131))*(INDEX(_xlfn.ANCHORARRAY(Sintesi!$C$15),1,$C131)&gt;0),1,IF(($E131&gt;=$E130)*($E131&lt;=INDEX($E:$E,MATCH(TRUE,INDEX((ISNUMBER($E:$E)),0),0)))*($E131&gt;INDEX(_xlfn.ANCHORARRAY(Sintesi!$C$14),1,$C131))*($E131&lt;INDEX(_xlfn.ANCHORARRAY(Sintesi!$C$16),1,$C131))*(INDEX(_xlfn.ANCHORARRAY(Sintesi!$C$15),1,$C131)&lt;0)+($E131&gt;=$E130)*($E131&lt;=INDEX($E:$E,MATCH(TRUE,INDEX((ISNUMBER($E:$E)),0),0)))*($E131&gt;INDEX(_xlfn.ANCHORARRAY(Sintesi!$C$15),1,$C131))*($E131&lt;INDEX(_xlfn.ANCHORARRAY(Sintesi!$C$16),1,$C131))*(INDEX(_xlfn.ANCHORARRAY(Sintesi!$C$15),1,$C131)&gt;0),2,IF($E131=(INDEX(_xlfn.ANCHORARRAY(Sintesi!$C$16),1,$C131)),3,4)))),0),IF($C131&gt;0,IF(($E131=INDEX(_xlfn.ANCHORARRAY(Sintesi!$C$14),1,$C131))*(INDEX(_xlfn.ANCHORARRAY(Sintesi!$C$15),1,$C131)&gt;0),0,IF(($E131=INDEX(_xlfn.ANCHORARRAY(Sintesi!$C$14),1,$C131))*(INDEX(_xlfn.ANCHORARRAY(Sintesi!$C$15),1,$C131)&lt;0)+($E131&gt;=LOOKUP(2,1/($E:$E&lt;&gt;""),$E:$E))*($E131&lt;=INDEX($E:$E,MATCH(TRUE,INDEX((ISNUMBER($E:$E)),0),0)))*($E131&gt;INDEX(_xlfn.ANCHORARRAY(Sintesi!$C$14),1,$C131))*($E131&lt;=INDEX(_xlfn.ANCHORARRAY(Sintesi!$C$15),1,$C131))*(INDEX(_xlfn.ANCHORARRAY(Sintesi!$C$15),1,$C131)&gt;0),1,IF(($E131&gt;=LOOKUP(2,1/($E:$E&lt;&gt;""),$E:$E))*($E131&lt;=INDEX($E:$E,MATCH(TRUE,INDEX((ISNUMBER($E:$E)),0),0)))*($E131&gt;INDEX(_xlfn.ANCHORARRAY(Sintesi!$C$14),1,$C131))*($E131&lt;INDEX(_xlfn.ANCHORARRAY(Sintesi!$C$16),1,$C131))*(INDEX(_xlfn.ANCHORARRAY(Sintesi!$C$15),1,$C131)&lt;0)+($E131&gt;=LOOKUP(2,1/($E:$E&lt;&gt;""),$E:$E))*($E131&lt;=INDEX($E:$E,MATCH(TRUE,INDEX((ISNUMBER($E:$E)),0),0)))*($E131&gt;INDEX(_xlfn.ANCHORARRAY(Sintesi!$C$15),1,$C131))*($E131&lt;INDEX(_xlfn.ANCHORARRAY(Sintesi!$C$16),1,$C131))*(INDEX(_xlfn.ANCHORARRAY(Sintesi!$C$15),1,$C131)&gt;0),2,IF($E131=(INDEX(_xlfn.ANCHORARRAY(Sintesi!$C$16),1,$C131)),3,4)))),0)),IF(ISNUMBER($E130),IF($C131&gt;0,IF(($E131=INDEX(_xlfn.ANCHORARRAY(Sintesi!$C$14),1,$C131))*(INDEX(_xlfn.ANCHORARRAY(Sintesi!$C$15),1,$C131)&gt;0),0,IF(($E131=INDEX(_xlfn.ANCHORARRAY(Sintesi!$C$14),1,$C131))*(INDEX(_xlfn.ANCHORARRAY(Sintesi!$C$15),1,$C131)&lt;0)+($E131&gt;=$E130)*($E131&lt;=$E132)*($E131&gt;INDEX(_xlfn.ANCHORARRAY(Sintesi!$C$14),1,$C131))*($E131&lt;=INDEX(_xlfn.ANCHORARRAY(Sintesi!$C$15),1,$C131))*(INDEX(_xlfn.ANCHORARRAY(Sintesi!$C$15),1,$C131)&gt;0),1,IF(($E131&gt;=$E130)*($E131&lt;=$E132)*($E131&gt;INDEX(_xlfn.ANCHORARRAY(Sintesi!$C$14),1,$C131))*($E131&lt;INDEX(_xlfn.ANCHORARRAY(Sintesi!$C$16),1,$C131))*(INDEX(_xlfn.ANCHORARRAY(Sintesi!$C$15),1,$C131)&lt;0)+($E131&gt;=$E130)*($E131&lt;=$E132)*($E131&gt;INDEX(_xlfn.ANCHORARRAY(Sintesi!$C$15),1,$C131))*($E131&lt;INDEX(_xlfn.ANCHORARRAY(Sintesi!$C$16),1,$C131))*(INDEX(_xlfn.ANCHORARRAY(Sintesi!$C$15),1,$C131)&gt;0),2,IF($E131=(INDEX(_xlfn.ANCHORARRAY(Sintesi!$C$16),1,$C131)),3,4)))),0),IF($C131&gt;0,IF(($E131=INDEX(_xlfn.ANCHORARRAY(Sintesi!$C$14),1,$C131))*(INDEX(_xlfn.ANCHORARRAY(Sintesi!$C$15),1,$C131)&gt;0),0,IF(($E131=INDEX(_xlfn.ANCHORARRAY(Sintesi!$C$14),1,$C131))*(INDEX(_xlfn.ANCHORARRAY(Sintesi!$C$15),1,$C131)&lt;0)+($E131&gt;=LOOKUP(2,1/($E:$E&lt;&gt;""),$E:$E))*($E131&lt;=$E132)*($E131&gt;INDEX(_xlfn.ANCHORARRAY(Sintesi!$C$14),1,$C131))*($E131&lt;=INDEX(_xlfn.ANCHORARRAY(Sintesi!$C$15),1,$C131))*(INDEX(_xlfn.ANCHORARRAY(Sintesi!$C$15),1,$C131)&gt;0),1,IF(($E131&gt;=LOOKUP(2,1/($E:$E&lt;&gt;""),$E:$E))*($E131&lt;=$E132)*($E131&gt;INDEX(_xlfn.ANCHORARRAY(Sintesi!$C$14),1,$C131))*($E131&lt;INDEX(_xlfn.ANCHORARRAY(Sintesi!$C$16),1,$C131))*(INDEX(_xlfn.ANCHORARRAY(Sintesi!$C$15),1,$C131)&lt;0)+($E131&gt;=LOOKUP(2,1/($E:$E&lt;&gt;""),$E:$E))*($E131&lt;=$E132)*($E131&gt;INDEX(_xlfn.ANCHORARRAY(Sintesi!$C$15),1,$C131))*($E131&lt;INDEX(_xlfn.ANCHORARRAY(Sintesi!$C$16),1,$C131))*(INDEX(_xlfn.ANCHORARRAY(Sintesi!$C$15),1,$C131)&gt;0),2,IF($E131=(INDEX(_xlfn.ANCHORARRAY(Sintesi!$C$16),1,$C131)),3,4)))),0)))</f>
        <v>1</v>
      </c>
      <c r="E131" s="1">
        <f>'Paste cell here'!F131</f>
        <v>0.15</v>
      </c>
      <c r="F131" s="1">
        <f>'Paste cell here'!C131</f>
        <v>23.999999999999645</v>
      </c>
      <c r="G131" s="1">
        <f>'Paste cell here'!D131</f>
        <v>13.699999999999815</v>
      </c>
      <c r="H131" s="1">
        <f>'Paste cell here'!E131</f>
        <v>3.1312716229586774</v>
      </c>
      <c r="I131" s="1">
        <f>'Paste cell here'!X131</f>
        <v>0.46967560179325007</v>
      </c>
      <c r="J131" s="1">
        <f>'Paste cell here'!Y131+'Paste cell here'!S131</f>
        <v>0.46967560179325007</v>
      </c>
      <c r="K131" s="1">
        <f t="shared" si="4"/>
        <v>0.14999516437652979</v>
      </c>
      <c r="L131" s="1">
        <f t="shared" si="5"/>
        <v>20.656625326858769</v>
      </c>
      <c r="M131" s="1">
        <f t="array" ref="M131">IF(AND(A131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131&gt;=_xlfn.ANCHORARRAY(Sintesi!$C$9))+(_xlfn.ANCHORARRAY(Sintesi!$C$9)&gt;_xlfn.ANCHORARRAY(Sintesi!$C$10))*(A131&lt;=_xlfn.ANCHORARRAY(Sintesi!$C$10))+(_xlfn.ANCHORARRAY(Sintesi!$C$9)&lt;_xlfn.ANCHORARRAY(Sintesi!$C$10))*(A131&gt;=_xlfn.ANCHORARRAY(Sintesi!$C$9))*(A131&lt;=_xlfn.ANCHORARRAY(Sintesi!$C$10)),0)),0),A131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132&gt;=_xlfn.ANCHORARRAY(Sintesi!$C$9))+(_xlfn.ANCHORARRAY(Sintesi!$C$9)&gt;_xlfn.ANCHORARRAY(Sintesi!$C$10))*(A132&lt;=_xlfn.ANCHORARRAY(Sintesi!$C$10))+(_xlfn.ANCHORARRAY(Sintesi!$C$9)&lt;_xlfn.ANCHORARRAY(Sintesi!$C$10))*(A132&gt;=_xlfn.ANCHORARRAY(Sintesi!$C$9))*(A132&lt;=_xlfn.ANCHORARRAY(Sintesi!$C$10)),0)),0)),IF(L131&lt;_xlfn.IFNA(INDEX(_xlfn.ANCHORARRAY(Sintesi!$C$17),1,MATCH(1,(_xlfn.ANCHORARRAY(Sintesi!$C$9)&gt;_xlfn.ANCHORARRAY(Sintesi!$C$10))*(A130&gt;=_xlfn.ANCHORARRAY(Sintesi!$C$9))+(_xlfn.ANCHORARRAY(Sintesi!$C$9)&gt;_xlfn.ANCHORARRAY(Sintesi!$C$10))*(A130&lt;=_xlfn.ANCHORARRAY(Sintesi!$C$10))+(_xlfn.ANCHORARRAY(Sintesi!$C$9)&lt;_xlfn.ANCHORARRAY(Sintesi!$C$10))*(A130&gt;=_xlfn.ANCHORARRAY(Sintesi!$C$9))*(A130&lt;=_xlfn.ANCHORARRAY(Sintesi!$C$10)),0)),0),1,IF(L131&gt;=_xlfn.IFNA(INDEX(_xlfn.ANCHORARRAY(Sintesi!$C$18),1,MATCH(1,(_xlfn.ANCHORARRAY(Sintesi!$C$9)&gt;_xlfn.ANCHORARRAY(Sintesi!$C$10))*(A130&gt;=_xlfn.ANCHORARRAY(Sintesi!$C$9))+(_xlfn.ANCHORARRAY(Sintesi!$C$9)&gt;_xlfn.ANCHORARRAY(Sintesi!$C$10))*(A130&lt;=_xlfn.ANCHORARRAY(Sintesi!$C$10))+(_xlfn.ANCHORARRAY(Sintesi!$C$9)&lt;_xlfn.ANCHORARRAY(Sintesi!$C$10))*(A130&gt;=_xlfn.ANCHORARRAY(Sintesi!$C$9))*(A130&lt;=_xlfn.ANCHORARRAY(Sintesi!$C$10)),0)),0),0,1-(L131-_xlfn.IFNA(INDEX(_xlfn.ANCHORARRAY(Sintesi!$C$17),1,MATCH(1,(_xlfn.ANCHORARRAY(Sintesi!$C$9)&gt;_xlfn.ANCHORARRAY(Sintesi!$C$10))*(A130&gt;=_xlfn.ANCHORARRAY(Sintesi!$C$9))+(_xlfn.ANCHORARRAY(Sintesi!$C$9)&gt;_xlfn.ANCHORARRAY(Sintesi!$C$10))*(A130&lt;=_xlfn.ANCHORARRAY(Sintesi!$C$10))+(_xlfn.ANCHORARRAY(Sintesi!$C$9)&lt;_xlfn.ANCHORARRAY(Sintesi!$C$10))*(A130&gt;=_xlfn.ANCHORARRAY(Sintesi!$C$9))*(A130&lt;=_xlfn.ANCHORARRAY(Sintesi!$C$10)),0)),0))/(_xlfn.IFNA(INDEX(_xlfn.ANCHORARRAY(Sintesi!$C$18),1,MATCH(1,(_xlfn.ANCHORARRAY(Sintesi!$C$9)&gt;_xlfn.ANCHORARRAY(Sintesi!$C$10))*(A130&gt;=_xlfn.ANCHORARRAY(Sintesi!$C$9))+(_xlfn.ANCHORARRAY(Sintesi!$C$9)&gt;_xlfn.ANCHORARRAY(Sintesi!$C$10))*(A130&lt;=_xlfn.ANCHORARRAY(Sintesi!$C$10))+(_xlfn.ANCHORARRAY(Sintesi!$C$9)&lt;_xlfn.ANCHORARRAY(Sintesi!$C$10))*(A130&gt;=_xlfn.ANCHORARRAY(Sintesi!$C$9))*(A130&lt;=_xlfn.ANCHORARRAY(Sintesi!$C$10)),0)),0)-_xlfn.IFNA(INDEX(_xlfn.ANCHORARRAY(Sintesi!$C$17),1,MATCH(1,(_xlfn.ANCHORARRAY(Sintesi!$C$9)&gt;_xlfn.ANCHORARRAY(Sintesi!$C$10))*(A130&gt;=_xlfn.ANCHORARRAY(Sintesi!$C$9))+(_xlfn.ANCHORARRAY(Sintesi!$C$9)&gt;_xlfn.ANCHORARRAY(Sintesi!$C$10))*(A130&lt;=_xlfn.ANCHORARRAY(Sintesi!$C$10))+(_xlfn.ANCHORARRAY(Sintesi!$C$9)&lt;_xlfn.ANCHORARRAY(Sintesi!$C$10))*(A130&gt;=_xlfn.ANCHORARRAY(Sintesi!$C$9))*(A130&lt;=_xlfn.ANCHORARRAY(Sintesi!$C$10)),0)),0)))),0)</f>
        <v>0</v>
      </c>
    </row>
    <row r="132" spans="1:13">
      <c r="A132" s="1">
        <f>'Paste cell here'!A132</f>
        <v>131</v>
      </c>
      <c r="B132" s="2">
        <f>DATE(Sintesi!$C$4-1,12,31)+A132</f>
        <v>44327</v>
      </c>
      <c r="C132" s="34">
        <f t="array" ref="C132">_xlfn.IFNA(MATCH(1,((_xlfn.ANCHORARRAY(Sintesi!$C$9)&gt;_xlfn.ANCHORARRAY(Sintesi!$C$10))*(A132&gt;=_xlfn.ANCHORARRAY(Sintesi!$C$9))+(_xlfn.ANCHORARRAY(Sintesi!$C$9)&gt;_xlfn.ANCHORARRAY(Sintesi!$C$10))*(A132&lt;=_xlfn.ANCHORARRAY(Sintesi!$C$10))+(_xlfn.ANCHORARRAY(Sintesi!$C$9)&lt;_xlfn.ANCHORARRAY(Sintesi!$C$10))*(A132&gt;=_xlfn.ANCHORARRAY(Sintesi!$C$9))*(A132&lt;=_xlfn.ANCHORARRAY(Sintesi!$C$10)))*(_xlfn.ANCHORARRAY(Sintesi!$C$15)&gt;=0)+(_xlfn.ANCHORARRAY(Sintesi!$C$15)&lt;0),0),0)</f>
        <v>1</v>
      </c>
      <c r="D132" s="1">
        <f t="array" ref="D132">IF(ISBLANK($E133),IF(ISNUMBER($E131),IF($C132&gt;0,IF(($E132=INDEX(_xlfn.ANCHORARRAY(Sintesi!$C$14),1,$C132))*(INDEX(_xlfn.ANCHORARRAY(Sintesi!$C$15),1,$C132)&gt;0),0,IF(($E132=INDEX(_xlfn.ANCHORARRAY(Sintesi!$C$14),1,$C132))*(INDEX(_xlfn.ANCHORARRAY(Sintesi!$C$15),1,$C132)&lt;0)+($E132&gt;=$E131)*($E132&lt;=INDEX($E:$E,MATCH(TRUE,INDEX((ISNUMBER($E:$E)),0),0)))*($E132&gt;INDEX(_xlfn.ANCHORARRAY(Sintesi!$C$14),1,$C132))*($E132&lt;=INDEX(_xlfn.ANCHORARRAY(Sintesi!$C$15),1,$C132))*(INDEX(_xlfn.ANCHORARRAY(Sintesi!$C$15),1,$C132)&gt;0),1,IF(($E132&gt;=$E131)*($E132&lt;=INDEX($E:$E,MATCH(TRUE,INDEX((ISNUMBER($E:$E)),0),0)))*($E132&gt;INDEX(_xlfn.ANCHORARRAY(Sintesi!$C$14),1,$C132))*($E132&lt;INDEX(_xlfn.ANCHORARRAY(Sintesi!$C$16),1,$C132))*(INDEX(_xlfn.ANCHORARRAY(Sintesi!$C$15),1,$C132)&lt;0)+($E132&gt;=$E131)*($E132&lt;=INDEX($E:$E,MATCH(TRUE,INDEX((ISNUMBER($E:$E)),0),0)))*($E132&gt;INDEX(_xlfn.ANCHORARRAY(Sintesi!$C$15),1,$C132))*($E132&lt;INDEX(_xlfn.ANCHORARRAY(Sintesi!$C$16),1,$C132))*(INDEX(_xlfn.ANCHORARRAY(Sintesi!$C$15),1,$C132)&gt;0),2,IF($E132=(INDEX(_xlfn.ANCHORARRAY(Sintesi!$C$16),1,$C132)),3,4)))),0),IF($C132&gt;0,IF(($E132=INDEX(_xlfn.ANCHORARRAY(Sintesi!$C$14),1,$C132))*(INDEX(_xlfn.ANCHORARRAY(Sintesi!$C$15),1,$C132)&gt;0),0,IF(($E132=INDEX(_xlfn.ANCHORARRAY(Sintesi!$C$14),1,$C132))*(INDEX(_xlfn.ANCHORARRAY(Sintesi!$C$15),1,$C132)&lt;0)+($E132&gt;=LOOKUP(2,1/($E:$E&lt;&gt;""),$E:$E))*($E132&lt;=INDEX($E:$E,MATCH(TRUE,INDEX((ISNUMBER($E:$E)),0),0)))*($E132&gt;INDEX(_xlfn.ANCHORARRAY(Sintesi!$C$14),1,$C132))*($E132&lt;=INDEX(_xlfn.ANCHORARRAY(Sintesi!$C$15),1,$C132))*(INDEX(_xlfn.ANCHORARRAY(Sintesi!$C$15),1,$C132)&gt;0),1,IF(($E132&gt;=LOOKUP(2,1/($E:$E&lt;&gt;""),$E:$E))*($E132&lt;=INDEX($E:$E,MATCH(TRUE,INDEX((ISNUMBER($E:$E)),0),0)))*($E132&gt;INDEX(_xlfn.ANCHORARRAY(Sintesi!$C$14),1,$C132))*($E132&lt;INDEX(_xlfn.ANCHORARRAY(Sintesi!$C$16),1,$C132))*(INDEX(_xlfn.ANCHORARRAY(Sintesi!$C$15),1,$C132)&lt;0)+($E132&gt;=LOOKUP(2,1/($E:$E&lt;&gt;""),$E:$E))*($E132&lt;=INDEX($E:$E,MATCH(TRUE,INDEX((ISNUMBER($E:$E)),0),0)))*($E132&gt;INDEX(_xlfn.ANCHORARRAY(Sintesi!$C$15),1,$C132))*($E132&lt;INDEX(_xlfn.ANCHORARRAY(Sintesi!$C$16),1,$C132))*(INDEX(_xlfn.ANCHORARRAY(Sintesi!$C$15),1,$C132)&gt;0),2,IF($E132=(INDEX(_xlfn.ANCHORARRAY(Sintesi!$C$16),1,$C132)),3,4)))),0)),IF(ISNUMBER($E131),IF($C132&gt;0,IF(($E132=INDEX(_xlfn.ANCHORARRAY(Sintesi!$C$14),1,$C132))*(INDEX(_xlfn.ANCHORARRAY(Sintesi!$C$15),1,$C132)&gt;0),0,IF(($E132=INDEX(_xlfn.ANCHORARRAY(Sintesi!$C$14),1,$C132))*(INDEX(_xlfn.ANCHORARRAY(Sintesi!$C$15),1,$C132)&lt;0)+($E132&gt;=$E131)*($E132&lt;=$E133)*($E132&gt;INDEX(_xlfn.ANCHORARRAY(Sintesi!$C$14),1,$C132))*($E132&lt;=INDEX(_xlfn.ANCHORARRAY(Sintesi!$C$15),1,$C132))*(INDEX(_xlfn.ANCHORARRAY(Sintesi!$C$15),1,$C132)&gt;0),1,IF(($E132&gt;=$E131)*($E132&lt;=$E133)*($E132&gt;INDEX(_xlfn.ANCHORARRAY(Sintesi!$C$14),1,$C132))*($E132&lt;INDEX(_xlfn.ANCHORARRAY(Sintesi!$C$16),1,$C132))*(INDEX(_xlfn.ANCHORARRAY(Sintesi!$C$15),1,$C132)&lt;0)+($E132&gt;=$E131)*($E132&lt;=$E133)*($E132&gt;INDEX(_xlfn.ANCHORARRAY(Sintesi!$C$15),1,$C132))*($E132&lt;INDEX(_xlfn.ANCHORARRAY(Sintesi!$C$16),1,$C132))*(INDEX(_xlfn.ANCHORARRAY(Sintesi!$C$15),1,$C132)&gt;0),2,IF($E132=(INDEX(_xlfn.ANCHORARRAY(Sintesi!$C$16),1,$C132)),3,4)))),0),IF($C132&gt;0,IF(($E132=INDEX(_xlfn.ANCHORARRAY(Sintesi!$C$14),1,$C132))*(INDEX(_xlfn.ANCHORARRAY(Sintesi!$C$15),1,$C132)&gt;0),0,IF(($E132=INDEX(_xlfn.ANCHORARRAY(Sintesi!$C$14),1,$C132))*(INDEX(_xlfn.ANCHORARRAY(Sintesi!$C$15),1,$C132)&lt;0)+($E132&gt;=LOOKUP(2,1/($E:$E&lt;&gt;""),$E:$E))*($E132&lt;=$E133)*($E132&gt;INDEX(_xlfn.ANCHORARRAY(Sintesi!$C$14),1,$C132))*($E132&lt;=INDEX(_xlfn.ANCHORARRAY(Sintesi!$C$15),1,$C132))*(INDEX(_xlfn.ANCHORARRAY(Sintesi!$C$15),1,$C132)&gt;0),1,IF(($E132&gt;=LOOKUP(2,1/($E:$E&lt;&gt;""),$E:$E))*($E132&lt;=$E133)*($E132&gt;INDEX(_xlfn.ANCHORARRAY(Sintesi!$C$14),1,$C132))*($E132&lt;INDEX(_xlfn.ANCHORARRAY(Sintesi!$C$16),1,$C132))*(INDEX(_xlfn.ANCHORARRAY(Sintesi!$C$15),1,$C132)&lt;0)+($E132&gt;=LOOKUP(2,1/($E:$E&lt;&gt;""),$E:$E))*($E132&lt;=$E133)*($E132&gt;INDEX(_xlfn.ANCHORARRAY(Sintesi!$C$15),1,$C132))*($E132&lt;INDEX(_xlfn.ANCHORARRAY(Sintesi!$C$16),1,$C132))*(INDEX(_xlfn.ANCHORARRAY(Sintesi!$C$15),1,$C132)&gt;0),2,IF($E132=(INDEX(_xlfn.ANCHORARRAY(Sintesi!$C$16),1,$C132)),3,4)))),0)))</f>
        <v>1</v>
      </c>
      <c r="E132" s="1">
        <f>'Paste cell here'!F132</f>
        <v>0.15</v>
      </c>
      <c r="F132" s="1">
        <f>'Paste cell here'!C132</f>
        <v>17.179999999999755</v>
      </c>
      <c r="G132" s="1">
        <f>'Paste cell here'!D132</f>
        <v>12.699999999999811</v>
      </c>
      <c r="H132" s="1">
        <f>'Paste cell here'!E132</f>
        <v>1.3851260207948723</v>
      </c>
      <c r="I132" s="1">
        <f>'Paste cell here'!X132</f>
        <v>0.207761843509286</v>
      </c>
      <c r="J132" s="1">
        <f>'Paste cell here'!Y132+'Paste cell here'!S132</f>
        <v>0.207761843509286</v>
      </c>
      <c r="K132" s="1">
        <f t="shared" si="4"/>
        <v>0.14999490327245402</v>
      </c>
      <c r="L132" s="1">
        <f t="shared" si="5"/>
        <v>15.72579431692488</v>
      </c>
      <c r="M132" s="1">
        <f t="array" ref="M132">IF(AND(A132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132&gt;=_xlfn.ANCHORARRAY(Sintesi!$C$9))+(_xlfn.ANCHORARRAY(Sintesi!$C$9)&gt;_xlfn.ANCHORARRAY(Sintesi!$C$10))*(A132&lt;=_xlfn.ANCHORARRAY(Sintesi!$C$10))+(_xlfn.ANCHORARRAY(Sintesi!$C$9)&lt;_xlfn.ANCHORARRAY(Sintesi!$C$10))*(A132&gt;=_xlfn.ANCHORARRAY(Sintesi!$C$9))*(A132&lt;=_xlfn.ANCHORARRAY(Sintesi!$C$10)),0)),0),A132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133&gt;=_xlfn.ANCHORARRAY(Sintesi!$C$9))+(_xlfn.ANCHORARRAY(Sintesi!$C$9)&gt;_xlfn.ANCHORARRAY(Sintesi!$C$10))*(A133&lt;=_xlfn.ANCHORARRAY(Sintesi!$C$10))+(_xlfn.ANCHORARRAY(Sintesi!$C$9)&lt;_xlfn.ANCHORARRAY(Sintesi!$C$10))*(A133&gt;=_xlfn.ANCHORARRAY(Sintesi!$C$9))*(A133&lt;=_xlfn.ANCHORARRAY(Sintesi!$C$10)),0)),0)),IF(L132&lt;_xlfn.IFNA(INDEX(_xlfn.ANCHORARRAY(Sintesi!$C$17),1,MATCH(1,(_xlfn.ANCHORARRAY(Sintesi!$C$9)&gt;_xlfn.ANCHORARRAY(Sintesi!$C$10))*(A131&gt;=_xlfn.ANCHORARRAY(Sintesi!$C$9))+(_xlfn.ANCHORARRAY(Sintesi!$C$9)&gt;_xlfn.ANCHORARRAY(Sintesi!$C$10))*(A131&lt;=_xlfn.ANCHORARRAY(Sintesi!$C$10))+(_xlfn.ANCHORARRAY(Sintesi!$C$9)&lt;_xlfn.ANCHORARRAY(Sintesi!$C$10))*(A131&gt;=_xlfn.ANCHORARRAY(Sintesi!$C$9))*(A131&lt;=_xlfn.ANCHORARRAY(Sintesi!$C$10)),0)),0),1,IF(L132&gt;=_xlfn.IFNA(INDEX(_xlfn.ANCHORARRAY(Sintesi!$C$18),1,MATCH(1,(_xlfn.ANCHORARRAY(Sintesi!$C$9)&gt;_xlfn.ANCHORARRAY(Sintesi!$C$10))*(A131&gt;=_xlfn.ANCHORARRAY(Sintesi!$C$9))+(_xlfn.ANCHORARRAY(Sintesi!$C$9)&gt;_xlfn.ANCHORARRAY(Sintesi!$C$10))*(A131&lt;=_xlfn.ANCHORARRAY(Sintesi!$C$10))+(_xlfn.ANCHORARRAY(Sintesi!$C$9)&lt;_xlfn.ANCHORARRAY(Sintesi!$C$10))*(A131&gt;=_xlfn.ANCHORARRAY(Sintesi!$C$9))*(A131&lt;=_xlfn.ANCHORARRAY(Sintesi!$C$10)),0)),0),0,1-(L132-_xlfn.IFNA(INDEX(_xlfn.ANCHORARRAY(Sintesi!$C$17),1,MATCH(1,(_xlfn.ANCHORARRAY(Sintesi!$C$9)&gt;_xlfn.ANCHORARRAY(Sintesi!$C$10))*(A131&gt;=_xlfn.ANCHORARRAY(Sintesi!$C$9))+(_xlfn.ANCHORARRAY(Sintesi!$C$9)&gt;_xlfn.ANCHORARRAY(Sintesi!$C$10))*(A131&lt;=_xlfn.ANCHORARRAY(Sintesi!$C$10))+(_xlfn.ANCHORARRAY(Sintesi!$C$9)&lt;_xlfn.ANCHORARRAY(Sintesi!$C$10))*(A131&gt;=_xlfn.ANCHORARRAY(Sintesi!$C$9))*(A131&lt;=_xlfn.ANCHORARRAY(Sintesi!$C$10)),0)),0))/(_xlfn.IFNA(INDEX(_xlfn.ANCHORARRAY(Sintesi!$C$18),1,MATCH(1,(_xlfn.ANCHORARRAY(Sintesi!$C$9)&gt;_xlfn.ANCHORARRAY(Sintesi!$C$10))*(A131&gt;=_xlfn.ANCHORARRAY(Sintesi!$C$9))+(_xlfn.ANCHORARRAY(Sintesi!$C$9)&gt;_xlfn.ANCHORARRAY(Sintesi!$C$10))*(A131&lt;=_xlfn.ANCHORARRAY(Sintesi!$C$10))+(_xlfn.ANCHORARRAY(Sintesi!$C$9)&lt;_xlfn.ANCHORARRAY(Sintesi!$C$10))*(A131&gt;=_xlfn.ANCHORARRAY(Sintesi!$C$9))*(A131&lt;=_xlfn.ANCHORARRAY(Sintesi!$C$10)),0)),0)-_xlfn.IFNA(INDEX(_xlfn.ANCHORARRAY(Sintesi!$C$17),1,MATCH(1,(_xlfn.ANCHORARRAY(Sintesi!$C$9)&gt;_xlfn.ANCHORARRAY(Sintesi!$C$10))*(A131&gt;=_xlfn.ANCHORARRAY(Sintesi!$C$9))+(_xlfn.ANCHORARRAY(Sintesi!$C$9)&gt;_xlfn.ANCHORARRAY(Sintesi!$C$10))*(A131&lt;=_xlfn.ANCHORARRAY(Sintesi!$C$10))+(_xlfn.ANCHORARRAY(Sintesi!$C$9)&lt;_xlfn.ANCHORARRAY(Sintesi!$C$10))*(A131&gt;=_xlfn.ANCHORARRAY(Sintesi!$C$9))*(A131&lt;=_xlfn.ANCHORARRAY(Sintesi!$C$10)),0)),0)))),0)</f>
        <v>0</v>
      </c>
    </row>
    <row r="133" spans="1:13">
      <c r="A133" s="1">
        <f>'Paste cell here'!A133</f>
        <v>132</v>
      </c>
      <c r="B133" s="2">
        <f>DATE(Sintesi!$C$4-1,12,31)+A133</f>
        <v>44328</v>
      </c>
      <c r="C133" s="34">
        <f t="array" ref="C133">_xlfn.IFNA(MATCH(1,((_xlfn.ANCHORARRAY(Sintesi!$C$9)&gt;_xlfn.ANCHORARRAY(Sintesi!$C$10))*(A133&gt;=_xlfn.ANCHORARRAY(Sintesi!$C$9))+(_xlfn.ANCHORARRAY(Sintesi!$C$9)&gt;_xlfn.ANCHORARRAY(Sintesi!$C$10))*(A133&lt;=_xlfn.ANCHORARRAY(Sintesi!$C$10))+(_xlfn.ANCHORARRAY(Sintesi!$C$9)&lt;_xlfn.ANCHORARRAY(Sintesi!$C$10))*(A133&gt;=_xlfn.ANCHORARRAY(Sintesi!$C$9))*(A133&lt;=_xlfn.ANCHORARRAY(Sintesi!$C$10)))*(_xlfn.ANCHORARRAY(Sintesi!$C$15)&gt;=0)+(_xlfn.ANCHORARRAY(Sintesi!$C$15)&lt;0),0),0)</f>
        <v>1</v>
      </c>
      <c r="D133" s="1">
        <f t="array" ref="D133">IF(ISBLANK($E134),IF(ISNUMBER($E132),IF($C133&gt;0,IF(($E133=INDEX(_xlfn.ANCHORARRAY(Sintesi!$C$14),1,$C133))*(INDEX(_xlfn.ANCHORARRAY(Sintesi!$C$15),1,$C133)&gt;0),0,IF(($E133=INDEX(_xlfn.ANCHORARRAY(Sintesi!$C$14),1,$C133))*(INDEX(_xlfn.ANCHORARRAY(Sintesi!$C$15),1,$C133)&lt;0)+($E133&gt;=$E132)*($E133&lt;=INDEX($E:$E,MATCH(TRUE,INDEX((ISNUMBER($E:$E)),0),0)))*($E133&gt;INDEX(_xlfn.ANCHORARRAY(Sintesi!$C$14),1,$C133))*($E133&lt;=INDEX(_xlfn.ANCHORARRAY(Sintesi!$C$15),1,$C133))*(INDEX(_xlfn.ANCHORARRAY(Sintesi!$C$15),1,$C133)&gt;0),1,IF(($E133&gt;=$E132)*($E133&lt;=INDEX($E:$E,MATCH(TRUE,INDEX((ISNUMBER($E:$E)),0),0)))*($E133&gt;INDEX(_xlfn.ANCHORARRAY(Sintesi!$C$14),1,$C133))*($E133&lt;INDEX(_xlfn.ANCHORARRAY(Sintesi!$C$16),1,$C133))*(INDEX(_xlfn.ANCHORARRAY(Sintesi!$C$15),1,$C133)&lt;0)+($E133&gt;=$E132)*($E133&lt;=INDEX($E:$E,MATCH(TRUE,INDEX((ISNUMBER($E:$E)),0),0)))*($E133&gt;INDEX(_xlfn.ANCHORARRAY(Sintesi!$C$15),1,$C133))*($E133&lt;INDEX(_xlfn.ANCHORARRAY(Sintesi!$C$16),1,$C133))*(INDEX(_xlfn.ANCHORARRAY(Sintesi!$C$15),1,$C133)&gt;0),2,IF($E133=(INDEX(_xlfn.ANCHORARRAY(Sintesi!$C$16),1,$C133)),3,4)))),0),IF($C133&gt;0,IF(($E133=INDEX(_xlfn.ANCHORARRAY(Sintesi!$C$14),1,$C133))*(INDEX(_xlfn.ANCHORARRAY(Sintesi!$C$15),1,$C133)&gt;0),0,IF(($E133=INDEX(_xlfn.ANCHORARRAY(Sintesi!$C$14),1,$C133))*(INDEX(_xlfn.ANCHORARRAY(Sintesi!$C$15),1,$C133)&lt;0)+($E133&gt;=LOOKUP(2,1/($E:$E&lt;&gt;""),$E:$E))*($E133&lt;=INDEX($E:$E,MATCH(TRUE,INDEX((ISNUMBER($E:$E)),0),0)))*($E133&gt;INDEX(_xlfn.ANCHORARRAY(Sintesi!$C$14),1,$C133))*($E133&lt;=INDEX(_xlfn.ANCHORARRAY(Sintesi!$C$15),1,$C133))*(INDEX(_xlfn.ANCHORARRAY(Sintesi!$C$15),1,$C133)&gt;0),1,IF(($E133&gt;=LOOKUP(2,1/($E:$E&lt;&gt;""),$E:$E))*($E133&lt;=INDEX($E:$E,MATCH(TRUE,INDEX((ISNUMBER($E:$E)),0),0)))*($E133&gt;INDEX(_xlfn.ANCHORARRAY(Sintesi!$C$14),1,$C133))*($E133&lt;INDEX(_xlfn.ANCHORARRAY(Sintesi!$C$16),1,$C133))*(INDEX(_xlfn.ANCHORARRAY(Sintesi!$C$15),1,$C133)&lt;0)+($E133&gt;=LOOKUP(2,1/($E:$E&lt;&gt;""),$E:$E))*($E133&lt;=INDEX($E:$E,MATCH(TRUE,INDEX((ISNUMBER($E:$E)),0),0)))*($E133&gt;INDEX(_xlfn.ANCHORARRAY(Sintesi!$C$15),1,$C133))*($E133&lt;INDEX(_xlfn.ANCHORARRAY(Sintesi!$C$16),1,$C133))*(INDEX(_xlfn.ANCHORARRAY(Sintesi!$C$15),1,$C133)&gt;0),2,IF($E133=(INDEX(_xlfn.ANCHORARRAY(Sintesi!$C$16),1,$C133)),3,4)))),0)),IF(ISNUMBER($E132),IF($C133&gt;0,IF(($E133=INDEX(_xlfn.ANCHORARRAY(Sintesi!$C$14),1,$C133))*(INDEX(_xlfn.ANCHORARRAY(Sintesi!$C$15),1,$C133)&gt;0),0,IF(($E133=INDEX(_xlfn.ANCHORARRAY(Sintesi!$C$14),1,$C133))*(INDEX(_xlfn.ANCHORARRAY(Sintesi!$C$15),1,$C133)&lt;0)+($E133&gt;=$E132)*($E133&lt;=$E134)*($E133&gt;INDEX(_xlfn.ANCHORARRAY(Sintesi!$C$14),1,$C133))*($E133&lt;=INDEX(_xlfn.ANCHORARRAY(Sintesi!$C$15),1,$C133))*(INDEX(_xlfn.ANCHORARRAY(Sintesi!$C$15),1,$C133)&gt;0),1,IF(($E133&gt;=$E132)*($E133&lt;=$E134)*($E133&gt;INDEX(_xlfn.ANCHORARRAY(Sintesi!$C$14),1,$C133))*($E133&lt;INDEX(_xlfn.ANCHORARRAY(Sintesi!$C$16),1,$C133))*(INDEX(_xlfn.ANCHORARRAY(Sintesi!$C$15),1,$C133)&lt;0)+($E133&gt;=$E132)*($E133&lt;=$E134)*($E133&gt;INDEX(_xlfn.ANCHORARRAY(Sintesi!$C$15),1,$C133))*($E133&lt;INDEX(_xlfn.ANCHORARRAY(Sintesi!$C$16),1,$C133))*(INDEX(_xlfn.ANCHORARRAY(Sintesi!$C$15),1,$C133)&gt;0),2,IF($E133=(INDEX(_xlfn.ANCHORARRAY(Sintesi!$C$16),1,$C133)),3,4)))),0),IF($C133&gt;0,IF(($E133=INDEX(_xlfn.ANCHORARRAY(Sintesi!$C$14),1,$C133))*(INDEX(_xlfn.ANCHORARRAY(Sintesi!$C$15),1,$C133)&gt;0),0,IF(($E133=INDEX(_xlfn.ANCHORARRAY(Sintesi!$C$14),1,$C133))*(INDEX(_xlfn.ANCHORARRAY(Sintesi!$C$15),1,$C133)&lt;0)+($E133&gt;=LOOKUP(2,1/($E:$E&lt;&gt;""),$E:$E))*($E133&lt;=$E134)*($E133&gt;INDEX(_xlfn.ANCHORARRAY(Sintesi!$C$14),1,$C133))*($E133&lt;=INDEX(_xlfn.ANCHORARRAY(Sintesi!$C$15),1,$C133))*(INDEX(_xlfn.ANCHORARRAY(Sintesi!$C$15),1,$C133)&gt;0),1,IF(($E133&gt;=LOOKUP(2,1/($E:$E&lt;&gt;""),$E:$E))*($E133&lt;=$E134)*($E133&gt;INDEX(_xlfn.ANCHORARRAY(Sintesi!$C$14),1,$C133))*($E133&lt;INDEX(_xlfn.ANCHORARRAY(Sintesi!$C$16),1,$C133))*(INDEX(_xlfn.ANCHORARRAY(Sintesi!$C$15),1,$C133)&lt;0)+($E133&gt;=LOOKUP(2,1/($E:$E&lt;&gt;""),$E:$E))*($E133&lt;=$E134)*($E133&gt;INDEX(_xlfn.ANCHORARRAY(Sintesi!$C$15),1,$C133))*($E133&lt;INDEX(_xlfn.ANCHORARRAY(Sintesi!$C$16),1,$C133))*(INDEX(_xlfn.ANCHORARRAY(Sintesi!$C$15),1,$C133)&gt;0),2,IF($E133=(INDEX(_xlfn.ANCHORARRAY(Sintesi!$C$16),1,$C133)),3,4)))),0)))</f>
        <v>1</v>
      </c>
      <c r="E133" s="1">
        <f>'Paste cell here'!F133</f>
        <v>0.15</v>
      </c>
      <c r="F133" s="1">
        <f>'Paste cell here'!C133</f>
        <v>24.019999999999659</v>
      </c>
      <c r="G133" s="1">
        <f>'Paste cell here'!D133</f>
        <v>10.399999999999842</v>
      </c>
      <c r="H133" s="1">
        <f>'Paste cell here'!E133</f>
        <v>4.2620710708007863</v>
      </c>
      <c r="I133" s="1">
        <f>'Paste cell here'!X133</f>
        <v>0.63928779330876895</v>
      </c>
      <c r="J133" s="1">
        <f>'Paste cell here'!Y133+'Paste cell here'!S133</f>
        <v>0.63928779330876895</v>
      </c>
      <c r="K133" s="1">
        <f t="shared" si="4"/>
        <v>0.14999463469497126</v>
      </c>
      <c r="L133" s="1">
        <f t="shared" si="5"/>
        <v>19.598955043865789</v>
      </c>
      <c r="M133" s="1">
        <f t="array" ref="M133">IF(AND(A133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133&gt;=_xlfn.ANCHORARRAY(Sintesi!$C$9))+(_xlfn.ANCHORARRAY(Sintesi!$C$9)&gt;_xlfn.ANCHORARRAY(Sintesi!$C$10))*(A133&lt;=_xlfn.ANCHORARRAY(Sintesi!$C$10))+(_xlfn.ANCHORARRAY(Sintesi!$C$9)&lt;_xlfn.ANCHORARRAY(Sintesi!$C$10))*(A133&gt;=_xlfn.ANCHORARRAY(Sintesi!$C$9))*(A133&lt;=_xlfn.ANCHORARRAY(Sintesi!$C$10)),0)),0),A133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134&gt;=_xlfn.ANCHORARRAY(Sintesi!$C$9))+(_xlfn.ANCHORARRAY(Sintesi!$C$9)&gt;_xlfn.ANCHORARRAY(Sintesi!$C$10))*(A134&lt;=_xlfn.ANCHORARRAY(Sintesi!$C$10))+(_xlfn.ANCHORARRAY(Sintesi!$C$9)&lt;_xlfn.ANCHORARRAY(Sintesi!$C$10))*(A134&gt;=_xlfn.ANCHORARRAY(Sintesi!$C$9))*(A134&lt;=_xlfn.ANCHORARRAY(Sintesi!$C$10)),0)),0)),IF(L133&lt;_xlfn.IFNA(INDEX(_xlfn.ANCHORARRAY(Sintesi!$C$17),1,MATCH(1,(_xlfn.ANCHORARRAY(Sintesi!$C$9)&gt;_xlfn.ANCHORARRAY(Sintesi!$C$10))*(A132&gt;=_xlfn.ANCHORARRAY(Sintesi!$C$9))+(_xlfn.ANCHORARRAY(Sintesi!$C$9)&gt;_xlfn.ANCHORARRAY(Sintesi!$C$10))*(A132&lt;=_xlfn.ANCHORARRAY(Sintesi!$C$10))+(_xlfn.ANCHORARRAY(Sintesi!$C$9)&lt;_xlfn.ANCHORARRAY(Sintesi!$C$10))*(A132&gt;=_xlfn.ANCHORARRAY(Sintesi!$C$9))*(A132&lt;=_xlfn.ANCHORARRAY(Sintesi!$C$10)),0)),0),1,IF(L133&gt;=_xlfn.IFNA(INDEX(_xlfn.ANCHORARRAY(Sintesi!$C$18),1,MATCH(1,(_xlfn.ANCHORARRAY(Sintesi!$C$9)&gt;_xlfn.ANCHORARRAY(Sintesi!$C$10))*(A132&gt;=_xlfn.ANCHORARRAY(Sintesi!$C$9))+(_xlfn.ANCHORARRAY(Sintesi!$C$9)&gt;_xlfn.ANCHORARRAY(Sintesi!$C$10))*(A132&lt;=_xlfn.ANCHORARRAY(Sintesi!$C$10))+(_xlfn.ANCHORARRAY(Sintesi!$C$9)&lt;_xlfn.ANCHORARRAY(Sintesi!$C$10))*(A132&gt;=_xlfn.ANCHORARRAY(Sintesi!$C$9))*(A132&lt;=_xlfn.ANCHORARRAY(Sintesi!$C$10)),0)),0),0,1-(L133-_xlfn.IFNA(INDEX(_xlfn.ANCHORARRAY(Sintesi!$C$17),1,MATCH(1,(_xlfn.ANCHORARRAY(Sintesi!$C$9)&gt;_xlfn.ANCHORARRAY(Sintesi!$C$10))*(A132&gt;=_xlfn.ANCHORARRAY(Sintesi!$C$9))+(_xlfn.ANCHORARRAY(Sintesi!$C$9)&gt;_xlfn.ANCHORARRAY(Sintesi!$C$10))*(A132&lt;=_xlfn.ANCHORARRAY(Sintesi!$C$10))+(_xlfn.ANCHORARRAY(Sintesi!$C$9)&lt;_xlfn.ANCHORARRAY(Sintesi!$C$10))*(A132&gt;=_xlfn.ANCHORARRAY(Sintesi!$C$9))*(A132&lt;=_xlfn.ANCHORARRAY(Sintesi!$C$10)),0)),0))/(_xlfn.IFNA(INDEX(_xlfn.ANCHORARRAY(Sintesi!$C$18),1,MATCH(1,(_xlfn.ANCHORARRAY(Sintesi!$C$9)&gt;_xlfn.ANCHORARRAY(Sintesi!$C$10))*(A132&gt;=_xlfn.ANCHORARRAY(Sintesi!$C$9))+(_xlfn.ANCHORARRAY(Sintesi!$C$9)&gt;_xlfn.ANCHORARRAY(Sintesi!$C$10))*(A132&lt;=_xlfn.ANCHORARRAY(Sintesi!$C$10))+(_xlfn.ANCHORARRAY(Sintesi!$C$9)&lt;_xlfn.ANCHORARRAY(Sintesi!$C$10))*(A132&gt;=_xlfn.ANCHORARRAY(Sintesi!$C$9))*(A132&lt;=_xlfn.ANCHORARRAY(Sintesi!$C$10)),0)),0)-_xlfn.IFNA(INDEX(_xlfn.ANCHORARRAY(Sintesi!$C$17),1,MATCH(1,(_xlfn.ANCHORARRAY(Sintesi!$C$9)&gt;_xlfn.ANCHORARRAY(Sintesi!$C$10))*(A132&gt;=_xlfn.ANCHORARRAY(Sintesi!$C$9))+(_xlfn.ANCHORARRAY(Sintesi!$C$9)&gt;_xlfn.ANCHORARRAY(Sintesi!$C$10))*(A132&lt;=_xlfn.ANCHORARRAY(Sintesi!$C$10))+(_xlfn.ANCHORARRAY(Sintesi!$C$9)&lt;_xlfn.ANCHORARRAY(Sintesi!$C$10))*(A132&gt;=_xlfn.ANCHORARRAY(Sintesi!$C$9))*(A132&lt;=_xlfn.ANCHORARRAY(Sintesi!$C$10)),0)),0)))),0)</f>
        <v>0</v>
      </c>
    </row>
    <row r="134" spans="1:13">
      <c r="A134" s="1">
        <f>'Paste cell here'!A134</f>
        <v>133</v>
      </c>
      <c r="B134" s="2">
        <f>DATE(Sintesi!$C$4-1,12,31)+A134</f>
        <v>44329</v>
      </c>
      <c r="C134" s="34">
        <f t="array" ref="C134">_xlfn.IFNA(MATCH(1,((_xlfn.ANCHORARRAY(Sintesi!$C$9)&gt;_xlfn.ANCHORARRAY(Sintesi!$C$10))*(A134&gt;=_xlfn.ANCHORARRAY(Sintesi!$C$9))+(_xlfn.ANCHORARRAY(Sintesi!$C$9)&gt;_xlfn.ANCHORARRAY(Sintesi!$C$10))*(A134&lt;=_xlfn.ANCHORARRAY(Sintesi!$C$10))+(_xlfn.ANCHORARRAY(Sintesi!$C$9)&lt;_xlfn.ANCHORARRAY(Sintesi!$C$10))*(A134&gt;=_xlfn.ANCHORARRAY(Sintesi!$C$9))*(A134&lt;=_xlfn.ANCHORARRAY(Sintesi!$C$10)))*(_xlfn.ANCHORARRAY(Sintesi!$C$15)&gt;=0)+(_xlfn.ANCHORARRAY(Sintesi!$C$15)&lt;0),0),0)</f>
        <v>1</v>
      </c>
      <c r="D134" s="1">
        <f t="array" ref="D134">IF(ISBLANK($E135),IF(ISNUMBER($E133),IF($C134&gt;0,IF(($E134=INDEX(_xlfn.ANCHORARRAY(Sintesi!$C$14),1,$C134))*(INDEX(_xlfn.ANCHORARRAY(Sintesi!$C$15),1,$C134)&gt;0),0,IF(($E134=INDEX(_xlfn.ANCHORARRAY(Sintesi!$C$14),1,$C134))*(INDEX(_xlfn.ANCHORARRAY(Sintesi!$C$15),1,$C134)&lt;0)+($E134&gt;=$E133)*($E134&lt;=INDEX($E:$E,MATCH(TRUE,INDEX((ISNUMBER($E:$E)),0),0)))*($E134&gt;INDEX(_xlfn.ANCHORARRAY(Sintesi!$C$14),1,$C134))*($E134&lt;=INDEX(_xlfn.ANCHORARRAY(Sintesi!$C$15),1,$C134))*(INDEX(_xlfn.ANCHORARRAY(Sintesi!$C$15),1,$C134)&gt;0),1,IF(($E134&gt;=$E133)*($E134&lt;=INDEX($E:$E,MATCH(TRUE,INDEX((ISNUMBER($E:$E)),0),0)))*($E134&gt;INDEX(_xlfn.ANCHORARRAY(Sintesi!$C$14),1,$C134))*($E134&lt;INDEX(_xlfn.ANCHORARRAY(Sintesi!$C$16),1,$C134))*(INDEX(_xlfn.ANCHORARRAY(Sintesi!$C$15),1,$C134)&lt;0)+($E134&gt;=$E133)*($E134&lt;=INDEX($E:$E,MATCH(TRUE,INDEX((ISNUMBER($E:$E)),0),0)))*($E134&gt;INDEX(_xlfn.ANCHORARRAY(Sintesi!$C$15),1,$C134))*($E134&lt;INDEX(_xlfn.ANCHORARRAY(Sintesi!$C$16),1,$C134))*(INDEX(_xlfn.ANCHORARRAY(Sintesi!$C$15),1,$C134)&gt;0),2,IF($E134=(INDEX(_xlfn.ANCHORARRAY(Sintesi!$C$16),1,$C134)),3,4)))),0),IF($C134&gt;0,IF(($E134=INDEX(_xlfn.ANCHORARRAY(Sintesi!$C$14),1,$C134))*(INDEX(_xlfn.ANCHORARRAY(Sintesi!$C$15),1,$C134)&gt;0),0,IF(($E134=INDEX(_xlfn.ANCHORARRAY(Sintesi!$C$14),1,$C134))*(INDEX(_xlfn.ANCHORARRAY(Sintesi!$C$15),1,$C134)&lt;0)+($E134&gt;=LOOKUP(2,1/($E:$E&lt;&gt;""),$E:$E))*($E134&lt;=INDEX($E:$E,MATCH(TRUE,INDEX((ISNUMBER($E:$E)),0),0)))*($E134&gt;INDEX(_xlfn.ANCHORARRAY(Sintesi!$C$14),1,$C134))*($E134&lt;=INDEX(_xlfn.ANCHORARRAY(Sintesi!$C$15),1,$C134))*(INDEX(_xlfn.ANCHORARRAY(Sintesi!$C$15),1,$C134)&gt;0),1,IF(($E134&gt;=LOOKUP(2,1/($E:$E&lt;&gt;""),$E:$E))*($E134&lt;=INDEX($E:$E,MATCH(TRUE,INDEX((ISNUMBER($E:$E)),0),0)))*($E134&gt;INDEX(_xlfn.ANCHORARRAY(Sintesi!$C$14),1,$C134))*($E134&lt;INDEX(_xlfn.ANCHORARRAY(Sintesi!$C$16),1,$C134))*(INDEX(_xlfn.ANCHORARRAY(Sintesi!$C$15),1,$C134)&lt;0)+($E134&gt;=LOOKUP(2,1/($E:$E&lt;&gt;""),$E:$E))*($E134&lt;=INDEX($E:$E,MATCH(TRUE,INDEX((ISNUMBER($E:$E)),0),0)))*($E134&gt;INDEX(_xlfn.ANCHORARRAY(Sintesi!$C$15),1,$C134))*($E134&lt;INDEX(_xlfn.ANCHORARRAY(Sintesi!$C$16),1,$C134))*(INDEX(_xlfn.ANCHORARRAY(Sintesi!$C$15),1,$C134)&gt;0),2,IF($E134=(INDEX(_xlfn.ANCHORARRAY(Sintesi!$C$16),1,$C134)),3,4)))),0)),IF(ISNUMBER($E133),IF($C134&gt;0,IF(($E134=INDEX(_xlfn.ANCHORARRAY(Sintesi!$C$14),1,$C134))*(INDEX(_xlfn.ANCHORARRAY(Sintesi!$C$15),1,$C134)&gt;0),0,IF(($E134=INDEX(_xlfn.ANCHORARRAY(Sintesi!$C$14),1,$C134))*(INDEX(_xlfn.ANCHORARRAY(Sintesi!$C$15),1,$C134)&lt;0)+($E134&gt;=$E133)*($E134&lt;=$E135)*($E134&gt;INDEX(_xlfn.ANCHORARRAY(Sintesi!$C$14),1,$C134))*($E134&lt;=INDEX(_xlfn.ANCHORARRAY(Sintesi!$C$15),1,$C134))*(INDEX(_xlfn.ANCHORARRAY(Sintesi!$C$15),1,$C134)&gt;0),1,IF(($E134&gt;=$E133)*($E134&lt;=$E135)*($E134&gt;INDEX(_xlfn.ANCHORARRAY(Sintesi!$C$14),1,$C134))*($E134&lt;INDEX(_xlfn.ANCHORARRAY(Sintesi!$C$16),1,$C134))*(INDEX(_xlfn.ANCHORARRAY(Sintesi!$C$15),1,$C134)&lt;0)+($E134&gt;=$E133)*($E134&lt;=$E135)*($E134&gt;INDEX(_xlfn.ANCHORARRAY(Sintesi!$C$15),1,$C134))*($E134&lt;INDEX(_xlfn.ANCHORARRAY(Sintesi!$C$16),1,$C134))*(INDEX(_xlfn.ANCHORARRAY(Sintesi!$C$15),1,$C134)&gt;0),2,IF($E134=(INDEX(_xlfn.ANCHORARRAY(Sintesi!$C$16),1,$C134)),3,4)))),0),IF($C134&gt;0,IF(($E134=INDEX(_xlfn.ANCHORARRAY(Sintesi!$C$14),1,$C134))*(INDEX(_xlfn.ANCHORARRAY(Sintesi!$C$15),1,$C134)&gt;0),0,IF(($E134=INDEX(_xlfn.ANCHORARRAY(Sintesi!$C$14),1,$C134))*(INDEX(_xlfn.ANCHORARRAY(Sintesi!$C$15),1,$C134)&lt;0)+($E134&gt;=LOOKUP(2,1/($E:$E&lt;&gt;""),$E:$E))*($E134&lt;=$E135)*($E134&gt;INDEX(_xlfn.ANCHORARRAY(Sintesi!$C$14),1,$C134))*($E134&lt;=INDEX(_xlfn.ANCHORARRAY(Sintesi!$C$15),1,$C134))*(INDEX(_xlfn.ANCHORARRAY(Sintesi!$C$15),1,$C134)&gt;0),1,IF(($E134&gt;=LOOKUP(2,1/($E:$E&lt;&gt;""),$E:$E))*($E134&lt;=$E135)*($E134&gt;INDEX(_xlfn.ANCHORARRAY(Sintesi!$C$14),1,$C134))*($E134&lt;INDEX(_xlfn.ANCHORARRAY(Sintesi!$C$16),1,$C134))*(INDEX(_xlfn.ANCHORARRAY(Sintesi!$C$15),1,$C134)&lt;0)+($E134&gt;=LOOKUP(2,1/($E:$E&lt;&gt;""),$E:$E))*($E134&lt;=$E135)*($E134&gt;INDEX(_xlfn.ANCHORARRAY(Sintesi!$C$15),1,$C134))*($E134&lt;INDEX(_xlfn.ANCHORARRAY(Sintesi!$C$16),1,$C134))*(INDEX(_xlfn.ANCHORARRAY(Sintesi!$C$15),1,$C134)&gt;0),2,IF($E134=(INDEX(_xlfn.ANCHORARRAY(Sintesi!$C$16),1,$C134)),3,4)))),0)))</f>
        <v>1</v>
      </c>
      <c r="E134" s="1">
        <f>'Paste cell here'!F134</f>
        <v>0.15</v>
      </c>
      <c r="F134" s="1">
        <f>'Paste cell here'!C134</f>
        <v>23.819999999999659</v>
      </c>
      <c r="G134" s="1">
        <f>'Paste cell here'!D134</f>
        <v>12.559999999999826</v>
      </c>
      <c r="H134" s="1">
        <f>'Paste cell here'!E134</f>
        <v>4.2432082765139105</v>
      </c>
      <c r="I134" s="1">
        <f>'Paste cell here'!X134</f>
        <v>0.6364573052422956</v>
      </c>
      <c r="J134" s="1">
        <f>'Paste cell here'!Y134+'Paste cell here'!S134</f>
        <v>0.6364573052422956</v>
      </c>
      <c r="K134" s="1">
        <f t="shared" si="4"/>
        <v>0.1499943589300286</v>
      </c>
      <c r="L134" s="1">
        <f t="shared" si="5"/>
        <v>20.165009823342732</v>
      </c>
      <c r="M134" s="1">
        <f t="array" ref="M134">IF(AND(A134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134&gt;=_xlfn.ANCHORARRAY(Sintesi!$C$9))+(_xlfn.ANCHORARRAY(Sintesi!$C$9)&gt;_xlfn.ANCHORARRAY(Sintesi!$C$10))*(A134&lt;=_xlfn.ANCHORARRAY(Sintesi!$C$10))+(_xlfn.ANCHORARRAY(Sintesi!$C$9)&lt;_xlfn.ANCHORARRAY(Sintesi!$C$10))*(A134&gt;=_xlfn.ANCHORARRAY(Sintesi!$C$9))*(A134&lt;=_xlfn.ANCHORARRAY(Sintesi!$C$10)),0)),0),A134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135&gt;=_xlfn.ANCHORARRAY(Sintesi!$C$9))+(_xlfn.ANCHORARRAY(Sintesi!$C$9)&gt;_xlfn.ANCHORARRAY(Sintesi!$C$10))*(A135&lt;=_xlfn.ANCHORARRAY(Sintesi!$C$10))+(_xlfn.ANCHORARRAY(Sintesi!$C$9)&lt;_xlfn.ANCHORARRAY(Sintesi!$C$10))*(A135&gt;=_xlfn.ANCHORARRAY(Sintesi!$C$9))*(A135&lt;=_xlfn.ANCHORARRAY(Sintesi!$C$10)),0)),0)),IF(L134&lt;_xlfn.IFNA(INDEX(_xlfn.ANCHORARRAY(Sintesi!$C$17),1,MATCH(1,(_xlfn.ANCHORARRAY(Sintesi!$C$9)&gt;_xlfn.ANCHORARRAY(Sintesi!$C$10))*(A133&gt;=_xlfn.ANCHORARRAY(Sintesi!$C$9))+(_xlfn.ANCHORARRAY(Sintesi!$C$9)&gt;_xlfn.ANCHORARRAY(Sintesi!$C$10))*(A133&lt;=_xlfn.ANCHORARRAY(Sintesi!$C$10))+(_xlfn.ANCHORARRAY(Sintesi!$C$9)&lt;_xlfn.ANCHORARRAY(Sintesi!$C$10))*(A133&gt;=_xlfn.ANCHORARRAY(Sintesi!$C$9))*(A133&lt;=_xlfn.ANCHORARRAY(Sintesi!$C$10)),0)),0),1,IF(L134&gt;=_xlfn.IFNA(INDEX(_xlfn.ANCHORARRAY(Sintesi!$C$18),1,MATCH(1,(_xlfn.ANCHORARRAY(Sintesi!$C$9)&gt;_xlfn.ANCHORARRAY(Sintesi!$C$10))*(A133&gt;=_xlfn.ANCHORARRAY(Sintesi!$C$9))+(_xlfn.ANCHORARRAY(Sintesi!$C$9)&gt;_xlfn.ANCHORARRAY(Sintesi!$C$10))*(A133&lt;=_xlfn.ANCHORARRAY(Sintesi!$C$10))+(_xlfn.ANCHORARRAY(Sintesi!$C$9)&lt;_xlfn.ANCHORARRAY(Sintesi!$C$10))*(A133&gt;=_xlfn.ANCHORARRAY(Sintesi!$C$9))*(A133&lt;=_xlfn.ANCHORARRAY(Sintesi!$C$10)),0)),0),0,1-(L134-_xlfn.IFNA(INDEX(_xlfn.ANCHORARRAY(Sintesi!$C$17),1,MATCH(1,(_xlfn.ANCHORARRAY(Sintesi!$C$9)&gt;_xlfn.ANCHORARRAY(Sintesi!$C$10))*(A133&gt;=_xlfn.ANCHORARRAY(Sintesi!$C$9))+(_xlfn.ANCHORARRAY(Sintesi!$C$9)&gt;_xlfn.ANCHORARRAY(Sintesi!$C$10))*(A133&lt;=_xlfn.ANCHORARRAY(Sintesi!$C$10))+(_xlfn.ANCHORARRAY(Sintesi!$C$9)&lt;_xlfn.ANCHORARRAY(Sintesi!$C$10))*(A133&gt;=_xlfn.ANCHORARRAY(Sintesi!$C$9))*(A133&lt;=_xlfn.ANCHORARRAY(Sintesi!$C$10)),0)),0))/(_xlfn.IFNA(INDEX(_xlfn.ANCHORARRAY(Sintesi!$C$18),1,MATCH(1,(_xlfn.ANCHORARRAY(Sintesi!$C$9)&gt;_xlfn.ANCHORARRAY(Sintesi!$C$10))*(A133&gt;=_xlfn.ANCHORARRAY(Sintesi!$C$9))+(_xlfn.ANCHORARRAY(Sintesi!$C$9)&gt;_xlfn.ANCHORARRAY(Sintesi!$C$10))*(A133&lt;=_xlfn.ANCHORARRAY(Sintesi!$C$10))+(_xlfn.ANCHORARRAY(Sintesi!$C$9)&lt;_xlfn.ANCHORARRAY(Sintesi!$C$10))*(A133&gt;=_xlfn.ANCHORARRAY(Sintesi!$C$9))*(A133&lt;=_xlfn.ANCHORARRAY(Sintesi!$C$10)),0)),0)-_xlfn.IFNA(INDEX(_xlfn.ANCHORARRAY(Sintesi!$C$17),1,MATCH(1,(_xlfn.ANCHORARRAY(Sintesi!$C$9)&gt;_xlfn.ANCHORARRAY(Sintesi!$C$10))*(A133&gt;=_xlfn.ANCHORARRAY(Sintesi!$C$9))+(_xlfn.ANCHORARRAY(Sintesi!$C$9)&gt;_xlfn.ANCHORARRAY(Sintesi!$C$10))*(A133&lt;=_xlfn.ANCHORARRAY(Sintesi!$C$10))+(_xlfn.ANCHORARRAY(Sintesi!$C$9)&lt;_xlfn.ANCHORARRAY(Sintesi!$C$10))*(A133&gt;=_xlfn.ANCHORARRAY(Sintesi!$C$9))*(A133&lt;=_xlfn.ANCHORARRAY(Sintesi!$C$10)),0)),0)))),0)</f>
        <v>0</v>
      </c>
    </row>
    <row r="135" spans="1:13">
      <c r="A135" s="1">
        <f>'Paste cell here'!A135</f>
        <v>134</v>
      </c>
      <c r="B135" s="2">
        <f>DATE(Sintesi!$C$4-1,12,31)+A135</f>
        <v>44330</v>
      </c>
      <c r="C135" s="34">
        <f t="array" ref="C135">_xlfn.IFNA(MATCH(1,((_xlfn.ANCHORARRAY(Sintesi!$C$9)&gt;_xlfn.ANCHORARRAY(Sintesi!$C$10))*(A135&gt;=_xlfn.ANCHORARRAY(Sintesi!$C$9))+(_xlfn.ANCHORARRAY(Sintesi!$C$9)&gt;_xlfn.ANCHORARRAY(Sintesi!$C$10))*(A135&lt;=_xlfn.ANCHORARRAY(Sintesi!$C$10))+(_xlfn.ANCHORARRAY(Sintesi!$C$9)&lt;_xlfn.ANCHORARRAY(Sintesi!$C$10))*(A135&gt;=_xlfn.ANCHORARRAY(Sintesi!$C$9))*(A135&lt;=_xlfn.ANCHORARRAY(Sintesi!$C$10)))*(_xlfn.ANCHORARRAY(Sintesi!$C$15)&gt;=0)+(_xlfn.ANCHORARRAY(Sintesi!$C$15)&lt;0),0),0)</f>
        <v>1</v>
      </c>
      <c r="D135" s="1">
        <f t="array" ref="D135">IF(ISBLANK($E136),IF(ISNUMBER($E134),IF($C135&gt;0,IF(($E135=INDEX(_xlfn.ANCHORARRAY(Sintesi!$C$14),1,$C135))*(INDEX(_xlfn.ANCHORARRAY(Sintesi!$C$15),1,$C135)&gt;0),0,IF(($E135=INDEX(_xlfn.ANCHORARRAY(Sintesi!$C$14),1,$C135))*(INDEX(_xlfn.ANCHORARRAY(Sintesi!$C$15),1,$C135)&lt;0)+($E135&gt;=$E134)*($E135&lt;=INDEX($E:$E,MATCH(TRUE,INDEX((ISNUMBER($E:$E)),0),0)))*($E135&gt;INDEX(_xlfn.ANCHORARRAY(Sintesi!$C$14),1,$C135))*($E135&lt;=INDEX(_xlfn.ANCHORARRAY(Sintesi!$C$15),1,$C135))*(INDEX(_xlfn.ANCHORARRAY(Sintesi!$C$15),1,$C135)&gt;0),1,IF(($E135&gt;=$E134)*($E135&lt;=INDEX($E:$E,MATCH(TRUE,INDEX((ISNUMBER($E:$E)),0),0)))*($E135&gt;INDEX(_xlfn.ANCHORARRAY(Sintesi!$C$14),1,$C135))*($E135&lt;INDEX(_xlfn.ANCHORARRAY(Sintesi!$C$16),1,$C135))*(INDEX(_xlfn.ANCHORARRAY(Sintesi!$C$15),1,$C135)&lt;0)+($E135&gt;=$E134)*($E135&lt;=INDEX($E:$E,MATCH(TRUE,INDEX((ISNUMBER($E:$E)),0),0)))*($E135&gt;INDEX(_xlfn.ANCHORARRAY(Sintesi!$C$15),1,$C135))*($E135&lt;INDEX(_xlfn.ANCHORARRAY(Sintesi!$C$16),1,$C135))*(INDEX(_xlfn.ANCHORARRAY(Sintesi!$C$15),1,$C135)&gt;0),2,IF($E135=(INDEX(_xlfn.ANCHORARRAY(Sintesi!$C$16),1,$C135)),3,4)))),0),IF($C135&gt;0,IF(($E135=INDEX(_xlfn.ANCHORARRAY(Sintesi!$C$14),1,$C135))*(INDEX(_xlfn.ANCHORARRAY(Sintesi!$C$15),1,$C135)&gt;0),0,IF(($E135=INDEX(_xlfn.ANCHORARRAY(Sintesi!$C$14),1,$C135))*(INDEX(_xlfn.ANCHORARRAY(Sintesi!$C$15),1,$C135)&lt;0)+($E135&gt;=LOOKUP(2,1/($E:$E&lt;&gt;""),$E:$E))*($E135&lt;=INDEX($E:$E,MATCH(TRUE,INDEX((ISNUMBER($E:$E)),0),0)))*($E135&gt;INDEX(_xlfn.ANCHORARRAY(Sintesi!$C$14),1,$C135))*($E135&lt;=INDEX(_xlfn.ANCHORARRAY(Sintesi!$C$15),1,$C135))*(INDEX(_xlfn.ANCHORARRAY(Sintesi!$C$15),1,$C135)&gt;0),1,IF(($E135&gt;=LOOKUP(2,1/($E:$E&lt;&gt;""),$E:$E))*($E135&lt;=INDEX($E:$E,MATCH(TRUE,INDEX((ISNUMBER($E:$E)),0),0)))*($E135&gt;INDEX(_xlfn.ANCHORARRAY(Sintesi!$C$14),1,$C135))*($E135&lt;INDEX(_xlfn.ANCHORARRAY(Sintesi!$C$16),1,$C135))*(INDEX(_xlfn.ANCHORARRAY(Sintesi!$C$15),1,$C135)&lt;0)+($E135&gt;=LOOKUP(2,1/($E:$E&lt;&gt;""),$E:$E))*($E135&lt;=INDEX($E:$E,MATCH(TRUE,INDEX((ISNUMBER($E:$E)),0),0)))*($E135&gt;INDEX(_xlfn.ANCHORARRAY(Sintesi!$C$15),1,$C135))*($E135&lt;INDEX(_xlfn.ANCHORARRAY(Sintesi!$C$16),1,$C135))*(INDEX(_xlfn.ANCHORARRAY(Sintesi!$C$15),1,$C135)&gt;0),2,IF($E135=(INDEX(_xlfn.ANCHORARRAY(Sintesi!$C$16),1,$C135)),3,4)))),0)),IF(ISNUMBER($E134),IF($C135&gt;0,IF(($E135=INDEX(_xlfn.ANCHORARRAY(Sintesi!$C$14),1,$C135))*(INDEX(_xlfn.ANCHORARRAY(Sintesi!$C$15),1,$C135)&gt;0),0,IF(($E135=INDEX(_xlfn.ANCHORARRAY(Sintesi!$C$14),1,$C135))*(INDEX(_xlfn.ANCHORARRAY(Sintesi!$C$15),1,$C135)&lt;0)+($E135&gt;=$E134)*($E135&lt;=$E136)*($E135&gt;INDEX(_xlfn.ANCHORARRAY(Sintesi!$C$14),1,$C135))*($E135&lt;=INDEX(_xlfn.ANCHORARRAY(Sintesi!$C$15),1,$C135))*(INDEX(_xlfn.ANCHORARRAY(Sintesi!$C$15),1,$C135)&gt;0),1,IF(($E135&gt;=$E134)*($E135&lt;=$E136)*($E135&gt;INDEX(_xlfn.ANCHORARRAY(Sintesi!$C$14),1,$C135))*($E135&lt;INDEX(_xlfn.ANCHORARRAY(Sintesi!$C$16),1,$C135))*(INDEX(_xlfn.ANCHORARRAY(Sintesi!$C$15),1,$C135)&lt;0)+($E135&gt;=$E134)*($E135&lt;=$E136)*($E135&gt;INDEX(_xlfn.ANCHORARRAY(Sintesi!$C$15),1,$C135))*($E135&lt;INDEX(_xlfn.ANCHORARRAY(Sintesi!$C$16),1,$C135))*(INDEX(_xlfn.ANCHORARRAY(Sintesi!$C$15),1,$C135)&gt;0),2,IF($E135=(INDEX(_xlfn.ANCHORARRAY(Sintesi!$C$16),1,$C135)),3,4)))),0),IF($C135&gt;0,IF(($E135=INDEX(_xlfn.ANCHORARRAY(Sintesi!$C$14),1,$C135))*(INDEX(_xlfn.ANCHORARRAY(Sintesi!$C$15),1,$C135)&gt;0),0,IF(($E135=INDEX(_xlfn.ANCHORARRAY(Sintesi!$C$14),1,$C135))*(INDEX(_xlfn.ANCHORARRAY(Sintesi!$C$15),1,$C135)&lt;0)+($E135&gt;=LOOKUP(2,1/($E:$E&lt;&gt;""),$E:$E))*($E135&lt;=$E136)*($E135&gt;INDEX(_xlfn.ANCHORARRAY(Sintesi!$C$14),1,$C135))*($E135&lt;=INDEX(_xlfn.ANCHORARRAY(Sintesi!$C$15),1,$C135))*(INDEX(_xlfn.ANCHORARRAY(Sintesi!$C$15),1,$C135)&gt;0),1,IF(($E135&gt;=LOOKUP(2,1/($E:$E&lt;&gt;""),$E:$E))*($E135&lt;=$E136)*($E135&gt;INDEX(_xlfn.ANCHORARRAY(Sintesi!$C$14),1,$C135))*($E135&lt;INDEX(_xlfn.ANCHORARRAY(Sintesi!$C$16),1,$C135))*(INDEX(_xlfn.ANCHORARRAY(Sintesi!$C$15),1,$C135)&lt;0)+($E135&gt;=LOOKUP(2,1/($E:$E&lt;&gt;""),$E:$E))*($E135&lt;=$E136)*($E135&gt;INDEX(_xlfn.ANCHORARRAY(Sintesi!$C$15),1,$C135))*($E135&lt;INDEX(_xlfn.ANCHORARRAY(Sintesi!$C$16),1,$C135))*(INDEX(_xlfn.ANCHORARRAY(Sintesi!$C$15),1,$C135)&gt;0),2,IF($E135=(INDEX(_xlfn.ANCHORARRAY(Sintesi!$C$16),1,$C135)),3,4)))),0)))</f>
        <v>1</v>
      </c>
      <c r="E135" s="1">
        <f>'Paste cell here'!F135</f>
        <v>0.15</v>
      </c>
      <c r="F135" s="1">
        <f>'Paste cell here'!C135</f>
        <v>21.039999999999687</v>
      </c>
      <c r="G135" s="1">
        <f>'Paste cell here'!D135</f>
        <v>9.0799999999998704</v>
      </c>
      <c r="H135" s="1">
        <f>'Paste cell here'!E135</f>
        <v>2.9339940462482677</v>
      </c>
      <c r="I135" s="1">
        <f>'Paste cell here'!X135</f>
        <v>0.4400817268577093</v>
      </c>
      <c r="J135" s="1">
        <f>'Paste cell here'!Y135+'Paste cell here'!S135</f>
        <v>0.4400817268577093</v>
      </c>
      <c r="K135" s="1">
        <f t="shared" si="4"/>
        <v>0.1499940763071578</v>
      </c>
      <c r="L135" s="1">
        <f t="shared" si="5"/>
        <v>17.157790185362312</v>
      </c>
      <c r="M135" s="1">
        <f t="array" ref="M135">IF(AND(A135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135&gt;=_xlfn.ANCHORARRAY(Sintesi!$C$9))+(_xlfn.ANCHORARRAY(Sintesi!$C$9)&gt;_xlfn.ANCHORARRAY(Sintesi!$C$10))*(A135&lt;=_xlfn.ANCHORARRAY(Sintesi!$C$10))+(_xlfn.ANCHORARRAY(Sintesi!$C$9)&lt;_xlfn.ANCHORARRAY(Sintesi!$C$10))*(A135&gt;=_xlfn.ANCHORARRAY(Sintesi!$C$9))*(A135&lt;=_xlfn.ANCHORARRAY(Sintesi!$C$10)),0)),0),A135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136&gt;=_xlfn.ANCHORARRAY(Sintesi!$C$9))+(_xlfn.ANCHORARRAY(Sintesi!$C$9)&gt;_xlfn.ANCHORARRAY(Sintesi!$C$10))*(A136&lt;=_xlfn.ANCHORARRAY(Sintesi!$C$10))+(_xlfn.ANCHORARRAY(Sintesi!$C$9)&lt;_xlfn.ANCHORARRAY(Sintesi!$C$10))*(A136&gt;=_xlfn.ANCHORARRAY(Sintesi!$C$9))*(A136&lt;=_xlfn.ANCHORARRAY(Sintesi!$C$10)),0)),0)),IF(L135&lt;_xlfn.IFNA(INDEX(_xlfn.ANCHORARRAY(Sintesi!$C$17),1,MATCH(1,(_xlfn.ANCHORARRAY(Sintesi!$C$9)&gt;_xlfn.ANCHORARRAY(Sintesi!$C$10))*(A134&gt;=_xlfn.ANCHORARRAY(Sintesi!$C$9))+(_xlfn.ANCHORARRAY(Sintesi!$C$9)&gt;_xlfn.ANCHORARRAY(Sintesi!$C$10))*(A134&lt;=_xlfn.ANCHORARRAY(Sintesi!$C$10))+(_xlfn.ANCHORARRAY(Sintesi!$C$9)&lt;_xlfn.ANCHORARRAY(Sintesi!$C$10))*(A134&gt;=_xlfn.ANCHORARRAY(Sintesi!$C$9))*(A134&lt;=_xlfn.ANCHORARRAY(Sintesi!$C$10)),0)),0),1,IF(L135&gt;=_xlfn.IFNA(INDEX(_xlfn.ANCHORARRAY(Sintesi!$C$18),1,MATCH(1,(_xlfn.ANCHORARRAY(Sintesi!$C$9)&gt;_xlfn.ANCHORARRAY(Sintesi!$C$10))*(A134&gt;=_xlfn.ANCHORARRAY(Sintesi!$C$9))+(_xlfn.ANCHORARRAY(Sintesi!$C$9)&gt;_xlfn.ANCHORARRAY(Sintesi!$C$10))*(A134&lt;=_xlfn.ANCHORARRAY(Sintesi!$C$10))+(_xlfn.ANCHORARRAY(Sintesi!$C$9)&lt;_xlfn.ANCHORARRAY(Sintesi!$C$10))*(A134&gt;=_xlfn.ANCHORARRAY(Sintesi!$C$9))*(A134&lt;=_xlfn.ANCHORARRAY(Sintesi!$C$10)),0)),0),0,1-(L135-_xlfn.IFNA(INDEX(_xlfn.ANCHORARRAY(Sintesi!$C$17),1,MATCH(1,(_xlfn.ANCHORARRAY(Sintesi!$C$9)&gt;_xlfn.ANCHORARRAY(Sintesi!$C$10))*(A134&gt;=_xlfn.ANCHORARRAY(Sintesi!$C$9))+(_xlfn.ANCHORARRAY(Sintesi!$C$9)&gt;_xlfn.ANCHORARRAY(Sintesi!$C$10))*(A134&lt;=_xlfn.ANCHORARRAY(Sintesi!$C$10))+(_xlfn.ANCHORARRAY(Sintesi!$C$9)&lt;_xlfn.ANCHORARRAY(Sintesi!$C$10))*(A134&gt;=_xlfn.ANCHORARRAY(Sintesi!$C$9))*(A134&lt;=_xlfn.ANCHORARRAY(Sintesi!$C$10)),0)),0))/(_xlfn.IFNA(INDEX(_xlfn.ANCHORARRAY(Sintesi!$C$18),1,MATCH(1,(_xlfn.ANCHORARRAY(Sintesi!$C$9)&gt;_xlfn.ANCHORARRAY(Sintesi!$C$10))*(A134&gt;=_xlfn.ANCHORARRAY(Sintesi!$C$9))+(_xlfn.ANCHORARRAY(Sintesi!$C$9)&gt;_xlfn.ANCHORARRAY(Sintesi!$C$10))*(A134&lt;=_xlfn.ANCHORARRAY(Sintesi!$C$10))+(_xlfn.ANCHORARRAY(Sintesi!$C$9)&lt;_xlfn.ANCHORARRAY(Sintesi!$C$10))*(A134&gt;=_xlfn.ANCHORARRAY(Sintesi!$C$9))*(A134&lt;=_xlfn.ANCHORARRAY(Sintesi!$C$10)),0)),0)-_xlfn.IFNA(INDEX(_xlfn.ANCHORARRAY(Sintesi!$C$17),1,MATCH(1,(_xlfn.ANCHORARRAY(Sintesi!$C$9)&gt;_xlfn.ANCHORARRAY(Sintesi!$C$10))*(A134&gt;=_xlfn.ANCHORARRAY(Sintesi!$C$9))+(_xlfn.ANCHORARRAY(Sintesi!$C$9)&gt;_xlfn.ANCHORARRAY(Sintesi!$C$10))*(A134&lt;=_xlfn.ANCHORARRAY(Sintesi!$C$10))+(_xlfn.ANCHORARRAY(Sintesi!$C$9)&lt;_xlfn.ANCHORARRAY(Sintesi!$C$10))*(A134&gt;=_xlfn.ANCHORARRAY(Sintesi!$C$9))*(A134&lt;=_xlfn.ANCHORARRAY(Sintesi!$C$10)),0)),0)))),0)</f>
        <v>0</v>
      </c>
    </row>
    <row r="136" spans="1:13">
      <c r="A136" s="1">
        <f>'Paste cell here'!A136</f>
        <v>135</v>
      </c>
      <c r="B136" s="2">
        <f>DATE(Sintesi!$C$4-1,12,31)+A136</f>
        <v>44331</v>
      </c>
      <c r="C136" s="34">
        <f t="array" ref="C136">_xlfn.IFNA(MATCH(1,((_xlfn.ANCHORARRAY(Sintesi!$C$9)&gt;_xlfn.ANCHORARRAY(Sintesi!$C$10))*(A136&gt;=_xlfn.ANCHORARRAY(Sintesi!$C$9))+(_xlfn.ANCHORARRAY(Sintesi!$C$9)&gt;_xlfn.ANCHORARRAY(Sintesi!$C$10))*(A136&lt;=_xlfn.ANCHORARRAY(Sintesi!$C$10))+(_xlfn.ANCHORARRAY(Sintesi!$C$9)&lt;_xlfn.ANCHORARRAY(Sintesi!$C$10))*(A136&gt;=_xlfn.ANCHORARRAY(Sintesi!$C$9))*(A136&lt;=_xlfn.ANCHORARRAY(Sintesi!$C$10)))*(_xlfn.ANCHORARRAY(Sintesi!$C$15)&gt;=0)+(_xlfn.ANCHORARRAY(Sintesi!$C$15)&lt;0),0),0)</f>
        <v>1</v>
      </c>
      <c r="D136" s="1">
        <f t="array" ref="D136">IF(ISBLANK($E137),IF(ISNUMBER($E135),IF($C136&gt;0,IF(($E136=INDEX(_xlfn.ANCHORARRAY(Sintesi!$C$14),1,$C136))*(INDEX(_xlfn.ANCHORARRAY(Sintesi!$C$15),1,$C136)&gt;0),0,IF(($E136=INDEX(_xlfn.ANCHORARRAY(Sintesi!$C$14),1,$C136))*(INDEX(_xlfn.ANCHORARRAY(Sintesi!$C$15),1,$C136)&lt;0)+($E136&gt;=$E135)*($E136&lt;=INDEX($E:$E,MATCH(TRUE,INDEX((ISNUMBER($E:$E)),0),0)))*($E136&gt;INDEX(_xlfn.ANCHORARRAY(Sintesi!$C$14),1,$C136))*($E136&lt;=INDEX(_xlfn.ANCHORARRAY(Sintesi!$C$15),1,$C136))*(INDEX(_xlfn.ANCHORARRAY(Sintesi!$C$15),1,$C136)&gt;0),1,IF(($E136&gt;=$E135)*($E136&lt;=INDEX($E:$E,MATCH(TRUE,INDEX((ISNUMBER($E:$E)),0),0)))*($E136&gt;INDEX(_xlfn.ANCHORARRAY(Sintesi!$C$14),1,$C136))*($E136&lt;INDEX(_xlfn.ANCHORARRAY(Sintesi!$C$16),1,$C136))*(INDEX(_xlfn.ANCHORARRAY(Sintesi!$C$15),1,$C136)&lt;0)+($E136&gt;=$E135)*($E136&lt;=INDEX($E:$E,MATCH(TRUE,INDEX((ISNUMBER($E:$E)),0),0)))*($E136&gt;INDEX(_xlfn.ANCHORARRAY(Sintesi!$C$15),1,$C136))*($E136&lt;INDEX(_xlfn.ANCHORARRAY(Sintesi!$C$16),1,$C136))*(INDEX(_xlfn.ANCHORARRAY(Sintesi!$C$15),1,$C136)&gt;0),2,IF($E136=(INDEX(_xlfn.ANCHORARRAY(Sintesi!$C$16),1,$C136)),3,4)))),0),IF($C136&gt;0,IF(($E136=INDEX(_xlfn.ANCHORARRAY(Sintesi!$C$14),1,$C136))*(INDEX(_xlfn.ANCHORARRAY(Sintesi!$C$15),1,$C136)&gt;0),0,IF(($E136=INDEX(_xlfn.ANCHORARRAY(Sintesi!$C$14),1,$C136))*(INDEX(_xlfn.ANCHORARRAY(Sintesi!$C$15),1,$C136)&lt;0)+($E136&gt;=LOOKUP(2,1/($E:$E&lt;&gt;""),$E:$E))*($E136&lt;=INDEX($E:$E,MATCH(TRUE,INDEX((ISNUMBER($E:$E)),0),0)))*($E136&gt;INDEX(_xlfn.ANCHORARRAY(Sintesi!$C$14),1,$C136))*($E136&lt;=INDEX(_xlfn.ANCHORARRAY(Sintesi!$C$15),1,$C136))*(INDEX(_xlfn.ANCHORARRAY(Sintesi!$C$15),1,$C136)&gt;0),1,IF(($E136&gt;=LOOKUP(2,1/($E:$E&lt;&gt;""),$E:$E))*($E136&lt;=INDEX($E:$E,MATCH(TRUE,INDEX((ISNUMBER($E:$E)),0),0)))*($E136&gt;INDEX(_xlfn.ANCHORARRAY(Sintesi!$C$14),1,$C136))*($E136&lt;INDEX(_xlfn.ANCHORARRAY(Sintesi!$C$16),1,$C136))*(INDEX(_xlfn.ANCHORARRAY(Sintesi!$C$15),1,$C136)&lt;0)+($E136&gt;=LOOKUP(2,1/($E:$E&lt;&gt;""),$E:$E))*($E136&lt;=INDEX($E:$E,MATCH(TRUE,INDEX((ISNUMBER($E:$E)),0),0)))*($E136&gt;INDEX(_xlfn.ANCHORARRAY(Sintesi!$C$15),1,$C136))*($E136&lt;INDEX(_xlfn.ANCHORARRAY(Sintesi!$C$16),1,$C136))*(INDEX(_xlfn.ANCHORARRAY(Sintesi!$C$15),1,$C136)&gt;0),2,IF($E136=(INDEX(_xlfn.ANCHORARRAY(Sintesi!$C$16),1,$C136)),3,4)))),0)),IF(ISNUMBER($E135),IF($C136&gt;0,IF(($E136=INDEX(_xlfn.ANCHORARRAY(Sintesi!$C$14),1,$C136))*(INDEX(_xlfn.ANCHORARRAY(Sintesi!$C$15),1,$C136)&gt;0),0,IF(($E136=INDEX(_xlfn.ANCHORARRAY(Sintesi!$C$14),1,$C136))*(INDEX(_xlfn.ANCHORARRAY(Sintesi!$C$15),1,$C136)&lt;0)+($E136&gt;=$E135)*($E136&lt;=$E137)*($E136&gt;INDEX(_xlfn.ANCHORARRAY(Sintesi!$C$14),1,$C136))*($E136&lt;=INDEX(_xlfn.ANCHORARRAY(Sintesi!$C$15),1,$C136))*(INDEX(_xlfn.ANCHORARRAY(Sintesi!$C$15),1,$C136)&gt;0),1,IF(($E136&gt;=$E135)*($E136&lt;=$E137)*($E136&gt;INDEX(_xlfn.ANCHORARRAY(Sintesi!$C$14),1,$C136))*($E136&lt;INDEX(_xlfn.ANCHORARRAY(Sintesi!$C$16),1,$C136))*(INDEX(_xlfn.ANCHORARRAY(Sintesi!$C$15),1,$C136)&lt;0)+($E136&gt;=$E135)*($E136&lt;=$E137)*($E136&gt;INDEX(_xlfn.ANCHORARRAY(Sintesi!$C$15),1,$C136))*($E136&lt;INDEX(_xlfn.ANCHORARRAY(Sintesi!$C$16),1,$C136))*(INDEX(_xlfn.ANCHORARRAY(Sintesi!$C$15),1,$C136)&gt;0),2,IF($E136=(INDEX(_xlfn.ANCHORARRAY(Sintesi!$C$16),1,$C136)),3,4)))),0),IF($C136&gt;0,IF(($E136=INDEX(_xlfn.ANCHORARRAY(Sintesi!$C$14),1,$C136))*(INDEX(_xlfn.ANCHORARRAY(Sintesi!$C$15),1,$C136)&gt;0),0,IF(($E136=INDEX(_xlfn.ANCHORARRAY(Sintesi!$C$14),1,$C136))*(INDEX(_xlfn.ANCHORARRAY(Sintesi!$C$15),1,$C136)&lt;0)+($E136&gt;=LOOKUP(2,1/($E:$E&lt;&gt;""),$E:$E))*($E136&lt;=$E137)*($E136&gt;INDEX(_xlfn.ANCHORARRAY(Sintesi!$C$14),1,$C136))*($E136&lt;=INDEX(_xlfn.ANCHORARRAY(Sintesi!$C$15),1,$C136))*(INDEX(_xlfn.ANCHORARRAY(Sintesi!$C$15),1,$C136)&gt;0),1,IF(($E136&gt;=LOOKUP(2,1/($E:$E&lt;&gt;""),$E:$E))*($E136&lt;=$E137)*($E136&gt;INDEX(_xlfn.ANCHORARRAY(Sintesi!$C$14),1,$C136))*($E136&lt;INDEX(_xlfn.ANCHORARRAY(Sintesi!$C$16),1,$C136))*(INDEX(_xlfn.ANCHORARRAY(Sintesi!$C$15),1,$C136)&lt;0)+($E136&gt;=LOOKUP(2,1/($E:$E&lt;&gt;""),$E:$E))*($E136&lt;=$E137)*($E136&gt;INDEX(_xlfn.ANCHORARRAY(Sintesi!$C$15),1,$C136))*($E136&lt;INDEX(_xlfn.ANCHORARRAY(Sintesi!$C$16),1,$C136))*(INDEX(_xlfn.ANCHORARRAY(Sintesi!$C$15),1,$C136)&gt;0),2,IF($E136=(INDEX(_xlfn.ANCHORARRAY(Sintesi!$C$16),1,$C136)),3,4)))),0)))</f>
        <v>2</v>
      </c>
      <c r="E136" s="1">
        <f>'Paste cell here'!F136</f>
        <v>0.17100000000000001</v>
      </c>
      <c r="F136" s="1">
        <f>'Paste cell here'!C136</f>
        <v>20.239999999999711</v>
      </c>
      <c r="G136" s="1">
        <f>'Paste cell here'!D136</f>
        <v>8.3199999999998688</v>
      </c>
      <c r="H136" s="1">
        <f>'Paste cell here'!E136</f>
        <v>2.7008141705121487</v>
      </c>
      <c r="I136" s="1">
        <f>'Paste cell here'!X136</f>
        <v>0.46182009439358135</v>
      </c>
      <c r="J136" s="1">
        <f>'Paste cell here'!Y136+'Paste cell here'!S136</f>
        <v>0.46182009439358135</v>
      </c>
      <c r="K136" s="1">
        <f t="shared" si="4"/>
        <v>0.17099291740831157</v>
      </c>
      <c r="L136" s="1">
        <f t="shared" si="5"/>
        <v>16.370774164675495</v>
      </c>
      <c r="M136" s="1">
        <f t="array" ref="M136">IF(AND(A136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136&gt;=_xlfn.ANCHORARRAY(Sintesi!$C$9))+(_xlfn.ANCHORARRAY(Sintesi!$C$9)&gt;_xlfn.ANCHORARRAY(Sintesi!$C$10))*(A136&lt;=_xlfn.ANCHORARRAY(Sintesi!$C$10))+(_xlfn.ANCHORARRAY(Sintesi!$C$9)&lt;_xlfn.ANCHORARRAY(Sintesi!$C$10))*(A136&gt;=_xlfn.ANCHORARRAY(Sintesi!$C$9))*(A136&lt;=_xlfn.ANCHORARRAY(Sintesi!$C$10)),0)),0),A136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137&gt;=_xlfn.ANCHORARRAY(Sintesi!$C$9))+(_xlfn.ANCHORARRAY(Sintesi!$C$9)&gt;_xlfn.ANCHORARRAY(Sintesi!$C$10))*(A137&lt;=_xlfn.ANCHORARRAY(Sintesi!$C$10))+(_xlfn.ANCHORARRAY(Sintesi!$C$9)&lt;_xlfn.ANCHORARRAY(Sintesi!$C$10))*(A137&gt;=_xlfn.ANCHORARRAY(Sintesi!$C$9))*(A137&lt;=_xlfn.ANCHORARRAY(Sintesi!$C$10)),0)),0)),IF(L136&lt;_xlfn.IFNA(INDEX(_xlfn.ANCHORARRAY(Sintesi!$C$17),1,MATCH(1,(_xlfn.ANCHORARRAY(Sintesi!$C$9)&gt;_xlfn.ANCHORARRAY(Sintesi!$C$10))*(A135&gt;=_xlfn.ANCHORARRAY(Sintesi!$C$9))+(_xlfn.ANCHORARRAY(Sintesi!$C$9)&gt;_xlfn.ANCHORARRAY(Sintesi!$C$10))*(A135&lt;=_xlfn.ANCHORARRAY(Sintesi!$C$10))+(_xlfn.ANCHORARRAY(Sintesi!$C$9)&lt;_xlfn.ANCHORARRAY(Sintesi!$C$10))*(A135&gt;=_xlfn.ANCHORARRAY(Sintesi!$C$9))*(A135&lt;=_xlfn.ANCHORARRAY(Sintesi!$C$10)),0)),0),1,IF(L136&gt;=_xlfn.IFNA(INDEX(_xlfn.ANCHORARRAY(Sintesi!$C$18),1,MATCH(1,(_xlfn.ANCHORARRAY(Sintesi!$C$9)&gt;_xlfn.ANCHORARRAY(Sintesi!$C$10))*(A135&gt;=_xlfn.ANCHORARRAY(Sintesi!$C$9))+(_xlfn.ANCHORARRAY(Sintesi!$C$9)&gt;_xlfn.ANCHORARRAY(Sintesi!$C$10))*(A135&lt;=_xlfn.ANCHORARRAY(Sintesi!$C$10))+(_xlfn.ANCHORARRAY(Sintesi!$C$9)&lt;_xlfn.ANCHORARRAY(Sintesi!$C$10))*(A135&gt;=_xlfn.ANCHORARRAY(Sintesi!$C$9))*(A135&lt;=_xlfn.ANCHORARRAY(Sintesi!$C$10)),0)),0),0,1-(L136-_xlfn.IFNA(INDEX(_xlfn.ANCHORARRAY(Sintesi!$C$17),1,MATCH(1,(_xlfn.ANCHORARRAY(Sintesi!$C$9)&gt;_xlfn.ANCHORARRAY(Sintesi!$C$10))*(A135&gt;=_xlfn.ANCHORARRAY(Sintesi!$C$9))+(_xlfn.ANCHORARRAY(Sintesi!$C$9)&gt;_xlfn.ANCHORARRAY(Sintesi!$C$10))*(A135&lt;=_xlfn.ANCHORARRAY(Sintesi!$C$10))+(_xlfn.ANCHORARRAY(Sintesi!$C$9)&lt;_xlfn.ANCHORARRAY(Sintesi!$C$10))*(A135&gt;=_xlfn.ANCHORARRAY(Sintesi!$C$9))*(A135&lt;=_xlfn.ANCHORARRAY(Sintesi!$C$10)),0)),0))/(_xlfn.IFNA(INDEX(_xlfn.ANCHORARRAY(Sintesi!$C$18),1,MATCH(1,(_xlfn.ANCHORARRAY(Sintesi!$C$9)&gt;_xlfn.ANCHORARRAY(Sintesi!$C$10))*(A135&gt;=_xlfn.ANCHORARRAY(Sintesi!$C$9))+(_xlfn.ANCHORARRAY(Sintesi!$C$9)&gt;_xlfn.ANCHORARRAY(Sintesi!$C$10))*(A135&lt;=_xlfn.ANCHORARRAY(Sintesi!$C$10))+(_xlfn.ANCHORARRAY(Sintesi!$C$9)&lt;_xlfn.ANCHORARRAY(Sintesi!$C$10))*(A135&gt;=_xlfn.ANCHORARRAY(Sintesi!$C$9))*(A135&lt;=_xlfn.ANCHORARRAY(Sintesi!$C$10)),0)),0)-_xlfn.IFNA(INDEX(_xlfn.ANCHORARRAY(Sintesi!$C$17),1,MATCH(1,(_xlfn.ANCHORARRAY(Sintesi!$C$9)&gt;_xlfn.ANCHORARRAY(Sintesi!$C$10))*(A135&gt;=_xlfn.ANCHORARRAY(Sintesi!$C$9))+(_xlfn.ANCHORARRAY(Sintesi!$C$9)&gt;_xlfn.ANCHORARRAY(Sintesi!$C$10))*(A135&lt;=_xlfn.ANCHORARRAY(Sintesi!$C$10))+(_xlfn.ANCHORARRAY(Sintesi!$C$9)&lt;_xlfn.ANCHORARRAY(Sintesi!$C$10))*(A135&gt;=_xlfn.ANCHORARRAY(Sintesi!$C$9))*(A135&lt;=_xlfn.ANCHORARRAY(Sintesi!$C$10)),0)),0)))),0)</f>
        <v>0</v>
      </c>
    </row>
    <row r="137" spans="1:13">
      <c r="A137" s="1">
        <f>'Paste cell here'!A137</f>
        <v>136</v>
      </c>
      <c r="B137" s="2">
        <f>DATE(Sintesi!$C$4-1,12,31)+A137</f>
        <v>44332</v>
      </c>
      <c r="C137" s="34">
        <f t="array" ref="C137">_xlfn.IFNA(MATCH(1,((_xlfn.ANCHORARRAY(Sintesi!$C$9)&gt;_xlfn.ANCHORARRAY(Sintesi!$C$10))*(A137&gt;=_xlfn.ANCHORARRAY(Sintesi!$C$9))+(_xlfn.ANCHORARRAY(Sintesi!$C$9)&gt;_xlfn.ANCHORARRAY(Sintesi!$C$10))*(A137&lt;=_xlfn.ANCHORARRAY(Sintesi!$C$10))+(_xlfn.ANCHORARRAY(Sintesi!$C$9)&lt;_xlfn.ANCHORARRAY(Sintesi!$C$10))*(A137&gt;=_xlfn.ANCHORARRAY(Sintesi!$C$9))*(A137&lt;=_xlfn.ANCHORARRAY(Sintesi!$C$10)))*(_xlfn.ANCHORARRAY(Sintesi!$C$15)&gt;=0)+(_xlfn.ANCHORARRAY(Sintesi!$C$15)&lt;0),0),0)</f>
        <v>1</v>
      </c>
      <c r="D137" s="1">
        <f t="array" ref="D137">IF(ISBLANK($E138),IF(ISNUMBER($E136),IF($C137&gt;0,IF(($E137=INDEX(_xlfn.ANCHORARRAY(Sintesi!$C$14),1,$C137))*(INDEX(_xlfn.ANCHORARRAY(Sintesi!$C$15),1,$C137)&gt;0),0,IF(($E137=INDEX(_xlfn.ANCHORARRAY(Sintesi!$C$14),1,$C137))*(INDEX(_xlfn.ANCHORARRAY(Sintesi!$C$15),1,$C137)&lt;0)+($E137&gt;=$E136)*($E137&lt;=INDEX($E:$E,MATCH(TRUE,INDEX((ISNUMBER($E:$E)),0),0)))*($E137&gt;INDEX(_xlfn.ANCHORARRAY(Sintesi!$C$14),1,$C137))*($E137&lt;=INDEX(_xlfn.ANCHORARRAY(Sintesi!$C$15),1,$C137))*(INDEX(_xlfn.ANCHORARRAY(Sintesi!$C$15),1,$C137)&gt;0),1,IF(($E137&gt;=$E136)*($E137&lt;=INDEX($E:$E,MATCH(TRUE,INDEX((ISNUMBER($E:$E)),0),0)))*($E137&gt;INDEX(_xlfn.ANCHORARRAY(Sintesi!$C$14),1,$C137))*($E137&lt;INDEX(_xlfn.ANCHORARRAY(Sintesi!$C$16),1,$C137))*(INDEX(_xlfn.ANCHORARRAY(Sintesi!$C$15),1,$C137)&lt;0)+($E137&gt;=$E136)*($E137&lt;=INDEX($E:$E,MATCH(TRUE,INDEX((ISNUMBER($E:$E)),0),0)))*($E137&gt;INDEX(_xlfn.ANCHORARRAY(Sintesi!$C$15),1,$C137))*($E137&lt;INDEX(_xlfn.ANCHORARRAY(Sintesi!$C$16),1,$C137))*(INDEX(_xlfn.ANCHORARRAY(Sintesi!$C$15),1,$C137)&gt;0),2,IF($E137=(INDEX(_xlfn.ANCHORARRAY(Sintesi!$C$16),1,$C137)),3,4)))),0),IF($C137&gt;0,IF(($E137=INDEX(_xlfn.ANCHORARRAY(Sintesi!$C$14),1,$C137))*(INDEX(_xlfn.ANCHORARRAY(Sintesi!$C$15),1,$C137)&gt;0),0,IF(($E137=INDEX(_xlfn.ANCHORARRAY(Sintesi!$C$14),1,$C137))*(INDEX(_xlfn.ANCHORARRAY(Sintesi!$C$15),1,$C137)&lt;0)+($E137&gt;=LOOKUP(2,1/($E:$E&lt;&gt;""),$E:$E))*($E137&lt;=INDEX($E:$E,MATCH(TRUE,INDEX((ISNUMBER($E:$E)),0),0)))*($E137&gt;INDEX(_xlfn.ANCHORARRAY(Sintesi!$C$14),1,$C137))*($E137&lt;=INDEX(_xlfn.ANCHORARRAY(Sintesi!$C$15),1,$C137))*(INDEX(_xlfn.ANCHORARRAY(Sintesi!$C$15),1,$C137)&gt;0),1,IF(($E137&gt;=LOOKUP(2,1/($E:$E&lt;&gt;""),$E:$E))*($E137&lt;=INDEX($E:$E,MATCH(TRUE,INDEX((ISNUMBER($E:$E)),0),0)))*($E137&gt;INDEX(_xlfn.ANCHORARRAY(Sintesi!$C$14),1,$C137))*($E137&lt;INDEX(_xlfn.ANCHORARRAY(Sintesi!$C$16),1,$C137))*(INDEX(_xlfn.ANCHORARRAY(Sintesi!$C$15),1,$C137)&lt;0)+($E137&gt;=LOOKUP(2,1/($E:$E&lt;&gt;""),$E:$E))*($E137&lt;=INDEX($E:$E,MATCH(TRUE,INDEX((ISNUMBER($E:$E)),0),0)))*($E137&gt;INDEX(_xlfn.ANCHORARRAY(Sintesi!$C$15),1,$C137))*($E137&lt;INDEX(_xlfn.ANCHORARRAY(Sintesi!$C$16),1,$C137))*(INDEX(_xlfn.ANCHORARRAY(Sintesi!$C$15),1,$C137)&gt;0),2,IF($E137=(INDEX(_xlfn.ANCHORARRAY(Sintesi!$C$16),1,$C137)),3,4)))),0)),IF(ISNUMBER($E136),IF($C137&gt;0,IF(($E137=INDEX(_xlfn.ANCHORARRAY(Sintesi!$C$14),1,$C137))*(INDEX(_xlfn.ANCHORARRAY(Sintesi!$C$15),1,$C137)&gt;0),0,IF(($E137=INDEX(_xlfn.ANCHORARRAY(Sintesi!$C$14),1,$C137))*(INDEX(_xlfn.ANCHORARRAY(Sintesi!$C$15),1,$C137)&lt;0)+($E137&gt;=$E136)*($E137&lt;=$E138)*($E137&gt;INDEX(_xlfn.ANCHORARRAY(Sintesi!$C$14),1,$C137))*($E137&lt;=INDEX(_xlfn.ANCHORARRAY(Sintesi!$C$15),1,$C137))*(INDEX(_xlfn.ANCHORARRAY(Sintesi!$C$15),1,$C137)&gt;0),1,IF(($E137&gt;=$E136)*($E137&lt;=$E138)*($E137&gt;INDEX(_xlfn.ANCHORARRAY(Sintesi!$C$14),1,$C137))*($E137&lt;INDEX(_xlfn.ANCHORARRAY(Sintesi!$C$16),1,$C137))*(INDEX(_xlfn.ANCHORARRAY(Sintesi!$C$15),1,$C137)&lt;0)+($E137&gt;=$E136)*($E137&lt;=$E138)*($E137&gt;INDEX(_xlfn.ANCHORARRAY(Sintesi!$C$15),1,$C137))*($E137&lt;INDEX(_xlfn.ANCHORARRAY(Sintesi!$C$16),1,$C137))*(INDEX(_xlfn.ANCHORARRAY(Sintesi!$C$15),1,$C137)&gt;0),2,IF($E137=(INDEX(_xlfn.ANCHORARRAY(Sintesi!$C$16),1,$C137)),3,4)))),0),IF($C137&gt;0,IF(($E137=INDEX(_xlfn.ANCHORARRAY(Sintesi!$C$14),1,$C137))*(INDEX(_xlfn.ANCHORARRAY(Sintesi!$C$15),1,$C137)&gt;0),0,IF(($E137=INDEX(_xlfn.ANCHORARRAY(Sintesi!$C$14),1,$C137))*(INDEX(_xlfn.ANCHORARRAY(Sintesi!$C$15),1,$C137)&lt;0)+($E137&gt;=LOOKUP(2,1/($E:$E&lt;&gt;""),$E:$E))*($E137&lt;=$E138)*($E137&gt;INDEX(_xlfn.ANCHORARRAY(Sintesi!$C$14),1,$C137))*($E137&lt;=INDEX(_xlfn.ANCHORARRAY(Sintesi!$C$15),1,$C137))*(INDEX(_xlfn.ANCHORARRAY(Sintesi!$C$15),1,$C137)&gt;0),1,IF(($E137&gt;=LOOKUP(2,1/($E:$E&lt;&gt;""),$E:$E))*($E137&lt;=$E138)*($E137&gt;INDEX(_xlfn.ANCHORARRAY(Sintesi!$C$14),1,$C137))*($E137&lt;INDEX(_xlfn.ANCHORARRAY(Sintesi!$C$16),1,$C137))*(INDEX(_xlfn.ANCHORARRAY(Sintesi!$C$15),1,$C137)&lt;0)+($E137&gt;=LOOKUP(2,1/($E:$E&lt;&gt;""),$E:$E))*($E137&lt;=$E138)*($E137&gt;INDEX(_xlfn.ANCHORARRAY(Sintesi!$C$15),1,$C137))*($E137&lt;INDEX(_xlfn.ANCHORARRAY(Sintesi!$C$16),1,$C137))*(INDEX(_xlfn.ANCHORARRAY(Sintesi!$C$15),1,$C137)&gt;0),2,IF($E137=(INDEX(_xlfn.ANCHORARRAY(Sintesi!$C$16),1,$C137)),3,4)))),0)))</f>
        <v>2</v>
      </c>
      <c r="E137" s="1">
        <f>'Paste cell here'!F137</f>
        <v>0.192</v>
      </c>
      <c r="F137" s="1">
        <f>'Paste cell here'!C137</f>
        <v>18.939999999999728</v>
      </c>
      <c r="G137" s="1">
        <f>'Paste cell here'!D137</f>
        <v>10.299999999999841</v>
      </c>
      <c r="H137" s="1">
        <f>'Paste cell here'!E137</f>
        <v>1.7255141599141142</v>
      </c>
      <c r="I137" s="1">
        <f>'Paste cell here'!X137</f>
        <v>0.33128434481878183</v>
      </c>
      <c r="J137" s="1">
        <f>'Paste cell here'!Y137+'Paste cell here'!S137</f>
        <v>0.33128434481878183</v>
      </c>
      <c r="K137" s="1">
        <f t="shared" si="4"/>
        <v>0.19199166979613264</v>
      </c>
      <c r="L137" s="1">
        <f t="shared" si="5"/>
        <v>16.13546046835533</v>
      </c>
      <c r="M137" s="1">
        <f t="array" ref="M137">IF(AND(A137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137&gt;=_xlfn.ANCHORARRAY(Sintesi!$C$9))+(_xlfn.ANCHORARRAY(Sintesi!$C$9)&gt;_xlfn.ANCHORARRAY(Sintesi!$C$10))*(A137&lt;=_xlfn.ANCHORARRAY(Sintesi!$C$10))+(_xlfn.ANCHORARRAY(Sintesi!$C$9)&lt;_xlfn.ANCHORARRAY(Sintesi!$C$10))*(A137&gt;=_xlfn.ANCHORARRAY(Sintesi!$C$9))*(A137&lt;=_xlfn.ANCHORARRAY(Sintesi!$C$10)),0)),0),A137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138&gt;=_xlfn.ANCHORARRAY(Sintesi!$C$9))+(_xlfn.ANCHORARRAY(Sintesi!$C$9)&gt;_xlfn.ANCHORARRAY(Sintesi!$C$10))*(A138&lt;=_xlfn.ANCHORARRAY(Sintesi!$C$10))+(_xlfn.ANCHORARRAY(Sintesi!$C$9)&lt;_xlfn.ANCHORARRAY(Sintesi!$C$10))*(A138&gt;=_xlfn.ANCHORARRAY(Sintesi!$C$9))*(A138&lt;=_xlfn.ANCHORARRAY(Sintesi!$C$10)),0)),0)),IF(L137&lt;_xlfn.IFNA(INDEX(_xlfn.ANCHORARRAY(Sintesi!$C$17),1,MATCH(1,(_xlfn.ANCHORARRAY(Sintesi!$C$9)&gt;_xlfn.ANCHORARRAY(Sintesi!$C$10))*(A136&gt;=_xlfn.ANCHORARRAY(Sintesi!$C$9))+(_xlfn.ANCHORARRAY(Sintesi!$C$9)&gt;_xlfn.ANCHORARRAY(Sintesi!$C$10))*(A136&lt;=_xlfn.ANCHORARRAY(Sintesi!$C$10))+(_xlfn.ANCHORARRAY(Sintesi!$C$9)&lt;_xlfn.ANCHORARRAY(Sintesi!$C$10))*(A136&gt;=_xlfn.ANCHORARRAY(Sintesi!$C$9))*(A136&lt;=_xlfn.ANCHORARRAY(Sintesi!$C$10)),0)),0),1,IF(L137&gt;=_xlfn.IFNA(INDEX(_xlfn.ANCHORARRAY(Sintesi!$C$18),1,MATCH(1,(_xlfn.ANCHORARRAY(Sintesi!$C$9)&gt;_xlfn.ANCHORARRAY(Sintesi!$C$10))*(A136&gt;=_xlfn.ANCHORARRAY(Sintesi!$C$9))+(_xlfn.ANCHORARRAY(Sintesi!$C$9)&gt;_xlfn.ANCHORARRAY(Sintesi!$C$10))*(A136&lt;=_xlfn.ANCHORARRAY(Sintesi!$C$10))+(_xlfn.ANCHORARRAY(Sintesi!$C$9)&lt;_xlfn.ANCHORARRAY(Sintesi!$C$10))*(A136&gt;=_xlfn.ANCHORARRAY(Sintesi!$C$9))*(A136&lt;=_xlfn.ANCHORARRAY(Sintesi!$C$10)),0)),0),0,1-(L137-_xlfn.IFNA(INDEX(_xlfn.ANCHORARRAY(Sintesi!$C$17),1,MATCH(1,(_xlfn.ANCHORARRAY(Sintesi!$C$9)&gt;_xlfn.ANCHORARRAY(Sintesi!$C$10))*(A136&gt;=_xlfn.ANCHORARRAY(Sintesi!$C$9))+(_xlfn.ANCHORARRAY(Sintesi!$C$9)&gt;_xlfn.ANCHORARRAY(Sintesi!$C$10))*(A136&lt;=_xlfn.ANCHORARRAY(Sintesi!$C$10))+(_xlfn.ANCHORARRAY(Sintesi!$C$9)&lt;_xlfn.ANCHORARRAY(Sintesi!$C$10))*(A136&gt;=_xlfn.ANCHORARRAY(Sintesi!$C$9))*(A136&lt;=_xlfn.ANCHORARRAY(Sintesi!$C$10)),0)),0))/(_xlfn.IFNA(INDEX(_xlfn.ANCHORARRAY(Sintesi!$C$18),1,MATCH(1,(_xlfn.ANCHORARRAY(Sintesi!$C$9)&gt;_xlfn.ANCHORARRAY(Sintesi!$C$10))*(A136&gt;=_xlfn.ANCHORARRAY(Sintesi!$C$9))+(_xlfn.ANCHORARRAY(Sintesi!$C$9)&gt;_xlfn.ANCHORARRAY(Sintesi!$C$10))*(A136&lt;=_xlfn.ANCHORARRAY(Sintesi!$C$10))+(_xlfn.ANCHORARRAY(Sintesi!$C$9)&lt;_xlfn.ANCHORARRAY(Sintesi!$C$10))*(A136&gt;=_xlfn.ANCHORARRAY(Sintesi!$C$9))*(A136&lt;=_xlfn.ANCHORARRAY(Sintesi!$C$10)),0)),0)-_xlfn.IFNA(INDEX(_xlfn.ANCHORARRAY(Sintesi!$C$17),1,MATCH(1,(_xlfn.ANCHORARRAY(Sintesi!$C$9)&gt;_xlfn.ANCHORARRAY(Sintesi!$C$10))*(A136&gt;=_xlfn.ANCHORARRAY(Sintesi!$C$9))+(_xlfn.ANCHORARRAY(Sintesi!$C$9)&gt;_xlfn.ANCHORARRAY(Sintesi!$C$10))*(A136&lt;=_xlfn.ANCHORARRAY(Sintesi!$C$10))+(_xlfn.ANCHORARRAY(Sintesi!$C$9)&lt;_xlfn.ANCHORARRAY(Sintesi!$C$10))*(A136&gt;=_xlfn.ANCHORARRAY(Sintesi!$C$9))*(A136&lt;=_xlfn.ANCHORARRAY(Sintesi!$C$10)),0)),0)))),0)</f>
        <v>0</v>
      </c>
    </row>
    <row r="138" spans="1:13">
      <c r="A138" s="1">
        <f>'Paste cell here'!A138</f>
        <v>137</v>
      </c>
      <c r="B138" s="2">
        <f>DATE(Sintesi!$C$4-1,12,31)+A138</f>
        <v>44333</v>
      </c>
      <c r="C138" s="34">
        <f t="array" ref="C138">_xlfn.IFNA(MATCH(1,((_xlfn.ANCHORARRAY(Sintesi!$C$9)&gt;_xlfn.ANCHORARRAY(Sintesi!$C$10))*(A138&gt;=_xlfn.ANCHORARRAY(Sintesi!$C$9))+(_xlfn.ANCHORARRAY(Sintesi!$C$9)&gt;_xlfn.ANCHORARRAY(Sintesi!$C$10))*(A138&lt;=_xlfn.ANCHORARRAY(Sintesi!$C$10))+(_xlfn.ANCHORARRAY(Sintesi!$C$9)&lt;_xlfn.ANCHORARRAY(Sintesi!$C$10))*(A138&gt;=_xlfn.ANCHORARRAY(Sintesi!$C$9))*(A138&lt;=_xlfn.ANCHORARRAY(Sintesi!$C$10)))*(_xlfn.ANCHORARRAY(Sintesi!$C$15)&gt;=0)+(_xlfn.ANCHORARRAY(Sintesi!$C$15)&lt;0),0),0)</f>
        <v>1</v>
      </c>
      <c r="D138" s="1">
        <f t="array" ref="D138">IF(ISBLANK($E139),IF(ISNUMBER($E137),IF($C138&gt;0,IF(($E138=INDEX(_xlfn.ANCHORARRAY(Sintesi!$C$14),1,$C138))*(INDEX(_xlfn.ANCHORARRAY(Sintesi!$C$15),1,$C138)&gt;0),0,IF(($E138=INDEX(_xlfn.ANCHORARRAY(Sintesi!$C$14),1,$C138))*(INDEX(_xlfn.ANCHORARRAY(Sintesi!$C$15),1,$C138)&lt;0)+($E138&gt;=$E137)*($E138&lt;=INDEX($E:$E,MATCH(TRUE,INDEX((ISNUMBER($E:$E)),0),0)))*($E138&gt;INDEX(_xlfn.ANCHORARRAY(Sintesi!$C$14),1,$C138))*($E138&lt;=INDEX(_xlfn.ANCHORARRAY(Sintesi!$C$15),1,$C138))*(INDEX(_xlfn.ANCHORARRAY(Sintesi!$C$15),1,$C138)&gt;0),1,IF(($E138&gt;=$E137)*($E138&lt;=INDEX($E:$E,MATCH(TRUE,INDEX((ISNUMBER($E:$E)),0),0)))*($E138&gt;INDEX(_xlfn.ANCHORARRAY(Sintesi!$C$14),1,$C138))*($E138&lt;INDEX(_xlfn.ANCHORARRAY(Sintesi!$C$16),1,$C138))*(INDEX(_xlfn.ANCHORARRAY(Sintesi!$C$15),1,$C138)&lt;0)+($E138&gt;=$E137)*($E138&lt;=INDEX($E:$E,MATCH(TRUE,INDEX((ISNUMBER($E:$E)),0),0)))*($E138&gt;INDEX(_xlfn.ANCHORARRAY(Sintesi!$C$15),1,$C138))*($E138&lt;INDEX(_xlfn.ANCHORARRAY(Sintesi!$C$16),1,$C138))*(INDEX(_xlfn.ANCHORARRAY(Sintesi!$C$15),1,$C138)&gt;0),2,IF($E138=(INDEX(_xlfn.ANCHORARRAY(Sintesi!$C$16),1,$C138)),3,4)))),0),IF($C138&gt;0,IF(($E138=INDEX(_xlfn.ANCHORARRAY(Sintesi!$C$14),1,$C138))*(INDEX(_xlfn.ANCHORARRAY(Sintesi!$C$15),1,$C138)&gt;0),0,IF(($E138=INDEX(_xlfn.ANCHORARRAY(Sintesi!$C$14),1,$C138))*(INDEX(_xlfn.ANCHORARRAY(Sintesi!$C$15),1,$C138)&lt;0)+($E138&gt;=LOOKUP(2,1/($E:$E&lt;&gt;""),$E:$E))*($E138&lt;=INDEX($E:$E,MATCH(TRUE,INDEX((ISNUMBER($E:$E)),0),0)))*($E138&gt;INDEX(_xlfn.ANCHORARRAY(Sintesi!$C$14),1,$C138))*($E138&lt;=INDEX(_xlfn.ANCHORARRAY(Sintesi!$C$15),1,$C138))*(INDEX(_xlfn.ANCHORARRAY(Sintesi!$C$15),1,$C138)&gt;0),1,IF(($E138&gt;=LOOKUP(2,1/($E:$E&lt;&gt;""),$E:$E))*($E138&lt;=INDEX($E:$E,MATCH(TRUE,INDEX((ISNUMBER($E:$E)),0),0)))*($E138&gt;INDEX(_xlfn.ANCHORARRAY(Sintesi!$C$14),1,$C138))*($E138&lt;INDEX(_xlfn.ANCHORARRAY(Sintesi!$C$16),1,$C138))*(INDEX(_xlfn.ANCHORARRAY(Sintesi!$C$15),1,$C138)&lt;0)+($E138&gt;=LOOKUP(2,1/($E:$E&lt;&gt;""),$E:$E))*($E138&lt;=INDEX($E:$E,MATCH(TRUE,INDEX((ISNUMBER($E:$E)),0),0)))*($E138&gt;INDEX(_xlfn.ANCHORARRAY(Sintesi!$C$15),1,$C138))*($E138&lt;INDEX(_xlfn.ANCHORARRAY(Sintesi!$C$16),1,$C138))*(INDEX(_xlfn.ANCHORARRAY(Sintesi!$C$15),1,$C138)&gt;0),2,IF($E138=(INDEX(_xlfn.ANCHORARRAY(Sintesi!$C$16),1,$C138)),3,4)))),0)),IF(ISNUMBER($E137),IF($C138&gt;0,IF(($E138=INDEX(_xlfn.ANCHORARRAY(Sintesi!$C$14),1,$C138))*(INDEX(_xlfn.ANCHORARRAY(Sintesi!$C$15),1,$C138)&gt;0),0,IF(($E138=INDEX(_xlfn.ANCHORARRAY(Sintesi!$C$14),1,$C138))*(INDEX(_xlfn.ANCHORARRAY(Sintesi!$C$15),1,$C138)&lt;0)+($E138&gt;=$E137)*($E138&lt;=$E139)*($E138&gt;INDEX(_xlfn.ANCHORARRAY(Sintesi!$C$14),1,$C138))*($E138&lt;=INDEX(_xlfn.ANCHORARRAY(Sintesi!$C$15),1,$C138))*(INDEX(_xlfn.ANCHORARRAY(Sintesi!$C$15),1,$C138)&gt;0),1,IF(($E138&gt;=$E137)*($E138&lt;=$E139)*($E138&gt;INDEX(_xlfn.ANCHORARRAY(Sintesi!$C$14),1,$C138))*($E138&lt;INDEX(_xlfn.ANCHORARRAY(Sintesi!$C$16),1,$C138))*(INDEX(_xlfn.ANCHORARRAY(Sintesi!$C$15),1,$C138)&lt;0)+($E138&gt;=$E137)*($E138&lt;=$E139)*($E138&gt;INDEX(_xlfn.ANCHORARRAY(Sintesi!$C$15),1,$C138))*($E138&lt;INDEX(_xlfn.ANCHORARRAY(Sintesi!$C$16),1,$C138))*(INDEX(_xlfn.ANCHORARRAY(Sintesi!$C$15),1,$C138)&gt;0),2,IF($E138=(INDEX(_xlfn.ANCHORARRAY(Sintesi!$C$16),1,$C138)),3,4)))),0),IF($C138&gt;0,IF(($E138=INDEX(_xlfn.ANCHORARRAY(Sintesi!$C$14),1,$C138))*(INDEX(_xlfn.ANCHORARRAY(Sintesi!$C$15),1,$C138)&gt;0),0,IF(($E138=INDEX(_xlfn.ANCHORARRAY(Sintesi!$C$14),1,$C138))*(INDEX(_xlfn.ANCHORARRAY(Sintesi!$C$15),1,$C138)&lt;0)+($E138&gt;=LOOKUP(2,1/($E:$E&lt;&gt;""),$E:$E))*($E138&lt;=$E139)*($E138&gt;INDEX(_xlfn.ANCHORARRAY(Sintesi!$C$14),1,$C138))*($E138&lt;=INDEX(_xlfn.ANCHORARRAY(Sintesi!$C$15),1,$C138))*(INDEX(_xlfn.ANCHORARRAY(Sintesi!$C$15),1,$C138)&gt;0),1,IF(($E138&gt;=LOOKUP(2,1/($E:$E&lt;&gt;""),$E:$E))*($E138&lt;=$E139)*($E138&gt;INDEX(_xlfn.ANCHORARRAY(Sintesi!$C$14),1,$C138))*($E138&lt;INDEX(_xlfn.ANCHORARRAY(Sintesi!$C$16),1,$C138))*(INDEX(_xlfn.ANCHORARRAY(Sintesi!$C$15),1,$C138)&lt;0)+($E138&gt;=LOOKUP(2,1/($E:$E&lt;&gt;""),$E:$E))*($E138&lt;=$E139)*($E138&gt;INDEX(_xlfn.ANCHORARRAY(Sintesi!$C$15),1,$C138))*($E138&lt;INDEX(_xlfn.ANCHORARRAY(Sintesi!$C$16),1,$C138))*(INDEX(_xlfn.ANCHORARRAY(Sintesi!$C$15),1,$C138)&gt;0),2,IF($E138=(INDEX(_xlfn.ANCHORARRAY(Sintesi!$C$16),1,$C138)),3,4)))),0)))</f>
        <v>2</v>
      </c>
      <c r="E138" s="1">
        <f>'Paste cell here'!F138</f>
        <v>0.21299999999999999</v>
      </c>
      <c r="F138" s="1">
        <f>'Paste cell here'!C138</f>
        <v>24.379999999999647</v>
      </c>
      <c r="G138" s="1">
        <f>'Paste cell here'!D138</f>
        <v>11.239999999999835</v>
      </c>
      <c r="H138" s="1">
        <f>'Paste cell here'!E138</f>
        <v>4.8214562417718794</v>
      </c>
      <c r="I138" s="1">
        <f>'Paste cell here'!X138</f>
        <v>1.026923563644333</v>
      </c>
      <c r="J138" s="1">
        <f>'Paste cell here'!Y138+'Paste cell here'!S138</f>
        <v>1.026923563644333</v>
      </c>
      <c r="K138" s="1">
        <f t="shared" si="4"/>
        <v>0.21299033158225653</v>
      </c>
      <c r="L138" s="1">
        <f t="shared" si="5"/>
        <v>20.114762795623797</v>
      </c>
      <c r="M138" s="1">
        <f t="array" ref="M138">IF(AND(A138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138&gt;=_xlfn.ANCHORARRAY(Sintesi!$C$9))+(_xlfn.ANCHORARRAY(Sintesi!$C$9)&gt;_xlfn.ANCHORARRAY(Sintesi!$C$10))*(A138&lt;=_xlfn.ANCHORARRAY(Sintesi!$C$10))+(_xlfn.ANCHORARRAY(Sintesi!$C$9)&lt;_xlfn.ANCHORARRAY(Sintesi!$C$10))*(A138&gt;=_xlfn.ANCHORARRAY(Sintesi!$C$9))*(A138&lt;=_xlfn.ANCHORARRAY(Sintesi!$C$10)),0)),0),A138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139&gt;=_xlfn.ANCHORARRAY(Sintesi!$C$9))+(_xlfn.ANCHORARRAY(Sintesi!$C$9)&gt;_xlfn.ANCHORARRAY(Sintesi!$C$10))*(A139&lt;=_xlfn.ANCHORARRAY(Sintesi!$C$10))+(_xlfn.ANCHORARRAY(Sintesi!$C$9)&lt;_xlfn.ANCHORARRAY(Sintesi!$C$10))*(A139&gt;=_xlfn.ANCHORARRAY(Sintesi!$C$9))*(A139&lt;=_xlfn.ANCHORARRAY(Sintesi!$C$10)),0)),0)),IF(L138&lt;_xlfn.IFNA(INDEX(_xlfn.ANCHORARRAY(Sintesi!$C$17),1,MATCH(1,(_xlfn.ANCHORARRAY(Sintesi!$C$9)&gt;_xlfn.ANCHORARRAY(Sintesi!$C$10))*(A137&gt;=_xlfn.ANCHORARRAY(Sintesi!$C$9))+(_xlfn.ANCHORARRAY(Sintesi!$C$9)&gt;_xlfn.ANCHORARRAY(Sintesi!$C$10))*(A137&lt;=_xlfn.ANCHORARRAY(Sintesi!$C$10))+(_xlfn.ANCHORARRAY(Sintesi!$C$9)&lt;_xlfn.ANCHORARRAY(Sintesi!$C$10))*(A137&gt;=_xlfn.ANCHORARRAY(Sintesi!$C$9))*(A137&lt;=_xlfn.ANCHORARRAY(Sintesi!$C$10)),0)),0),1,IF(L138&gt;=_xlfn.IFNA(INDEX(_xlfn.ANCHORARRAY(Sintesi!$C$18),1,MATCH(1,(_xlfn.ANCHORARRAY(Sintesi!$C$9)&gt;_xlfn.ANCHORARRAY(Sintesi!$C$10))*(A137&gt;=_xlfn.ANCHORARRAY(Sintesi!$C$9))+(_xlfn.ANCHORARRAY(Sintesi!$C$9)&gt;_xlfn.ANCHORARRAY(Sintesi!$C$10))*(A137&lt;=_xlfn.ANCHORARRAY(Sintesi!$C$10))+(_xlfn.ANCHORARRAY(Sintesi!$C$9)&lt;_xlfn.ANCHORARRAY(Sintesi!$C$10))*(A137&gt;=_xlfn.ANCHORARRAY(Sintesi!$C$9))*(A137&lt;=_xlfn.ANCHORARRAY(Sintesi!$C$10)),0)),0),0,1-(L138-_xlfn.IFNA(INDEX(_xlfn.ANCHORARRAY(Sintesi!$C$17),1,MATCH(1,(_xlfn.ANCHORARRAY(Sintesi!$C$9)&gt;_xlfn.ANCHORARRAY(Sintesi!$C$10))*(A137&gt;=_xlfn.ANCHORARRAY(Sintesi!$C$9))+(_xlfn.ANCHORARRAY(Sintesi!$C$9)&gt;_xlfn.ANCHORARRAY(Sintesi!$C$10))*(A137&lt;=_xlfn.ANCHORARRAY(Sintesi!$C$10))+(_xlfn.ANCHORARRAY(Sintesi!$C$9)&lt;_xlfn.ANCHORARRAY(Sintesi!$C$10))*(A137&gt;=_xlfn.ANCHORARRAY(Sintesi!$C$9))*(A137&lt;=_xlfn.ANCHORARRAY(Sintesi!$C$10)),0)),0))/(_xlfn.IFNA(INDEX(_xlfn.ANCHORARRAY(Sintesi!$C$18),1,MATCH(1,(_xlfn.ANCHORARRAY(Sintesi!$C$9)&gt;_xlfn.ANCHORARRAY(Sintesi!$C$10))*(A137&gt;=_xlfn.ANCHORARRAY(Sintesi!$C$9))+(_xlfn.ANCHORARRAY(Sintesi!$C$9)&gt;_xlfn.ANCHORARRAY(Sintesi!$C$10))*(A137&lt;=_xlfn.ANCHORARRAY(Sintesi!$C$10))+(_xlfn.ANCHORARRAY(Sintesi!$C$9)&lt;_xlfn.ANCHORARRAY(Sintesi!$C$10))*(A137&gt;=_xlfn.ANCHORARRAY(Sintesi!$C$9))*(A137&lt;=_xlfn.ANCHORARRAY(Sintesi!$C$10)),0)),0)-_xlfn.IFNA(INDEX(_xlfn.ANCHORARRAY(Sintesi!$C$17),1,MATCH(1,(_xlfn.ANCHORARRAY(Sintesi!$C$9)&gt;_xlfn.ANCHORARRAY(Sintesi!$C$10))*(A137&gt;=_xlfn.ANCHORARRAY(Sintesi!$C$9))+(_xlfn.ANCHORARRAY(Sintesi!$C$9)&gt;_xlfn.ANCHORARRAY(Sintesi!$C$10))*(A137&lt;=_xlfn.ANCHORARRAY(Sintesi!$C$10))+(_xlfn.ANCHORARRAY(Sintesi!$C$9)&lt;_xlfn.ANCHORARRAY(Sintesi!$C$10))*(A137&gt;=_xlfn.ANCHORARRAY(Sintesi!$C$9))*(A137&lt;=_xlfn.ANCHORARRAY(Sintesi!$C$10)),0)),0)))),0)</f>
        <v>0</v>
      </c>
    </row>
    <row r="139" spans="1:13">
      <c r="A139" s="1">
        <f>'Paste cell here'!A139</f>
        <v>138</v>
      </c>
      <c r="B139" s="2">
        <f>DATE(Sintesi!$C$4-1,12,31)+A139</f>
        <v>44334</v>
      </c>
      <c r="C139" s="34">
        <f t="array" ref="C139">_xlfn.IFNA(MATCH(1,((_xlfn.ANCHORARRAY(Sintesi!$C$9)&gt;_xlfn.ANCHORARRAY(Sintesi!$C$10))*(A139&gt;=_xlfn.ANCHORARRAY(Sintesi!$C$9))+(_xlfn.ANCHORARRAY(Sintesi!$C$9)&gt;_xlfn.ANCHORARRAY(Sintesi!$C$10))*(A139&lt;=_xlfn.ANCHORARRAY(Sintesi!$C$10))+(_xlfn.ANCHORARRAY(Sintesi!$C$9)&lt;_xlfn.ANCHORARRAY(Sintesi!$C$10))*(A139&gt;=_xlfn.ANCHORARRAY(Sintesi!$C$9))*(A139&lt;=_xlfn.ANCHORARRAY(Sintesi!$C$10)))*(_xlfn.ANCHORARRAY(Sintesi!$C$15)&gt;=0)+(_xlfn.ANCHORARRAY(Sintesi!$C$15)&lt;0),0),0)</f>
        <v>1</v>
      </c>
      <c r="D139" s="1">
        <f t="array" ref="D139">IF(ISBLANK($E140),IF(ISNUMBER($E138),IF($C139&gt;0,IF(($E139=INDEX(_xlfn.ANCHORARRAY(Sintesi!$C$14),1,$C139))*(INDEX(_xlfn.ANCHORARRAY(Sintesi!$C$15),1,$C139)&gt;0),0,IF(($E139=INDEX(_xlfn.ANCHORARRAY(Sintesi!$C$14),1,$C139))*(INDEX(_xlfn.ANCHORARRAY(Sintesi!$C$15),1,$C139)&lt;0)+($E139&gt;=$E138)*($E139&lt;=INDEX($E:$E,MATCH(TRUE,INDEX((ISNUMBER($E:$E)),0),0)))*($E139&gt;INDEX(_xlfn.ANCHORARRAY(Sintesi!$C$14),1,$C139))*($E139&lt;=INDEX(_xlfn.ANCHORARRAY(Sintesi!$C$15),1,$C139))*(INDEX(_xlfn.ANCHORARRAY(Sintesi!$C$15),1,$C139)&gt;0),1,IF(($E139&gt;=$E138)*($E139&lt;=INDEX($E:$E,MATCH(TRUE,INDEX((ISNUMBER($E:$E)),0),0)))*($E139&gt;INDEX(_xlfn.ANCHORARRAY(Sintesi!$C$14),1,$C139))*($E139&lt;INDEX(_xlfn.ANCHORARRAY(Sintesi!$C$16),1,$C139))*(INDEX(_xlfn.ANCHORARRAY(Sintesi!$C$15),1,$C139)&lt;0)+($E139&gt;=$E138)*($E139&lt;=INDEX($E:$E,MATCH(TRUE,INDEX((ISNUMBER($E:$E)),0),0)))*($E139&gt;INDEX(_xlfn.ANCHORARRAY(Sintesi!$C$15),1,$C139))*($E139&lt;INDEX(_xlfn.ANCHORARRAY(Sintesi!$C$16),1,$C139))*(INDEX(_xlfn.ANCHORARRAY(Sintesi!$C$15),1,$C139)&gt;0),2,IF($E139=(INDEX(_xlfn.ANCHORARRAY(Sintesi!$C$16),1,$C139)),3,4)))),0),IF($C139&gt;0,IF(($E139=INDEX(_xlfn.ANCHORARRAY(Sintesi!$C$14),1,$C139))*(INDEX(_xlfn.ANCHORARRAY(Sintesi!$C$15),1,$C139)&gt;0),0,IF(($E139=INDEX(_xlfn.ANCHORARRAY(Sintesi!$C$14),1,$C139))*(INDEX(_xlfn.ANCHORARRAY(Sintesi!$C$15),1,$C139)&lt;0)+($E139&gt;=LOOKUP(2,1/($E:$E&lt;&gt;""),$E:$E))*($E139&lt;=INDEX($E:$E,MATCH(TRUE,INDEX((ISNUMBER($E:$E)),0),0)))*($E139&gt;INDEX(_xlfn.ANCHORARRAY(Sintesi!$C$14),1,$C139))*($E139&lt;=INDEX(_xlfn.ANCHORARRAY(Sintesi!$C$15),1,$C139))*(INDEX(_xlfn.ANCHORARRAY(Sintesi!$C$15),1,$C139)&gt;0),1,IF(($E139&gt;=LOOKUP(2,1/($E:$E&lt;&gt;""),$E:$E))*($E139&lt;=INDEX($E:$E,MATCH(TRUE,INDEX((ISNUMBER($E:$E)),0),0)))*($E139&gt;INDEX(_xlfn.ANCHORARRAY(Sintesi!$C$14),1,$C139))*($E139&lt;INDEX(_xlfn.ANCHORARRAY(Sintesi!$C$16),1,$C139))*(INDEX(_xlfn.ANCHORARRAY(Sintesi!$C$15),1,$C139)&lt;0)+($E139&gt;=LOOKUP(2,1/($E:$E&lt;&gt;""),$E:$E))*($E139&lt;=INDEX($E:$E,MATCH(TRUE,INDEX((ISNUMBER($E:$E)),0),0)))*($E139&gt;INDEX(_xlfn.ANCHORARRAY(Sintesi!$C$15),1,$C139))*($E139&lt;INDEX(_xlfn.ANCHORARRAY(Sintesi!$C$16),1,$C139))*(INDEX(_xlfn.ANCHORARRAY(Sintesi!$C$15),1,$C139)&gt;0),2,IF($E139=(INDEX(_xlfn.ANCHORARRAY(Sintesi!$C$16),1,$C139)),3,4)))),0)),IF(ISNUMBER($E138),IF($C139&gt;0,IF(($E139=INDEX(_xlfn.ANCHORARRAY(Sintesi!$C$14),1,$C139))*(INDEX(_xlfn.ANCHORARRAY(Sintesi!$C$15),1,$C139)&gt;0),0,IF(($E139=INDEX(_xlfn.ANCHORARRAY(Sintesi!$C$14),1,$C139))*(INDEX(_xlfn.ANCHORARRAY(Sintesi!$C$15),1,$C139)&lt;0)+($E139&gt;=$E138)*($E139&lt;=$E140)*($E139&gt;INDEX(_xlfn.ANCHORARRAY(Sintesi!$C$14),1,$C139))*($E139&lt;=INDEX(_xlfn.ANCHORARRAY(Sintesi!$C$15),1,$C139))*(INDEX(_xlfn.ANCHORARRAY(Sintesi!$C$15),1,$C139)&gt;0),1,IF(($E139&gt;=$E138)*($E139&lt;=$E140)*($E139&gt;INDEX(_xlfn.ANCHORARRAY(Sintesi!$C$14),1,$C139))*($E139&lt;INDEX(_xlfn.ANCHORARRAY(Sintesi!$C$16),1,$C139))*(INDEX(_xlfn.ANCHORARRAY(Sintesi!$C$15),1,$C139)&lt;0)+($E139&gt;=$E138)*($E139&lt;=$E140)*($E139&gt;INDEX(_xlfn.ANCHORARRAY(Sintesi!$C$15),1,$C139))*($E139&lt;INDEX(_xlfn.ANCHORARRAY(Sintesi!$C$16),1,$C139))*(INDEX(_xlfn.ANCHORARRAY(Sintesi!$C$15),1,$C139)&gt;0),2,IF($E139=(INDEX(_xlfn.ANCHORARRAY(Sintesi!$C$16),1,$C139)),3,4)))),0),IF($C139&gt;0,IF(($E139=INDEX(_xlfn.ANCHORARRAY(Sintesi!$C$14),1,$C139))*(INDEX(_xlfn.ANCHORARRAY(Sintesi!$C$15),1,$C139)&gt;0),0,IF(($E139=INDEX(_xlfn.ANCHORARRAY(Sintesi!$C$14),1,$C139))*(INDEX(_xlfn.ANCHORARRAY(Sintesi!$C$15),1,$C139)&lt;0)+($E139&gt;=LOOKUP(2,1/($E:$E&lt;&gt;""),$E:$E))*($E139&lt;=$E140)*($E139&gt;INDEX(_xlfn.ANCHORARRAY(Sintesi!$C$14),1,$C139))*($E139&lt;=INDEX(_xlfn.ANCHORARRAY(Sintesi!$C$15),1,$C139))*(INDEX(_xlfn.ANCHORARRAY(Sintesi!$C$15),1,$C139)&gt;0),1,IF(($E139&gt;=LOOKUP(2,1/($E:$E&lt;&gt;""),$E:$E))*($E139&lt;=$E140)*($E139&gt;INDEX(_xlfn.ANCHORARRAY(Sintesi!$C$14),1,$C139))*($E139&lt;INDEX(_xlfn.ANCHORARRAY(Sintesi!$C$16),1,$C139))*(INDEX(_xlfn.ANCHORARRAY(Sintesi!$C$15),1,$C139)&lt;0)+($E139&gt;=LOOKUP(2,1/($E:$E&lt;&gt;""),$E:$E))*($E139&lt;=$E140)*($E139&gt;INDEX(_xlfn.ANCHORARRAY(Sintesi!$C$15),1,$C139))*($E139&lt;INDEX(_xlfn.ANCHORARRAY(Sintesi!$C$16),1,$C139))*(INDEX(_xlfn.ANCHORARRAY(Sintesi!$C$15),1,$C139)&gt;0),2,IF($E139=(INDEX(_xlfn.ANCHORARRAY(Sintesi!$C$16),1,$C139)),3,4)))),0)))</f>
        <v>2</v>
      </c>
      <c r="E139" s="1">
        <f>'Paste cell here'!F139</f>
        <v>0.23300000000000001</v>
      </c>
      <c r="F139" s="1">
        <f>'Paste cell here'!C139</f>
        <v>25.159999999999634</v>
      </c>
      <c r="G139" s="1">
        <f>'Paste cell here'!D139</f>
        <v>7.9999999999998952</v>
      </c>
      <c r="H139" s="1">
        <f>'Paste cell here'!E139</f>
        <v>4.469992519734153</v>
      </c>
      <c r="I139" s="1">
        <f>'Paste cell here'!X139</f>
        <v>1.0414588575993857</v>
      </c>
      <c r="J139" s="1">
        <f>'Paste cell here'!Y139+'Paste cell here'!S139</f>
        <v>1.0414588575993857</v>
      </c>
      <c r="K139" s="1">
        <f t="shared" si="4"/>
        <v>0.23298894863952146</v>
      </c>
      <c r="L139" s="1">
        <f t="shared" si="5"/>
        <v>19.589872874650357</v>
      </c>
      <c r="M139" s="1">
        <f t="array" ref="M139">IF(AND(A139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139&gt;=_xlfn.ANCHORARRAY(Sintesi!$C$9))+(_xlfn.ANCHORARRAY(Sintesi!$C$9)&gt;_xlfn.ANCHORARRAY(Sintesi!$C$10))*(A139&lt;=_xlfn.ANCHORARRAY(Sintesi!$C$10))+(_xlfn.ANCHORARRAY(Sintesi!$C$9)&lt;_xlfn.ANCHORARRAY(Sintesi!$C$10))*(A139&gt;=_xlfn.ANCHORARRAY(Sintesi!$C$9))*(A139&lt;=_xlfn.ANCHORARRAY(Sintesi!$C$10)),0)),0),A139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140&gt;=_xlfn.ANCHORARRAY(Sintesi!$C$9))+(_xlfn.ANCHORARRAY(Sintesi!$C$9)&gt;_xlfn.ANCHORARRAY(Sintesi!$C$10))*(A140&lt;=_xlfn.ANCHORARRAY(Sintesi!$C$10))+(_xlfn.ANCHORARRAY(Sintesi!$C$9)&lt;_xlfn.ANCHORARRAY(Sintesi!$C$10))*(A140&gt;=_xlfn.ANCHORARRAY(Sintesi!$C$9))*(A140&lt;=_xlfn.ANCHORARRAY(Sintesi!$C$10)),0)),0)),IF(L139&lt;_xlfn.IFNA(INDEX(_xlfn.ANCHORARRAY(Sintesi!$C$17),1,MATCH(1,(_xlfn.ANCHORARRAY(Sintesi!$C$9)&gt;_xlfn.ANCHORARRAY(Sintesi!$C$10))*(A138&gt;=_xlfn.ANCHORARRAY(Sintesi!$C$9))+(_xlfn.ANCHORARRAY(Sintesi!$C$9)&gt;_xlfn.ANCHORARRAY(Sintesi!$C$10))*(A138&lt;=_xlfn.ANCHORARRAY(Sintesi!$C$10))+(_xlfn.ANCHORARRAY(Sintesi!$C$9)&lt;_xlfn.ANCHORARRAY(Sintesi!$C$10))*(A138&gt;=_xlfn.ANCHORARRAY(Sintesi!$C$9))*(A138&lt;=_xlfn.ANCHORARRAY(Sintesi!$C$10)),0)),0),1,IF(L139&gt;=_xlfn.IFNA(INDEX(_xlfn.ANCHORARRAY(Sintesi!$C$18),1,MATCH(1,(_xlfn.ANCHORARRAY(Sintesi!$C$9)&gt;_xlfn.ANCHORARRAY(Sintesi!$C$10))*(A138&gt;=_xlfn.ANCHORARRAY(Sintesi!$C$9))+(_xlfn.ANCHORARRAY(Sintesi!$C$9)&gt;_xlfn.ANCHORARRAY(Sintesi!$C$10))*(A138&lt;=_xlfn.ANCHORARRAY(Sintesi!$C$10))+(_xlfn.ANCHORARRAY(Sintesi!$C$9)&lt;_xlfn.ANCHORARRAY(Sintesi!$C$10))*(A138&gt;=_xlfn.ANCHORARRAY(Sintesi!$C$9))*(A138&lt;=_xlfn.ANCHORARRAY(Sintesi!$C$10)),0)),0),0,1-(L139-_xlfn.IFNA(INDEX(_xlfn.ANCHORARRAY(Sintesi!$C$17),1,MATCH(1,(_xlfn.ANCHORARRAY(Sintesi!$C$9)&gt;_xlfn.ANCHORARRAY(Sintesi!$C$10))*(A138&gt;=_xlfn.ANCHORARRAY(Sintesi!$C$9))+(_xlfn.ANCHORARRAY(Sintesi!$C$9)&gt;_xlfn.ANCHORARRAY(Sintesi!$C$10))*(A138&lt;=_xlfn.ANCHORARRAY(Sintesi!$C$10))+(_xlfn.ANCHORARRAY(Sintesi!$C$9)&lt;_xlfn.ANCHORARRAY(Sintesi!$C$10))*(A138&gt;=_xlfn.ANCHORARRAY(Sintesi!$C$9))*(A138&lt;=_xlfn.ANCHORARRAY(Sintesi!$C$10)),0)),0))/(_xlfn.IFNA(INDEX(_xlfn.ANCHORARRAY(Sintesi!$C$18),1,MATCH(1,(_xlfn.ANCHORARRAY(Sintesi!$C$9)&gt;_xlfn.ANCHORARRAY(Sintesi!$C$10))*(A138&gt;=_xlfn.ANCHORARRAY(Sintesi!$C$9))+(_xlfn.ANCHORARRAY(Sintesi!$C$9)&gt;_xlfn.ANCHORARRAY(Sintesi!$C$10))*(A138&lt;=_xlfn.ANCHORARRAY(Sintesi!$C$10))+(_xlfn.ANCHORARRAY(Sintesi!$C$9)&lt;_xlfn.ANCHORARRAY(Sintesi!$C$10))*(A138&gt;=_xlfn.ANCHORARRAY(Sintesi!$C$9))*(A138&lt;=_xlfn.ANCHORARRAY(Sintesi!$C$10)),0)),0)-_xlfn.IFNA(INDEX(_xlfn.ANCHORARRAY(Sintesi!$C$17),1,MATCH(1,(_xlfn.ANCHORARRAY(Sintesi!$C$9)&gt;_xlfn.ANCHORARRAY(Sintesi!$C$10))*(A138&gt;=_xlfn.ANCHORARRAY(Sintesi!$C$9))+(_xlfn.ANCHORARRAY(Sintesi!$C$9)&gt;_xlfn.ANCHORARRAY(Sintesi!$C$10))*(A138&lt;=_xlfn.ANCHORARRAY(Sintesi!$C$10))+(_xlfn.ANCHORARRAY(Sintesi!$C$9)&lt;_xlfn.ANCHORARRAY(Sintesi!$C$10))*(A138&gt;=_xlfn.ANCHORARRAY(Sintesi!$C$9))*(A138&lt;=_xlfn.ANCHORARRAY(Sintesi!$C$10)),0)),0)))),0)</f>
        <v>0</v>
      </c>
    </row>
    <row r="140" spans="1:13">
      <c r="A140" s="1">
        <f>'Paste cell here'!A140</f>
        <v>139</v>
      </c>
      <c r="B140" s="2">
        <f>DATE(Sintesi!$C$4-1,12,31)+A140</f>
        <v>44335</v>
      </c>
      <c r="C140" s="34">
        <f t="array" ref="C140">_xlfn.IFNA(MATCH(1,((_xlfn.ANCHORARRAY(Sintesi!$C$9)&gt;_xlfn.ANCHORARRAY(Sintesi!$C$10))*(A140&gt;=_xlfn.ANCHORARRAY(Sintesi!$C$9))+(_xlfn.ANCHORARRAY(Sintesi!$C$9)&gt;_xlfn.ANCHORARRAY(Sintesi!$C$10))*(A140&lt;=_xlfn.ANCHORARRAY(Sintesi!$C$10))+(_xlfn.ANCHORARRAY(Sintesi!$C$9)&lt;_xlfn.ANCHORARRAY(Sintesi!$C$10))*(A140&gt;=_xlfn.ANCHORARRAY(Sintesi!$C$9))*(A140&lt;=_xlfn.ANCHORARRAY(Sintesi!$C$10)))*(_xlfn.ANCHORARRAY(Sintesi!$C$15)&gt;=0)+(_xlfn.ANCHORARRAY(Sintesi!$C$15)&lt;0),0),0)</f>
        <v>1</v>
      </c>
      <c r="D140" s="1">
        <f t="array" ref="D140">IF(ISBLANK($E141),IF(ISNUMBER($E139),IF($C140&gt;0,IF(($E140=INDEX(_xlfn.ANCHORARRAY(Sintesi!$C$14),1,$C140))*(INDEX(_xlfn.ANCHORARRAY(Sintesi!$C$15),1,$C140)&gt;0),0,IF(($E140=INDEX(_xlfn.ANCHORARRAY(Sintesi!$C$14),1,$C140))*(INDEX(_xlfn.ANCHORARRAY(Sintesi!$C$15),1,$C140)&lt;0)+($E140&gt;=$E139)*($E140&lt;=INDEX($E:$E,MATCH(TRUE,INDEX((ISNUMBER($E:$E)),0),0)))*($E140&gt;INDEX(_xlfn.ANCHORARRAY(Sintesi!$C$14),1,$C140))*($E140&lt;=INDEX(_xlfn.ANCHORARRAY(Sintesi!$C$15),1,$C140))*(INDEX(_xlfn.ANCHORARRAY(Sintesi!$C$15),1,$C140)&gt;0),1,IF(($E140&gt;=$E139)*($E140&lt;=INDEX($E:$E,MATCH(TRUE,INDEX((ISNUMBER($E:$E)),0),0)))*($E140&gt;INDEX(_xlfn.ANCHORARRAY(Sintesi!$C$14),1,$C140))*($E140&lt;INDEX(_xlfn.ANCHORARRAY(Sintesi!$C$16),1,$C140))*(INDEX(_xlfn.ANCHORARRAY(Sintesi!$C$15),1,$C140)&lt;0)+($E140&gt;=$E139)*($E140&lt;=INDEX($E:$E,MATCH(TRUE,INDEX((ISNUMBER($E:$E)),0),0)))*($E140&gt;INDEX(_xlfn.ANCHORARRAY(Sintesi!$C$15),1,$C140))*($E140&lt;INDEX(_xlfn.ANCHORARRAY(Sintesi!$C$16),1,$C140))*(INDEX(_xlfn.ANCHORARRAY(Sintesi!$C$15),1,$C140)&gt;0),2,IF($E140=(INDEX(_xlfn.ANCHORARRAY(Sintesi!$C$16),1,$C140)),3,4)))),0),IF($C140&gt;0,IF(($E140=INDEX(_xlfn.ANCHORARRAY(Sintesi!$C$14),1,$C140))*(INDEX(_xlfn.ANCHORARRAY(Sintesi!$C$15),1,$C140)&gt;0),0,IF(($E140=INDEX(_xlfn.ANCHORARRAY(Sintesi!$C$14),1,$C140))*(INDEX(_xlfn.ANCHORARRAY(Sintesi!$C$15),1,$C140)&lt;0)+($E140&gt;=LOOKUP(2,1/($E:$E&lt;&gt;""),$E:$E))*($E140&lt;=INDEX($E:$E,MATCH(TRUE,INDEX((ISNUMBER($E:$E)),0),0)))*($E140&gt;INDEX(_xlfn.ANCHORARRAY(Sintesi!$C$14),1,$C140))*($E140&lt;=INDEX(_xlfn.ANCHORARRAY(Sintesi!$C$15),1,$C140))*(INDEX(_xlfn.ANCHORARRAY(Sintesi!$C$15),1,$C140)&gt;0),1,IF(($E140&gt;=LOOKUP(2,1/($E:$E&lt;&gt;""),$E:$E))*($E140&lt;=INDEX($E:$E,MATCH(TRUE,INDEX((ISNUMBER($E:$E)),0),0)))*($E140&gt;INDEX(_xlfn.ANCHORARRAY(Sintesi!$C$14),1,$C140))*($E140&lt;INDEX(_xlfn.ANCHORARRAY(Sintesi!$C$16),1,$C140))*(INDEX(_xlfn.ANCHORARRAY(Sintesi!$C$15),1,$C140)&lt;0)+($E140&gt;=LOOKUP(2,1/($E:$E&lt;&gt;""),$E:$E))*($E140&lt;=INDEX($E:$E,MATCH(TRUE,INDEX((ISNUMBER($E:$E)),0),0)))*($E140&gt;INDEX(_xlfn.ANCHORARRAY(Sintesi!$C$15),1,$C140))*($E140&lt;INDEX(_xlfn.ANCHORARRAY(Sintesi!$C$16),1,$C140))*(INDEX(_xlfn.ANCHORARRAY(Sintesi!$C$15),1,$C140)&gt;0),2,IF($E140=(INDEX(_xlfn.ANCHORARRAY(Sintesi!$C$16),1,$C140)),3,4)))),0)),IF(ISNUMBER($E139),IF($C140&gt;0,IF(($E140=INDEX(_xlfn.ANCHORARRAY(Sintesi!$C$14),1,$C140))*(INDEX(_xlfn.ANCHORARRAY(Sintesi!$C$15),1,$C140)&gt;0),0,IF(($E140=INDEX(_xlfn.ANCHORARRAY(Sintesi!$C$14),1,$C140))*(INDEX(_xlfn.ANCHORARRAY(Sintesi!$C$15),1,$C140)&lt;0)+($E140&gt;=$E139)*($E140&lt;=$E141)*($E140&gt;INDEX(_xlfn.ANCHORARRAY(Sintesi!$C$14),1,$C140))*($E140&lt;=INDEX(_xlfn.ANCHORARRAY(Sintesi!$C$15),1,$C140))*(INDEX(_xlfn.ANCHORARRAY(Sintesi!$C$15),1,$C140)&gt;0),1,IF(($E140&gt;=$E139)*($E140&lt;=$E141)*($E140&gt;INDEX(_xlfn.ANCHORARRAY(Sintesi!$C$14),1,$C140))*($E140&lt;INDEX(_xlfn.ANCHORARRAY(Sintesi!$C$16),1,$C140))*(INDEX(_xlfn.ANCHORARRAY(Sintesi!$C$15),1,$C140)&lt;0)+($E140&gt;=$E139)*($E140&lt;=$E141)*($E140&gt;INDEX(_xlfn.ANCHORARRAY(Sintesi!$C$15),1,$C140))*($E140&lt;INDEX(_xlfn.ANCHORARRAY(Sintesi!$C$16),1,$C140))*(INDEX(_xlfn.ANCHORARRAY(Sintesi!$C$15),1,$C140)&gt;0),2,IF($E140=(INDEX(_xlfn.ANCHORARRAY(Sintesi!$C$16),1,$C140)),3,4)))),0),IF($C140&gt;0,IF(($E140=INDEX(_xlfn.ANCHORARRAY(Sintesi!$C$14),1,$C140))*(INDEX(_xlfn.ANCHORARRAY(Sintesi!$C$15),1,$C140)&gt;0),0,IF(($E140=INDEX(_xlfn.ANCHORARRAY(Sintesi!$C$14),1,$C140))*(INDEX(_xlfn.ANCHORARRAY(Sintesi!$C$15),1,$C140)&lt;0)+($E140&gt;=LOOKUP(2,1/($E:$E&lt;&gt;""),$E:$E))*($E140&lt;=$E141)*($E140&gt;INDEX(_xlfn.ANCHORARRAY(Sintesi!$C$14),1,$C140))*($E140&lt;=INDEX(_xlfn.ANCHORARRAY(Sintesi!$C$15),1,$C140))*(INDEX(_xlfn.ANCHORARRAY(Sintesi!$C$15),1,$C140)&gt;0),1,IF(($E140&gt;=LOOKUP(2,1/($E:$E&lt;&gt;""),$E:$E))*($E140&lt;=$E141)*($E140&gt;INDEX(_xlfn.ANCHORARRAY(Sintesi!$C$14),1,$C140))*($E140&lt;INDEX(_xlfn.ANCHORARRAY(Sintesi!$C$16),1,$C140))*(INDEX(_xlfn.ANCHORARRAY(Sintesi!$C$15),1,$C140)&lt;0)+($E140&gt;=LOOKUP(2,1/($E:$E&lt;&gt;""),$E:$E))*($E140&lt;=$E141)*($E140&gt;INDEX(_xlfn.ANCHORARRAY(Sintesi!$C$15),1,$C140))*($E140&lt;INDEX(_xlfn.ANCHORARRAY(Sintesi!$C$16),1,$C140))*(INDEX(_xlfn.ANCHORARRAY(Sintesi!$C$15),1,$C140)&gt;0),2,IF($E140=(INDEX(_xlfn.ANCHORARRAY(Sintesi!$C$16),1,$C140)),3,4)))),0)))</f>
        <v>2</v>
      </c>
      <c r="E140" s="1">
        <f>'Paste cell here'!F140</f>
        <v>0.254</v>
      </c>
      <c r="F140" s="1">
        <f>'Paste cell here'!C140</f>
        <v>24.199999999999648</v>
      </c>
      <c r="G140" s="1">
        <f>'Paste cell here'!D140</f>
        <v>8.6799999999998683</v>
      </c>
      <c r="H140" s="1">
        <f>'Paste cell here'!E140</f>
        <v>4.7408514110558411</v>
      </c>
      <c r="I140" s="1">
        <f>'Paste cell here'!X140</f>
        <v>1.2041166515865536</v>
      </c>
      <c r="J140" s="1">
        <f>'Paste cell here'!Y140+'Paste cell here'!S140</f>
        <v>1.2041166515865536</v>
      </c>
      <c r="K140" s="1">
        <f t="shared" si="4"/>
        <v>0.25398742697957355</v>
      </c>
      <c r="L140" s="1">
        <f t="shared" si="5"/>
        <v>19.162216026490274</v>
      </c>
      <c r="M140" s="1">
        <f t="array" ref="M140">IF(AND(A140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140&gt;=_xlfn.ANCHORARRAY(Sintesi!$C$9))+(_xlfn.ANCHORARRAY(Sintesi!$C$9)&gt;_xlfn.ANCHORARRAY(Sintesi!$C$10))*(A140&lt;=_xlfn.ANCHORARRAY(Sintesi!$C$10))+(_xlfn.ANCHORARRAY(Sintesi!$C$9)&lt;_xlfn.ANCHORARRAY(Sintesi!$C$10))*(A140&gt;=_xlfn.ANCHORARRAY(Sintesi!$C$9))*(A140&lt;=_xlfn.ANCHORARRAY(Sintesi!$C$10)),0)),0),A140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141&gt;=_xlfn.ANCHORARRAY(Sintesi!$C$9))+(_xlfn.ANCHORARRAY(Sintesi!$C$9)&gt;_xlfn.ANCHORARRAY(Sintesi!$C$10))*(A141&lt;=_xlfn.ANCHORARRAY(Sintesi!$C$10))+(_xlfn.ANCHORARRAY(Sintesi!$C$9)&lt;_xlfn.ANCHORARRAY(Sintesi!$C$10))*(A141&gt;=_xlfn.ANCHORARRAY(Sintesi!$C$9))*(A141&lt;=_xlfn.ANCHORARRAY(Sintesi!$C$10)),0)),0)),IF(L140&lt;_xlfn.IFNA(INDEX(_xlfn.ANCHORARRAY(Sintesi!$C$17),1,MATCH(1,(_xlfn.ANCHORARRAY(Sintesi!$C$9)&gt;_xlfn.ANCHORARRAY(Sintesi!$C$10))*(A139&gt;=_xlfn.ANCHORARRAY(Sintesi!$C$9))+(_xlfn.ANCHORARRAY(Sintesi!$C$9)&gt;_xlfn.ANCHORARRAY(Sintesi!$C$10))*(A139&lt;=_xlfn.ANCHORARRAY(Sintesi!$C$10))+(_xlfn.ANCHORARRAY(Sintesi!$C$9)&lt;_xlfn.ANCHORARRAY(Sintesi!$C$10))*(A139&gt;=_xlfn.ANCHORARRAY(Sintesi!$C$9))*(A139&lt;=_xlfn.ANCHORARRAY(Sintesi!$C$10)),0)),0),1,IF(L140&gt;=_xlfn.IFNA(INDEX(_xlfn.ANCHORARRAY(Sintesi!$C$18),1,MATCH(1,(_xlfn.ANCHORARRAY(Sintesi!$C$9)&gt;_xlfn.ANCHORARRAY(Sintesi!$C$10))*(A139&gt;=_xlfn.ANCHORARRAY(Sintesi!$C$9))+(_xlfn.ANCHORARRAY(Sintesi!$C$9)&gt;_xlfn.ANCHORARRAY(Sintesi!$C$10))*(A139&lt;=_xlfn.ANCHORARRAY(Sintesi!$C$10))+(_xlfn.ANCHORARRAY(Sintesi!$C$9)&lt;_xlfn.ANCHORARRAY(Sintesi!$C$10))*(A139&gt;=_xlfn.ANCHORARRAY(Sintesi!$C$9))*(A139&lt;=_xlfn.ANCHORARRAY(Sintesi!$C$10)),0)),0),0,1-(L140-_xlfn.IFNA(INDEX(_xlfn.ANCHORARRAY(Sintesi!$C$17),1,MATCH(1,(_xlfn.ANCHORARRAY(Sintesi!$C$9)&gt;_xlfn.ANCHORARRAY(Sintesi!$C$10))*(A139&gt;=_xlfn.ANCHORARRAY(Sintesi!$C$9))+(_xlfn.ANCHORARRAY(Sintesi!$C$9)&gt;_xlfn.ANCHORARRAY(Sintesi!$C$10))*(A139&lt;=_xlfn.ANCHORARRAY(Sintesi!$C$10))+(_xlfn.ANCHORARRAY(Sintesi!$C$9)&lt;_xlfn.ANCHORARRAY(Sintesi!$C$10))*(A139&gt;=_xlfn.ANCHORARRAY(Sintesi!$C$9))*(A139&lt;=_xlfn.ANCHORARRAY(Sintesi!$C$10)),0)),0))/(_xlfn.IFNA(INDEX(_xlfn.ANCHORARRAY(Sintesi!$C$18),1,MATCH(1,(_xlfn.ANCHORARRAY(Sintesi!$C$9)&gt;_xlfn.ANCHORARRAY(Sintesi!$C$10))*(A139&gt;=_xlfn.ANCHORARRAY(Sintesi!$C$9))+(_xlfn.ANCHORARRAY(Sintesi!$C$9)&gt;_xlfn.ANCHORARRAY(Sintesi!$C$10))*(A139&lt;=_xlfn.ANCHORARRAY(Sintesi!$C$10))+(_xlfn.ANCHORARRAY(Sintesi!$C$9)&lt;_xlfn.ANCHORARRAY(Sintesi!$C$10))*(A139&gt;=_xlfn.ANCHORARRAY(Sintesi!$C$9))*(A139&lt;=_xlfn.ANCHORARRAY(Sintesi!$C$10)),0)),0)-_xlfn.IFNA(INDEX(_xlfn.ANCHORARRAY(Sintesi!$C$17),1,MATCH(1,(_xlfn.ANCHORARRAY(Sintesi!$C$9)&gt;_xlfn.ANCHORARRAY(Sintesi!$C$10))*(A139&gt;=_xlfn.ANCHORARRAY(Sintesi!$C$9))+(_xlfn.ANCHORARRAY(Sintesi!$C$9)&gt;_xlfn.ANCHORARRAY(Sintesi!$C$10))*(A139&lt;=_xlfn.ANCHORARRAY(Sintesi!$C$10))+(_xlfn.ANCHORARRAY(Sintesi!$C$9)&lt;_xlfn.ANCHORARRAY(Sintesi!$C$10))*(A139&gt;=_xlfn.ANCHORARRAY(Sintesi!$C$9))*(A139&lt;=_xlfn.ANCHORARRAY(Sintesi!$C$10)),0)),0)))),0)</f>
        <v>0</v>
      </c>
    </row>
    <row r="141" spans="1:13">
      <c r="A141" s="1">
        <f>'Paste cell here'!A141</f>
        <v>140</v>
      </c>
      <c r="B141" s="2">
        <f>DATE(Sintesi!$C$4-1,12,31)+A141</f>
        <v>44336</v>
      </c>
      <c r="C141" s="34">
        <f t="array" ref="C141">_xlfn.IFNA(MATCH(1,((_xlfn.ANCHORARRAY(Sintesi!$C$9)&gt;_xlfn.ANCHORARRAY(Sintesi!$C$10))*(A141&gt;=_xlfn.ANCHORARRAY(Sintesi!$C$9))+(_xlfn.ANCHORARRAY(Sintesi!$C$9)&gt;_xlfn.ANCHORARRAY(Sintesi!$C$10))*(A141&lt;=_xlfn.ANCHORARRAY(Sintesi!$C$10))+(_xlfn.ANCHORARRAY(Sintesi!$C$9)&lt;_xlfn.ANCHORARRAY(Sintesi!$C$10))*(A141&gt;=_xlfn.ANCHORARRAY(Sintesi!$C$9))*(A141&lt;=_xlfn.ANCHORARRAY(Sintesi!$C$10)))*(_xlfn.ANCHORARRAY(Sintesi!$C$15)&gt;=0)+(_xlfn.ANCHORARRAY(Sintesi!$C$15)&lt;0),0),0)</f>
        <v>1</v>
      </c>
      <c r="D141" s="1">
        <f t="array" ref="D141">IF(ISBLANK($E142),IF(ISNUMBER($E140),IF($C141&gt;0,IF(($E141=INDEX(_xlfn.ANCHORARRAY(Sintesi!$C$14),1,$C141))*(INDEX(_xlfn.ANCHORARRAY(Sintesi!$C$15),1,$C141)&gt;0),0,IF(($E141=INDEX(_xlfn.ANCHORARRAY(Sintesi!$C$14),1,$C141))*(INDEX(_xlfn.ANCHORARRAY(Sintesi!$C$15),1,$C141)&lt;0)+($E141&gt;=$E140)*($E141&lt;=INDEX($E:$E,MATCH(TRUE,INDEX((ISNUMBER($E:$E)),0),0)))*($E141&gt;INDEX(_xlfn.ANCHORARRAY(Sintesi!$C$14),1,$C141))*($E141&lt;=INDEX(_xlfn.ANCHORARRAY(Sintesi!$C$15),1,$C141))*(INDEX(_xlfn.ANCHORARRAY(Sintesi!$C$15),1,$C141)&gt;0),1,IF(($E141&gt;=$E140)*($E141&lt;=INDEX($E:$E,MATCH(TRUE,INDEX((ISNUMBER($E:$E)),0),0)))*($E141&gt;INDEX(_xlfn.ANCHORARRAY(Sintesi!$C$14),1,$C141))*($E141&lt;INDEX(_xlfn.ANCHORARRAY(Sintesi!$C$16),1,$C141))*(INDEX(_xlfn.ANCHORARRAY(Sintesi!$C$15),1,$C141)&lt;0)+($E141&gt;=$E140)*($E141&lt;=INDEX($E:$E,MATCH(TRUE,INDEX((ISNUMBER($E:$E)),0),0)))*($E141&gt;INDEX(_xlfn.ANCHORARRAY(Sintesi!$C$15),1,$C141))*($E141&lt;INDEX(_xlfn.ANCHORARRAY(Sintesi!$C$16),1,$C141))*(INDEX(_xlfn.ANCHORARRAY(Sintesi!$C$15),1,$C141)&gt;0),2,IF($E141=(INDEX(_xlfn.ANCHORARRAY(Sintesi!$C$16),1,$C141)),3,4)))),0),IF($C141&gt;0,IF(($E141=INDEX(_xlfn.ANCHORARRAY(Sintesi!$C$14),1,$C141))*(INDEX(_xlfn.ANCHORARRAY(Sintesi!$C$15),1,$C141)&gt;0),0,IF(($E141=INDEX(_xlfn.ANCHORARRAY(Sintesi!$C$14),1,$C141))*(INDEX(_xlfn.ANCHORARRAY(Sintesi!$C$15),1,$C141)&lt;0)+($E141&gt;=LOOKUP(2,1/($E:$E&lt;&gt;""),$E:$E))*($E141&lt;=INDEX($E:$E,MATCH(TRUE,INDEX((ISNUMBER($E:$E)),0),0)))*($E141&gt;INDEX(_xlfn.ANCHORARRAY(Sintesi!$C$14),1,$C141))*($E141&lt;=INDEX(_xlfn.ANCHORARRAY(Sintesi!$C$15),1,$C141))*(INDEX(_xlfn.ANCHORARRAY(Sintesi!$C$15),1,$C141)&gt;0),1,IF(($E141&gt;=LOOKUP(2,1/($E:$E&lt;&gt;""),$E:$E))*($E141&lt;=INDEX($E:$E,MATCH(TRUE,INDEX((ISNUMBER($E:$E)),0),0)))*($E141&gt;INDEX(_xlfn.ANCHORARRAY(Sintesi!$C$14),1,$C141))*($E141&lt;INDEX(_xlfn.ANCHORARRAY(Sintesi!$C$16),1,$C141))*(INDEX(_xlfn.ANCHORARRAY(Sintesi!$C$15),1,$C141)&lt;0)+($E141&gt;=LOOKUP(2,1/($E:$E&lt;&gt;""),$E:$E))*($E141&lt;=INDEX($E:$E,MATCH(TRUE,INDEX((ISNUMBER($E:$E)),0),0)))*($E141&gt;INDEX(_xlfn.ANCHORARRAY(Sintesi!$C$15),1,$C141))*($E141&lt;INDEX(_xlfn.ANCHORARRAY(Sintesi!$C$16),1,$C141))*(INDEX(_xlfn.ANCHORARRAY(Sintesi!$C$15),1,$C141)&gt;0),2,IF($E141=(INDEX(_xlfn.ANCHORARRAY(Sintesi!$C$16),1,$C141)),3,4)))),0)),IF(ISNUMBER($E140),IF($C141&gt;0,IF(($E141=INDEX(_xlfn.ANCHORARRAY(Sintesi!$C$14),1,$C141))*(INDEX(_xlfn.ANCHORARRAY(Sintesi!$C$15),1,$C141)&gt;0),0,IF(($E141=INDEX(_xlfn.ANCHORARRAY(Sintesi!$C$14),1,$C141))*(INDEX(_xlfn.ANCHORARRAY(Sintesi!$C$15),1,$C141)&lt;0)+($E141&gt;=$E140)*($E141&lt;=$E142)*($E141&gt;INDEX(_xlfn.ANCHORARRAY(Sintesi!$C$14),1,$C141))*($E141&lt;=INDEX(_xlfn.ANCHORARRAY(Sintesi!$C$15),1,$C141))*(INDEX(_xlfn.ANCHORARRAY(Sintesi!$C$15),1,$C141)&gt;0),1,IF(($E141&gt;=$E140)*($E141&lt;=$E142)*($E141&gt;INDEX(_xlfn.ANCHORARRAY(Sintesi!$C$14),1,$C141))*($E141&lt;INDEX(_xlfn.ANCHORARRAY(Sintesi!$C$16),1,$C141))*(INDEX(_xlfn.ANCHORARRAY(Sintesi!$C$15),1,$C141)&lt;0)+($E141&gt;=$E140)*($E141&lt;=$E142)*($E141&gt;INDEX(_xlfn.ANCHORARRAY(Sintesi!$C$15),1,$C141))*($E141&lt;INDEX(_xlfn.ANCHORARRAY(Sintesi!$C$16),1,$C141))*(INDEX(_xlfn.ANCHORARRAY(Sintesi!$C$15),1,$C141)&gt;0),2,IF($E141=(INDEX(_xlfn.ANCHORARRAY(Sintesi!$C$16),1,$C141)),3,4)))),0),IF($C141&gt;0,IF(($E141=INDEX(_xlfn.ANCHORARRAY(Sintesi!$C$14),1,$C141))*(INDEX(_xlfn.ANCHORARRAY(Sintesi!$C$15),1,$C141)&gt;0),0,IF(($E141=INDEX(_xlfn.ANCHORARRAY(Sintesi!$C$14),1,$C141))*(INDEX(_xlfn.ANCHORARRAY(Sintesi!$C$15),1,$C141)&lt;0)+($E141&gt;=LOOKUP(2,1/($E:$E&lt;&gt;""),$E:$E))*($E141&lt;=$E142)*($E141&gt;INDEX(_xlfn.ANCHORARRAY(Sintesi!$C$14),1,$C141))*($E141&lt;=INDEX(_xlfn.ANCHORARRAY(Sintesi!$C$15),1,$C141))*(INDEX(_xlfn.ANCHORARRAY(Sintesi!$C$15),1,$C141)&gt;0),1,IF(($E141&gt;=LOOKUP(2,1/($E:$E&lt;&gt;""),$E:$E))*($E141&lt;=$E142)*($E141&gt;INDEX(_xlfn.ANCHORARRAY(Sintesi!$C$14),1,$C141))*($E141&lt;INDEX(_xlfn.ANCHORARRAY(Sintesi!$C$16),1,$C141))*(INDEX(_xlfn.ANCHORARRAY(Sintesi!$C$15),1,$C141)&lt;0)+($E141&gt;=LOOKUP(2,1/($E:$E&lt;&gt;""),$E:$E))*($E141&lt;=$E142)*($E141&gt;INDEX(_xlfn.ANCHORARRAY(Sintesi!$C$15),1,$C141))*($E141&lt;INDEX(_xlfn.ANCHORARRAY(Sintesi!$C$16),1,$C141))*(INDEX(_xlfn.ANCHORARRAY(Sintesi!$C$15),1,$C141)&gt;0),2,IF($E141=(INDEX(_xlfn.ANCHORARRAY(Sintesi!$C$16),1,$C141)),3,4)))),0)))</f>
        <v>2</v>
      </c>
      <c r="E141" s="1">
        <f>'Paste cell here'!F141</f>
        <v>0.27500000000000002</v>
      </c>
      <c r="F141" s="1">
        <f>'Paste cell here'!C141</f>
        <v>24.859999999999637</v>
      </c>
      <c r="G141" s="1">
        <f>'Paste cell here'!D141</f>
        <v>8.1199999999998926</v>
      </c>
      <c r="H141" s="1">
        <f>'Paste cell here'!E141</f>
        <v>4.911114821733408</v>
      </c>
      <c r="I141" s="1">
        <f>'Paste cell here'!X141</f>
        <v>1.3504868930811267</v>
      </c>
      <c r="J141" s="1">
        <f>'Paste cell here'!Y141+'Paste cell here'!S141</f>
        <v>1.3504868930811267</v>
      </c>
      <c r="K141" s="1">
        <f t="shared" si="4"/>
        <v>0.27498581118583254</v>
      </c>
      <c r="L141" s="1">
        <f t="shared" si="5"/>
        <v>19.426204657438632</v>
      </c>
      <c r="M141" s="1">
        <f t="array" ref="M141">IF(AND(A141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141&gt;=_xlfn.ANCHORARRAY(Sintesi!$C$9))+(_xlfn.ANCHORARRAY(Sintesi!$C$9)&gt;_xlfn.ANCHORARRAY(Sintesi!$C$10))*(A141&lt;=_xlfn.ANCHORARRAY(Sintesi!$C$10))+(_xlfn.ANCHORARRAY(Sintesi!$C$9)&lt;_xlfn.ANCHORARRAY(Sintesi!$C$10))*(A141&gt;=_xlfn.ANCHORARRAY(Sintesi!$C$9))*(A141&lt;=_xlfn.ANCHORARRAY(Sintesi!$C$10)),0)),0),A141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142&gt;=_xlfn.ANCHORARRAY(Sintesi!$C$9))+(_xlfn.ANCHORARRAY(Sintesi!$C$9)&gt;_xlfn.ANCHORARRAY(Sintesi!$C$10))*(A142&lt;=_xlfn.ANCHORARRAY(Sintesi!$C$10))+(_xlfn.ANCHORARRAY(Sintesi!$C$9)&lt;_xlfn.ANCHORARRAY(Sintesi!$C$10))*(A142&gt;=_xlfn.ANCHORARRAY(Sintesi!$C$9))*(A142&lt;=_xlfn.ANCHORARRAY(Sintesi!$C$10)),0)),0)),IF(L141&lt;_xlfn.IFNA(INDEX(_xlfn.ANCHORARRAY(Sintesi!$C$17),1,MATCH(1,(_xlfn.ANCHORARRAY(Sintesi!$C$9)&gt;_xlfn.ANCHORARRAY(Sintesi!$C$10))*(A140&gt;=_xlfn.ANCHORARRAY(Sintesi!$C$9))+(_xlfn.ANCHORARRAY(Sintesi!$C$9)&gt;_xlfn.ANCHORARRAY(Sintesi!$C$10))*(A140&lt;=_xlfn.ANCHORARRAY(Sintesi!$C$10))+(_xlfn.ANCHORARRAY(Sintesi!$C$9)&lt;_xlfn.ANCHORARRAY(Sintesi!$C$10))*(A140&gt;=_xlfn.ANCHORARRAY(Sintesi!$C$9))*(A140&lt;=_xlfn.ANCHORARRAY(Sintesi!$C$10)),0)),0),1,IF(L141&gt;=_xlfn.IFNA(INDEX(_xlfn.ANCHORARRAY(Sintesi!$C$18),1,MATCH(1,(_xlfn.ANCHORARRAY(Sintesi!$C$9)&gt;_xlfn.ANCHORARRAY(Sintesi!$C$10))*(A140&gt;=_xlfn.ANCHORARRAY(Sintesi!$C$9))+(_xlfn.ANCHORARRAY(Sintesi!$C$9)&gt;_xlfn.ANCHORARRAY(Sintesi!$C$10))*(A140&lt;=_xlfn.ANCHORARRAY(Sintesi!$C$10))+(_xlfn.ANCHORARRAY(Sintesi!$C$9)&lt;_xlfn.ANCHORARRAY(Sintesi!$C$10))*(A140&gt;=_xlfn.ANCHORARRAY(Sintesi!$C$9))*(A140&lt;=_xlfn.ANCHORARRAY(Sintesi!$C$10)),0)),0),0,1-(L141-_xlfn.IFNA(INDEX(_xlfn.ANCHORARRAY(Sintesi!$C$17),1,MATCH(1,(_xlfn.ANCHORARRAY(Sintesi!$C$9)&gt;_xlfn.ANCHORARRAY(Sintesi!$C$10))*(A140&gt;=_xlfn.ANCHORARRAY(Sintesi!$C$9))+(_xlfn.ANCHORARRAY(Sintesi!$C$9)&gt;_xlfn.ANCHORARRAY(Sintesi!$C$10))*(A140&lt;=_xlfn.ANCHORARRAY(Sintesi!$C$10))+(_xlfn.ANCHORARRAY(Sintesi!$C$9)&lt;_xlfn.ANCHORARRAY(Sintesi!$C$10))*(A140&gt;=_xlfn.ANCHORARRAY(Sintesi!$C$9))*(A140&lt;=_xlfn.ANCHORARRAY(Sintesi!$C$10)),0)),0))/(_xlfn.IFNA(INDEX(_xlfn.ANCHORARRAY(Sintesi!$C$18),1,MATCH(1,(_xlfn.ANCHORARRAY(Sintesi!$C$9)&gt;_xlfn.ANCHORARRAY(Sintesi!$C$10))*(A140&gt;=_xlfn.ANCHORARRAY(Sintesi!$C$9))+(_xlfn.ANCHORARRAY(Sintesi!$C$9)&gt;_xlfn.ANCHORARRAY(Sintesi!$C$10))*(A140&lt;=_xlfn.ANCHORARRAY(Sintesi!$C$10))+(_xlfn.ANCHORARRAY(Sintesi!$C$9)&lt;_xlfn.ANCHORARRAY(Sintesi!$C$10))*(A140&gt;=_xlfn.ANCHORARRAY(Sintesi!$C$9))*(A140&lt;=_xlfn.ANCHORARRAY(Sintesi!$C$10)),0)),0)-_xlfn.IFNA(INDEX(_xlfn.ANCHORARRAY(Sintesi!$C$17),1,MATCH(1,(_xlfn.ANCHORARRAY(Sintesi!$C$9)&gt;_xlfn.ANCHORARRAY(Sintesi!$C$10))*(A140&gt;=_xlfn.ANCHORARRAY(Sintesi!$C$9))+(_xlfn.ANCHORARRAY(Sintesi!$C$9)&gt;_xlfn.ANCHORARRAY(Sintesi!$C$10))*(A140&lt;=_xlfn.ANCHORARRAY(Sintesi!$C$10))+(_xlfn.ANCHORARRAY(Sintesi!$C$9)&lt;_xlfn.ANCHORARRAY(Sintesi!$C$10))*(A140&gt;=_xlfn.ANCHORARRAY(Sintesi!$C$9))*(A140&lt;=_xlfn.ANCHORARRAY(Sintesi!$C$10)),0)),0)))),0)</f>
        <v>0</v>
      </c>
    </row>
    <row r="142" spans="1:13">
      <c r="A142" s="1">
        <f>'Paste cell here'!A142</f>
        <v>141</v>
      </c>
      <c r="B142" s="2">
        <f>DATE(Sintesi!$C$4-1,12,31)+A142</f>
        <v>44337</v>
      </c>
      <c r="C142" s="34">
        <f t="array" ref="C142">_xlfn.IFNA(MATCH(1,((_xlfn.ANCHORARRAY(Sintesi!$C$9)&gt;_xlfn.ANCHORARRAY(Sintesi!$C$10))*(A142&gt;=_xlfn.ANCHORARRAY(Sintesi!$C$9))+(_xlfn.ANCHORARRAY(Sintesi!$C$9)&gt;_xlfn.ANCHORARRAY(Sintesi!$C$10))*(A142&lt;=_xlfn.ANCHORARRAY(Sintesi!$C$10))+(_xlfn.ANCHORARRAY(Sintesi!$C$9)&lt;_xlfn.ANCHORARRAY(Sintesi!$C$10))*(A142&gt;=_xlfn.ANCHORARRAY(Sintesi!$C$9))*(A142&lt;=_xlfn.ANCHORARRAY(Sintesi!$C$10)))*(_xlfn.ANCHORARRAY(Sintesi!$C$15)&gt;=0)+(_xlfn.ANCHORARRAY(Sintesi!$C$15)&lt;0),0),0)</f>
        <v>1</v>
      </c>
      <c r="D142" s="1">
        <f t="array" ref="D142">IF(ISBLANK($E143),IF(ISNUMBER($E141),IF($C142&gt;0,IF(($E142=INDEX(_xlfn.ANCHORARRAY(Sintesi!$C$14),1,$C142))*(INDEX(_xlfn.ANCHORARRAY(Sintesi!$C$15),1,$C142)&gt;0),0,IF(($E142=INDEX(_xlfn.ANCHORARRAY(Sintesi!$C$14),1,$C142))*(INDEX(_xlfn.ANCHORARRAY(Sintesi!$C$15),1,$C142)&lt;0)+($E142&gt;=$E141)*($E142&lt;=INDEX($E:$E,MATCH(TRUE,INDEX((ISNUMBER($E:$E)),0),0)))*($E142&gt;INDEX(_xlfn.ANCHORARRAY(Sintesi!$C$14),1,$C142))*($E142&lt;=INDEX(_xlfn.ANCHORARRAY(Sintesi!$C$15),1,$C142))*(INDEX(_xlfn.ANCHORARRAY(Sintesi!$C$15),1,$C142)&gt;0),1,IF(($E142&gt;=$E141)*($E142&lt;=INDEX($E:$E,MATCH(TRUE,INDEX((ISNUMBER($E:$E)),0),0)))*($E142&gt;INDEX(_xlfn.ANCHORARRAY(Sintesi!$C$14),1,$C142))*($E142&lt;INDEX(_xlfn.ANCHORARRAY(Sintesi!$C$16),1,$C142))*(INDEX(_xlfn.ANCHORARRAY(Sintesi!$C$15),1,$C142)&lt;0)+($E142&gt;=$E141)*($E142&lt;=INDEX($E:$E,MATCH(TRUE,INDEX((ISNUMBER($E:$E)),0),0)))*($E142&gt;INDEX(_xlfn.ANCHORARRAY(Sintesi!$C$15),1,$C142))*($E142&lt;INDEX(_xlfn.ANCHORARRAY(Sintesi!$C$16),1,$C142))*(INDEX(_xlfn.ANCHORARRAY(Sintesi!$C$15),1,$C142)&gt;0),2,IF($E142=(INDEX(_xlfn.ANCHORARRAY(Sintesi!$C$16),1,$C142)),3,4)))),0),IF($C142&gt;0,IF(($E142=INDEX(_xlfn.ANCHORARRAY(Sintesi!$C$14),1,$C142))*(INDEX(_xlfn.ANCHORARRAY(Sintesi!$C$15),1,$C142)&gt;0),0,IF(($E142=INDEX(_xlfn.ANCHORARRAY(Sintesi!$C$14),1,$C142))*(INDEX(_xlfn.ANCHORARRAY(Sintesi!$C$15),1,$C142)&lt;0)+($E142&gt;=LOOKUP(2,1/($E:$E&lt;&gt;""),$E:$E))*($E142&lt;=INDEX($E:$E,MATCH(TRUE,INDEX((ISNUMBER($E:$E)),0),0)))*($E142&gt;INDEX(_xlfn.ANCHORARRAY(Sintesi!$C$14),1,$C142))*($E142&lt;=INDEX(_xlfn.ANCHORARRAY(Sintesi!$C$15),1,$C142))*(INDEX(_xlfn.ANCHORARRAY(Sintesi!$C$15),1,$C142)&gt;0),1,IF(($E142&gt;=LOOKUP(2,1/($E:$E&lt;&gt;""),$E:$E))*($E142&lt;=INDEX($E:$E,MATCH(TRUE,INDEX((ISNUMBER($E:$E)),0),0)))*($E142&gt;INDEX(_xlfn.ANCHORARRAY(Sintesi!$C$14),1,$C142))*($E142&lt;INDEX(_xlfn.ANCHORARRAY(Sintesi!$C$16),1,$C142))*(INDEX(_xlfn.ANCHORARRAY(Sintesi!$C$15),1,$C142)&lt;0)+($E142&gt;=LOOKUP(2,1/($E:$E&lt;&gt;""),$E:$E))*($E142&lt;=INDEX($E:$E,MATCH(TRUE,INDEX((ISNUMBER($E:$E)),0),0)))*($E142&gt;INDEX(_xlfn.ANCHORARRAY(Sintesi!$C$15),1,$C142))*($E142&lt;INDEX(_xlfn.ANCHORARRAY(Sintesi!$C$16),1,$C142))*(INDEX(_xlfn.ANCHORARRAY(Sintesi!$C$15),1,$C142)&gt;0),2,IF($E142=(INDEX(_xlfn.ANCHORARRAY(Sintesi!$C$16),1,$C142)),3,4)))),0)),IF(ISNUMBER($E141),IF($C142&gt;0,IF(($E142=INDEX(_xlfn.ANCHORARRAY(Sintesi!$C$14),1,$C142))*(INDEX(_xlfn.ANCHORARRAY(Sintesi!$C$15),1,$C142)&gt;0),0,IF(($E142=INDEX(_xlfn.ANCHORARRAY(Sintesi!$C$14),1,$C142))*(INDEX(_xlfn.ANCHORARRAY(Sintesi!$C$15),1,$C142)&lt;0)+($E142&gt;=$E141)*($E142&lt;=$E143)*($E142&gt;INDEX(_xlfn.ANCHORARRAY(Sintesi!$C$14),1,$C142))*($E142&lt;=INDEX(_xlfn.ANCHORARRAY(Sintesi!$C$15),1,$C142))*(INDEX(_xlfn.ANCHORARRAY(Sintesi!$C$15),1,$C142)&gt;0),1,IF(($E142&gt;=$E141)*($E142&lt;=$E143)*($E142&gt;INDEX(_xlfn.ANCHORARRAY(Sintesi!$C$14),1,$C142))*($E142&lt;INDEX(_xlfn.ANCHORARRAY(Sintesi!$C$16),1,$C142))*(INDEX(_xlfn.ANCHORARRAY(Sintesi!$C$15),1,$C142)&lt;0)+($E142&gt;=$E141)*($E142&lt;=$E143)*($E142&gt;INDEX(_xlfn.ANCHORARRAY(Sintesi!$C$15),1,$C142))*($E142&lt;INDEX(_xlfn.ANCHORARRAY(Sintesi!$C$16),1,$C142))*(INDEX(_xlfn.ANCHORARRAY(Sintesi!$C$15),1,$C142)&gt;0),2,IF($E142=(INDEX(_xlfn.ANCHORARRAY(Sintesi!$C$16),1,$C142)),3,4)))),0),IF($C142&gt;0,IF(($E142=INDEX(_xlfn.ANCHORARRAY(Sintesi!$C$14),1,$C142))*(INDEX(_xlfn.ANCHORARRAY(Sintesi!$C$15),1,$C142)&gt;0),0,IF(($E142=INDEX(_xlfn.ANCHORARRAY(Sintesi!$C$14),1,$C142))*(INDEX(_xlfn.ANCHORARRAY(Sintesi!$C$15),1,$C142)&lt;0)+($E142&gt;=LOOKUP(2,1/($E:$E&lt;&gt;""),$E:$E))*($E142&lt;=$E143)*($E142&gt;INDEX(_xlfn.ANCHORARRAY(Sintesi!$C$14),1,$C142))*($E142&lt;=INDEX(_xlfn.ANCHORARRAY(Sintesi!$C$15),1,$C142))*(INDEX(_xlfn.ANCHORARRAY(Sintesi!$C$15),1,$C142)&gt;0),1,IF(($E142&gt;=LOOKUP(2,1/($E:$E&lt;&gt;""),$E:$E))*($E142&lt;=$E143)*($E142&gt;INDEX(_xlfn.ANCHORARRAY(Sintesi!$C$14),1,$C142))*($E142&lt;INDEX(_xlfn.ANCHORARRAY(Sintesi!$C$16),1,$C142))*(INDEX(_xlfn.ANCHORARRAY(Sintesi!$C$15),1,$C142)&lt;0)+($E142&gt;=LOOKUP(2,1/($E:$E&lt;&gt;""),$E:$E))*($E142&lt;=$E143)*($E142&gt;INDEX(_xlfn.ANCHORARRAY(Sintesi!$C$15),1,$C142))*($E142&lt;INDEX(_xlfn.ANCHORARRAY(Sintesi!$C$16),1,$C142))*(INDEX(_xlfn.ANCHORARRAY(Sintesi!$C$15),1,$C142)&gt;0),2,IF($E142=(INDEX(_xlfn.ANCHORARRAY(Sintesi!$C$16),1,$C142)),3,4)))),0)))</f>
        <v>2</v>
      </c>
      <c r="E142" s="1">
        <f>'Paste cell here'!F142</f>
        <v>0.29599999999999999</v>
      </c>
      <c r="F142" s="1">
        <f>'Paste cell here'!C142</f>
        <v>23.679999999999655</v>
      </c>
      <c r="G142" s="1">
        <f>'Paste cell here'!D142</f>
        <v>11.49999999999984</v>
      </c>
      <c r="H142" s="1">
        <f>'Paste cell here'!E142</f>
        <v>4.3311924034876714</v>
      </c>
      <c r="I142" s="1">
        <f>'Paste cell here'!X142</f>
        <v>1.2819640892456812</v>
      </c>
      <c r="J142" s="1">
        <f>'Paste cell here'!Y142+'Paste cell here'!S142</f>
        <v>1.2819640892456812</v>
      </c>
      <c r="K142" s="1">
        <f t="shared" si="4"/>
        <v>0.29598410087101784</v>
      </c>
      <c r="L142" s="1">
        <f t="shared" si="5"/>
        <v>19.726378299139856</v>
      </c>
      <c r="M142" s="1">
        <f t="array" ref="M142">IF(AND(A142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142&gt;=_xlfn.ANCHORARRAY(Sintesi!$C$9))+(_xlfn.ANCHORARRAY(Sintesi!$C$9)&gt;_xlfn.ANCHORARRAY(Sintesi!$C$10))*(A142&lt;=_xlfn.ANCHORARRAY(Sintesi!$C$10))+(_xlfn.ANCHORARRAY(Sintesi!$C$9)&lt;_xlfn.ANCHORARRAY(Sintesi!$C$10))*(A142&gt;=_xlfn.ANCHORARRAY(Sintesi!$C$9))*(A142&lt;=_xlfn.ANCHORARRAY(Sintesi!$C$10)),0)),0),A142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143&gt;=_xlfn.ANCHORARRAY(Sintesi!$C$9))+(_xlfn.ANCHORARRAY(Sintesi!$C$9)&gt;_xlfn.ANCHORARRAY(Sintesi!$C$10))*(A143&lt;=_xlfn.ANCHORARRAY(Sintesi!$C$10))+(_xlfn.ANCHORARRAY(Sintesi!$C$9)&lt;_xlfn.ANCHORARRAY(Sintesi!$C$10))*(A143&gt;=_xlfn.ANCHORARRAY(Sintesi!$C$9))*(A143&lt;=_xlfn.ANCHORARRAY(Sintesi!$C$10)),0)),0)),IF(L142&lt;_xlfn.IFNA(INDEX(_xlfn.ANCHORARRAY(Sintesi!$C$17),1,MATCH(1,(_xlfn.ANCHORARRAY(Sintesi!$C$9)&gt;_xlfn.ANCHORARRAY(Sintesi!$C$10))*(A141&gt;=_xlfn.ANCHORARRAY(Sintesi!$C$9))+(_xlfn.ANCHORARRAY(Sintesi!$C$9)&gt;_xlfn.ANCHORARRAY(Sintesi!$C$10))*(A141&lt;=_xlfn.ANCHORARRAY(Sintesi!$C$10))+(_xlfn.ANCHORARRAY(Sintesi!$C$9)&lt;_xlfn.ANCHORARRAY(Sintesi!$C$10))*(A141&gt;=_xlfn.ANCHORARRAY(Sintesi!$C$9))*(A141&lt;=_xlfn.ANCHORARRAY(Sintesi!$C$10)),0)),0),1,IF(L142&gt;=_xlfn.IFNA(INDEX(_xlfn.ANCHORARRAY(Sintesi!$C$18),1,MATCH(1,(_xlfn.ANCHORARRAY(Sintesi!$C$9)&gt;_xlfn.ANCHORARRAY(Sintesi!$C$10))*(A141&gt;=_xlfn.ANCHORARRAY(Sintesi!$C$9))+(_xlfn.ANCHORARRAY(Sintesi!$C$9)&gt;_xlfn.ANCHORARRAY(Sintesi!$C$10))*(A141&lt;=_xlfn.ANCHORARRAY(Sintesi!$C$10))+(_xlfn.ANCHORARRAY(Sintesi!$C$9)&lt;_xlfn.ANCHORARRAY(Sintesi!$C$10))*(A141&gt;=_xlfn.ANCHORARRAY(Sintesi!$C$9))*(A141&lt;=_xlfn.ANCHORARRAY(Sintesi!$C$10)),0)),0),0,1-(L142-_xlfn.IFNA(INDEX(_xlfn.ANCHORARRAY(Sintesi!$C$17),1,MATCH(1,(_xlfn.ANCHORARRAY(Sintesi!$C$9)&gt;_xlfn.ANCHORARRAY(Sintesi!$C$10))*(A141&gt;=_xlfn.ANCHORARRAY(Sintesi!$C$9))+(_xlfn.ANCHORARRAY(Sintesi!$C$9)&gt;_xlfn.ANCHORARRAY(Sintesi!$C$10))*(A141&lt;=_xlfn.ANCHORARRAY(Sintesi!$C$10))+(_xlfn.ANCHORARRAY(Sintesi!$C$9)&lt;_xlfn.ANCHORARRAY(Sintesi!$C$10))*(A141&gt;=_xlfn.ANCHORARRAY(Sintesi!$C$9))*(A141&lt;=_xlfn.ANCHORARRAY(Sintesi!$C$10)),0)),0))/(_xlfn.IFNA(INDEX(_xlfn.ANCHORARRAY(Sintesi!$C$18),1,MATCH(1,(_xlfn.ANCHORARRAY(Sintesi!$C$9)&gt;_xlfn.ANCHORARRAY(Sintesi!$C$10))*(A141&gt;=_xlfn.ANCHORARRAY(Sintesi!$C$9))+(_xlfn.ANCHORARRAY(Sintesi!$C$9)&gt;_xlfn.ANCHORARRAY(Sintesi!$C$10))*(A141&lt;=_xlfn.ANCHORARRAY(Sintesi!$C$10))+(_xlfn.ANCHORARRAY(Sintesi!$C$9)&lt;_xlfn.ANCHORARRAY(Sintesi!$C$10))*(A141&gt;=_xlfn.ANCHORARRAY(Sintesi!$C$9))*(A141&lt;=_xlfn.ANCHORARRAY(Sintesi!$C$10)),0)),0)-_xlfn.IFNA(INDEX(_xlfn.ANCHORARRAY(Sintesi!$C$17),1,MATCH(1,(_xlfn.ANCHORARRAY(Sintesi!$C$9)&gt;_xlfn.ANCHORARRAY(Sintesi!$C$10))*(A141&gt;=_xlfn.ANCHORARRAY(Sintesi!$C$9))+(_xlfn.ANCHORARRAY(Sintesi!$C$9)&gt;_xlfn.ANCHORARRAY(Sintesi!$C$10))*(A141&lt;=_xlfn.ANCHORARRAY(Sintesi!$C$10))+(_xlfn.ANCHORARRAY(Sintesi!$C$9)&lt;_xlfn.ANCHORARRAY(Sintesi!$C$10))*(A141&gt;=_xlfn.ANCHORARRAY(Sintesi!$C$9))*(A141&lt;=_xlfn.ANCHORARRAY(Sintesi!$C$10)),0)),0)))),0)</f>
        <v>0</v>
      </c>
    </row>
    <row r="143" spans="1:13">
      <c r="A143" s="1">
        <f>'Paste cell here'!A143</f>
        <v>142</v>
      </c>
      <c r="B143" s="2">
        <f>DATE(Sintesi!$C$4-1,12,31)+A143</f>
        <v>44338</v>
      </c>
      <c r="C143" s="34">
        <f t="array" ref="C143">_xlfn.IFNA(MATCH(1,((_xlfn.ANCHORARRAY(Sintesi!$C$9)&gt;_xlfn.ANCHORARRAY(Sintesi!$C$10))*(A143&gt;=_xlfn.ANCHORARRAY(Sintesi!$C$9))+(_xlfn.ANCHORARRAY(Sintesi!$C$9)&gt;_xlfn.ANCHORARRAY(Sintesi!$C$10))*(A143&lt;=_xlfn.ANCHORARRAY(Sintesi!$C$10))+(_xlfn.ANCHORARRAY(Sintesi!$C$9)&lt;_xlfn.ANCHORARRAY(Sintesi!$C$10))*(A143&gt;=_xlfn.ANCHORARRAY(Sintesi!$C$9))*(A143&lt;=_xlfn.ANCHORARRAY(Sintesi!$C$10)))*(_xlfn.ANCHORARRAY(Sintesi!$C$15)&gt;=0)+(_xlfn.ANCHORARRAY(Sintesi!$C$15)&lt;0),0),0)</f>
        <v>1</v>
      </c>
      <c r="D143" s="1">
        <f t="array" ref="D143">IF(ISBLANK($E144),IF(ISNUMBER($E142),IF($C143&gt;0,IF(($E143=INDEX(_xlfn.ANCHORARRAY(Sintesi!$C$14),1,$C143))*(INDEX(_xlfn.ANCHORARRAY(Sintesi!$C$15),1,$C143)&gt;0),0,IF(($E143=INDEX(_xlfn.ANCHORARRAY(Sintesi!$C$14),1,$C143))*(INDEX(_xlfn.ANCHORARRAY(Sintesi!$C$15),1,$C143)&lt;0)+($E143&gt;=$E142)*($E143&lt;=INDEX($E:$E,MATCH(TRUE,INDEX((ISNUMBER($E:$E)),0),0)))*($E143&gt;INDEX(_xlfn.ANCHORARRAY(Sintesi!$C$14),1,$C143))*($E143&lt;=INDEX(_xlfn.ANCHORARRAY(Sintesi!$C$15),1,$C143))*(INDEX(_xlfn.ANCHORARRAY(Sintesi!$C$15),1,$C143)&gt;0),1,IF(($E143&gt;=$E142)*($E143&lt;=INDEX($E:$E,MATCH(TRUE,INDEX((ISNUMBER($E:$E)),0),0)))*($E143&gt;INDEX(_xlfn.ANCHORARRAY(Sintesi!$C$14),1,$C143))*($E143&lt;INDEX(_xlfn.ANCHORARRAY(Sintesi!$C$16),1,$C143))*(INDEX(_xlfn.ANCHORARRAY(Sintesi!$C$15),1,$C143)&lt;0)+($E143&gt;=$E142)*($E143&lt;=INDEX($E:$E,MATCH(TRUE,INDEX((ISNUMBER($E:$E)),0),0)))*($E143&gt;INDEX(_xlfn.ANCHORARRAY(Sintesi!$C$15),1,$C143))*($E143&lt;INDEX(_xlfn.ANCHORARRAY(Sintesi!$C$16),1,$C143))*(INDEX(_xlfn.ANCHORARRAY(Sintesi!$C$15),1,$C143)&gt;0),2,IF($E143=(INDEX(_xlfn.ANCHORARRAY(Sintesi!$C$16),1,$C143)),3,4)))),0),IF($C143&gt;0,IF(($E143=INDEX(_xlfn.ANCHORARRAY(Sintesi!$C$14),1,$C143))*(INDEX(_xlfn.ANCHORARRAY(Sintesi!$C$15),1,$C143)&gt;0),0,IF(($E143=INDEX(_xlfn.ANCHORARRAY(Sintesi!$C$14),1,$C143))*(INDEX(_xlfn.ANCHORARRAY(Sintesi!$C$15),1,$C143)&lt;0)+($E143&gt;=LOOKUP(2,1/($E:$E&lt;&gt;""),$E:$E))*($E143&lt;=INDEX($E:$E,MATCH(TRUE,INDEX((ISNUMBER($E:$E)),0),0)))*($E143&gt;INDEX(_xlfn.ANCHORARRAY(Sintesi!$C$14),1,$C143))*($E143&lt;=INDEX(_xlfn.ANCHORARRAY(Sintesi!$C$15),1,$C143))*(INDEX(_xlfn.ANCHORARRAY(Sintesi!$C$15),1,$C143)&gt;0),1,IF(($E143&gt;=LOOKUP(2,1/($E:$E&lt;&gt;""),$E:$E))*($E143&lt;=INDEX($E:$E,MATCH(TRUE,INDEX((ISNUMBER($E:$E)),0),0)))*($E143&gt;INDEX(_xlfn.ANCHORARRAY(Sintesi!$C$14),1,$C143))*($E143&lt;INDEX(_xlfn.ANCHORARRAY(Sintesi!$C$16),1,$C143))*(INDEX(_xlfn.ANCHORARRAY(Sintesi!$C$15),1,$C143)&lt;0)+($E143&gt;=LOOKUP(2,1/($E:$E&lt;&gt;""),$E:$E))*($E143&lt;=INDEX($E:$E,MATCH(TRUE,INDEX((ISNUMBER($E:$E)),0),0)))*($E143&gt;INDEX(_xlfn.ANCHORARRAY(Sintesi!$C$15),1,$C143))*($E143&lt;INDEX(_xlfn.ANCHORARRAY(Sintesi!$C$16),1,$C143))*(INDEX(_xlfn.ANCHORARRAY(Sintesi!$C$15),1,$C143)&gt;0),2,IF($E143=(INDEX(_xlfn.ANCHORARRAY(Sintesi!$C$16),1,$C143)),3,4)))),0)),IF(ISNUMBER($E142),IF($C143&gt;0,IF(($E143=INDEX(_xlfn.ANCHORARRAY(Sintesi!$C$14),1,$C143))*(INDEX(_xlfn.ANCHORARRAY(Sintesi!$C$15),1,$C143)&gt;0),0,IF(($E143=INDEX(_xlfn.ANCHORARRAY(Sintesi!$C$14),1,$C143))*(INDEX(_xlfn.ANCHORARRAY(Sintesi!$C$15),1,$C143)&lt;0)+($E143&gt;=$E142)*($E143&lt;=$E144)*($E143&gt;INDEX(_xlfn.ANCHORARRAY(Sintesi!$C$14),1,$C143))*($E143&lt;=INDEX(_xlfn.ANCHORARRAY(Sintesi!$C$15),1,$C143))*(INDEX(_xlfn.ANCHORARRAY(Sintesi!$C$15),1,$C143)&gt;0),1,IF(($E143&gt;=$E142)*($E143&lt;=$E144)*($E143&gt;INDEX(_xlfn.ANCHORARRAY(Sintesi!$C$14),1,$C143))*($E143&lt;INDEX(_xlfn.ANCHORARRAY(Sintesi!$C$16),1,$C143))*(INDEX(_xlfn.ANCHORARRAY(Sintesi!$C$15),1,$C143)&lt;0)+($E143&gt;=$E142)*($E143&lt;=$E144)*($E143&gt;INDEX(_xlfn.ANCHORARRAY(Sintesi!$C$15),1,$C143))*($E143&lt;INDEX(_xlfn.ANCHORARRAY(Sintesi!$C$16),1,$C143))*(INDEX(_xlfn.ANCHORARRAY(Sintesi!$C$15),1,$C143)&gt;0),2,IF($E143=(INDEX(_xlfn.ANCHORARRAY(Sintesi!$C$16),1,$C143)),3,4)))),0),IF($C143&gt;0,IF(($E143=INDEX(_xlfn.ANCHORARRAY(Sintesi!$C$14),1,$C143))*(INDEX(_xlfn.ANCHORARRAY(Sintesi!$C$15),1,$C143)&gt;0),0,IF(($E143=INDEX(_xlfn.ANCHORARRAY(Sintesi!$C$14),1,$C143))*(INDEX(_xlfn.ANCHORARRAY(Sintesi!$C$15),1,$C143)&lt;0)+($E143&gt;=LOOKUP(2,1/($E:$E&lt;&gt;""),$E:$E))*($E143&lt;=$E144)*($E143&gt;INDEX(_xlfn.ANCHORARRAY(Sintesi!$C$14),1,$C143))*($E143&lt;=INDEX(_xlfn.ANCHORARRAY(Sintesi!$C$15),1,$C143))*(INDEX(_xlfn.ANCHORARRAY(Sintesi!$C$15),1,$C143)&gt;0),1,IF(($E143&gt;=LOOKUP(2,1/($E:$E&lt;&gt;""),$E:$E))*($E143&lt;=$E144)*($E143&gt;INDEX(_xlfn.ANCHORARRAY(Sintesi!$C$14),1,$C143))*($E143&lt;INDEX(_xlfn.ANCHORARRAY(Sintesi!$C$16),1,$C143))*(INDEX(_xlfn.ANCHORARRAY(Sintesi!$C$15),1,$C143)&lt;0)+($E143&gt;=LOOKUP(2,1/($E:$E&lt;&gt;""),$E:$E))*($E143&lt;=$E144)*($E143&gt;INDEX(_xlfn.ANCHORARRAY(Sintesi!$C$15),1,$C143))*($E143&lt;INDEX(_xlfn.ANCHORARRAY(Sintesi!$C$16),1,$C143))*(INDEX(_xlfn.ANCHORARRAY(Sintesi!$C$15),1,$C143)&gt;0),2,IF($E143=(INDEX(_xlfn.ANCHORARRAY(Sintesi!$C$16),1,$C143)),3,4)))),0)))</f>
        <v>2</v>
      </c>
      <c r="E143" s="1">
        <f>'Paste cell here'!F143</f>
        <v>0.317</v>
      </c>
      <c r="F143" s="1">
        <f>'Paste cell here'!C143</f>
        <v>21.019999999999701</v>
      </c>
      <c r="G143" s="1">
        <f>'Paste cell here'!D143</f>
        <v>12.319999999999812</v>
      </c>
      <c r="H143" s="1">
        <f>'Paste cell here'!E143</f>
        <v>2.9839108418444327</v>
      </c>
      <c r="I143" s="1">
        <f>'Paste cell here'!X143</f>
        <v>0.94584690999505461</v>
      </c>
      <c r="J143" s="1">
        <f>'Paste cell here'!Y143+'Paste cell here'!S143</f>
        <v>0.94584690999505461</v>
      </c>
      <c r="K143" s="1">
        <f t="shared" si="4"/>
        <v>0.31698229609648865</v>
      </c>
      <c r="L143" s="1">
        <f t="shared" si="5"/>
        <v>18.195984499385553</v>
      </c>
      <c r="M143" s="1">
        <f t="array" ref="M143">IF(AND(A143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143&gt;=_xlfn.ANCHORARRAY(Sintesi!$C$9))+(_xlfn.ANCHORARRAY(Sintesi!$C$9)&gt;_xlfn.ANCHORARRAY(Sintesi!$C$10))*(A143&lt;=_xlfn.ANCHORARRAY(Sintesi!$C$10))+(_xlfn.ANCHORARRAY(Sintesi!$C$9)&lt;_xlfn.ANCHORARRAY(Sintesi!$C$10))*(A143&gt;=_xlfn.ANCHORARRAY(Sintesi!$C$9))*(A143&lt;=_xlfn.ANCHORARRAY(Sintesi!$C$10)),0)),0),A143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144&gt;=_xlfn.ANCHORARRAY(Sintesi!$C$9))+(_xlfn.ANCHORARRAY(Sintesi!$C$9)&gt;_xlfn.ANCHORARRAY(Sintesi!$C$10))*(A144&lt;=_xlfn.ANCHORARRAY(Sintesi!$C$10))+(_xlfn.ANCHORARRAY(Sintesi!$C$9)&lt;_xlfn.ANCHORARRAY(Sintesi!$C$10))*(A144&gt;=_xlfn.ANCHORARRAY(Sintesi!$C$9))*(A144&lt;=_xlfn.ANCHORARRAY(Sintesi!$C$10)),0)),0)),IF(L143&lt;_xlfn.IFNA(INDEX(_xlfn.ANCHORARRAY(Sintesi!$C$17),1,MATCH(1,(_xlfn.ANCHORARRAY(Sintesi!$C$9)&gt;_xlfn.ANCHORARRAY(Sintesi!$C$10))*(A142&gt;=_xlfn.ANCHORARRAY(Sintesi!$C$9))+(_xlfn.ANCHORARRAY(Sintesi!$C$9)&gt;_xlfn.ANCHORARRAY(Sintesi!$C$10))*(A142&lt;=_xlfn.ANCHORARRAY(Sintesi!$C$10))+(_xlfn.ANCHORARRAY(Sintesi!$C$9)&lt;_xlfn.ANCHORARRAY(Sintesi!$C$10))*(A142&gt;=_xlfn.ANCHORARRAY(Sintesi!$C$9))*(A142&lt;=_xlfn.ANCHORARRAY(Sintesi!$C$10)),0)),0),1,IF(L143&gt;=_xlfn.IFNA(INDEX(_xlfn.ANCHORARRAY(Sintesi!$C$18),1,MATCH(1,(_xlfn.ANCHORARRAY(Sintesi!$C$9)&gt;_xlfn.ANCHORARRAY(Sintesi!$C$10))*(A142&gt;=_xlfn.ANCHORARRAY(Sintesi!$C$9))+(_xlfn.ANCHORARRAY(Sintesi!$C$9)&gt;_xlfn.ANCHORARRAY(Sintesi!$C$10))*(A142&lt;=_xlfn.ANCHORARRAY(Sintesi!$C$10))+(_xlfn.ANCHORARRAY(Sintesi!$C$9)&lt;_xlfn.ANCHORARRAY(Sintesi!$C$10))*(A142&gt;=_xlfn.ANCHORARRAY(Sintesi!$C$9))*(A142&lt;=_xlfn.ANCHORARRAY(Sintesi!$C$10)),0)),0),0,1-(L143-_xlfn.IFNA(INDEX(_xlfn.ANCHORARRAY(Sintesi!$C$17),1,MATCH(1,(_xlfn.ANCHORARRAY(Sintesi!$C$9)&gt;_xlfn.ANCHORARRAY(Sintesi!$C$10))*(A142&gt;=_xlfn.ANCHORARRAY(Sintesi!$C$9))+(_xlfn.ANCHORARRAY(Sintesi!$C$9)&gt;_xlfn.ANCHORARRAY(Sintesi!$C$10))*(A142&lt;=_xlfn.ANCHORARRAY(Sintesi!$C$10))+(_xlfn.ANCHORARRAY(Sintesi!$C$9)&lt;_xlfn.ANCHORARRAY(Sintesi!$C$10))*(A142&gt;=_xlfn.ANCHORARRAY(Sintesi!$C$9))*(A142&lt;=_xlfn.ANCHORARRAY(Sintesi!$C$10)),0)),0))/(_xlfn.IFNA(INDEX(_xlfn.ANCHORARRAY(Sintesi!$C$18),1,MATCH(1,(_xlfn.ANCHORARRAY(Sintesi!$C$9)&gt;_xlfn.ANCHORARRAY(Sintesi!$C$10))*(A142&gt;=_xlfn.ANCHORARRAY(Sintesi!$C$9))+(_xlfn.ANCHORARRAY(Sintesi!$C$9)&gt;_xlfn.ANCHORARRAY(Sintesi!$C$10))*(A142&lt;=_xlfn.ANCHORARRAY(Sintesi!$C$10))+(_xlfn.ANCHORARRAY(Sintesi!$C$9)&lt;_xlfn.ANCHORARRAY(Sintesi!$C$10))*(A142&gt;=_xlfn.ANCHORARRAY(Sintesi!$C$9))*(A142&lt;=_xlfn.ANCHORARRAY(Sintesi!$C$10)),0)),0)-_xlfn.IFNA(INDEX(_xlfn.ANCHORARRAY(Sintesi!$C$17),1,MATCH(1,(_xlfn.ANCHORARRAY(Sintesi!$C$9)&gt;_xlfn.ANCHORARRAY(Sintesi!$C$10))*(A142&gt;=_xlfn.ANCHORARRAY(Sintesi!$C$9))+(_xlfn.ANCHORARRAY(Sintesi!$C$9)&gt;_xlfn.ANCHORARRAY(Sintesi!$C$10))*(A142&lt;=_xlfn.ANCHORARRAY(Sintesi!$C$10))+(_xlfn.ANCHORARRAY(Sintesi!$C$9)&lt;_xlfn.ANCHORARRAY(Sintesi!$C$10))*(A142&gt;=_xlfn.ANCHORARRAY(Sintesi!$C$9))*(A142&lt;=_xlfn.ANCHORARRAY(Sintesi!$C$10)),0)),0)))),0)</f>
        <v>0</v>
      </c>
    </row>
    <row r="144" spans="1:13">
      <c r="A144" s="1">
        <f>'Paste cell here'!A144</f>
        <v>143</v>
      </c>
      <c r="B144" s="2">
        <f>DATE(Sintesi!$C$4-1,12,31)+A144</f>
        <v>44339</v>
      </c>
      <c r="C144" s="34">
        <f t="array" ref="C144">_xlfn.IFNA(MATCH(1,((_xlfn.ANCHORARRAY(Sintesi!$C$9)&gt;_xlfn.ANCHORARRAY(Sintesi!$C$10))*(A144&gt;=_xlfn.ANCHORARRAY(Sintesi!$C$9))+(_xlfn.ANCHORARRAY(Sintesi!$C$9)&gt;_xlfn.ANCHORARRAY(Sintesi!$C$10))*(A144&lt;=_xlfn.ANCHORARRAY(Sintesi!$C$10))+(_xlfn.ANCHORARRAY(Sintesi!$C$9)&lt;_xlfn.ANCHORARRAY(Sintesi!$C$10))*(A144&gt;=_xlfn.ANCHORARRAY(Sintesi!$C$9))*(A144&lt;=_xlfn.ANCHORARRAY(Sintesi!$C$10)))*(_xlfn.ANCHORARRAY(Sintesi!$C$15)&gt;=0)+(_xlfn.ANCHORARRAY(Sintesi!$C$15)&lt;0),0),0)</f>
        <v>1</v>
      </c>
      <c r="D144" s="1">
        <f t="array" ref="D144">IF(ISBLANK($E145),IF(ISNUMBER($E143),IF($C144&gt;0,IF(($E144=INDEX(_xlfn.ANCHORARRAY(Sintesi!$C$14),1,$C144))*(INDEX(_xlfn.ANCHORARRAY(Sintesi!$C$15),1,$C144)&gt;0),0,IF(($E144=INDEX(_xlfn.ANCHORARRAY(Sintesi!$C$14),1,$C144))*(INDEX(_xlfn.ANCHORARRAY(Sintesi!$C$15),1,$C144)&lt;0)+($E144&gt;=$E143)*($E144&lt;=INDEX($E:$E,MATCH(TRUE,INDEX((ISNUMBER($E:$E)),0),0)))*($E144&gt;INDEX(_xlfn.ANCHORARRAY(Sintesi!$C$14),1,$C144))*($E144&lt;=INDEX(_xlfn.ANCHORARRAY(Sintesi!$C$15),1,$C144))*(INDEX(_xlfn.ANCHORARRAY(Sintesi!$C$15),1,$C144)&gt;0),1,IF(($E144&gt;=$E143)*($E144&lt;=INDEX($E:$E,MATCH(TRUE,INDEX((ISNUMBER($E:$E)),0),0)))*($E144&gt;INDEX(_xlfn.ANCHORARRAY(Sintesi!$C$14),1,$C144))*($E144&lt;INDEX(_xlfn.ANCHORARRAY(Sintesi!$C$16),1,$C144))*(INDEX(_xlfn.ANCHORARRAY(Sintesi!$C$15),1,$C144)&lt;0)+($E144&gt;=$E143)*($E144&lt;=INDEX($E:$E,MATCH(TRUE,INDEX((ISNUMBER($E:$E)),0),0)))*($E144&gt;INDEX(_xlfn.ANCHORARRAY(Sintesi!$C$15),1,$C144))*($E144&lt;INDEX(_xlfn.ANCHORARRAY(Sintesi!$C$16),1,$C144))*(INDEX(_xlfn.ANCHORARRAY(Sintesi!$C$15),1,$C144)&gt;0),2,IF($E144=(INDEX(_xlfn.ANCHORARRAY(Sintesi!$C$16),1,$C144)),3,4)))),0),IF($C144&gt;0,IF(($E144=INDEX(_xlfn.ANCHORARRAY(Sintesi!$C$14),1,$C144))*(INDEX(_xlfn.ANCHORARRAY(Sintesi!$C$15),1,$C144)&gt;0),0,IF(($E144=INDEX(_xlfn.ANCHORARRAY(Sintesi!$C$14),1,$C144))*(INDEX(_xlfn.ANCHORARRAY(Sintesi!$C$15),1,$C144)&lt;0)+($E144&gt;=LOOKUP(2,1/($E:$E&lt;&gt;""),$E:$E))*($E144&lt;=INDEX($E:$E,MATCH(TRUE,INDEX((ISNUMBER($E:$E)),0),0)))*($E144&gt;INDEX(_xlfn.ANCHORARRAY(Sintesi!$C$14),1,$C144))*($E144&lt;=INDEX(_xlfn.ANCHORARRAY(Sintesi!$C$15),1,$C144))*(INDEX(_xlfn.ANCHORARRAY(Sintesi!$C$15),1,$C144)&gt;0),1,IF(($E144&gt;=LOOKUP(2,1/($E:$E&lt;&gt;""),$E:$E))*($E144&lt;=INDEX($E:$E,MATCH(TRUE,INDEX((ISNUMBER($E:$E)),0),0)))*($E144&gt;INDEX(_xlfn.ANCHORARRAY(Sintesi!$C$14),1,$C144))*($E144&lt;INDEX(_xlfn.ANCHORARRAY(Sintesi!$C$16),1,$C144))*(INDEX(_xlfn.ANCHORARRAY(Sintesi!$C$15),1,$C144)&lt;0)+($E144&gt;=LOOKUP(2,1/($E:$E&lt;&gt;""),$E:$E))*($E144&lt;=INDEX($E:$E,MATCH(TRUE,INDEX((ISNUMBER($E:$E)),0),0)))*($E144&gt;INDEX(_xlfn.ANCHORARRAY(Sintesi!$C$15),1,$C144))*($E144&lt;INDEX(_xlfn.ANCHORARRAY(Sintesi!$C$16),1,$C144))*(INDEX(_xlfn.ANCHORARRAY(Sintesi!$C$15),1,$C144)&gt;0),2,IF($E144=(INDEX(_xlfn.ANCHORARRAY(Sintesi!$C$16),1,$C144)),3,4)))),0)),IF(ISNUMBER($E143),IF($C144&gt;0,IF(($E144=INDEX(_xlfn.ANCHORARRAY(Sintesi!$C$14),1,$C144))*(INDEX(_xlfn.ANCHORARRAY(Sintesi!$C$15),1,$C144)&gt;0),0,IF(($E144=INDEX(_xlfn.ANCHORARRAY(Sintesi!$C$14),1,$C144))*(INDEX(_xlfn.ANCHORARRAY(Sintesi!$C$15),1,$C144)&lt;0)+($E144&gt;=$E143)*($E144&lt;=$E145)*($E144&gt;INDEX(_xlfn.ANCHORARRAY(Sintesi!$C$14),1,$C144))*($E144&lt;=INDEX(_xlfn.ANCHORARRAY(Sintesi!$C$15),1,$C144))*(INDEX(_xlfn.ANCHORARRAY(Sintesi!$C$15),1,$C144)&gt;0),1,IF(($E144&gt;=$E143)*($E144&lt;=$E145)*($E144&gt;INDEX(_xlfn.ANCHORARRAY(Sintesi!$C$14),1,$C144))*($E144&lt;INDEX(_xlfn.ANCHORARRAY(Sintesi!$C$16),1,$C144))*(INDEX(_xlfn.ANCHORARRAY(Sintesi!$C$15),1,$C144)&lt;0)+($E144&gt;=$E143)*($E144&lt;=$E145)*($E144&gt;INDEX(_xlfn.ANCHORARRAY(Sintesi!$C$15),1,$C144))*($E144&lt;INDEX(_xlfn.ANCHORARRAY(Sintesi!$C$16),1,$C144))*(INDEX(_xlfn.ANCHORARRAY(Sintesi!$C$15),1,$C144)&gt;0),2,IF($E144=(INDEX(_xlfn.ANCHORARRAY(Sintesi!$C$16),1,$C144)),3,4)))),0),IF($C144&gt;0,IF(($E144=INDEX(_xlfn.ANCHORARRAY(Sintesi!$C$14),1,$C144))*(INDEX(_xlfn.ANCHORARRAY(Sintesi!$C$15),1,$C144)&gt;0),0,IF(($E144=INDEX(_xlfn.ANCHORARRAY(Sintesi!$C$14),1,$C144))*(INDEX(_xlfn.ANCHORARRAY(Sintesi!$C$15),1,$C144)&lt;0)+($E144&gt;=LOOKUP(2,1/($E:$E&lt;&gt;""),$E:$E))*($E144&lt;=$E145)*($E144&gt;INDEX(_xlfn.ANCHORARRAY(Sintesi!$C$14),1,$C144))*($E144&lt;=INDEX(_xlfn.ANCHORARRAY(Sintesi!$C$15),1,$C144))*(INDEX(_xlfn.ANCHORARRAY(Sintesi!$C$15),1,$C144)&gt;0),1,IF(($E144&gt;=LOOKUP(2,1/($E:$E&lt;&gt;""),$E:$E))*($E144&lt;=$E145)*($E144&gt;INDEX(_xlfn.ANCHORARRAY(Sintesi!$C$14),1,$C144))*($E144&lt;INDEX(_xlfn.ANCHORARRAY(Sintesi!$C$16),1,$C144))*(INDEX(_xlfn.ANCHORARRAY(Sintesi!$C$15),1,$C144)&lt;0)+($E144&gt;=LOOKUP(2,1/($E:$E&lt;&gt;""),$E:$E))*($E144&lt;=$E145)*($E144&gt;INDEX(_xlfn.ANCHORARRAY(Sintesi!$C$15),1,$C144))*($E144&lt;INDEX(_xlfn.ANCHORARRAY(Sintesi!$C$16),1,$C144))*(INDEX(_xlfn.ANCHORARRAY(Sintesi!$C$15),1,$C144)&gt;0),2,IF($E144=(INDEX(_xlfn.ANCHORARRAY(Sintesi!$C$16),1,$C144)),3,4)))),0)))</f>
        <v>2</v>
      </c>
      <c r="E144" s="1">
        <f>'Paste cell here'!F144</f>
        <v>0.33800000000000002</v>
      </c>
      <c r="F144" s="1">
        <f>'Paste cell here'!C144</f>
        <v>26.03999999999963</v>
      </c>
      <c r="G144" s="1">
        <f>'Paste cell here'!D144</f>
        <v>14.539999999999806</v>
      </c>
      <c r="H144" s="1">
        <f>'Paste cell here'!E144</f>
        <v>4.7201666612896442</v>
      </c>
      <c r="I144" s="1">
        <f>'Paste cell here'!X144</f>
        <v>1.5953238039679087</v>
      </c>
      <c r="J144" s="1">
        <f>'Paste cell here'!Y144+'Paste cell here'!S144</f>
        <v>1.5953238039679087</v>
      </c>
      <c r="K144" s="1">
        <f t="shared" si="4"/>
        <v>0.33798039739809405</v>
      </c>
      <c r="L144" s="1">
        <f t="shared" si="5"/>
        <v>22.307105947463693</v>
      </c>
      <c r="M144" s="1">
        <f t="array" ref="M144">IF(AND(A144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144&gt;=_xlfn.ANCHORARRAY(Sintesi!$C$9))+(_xlfn.ANCHORARRAY(Sintesi!$C$9)&gt;_xlfn.ANCHORARRAY(Sintesi!$C$10))*(A144&lt;=_xlfn.ANCHORARRAY(Sintesi!$C$10))+(_xlfn.ANCHORARRAY(Sintesi!$C$9)&lt;_xlfn.ANCHORARRAY(Sintesi!$C$10))*(A144&gt;=_xlfn.ANCHORARRAY(Sintesi!$C$9))*(A144&lt;=_xlfn.ANCHORARRAY(Sintesi!$C$10)),0)),0),A144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145&gt;=_xlfn.ANCHORARRAY(Sintesi!$C$9))+(_xlfn.ANCHORARRAY(Sintesi!$C$9)&gt;_xlfn.ANCHORARRAY(Sintesi!$C$10))*(A145&lt;=_xlfn.ANCHORARRAY(Sintesi!$C$10))+(_xlfn.ANCHORARRAY(Sintesi!$C$9)&lt;_xlfn.ANCHORARRAY(Sintesi!$C$10))*(A145&gt;=_xlfn.ANCHORARRAY(Sintesi!$C$9))*(A145&lt;=_xlfn.ANCHORARRAY(Sintesi!$C$10)),0)),0)),IF(L144&lt;_xlfn.IFNA(INDEX(_xlfn.ANCHORARRAY(Sintesi!$C$17),1,MATCH(1,(_xlfn.ANCHORARRAY(Sintesi!$C$9)&gt;_xlfn.ANCHORARRAY(Sintesi!$C$10))*(A143&gt;=_xlfn.ANCHORARRAY(Sintesi!$C$9))+(_xlfn.ANCHORARRAY(Sintesi!$C$9)&gt;_xlfn.ANCHORARRAY(Sintesi!$C$10))*(A143&lt;=_xlfn.ANCHORARRAY(Sintesi!$C$10))+(_xlfn.ANCHORARRAY(Sintesi!$C$9)&lt;_xlfn.ANCHORARRAY(Sintesi!$C$10))*(A143&gt;=_xlfn.ANCHORARRAY(Sintesi!$C$9))*(A143&lt;=_xlfn.ANCHORARRAY(Sintesi!$C$10)),0)),0),1,IF(L144&gt;=_xlfn.IFNA(INDEX(_xlfn.ANCHORARRAY(Sintesi!$C$18),1,MATCH(1,(_xlfn.ANCHORARRAY(Sintesi!$C$9)&gt;_xlfn.ANCHORARRAY(Sintesi!$C$10))*(A143&gt;=_xlfn.ANCHORARRAY(Sintesi!$C$9))+(_xlfn.ANCHORARRAY(Sintesi!$C$9)&gt;_xlfn.ANCHORARRAY(Sintesi!$C$10))*(A143&lt;=_xlfn.ANCHORARRAY(Sintesi!$C$10))+(_xlfn.ANCHORARRAY(Sintesi!$C$9)&lt;_xlfn.ANCHORARRAY(Sintesi!$C$10))*(A143&gt;=_xlfn.ANCHORARRAY(Sintesi!$C$9))*(A143&lt;=_xlfn.ANCHORARRAY(Sintesi!$C$10)),0)),0),0,1-(L144-_xlfn.IFNA(INDEX(_xlfn.ANCHORARRAY(Sintesi!$C$17),1,MATCH(1,(_xlfn.ANCHORARRAY(Sintesi!$C$9)&gt;_xlfn.ANCHORARRAY(Sintesi!$C$10))*(A143&gt;=_xlfn.ANCHORARRAY(Sintesi!$C$9))+(_xlfn.ANCHORARRAY(Sintesi!$C$9)&gt;_xlfn.ANCHORARRAY(Sintesi!$C$10))*(A143&lt;=_xlfn.ANCHORARRAY(Sintesi!$C$10))+(_xlfn.ANCHORARRAY(Sintesi!$C$9)&lt;_xlfn.ANCHORARRAY(Sintesi!$C$10))*(A143&gt;=_xlfn.ANCHORARRAY(Sintesi!$C$9))*(A143&lt;=_xlfn.ANCHORARRAY(Sintesi!$C$10)),0)),0))/(_xlfn.IFNA(INDEX(_xlfn.ANCHORARRAY(Sintesi!$C$18),1,MATCH(1,(_xlfn.ANCHORARRAY(Sintesi!$C$9)&gt;_xlfn.ANCHORARRAY(Sintesi!$C$10))*(A143&gt;=_xlfn.ANCHORARRAY(Sintesi!$C$9))+(_xlfn.ANCHORARRAY(Sintesi!$C$9)&gt;_xlfn.ANCHORARRAY(Sintesi!$C$10))*(A143&lt;=_xlfn.ANCHORARRAY(Sintesi!$C$10))+(_xlfn.ANCHORARRAY(Sintesi!$C$9)&lt;_xlfn.ANCHORARRAY(Sintesi!$C$10))*(A143&gt;=_xlfn.ANCHORARRAY(Sintesi!$C$9))*(A143&lt;=_xlfn.ANCHORARRAY(Sintesi!$C$10)),0)),0)-_xlfn.IFNA(INDEX(_xlfn.ANCHORARRAY(Sintesi!$C$17),1,MATCH(1,(_xlfn.ANCHORARRAY(Sintesi!$C$9)&gt;_xlfn.ANCHORARRAY(Sintesi!$C$10))*(A143&gt;=_xlfn.ANCHORARRAY(Sintesi!$C$9))+(_xlfn.ANCHORARRAY(Sintesi!$C$9)&gt;_xlfn.ANCHORARRAY(Sintesi!$C$10))*(A143&lt;=_xlfn.ANCHORARRAY(Sintesi!$C$10))+(_xlfn.ANCHORARRAY(Sintesi!$C$9)&lt;_xlfn.ANCHORARRAY(Sintesi!$C$10))*(A143&gt;=_xlfn.ANCHORARRAY(Sintesi!$C$9))*(A143&lt;=_xlfn.ANCHORARRAY(Sintesi!$C$10)),0)),0)))),0)</f>
        <v>0</v>
      </c>
    </row>
    <row r="145" spans="1:13">
      <c r="A145" s="1">
        <f>'Paste cell here'!A145</f>
        <v>144</v>
      </c>
      <c r="B145" s="2">
        <f>DATE(Sintesi!$C$4-1,12,31)+A145</f>
        <v>44340</v>
      </c>
      <c r="C145" s="34">
        <f t="array" ref="C145">_xlfn.IFNA(MATCH(1,((_xlfn.ANCHORARRAY(Sintesi!$C$9)&gt;_xlfn.ANCHORARRAY(Sintesi!$C$10))*(A145&gt;=_xlfn.ANCHORARRAY(Sintesi!$C$9))+(_xlfn.ANCHORARRAY(Sintesi!$C$9)&gt;_xlfn.ANCHORARRAY(Sintesi!$C$10))*(A145&lt;=_xlfn.ANCHORARRAY(Sintesi!$C$10))+(_xlfn.ANCHORARRAY(Sintesi!$C$9)&lt;_xlfn.ANCHORARRAY(Sintesi!$C$10))*(A145&gt;=_xlfn.ANCHORARRAY(Sintesi!$C$9))*(A145&lt;=_xlfn.ANCHORARRAY(Sintesi!$C$10)))*(_xlfn.ANCHORARRAY(Sintesi!$C$15)&gt;=0)+(_xlfn.ANCHORARRAY(Sintesi!$C$15)&lt;0),0),0)</f>
        <v>1</v>
      </c>
      <c r="D145" s="1">
        <f t="array" ref="D145">IF(ISBLANK($E146),IF(ISNUMBER($E144),IF($C145&gt;0,IF(($E145=INDEX(_xlfn.ANCHORARRAY(Sintesi!$C$14),1,$C145))*(INDEX(_xlfn.ANCHORARRAY(Sintesi!$C$15),1,$C145)&gt;0),0,IF(($E145=INDEX(_xlfn.ANCHORARRAY(Sintesi!$C$14),1,$C145))*(INDEX(_xlfn.ANCHORARRAY(Sintesi!$C$15),1,$C145)&lt;0)+($E145&gt;=$E144)*($E145&lt;=INDEX($E:$E,MATCH(TRUE,INDEX((ISNUMBER($E:$E)),0),0)))*($E145&gt;INDEX(_xlfn.ANCHORARRAY(Sintesi!$C$14),1,$C145))*($E145&lt;=INDEX(_xlfn.ANCHORARRAY(Sintesi!$C$15),1,$C145))*(INDEX(_xlfn.ANCHORARRAY(Sintesi!$C$15),1,$C145)&gt;0),1,IF(($E145&gt;=$E144)*($E145&lt;=INDEX($E:$E,MATCH(TRUE,INDEX((ISNUMBER($E:$E)),0),0)))*($E145&gt;INDEX(_xlfn.ANCHORARRAY(Sintesi!$C$14),1,$C145))*($E145&lt;INDEX(_xlfn.ANCHORARRAY(Sintesi!$C$16),1,$C145))*(INDEX(_xlfn.ANCHORARRAY(Sintesi!$C$15),1,$C145)&lt;0)+($E145&gt;=$E144)*($E145&lt;=INDEX($E:$E,MATCH(TRUE,INDEX((ISNUMBER($E:$E)),0),0)))*($E145&gt;INDEX(_xlfn.ANCHORARRAY(Sintesi!$C$15),1,$C145))*($E145&lt;INDEX(_xlfn.ANCHORARRAY(Sintesi!$C$16),1,$C145))*(INDEX(_xlfn.ANCHORARRAY(Sintesi!$C$15),1,$C145)&gt;0),2,IF($E145=(INDEX(_xlfn.ANCHORARRAY(Sintesi!$C$16),1,$C145)),3,4)))),0),IF($C145&gt;0,IF(($E145=INDEX(_xlfn.ANCHORARRAY(Sintesi!$C$14),1,$C145))*(INDEX(_xlfn.ANCHORARRAY(Sintesi!$C$15),1,$C145)&gt;0),0,IF(($E145=INDEX(_xlfn.ANCHORARRAY(Sintesi!$C$14),1,$C145))*(INDEX(_xlfn.ANCHORARRAY(Sintesi!$C$15),1,$C145)&lt;0)+($E145&gt;=LOOKUP(2,1/($E:$E&lt;&gt;""),$E:$E))*($E145&lt;=INDEX($E:$E,MATCH(TRUE,INDEX((ISNUMBER($E:$E)),0),0)))*($E145&gt;INDEX(_xlfn.ANCHORARRAY(Sintesi!$C$14),1,$C145))*($E145&lt;=INDEX(_xlfn.ANCHORARRAY(Sintesi!$C$15),1,$C145))*(INDEX(_xlfn.ANCHORARRAY(Sintesi!$C$15),1,$C145)&gt;0),1,IF(($E145&gt;=LOOKUP(2,1/($E:$E&lt;&gt;""),$E:$E))*($E145&lt;=INDEX($E:$E,MATCH(TRUE,INDEX((ISNUMBER($E:$E)),0),0)))*($E145&gt;INDEX(_xlfn.ANCHORARRAY(Sintesi!$C$14),1,$C145))*($E145&lt;INDEX(_xlfn.ANCHORARRAY(Sintesi!$C$16),1,$C145))*(INDEX(_xlfn.ANCHORARRAY(Sintesi!$C$15),1,$C145)&lt;0)+($E145&gt;=LOOKUP(2,1/($E:$E&lt;&gt;""),$E:$E))*($E145&lt;=INDEX($E:$E,MATCH(TRUE,INDEX((ISNUMBER($E:$E)),0),0)))*($E145&gt;INDEX(_xlfn.ANCHORARRAY(Sintesi!$C$15),1,$C145))*($E145&lt;INDEX(_xlfn.ANCHORARRAY(Sintesi!$C$16),1,$C145))*(INDEX(_xlfn.ANCHORARRAY(Sintesi!$C$15),1,$C145)&gt;0),2,IF($E145=(INDEX(_xlfn.ANCHORARRAY(Sintesi!$C$16),1,$C145)),3,4)))),0)),IF(ISNUMBER($E144),IF($C145&gt;0,IF(($E145=INDEX(_xlfn.ANCHORARRAY(Sintesi!$C$14),1,$C145))*(INDEX(_xlfn.ANCHORARRAY(Sintesi!$C$15),1,$C145)&gt;0),0,IF(($E145=INDEX(_xlfn.ANCHORARRAY(Sintesi!$C$14),1,$C145))*(INDEX(_xlfn.ANCHORARRAY(Sintesi!$C$15),1,$C145)&lt;0)+($E145&gt;=$E144)*($E145&lt;=$E146)*($E145&gt;INDEX(_xlfn.ANCHORARRAY(Sintesi!$C$14),1,$C145))*($E145&lt;=INDEX(_xlfn.ANCHORARRAY(Sintesi!$C$15),1,$C145))*(INDEX(_xlfn.ANCHORARRAY(Sintesi!$C$15),1,$C145)&gt;0),1,IF(($E145&gt;=$E144)*($E145&lt;=$E146)*($E145&gt;INDEX(_xlfn.ANCHORARRAY(Sintesi!$C$14),1,$C145))*($E145&lt;INDEX(_xlfn.ANCHORARRAY(Sintesi!$C$16),1,$C145))*(INDEX(_xlfn.ANCHORARRAY(Sintesi!$C$15),1,$C145)&lt;0)+($E145&gt;=$E144)*($E145&lt;=$E146)*($E145&gt;INDEX(_xlfn.ANCHORARRAY(Sintesi!$C$15),1,$C145))*($E145&lt;INDEX(_xlfn.ANCHORARRAY(Sintesi!$C$16),1,$C145))*(INDEX(_xlfn.ANCHORARRAY(Sintesi!$C$15),1,$C145)&gt;0),2,IF($E145=(INDEX(_xlfn.ANCHORARRAY(Sintesi!$C$16),1,$C145)),3,4)))),0),IF($C145&gt;0,IF(($E145=INDEX(_xlfn.ANCHORARRAY(Sintesi!$C$14),1,$C145))*(INDEX(_xlfn.ANCHORARRAY(Sintesi!$C$15),1,$C145)&gt;0),0,IF(($E145=INDEX(_xlfn.ANCHORARRAY(Sintesi!$C$14),1,$C145))*(INDEX(_xlfn.ANCHORARRAY(Sintesi!$C$15),1,$C145)&lt;0)+($E145&gt;=LOOKUP(2,1/($E:$E&lt;&gt;""),$E:$E))*($E145&lt;=$E146)*($E145&gt;INDEX(_xlfn.ANCHORARRAY(Sintesi!$C$14),1,$C145))*($E145&lt;=INDEX(_xlfn.ANCHORARRAY(Sintesi!$C$15),1,$C145))*(INDEX(_xlfn.ANCHORARRAY(Sintesi!$C$15),1,$C145)&gt;0),1,IF(($E145&gt;=LOOKUP(2,1/($E:$E&lt;&gt;""),$E:$E))*($E145&lt;=$E146)*($E145&gt;INDEX(_xlfn.ANCHORARRAY(Sintesi!$C$14),1,$C145))*($E145&lt;INDEX(_xlfn.ANCHORARRAY(Sintesi!$C$16),1,$C145))*(INDEX(_xlfn.ANCHORARRAY(Sintesi!$C$15),1,$C145)&lt;0)+($E145&gt;=LOOKUP(2,1/($E:$E&lt;&gt;""),$E:$E))*($E145&lt;=$E146)*($E145&gt;INDEX(_xlfn.ANCHORARRAY(Sintesi!$C$15),1,$C145))*($E145&lt;INDEX(_xlfn.ANCHORARRAY(Sintesi!$C$16),1,$C145))*(INDEX(_xlfn.ANCHORARRAY(Sintesi!$C$15),1,$C145)&gt;0),2,IF($E145=(INDEX(_xlfn.ANCHORARRAY(Sintesi!$C$16),1,$C145)),3,4)))),0)))</f>
        <v>2</v>
      </c>
      <c r="E145" s="1">
        <f>'Paste cell here'!F145</f>
        <v>0.35899999999999999</v>
      </c>
      <c r="F145" s="1">
        <f>'Paste cell here'!C145</f>
        <v>15.599999999999774</v>
      </c>
      <c r="G145" s="1">
        <f>'Paste cell here'!D145</f>
        <v>12.979999999999812</v>
      </c>
      <c r="H145" s="1">
        <f>'Paste cell here'!E145</f>
        <v>1.1382133872978417</v>
      </c>
      <c r="I145" s="1">
        <f>'Paste cell here'!X145</f>
        <v>0.40859402724355981</v>
      </c>
      <c r="J145" s="1">
        <f>'Paste cell here'!Y145+'Paste cell here'!S145</f>
        <v>0.40859402724355981</v>
      </c>
      <c r="K145" s="1">
        <f t="shared" si="4"/>
        <v>0.35897840580980717</v>
      </c>
      <c r="L145" s="1">
        <f t="shared" si="5"/>
        <v>14.749549354987238</v>
      </c>
      <c r="M145" s="1">
        <f t="array" ref="M145">IF(AND(A145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145&gt;=_xlfn.ANCHORARRAY(Sintesi!$C$9))+(_xlfn.ANCHORARRAY(Sintesi!$C$9)&gt;_xlfn.ANCHORARRAY(Sintesi!$C$10))*(A145&lt;=_xlfn.ANCHORARRAY(Sintesi!$C$10))+(_xlfn.ANCHORARRAY(Sintesi!$C$9)&lt;_xlfn.ANCHORARRAY(Sintesi!$C$10))*(A145&gt;=_xlfn.ANCHORARRAY(Sintesi!$C$9))*(A145&lt;=_xlfn.ANCHORARRAY(Sintesi!$C$10)),0)),0),A145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146&gt;=_xlfn.ANCHORARRAY(Sintesi!$C$9))+(_xlfn.ANCHORARRAY(Sintesi!$C$9)&gt;_xlfn.ANCHORARRAY(Sintesi!$C$10))*(A146&lt;=_xlfn.ANCHORARRAY(Sintesi!$C$10))+(_xlfn.ANCHORARRAY(Sintesi!$C$9)&lt;_xlfn.ANCHORARRAY(Sintesi!$C$10))*(A146&gt;=_xlfn.ANCHORARRAY(Sintesi!$C$9))*(A146&lt;=_xlfn.ANCHORARRAY(Sintesi!$C$10)),0)),0)),IF(L145&lt;_xlfn.IFNA(INDEX(_xlfn.ANCHORARRAY(Sintesi!$C$17),1,MATCH(1,(_xlfn.ANCHORARRAY(Sintesi!$C$9)&gt;_xlfn.ANCHORARRAY(Sintesi!$C$10))*(A144&gt;=_xlfn.ANCHORARRAY(Sintesi!$C$9))+(_xlfn.ANCHORARRAY(Sintesi!$C$9)&gt;_xlfn.ANCHORARRAY(Sintesi!$C$10))*(A144&lt;=_xlfn.ANCHORARRAY(Sintesi!$C$10))+(_xlfn.ANCHORARRAY(Sintesi!$C$9)&lt;_xlfn.ANCHORARRAY(Sintesi!$C$10))*(A144&gt;=_xlfn.ANCHORARRAY(Sintesi!$C$9))*(A144&lt;=_xlfn.ANCHORARRAY(Sintesi!$C$10)),0)),0),1,IF(L145&gt;=_xlfn.IFNA(INDEX(_xlfn.ANCHORARRAY(Sintesi!$C$18),1,MATCH(1,(_xlfn.ANCHORARRAY(Sintesi!$C$9)&gt;_xlfn.ANCHORARRAY(Sintesi!$C$10))*(A144&gt;=_xlfn.ANCHORARRAY(Sintesi!$C$9))+(_xlfn.ANCHORARRAY(Sintesi!$C$9)&gt;_xlfn.ANCHORARRAY(Sintesi!$C$10))*(A144&lt;=_xlfn.ANCHORARRAY(Sintesi!$C$10))+(_xlfn.ANCHORARRAY(Sintesi!$C$9)&lt;_xlfn.ANCHORARRAY(Sintesi!$C$10))*(A144&gt;=_xlfn.ANCHORARRAY(Sintesi!$C$9))*(A144&lt;=_xlfn.ANCHORARRAY(Sintesi!$C$10)),0)),0),0,1-(L145-_xlfn.IFNA(INDEX(_xlfn.ANCHORARRAY(Sintesi!$C$17),1,MATCH(1,(_xlfn.ANCHORARRAY(Sintesi!$C$9)&gt;_xlfn.ANCHORARRAY(Sintesi!$C$10))*(A144&gt;=_xlfn.ANCHORARRAY(Sintesi!$C$9))+(_xlfn.ANCHORARRAY(Sintesi!$C$9)&gt;_xlfn.ANCHORARRAY(Sintesi!$C$10))*(A144&lt;=_xlfn.ANCHORARRAY(Sintesi!$C$10))+(_xlfn.ANCHORARRAY(Sintesi!$C$9)&lt;_xlfn.ANCHORARRAY(Sintesi!$C$10))*(A144&gt;=_xlfn.ANCHORARRAY(Sintesi!$C$9))*(A144&lt;=_xlfn.ANCHORARRAY(Sintesi!$C$10)),0)),0))/(_xlfn.IFNA(INDEX(_xlfn.ANCHORARRAY(Sintesi!$C$18),1,MATCH(1,(_xlfn.ANCHORARRAY(Sintesi!$C$9)&gt;_xlfn.ANCHORARRAY(Sintesi!$C$10))*(A144&gt;=_xlfn.ANCHORARRAY(Sintesi!$C$9))+(_xlfn.ANCHORARRAY(Sintesi!$C$9)&gt;_xlfn.ANCHORARRAY(Sintesi!$C$10))*(A144&lt;=_xlfn.ANCHORARRAY(Sintesi!$C$10))+(_xlfn.ANCHORARRAY(Sintesi!$C$9)&lt;_xlfn.ANCHORARRAY(Sintesi!$C$10))*(A144&gt;=_xlfn.ANCHORARRAY(Sintesi!$C$9))*(A144&lt;=_xlfn.ANCHORARRAY(Sintesi!$C$10)),0)),0)-_xlfn.IFNA(INDEX(_xlfn.ANCHORARRAY(Sintesi!$C$17),1,MATCH(1,(_xlfn.ANCHORARRAY(Sintesi!$C$9)&gt;_xlfn.ANCHORARRAY(Sintesi!$C$10))*(A144&gt;=_xlfn.ANCHORARRAY(Sintesi!$C$9))+(_xlfn.ANCHORARRAY(Sintesi!$C$9)&gt;_xlfn.ANCHORARRAY(Sintesi!$C$10))*(A144&lt;=_xlfn.ANCHORARRAY(Sintesi!$C$10))+(_xlfn.ANCHORARRAY(Sintesi!$C$9)&lt;_xlfn.ANCHORARRAY(Sintesi!$C$10))*(A144&gt;=_xlfn.ANCHORARRAY(Sintesi!$C$9))*(A144&lt;=_xlfn.ANCHORARRAY(Sintesi!$C$10)),0)),0)))),0)</f>
        <v>0</v>
      </c>
    </row>
    <row r="146" spans="1:13">
      <c r="A146" s="1">
        <f>'Paste cell here'!A146</f>
        <v>145</v>
      </c>
      <c r="B146" s="2">
        <f>DATE(Sintesi!$C$4-1,12,31)+A146</f>
        <v>44341</v>
      </c>
      <c r="C146" s="34">
        <f t="array" ref="C146">_xlfn.IFNA(MATCH(1,((_xlfn.ANCHORARRAY(Sintesi!$C$9)&gt;_xlfn.ANCHORARRAY(Sintesi!$C$10))*(A146&gt;=_xlfn.ANCHORARRAY(Sintesi!$C$9))+(_xlfn.ANCHORARRAY(Sintesi!$C$9)&gt;_xlfn.ANCHORARRAY(Sintesi!$C$10))*(A146&lt;=_xlfn.ANCHORARRAY(Sintesi!$C$10))+(_xlfn.ANCHORARRAY(Sintesi!$C$9)&lt;_xlfn.ANCHORARRAY(Sintesi!$C$10))*(A146&gt;=_xlfn.ANCHORARRAY(Sintesi!$C$9))*(A146&lt;=_xlfn.ANCHORARRAY(Sintesi!$C$10)))*(_xlfn.ANCHORARRAY(Sintesi!$C$15)&gt;=0)+(_xlfn.ANCHORARRAY(Sintesi!$C$15)&lt;0),0),0)</f>
        <v>1</v>
      </c>
      <c r="D146" s="1">
        <f t="array" ref="D146">IF(ISBLANK($E147),IF(ISNUMBER($E145),IF($C146&gt;0,IF(($E146=INDEX(_xlfn.ANCHORARRAY(Sintesi!$C$14),1,$C146))*(INDEX(_xlfn.ANCHORARRAY(Sintesi!$C$15),1,$C146)&gt;0),0,IF(($E146=INDEX(_xlfn.ANCHORARRAY(Sintesi!$C$14),1,$C146))*(INDEX(_xlfn.ANCHORARRAY(Sintesi!$C$15),1,$C146)&lt;0)+($E146&gt;=$E145)*($E146&lt;=INDEX($E:$E,MATCH(TRUE,INDEX((ISNUMBER($E:$E)),0),0)))*($E146&gt;INDEX(_xlfn.ANCHORARRAY(Sintesi!$C$14),1,$C146))*($E146&lt;=INDEX(_xlfn.ANCHORARRAY(Sintesi!$C$15),1,$C146))*(INDEX(_xlfn.ANCHORARRAY(Sintesi!$C$15),1,$C146)&gt;0),1,IF(($E146&gt;=$E145)*($E146&lt;=INDEX($E:$E,MATCH(TRUE,INDEX((ISNUMBER($E:$E)),0),0)))*($E146&gt;INDEX(_xlfn.ANCHORARRAY(Sintesi!$C$14),1,$C146))*($E146&lt;INDEX(_xlfn.ANCHORARRAY(Sintesi!$C$16),1,$C146))*(INDEX(_xlfn.ANCHORARRAY(Sintesi!$C$15),1,$C146)&lt;0)+($E146&gt;=$E145)*($E146&lt;=INDEX($E:$E,MATCH(TRUE,INDEX((ISNUMBER($E:$E)),0),0)))*($E146&gt;INDEX(_xlfn.ANCHORARRAY(Sintesi!$C$15),1,$C146))*($E146&lt;INDEX(_xlfn.ANCHORARRAY(Sintesi!$C$16),1,$C146))*(INDEX(_xlfn.ANCHORARRAY(Sintesi!$C$15),1,$C146)&gt;0),2,IF($E146=(INDEX(_xlfn.ANCHORARRAY(Sintesi!$C$16),1,$C146)),3,4)))),0),IF($C146&gt;0,IF(($E146=INDEX(_xlfn.ANCHORARRAY(Sintesi!$C$14),1,$C146))*(INDEX(_xlfn.ANCHORARRAY(Sintesi!$C$15),1,$C146)&gt;0),0,IF(($E146=INDEX(_xlfn.ANCHORARRAY(Sintesi!$C$14),1,$C146))*(INDEX(_xlfn.ANCHORARRAY(Sintesi!$C$15),1,$C146)&lt;0)+($E146&gt;=LOOKUP(2,1/($E:$E&lt;&gt;""),$E:$E))*($E146&lt;=INDEX($E:$E,MATCH(TRUE,INDEX((ISNUMBER($E:$E)),0),0)))*($E146&gt;INDEX(_xlfn.ANCHORARRAY(Sintesi!$C$14),1,$C146))*($E146&lt;=INDEX(_xlfn.ANCHORARRAY(Sintesi!$C$15),1,$C146))*(INDEX(_xlfn.ANCHORARRAY(Sintesi!$C$15),1,$C146)&gt;0),1,IF(($E146&gt;=LOOKUP(2,1/($E:$E&lt;&gt;""),$E:$E))*($E146&lt;=INDEX($E:$E,MATCH(TRUE,INDEX((ISNUMBER($E:$E)),0),0)))*($E146&gt;INDEX(_xlfn.ANCHORARRAY(Sintesi!$C$14),1,$C146))*($E146&lt;INDEX(_xlfn.ANCHORARRAY(Sintesi!$C$16),1,$C146))*(INDEX(_xlfn.ANCHORARRAY(Sintesi!$C$15),1,$C146)&lt;0)+($E146&gt;=LOOKUP(2,1/($E:$E&lt;&gt;""),$E:$E))*($E146&lt;=INDEX($E:$E,MATCH(TRUE,INDEX((ISNUMBER($E:$E)),0),0)))*($E146&gt;INDEX(_xlfn.ANCHORARRAY(Sintesi!$C$15),1,$C146))*($E146&lt;INDEX(_xlfn.ANCHORARRAY(Sintesi!$C$16),1,$C146))*(INDEX(_xlfn.ANCHORARRAY(Sintesi!$C$15),1,$C146)&gt;0),2,IF($E146=(INDEX(_xlfn.ANCHORARRAY(Sintesi!$C$16),1,$C146)),3,4)))),0)),IF(ISNUMBER($E145),IF($C146&gt;0,IF(($E146=INDEX(_xlfn.ANCHORARRAY(Sintesi!$C$14),1,$C146))*(INDEX(_xlfn.ANCHORARRAY(Sintesi!$C$15),1,$C146)&gt;0),0,IF(($E146=INDEX(_xlfn.ANCHORARRAY(Sintesi!$C$14),1,$C146))*(INDEX(_xlfn.ANCHORARRAY(Sintesi!$C$15),1,$C146)&lt;0)+($E146&gt;=$E145)*($E146&lt;=$E147)*($E146&gt;INDEX(_xlfn.ANCHORARRAY(Sintesi!$C$14),1,$C146))*($E146&lt;=INDEX(_xlfn.ANCHORARRAY(Sintesi!$C$15),1,$C146))*(INDEX(_xlfn.ANCHORARRAY(Sintesi!$C$15),1,$C146)&gt;0),1,IF(($E146&gt;=$E145)*($E146&lt;=$E147)*($E146&gt;INDEX(_xlfn.ANCHORARRAY(Sintesi!$C$14),1,$C146))*($E146&lt;INDEX(_xlfn.ANCHORARRAY(Sintesi!$C$16),1,$C146))*(INDEX(_xlfn.ANCHORARRAY(Sintesi!$C$15),1,$C146)&lt;0)+($E146&gt;=$E145)*($E146&lt;=$E147)*($E146&gt;INDEX(_xlfn.ANCHORARRAY(Sintesi!$C$15),1,$C146))*($E146&lt;INDEX(_xlfn.ANCHORARRAY(Sintesi!$C$16),1,$C146))*(INDEX(_xlfn.ANCHORARRAY(Sintesi!$C$15),1,$C146)&gt;0),2,IF($E146=(INDEX(_xlfn.ANCHORARRAY(Sintesi!$C$16),1,$C146)),3,4)))),0),IF($C146&gt;0,IF(($E146=INDEX(_xlfn.ANCHORARRAY(Sintesi!$C$14),1,$C146))*(INDEX(_xlfn.ANCHORARRAY(Sintesi!$C$15),1,$C146)&gt;0),0,IF(($E146=INDEX(_xlfn.ANCHORARRAY(Sintesi!$C$14),1,$C146))*(INDEX(_xlfn.ANCHORARRAY(Sintesi!$C$15),1,$C146)&lt;0)+($E146&gt;=LOOKUP(2,1/($E:$E&lt;&gt;""),$E:$E))*($E146&lt;=$E147)*($E146&gt;INDEX(_xlfn.ANCHORARRAY(Sintesi!$C$14),1,$C146))*($E146&lt;=INDEX(_xlfn.ANCHORARRAY(Sintesi!$C$15),1,$C146))*(INDEX(_xlfn.ANCHORARRAY(Sintesi!$C$15),1,$C146)&gt;0),1,IF(($E146&gt;=LOOKUP(2,1/($E:$E&lt;&gt;""),$E:$E))*($E146&lt;=$E147)*($E146&gt;INDEX(_xlfn.ANCHORARRAY(Sintesi!$C$14),1,$C146))*($E146&lt;INDEX(_xlfn.ANCHORARRAY(Sintesi!$C$16),1,$C146))*(INDEX(_xlfn.ANCHORARRAY(Sintesi!$C$15),1,$C146)&lt;0)+($E146&gt;=LOOKUP(2,1/($E:$E&lt;&gt;""),$E:$E))*($E146&lt;=$E147)*($E146&gt;INDEX(_xlfn.ANCHORARRAY(Sintesi!$C$15),1,$C146))*($E146&lt;INDEX(_xlfn.ANCHORARRAY(Sintesi!$C$16),1,$C146))*(INDEX(_xlfn.ANCHORARRAY(Sintesi!$C$15),1,$C146)&gt;0),2,IF($E146=(INDEX(_xlfn.ANCHORARRAY(Sintesi!$C$16),1,$C146)),3,4)))),0)))</f>
        <v>2</v>
      </c>
      <c r="E146" s="1">
        <f>'Paste cell here'!F146</f>
        <v>0.379</v>
      </c>
      <c r="F146" s="1">
        <f>'Paste cell here'!C146</f>
        <v>23.979999999999656</v>
      </c>
      <c r="G146" s="1">
        <f>'Paste cell here'!D146</f>
        <v>10.859999999999852</v>
      </c>
      <c r="H146" s="1">
        <f>'Paste cell here'!E146</f>
        <v>4.9330708922659738</v>
      </c>
      <c r="I146" s="1">
        <f>'Paste cell here'!X146</f>
        <v>1.8695173746516931</v>
      </c>
      <c r="J146" s="1">
        <f>'Paste cell here'!Y146+'Paste cell here'!S146</f>
        <v>1.8695173746516931</v>
      </c>
      <c r="K146" s="1">
        <f t="shared" si="4"/>
        <v>0.37897638519298527</v>
      </c>
      <c r="L146" s="1">
        <f t="shared" si="5"/>
        <v>19.721254785280394</v>
      </c>
      <c r="M146" s="1">
        <f t="array" ref="M146">IF(AND(A146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146&gt;=_xlfn.ANCHORARRAY(Sintesi!$C$9))+(_xlfn.ANCHORARRAY(Sintesi!$C$9)&gt;_xlfn.ANCHORARRAY(Sintesi!$C$10))*(A146&lt;=_xlfn.ANCHORARRAY(Sintesi!$C$10))+(_xlfn.ANCHORARRAY(Sintesi!$C$9)&lt;_xlfn.ANCHORARRAY(Sintesi!$C$10))*(A146&gt;=_xlfn.ANCHORARRAY(Sintesi!$C$9))*(A146&lt;=_xlfn.ANCHORARRAY(Sintesi!$C$10)),0)),0),A146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147&gt;=_xlfn.ANCHORARRAY(Sintesi!$C$9))+(_xlfn.ANCHORARRAY(Sintesi!$C$9)&gt;_xlfn.ANCHORARRAY(Sintesi!$C$10))*(A147&lt;=_xlfn.ANCHORARRAY(Sintesi!$C$10))+(_xlfn.ANCHORARRAY(Sintesi!$C$9)&lt;_xlfn.ANCHORARRAY(Sintesi!$C$10))*(A147&gt;=_xlfn.ANCHORARRAY(Sintesi!$C$9))*(A147&lt;=_xlfn.ANCHORARRAY(Sintesi!$C$10)),0)),0)),IF(L146&lt;_xlfn.IFNA(INDEX(_xlfn.ANCHORARRAY(Sintesi!$C$17),1,MATCH(1,(_xlfn.ANCHORARRAY(Sintesi!$C$9)&gt;_xlfn.ANCHORARRAY(Sintesi!$C$10))*(A145&gt;=_xlfn.ANCHORARRAY(Sintesi!$C$9))+(_xlfn.ANCHORARRAY(Sintesi!$C$9)&gt;_xlfn.ANCHORARRAY(Sintesi!$C$10))*(A145&lt;=_xlfn.ANCHORARRAY(Sintesi!$C$10))+(_xlfn.ANCHORARRAY(Sintesi!$C$9)&lt;_xlfn.ANCHORARRAY(Sintesi!$C$10))*(A145&gt;=_xlfn.ANCHORARRAY(Sintesi!$C$9))*(A145&lt;=_xlfn.ANCHORARRAY(Sintesi!$C$10)),0)),0),1,IF(L146&gt;=_xlfn.IFNA(INDEX(_xlfn.ANCHORARRAY(Sintesi!$C$18),1,MATCH(1,(_xlfn.ANCHORARRAY(Sintesi!$C$9)&gt;_xlfn.ANCHORARRAY(Sintesi!$C$10))*(A145&gt;=_xlfn.ANCHORARRAY(Sintesi!$C$9))+(_xlfn.ANCHORARRAY(Sintesi!$C$9)&gt;_xlfn.ANCHORARRAY(Sintesi!$C$10))*(A145&lt;=_xlfn.ANCHORARRAY(Sintesi!$C$10))+(_xlfn.ANCHORARRAY(Sintesi!$C$9)&lt;_xlfn.ANCHORARRAY(Sintesi!$C$10))*(A145&gt;=_xlfn.ANCHORARRAY(Sintesi!$C$9))*(A145&lt;=_xlfn.ANCHORARRAY(Sintesi!$C$10)),0)),0),0,1-(L146-_xlfn.IFNA(INDEX(_xlfn.ANCHORARRAY(Sintesi!$C$17),1,MATCH(1,(_xlfn.ANCHORARRAY(Sintesi!$C$9)&gt;_xlfn.ANCHORARRAY(Sintesi!$C$10))*(A145&gt;=_xlfn.ANCHORARRAY(Sintesi!$C$9))+(_xlfn.ANCHORARRAY(Sintesi!$C$9)&gt;_xlfn.ANCHORARRAY(Sintesi!$C$10))*(A145&lt;=_xlfn.ANCHORARRAY(Sintesi!$C$10))+(_xlfn.ANCHORARRAY(Sintesi!$C$9)&lt;_xlfn.ANCHORARRAY(Sintesi!$C$10))*(A145&gt;=_xlfn.ANCHORARRAY(Sintesi!$C$9))*(A145&lt;=_xlfn.ANCHORARRAY(Sintesi!$C$10)),0)),0))/(_xlfn.IFNA(INDEX(_xlfn.ANCHORARRAY(Sintesi!$C$18),1,MATCH(1,(_xlfn.ANCHORARRAY(Sintesi!$C$9)&gt;_xlfn.ANCHORARRAY(Sintesi!$C$10))*(A145&gt;=_xlfn.ANCHORARRAY(Sintesi!$C$9))+(_xlfn.ANCHORARRAY(Sintesi!$C$9)&gt;_xlfn.ANCHORARRAY(Sintesi!$C$10))*(A145&lt;=_xlfn.ANCHORARRAY(Sintesi!$C$10))+(_xlfn.ANCHORARRAY(Sintesi!$C$9)&lt;_xlfn.ANCHORARRAY(Sintesi!$C$10))*(A145&gt;=_xlfn.ANCHORARRAY(Sintesi!$C$9))*(A145&lt;=_xlfn.ANCHORARRAY(Sintesi!$C$10)),0)),0)-_xlfn.IFNA(INDEX(_xlfn.ANCHORARRAY(Sintesi!$C$17),1,MATCH(1,(_xlfn.ANCHORARRAY(Sintesi!$C$9)&gt;_xlfn.ANCHORARRAY(Sintesi!$C$10))*(A145&gt;=_xlfn.ANCHORARRAY(Sintesi!$C$9))+(_xlfn.ANCHORARRAY(Sintesi!$C$9)&gt;_xlfn.ANCHORARRAY(Sintesi!$C$10))*(A145&lt;=_xlfn.ANCHORARRAY(Sintesi!$C$10))+(_xlfn.ANCHORARRAY(Sintesi!$C$9)&lt;_xlfn.ANCHORARRAY(Sintesi!$C$10))*(A145&gt;=_xlfn.ANCHORARRAY(Sintesi!$C$9))*(A145&lt;=_xlfn.ANCHORARRAY(Sintesi!$C$10)),0)),0)))),0)</f>
        <v>0</v>
      </c>
    </row>
    <row r="147" spans="1:13">
      <c r="A147" s="1">
        <f>'Paste cell here'!A147</f>
        <v>146</v>
      </c>
      <c r="B147" s="2">
        <f>DATE(Sintesi!$C$4-1,12,31)+A147</f>
        <v>44342</v>
      </c>
      <c r="C147" s="34">
        <f t="array" ref="C147">_xlfn.IFNA(MATCH(1,((_xlfn.ANCHORARRAY(Sintesi!$C$9)&gt;_xlfn.ANCHORARRAY(Sintesi!$C$10))*(A147&gt;=_xlfn.ANCHORARRAY(Sintesi!$C$9))+(_xlfn.ANCHORARRAY(Sintesi!$C$9)&gt;_xlfn.ANCHORARRAY(Sintesi!$C$10))*(A147&lt;=_xlfn.ANCHORARRAY(Sintesi!$C$10))+(_xlfn.ANCHORARRAY(Sintesi!$C$9)&lt;_xlfn.ANCHORARRAY(Sintesi!$C$10))*(A147&gt;=_xlfn.ANCHORARRAY(Sintesi!$C$9))*(A147&lt;=_xlfn.ANCHORARRAY(Sintesi!$C$10)))*(_xlfn.ANCHORARRAY(Sintesi!$C$15)&gt;=0)+(_xlfn.ANCHORARRAY(Sintesi!$C$15)&lt;0),0),0)</f>
        <v>1</v>
      </c>
      <c r="D147" s="1">
        <f t="array" ref="D147">IF(ISBLANK($E148),IF(ISNUMBER($E146),IF($C147&gt;0,IF(($E147=INDEX(_xlfn.ANCHORARRAY(Sintesi!$C$14),1,$C147))*(INDEX(_xlfn.ANCHORARRAY(Sintesi!$C$15),1,$C147)&gt;0),0,IF(($E147=INDEX(_xlfn.ANCHORARRAY(Sintesi!$C$14),1,$C147))*(INDEX(_xlfn.ANCHORARRAY(Sintesi!$C$15),1,$C147)&lt;0)+($E147&gt;=$E146)*($E147&lt;=INDEX($E:$E,MATCH(TRUE,INDEX((ISNUMBER($E:$E)),0),0)))*($E147&gt;INDEX(_xlfn.ANCHORARRAY(Sintesi!$C$14),1,$C147))*($E147&lt;=INDEX(_xlfn.ANCHORARRAY(Sintesi!$C$15),1,$C147))*(INDEX(_xlfn.ANCHORARRAY(Sintesi!$C$15),1,$C147)&gt;0),1,IF(($E147&gt;=$E146)*($E147&lt;=INDEX($E:$E,MATCH(TRUE,INDEX((ISNUMBER($E:$E)),0),0)))*($E147&gt;INDEX(_xlfn.ANCHORARRAY(Sintesi!$C$14),1,$C147))*($E147&lt;INDEX(_xlfn.ANCHORARRAY(Sintesi!$C$16),1,$C147))*(INDEX(_xlfn.ANCHORARRAY(Sintesi!$C$15),1,$C147)&lt;0)+($E147&gt;=$E146)*($E147&lt;=INDEX($E:$E,MATCH(TRUE,INDEX((ISNUMBER($E:$E)),0),0)))*($E147&gt;INDEX(_xlfn.ANCHORARRAY(Sintesi!$C$15),1,$C147))*($E147&lt;INDEX(_xlfn.ANCHORARRAY(Sintesi!$C$16),1,$C147))*(INDEX(_xlfn.ANCHORARRAY(Sintesi!$C$15),1,$C147)&gt;0),2,IF($E147=(INDEX(_xlfn.ANCHORARRAY(Sintesi!$C$16),1,$C147)),3,4)))),0),IF($C147&gt;0,IF(($E147=INDEX(_xlfn.ANCHORARRAY(Sintesi!$C$14),1,$C147))*(INDEX(_xlfn.ANCHORARRAY(Sintesi!$C$15),1,$C147)&gt;0),0,IF(($E147=INDEX(_xlfn.ANCHORARRAY(Sintesi!$C$14),1,$C147))*(INDEX(_xlfn.ANCHORARRAY(Sintesi!$C$15),1,$C147)&lt;0)+($E147&gt;=LOOKUP(2,1/($E:$E&lt;&gt;""),$E:$E))*($E147&lt;=INDEX($E:$E,MATCH(TRUE,INDEX((ISNUMBER($E:$E)),0),0)))*($E147&gt;INDEX(_xlfn.ANCHORARRAY(Sintesi!$C$14),1,$C147))*($E147&lt;=INDEX(_xlfn.ANCHORARRAY(Sintesi!$C$15),1,$C147))*(INDEX(_xlfn.ANCHORARRAY(Sintesi!$C$15),1,$C147)&gt;0),1,IF(($E147&gt;=LOOKUP(2,1/($E:$E&lt;&gt;""),$E:$E))*($E147&lt;=INDEX($E:$E,MATCH(TRUE,INDEX((ISNUMBER($E:$E)),0),0)))*($E147&gt;INDEX(_xlfn.ANCHORARRAY(Sintesi!$C$14),1,$C147))*($E147&lt;INDEX(_xlfn.ANCHORARRAY(Sintesi!$C$16),1,$C147))*(INDEX(_xlfn.ANCHORARRAY(Sintesi!$C$15),1,$C147)&lt;0)+($E147&gt;=LOOKUP(2,1/($E:$E&lt;&gt;""),$E:$E))*($E147&lt;=INDEX($E:$E,MATCH(TRUE,INDEX((ISNUMBER($E:$E)),0),0)))*($E147&gt;INDEX(_xlfn.ANCHORARRAY(Sintesi!$C$15),1,$C147))*($E147&lt;INDEX(_xlfn.ANCHORARRAY(Sintesi!$C$16),1,$C147))*(INDEX(_xlfn.ANCHORARRAY(Sintesi!$C$15),1,$C147)&gt;0),2,IF($E147=(INDEX(_xlfn.ANCHORARRAY(Sintesi!$C$16),1,$C147)),3,4)))),0)),IF(ISNUMBER($E146),IF($C147&gt;0,IF(($E147=INDEX(_xlfn.ANCHORARRAY(Sintesi!$C$14),1,$C147))*(INDEX(_xlfn.ANCHORARRAY(Sintesi!$C$15),1,$C147)&gt;0),0,IF(($E147=INDEX(_xlfn.ANCHORARRAY(Sintesi!$C$14),1,$C147))*(INDEX(_xlfn.ANCHORARRAY(Sintesi!$C$15),1,$C147)&lt;0)+($E147&gt;=$E146)*($E147&lt;=$E148)*($E147&gt;INDEX(_xlfn.ANCHORARRAY(Sintesi!$C$14),1,$C147))*($E147&lt;=INDEX(_xlfn.ANCHORARRAY(Sintesi!$C$15),1,$C147))*(INDEX(_xlfn.ANCHORARRAY(Sintesi!$C$15),1,$C147)&gt;0),1,IF(($E147&gt;=$E146)*($E147&lt;=$E148)*($E147&gt;INDEX(_xlfn.ANCHORARRAY(Sintesi!$C$14),1,$C147))*($E147&lt;INDEX(_xlfn.ANCHORARRAY(Sintesi!$C$16),1,$C147))*(INDEX(_xlfn.ANCHORARRAY(Sintesi!$C$15),1,$C147)&lt;0)+($E147&gt;=$E146)*($E147&lt;=$E148)*($E147&gt;INDEX(_xlfn.ANCHORARRAY(Sintesi!$C$15),1,$C147))*($E147&lt;INDEX(_xlfn.ANCHORARRAY(Sintesi!$C$16),1,$C147))*(INDEX(_xlfn.ANCHORARRAY(Sintesi!$C$15),1,$C147)&gt;0),2,IF($E147=(INDEX(_xlfn.ANCHORARRAY(Sintesi!$C$16),1,$C147)),3,4)))),0),IF($C147&gt;0,IF(($E147=INDEX(_xlfn.ANCHORARRAY(Sintesi!$C$14),1,$C147))*(INDEX(_xlfn.ANCHORARRAY(Sintesi!$C$15),1,$C147)&gt;0),0,IF(($E147=INDEX(_xlfn.ANCHORARRAY(Sintesi!$C$14),1,$C147))*(INDEX(_xlfn.ANCHORARRAY(Sintesi!$C$15),1,$C147)&lt;0)+($E147&gt;=LOOKUP(2,1/($E:$E&lt;&gt;""),$E:$E))*($E147&lt;=$E148)*($E147&gt;INDEX(_xlfn.ANCHORARRAY(Sintesi!$C$14),1,$C147))*($E147&lt;=INDEX(_xlfn.ANCHORARRAY(Sintesi!$C$15),1,$C147))*(INDEX(_xlfn.ANCHORARRAY(Sintesi!$C$15),1,$C147)&gt;0),1,IF(($E147&gt;=LOOKUP(2,1/($E:$E&lt;&gt;""),$E:$E))*($E147&lt;=$E148)*($E147&gt;INDEX(_xlfn.ANCHORARRAY(Sintesi!$C$14),1,$C147))*($E147&lt;INDEX(_xlfn.ANCHORARRAY(Sintesi!$C$16),1,$C147))*(INDEX(_xlfn.ANCHORARRAY(Sintesi!$C$15),1,$C147)&lt;0)+($E147&gt;=LOOKUP(2,1/($E:$E&lt;&gt;""),$E:$E))*($E147&lt;=$E148)*($E147&gt;INDEX(_xlfn.ANCHORARRAY(Sintesi!$C$15),1,$C147))*($E147&lt;INDEX(_xlfn.ANCHORARRAY(Sintesi!$C$16),1,$C147))*(INDEX(_xlfn.ANCHORARRAY(Sintesi!$C$15),1,$C147)&gt;0),2,IF($E147=(INDEX(_xlfn.ANCHORARRAY(Sintesi!$C$16),1,$C147)),3,4)))),0)))</f>
        <v>2</v>
      </c>
      <c r="E147" s="1">
        <f>'Paste cell here'!F147</f>
        <v>0.4</v>
      </c>
      <c r="F147" s="1">
        <f>'Paste cell here'!C147</f>
        <v>23.519999999999655</v>
      </c>
      <c r="G147" s="1">
        <f>'Paste cell here'!D147</f>
        <v>9.839999999999872</v>
      </c>
      <c r="H147" s="1">
        <f>'Paste cell here'!E147</f>
        <v>4.7173076759456825</v>
      </c>
      <c r="I147" s="1">
        <f>'Paste cell here'!X147</f>
        <v>1.8868014354281177</v>
      </c>
      <c r="J147" s="1">
        <f>'Paste cell here'!Y147+'Paste cell here'!S147</f>
        <v>1.8868014354281177</v>
      </c>
      <c r="K147" s="1">
        <f t="shared" si="4"/>
        <v>0.39997421517558085</v>
      </c>
      <c r="L147" s="1">
        <f t="shared" si="5"/>
        <v>19.079479074896039</v>
      </c>
      <c r="M147" s="1">
        <f t="array" ref="M147">IF(AND(A147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147&gt;=_xlfn.ANCHORARRAY(Sintesi!$C$9))+(_xlfn.ANCHORARRAY(Sintesi!$C$9)&gt;_xlfn.ANCHORARRAY(Sintesi!$C$10))*(A147&lt;=_xlfn.ANCHORARRAY(Sintesi!$C$10))+(_xlfn.ANCHORARRAY(Sintesi!$C$9)&lt;_xlfn.ANCHORARRAY(Sintesi!$C$10))*(A147&gt;=_xlfn.ANCHORARRAY(Sintesi!$C$9))*(A147&lt;=_xlfn.ANCHORARRAY(Sintesi!$C$10)),0)),0),A147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148&gt;=_xlfn.ANCHORARRAY(Sintesi!$C$9))+(_xlfn.ANCHORARRAY(Sintesi!$C$9)&gt;_xlfn.ANCHORARRAY(Sintesi!$C$10))*(A148&lt;=_xlfn.ANCHORARRAY(Sintesi!$C$10))+(_xlfn.ANCHORARRAY(Sintesi!$C$9)&lt;_xlfn.ANCHORARRAY(Sintesi!$C$10))*(A148&gt;=_xlfn.ANCHORARRAY(Sintesi!$C$9))*(A148&lt;=_xlfn.ANCHORARRAY(Sintesi!$C$10)),0)),0)),IF(L147&lt;_xlfn.IFNA(INDEX(_xlfn.ANCHORARRAY(Sintesi!$C$17),1,MATCH(1,(_xlfn.ANCHORARRAY(Sintesi!$C$9)&gt;_xlfn.ANCHORARRAY(Sintesi!$C$10))*(A146&gt;=_xlfn.ANCHORARRAY(Sintesi!$C$9))+(_xlfn.ANCHORARRAY(Sintesi!$C$9)&gt;_xlfn.ANCHORARRAY(Sintesi!$C$10))*(A146&lt;=_xlfn.ANCHORARRAY(Sintesi!$C$10))+(_xlfn.ANCHORARRAY(Sintesi!$C$9)&lt;_xlfn.ANCHORARRAY(Sintesi!$C$10))*(A146&gt;=_xlfn.ANCHORARRAY(Sintesi!$C$9))*(A146&lt;=_xlfn.ANCHORARRAY(Sintesi!$C$10)),0)),0),1,IF(L147&gt;=_xlfn.IFNA(INDEX(_xlfn.ANCHORARRAY(Sintesi!$C$18),1,MATCH(1,(_xlfn.ANCHORARRAY(Sintesi!$C$9)&gt;_xlfn.ANCHORARRAY(Sintesi!$C$10))*(A146&gt;=_xlfn.ANCHORARRAY(Sintesi!$C$9))+(_xlfn.ANCHORARRAY(Sintesi!$C$9)&gt;_xlfn.ANCHORARRAY(Sintesi!$C$10))*(A146&lt;=_xlfn.ANCHORARRAY(Sintesi!$C$10))+(_xlfn.ANCHORARRAY(Sintesi!$C$9)&lt;_xlfn.ANCHORARRAY(Sintesi!$C$10))*(A146&gt;=_xlfn.ANCHORARRAY(Sintesi!$C$9))*(A146&lt;=_xlfn.ANCHORARRAY(Sintesi!$C$10)),0)),0),0,1-(L147-_xlfn.IFNA(INDEX(_xlfn.ANCHORARRAY(Sintesi!$C$17),1,MATCH(1,(_xlfn.ANCHORARRAY(Sintesi!$C$9)&gt;_xlfn.ANCHORARRAY(Sintesi!$C$10))*(A146&gt;=_xlfn.ANCHORARRAY(Sintesi!$C$9))+(_xlfn.ANCHORARRAY(Sintesi!$C$9)&gt;_xlfn.ANCHORARRAY(Sintesi!$C$10))*(A146&lt;=_xlfn.ANCHORARRAY(Sintesi!$C$10))+(_xlfn.ANCHORARRAY(Sintesi!$C$9)&lt;_xlfn.ANCHORARRAY(Sintesi!$C$10))*(A146&gt;=_xlfn.ANCHORARRAY(Sintesi!$C$9))*(A146&lt;=_xlfn.ANCHORARRAY(Sintesi!$C$10)),0)),0))/(_xlfn.IFNA(INDEX(_xlfn.ANCHORARRAY(Sintesi!$C$18),1,MATCH(1,(_xlfn.ANCHORARRAY(Sintesi!$C$9)&gt;_xlfn.ANCHORARRAY(Sintesi!$C$10))*(A146&gt;=_xlfn.ANCHORARRAY(Sintesi!$C$9))+(_xlfn.ANCHORARRAY(Sintesi!$C$9)&gt;_xlfn.ANCHORARRAY(Sintesi!$C$10))*(A146&lt;=_xlfn.ANCHORARRAY(Sintesi!$C$10))+(_xlfn.ANCHORARRAY(Sintesi!$C$9)&lt;_xlfn.ANCHORARRAY(Sintesi!$C$10))*(A146&gt;=_xlfn.ANCHORARRAY(Sintesi!$C$9))*(A146&lt;=_xlfn.ANCHORARRAY(Sintesi!$C$10)),0)),0)-_xlfn.IFNA(INDEX(_xlfn.ANCHORARRAY(Sintesi!$C$17),1,MATCH(1,(_xlfn.ANCHORARRAY(Sintesi!$C$9)&gt;_xlfn.ANCHORARRAY(Sintesi!$C$10))*(A146&gt;=_xlfn.ANCHORARRAY(Sintesi!$C$9))+(_xlfn.ANCHORARRAY(Sintesi!$C$9)&gt;_xlfn.ANCHORARRAY(Sintesi!$C$10))*(A146&lt;=_xlfn.ANCHORARRAY(Sintesi!$C$10))+(_xlfn.ANCHORARRAY(Sintesi!$C$9)&lt;_xlfn.ANCHORARRAY(Sintesi!$C$10))*(A146&gt;=_xlfn.ANCHORARRAY(Sintesi!$C$9))*(A146&lt;=_xlfn.ANCHORARRAY(Sintesi!$C$10)),0)),0)))),0)</f>
        <v>0</v>
      </c>
    </row>
    <row r="148" spans="1:13">
      <c r="A148" s="1">
        <f>'Paste cell here'!A148</f>
        <v>147</v>
      </c>
      <c r="B148" s="2">
        <f>DATE(Sintesi!$C$4-1,12,31)+A148</f>
        <v>44343</v>
      </c>
      <c r="C148" s="34">
        <f t="array" ref="C148">_xlfn.IFNA(MATCH(1,((_xlfn.ANCHORARRAY(Sintesi!$C$9)&gt;_xlfn.ANCHORARRAY(Sintesi!$C$10))*(A148&gt;=_xlfn.ANCHORARRAY(Sintesi!$C$9))+(_xlfn.ANCHORARRAY(Sintesi!$C$9)&gt;_xlfn.ANCHORARRAY(Sintesi!$C$10))*(A148&lt;=_xlfn.ANCHORARRAY(Sintesi!$C$10))+(_xlfn.ANCHORARRAY(Sintesi!$C$9)&lt;_xlfn.ANCHORARRAY(Sintesi!$C$10))*(A148&gt;=_xlfn.ANCHORARRAY(Sintesi!$C$9))*(A148&lt;=_xlfn.ANCHORARRAY(Sintesi!$C$10)))*(_xlfn.ANCHORARRAY(Sintesi!$C$15)&gt;=0)+(_xlfn.ANCHORARRAY(Sintesi!$C$15)&lt;0),0),0)</f>
        <v>1</v>
      </c>
      <c r="D148" s="1">
        <f t="array" ref="D148">IF(ISBLANK($E149),IF(ISNUMBER($E147),IF($C148&gt;0,IF(($E148=INDEX(_xlfn.ANCHORARRAY(Sintesi!$C$14),1,$C148))*(INDEX(_xlfn.ANCHORARRAY(Sintesi!$C$15),1,$C148)&gt;0),0,IF(($E148=INDEX(_xlfn.ANCHORARRAY(Sintesi!$C$14),1,$C148))*(INDEX(_xlfn.ANCHORARRAY(Sintesi!$C$15),1,$C148)&lt;0)+($E148&gt;=$E147)*($E148&lt;=INDEX($E:$E,MATCH(TRUE,INDEX((ISNUMBER($E:$E)),0),0)))*($E148&gt;INDEX(_xlfn.ANCHORARRAY(Sintesi!$C$14),1,$C148))*($E148&lt;=INDEX(_xlfn.ANCHORARRAY(Sintesi!$C$15),1,$C148))*(INDEX(_xlfn.ANCHORARRAY(Sintesi!$C$15),1,$C148)&gt;0),1,IF(($E148&gt;=$E147)*($E148&lt;=INDEX($E:$E,MATCH(TRUE,INDEX((ISNUMBER($E:$E)),0),0)))*($E148&gt;INDEX(_xlfn.ANCHORARRAY(Sintesi!$C$14),1,$C148))*($E148&lt;INDEX(_xlfn.ANCHORARRAY(Sintesi!$C$16),1,$C148))*(INDEX(_xlfn.ANCHORARRAY(Sintesi!$C$15),1,$C148)&lt;0)+($E148&gt;=$E147)*($E148&lt;=INDEX($E:$E,MATCH(TRUE,INDEX((ISNUMBER($E:$E)),0),0)))*($E148&gt;INDEX(_xlfn.ANCHORARRAY(Sintesi!$C$15),1,$C148))*($E148&lt;INDEX(_xlfn.ANCHORARRAY(Sintesi!$C$16),1,$C148))*(INDEX(_xlfn.ANCHORARRAY(Sintesi!$C$15),1,$C148)&gt;0),2,IF($E148=(INDEX(_xlfn.ANCHORARRAY(Sintesi!$C$16),1,$C148)),3,4)))),0),IF($C148&gt;0,IF(($E148=INDEX(_xlfn.ANCHORARRAY(Sintesi!$C$14),1,$C148))*(INDEX(_xlfn.ANCHORARRAY(Sintesi!$C$15),1,$C148)&gt;0),0,IF(($E148=INDEX(_xlfn.ANCHORARRAY(Sintesi!$C$14),1,$C148))*(INDEX(_xlfn.ANCHORARRAY(Sintesi!$C$15),1,$C148)&lt;0)+($E148&gt;=LOOKUP(2,1/($E:$E&lt;&gt;""),$E:$E))*($E148&lt;=INDEX($E:$E,MATCH(TRUE,INDEX((ISNUMBER($E:$E)),0),0)))*($E148&gt;INDEX(_xlfn.ANCHORARRAY(Sintesi!$C$14),1,$C148))*($E148&lt;=INDEX(_xlfn.ANCHORARRAY(Sintesi!$C$15),1,$C148))*(INDEX(_xlfn.ANCHORARRAY(Sintesi!$C$15),1,$C148)&gt;0),1,IF(($E148&gt;=LOOKUP(2,1/($E:$E&lt;&gt;""),$E:$E))*($E148&lt;=INDEX($E:$E,MATCH(TRUE,INDEX((ISNUMBER($E:$E)),0),0)))*($E148&gt;INDEX(_xlfn.ANCHORARRAY(Sintesi!$C$14),1,$C148))*($E148&lt;INDEX(_xlfn.ANCHORARRAY(Sintesi!$C$16),1,$C148))*(INDEX(_xlfn.ANCHORARRAY(Sintesi!$C$15),1,$C148)&lt;0)+($E148&gt;=LOOKUP(2,1/($E:$E&lt;&gt;""),$E:$E))*($E148&lt;=INDEX($E:$E,MATCH(TRUE,INDEX((ISNUMBER($E:$E)),0),0)))*($E148&gt;INDEX(_xlfn.ANCHORARRAY(Sintesi!$C$15),1,$C148))*($E148&lt;INDEX(_xlfn.ANCHORARRAY(Sintesi!$C$16),1,$C148))*(INDEX(_xlfn.ANCHORARRAY(Sintesi!$C$15),1,$C148)&gt;0),2,IF($E148=(INDEX(_xlfn.ANCHORARRAY(Sintesi!$C$16),1,$C148)),3,4)))),0)),IF(ISNUMBER($E147),IF($C148&gt;0,IF(($E148=INDEX(_xlfn.ANCHORARRAY(Sintesi!$C$14),1,$C148))*(INDEX(_xlfn.ANCHORARRAY(Sintesi!$C$15),1,$C148)&gt;0),0,IF(($E148=INDEX(_xlfn.ANCHORARRAY(Sintesi!$C$14),1,$C148))*(INDEX(_xlfn.ANCHORARRAY(Sintesi!$C$15),1,$C148)&lt;0)+($E148&gt;=$E147)*($E148&lt;=$E149)*($E148&gt;INDEX(_xlfn.ANCHORARRAY(Sintesi!$C$14),1,$C148))*($E148&lt;=INDEX(_xlfn.ANCHORARRAY(Sintesi!$C$15),1,$C148))*(INDEX(_xlfn.ANCHORARRAY(Sintesi!$C$15),1,$C148)&gt;0),1,IF(($E148&gt;=$E147)*($E148&lt;=$E149)*($E148&gt;INDEX(_xlfn.ANCHORARRAY(Sintesi!$C$14),1,$C148))*($E148&lt;INDEX(_xlfn.ANCHORARRAY(Sintesi!$C$16),1,$C148))*(INDEX(_xlfn.ANCHORARRAY(Sintesi!$C$15),1,$C148)&lt;0)+($E148&gt;=$E147)*($E148&lt;=$E149)*($E148&gt;INDEX(_xlfn.ANCHORARRAY(Sintesi!$C$15),1,$C148))*($E148&lt;INDEX(_xlfn.ANCHORARRAY(Sintesi!$C$16),1,$C148))*(INDEX(_xlfn.ANCHORARRAY(Sintesi!$C$15),1,$C148)&gt;0),2,IF($E148=(INDEX(_xlfn.ANCHORARRAY(Sintesi!$C$16),1,$C148)),3,4)))),0),IF($C148&gt;0,IF(($E148=INDEX(_xlfn.ANCHORARRAY(Sintesi!$C$14),1,$C148))*(INDEX(_xlfn.ANCHORARRAY(Sintesi!$C$15),1,$C148)&gt;0),0,IF(($E148=INDEX(_xlfn.ANCHORARRAY(Sintesi!$C$14),1,$C148))*(INDEX(_xlfn.ANCHORARRAY(Sintesi!$C$15),1,$C148)&lt;0)+($E148&gt;=LOOKUP(2,1/($E:$E&lt;&gt;""),$E:$E))*($E148&lt;=$E149)*($E148&gt;INDEX(_xlfn.ANCHORARRAY(Sintesi!$C$14),1,$C148))*($E148&lt;=INDEX(_xlfn.ANCHORARRAY(Sintesi!$C$15),1,$C148))*(INDEX(_xlfn.ANCHORARRAY(Sintesi!$C$15),1,$C148)&gt;0),1,IF(($E148&gt;=LOOKUP(2,1/($E:$E&lt;&gt;""),$E:$E))*($E148&lt;=$E149)*($E148&gt;INDEX(_xlfn.ANCHORARRAY(Sintesi!$C$14),1,$C148))*($E148&lt;INDEX(_xlfn.ANCHORARRAY(Sintesi!$C$16),1,$C148))*(INDEX(_xlfn.ANCHORARRAY(Sintesi!$C$15),1,$C148)&lt;0)+($E148&gt;=LOOKUP(2,1/($E:$E&lt;&gt;""),$E:$E))*($E148&lt;=$E149)*($E148&gt;INDEX(_xlfn.ANCHORARRAY(Sintesi!$C$15),1,$C148))*($E148&lt;INDEX(_xlfn.ANCHORARRAY(Sintesi!$C$16),1,$C148))*(INDEX(_xlfn.ANCHORARRAY(Sintesi!$C$15),1,$C148)&gt;0),2,IF($E148=(INDEX(_xlfn.ANCHORARRAY(Sintesi!$C$16),1,$C148)),3,4)))),0)))</f>
        <v>2</v>
      </c>
      <c r="E148" s="1">
        <f>'Paste cell here'!F148</f>
        <v>0.42099999999999999</v>
      </c>
      <c r="F148" s="1">
        <f>'Paste cell here'!C148</f>
        <v>26.599999999999618</v>
      </c>
      <c r="G148" s="1">
        <f>'Paste cell here'!D148</f>
        <v>11.399999999999856</v>
      </c>
      <c r="H148" s="1">
        <f>'Paste cell here'!E148</f>
        <v>4.9216984784628197</v>
      </c>
      <c r="I148" s="1">
        <f>'Paste cell here'!X148</f>
        <v>2.0718970478487657</v>
      </c>
      <c r="J148" s="1">
        <f>'Paste cell here'!Y148+'Paste cell here'!S148</f>
        <v>2.0718970478487657</v>
      </c>
      <c r="K148" s="1">
        <f t="shared" si="4"/>
        <v>0.42097195854547259</v>
      </c>
      <c r="L148" s="1">
        <f t="shared" si="5"/>
        <v>21.666087860995599</v>
      </c>
      <c r="M148" s="1">
        <f t="array" ref="M148">IF(AND(A148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148&gt;=_xlfn.ANCHORARRAY(Sintesi!$C$9))+(_xlfn.ANCHORARRAY(Sintesi!$C$9)&gt;_xlfn.ANCHORARRAY(Sintesi!$C$10))*(A148&lt;=_xlfn.ANCHORARRAY(Sintesi!$C$10))+(_xlfn.ANCHORARRAY(Sintesi!$C$9)&lt;_xlfn.ANCHORARRAY(Sintesi!$C$10))*(A148&gt;=_xlfn.ANCHORARRAY(Sintesi!$C$9))*(A148&lt;=_xlfn.ANCHORARRAY(Sintesi!$C$10)),0)),0),A148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149&gt;=_xlfn.ANCHORARRAY(Sintesi!$C$9))+(_xlfn.ANCHORARRAY(Sintesi!$C$9)&gt;_xlfn.ANCHORARRAY(Sintesi!$C$10))*(A149&lt;=_xlfn.ANCHORARRAY(Sintesi!$C$10))+(_xlfn.ANCHORARRAY(Sintesi!$C$9)&lt;_xlfn.ANCHORARRAY(Sintesi!$C$10))*(A149&gt;=_xlfn.ANCHORARRAY(Sintesi!$C$9))*(A149&lt;=_xlfn.ANCHORARRAY(Sintesi!$C$10)),0)),0)),IF(L148&lt;_xlfn.IFNA(INDEX(_xlfn.ANCHORARRAY(Sintesi!$C$17),1,MATCH(1,(_xlfn.ANCHORARRAY(Sintesi!$C$9)&gt;_xlfn.ANCHORARRAY(Sintesi!$C$10))*(A147&gt;=_xlfn.ANCHORARRAY(Sintesi!$C$9))+(_xlfn.ANCHORARRAY(Sintesi!$C$9)&gt;_xlfn.ANCHORARRAY(Sintesi!$C$10))*(A147&lt;=_xlfn.ANCHORARRAY(Sintesi!$C$10))+(_xlfn.ANCHORARRAY(Sintesi!$C$9)&lt;_xlfn.ANCHORARRAY(Sintesi!$C$10))*(A147&gt;=_xlfn.ANCHORARRAY(Sintesi!$C$9))*(A147&lt;=_xlfn.ANCHORARRAY(Sintesi!$C$10)),0)),0),1,IF(L148&gt;=_xlfn.IFNA(INDEX(_xlfn.ANCHORARRAY(Sintesi!$C$18),1,MATCH(1,(_xlfn.ANCHORARRAY(Sintesi!$C$9)&gt;_xlfn.ANCHORARRAY(Sintesi!$C$10))*(A147&gt;=_xlfn.ANCHORARRAY(Sintesi!$C$9))+(_xlfn.ANCHORARRAY(Sintesi!$C$9)&gt;_xlfn.ANCHORARRAY(Sintesi!$C$10))*(A147&lt;=_xlfn.ANCHORARRAY(Sintesi!$C$10))+(_xlfn.ANCHORARRAY(Sintesi!$C$9)&lt;_xlfn.ANCHORARRAY(Sintesi!$C$10))*(A147&gt;=_xlfn.ANCHORARRAY(Sintesi!$C$9))*(A147&lt;=_xlfn.ANCHORARRAY(Sintesi!$C$10)),0)),0),0,1-(L148-_xlfn.IFNA(INDEX(_xlfn.ANCHORARRAY(Sintesi!$C$17),1,MATCH(1,(_xlfn.ANCHORARRAY(Sintesi!$C$9)&gt;_xlfn.ANCHORARRAY(Sintesi!$C$10))*(A147&gt;=_xlfn.ANCHORARRAY(Sintesi!$C$9))+(_xlfn.ANCHORARRAY(Sintesi!$C$9)&gt;_xlfn.ANCHORARRAY(Sintesi!$C$10))*(A147&lt;=_xlfn.ANCHORARRAY(Sintesi!$C$10))+(_xlfn.ANCHORARRAY(Sintesi!$C$9)&lt;_xlfn.ANCHORARRAY(Sintesi!$C$10))*(A147&gt;=_xlfn.ANCHORARRAY(Sintesi!$C$9))*(A147&lt;=_xlfn.ANCHORARRAY(Sintesi!$C$10)),0)),0))/(_xlfn.IFNA(INDEX(_xlfn.ANCHORARRAY(Sintesi!$C$18),1,MATCH(1,(_xlfn.ANCHORARRAY(Sintesi!$C$9)&gt;_xlfn.ANCHORARRAY(Sintesi!$C$10))*(A147&gt;=_xlfn.ANCHORARRAY(Sintesi!$C$9))+(_xlfn.ANCHORARRAY(Sintesi!$C$9)&gt;_xlfn.ANCHORARRAY(Sintesi!$C$10))*(A147&lt;=_xlfn.ANCHORARRAY(Sintesi!$C$10))+(_xlfn.ANCHORARRAY(Sintesi!$C$9)&lt;_xlfn.ANCHORARRAY(Sintesi!$C$10))*(A147&gt;=_xlfn.ANCHORARRAY(Sintesi!$C$9))*(A147&lt;=_xlfn.ANCHORARRAY(Sintesi!$C$10)),0)),0)-_xlfn.IFNA(INDEX(_xlfn.ANCHORARRAY(Sintesi!$C$17),1,MATCH(1,(_xlfn.ANCHORARRAY(Sintesi!$C$9)&gt;_xlfn.ANCHORARRAY(Sintesi!$C$10))*(A147&gt;=_xlfn.ANCHORARRAY(Sintesi!$C$9))+(_xlfn.ANCHORARRAY(Sintesi!$C$9)&gt;_xlfn.ANCHORARRAY(Sintesi!$C$10))*(A147&lt;=_xlfn.ANCHORARRAY(Sintesi!$C$10))+(_xlfn.ANCHORARRAY(Sintesi!$C$9)&lt;_xlfn.ANCHORARRAY(Sintesi!$C$10))*(A147&gt;=_xlfn.ANCHORARRAY(Sintesi!$C$9))*(A147&lt;=_xlfn.ANCHORARRAY(Sintesi!$C$10)),0)),0)))),0)</f>
        <v>0</v>
      </c>
    </row>
    <row r="149" spans="1:13">
      <c r="A149" s="1">
        <f>'Paste cell here'!A149</f>
        <v>148</v>
      </c>
      <c r="B149" s="2">
        <f>DATE(Sintesi!$C$4-1,12,31)+A149</f>
        <v>44344</v>
      </c>
      <c r="C149" s="34">
        <f t="array" ref="C149">_xlfn.IFNA(MATCH(1,((_xlfn.ANCHORARRAY(Sintesi!$C$9)&gt;_xlfn.ANCHORARRAY(Sintesi!$C$10))*(A149&gt;=_xlfn.ANCHORARRAY(Sintesi!$C$9))+(_xlfn.ANCHORARRAY(Sintesi!$C$9)&gt;_xlfn.ANCHORARRAY(Sintesi!$C$10))*(A149&lt;=_xlfn.ANCHORARRAY(Sintesi!$C$10))+(_xlfn.ANCHORARRAY(Sintesi!$C$9)&lt;_xlfn.ANCHORARRAY(Sintesi!$C$10))*(A149&gt;=_xlfn.ANCHORARRAY(Sintesi!$C$9))*(A149&lt;=_xlfn.ANCHORARRAY(Sintesi!$C$10)))*(_xlfn.ANCHORARRAY(Sintesi!$C$15)&gt;=0)+(_xlfn.ANCHORARRAY(Sintesi!$C$15)&lt;0),0),0)</f>
        <v>1</v>
      </c>
      <c r="D149" s="1">
        <f t="array" ref="D149">IF(ISBLANK($E150),IF(ISNUMBER($E148),IF($C149&gt;0,IF(($E149=INDEX(_xlfn.ANCHORARRAY(Sintesi!$C$14),1,$C149))*(INDEX(_xlfn.ANCHORARRAY(Sintesi!$C$15),1,$C149)&gt;0),0,IF(($E149=INDEX(_xlfn.ANCHORARRAY(Sintesi!$C$14),1,$C149))*(INDEX(_xlfn.ANCHORARRAY(Sintesi!$C$15),1,$C149)&lt;0)+($E149&gt;=$E148)*($E149&lt;=INDEX($E:$E,MATCH(TRUE,INDEX((ISNUMBER($E:$E)),0),0)))*($E149&gt;INDEX(_xlfn.ANCHORARRAY(Sintesi!$C$14),1,$C149))*($E149&lt;=INDEX(_xlfn.ANCHORARRAY(Sintesi!$C$15),1,$C149))*(INDEX(_xlfn.ANCHORARRAY(Sintesi!$C$15),1,$C149)&gt;0),1,IF(($E149&gt;=$E148)*($E149&lt;=INDEX($E:$E,MATCH(TRUE,INDEX((ISNUMBER($E:$E)),0),0)))*($E149&gt;INDEX(_xlfn.ANCHORARRAY(Sintesi!$C$14),1,$C149))*($E149&lt;INDEX(_xlfn.ANCHORARRAY(Sintesi!$C$16),1,$C149))*(INDEX(_xlfn.ANCHORARRAY(Sintesi!$C$15),1,$C149)&lt;0)+($E149&gt;=$E148)*($E149&lt;=INDEX($E:$E,MATCH(TRUE,INDEX((ISNUMBER($E:$E)),0),0)))*($E149&gt;INDEX(_xlfn.ANCHORARRAY(Sintesi!$C$15),1,$C149))*($E149&lt;INDEX(_xlfn.ANCHORARRAY(Sintesi!$C$16),1,$C149))*(INDEX(_xlfn.ANCHORARRAY(Sintesi!$C$15),1,$C149)&gt;0),2,IF($E149=(INDEX(_xlfn.ANCHORARRAY(Sintesi!$C$16),1,$C149)),3,4)))),0),IF($C149&gt;0,IF(($E149=INDEX(_xlfn.ANCHORARRAY(Sintesi!$C$14),1,$C149))*(INDEX(_xlfn.ANCHORARRAY(Sintesi!$C$15),1,$C149)&gt;0),0,IF(($E149=INDEX(_xlfn.ANCHORARRAY(Sintesi!$C$14),1,$C149))*(INDEX(_xlfn.ANCHORARRAY(Sintesi!$C$15),1,$C149)&lt;0)+($E149&gt;=LOOKUP(2,1/($E:$E&lt;&gt;""),$E:$E))*($E149&lt;=INDEX($E:$E,MATCH(TRUE,INDEX((ISNUMBER($E:$E)),0),0)))*($E149&gt;INDEX(_xlfn.ANCHORARRAY(Sintesi!$C$14),1,$C149))*($E149&lt;=INDEX(_xlfn.ANCHORARRAY(Sintesi!$C$15),1,$C149))*(INDEX(_xlfn.ANCHORARRAY(Sintesi!$C$15),1,$C149)&gt;0),1,IF(($E149&gt;=LOOKUP(2,1/($E:$E&lt;&gt;""),$E:$E))*($E149&lt;=INDEX($E:$E,MATCH(TRUE,INDEX((ISNUMBER($E:$E)),0),0)))*($E149&gt;INDEX(_xlfn.ANCHORARRAY(Sintesi!$C$14),1,$C149))*($E149&lt;INDEX(_xlfn.ANCHORARRAY(Sintesi!$C$16),1,$C149))*(INDEX(_xlfn.ANCHORARRAY(Sintesi!$C$15),1,$C149)&lt;0)+($E149&gt;=LOOKUP(2,1/($E:$E&lt;&gt;""),$E:$E))*($E149&lt;=INDEX($E:$E,MATCH(TRUE,INDEX((ISNUMBER($E:$E)),0),0)))*($E149&gt;INDEX(_xlfn.ANCHORARRAY(Sintesi!$C$15),1,$C149))*($E149&lt;INDEX(_xlfn.ANCHORARRAY(Sintesi!$C$16),1,$C149))*(INDEX(_xlfn.ANCHORARRAY(Sintesi!$C$15),1,$C149)&gt;0),2,IF($E149=(INDEX(_xlfn.ANCHORARRAY(Sintesi!$C$16),1,$C149)),3,4)))),0)),IF(ISNUMBER($E148),IF($C149&gt;0,IF(($E149=INDEX(_xlfn.ANCHORARRAY(Sintesi!$C$14),1,$C149))*(INDEX(_xlfn.ANCHORARRAY(Sintesi!$C$15),1,$C149)&gt;0),0,IF(($E149=INDEX(_xlfn.ANCHORARRAY(Sintesi!$C$14),1,$C149))*(INDEX(_xlfn.ANCHORARRAY(Sintesi!$C$15),1,$C149)&lt;0)+($E149&gt;=$E148)*($E149&lt;=$E150)*($E149&gt;INDEX(_xlfn.ANCHORARRAY(Sintesi!$C$14),1,$C149))*($E149&lt;=INDEX(_xlfn.ANCHORARRAY(Sintesi!$C$15),1,$C149))*(INDEX(_xlfn.ANCHORARRAY(Sintesi!$C$15),1,$C149)&gt;0),1,IF(($E149&gt;=$E148)*($E149&lt;=$E150)*($E149&gt;INDEX(_xlfn.ANCHORARRAY(Sintesi!$C$14),1,$C149))*($E149&lt;INDEX(_xlfn.ANCHORARRAY(Sintesi!$C$16),1,$C149))*(INDEX(_xlfn.ANCHORARRAY(Sintesi!$C$15),1,$C149)&lt;0)+($E149&gt;=$E148)*($E149&lt;=$E150)*($E149&gt;INDEX(_xlfn.ANCHORARRAY(Sintesi!$C$15),1,$C149))*($E149&lt;INDEX(_xlfn.ANCHORARRAY(Sintesi!$C$16),1,$C149))*(INDEX(_xlfn.ANCHORARRAY(Sintesi!$C$15),1,$C149)&gt;0),2,IF($E149=(INDEX(_xlfn.ANCHORARRAY(Sintesi!$C$16),1,$C149)),3,4)))),0),IF($C149&gt;0,IF(($E149=INDEX(_xlfn.ANCHORARRAY(Sintesi!$C$14),1,$C149))*(INDEX(_xlfn.ANCHORARRAY(Sintesi!$C$15),1,$C149)&gt;0),0,IF(($E149=INDEX(_xlfn.ANCHORARRAY(Sintesi!$C$14),1,$C149))*(INDEX(_xlfn.ANCHORARRAY(Sintesi!$C$15),1,$C149)&lt;0)+($E149&gt;=LOOKUP(2,1/($E:$E&lt;&gt;""),$E:$E))*($E149&lt;=$E150)*($E149&gt;INDEX(_xlfn.ANCHORARRAY(Sintesi!$C$14),1,$C149))*($E149&lt;=INDEX(_xlfn.ANCHORARRAY(Sintesi!$C$15),1,$C149))*(INDEX(_xlfn.ANCHORARRAY(Sintesi!$C$15),1,$C149)&gt;0),1,IF(($E149&gt;=LOOKUP(2,1/($E:$E&lt;&gt;""),$E:$E))*($E149&lt;=$E150)*($E149&gt;INDEX(_xlfn.ANCHORARRAY(Sintesi!$C$14),1,$C149))*($E149&lt;INDEX(_xlfn.ANCHORARRAY(Sintesi!$C$16),1,$C149))*(INDEX(_xlfn.ANCHORARRAY(Sintesi!$C$15),1,$C149)&lt;0)+($E149&gt;=LOOKUP(2,1/($E:$E&lt;&gt;""),$E:$E))*($E149&lt;=$E150)*($E149&gt;INDEX(_xlfn.ANCHORARRAY(Sintesi!$C$15),1,$C149))*($E149&lt;INDEX(_xlfn.ANCHORARRAY(Sintesi!$C$16),1,$C149))*(INDEX(_xlfn.ANCHORARRAY(Sintesi!$C$15),1,$C149)&gt;0),2,IF($E149=(INDEX(_xlfn.ANCHORARRAY(Sintesi!$C$16),1,$C149)),3,4)))),0)))</f>
        <v>2</v>
      </c>
      <c r="E149" s="1">
        <f>'Paste cell here'!F149</f>
        <v>0.442</v>
      </c>
      <c r="F149" s="1">
        <f>'Paste cell here'!C149</f>
        <v>25.879999999999615</v>
      </c>
      <c r="G149" s="1">
        <f>'Paste cell here'!D149</f>
        <v>12.699999999999836</v>
      </c>
      <c r="H149" s="1">
        <f>'Paste cell here'!E149</f>
        <v>4.8381016666454437</v>
      </c>
      <c r="I149" s="1">
        <f>'Paste cell here'!X149</f>
        <v>2.1382939478855563</v>
      </c>
      <c r="J149" s="1">
        <f>'Paste cell here'!Y149+'Paste cell here'!S149</f>
        <v>2.1382939478855563</v>
      </c>
      <c r="K149" s="1">
        <f t="shared" si="4"/>
        <v>0.44196961850290511</v>
      </c>
      <c r="L149" s="1">
        <f t="shared" si="5"/>
        <v>21.60177881631061</v>
      </c>
      <c r="M149" s="1">
        <f t="array" ref="M149">IF(AND(A149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149&gt;=_xlfn.ANCHORARRAY(Sintesi!$C$9))+(_xlfn.ANCHORARRAY(Sintesi!$C$9)&gt;_xlfn.ANCHORARRAY(Sintesi!$C$10))*(A149&lt;=_xlfn.ANCHORARRAY(Sintesi!$C$10))+(_xlfn.ANCHORARRAY(Sintesi!$C$9)&lt;_xlfn.ANCHORARRAY(Sintesi!$C$10))*(A149&gt;=_xlfn.ANCHORARRAY(Sintesi!$C$9))*(A149&lt;=_xlfn.ANCHORARRAY(Sintesi!$C$10)),0)),0),A149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150&gt;=_xlfn.ANCHORARRAY(Sintesi!$C$9))+(_xlfn.ANCHORARRAY(Sintesi!$C$9)&gt;_xlfn.ANCHORARRAY(Sintesi!$C$10))*(A150&lt;=_xlfn.ANCHORARRAY(Sintesi!$C$10))+(_xlfn.ANCHORARRAY(Sintesi!$C$9)&lt;_xlfn.ANCHORARRAY(Sintesi!$C$10))*(A150&gt;=_xlfn.ANCHORARRAY(Sintesi!$C$9))*(A150&lt;=_xlfn.ANCHORARRAY(Sintesi!$C$10)),0)),0)),IF(L149&lt;_xlfn.IFNA(INDEX(_xlfn.ANCHORARRAY(Sintesi!$C$17),1,MATCH(1,(_xlfn.ANCHORARRAY(Sintesi!$C$9)&gt;_xlfn.ANCHORARRAY(Sintesi!$C$10))*(A148&gt;=_xlfn.ANCHORARRAY(Sintesi!$C$9))+(_xlfn.ANCHORARRAY(Sintesi!$C$9)&gt;_xlfn.ANCHORARRAY(Sintesi!$C$10))*(A148&lt;=_xlfn.ANCHORARRAY(Sintesi!$C$10))+(_xlfn.ANCHORARRAY(Sintesi!$C$9)&lt;_xlfn.ANCHORARRAY(Sintesi!$C$10))*(A148&gt;=_xlfn.ANCHORARRAY(Sintesi!$C$9))*(A148&lt;=_xlfn.ANCHORARRAY(Sintesi!$C$10)),0)),0),1,IF(L149&gt;=_xlfn.IFNA(INDEX(_xlfn.ANCHORARRAY(Sintesi!$C$18),1,MATCH(1,(_xlfn.ANCHORARRAY(Sintesi!$C$9)&gt;_xlfn.ANCHORARRAY(Sintesi!$C$10))*(A148&gt;=_xlfn.ANCHORARRAY(Sintesi!$C$9))+(_xlfn.ANCHORARRAY(Sintesi!$C$9)&gt;_xlfn.ANCHORARRAY(Sintesi!$C$10))*(A148&lt;=_xlfn.ANCHORARRAY(Sintesi!$C$10))+(_xlfn.ANCHORARRAY(Sintesi!$C$9)&lt;_xlfn.ANCHORARRAY(Sintesi!$C$10))*(A148&gt;=_xlfn.ANCHORARRAY(Sintesi!$C$9))*(A148&lt;=_xlfn.ANCHORARRAY(Sintesi!$C$10)),0)),0),0,1-(L149-_xlfn.IFNA(INDEX(_xlfn.ANCHORARRAY(Sintesi!$C$17),1,MATCH(1,(_xlfn.ANCHORARRAY(Sintesi!$C$9)&gt;_xlfn.ANCHORARRAY(Sintesi!$C$10))*(A148&gt;=_xlfn.ANCHORARRAY(Sintesi!$C$9))+(_xlfn.ANCHORARRAY(Sintesi!$C$9)&gt;_xlfn.ANCHORARRAY(Sintesi!$C$10))*(A148&lt;=_xlfn.ANCHORARRAY(Sintesi!$C$10))+(_xlfn.ANCHORARRAY(Sintesi!$C$9)&lt;_xlfn.ANCHORARRAY(Sintesi!$C$10))*(A148&gt;=_xlfn.ANCHORARRAY(Sintesi!$C$9))*(A148&lt;=_xlfn.ANCHORARRAY(Sintesi!$C$10)),0)),0))/(_xlfn.IFNA(INDEX(_xlfn.ANCHORARRAY(Sintesi!$C$18),1,MATCH(1,(_xlfn.ANCHORARRAY(Sintesi!$C$9)&gt;_xlfn.ANCHORARRAY(Sintesi!$C$10))*(A148&gt;=_xlfn.ANCHORARRAY(Sintesi!$C$9))+(_xlfn.ANCHORARRAY(Sintesi!$C$9)&gt;_xlfn.ANCHORARRAY(Sintesi!$C$10))*(A148&lt;=_xlfn.ANCHORARRAY(Sintesi!$C$10))+(_xlfn.ANCHORARRAY(Sintesi!$C$9)&lt;_xlfn.ANCHORARRAY(Sintesi!$C$10))*(A148&gt;=_xlfn.ANCHORARRAY(Sintesi!$C$9))*(A148&lt;=_xlfn.ANCHORARRAY(Sintesi!$C$10)),0)),0)-_xlfn.IFNA(INDEX(_xlfn.ANCHORARRAY(Sintesi!$C$17),1,MATCH(1,(_xlfn.ANCHORARRAY(Sintesi!$C$9)&gt;_xlfn.ANCHORARRAY(Sintesi!$C$10))*(A148&gt;=_xlfn.ANCHORARRAY(Sintesi!$C$9))+(_xlfn.ANCHORARRAY(Sintesi!$C$9)&gt;_xlfn.ANCHORARRAY(Sintesi!$C$10))*(A148&lt;=_xlfn.ANCHORARRAY(Sintesi!$C$10))+(_xlfn.ANCHORARRAY(Sintesi!$C$9)&lt;_xlfn.ANCHORARRAY(Sintesi!$C$10))*(A148&gt;=_xlfn.ANCHORARRAY(Sintesi!$C$9))*(A148&lt;=_xlfn.ANCHORARRAY(Sintesi!$C$10)),0)),0)))),0)</f>
        <v>0</v>
      </c>
    </row>
    <row r="150" spans="1:13">
      <c r="A150" s="1">
        <f>'Paste cell here'!A150</f>
        <v>149</v>
      </c>
      <c r="B150" s="2">
        <f>DATE(Sintesi!$C$4-1,12,31)+A150</f>
        <v>44345</v>
      </c>
      <c r="C150" s="34">
        <f t="array" ref="C150">_xlfn.IFNA(MATCH(1,((_xlfn.ANCHORARRAY(Sintesi!$C$9)&gt;_xlfn.ANCHORARRAY(Sintesi!$C$10))*(A150&gt;=_xlfn.ANCHORARRAY(Sintesi!$C$9))+(_xlfn.ANCHORARRAY(Sintesi!$C$9)&gt;_xlfn.ANCHORARRAY(Sintesi!$C$10))*(A150&lt;=_xlfn.ANCHORARRAY(Sintesi!$C$10))+(_xlfn.ANCHORARRAY(Sintesi!$C$9)&lt;_xlfn.ANCHORARRAY(Sintesi!$C$10))*(A150&gt;=_xlfn.ANCHORARRAY(Sintesi!$C$9))*(A150&lt;=_xlfn.ANCHORARRAY(Sintesi!$C$10)))*(_xlfn.ANCHORARRAY(Sintesi!$C$15)&gt;=0)+(_xlfn.ANCHORARRAY(Sintesi!$C$15)&lt;0),0),0)</f>
        <v>1</v>
      </c>
      <c r="D150" s="1">
        <f t="array" ref="D150">IF(ISBLANK($E151),IF(ISNUMBER($E149),IF($C150&gt;0,IF(($E150=INDEX(_xlfn.ANCHORARRAY(Sintesi!$C$14),1,$C150))*(INDEX(_xlfn.ANCHORARRAY(Sintesi!$C$15),1,$C150)&gt;0),0,IF(($E150=INDEX(_xlfn.ANCHORARRAY(Sintesi!$C$14),1,$C150))*(INDEX(_xlfn.ANCHORARRAY(Sintesi!$C$15),1,$C150)&lt;0)+($E150&gt;=$E149)*($E150&lt;=INDEX($E:$E,MATCH(TRUE,INDEX((ISNUMBER($E:$E)),0),0)))*($E150&gt;INDEX(_xlfn.ANCHORARRAY(Sintesi!$C$14),1,$C150))*($E150&lt;=INDEX(_xlfn.ANCHORARRAY(Sintesi!$C$15),1,$C150))*(INDEX(_xlfn.ANCHORARRAY(Sintesi!$C$15),1,$C150)&gt;0),1,IF(($E150&gt;=$E149)*($E150&lt;=INDEX($E:$E,MATCH(TRUE,INDEX((ISNUMBER($E:$E)),0),0)))*($E150&gt;INDEX(_xlfn.ANCHORARRAY(Sintesi!$C$14),1,$C150))*($E150&lt;INDEX(_xlfn.ANCHORARRAY(Sintesi!$C$16),1,$C150))*(INDEX(_xlfn.ANCHORARRAY(Sintesi!$C$15),1,$C150)&lt;0)+($E150&gt;=$E149)*($E150&lt;=INDEX($E:$E,MATCH(TRUE,INDEX((ISNUMBER($E:$E)),0),0)))*($E150&gt;INDEX(_xlfn.ANCHORARRAY(Sintesi!$C$15),1,$C150))*($E150&lt;INDEX(_xlfn.ANCHORARRAY(Sintesi!$C$16),1,$C150))*(INDEX(_xlfn.ANCHORARRAY(Sintesi!$C$15),1,$C150)&gt;0),2,IF($E150=(INDEX(_xlfn.ANCHORARRAY(Sintesi!$C$16),1,$C150)),3,4)))),0),IF($C150&gt;0,IF(($E150=INDEX(_xlfn.ANCHORARRAY(Sintesi!$C$14),1,$C150))*(INDEX(_xlfn.ANCHORARRAY(Sintesi!$C$15),1,$C150)&gt;0),0,IF(($E150=INDEX(_xlfn.ANCHORARRAY(Sintesi!$C$14),1,$C150))*(INDEX(_xlfn.ANCHORARRAY(Sintesi!$C$15),1,$C150)&lt;0)+($E150&gt;=LOOKUP(2,1/($E:$E&lt;&gt;""),$E:$E))*($E150&lt;=INDEX($E:$E,MATCH(TRUE,INDEX((ISNUMBER($E:$E)),0),0)))*($E150&gt;INDEX(_xlfn.ANCHORARRAY(Sintesi!$C$14),1,$C150))*($E150&lt;=INDEX(_xlfn.ANCHORARRAY(Sintesi!$C$15),1,$C150))*(INDEX(_xlfn.ANCHORARRAY(Sintesi!$C$15),1,$C150)&gt;0),1,IF(($E150&gt;=LOOKUP(2,1/($E:$E&lt;&gt;""),$E:$E))*($E150&lt;=INDEX($E:$E,MATCH(TRUE,INDEX((ISNUMBER($E:$E)),0),0)))*($E150&gt;INDEX(_xlfn.ANCHORARRAY(Sintesi!$C$14),1,$C150))*($E150&lt;INDEX(_xlfn.ANCHORARRAY(Sintesi!$C$16),1,$C150))*(INDEX(_xlfn.ANCHORARRAY(Sintesi!$C$15),1,$C150)&lt;0)+($E150&gt;=LOOKUP(2,1/($E:$E&lt;&gt;""),$E:$E))*($E150&lt;=INDEX($E:$E,MATCH(TRUE,INDEX((ISNUMBER($E:$E)),0),0)))*($E150&gt;INDEX(_xlfn.ANCHORARRAY(Sintesi!$C$15),1,$C150))*($E150&lt;INDEX(_xlfn.ANCHORARRAY(Sintesi!$C$16),1,$C150))*(INDEX(_xlfn.ANCHORARRAY(Sintesi!$C$15),1,$C150)&gt;0),2,IF($E150=(INDEX(_xlfn.ANCHORARRAY(Sintesi!$C$16),1,$C150)),3,4)))),0)),IF(ISNUMBER($E149),IF($C150&gt;0,IF(($E150=INDEX(_xlfn.ANCHORARRAY(Sintesi!$C$14),1,$C150))*(INDEX(_xlfn.ANCHORARRAY(Sintesi!$C$15),1,$C150)&gt;0),0,IF(($E150=INDEX(_xlfn.ANCHORARRAY(Sintesi!$C$14),1,$C150))*(INDEX(_xlfn.ANCHORARRAY(Sintesi!$C$15),1,$C150)&lt;0)+($E150&gt;=$E149)*($E150&lt;=$E151)*($E150&gt;INDEX(_xlfn.ANCHORARRAY(Sintesi!$C$14),1,$C150))*($E150&lt;=INDEX(_xlfn.ANCHORARRAY(Sintesi!$C$15),1,$C150))*(INDEX(_xlfn.ANCHORARRAY(Sintesi!$C$15),1,$C150)&gt;0),1,IF(($E150&gt;=$E149)*($E150&lt;=$E151)*($E150&gt;INDEX(_xlfn.ANCHORARRAY(Sintesi!$C$14),1,$C150))*($E150&lt;INDEX(_xlfn.ANCHORARRAY(Sintesi!$C$16),1,$C150))*(INDEX(_xlfn.ANCHORARRAY(Sintesi!$C$15),1,$C150)&lt;0)+($E150&gt;=$E149)*($E150&lt;=$E151)*($E150&gt;INDEX(_xlfn.ANCHORARRAY(Sintesi!$C$15),1,$C150))*($E150&lt;INDEX(_xlfn.ANCHORARRAY(Sintesi!$C$16),1,$C150))*(INDEX(_xlfn.ANCHORARRAY(Sintesi!$C$15),1,$C150)&gt;0),2,IF($E150=(INDEX(_xlfn.ANCHORARRAY(Sintesi!$C$16),1,$C150)),3,4)))),0),IF($C150&gt;0,IF(($E150=INDEX(_xlfn.ANCHORARRAY(Sintesi!$C$14),1,$C150))*(INDEX(_xlfn.ANCHORARRAY(Sintesi!$C$15),1,$C150)&gt;0),0,IF(($E150=INDEX(_xlfn.ANCHORARRAY(Sintesi!$C$14),1,$C150))*(INDEX(_xlfn.ANCHORARRAY(Sintesi!$C$15),1,$C150)&lt;0)+($E150&gt;=LOOKUP(2,1/($E:$E&lt;&gt;""),$E:$E))*($E150&lt;=$E151)*($E150&gt;INDEX(_xlfn.ANCHORARRAY(Sintesi!$C$14),1,$C150))*($E150&lt;=INDEX(_xlfn.ANCHORARRAY(Sintesi!$C$15),1,$C150))*(INDEX(_xlfn.ANCHORARRAY(Sintesi!$C$15),1,$C150)&gt;0),1,IF(($E150&gt;=LOOKUP(2,1/($E:$E&lt;&gt;""),$E:$E))*($E150&lt;=$E151)*($E150&gt;INDEX(_xlfn.ANCHORARRAY(Sintesi!$C$14),1,$C150))*($E150&lt;INDEX(_xlfn.ANCHORARRAY(Sintesi!$C$16),1,$C150))*(INDEX(_xlfn.ANCHORARRAY(Sintesi!$C$15),1,$C150)&lt;0)+($E150&gt;=LOOKUP(2,1/($E:$E&lt;&gt;""),$E:$E))*($E150&lt;=$E151)*($E150&gt;INDEX(_xlfn.ANCHORARRAY(Sintesi!$C$15),1,$C150))*($E150&lt;INDEX(_xlfn.ANCHORARRAY(Sintesi!$C$16),1,$C150))*(INDEX(_xlfn.ANCHORARRAY(Sintesi!$C$15),1,$C150)&gt;0),2,IF($E150=(INDEX(_xlfn.ANCHORARRAY(Sintesi!$C$16),1,$C150)),3,4)))),0)))</f>
        <v>2</v>
      </c>
      <c r="E150" s="1">
        <f>'Paste cell here'!F150</f>
        <v>0.46300000000000002</v>
      </c>
      <c r="F150" s="1">
        <f>'Paste cell here'!C150</f>
        <v>26.859999999999602</v>
      </c>
      <c r="G150" s="1">
        <f>'Paste cell here'!D150</f>
        <v>15.179999999999811</v>
      </c>
      <c r="H150" s="1">
        <f>'Paste cell here'!E150</f>
        <v>4.9124672123963355</v>
      </c>
      <c r="I150" s="1">
        <f>'Paste cell here'!X150</f>
        <v>2.2743111846126349</v>
      </c>
      <c r="J150" s="1">
        <f>'Paste cell here'!Y150+'Paste cell here'!S150</f>
        <v>2.2743111846126349</v>
      </c>
      <c r="K150" s="1">
        <f t="shared" si="4"/>
        <v>0.46296719881886195</v>
      </c>
      <c r="L150" s="1">
        <f t="shared" si="5"/>
        <v>23.068678040554413</v>
      </c>
      <c r="M150" s="1">
        <f t="array" ref="M150">IF(AND(A150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150&gt;=_xlfn.ANCHORARRAY(Sintesi!$C$9))+(_xlfn.ANCHORARRAY(Sintesi!$C$9)&gt;_xlfn.ANCHORARRAY(Sintesi!$C$10))*(A150&lt;=_xlfn.ANCHORARRAY(Sintesi!$C$10))+(_xlfn.ANCHORARRAY(Sintesi!$C$9)&lt;_xlfn.ANCHORARRAY(Sintesi!$C$10))*(A150&gt;=_xlfn.ANCHORARRAY(Sintesi!$C$9))*(A150&lt;=_xlfn.ANCHORARRAY(Sintesi!$C$10)),0)),0),A150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151&gt;=_xlfn.ANCHORARRAY(Sintesi!$C$9))+(_xlfn.ANCHORARRAY(Sintesi!$C$9)&gt;_xlfn.ANCHORARRAY(Sintesi!$C$10))*(A151&lt;=_xlfn.ANCHORARRAY(Sintesi!$C$10))+(_xlfn.ANCHORARRAY(Sintesi!$C$9)&lt;_xlfn.ANCHORARRAY(Sintesi!$C$10))*(A151&gt;=_xlfn.ANCHORARRAY(Sintesi!$C$9))*(A151&lt;=_xlfn.ANCHORARRAY(Sintesi!$C$10)),0)),0)),IF(L150&lt;_xlfn.IFNA(INDEX(_xlfn.ANCHORARRAY(Sintesi!$C$17),1,MATCH(1,(_xlfn.ANCHORARRAY(Sintesi!$C$9)&gt;_xlfn.ANCHORARRAY(Sintesi!$C$10))*(A149&gt;=_xlfn.ANCHORARRAY(Sintesi!$C$9))+(_xlfn.ANCHORARRAY(Sintesi!$C$9)&gt;_xlfn.ANCHORARRAY(Sintesi!$C$10))*(A149&lt;=_xlfn.ANCHORARRAY(Sintesi!$C$10))+(_xlfn.ANCHORARRAY(Sintesi!$C$9)&lt;_xlfn.ANCHORARRAY(Sintesi!$C$10))*(A149&gt;=_xlfn.ANCHORARRAY(Sintesi!$C$9))*(A149&lt;=_xlfn.ANCHORARRAY(Sintesi!$C$10)),0)),0),1,IF(L150&gt;=_xlfn.IFNA(INDEX(_xlfn.ANCHORARRAY(Sintesi!$C$18),1,MATCH(1,(_xlfn.ANCHORARRAY(Sintesi!$C$9)&gt;_xlfn.ANCHORARRAY(Sintesi!$C$10))*(A149&gt;=_xlfn.ANCHORARRAY(Sintesi!$C$9))+(_xlfn.ANCHORARRAY(Sintesi!$C$9)&gt;_xlfn.ANCHORARRAY(Sintesi!$C$10))*(A149&lt;=_xlfn.ANCHORARRAY(Sintesi!$C$10))+(_xlfn.ANCHORARRAY(Sintesi!$C$9)&lt;_xlfn.ANCHORARRAY(Sintesi!$C$10))*(A149&gt;=_xlfn.ANCHORARRAY(Sintesi!$C$9))*(A149&lt;=_xlfn.ANCHORARRAY(Sintesi!$C$10)),0)),0),0,1-(L150-_xlfn.IFNA(INDEX(_xlfn.ANCHORARRAY(Sintesi!$C$17),1,MATCH(1,(_xlfn.ANCHORARRAY(Sintesi!$C$9)&gt;_xlfn.ANCHORARRAY(Sintesi!$C$10))*(A149&gt;=_xlfn.ANCHORARRAY(Sintesi!$C$9))+(_xlfn.ANCHORARRAY(Sintesi!$C$9)&gt;_xlfn.ANCHORARRAY(Sintesi!$C$10))*(A149&lt;=_xlfn.ANCHORARRAY(Sintesi!$C$10))+(_xlfn.ANCHORARRAY(Sintesi!$C$9)&lt;_xlfn.ANCHORARRAY(Sintesi!$C$10))*(A149&gt;=_xlfn.ANCHORARRAY(Sintesi!$C$9))*(A149&lt;=_xlfn.ANCHORARRAY(Sintesi!$C$10)),0)),0))/(_xlfn.IFNA(INDEX(_xlfn.ANCHORARRAY(Sintesi!$C$18),1,MATCH(1,(_xlfn.ANCHORARRAY(Sintesi!$C$9)&gt;_xlfn.ANCHORARRAY(Sintesi!$C$10))*(A149&gt;=_xlfn.ANCHORARRAY(Sintesi!$C$9))+(_xlfn.ANCHORARRAY(Sintesi!$C$9)&gt;_xlfn.ANCHORARRAY(Sintesi!$C$10))*(A149&lt;=_xlfn.ANCHORARRAY(Sintesi!$C$10))+(_xlfn.ANCHORARRAY(Sintesi!$C$9)&lt;_xlfn.ANCHORARRAY(Sintesi!$C$10))*(A149&gt;=_xlfn.ANCHORARRAY(Sintesi!$C$9))*(A149&lt;=_xlfn.ANCHORARRAY(Sintesi!$C$10)),0)),0)-_xlfn.IFNA(INDEX(_xlfn.ANCHORARRAY(Sintesi!$C$17),1,MATCH(1,(_xlfn.ANCHORARRAY(Sintesi!$C$9)&gt;_xlfn.ANCHORARRAY(Sintesi!$C$10))*(A149&gt;=_xlfn.ANCHORARRAY(Sintesi!$C$9))+(_xlfn.ANCHORARRAY(Sintesi!$C$9)&gt;_xlfn.ANCHORARRAY(Sintesi!$C$10))*(A149&lt;=_xlfn.ANCHORARRAY(Sintesi!$C$10))+(_xlfn.ANCHORARRAY(Sintesi!$C$9)&lt;_xlfn.ANCHORARRAY(Sintesi!$C$10))*(A149&gt;=_xlfn.ANCHORARRAY(Sintesi!$C$9))*(A149&lt;=_xlfn.ANCHORARRAY(Sintesi!$C$10)),0)),0)))),0)</f>
        <v>0</v>
      </c>
    </row>
    <row r="151" spans="1:13">
      <c r="A151" s="1">
        <f>'Paste cell here'!A151</f>
        <v>150</v>
      </c>
      <c r="B151" s="2">
        <f>DATE(Sintesi!$C$4-1,12,31)+A151</f>
        <v>44346</v>
      </c>
      <c r="C151" s="34">
        <f t="array" ref="C151">_xlfn.IFNA(MATCH(1,((_xlfn.ANCHORARRAY(Sintesi!$C$9)&gt;_xlfn.ANCHORARRAY(Sintesi!$C$10))*(A151&gt;=_xlfn.ANCHORARRAY(Sintesi!$C$9))+(_xlfn.ANCHORARRAY(Sintesi!$C$9)&gt;_xlfn.ANCHORARRAY(Sintesi!$C$10))*(A151&lt;=_xlfn.ANCHORARRAY(Sintesi!$C$10))+(_xlfn.ANCHORARRAY(Sintesi!$C$9)&lt;_xlfn.ANCHORARRAY(Sintesi!$C$10))*(A151&gt;=_xlfn.ANCHORARRAY(Sintesi!$C$9))*(A151&lt;=_xlfn.ANCHORARRAY(Sintesi!$C$10)))*(_xlfn.ANCHORARRAY(Sintesi!$C$15)&gt;=0)+(_xlfn.ANCHORARRAY(Sintesi!$C$15)&lt;0),0),0)</f>
        <v>1</v>
      </c>
      <c r="D151" s="1">
        <f t="array" ref="D151">IF(ISBLANK($E152),IF(ISNUMBER($E150),IF($C151&gt;0,IF(($E151=INDEX(_xlfn.ANCHORARRAY(Sintesi!$C$14),1,$C151))*(INDEX(_xlfn.ANCHORARRAY(Sintesi!$C$15),1,$C151)&gt;0),0,IF(($E151=INDEX(_xlfn.ANCHORARRAY(Sintesi!$C$14),1,$C151))*(INDEX(_xlfn.ANCHORARRAY(Sintesi!$C$15),1,$C151)&lt;0)+($E151&gt;=$E150)*($E151&lt;=INDEX($E:$E,MATCH(TRUE,INDEX((ISNUMBER($E:$E)),0),0)))*($E151&gt;INDEX(_xlfn.ANCHORARRAY(Sintesi!$C$14),1,$C151))*($E151&lt;=INDEX(_xlfn.ANCHORARRAY(Sintesi!$C$15),1,$C151))*(INDEX(_xlfn.ANCHORARRAY(Sintesi!$C$15),1,$C151)&gt;0),1,IF(($E151&gt;=$E150)*($E151&lt;=INDEX($E:$E,MATCH(TRUE,INDEX((ISNUMBER($E:$E)),0),0)))*($E151&gt;INDEX(_xlfn.ANCHORARRAY(Sintesi!$C$14),1,$C151))*($E151&lt;INDEX(_xlfn.ANCHORARRAY(Sintesi!$C$16),1,$C151))*(INDEX(_xlfn.ANCHORARRAY(Sintesi!$C$15),1,$C151)&lt;0)+($E151&gt;=$E150)*($E151&lt;=INDEX($E:$E,MATCH(TRUE,INDEX((ISNUMBER($E:$E)),0),0)))*($E151&gt;INDEX(_xlfn.ANCHORARRAY(Sintesi!$C$15),1,$C151))*($E151&lt;INDEX(_xlfn.ANCHORARRAY(Sintesi!$C$16),1,$C151))*(INDEX(_xlfn.ANCHORARRAY(Sintesi!$C$15),1,$C151)&gt;0),2,IF($E151=(INDEX(_xlfn.ANCHORARRAY(Sintesi!$C$16),1,$C151)),3,4)))),0),IF($C151&gt;0,IF(($E151=INDEX(_xlfn.ANCHORARRAY(Sintesi!$C$14),1,$C151))*(INDEX(_xlfn.ANCHORARRAY(Sintesi!$C$15),1,$C151)&gt;0),0,IF(($E151=INDEX(_xlfn.ANCHORARRAY(Sintesi!$C$14),1,$C151))*(INDEX(_xlfn.ANCHORARRAY(Sintesi!$C$15),1,$C151)&lt;0)+($E151&gt;=LOOKUP(2,1/($E:$E&lt;&gt;""),$E:$E))*($E151&lt;=INDEX($E:$E,MATCH(TRUE,INDEX((ISNUMBER($E:$E)),0),0)))*($E151&gt;INDEX(_xlfn.ANCHORARRAY(Sintesi!$C$14),1,$C151))*($E151&lt;=INDEX(_xlfn.ANCHORARRAY(Sintesi!$C$15),1,$C151))*(INDEX(_xlfn.ANCHORARRAY(Sintesi!$C$15),1,$C151)&gt;0),1,IF(($E151&gt;=LOOKUP(2,1/($E:$E&lt;&gt;""),$E:$E))*($E151&lt;=INDEX($E:$E,MATCH(TRUE,INDEX((ISNUMBER($E:$E)),0),0)))*($E151&gt;INDEX(_xlfn.ANCHORARRAY(Sintesi!$C$14),1,$C151))*($E151&lt;INDEX(_xlfn.ANCHORARRAY(Sintesi!$C$16),1,$C151))*(INDEX(_xlfn.ANCHORARRAY(Sintesi!$C$15),1,$C151)&lt;0)+($E151&gt;=LOOKUP(2,1/($E:$E&lt;&gt;""),$E:$E))*($E151&lt;=INDEX($E:$E,MATCH(TRUE,INDEX((ISNUMBER($E:$E)),0),0)))*($E151&gt;INDEX(_xlfn.ANCHORARRAY(Sintesi!$C$15),1,$C151))*($E151&lt;INDEX(_xlfn.ANCHORARRAY(Sintesi!$C$16),1,$C151))*(INDEX(_xlfn.ANCHORARRAY(Sintesi!$C$15),1,$C151)&gt;0),2,IF($E151=(INDEX(_xlfn.ANCHORARRAY(Sintesi!$C$16),1,$C151)),3,4)))),0)),IF(ISNUMBER($E150),IF($C151&gt;0,IF(($E151=INDEX(_xlfn.ANCHORARRAY(Sintesi!$C$14),1,$C151))*(INDEX(_xlfn.ANCHORARRAY(Sintesi!$C$15),1,$C151)&gt;0),0,IF(($E151=INDEX(_xlfn.ANCHORARRAY(Sintesi!$C$14),1,$C151))*(INDEX(_xlfn.ANCHORARRAY(Sintesi!$C$15),1,$C151)&lt;0)+($E151&gt;=$E150)*($E151&lt;=$E152)*($E151&gt;INDEX(_xlfn.ANCHORARRAY(Sintesi!$C$14),1,$C151))*($E151&lt;=INDEX(_xlfn.ANCHORARRAY(Sintesi!$C$15),1,$C151))*(INDEX(_xlfn.ANCHORARRAY(Sintesi!$C$15),1,$C151)&gt;0),1,IF(($E151&gt;=$E150)*($E151&lt;=$E152)*($E151&gt;INDEX(_xlfn.ANCHORARRAY(Sintesi!$C$14),1,$C151))*($E151&lt;INDEX(_xlfn.ANCHORARRAY(Sintesi!$C$16),1,$C151))*(INDEX(_xlfn.ANCHORARRAY(Sintesi!$C$15),1,$C151)&lt;0)+($E151&gt;=$E150)*($E151&lt;=$E152)*($E151&gt;INDEX(_xlfn.ANCHORARRAY(Sintesi!$C$15),1,$C151))*($E151&lt;INDEX(_xlfn.ANCHORARRAY(Sintesi!$C$16),1,$C151))*(INDEX(_xlfn.ANCHORARRAY(Sintesi!$C$15),1,$C151)&gt;0),2,IF($E151=(INDEX(_xlfn.ANCHORARRAY(Sintesi!$C$16),1,$C151)),3,4)))),0),IF($C151&gt;0,IF(($E151=INDEX(_xlfn.ANCHORARRAY(Sintesi!$C$14),1,$C151))*(INDEX(_xlfn.ANCHORARRAY(Sintesi!$C$15),1,$C151)&gt;0),0,IF(($E151=INDEX(_xlfn.ANCHORARRAY(Sintesi!$C$14),1,$C151))*(INDEX(_xlfn.ANCHORARRAY(Sintesi!$C$15),1,$C151)&lt;0)+($E151&gt;=LOOKUP(2,1/($E:$E&lt;&gt;""),$E:$E))*($E151&lt;=$E152)*($E151&gt;INDEX(_xlfn.ANCHORARRAY(Sintesi!$C$14),1,$C151))*($E151&lt;=INDEX(_xlfn.ANCHORARRAY(Sintesi!$C$15),1,$C151))*(INDEX(_xlfn.ANCHORARRAY(Sintesi!$C$15),1,$C151)&gt;0),1,IF(($E151&gt;=LOOKUP(2,1/($E:$E&lt;&gt;""),$E:$E))*($E151&lt;=$E152)*($E151&gt;INDEX(_xlfn.ANCHORARRAY(Sintesi!$C$14),1,$C151))*($E151&lt;INDEX(_xlfn.ANCHORARRAY(Sintesi!$C$16),1,$C151))*(INDEX(_xlfn.ANCHORARRAY(Sintesi!$C$15),1,$C151)&lt;0)+($E151&gt;=LOOKUP(2,1/($E:$E&lt;&gt;""),$E:$E))*($E151&lt;=$E152)*($E151&gt;INDEX(_xlfn.ANCHORARRAY(Sintesi!$C$15),1,$C151))*($E151&lt;INDEX(_xlfn.ANCHORARRAY(Sintesi!$C$16),1,$C151))*(INDEX(_xlfn.ANCHORARRAY(Sintesi!$C$15),1,$C151)&gt;0),2,IF($E151=(INDEX(_xlfn.ANCHORARRAY(Sintesi!$C$16),1,$C151)),3,4)))),0)))</f>
        <v>2</v>
      </c>
      <c r="E151" s="1">
        <f>'Paste cell here'!F151</f>
        <v>0.48399999999999999</v>
      </c>
      <c r="F151" s="1">
        <f>'Paste cell here'!C151</f>
        <v>24.799999999999635</v>
      </c>
      <c r="G151" s="1">
        <f>'Paste cell here'!D151</f>
        <v>14.719999999999803</v>
      </c>
      <c r="H151" s="1">
        <f>'Paste cell here'!E151</f>
        <v>5.2860931351341014</v>
      </c>
      <c r="I151" s="1">
        <f>'Paste cell here'!X151</f>
        <v>2.5582824986070096</v>
      </c>
      <c r="J151" s="1">
        <f>'Paste cell here'!Y151+'Paste cell here'!S151</f>
        <v>2.5582824986070096</v>
      </c>
      <c r="K151" s="1">
        <f t="shared" si="4"/>
        <v>0.48396470383833096</v>
      </c>
      <c r="L151" s="1">
        <f t="shared" si="5"/>
        <v>21.528037213081184</v>
      </c>
      <c r="M151" s="1">
        <f t="array" ref="M151">IF(AND(A151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151&gt;=_xlfn.ANCHORARRAY(Sintesi!$C$9))+(_xlfn.ANCHORARRAY(Sintesi!$C$9)&gt;_xlfn.ANCHORARRAY(Sintesi!$C$10))*(A151&lt;=_xlfn.ANCHORARRAY(Sintesi!$C$10))+(_xlfn.ANCHORARRAY(Sintesi!$C$9)&lt;_xlfn.ANCHORARRAY(Sintesi!$C$10))*(A151&gt;=_xlfn.ANCHORARRAY(Sintesi!$C$9))*(A151&lt;=_xlfn.ANCHORARRAY(Sintesi!$C$10)),0)),0),A151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152&gt;=_xlfn.ANCHORARRAY(Sintesi!$C$9))+(_xlfn.ANCHORARRAY(Sintesi!$C$9)&gt;_xlfn.ANCHORARRAY(Sintesi!$C$10))*(A152&lt;=_xlfn.ANCHORARRAY(Sintesi!$C$10))+(_xlfn.ANCHORARRAY(Sintesi!$C$9)&lt;_xlfn.ANCHORARRAY(Sintesi!$C$10))*(A152&gt;=_xlfn.ANCHORARRAY(Sintesi!$C$9))*(A152&lt;=_xlfn.ANCHORARRAY(Sintesi!$C$10)),0)),0)),IF(L151&lt;_xlfn.IFNA(INDEX(_xlfn.ANCHORARRAY(Sintesi!$C$17),1,MATCH(1,(_xlfn.ANCHORARRAY(Sintesi!$C$9)&gt;_xlfn.ANCHORARRAY(Sintesi!$C$10))*(A150&gt;=_xlfn.ANCHORARRAY(Sintesi!$C$9))+(_xlfn.ANCHORARRAY(Sintesi!$C$9)&gt;_xlfn.ANCHORARRAY(Sintesi!$C$10))*(A150&lt;=_xlfn.ANCHORARRAY(Sintesi!$C$10))+(_xlfn.ANCHORARRAY(Sintesi!$C$9)&lt;_xlfn.ANCHORARRAY(Sintesi!$C$10))*(A150&gt;=_xlfn.ANCHORARRAY(Sintesi!$C$9))*(A150&lt;=_xlfn.ANCHORARRAY(Sintesi!$C$10)),0)),0),1,IF(L151&gt;=_xlfn.IFNA(INDEX(_xlfn.ANCHORARRAY(Sintesi!$C$18),1,MATCH(1,(_xlfn.ANCHORARRAY(Sintesi!$C$9)&gt;_xlfn.ANCHORARRAY(Sintesi!$C$10))*(A150&gt;=_xlfn.ANCHORARRAY(Sintesi!$C$9))+(_xlfn.ANCHORARRAY(Sintesi!$C$9)&gt;_xlfn.ANCHORARRAY(Sintesi!$C$10))*(A150&lt;=_xlfn.ANCHORARRAY(Sintesi!$C$10))+(_xlfn.ANCHORARRAY(Sintesi!$C$9)&lt;_xlfn.ANCHORARRAY(Sintesi!$C$10))*(A150&gt;=_xlfn.ANCHORARRAY(Sintesi!$C$9))*(A150&lt;=_xlfn.ANCHORARRAY(Sintesi!$C$10)),0)),0),0,1-(L151-_xlfn.IFNA(INDEX(_xlfn.ANCHORARRAY(Sintesi!$C$17),1,MATCH(1,(_xlfn.ANCHORARRAY(Sintesi!$C$9)&gt;_xlfn.ANCHORARRAY(Sintesi!$C$10))*(A150&gt;=_xlfn.ANCHORARRAY(Sintesi!$C$9))+(_xlfn.ANCHORARRAY(Sintesi!$C$9)&gt;_xlfn.ANCHORARRAY(Sintesi!$C$10))*(A150&lt;=_xlfn.ANCHORARRAY(Sintesi!$C$10))+(_xlfn.ANCHORARRAY(Sintesi!$C$9)&lt;_xlfn.ANCHORARRAY(Sintesi!$C$10))*(A150&gt;=_xlfn.ANCHORARRAY(Sintesi!$C$9))*(A150&lt;=_xlfn.ANCHORARRAY(Sintesi!$C$10)),0)),0))/(_xlfn.IFNA(INDEX(_xlfn.ANCHORARRAY(Sintesi!$C$18),1,MATCH(1,(_xlfn.ANCHORARRAY(Sintesi!$C$9)&gt;_xlfn.ANCHORARRAY(Sintesi!$C$10))*(A150&gt;=_xlfn.ANCHORARRAY(Sintesi!$C$9))+(_xlfn.ANCHORARRAY(Sintesi!$C$9)&gt;_xlfn.ANCHORARRAY(Sintesi!$C$10))*(A150&lt;=_xlfn.ANCHORARRAY(Sintesi!$C$10))+(_xlfn.ANCHORARRAY(Sintesi!$C$9)&lt;_xlfn.ANCHORARRAY(Sintesi!$C$10))*(A150&gt;=_xlfn.ANCHORARRAY(Sintesi!$C$9))*(A150&lt;=_xlfn.ANCHORARRAY(Sintesi!$C$10)),0)),0)-_xlfn.IFNA(INDEX(_xlfn.ANCHORARRAY(Sintesi!$C$17),1,MATCH(1,(_xlfn.ANCHORARRAY(Sintesi!$C$9)&gt;_xlfn.ANCHORARRAY(Sintesi!$C$10))*(A150&gt;=_xlfn.ANCHORARRAY(Sintesi!$C$9))+(_xlfn.ANCHORARRAY(Sintesi!$C$9)&gt;_xlfn.ANCHORARRAY(Sintesi!$C$10))*(A150&lt;=_xlfn.ANCHORARRAY(Sintesi!$C$10))+(_xlfn.ANCHORARRAY(Sintesi!$C$9)&lt;_xlfn.ANCHORARRAY(Sintesi!$C$10))*(A150&gt;=_xlfn.ANCHORARRAY(Sintesi!$C$9))*(A150&lt;=_xlfn.ANCHORARRAY(Sintesi!$C$10)),0)),0)))),0)</f>
        <v>0</v>
      </c>
    </row>
    <row r="152" spans="1:13">
      <c r="A152" s="1">
        <f>'Paste cell here'!A152</f>
        <v>151</v>
      </c>
      <c r="B152" s="2">
        <f>DATE(Sintesi!$C$4-1,12,31)+A152</f>
        <v>44347</v>
      </c>
      <c r="C152" s="34">
        <f t="array" ref="C152">_xlfn.IFNA(MATCH(1,((_xlfn.ANCHORARRAY(Sintesi!$C$9)&gt;_xlfn.ANCHORARRAY(Sintesi!$C$10))*(A152&gt;=_xlfn.ANCHORARRAY(Sintesi!$C$9))+(_xlfn.ANCHORARRAY(Sintesi!$C$9)&gt;_xlfn.ANCHORARRAY(Sintesi!$C$10))*(A152&lt;=_xlfn.ANCHORARRAY(Sintesi!$C$10))+(_xlfn.ANCHORARRAY(Sintesi!$C$9)&lt;_xlfn.ANCHORARRAY(Sintesi!$C$10))*(A152&gt;=_xlfn.ANCHORARRAY(Sintesi!$C$9))*(A152&lt;=_xlfn.ANCHORARRAY(Sintesi!$C$10)))*(_xlfn.ANCHORARRAY(Sintesi!$C$15)&gt;=0)+(_xlfn.ANCHORARRAY(Sintesi!$C$15)&lt;0),0),0)</f>
        <v>1</v>
      </c>
      <c r="D152" s="1">
        <f t="array" ref="D152">IF(ISBLANK($E153),IF(ISNUMBER($E151),IF($C152&gt;0,IF(($E152=INDEX(_xlfn.ANCHORARRAY(Sintesi!$C$14),1,$C152))*(INDEX(_xlfn.ANCHORARRAY(Sintesi!$C$15),1,$C152)&gt;0),0,IF(($E152=INDEX(_xlfn.ANCHORARRAY(Sintesi!$C$14),1,$C152))*(INDEX(_xlfn.ANCHORARRAY(Sintesi!$C$15),1,$C152)&lt;0)+($E152&gt;=$E151)*($E152&lt;=INDEX($E:$E,MATCH(TRUE,INDEX((ISNUMBER($E:$E)),0),0)))*($E152&gt;INDEX(_xlfn.ANCHORARRAY(Sintesi!$C$14),1,$C152))*($E152&lt;=INDEX(_xlfn.ANCHORARRAY(Sintesi!$C$15),1,$C152))*(INDEX(_xlfn.ANCHORARRAY(Sintesi!$C$15),1,$C152)&gt;0),1,IF(($E152&gt;=$E151)*($E152&lt;=INDEX($E:$E,MATCH(TRUE,INDEX((ISNUMBER($E:$E)),0),0)))*($E152&gt;INDEX(_xlfn.ANCHORARRAY(Sintesi!$C$14),1,$C152))*($E152&lt;INDEX(_xlfn.ANCHORARRAY(Sintesi!$C$16),1,$C152))*(INDEX(_xlfn.ANCHORARRAY(Sintesi!$C$15),1,$C152)&lt;0)+($E152&gt;=$E151)*($E152&lt;=INDEX($E:$E,MATCH(TRUE,INDEX((ISNUMBER($E:$E)),0),0)))*($E152&gt;INDEX(_xlfn.ANCHORARRAY(Sintesi!$C$15),1,$C152))*($E152&lt;INDEX(_xlfn.ANCHORARRAY(Sintesi!$C$16),1,$C152))*(INDEX(_xlfn.ANCHORARRAY(Sintesi!$C$15),1,$C152)&gt;0),2,IF($E152=(INDEX(_xlfn.ANCHORARRAY(Sintesi!$C$16),1,$C152)),3,4)))),0),IF($C152&gt;0,IF(($E152=INDEX(_xlfn.ANCHORARRAY(Sintesi!$C$14),1,$C152))*(INDEX(_xlfn.ANCHORARRAY(Sintesi!$C$15),1,$C152)&gt;0),0,IF(($E152=INDEX(_xlfn.ANCHORARRAY(Sintesi!$C$14),1,$C152))*(INDEX(_xlfn.ANCHORARRAY(Sintesi!$C$15),1,$C152)&lt;0)+($E152&gt;=LOOKUP(2,1/($E:$E&lt;&gt;""),$E:$E))*($E152&lt;=INDEX($E:$E,MATCH(TRUE,INDEX((ISNUMBER($E:$E)),0),0)))*($E152&gt;INDEX(_xlfn.ANCHORARRAY(Sintesi!$C$14),1,$C152))*($E152&lt;=INDEX(_xlfn.ANCHORARRAY(Sintesi!$C$15),1,$C152))*(INDEX(_xlfn.ANCHORARRAY(Sintesi!$C$15),1,$C152)&gt;0),1,IF(($E152&gt;=LOOKUP(2,1/($E:$E&lt;&gt;""),$E:$E))*($E152&lt;=INDEX($E:$E,MATCH(TRUE,INDEX((ISNUMBER($E:$E)),0),0)))*($E152&gt;INDEX(_xlfn.ANCHORARRAY(Sintesi!$C$14),1,$C152))*($E152&lt;INDEX(_xlfn.ANCHORARRAY(Sintesi!$C$16),1,$C152))*(INDEX(_xlfn.ANCHORARRAY(Sintesi!$C$15),1,$C152)&lt;0)+($E152&gt;=LOOKUP(2,1/($E:$E&lt;&gt;""),$E:$E))*($E152&lt;=INDEX($E:$E,MATCH(TRUE,INDEX((ISNUMBER($E:$E)),0),0)))*($E152&gt;INDEX(_xlfn.ANCHORARRAY(Sintesi!$C$15),1,$C152))*($E152&lt;INDEX(_xlfn.ANCHORARRAY(Sintesi!$C$16),1,$C152))*(INDEX(_xlfn.ANCHORARRAY(Sintesi!$C$15),1,$C152)&gt;0),2,IF($E152=(INDEX(_xlfn.ANCHORARRAY(Sintesi!$C$16),1,$C152)),3,4)))),0)),IF(ISNUMBER($E151),IF($C152&gt;0,IF(($E152=INDEX(_xlfn.ANCHORARRAY(Sintesi!$C$14),1,$C152))*(INDEX(_xlfn.ANCHORARRAY(Sintesi!$C$15),1,$C152)&gt;0),0,IF(($E152=INDEX(_xlfn.ANCHORARRAY(Sintesi!$C$14),1,$C152))*(INDEX(_xlfn.ANCHORARRAY(Sintesi!$C$15),1,$C152)&lt;0)+($E152&gt;=$E151)*($E152&lt;=$E153)*($E152&gt;INDEX(_xlfn.ANCHORARRAY(Sintesi!$C$14),1,$C152))*($E152&lt;=INDEX(_xlfn.ANCHORARRAY(Sintesi!$C$15),1,$C152))*(INDEX(_xlfn.ANCHORARRAY(Sintesi!$C$15),1,$C152)&gt;0),1,IF(($E152&gt;=$E151)*($E152&lt;=$E153)*($E152&gt;INDEX(_xlfn.ANCHORARRAY(Sintesi!$C$14),1,$C152))*($E152&lt;INDEX(_xlfn.ANCHORARRAY(Sintesi!$C$16),1,$C152))*(INDEX(_xlfn.ANCHORARRAY(Sintesi!$C$15),1,$C152)&lt;0)+($E152&gt;=$E151)*($E152&lt;=$E153)*($E152&gt;INDEX(_xlfn.ANCHORARRAY(Sintesi!$C$15),1,$C152))*($E152&lt;INDEX(_xlfn.ANCHORARRAY(Sintesi!$C$16),1,$C152))*(INDEX(_xlfn.ANCHORARRAY(Sintesi!$C$15),1,$C152)&gt;0),2,IF($E152=(INDEX(_xlfn.ANCHORARRAY(Sintesi!$C$16),1,$C152)),3,4)))),0),IF($C152&gt;0,IF(($E152=INDEX(_xlfn.ANCHORARRAY(Sintesi!$C$14),1,$C152))*(INDEX(_xlfn.ANCHORARRAY(Sintesi!$C$15),1,$C152)&gt;0),0,IF(($E152=INDEX(_xlfn.ANCHORARRAY(Sintesi!$C$14),1,$C152))*(INDEX(_xlfn.ANCHORARRAY(Sintesi!$C$15),1,$C152)&lt;0)+($E152&gt;=LOOKUP(2,1/($E:$E&lt;&gt;""),$E:$E))*($E152&lt;=$E153)*($E152&gt;INDEX(_xlfn.ANCHORARRAY(Sintesi!$C$14),1,$C152))*($E152&lt;=INDEX(_xlfn.ANCHORARRAY(Sintesi!$C$15),1,$C152))*(INDEX(_xlfn.ANCHORARRAY(Sintesi!$C$15),1,$C152)&gt;0),1,IF(($E152&gt;=LOOKUP(2,1/($E:$E&lt;&gt;""),$E:$E))*($E152&lt;=$E153)*($E152&gt;INDEX(_xlfn.ANCHORARRAY(Sintesi!$C$14),1,$C152))*($E152&lt;INDEX(_xlfn.ANCHORARRAY(Sintesi!$C$16),1,$C152))*(INDEX(_xlfn.ANCHORARRAY(Sintesi!$C$15),1,$C152)&lt;0)+($E152&gt;=LOOKUP(2,1/($E:$E&lt;&gt;""),$E:$E))*($E152&lt;=$E153)*($E152&gt;INDEX(_xlfn.ANCHORARRAY(Sintesi!$C$15),1,$C152))*($E152&lt;INDEX(_xlfn.ANCHORARRAY(Sintesi!$C$16),1,$C152))*(INDEX(_xlfn.ANCHORARRAY(Sintesi!$C$15),1,$C152)&gt;0),2,IF($E152=(INDEX(_xlfn.ANCHORARRAY(Sintesi!$C$16),1,$C152)),3,4)))),0)))</f>
        <v>2</v>
      </c>
      <c r="E152" s="1">
        <f>'Paste cell here'!F152</f>
        <v>0.505</v>
      </c>
      <c r="F152" s="1">
        <f>'Paste cell here'!C152</f>
        <v>24.71999999999964</v>
      </c>
      <c r="G152" s="1">
        <f>'Paste cell here'!D152</f>
        <v>14.539999999999797</v>
      </c>
      <c r="H152" s="1">
        <f>'Paste cell here'!E152</f>
        <v>4.8158110579667213</v>
      </c>
      <c r="I152" s="1">
        <f>'Paste cell here'!X152</f>
        <v>2.4318022503424679</v>
      </c>
      <c r="J152" s="1">
        <f>'Paste cell here'!Y152+'Paste cell here'!S152</f>
        <v>2.4318022503424679</v>
      </c>
      <c r="K152" s="1">
        <f t="shared" si="4"/>
        <v>0.50496213847916127</v>
      </c>
      <c r="L152" s="1">
        <f t="shared" si="5"/>
        <v>21.415577264798262</v>
      </c>
      <c r="M152" s="1">
        <f t="array" ref="M152">IF(AND(A152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152&gt;=_xlfn.ANCHORARRAY(Sintesi!$C$9))+(_xlfn.ANCHORARRAY(Sintesi!$C$9)&gt;_xlfn.ANCHORARRAY(Sintesi!$C$10))*(A152&lt;=_xlfn.ANCHORARRAY(Sintesi!$C$10))+(_xlfn.ANCHORARRAY(Sintesi!$C$9)&lt;_xlfn.ANCHORARRAY(Sintesi!$C$10))*(A152&gt;=_xlfn.ANCHORARRAY(Sintesi!$C$9))*(A152&lt;=_xlfn.ANCHORARRAY(Sintesi!$C$10)),0)),0),A152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153&gt;=_xlfn.ANCHORARRAY(Sintesi!$C$9))+(_xlfn.ANCHORARRAY(Sintesi!$C$9)&gt;_xlfn.ANCHORARRAY(Sintesi!$C$10))*(A153&lt;=_xlfn.ANCHORARRAY(Sintesi!$C$10))+(_xlfn.ANCHORARRAY(Sintesi!$C$9)&lt;_xlfn.ANCHORARRAY(Sintesi!$C$10))*(A153&gt;=_xlfn.ANCHORARRAY(Sintesi!$C$9))*(A153&lt;=_xlfn.ANCHORARRAY(Sintesi!$C$10)),0)),0)),IF(L152&lt;_xlfn.IFNA(INDEX(_xlfn.ANCHORARRAY(Sintesi!$C$17),1,MATCH(1,(_xlfn.ANCHORARRAY(Sintesi!$C$9)&gt;_xlfn.ANCHORARRAY(Sintesi!$C$10))*(A151&gt;=_xlfn.ANCHORARRAY(Sintesi!$C$9))+(_xlfn.ANCHORARRAY(Sintesi!$C$9)&gt;_xlfn.ANCHORARRAY(Sintesi!$C$10))*(A151&lt;=_xlfn.ANCHORARRAY(Sintesi!$C$10))+(_xlfn.ANCHORARRAY(Sintesi!$C$9)&lt;_xlfn.ANCHORARRAY(Sintesi!$C$10))*(A151&gt;=_xlfn.ANCHORARRAY(Sintesi!$C$9))*(A151&lt;=_xlfn.ANCHORARRAY(Sintesi!$C$10)),0)),0),1,IF(L152&gt;=_xlfn.IFNA(INDEX(_xlfn.ANCHORARRAY(Sintesi!$C$18),1,MATCH(1,(_xlfn.ANCHORARRAY(Sintesi!$C$9)&gt;_xlfn.ANCHORARRAY(Sintesi!$C$10))*(A151&gt;=_xlfn.ANCHORARRAY(Sintesi!$C$9))+(_xlfn.ANCHORARRAY(Sintesi!$C$9)&gt;_xlfn.ANCHORARRAY(Sintesi!$C$10))*(A151&lt;=_xlfn.ANCHORARRAY(Sintesi!$C$10))+(_xlfn.ANCHORARRAY(Sintesi!$C$9)&lt;_xlfn.ANCHORARRAY(Sintesi!$C$10))*(A151&gt;=_xlfn.ANCHORARRAY(Sintesi!$C$9))*(A151&lt;=_xlfn.ANCHORARRAY(Sintesi!$C$10)),0)),0),0,1-(L152-_xlfn.IFNA(INDEX(_xlfn.ANCHORARRAY(Sintesi!$C$17),1,MATCH(1,(_xlfn.ANCHORARRAY(Sintesi!$C$9)&gt;_xlfn.ANCHORARRAY(Sintesi!$C$10))*(A151&gt;=_xlfn.ANCHORARRAY(Sintesi!$C$9))+(_xlfn.ANCHORARRAY(Sintesi!$C$9)&gt;_xlfn.ANCHORARRAY(Sintesi!$C$10))*(A151&lt;=_xlfn.ANCHORARRAY(Sintesi!$C$10))+(_xlfn.ANCHORARRAY(Sintesi!$C$9)&lt;_xlfn.ANCHORARRAY(Sintesi!$C$10))*(A151&gt;=_xlfn.ANCHORARRAY(Sintesi!$C$9))*(A151&lt;=_xlfn.ANCHORARRAY(Sintesi!$C$10)),0)),0))/(_xlfn.IFNA(INDEX(_xlfn.ANCHORARRAY(Sintesi!$C$18),1,MATCH(1,(_xlfn.ANCHORARRAY(Sintesi!$C$9)&gt;_xlfn.ANCHORARRAY(Sintesi!$C$10))*(A151&gt;=_xlfn.ANCHORARRAY(Sintesi!$C$9))+(_xlfn.ANCHORARRAY(Sintesi!$C$9)&gt;_xlfn.ANCHORARRAY(Sintesi!$C$10))*(A151&lt;=_xlfn.ANCHORARRAY(Sintesi!$C$10))+(_xlfn.ANCHORARRAY(Sintesi!$C$9)&lt;_xlfn.ANCHORARRAY(Sintesi!$C$10))*(A151&gt;=_xlfn.ANCHORARRAY(Sintesi!$C$9))*(A151&lt;=_xlfn.ANCHORARRAY(Sintesi!$C$10)),0)),0)-_xlfn.IFNA(INDEX(_xlfn.ANCHORARRAY(Sintesi!$C$17),1,MATCH(1,(_xlfn.ANCHORARRAY(Sintesi!$C$9)&gt;_xlfn.ANCHORARRAY(Sintesi!$C$10))*(A151&gt;=_xlfn.ANCHORARRAY(Sintesi!$C$9))+(_xlfn.ANCHORARRAY(Sintesi!$C$9)&gt;_xlfn.ANCHORARRAY(Sintesi!$C$10))*(A151&lt;=_xlfn.ANCHORARRAY(Sintesi!$C$10))+(_xlfn.ANCHORARRAY(Sintesi!$C$9)&lt;_xlfn.ANCHORARRAY(Sintesi!$C$10))*(A151&gt;=_xlfn.ANCHORARRAY(Sintesi!$C$9))*(A151&lt;=_xlfn.ANCHORARRAY(Sintesi!$C$10)),0)),0)))),0)</f>
        <v>0</v>
      </c>
    </row>
    <row r="153" spans="1:13">
      <c r="A153" s="1">
        <f>'Paste cell here'!A153</f>
        <v>152</v>
      </c>
      <c r="B153" s="2">
        <f>DATE(Sintesi!$C$4-1,12,31)+A153</f>
        <v>44348</v>
      </c>
      <c r="C153" s="34">
        <f t="array" ref="C153">_xlfn.IFNA(MATCH(1,((_xlfn.ANCHORARRAY(Sintesi!$C$9)&gt;_xlfn.ANCHORARRAY(Sintesi!$C$10))*(A153&gt;=_xlfn.ANCHORARRAY(Sintesi!$C$9))+(_xlfn.ANCHORARRAY(Sintesi!$C$9)&gt;_xlfn.ANCHORARRAY(Sintesi!$C$10))*(A153&lt;=_xlfn.ANCHORARRAY(Sintesi!$C$10))+(_xlfn.ANCHORARRAY(Sintesi!$C$9)&lt;_xlfn.ANCHORARRAY(Sintesi!$C$10))*(A153&gt;=_xlfn.ANCHORARRAY(Sintesi!$C$9))*(A153&lt;=_xlfn.ANCHORARRAY(Sintesi!$C$10)))*(_xlfn.ANCHORARRAY(Sintesi!$C$15)&gt;=0)+(_xlfn.ANCHORARRAY(Sintesi!$C$15)&lt;0),0),0)</f>
        <v>1</v>
      </c>
      <c r="D153" s="1">
        <f t="array" ref="D153">IF(ISBLANK($E154),IF(ISNUMBER($E152),IF($C153&gt;0,IF(($E153=INDEX(_xlfn.ANCHORARRAY(Sintesi!$C$14),1,$C153))*(INDEX(_xlfn.ANCHORARRAY(Sintesi!$C$15),1,$C153)&gt;0),0,IF(($E153=INDEX(_xlfn.ANCHORARRAY(Sintesi!$C$14),1,$C153))*(INDEX(_xlfn.ANCHORARRAY(Sintesi!$C$15),1,$C153)&lt;0)+($E153&gt;=$E152)*($E153&lt;=INDEX($E:$E,MATCH(TRUE,INDEX((ISNUMBER($E:$E)),0),0)))*($E153&gt;INDEX(_xlfn.ANCHORARRAY(Sintesi!$C$14),1,$C153))*($E153&lt;=INDEX(_xlfn.ANCHORARRAY(Sintesi!$C$15),1,$C153))*(INDEX(_xlfn.ANCHORARRAY(Sintesi!$C$15),1,$C153)&gt;0),1,IF(($E153&gt;=$E152)*($E153&lt;=INDEX($E:$E,MATCH(TRUE,INDEX((ISNUMBER($E:$E)),0),0)))*($E153&gt;INDEX(_xlfn.ANCHORARRAY(Sintesi!$C$14),1,$C153))*($E153&lt;INDEX(_xlfn.ANCHORARRAY(Sintesi!$C$16),1,$C153))*(INDEX(_xlfn.ANCHORARRAY(Sintesi!$C$15),1,$C153)&lt;0)+($E153&gt;=$E152)*($E153&lt;=INDEX($E:$E,MATCH(TRUE,INDEX((ISNUMBER($E:$E)),0),0)))*($E153&gt;INDEX(_xlfn.ANCHORARRAY(Sintesi!$C$15),1,$C153))*($E153&lt;INDEX(_xlfn.ANCHORARRAY(Sintesi!$C$16),1,$C153))*(INDEX(_xlfn.ANCHORARRAY(Sintesi!$C$15),1,$C153)&gt;0),2,IF($E153=(INDEX(_xlfn.ANCHORARRAY(Sintesi!$C$16),1,$C153)),3,4)))),0),IF($C153&gt;0,IF(($E153=INDEX(_xlfn.ANCHORARRAY(Sintesi!$C$14),1,$C153))*(INDEX(_xlfn.ANCHORARRAY(Sintesi!$C$15),1,$C153)&gt;0),0,IF(($E153=INDEX(_xlfn.ANCHORARRAY(Sintesi!$C$14),1,$C153))*(INDEX(_xlfn.ANCHORARRAY(Sintesi!$C$15),1,$C153)&lt;0)+($E153&gt;=LOOKUP(2,1/($E:$E&lt;&gt;""),$E:$E))*($E153&lt;=INDEX($E:$E,MATCH(TRUE,INDEX((ISNUMBER($E:$E)),0),0)))*($E153&gt;INDEX(_xlfn.ANCHORARRAY(Sintesi!$C$14),1,$C153))*($E153&lt;=INDEX(_xlfn.ANCHORARRAY(Sintesi!$C$15),1,$C153))*(INDEX(_xlfn.ANCHORARRAY(Sintesi!$C$15),1,$C153)&gt;0),1,IF(($E153&gt;=LOOKUP(2,1/($E:$E&lt;&gt;""),$E:$E))*($E153&lt;=INDEX($E:$E,MATCH(TRUE,INDEX((ISNUMBER($E:$E)),0),0)))*($E153&gt;INDEX(_xlfn.ANCHORARRAY(Sintesi!$C$14),1,$C153))*($E153&lt;INDEX(_xlfn.ANCHORARRAY(Sintesi!$C$16),1,$C153))*(INDEX(_xlfn.ANCHORARRAY(Sintesi!$C$15),1,$C153)&lt;0)+($E153&gt;=LOOKUP(2,1/($E:$E&lt;&gt;""),$E:$E))*($E153&lt;=INDEX($E:$E,MATCH(TRUE,INDEX((ISNUMBER($E:$E)),0),0)))*($E153&gt;INDEX(_xlfn.ANCHORARRAY(Sintesi!$C$15),1,$C153))*($E153&lt;INDEX(_xlfn.ANCHORARRAY(Sintesi!$C$16),1,$C153))*(INDEX(_xlfn.ANCHORARRAY(Sintesi!$C$15),1,$C153)&gt;0),2,IF($E153=(INDEX(_xlfn.ANCHORARRAY(Sintesi!$C$16),1,$C153)),3,4)))),0)),IF(ISNUMBER($E152),IF($C153&gt;0,IF(($E153=INDEX(_xlfn.ANCHORARRAY(Sintesi!$C$14),1,$C153))*(INDEX(_xlfn.ANCHORARRAY(Sintesi!$C$15),1,$C153)&gt;0),0,IF(($E153=INDEX(_xlfn.ANCHORARRAY(Sintesi!$C$14),1,$C153))*(INDEX(_xlfn.ANCHORARRAY(Sintesi!$C$15),1,$C153)&lt;0)+($E153&gt;=$E152)*($E153&lt;=$E154)*($E153&gt;INDEX(_xlfn.ANCHORARRAY(Sintesi!$C$14),1,$C153))*($E153&lt;=INDEX(_xlfn.ANCHORARRAY(Sintesi!$C$15),1,$C153))*(INDEX(_xlfn.ANCHORARRAY(Sintesi!$C$15),1,$C153)&gt;0),1,IF(($E153&gt;=$E152)*($E153&lt;=$E154)*($E153&gt;INDEX(_xlfn.ANCHORARRAY(Sintesi!$C$14),1,$C153))*($E153&lt;INDEX(_xlfn.ANCHORARRAY(Sintesi!$C$16),1,$C153))*(INDEX(_xlfn.ANCHORARRAY(Sintesi!$C$15),1,$C153)&lt;0)+($E153&gt;=$E152)*($E153&lt;=$E154)*($E153&gt;INDEX(_xlfn.ANCHORARRAY(Sintesi!$C$15),1,$C153))*($E153&lt;INDEX(_xlfn.ANCHORARRAY(Sintesi!$C$16),1,$C153))*(INDEX(_xlfn.ANCHORARRAY(Sintesi!$C$15),1,$C153)&gt;0),2,IF($E153=(INDEX(_xlfn.ANCHORARRAY(Sintesi!$C$16),1,$C153)),3,4)))),0),IF($C153&gt;0,IF(($E153=INDEX(_xlfn.ANCHORARRAY(Sintesi!$C$14),1,$C153))*(INDEX(_xlfn.ANCHORARRAY(Sintesi!$C$15),1,$C153)&gt;0),0,IF(($E153=INDEX(_xlfn.ANCHORARRAY(Sintesi!$C$14),1,$C153))*(INDEX(_xlfn.ANCHORARRAY(Sintesi!$C$15),1,$C153)&lt;0)+($E153&gt;=LOOKUP(2,1/($E:$E&lt;&gt;""),$E:$E))*($E153&lt;=$E154)*($E153&gt;INDEX(_xlfn.ANCHORARRAY(Sintesi!$C$14),1,$C153))*($E153&lt;=INDEX(_xlfn.ANCHORARRAY(Sintesi!$C$15),1,$C153))*(INDEX(_xlfn.ANCHORARRAY(Sintesi!$C$15),1,$C153)&gt;0),1,IF(($E153&gt;=LOOKUP(2,1/($E:$E&lt;&gt;""),$E:$E))*($E153&lt;=$E154)*($E153&gt;INDEX(_xlfn.ANCHORARRAY(Sintesi!$C$14),1,$C153))*($E153&lt;INDEX(_xlfn.ANCHORARRAY(Sintesi!$C$16),1,$C153))*(INDEX(_xlfn.ANCHORARRAY(Sintesi!$C$15),1,$C153)&lt;0)+($E153&gt;=LOOKUP(2,1/($E:$E&lt;&gt;""),$E:$E))*($E153&lt;=$E154)*($E153&gt;INDEX(_xlfn.ANCHORARRAY(Sintesi!$C$15),1,$C153))*($E153&lt;INDEX(_xlfn.ANCHORARRAY(Sintesi!$C$16),1,$C153))*(INDEX(_xlfn.ANCHORARRAY(Sintesi!$C$15),1,$C153)&gt;0),2,IF($E153=(INDEX(_xlfn.ANCHORARRAY(Sintesi!$C$16),1,$C153)),3,4)))),0)))</f>
        <v>2</v>
      </c>
      <c r="E153" s="1">
        <f>'Paste cell here'!F153</f>
        <v>0.52500000000000002</v>
      </c>
      <c r="F153" s="1">
        <f>'Paste cell here'!C153</f>
        <v>26.219999999999608</v>
      </c>
      <c r="G153" s="1">
        <f>'Paste cell here'!D153</f>
        <v>14.759999999999787</v>
      </c>
      <c r="H153" s="1">
        <f>'Paste cell here'!E153</f>
        <v>4.9639396934729039</v>
      </c>
      <c r="I153" s="1">
        <f>'Paste cell here'!X153</f>
        <v>2.6058677224774351</v>
      </c>
      <c r="J153" s="1">
        <f>'Paste cell here'!Y153+'Paste cell here'!S153</f>
        <v>2.6058677224774351</v>
      </c>
      <c r="K153" s="1">
        <f t="shared" si="4"/>
        <v>0.52495958520686636</v>
      </c>
      <c r="L153" s="1">
        <f t="shared" si="5"/>
        <v>21.777721059983069</v>
      </c>
      <c r="M153" s="1">
        <f t="array" ref="M153">IF(AND(A153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153&gt;=_xlfn.ANCHORARRAY(Sintesi!$C$9))+(_xlfn.ANCHORARRAY(Sintesi!$C$9)&gt;_xlfn.ANCHORARRAY(Sintesi!$C$10))*(A153&lt;=_xlfn.ANCHORARRAY(Sintesi!$C$10))+(_xlfn.ANCHORARRAY(Sintesi!$C$9)&lt;_xlfn.ANCHORARRAY(Sintesi!$C$10))*(A153&gt;=_xlfn.ANCHORARRAY(Sintesi!$C$9))*(A153&lt;=_xlfn.ANCHORARRAY(Sintesi!$C$10)),0)),0),A153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154&gt;=_xlfn.ANCHORARRAY(Sintesi!$C$9))+(_xlfn.ANCHORARRAY(Sintesi!$C$9)&gt;_xlfn.ANCHORARRAY(Sintesi!$C$10))*(A154&lt;=_xlfn.ANCHORARRAY(Sintesi!$C$10))+(_xlfn.ANCHORARRAY(Sintesi!$C$9)&lt;_xlfn.ANCHORARRAY(Sintesi!$C$10))*(A154&gt;=_xlfn.ANCHORARRAY(Sintesi!$C$9))*(A154&lt;=_xlfn.ANCHORARRAY(Sintesi!$C$10)),0)),0)),IF(L153&lt;_xlfn.IFNA(INDEX(_xlfn.ANCHORARRAY(Sintesi!$C$17),1,MATCH(1,(_xlfn.ANCHORARRAY(Sintesi!$C$9)&gt;_xlfn.ANCHORARRAY(Sintesi!$C$10))*(A152&gt;=_xlfn.ANCHORARRAY(Sintesi!$C$9))+(_xlfn.ANCHORARRAY(Sintesi!$C$9)&gt;_xlfn.ANCHORARRAY(Sintesi!$C$10))*(A152&lt;=_xlfn.ANCHORARRAY(Sintesi!$C$10))+(_xlfn.ANCHORARRAY(Sintesi!$C$9)&lt;_xlfn.ANCHORARRAY(Sintesi!$C$10))*(A152&gt;=_xlfn.ANCHORARRAY(Sintesi!$C$9))*(A152&lt;=_xlfn.ANCHORARRAY(Sintesi!$C$10)),0)),0),1,IF(L153&gt;=_xlfn.IFNA(INDEX(_xlfn.ANCHORARRAY(Sintesi!$C$18),1,MATCH(1,(_xlfn.ANCHORARRAY(Sintesi!$C$9)&gt;_xlfn.ANCHORARRAY(Sintesi!$C$10))*(A152&gt;=_xlfn.ANCHORARRAY(Sintesi!$C$9))+(_xlfn.ANCHORARRAY(Sintesi!$C$9)&gt;_xlfn.ANCHORARRAY(Sintesi!$C$10))*(A152&lt;=_xlfn.ANCHORARRAY(Sintesi!$C$10))+(_xlfn.ANCHORARRAY(Sintesi!$C$9)&lt;_xlfn.ANCHORARRAY(Sintesi!$C$10))*(A152&gt;=_xlfn.ANCHORARRAY(Sintesi!$C$9))*(A152&lt;=_xlfn.ANCHORARRAY(Sintesi!$C$10)),0)),0),0,1-(L153-_xlfn.IFNA(INDEX(_xlfn.ANCHORARRAY(Sintesi!$C$17),1,MATCH(1,(_xlfn.ANCHORARRAY(Sintesi!$C$9)&gt;_xlfn.ANCHORARRAY(Sintesi!$C$10))*(A152&gt;=_xlfn.ANCHORARRAY(Sintesi!$C$9))+(_xlfn.ANCHORARRAY(Sintesi!$C$9)&gt;_xlfn.ANCHORARRAY(Sintesi!$C$10))*(A152&lt;=_xlfn.ANCHORARRAY(Sintesi!$C$10))+(_xlfn.ANCHORARRAY(Sintesi!$C$9)&lt;_xlfn.ANCHORARRAY(Sintesi!$C$10))*(A152&gt;=_xlfn.ANCHORARRAY(Sintesi!$C$9))*(A152&lt;=_xlfn.ANCHORARRAY(Sintesi!$C$10)),0)),0))/(_xlfn.IFNA(INDEX(_xlfn.ANCHORARRAY(Sintesi!$C$18),1,MATCH(1,(_xlfn.ANCHORARRAY(Sintesi!$C$9)&gt;_xlfn.ANCHORARRAY(Sintesi!$C$10))*(A152&gt;=_xlfn.ANCHORARRAY(Sintesi!$C$9))+(_xlfn.ANCHORARRAY(Sintesi!$C$9)&gt;_xlfn.ANCHORARRAY(Sintesi!$C$10))*(A152&lt;=_xlfn.ANCHORARRAY(Sintesi!$C$10))+(_xlfn.ANCHORARRAY(Sintesi!$C$9)&lt;_xlfn.ANCHORARRAY(Sintesi!$C$10))*(A152&gt;=_xlfn.ANCHORARRAY(Sintesi!$C$9))*(A152&lt;=_xlfn.ANCHORARRAY(Sintesi!$C$10)),0)),0)-_xlfn.IFNA(INDEX(_xlfn.ANCHORARRAY(Sintesi!$C$17),1,MATCH(1,(_xlfn.ANCHORARRAY(Sintesi!$C$9)&gt;_xlfn.ANCHORARRAY(Sintesi!$C$10))*(A152&gt;=_xlfn.ANCHORARRAY(Sintesi!$C$9))+(_xlfn.ANCHORARRAY(Sintesi!$C$9)&gt;_xlfn.ANCHORARRAY(Sintesi!$C$10))*(A152&lt;=_xlfn.ANCHORARRAY(Sintesi!$C$10))+(_xlfn.ANCHORARRAY(Sintesi!$C$9)&lt;_xlfn.ANCHORARRAY(Sintesi!$C$10))*(A152&gt;=_xlfn.ANCHORARRAY(Sintesi!$C$9))*(A152&lt;=_xlfn.ANCHORARRAY(Sintesi!$C$10)),0)),0)))),0)</f>
        <v>0</v>
      </c>
    </row>
    <row r="154" spans="1:13">
      <c r="A154" s="1">
        <f>'Paste cell here'!A154</f>
        <v>153</v>
      </c>
      <c r="B154" s="2">
        <f>DATE(Sintesi!$C$4-1,12,31)+A154</f>
        <v>44349</v>
      </c>
      <c r="C154" s="34">
        <f t="array" ref="C154">_xlfn.IFNA(MATCH(1,((_xlfn.ANCHORARRAY(Sintesi!$C$9)&gt;_xlfn.ANCHORARRAY(Sintesi!$C$10))*(A154&gt;=_xlfn.ANCHORARRAY(Sintesi!$C$9))+(_xlfn.ANCHORARRAY(Sintesi!$C$9)&gt;_xlfn.ANCHORARRAY(Sintesi!$C$10))*(A154&lt;=_xlfn.ANCHORARRAY(Sintesi!$C$10))+(_xlfn.ANCHORARRAY(Sintesi!$C$9)&lt;_xlfn.ANCHORARRAY(Sintesi!$C$10))*(A154&gt;=_xlfn.ANCHORARRAY(Sintesi!$C$9))*(A154&lt;=_xlfn.ANCHORARRAY(Sintesi!$C$10)))*(_xlfn.ANCHORARRAY(Sintesi!$C$15)&gt;=0)+(_xlfn.ANCHORARRAY(Sintesi!$C$15)&lt;0),0),0)</f>
        <v>1</v>
      </c>
      <c r="D154" s="1">
        <f t="array" ref="D154">IF(ISBLANK($E155),IF(ISNUMBER($E153),IF($C154&gt;0,IF(($E154=INDEX(_xlfn.ANCHORARRAY(Sintesi!$C$14),1,$C154))*(INDEX(_xlfn.ANCHORARRAY(Sintesi!$C$15),1,$C154)&gt;0),0,IF(($E154=INDEX(_xlfn.ANCHORARRAY(Sintesi!$C$14),1,$C154))*(INDEX(_xlfn.ANCHORARRAY(Sintesi!$C$15),1,$C154)&lt;0)+($E154&gt;=$E153)*($E154&lt;=INDEX($E:$E,MATCH(TRUE,INDEX((ISNUMBER($E:$E)),0),0)))*($E154&gt;INDEX(_xlfn.ANCHORARRAY(Sintesi!$C$14),1,$C154))*($E154&lt;=INDEX(_xlfn.ANCHORARRAY(Sintesi!$C$15),1,$C154))*(INDEX(_xlfn.ANCHORARRAY(Sintesi!$C$15),1,$C154)&gt;0),1,IF(($E154&gt;=$E153)*($E154&lt;=INDEX($E:$E,MATCH(TRUE,INDEX((ISNUMBER($E:$E)),0),0)))*($E154&gt;INDEX(_xlfn.ANCHORARRAY(Sintesi!$C$14),1,$C154))*($E154&lt;INDEX(_xlfn.ANCHORARRAY(Sintesi!$C$16),1,$C154))*(INDEX(_xlfn.ANCHORARRAY(Sintesi!$C$15),1,$C154)&lt;0)+($E154&gt;=$E153)*($E154&lt;=INDEX($E:$E,MATCH(TRUE,INDEX((ISNUMBER($E:$E)),0),0)))*($E154&gt;INDEX(_xlfn.ANCHORARRAY(Sintesi!$C$15),1,$C154))*($E154&lt;INDEX(_xlfn.ANCHORARRAY(Sintesi!$C$16),1,$C154))*(INDEX(_xlfn.ANCHORARRAY(Sintesi!$C$15),1,$C154)&gt;0),2,IF($E154=(INDEX(_xlfn.ANCHORARRAY(Sintesi!$C$16),1,$C154)),3,4)))),0),IF($C154&gt;0,IF(($E154=INDEX(_xlfn.ANCHORARRAY(Sintesi!$C$14),1,$C154))*(INDEX(_xlfn.ANCHORARRAY(Sintesi!$C$15),1,$C154)&gt;0),0,IF(($E154=INDEX(_xlfn.ANCHORARRAY(Sintesi!$C$14),1,$C154))*(INDEX(_xlfn.ANCHORARRAY(Sintesi!$C$15),1,$C154)&lt;0)+($E154&gt;=LOOKUP(2,1/($E:$E&lt;&gt;""),$E:$E))*($E154&lt;=INDEX($E:$E,MATCH(TRUE,INDEX((ISNUMBER($E:$E)),0),0)))*($E154&gt;INDEX(_xlfn.ANCHORARRAY(Sintesi!$C$14),1,$C154))*($E154&lt;=INDEX(_xlfn.ANCHORARRAY(Sintesi!$C$15),1,$C154))*(INDEX(_xlfn.ANCHORARRAY(Sintesi!$C$15),1,$C154)&gt;0),1,IF(($E154&gt;=LOOKUP(2,1/($E:$E&lt;&gt;""),$E:$E))*($E154&lt;=INDEX($E:$E,MATCH(TRUE,INDEX((ISNUMBER($E:$E)),0),0)))*($E154&gt;INDEX(_xlfn.ANCHORARRAY(Sintesi!$C$14),1,$C154))*($E154&lt;INDEX(_xlfn.ANCHORARRAY(Sintesi!$C$16),1,$C154))*(INDEX(_xlfn.ANCHORARRAY(Sintesi!$C$15),1,$C154)&lt;0)+($E154&gt;=LOOKUP(2,1/($E:$E&lt;&gt;""),$E:$E))*($E154&lt;=INDEX($E:$E,MATCH(TRUE,INDEX((ISNUMBER($E:$E)),0),0)))*($E154&gt;INDEX(_xlfn.ANCHORARRAY(Sintesi!$C$15),1,$C154))*($E154&lt;INDEX(_xlfn.ANCHORARRAY(Sintesi!$C$16),1,$C154))*(INDEX(_xlfn.ANCHORARRAY(Sintesi!$C$15),1,$C154)&gt;0),2,IF($E154=(INDEX(_xlfn.ANCHORARRAY(Sintesi!$C$16),1,$C154)),3,4)))),0)),IF(ISNUMBER($E153),IF($C154&gt;0,IF(($E154=INDEX(_xlfn.ANCHORARRAY(Sintesi!$C$14),1,$C154))*(INDEX(_xlfn.ANCHORARRAY(Sintesi!$C$15),1,$C154)&gt;0),0,IF(($E154=INDEX(_xlfn.ANCHORARRAY(Sintesi!$C$14),1,$C154))*(INDEX(_xlfn.ANCHORARRAY(Sintesi!$C$15),1,$C154)&lt;0)+($E154&gt;=$E153)*($E154&lt;=$E155)*($E154&gt;INDEX(_xlfn.ANCHORARRAY(Sintesi!$C$14),1,$C154))*($E154&lt;=INDEX(_xlfn.ANCHORARRAY(Sintesi!$C$15),1,$C154))*(INDEX(_xlfn.ANCHORARRAY(Sintesi!$C$15),1,$C154)&gt;0),1,IF(($E154&gt;=$E153)*($E154&lt;=$E155)*($E154&gt;INDEX(_xlfn.ANCHORARRAY(Sintesi!$C$14),1,$C154))*($E154&lt;INDEX(_xlfn.ANCHORARRAY(Sintesi!$C$16),1,$C154))*(INDEX(_xlfn.ANCHORARRAY(Sintesi!$C$15),1,$C154)&lt;0)+($E154&gt;=$E153)*($E154&lt;=$E155)*($E154&gt;INDEX(_xlfn.ANCHORARRAY(Sintesi!$C$15),1,$C154))*($E154&lt;INDEX(_xlfn.ANCHORARRAY(Sintesi!$C$16),1,$C154))*(INDEX(_xlfn.ANCHORARRAY(Sintesi!$C$15),1,$C154)&gt;0),2,IF($E154=(INDEX(_xlfn.ANCHORARRAY(Sintesi!$C$16),1,$C154)),3,4)))),0),IF($C154&gt;0,IF(($E154=INDEX(_xlfn.ANCHORARRAY(Sintesi!$C$14),1,$C154))*(INDEX(_xlfn.ANCHORARRAY(Sintesi!$C$15),1,$C154)&gt;0),0,IF(($E154=INDEX(_xlfn.ANCHORARRAY(Sintesi!$C$14),1,$C154))*(INDEX(_xlfn.ANCHORARRAY(Sintesi!$C$15),1,$C154)&lt;0)+($E154&gt;=LOOKUP(2,1/($E:$E&lt;&gt;""),$E:$E))*($E154&lt;=$E155)*($E154&gt;INDEX(_xlfn.ANCHORARRAY(Sintesi!$C$14),1,$C154))*($E154&lt;=INDEX(_xlfn.ANCHORARRAY(Sintesi!$C$15),1,$C154))*(INDEX(_xlfn.ANCHORARRAY(Sintesi!$C$15),1,$C154)&gt;0),1,IF(($E154&gt;=LOOKUP(2,1/($E:$E&lt;&gt;""),$E:$E))*($E154&lt;=$E155)*($E154&gt;INDEX(_xlfn.ANCHORARRAY(Sintesi!$C$14),1,$C154))*($E154&lt;INDEX(_xlfn.ANCHORARRAY(Sintesi!$C$16),1,$C154))*(INDEX(_xlfn.ANCHORARRAY(Sintesi!$C$15),1,$C154)&lt;0)+($E154&gt;=LOOKUP(2,1/($E:$E&lt;&gt;""),$E:$E))*($E154&lt;=$E155)*($E154&gt;INDEX(_xlfn.ANCHORARRAY(Sintesi!$C$15),1,$C154))*($E154&lt;INDEX(_xlfn.ANCHORARRAY(Sintesi!$C$16),1,$C154))*(INDEX(_xlfn.ANCHORARRAY(Sintesi!$C$15),1,$C154)&gt;0),2,IF($E154=(INDEX(_xlfn.ANCHORARRAY(Sintesi!$C$16),1,$C154)),3,4)))),0)))</f>
        <v>2</v>
      </c>
      <c r="E154" s="1">
        <f>'Paste cell here'!F154</f>
        <v>0.54600000000000004</v>
      </c>
      <c r="F154" s="1">
        <f>'Paste cell here'!C154</f>
        <v>25.879999999999622</v>
      </c>
      <c r="G154" s="1">
        <f>'Paste cell here'!D154</f>
        <v>16.219999999999803</v>
      </c>
      <c r="H154" s="1">
        <f>'Paste cell here'!E154</f>
        <v>4.5952464567101607</v>
      </c>
      <c r="I154" s="1">
        <f>'Paste cell here'!X154</f>
        <v>2.5088065013385132</v>
      </c>
      <c r="J154" s="1">
        <f>'Paste cell here'!Y154+'Paste cell here'!S154</f>
        <v>2.5088065013385132</v>
      </c>
      <c r="K154" s="1">
        <f t="shared" si="4"/>
        <v>0.54595689806257397</v>
      </c>
      <c r="L154" s="1">
        <f t="shared" si="5"/>
        <v>22.135461207629671</v>
      </c>
      <c r="M154" s="1">
        <f t="array" ref="M154">IF(AND(A154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154&gt;=_xlfn.ANCHORARRAY(Sintesi!$C$9))+(_xlfn.ANCHORARRAY(Sintesi!$C$9)&gt;_xlfn.ANCHORARRAY(Sintesi!$C$10))*(A154&lt;=_xlfn.ANCHORARRAY(Sintesi!$C$10))+(_xlfn.ANCHORARRAY(Sintesi!$C$9)&lt;_xlfn.ANCHORARRAY(Sintesi!$C$10))*(A154&gt;=_xlfn.ANCHORARRAY(Sintesi!$C$9))*(A154&lt;=_xlfn.ANCHORARRAY(Sintesi!$C$10)),0)),0),A154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155&gt;=_xlfn.ANCHORARRAY(Sintesi!$C$9))+(_xlfn.ANCHORARRAY(Sintesi!$C$9)&gt;_xlfn.ANCHORARRAY(Sintesi!$C$10))*(A155&lt;=_xlfn.ANCHORARRAY(Sintesi!$C$10))+(_xlfn.ANCHORARRAY(Sintesi!$C$9)&lt;_xlfn.ANCHORARRAY(Sintesi!$C$10))*(A155&gt;=_xlfn.ANCHORARRAY(Sintesi!$C$9))*(A155&lt;=_xlfn.ANCHORARRAY(Sintesi!$C$10)),0)),0)),IF(L154&lt;_xlfn.IFNA(INDEX(_xlfn.ANCHORARRAY(Sintesi!$C$17),1,MATCH(1,(_xlfn.ANCHORARRAY(Sintesi!$C$9)&gt;_xlfn.ANCHORARRAY(Sintesi!$C$10))*(A153&gt;=_xlfn.ANCHORARRAY(Sintesi!$C$9))+(_xlfn.ANCHORARRAY(Sintesi!$C$9)&gt;_xlfn.ANCHORARRAY(Sintesi!$C$10))*(A153&lt;=_xlfn.ANCHORARRAY(Sintesi!$C$10))+(_xlfn.ANCHORARRAY(Sintesi!$C$9)&lt;_xlfn.ANCHORARRAY(Sintesi!$C$10))*(A153&gt;=_xlfn.ANCHORARRAY(Sintesi!$C$9))*(A153&lt;=_xlfn.ANCHORARRAY(Sintesi!$C$10)),0)),0),1,IF(L154&gt;=_xlfn.IFNA(INDEX(_xlfn.ANCHORARRAY(Sintesi!$C$18),1,MATCH(1,(_xlfn.ANCHORARRAY(Sintesi!$C$9)&gt;_xlfn.ANCHORARRAY(Sintesi!$C$10))*(A153&gt;=_xlfn.ANCHORARRAY(Sintesi!$C$9))+(_xlfn.ANCHORARRAY(Sintesi!$C$9)&gt;_xlfn.ANCHORARRAY(Sintesi!$C$10))*(A153&lt;=_xlfn.ANCHORARRAY(Sintesi!$C$10))+(_xlfn.ANCHORARRAY(Sintesi!$C$9)&lt;_xlfn.ANCHORARRAY(Sintesi!$C$10))*(A153&gt;=_xlfn.ANCHORARRAY(Sintesi!$C$9))*(A153&lt;=_xlfn.ANCHORARRAY(Sintesi!$C$10)),0)),0),0,1-(L154-_xlfn.IFNA(INDEX(_xlfn.ANCHORARRAY(Sintesi!$C$17),1,MATCH(1,(_xlfn.ANCHORARRAY(Sintesi!$C$9)&gt;_xlfn.ANCHORARRAY(Sintesi!$C$10))*(A153&gt;=_xlfn.ANCHORARRAY(Sintesi!$C$9))+(_xlfn.ANCHORARRAY(Sintesi!$C$9)&gt;_xlfn.ANCHORARRAY(Sintesi!$C$10))*(A153&lt;=_xlfn.ANCHORARRAY(Sintesi!$C$10))+(_xlfn.ANCHORARRAY(Sintesi!$C$9)&lt;_xlfn.ANCHORARRAY(Sintesi!$C$10))*(A153&gt;=_xlfn.ANCHORARRAY(Sintesi!$C$9))*(A153&lt;=_xlfn.ANCHORARRAY(Sintesi!$C$10)),0)),0))/(_xlfn.IFNA(INDEX(_xlfn.ANCHORARRAY(Sintesi!$C$18),1,MATCH(1,(_xlfn.ANCHORARRAY(Sintesi!$C$9)&gt;_xlfn.ANCHORARRAY(Sintesi!$C$10))*(A153&gt;=_xlfn.ANCHORARRAY(Sintesi!$C$9))+(_xlfn.ANCHORARRAY(Sintesi!$C$9)&gt;_xlfn.ANCHORARRAY(Sintesi!$C$10))*(A153&lt;=_xlfn.ANCHORARRAY(Sintesi!$C$10))+(_xlfn.ANCHORARRAY(Sintesi!$C$9)&lt;_xlfn.ANCHORARRAY(Sintesi!$C$10))*(A153&gt;=_xlfn.ANCHORARRAY(Sintesi!$C$9))*(A153&lt;=_xlfn.ANCHORARRAY(Sintesi!$C$10)),0)),0)-_xlfn.IFNA(INDEX(_xlfn.ANCHORARRAY(Sintesi!$C$17),1,MATCH(1,(_xlfn.ANCHORARRAY(Sintesi!$C$9)&gt;_xlfn.ANCHORARRAY(Sintesi!$C$10))*(A153&gt;=_xlfn.ANCHORARRAY(Sintesi!$C$9))+(_xlfn.ANCHORARRAY(Sintesi!$C$9)&gt;_xlfn.ANCHORARRAY(Sintesi!$C$10))*(A153&lt;=_xlfn.ANCHORARRAY(Sintesi!$C$10))+(_xlfn.ANCHORARRAY(Sintesi!$C$9)&lt;_xlfn.ANCHORARRAY(Sintesi!$C$10))*(A153&gt;=_xlfn.ANCHORARRAY(Sintesi!$C$9))*(A153&lt;=_xlfn.ANCHORARRAY(Sintesi!$C$10)),0)),0)))),0)</f>
        <v>0</v>
      </c>
    </row>
    <row r="155" spans="1:13">
      <c r="A155" s="1">
        <f>'Paste cell here'!A155</f>
        <v>154</v>
      </c>
      <c r="B155" s="2">
        <f>DATE(Sintesi!$C$4-1,12,31)+A155</f>
        <v>44350</v>
      </c>
      <c r="C155" s="34">
        <f t="array" ref="C155">_xlfn.IFNA(MATCH(1,((_xlfn.ANCHORARRAY(Sintesi!$C$9)&gt;_xlfn.ANCHORARRAY(Sintesi!$C$10))*(A155&gt;=_xlfn.ANCHORARRAY(Sintesi!$C$9))+(_xlfn.ANCHORARRAY(Sintesi!$C$9)&gt;_xlfn.ANCHORARRAY(Sintesi!$C$10))*(A155&lt;=_xlfn.ANCHORARRAY(Sintesi!$C$10))+(_xlfn.ANCHORARRAY(Sintesi!$C$9)&lt;_xlfn.ANCHORARRAY(Sintesi!$C$10))*(A155&gt;=_xlfn.ANCHORARRAY(Sintesi!$C$9))*(A155&lt;=_xlfn.ANCHORARRAY(Sintesi!$C$10)))*(_xlfn.ANCHORARRAY(Sintesi!$C$15)&gt;=0)+(_xlfn.ANCHORARRAY(Sintesi!$C$15)&lt;0),0),0)</f>
        <v>1</v>
      </c>
      <c r="D155" s="1">
        <f t="array" ref="D155">IF(ISBLANK($E156),IF(ISNUMBER($E154),IF($C155&gt;0,IF(($E155=INDEX(_xlfn.ANCHORARRAY(Sintesi!$C$14),1,$C155))*(INDEX(_xlfn.ANCHORARRAY(Sintesi!$C$15),1,$C155)&gt;0),0,IF(($E155=INDEX(_xlfn.ANCHORARRAY(Sintesi!$C$14),1,$C155))*(INDEX(_xlfn.ANCHORARRAY(Sintesi!$C$15),1,$C155)&lt;0)+($E155&gt;=$E154)*($E155&lt;=INDEX($E:$E,MATCH(TRUE,INDEX((ISNUMBER($E:$E)),0),0)))*($E155&gt;INDEX(_xlfn.ANCHORARRAY(Sintesi!$C$14),1,$C155))*($E155&lt;=INDEX(_xlfn.ANCHORARRAY(Sintesi!$C$15),1,$C155))*(INDEX(_xlfn.ANCHORARRAY(Sintesi!$C$15),1,$C155)&gt;0),1,IF(($E155&gt;=$E154)*($E155&lt;=INDEX($E:$E,MATCH(TRUE,INDEX((ISNUMBER($E:$E)),0),0)))*($E155&gt;INDEX(_xlfn.ANCHORARRAY(Sintesi!$C$14),1,$C155))*($E155&lt;INDEX(_xlfn.ANCHORARRAY(Sintesi!$C$16),1,$C155))*(INDEX(_xlfn.ANCHORARRAY(Sintesi!$C$15),1,$C155)&lt;0)+($E155&gt;=$E154)*($E155&lt;=INDEX($E:$E,MATCH(TRUE,INDEX((ISNUMBER($E:$E)),0),0)))*($E155&gt;INDEX(_xlfn.ANCHORARRAY(Sintesi!$C$15),1,$C155))*($E155&lt;INDEX(_xlfn.ANCHORARRAY(Sintesi!$C$16),1,$C155))*(INDEX(_xlfn.ANCHORARRAY(Sintesi!$C$15),1,$C155)&gt;0),2,IF($E155=(INDEX(_xlfn.ANCHORARRAY(Sintesi!$C$16),1,$C155)),3,4)))),0),IF($C155&gt;0,IF(($E155=INDEX(_xlfn.ANCHORARRAY(Sintesi!$C$14),1,$C155))*(INDEX(_xlfn.ANCHORARRAY(Sintesi!$C$15),1,$C155)&gt;0),0,IF(($E155=INDEX(_xlfn.ANCHORARRAY(Sintesi!$C$14),1,$C155))*(INDEX(_xlfn.ANCHORARRAY(Sintesi!$C$15),1,$C155)&lt;0)+($E155&gt;=LOOKUP(2,1/($E:$E&lt;&gt;""),$E:$E))*($E155&lt;=INDEX($E:$E,MATCH(TRUE,INDEX((ISNUMBER($E:$E)),0),0)))*($E155&gt;INDEX(_xlfn.ANCHORARRAY(Sintesi!$C$14),1,$C155))*($E155&lt;=INDEX(_xlfn.ANCHORARRAY(Sintesi!$C$15),1,$C155))*(INDEX(_xlfn.ANCHORARRAY(Sintesi!$C$15),1,$C155)&gt;0),1,IF(($E155&gt;=LOOKUP(2,1/($E:$E&lt;&gt;""),$E:$E))*($E155&lt;=INDEX($E:$E,MATCH(TRUE,INDEX((ISNUMBER($E:$E)),0),0)))*($E155&gt;INDEX(_xlfn.ANCHORARRAY(Sintesi!$C$14),1,$C155))*($E155&lt;INDEX(_xlfn.ANCHORARRAY(Sintesi!$C$16),1,$C155))*(INDEX(_xlfn.ANCHORARRAY(Sintesi!$C$15),1,$C155)&lt;0)+($E155&gt;=LOOKUP(2,1/($E:$E&lt;&gt;""),$E:$E))*($E155&lt;=INDEX($E:$E,MATCH(TRUE,INDEX((ISNUMBER($E:$E)),0),0)))*($E155&gt;INDEX(_xlfn.ANCHORARRAY(Sintesi!$C$15),1,$C155))*($E155&lt;INDEX(_xlfn.ANCHORARRAY(Sintesi!$C$16),1,$C155))*(INDEX(_xlfn.ANCHORARRAY(Sintesi!$C$15),1,$C155)&gt;0),2,IF($E155=(INDEX(_xlfn.ANCHORARRAY(Sintesi!$C$16),1,$C155)),3,4)))),0)),IF(ISNUMBER($E154),IF($C155&gt;0,IF(($E155=INDEX(_xlfn.ANCHORARRAY(Sintesi!$C$14),1,$C155))*(INDEX(_xlfn.ANCHORARRAY(Sintesi!$C$15),1,$C155)&gt;0),0,IF(($E155=INDEX(_xlfn.ANCHORARRAY(Sintesi!$C$14),1,$C155))*(INDEX(_xlfn.ANCHORARRAY(Sintesi!$C$15),1,$C155)&lt;0)+($E155&gt;=$E154)*($E155&lt;=$E156)*($E155&gt;INDEX(_xlfn.ANCHORARRAY(Sintesi!$C$14),1,$C155))*($E155&lt;=INDEX(_xlfn.ANCHORARRAY(Sintesi!$C$15),1,$C155))*(INDEX(_xlfn.ANCHORARRAY(Sintesi!$C$15),1,$C155)&gt;0),1,IF(($E155&gt;=$E154)*($E155&lt;=$E156)*($E155&gt;INDEX(_xlfn.ANCHORARRAY(Sintesi!$C$14),1,$C155))*($E155&lt;INDEX(_xlfn.ANCHORARRAY(Sintesi!$C$16),1,$C155))*(INDEX(_xlfn.ANCHORARRAY(Sintesi!$C$15),1,$C155)&lt;0)+($E155&gt;=$E154)*($E155&lt;=$E156)*($E155&gt;INDEX(_xlfn.ANCHORARRAY(Sintesi!$C$15),1,$C155))*($E155&lt;INDEX(_xlfn.ANCHORARRAY(Sintesi!$C$16),1,$C155))*(INDEX(_xlfn.ANCHORARRAY(Sintesi!$C$15),1,$C155)&gt;0),2,IF($E155=(INDEX(_xlfn.ANCHORARRAY(Sintesi!$C$16),1,$C155)),3,4)))),0),IF($C155&gt;0,IF(($E155=INDEX(_xlfn.ANCHORARRAY(Sintesi!$C$14),1,$C155))*(INDEX(_xlfn.ANCHORARRAY(Sintesi!$C$15),1,$C155)&gt;0),0,IF(($E155=INDEX(_xlfn.ANCHORARRAY(Sintesi!$C$14),1,$C155))*(INDEX(_xlfn.ANCHORARRAY(Sintesi!$C$15),1,$C155)&lt;0)+($E155&gt;=LOOKUP(2,1/($E:$E&lt;&gt;""),$E:$E))*($E155&lt;=$E156)*($E155&gt;INDEX(_xlfn.ANCHORARRAY(Sintesi!$C$14),1,$C155))*($E155&lt;=INDEX(_xlfn.ANCHORARRAY(Sintesi!$C$15),1,$C155))*(INDEX(_xlfn.ANCHORARRAY(Sintesi!$C$15),1,$C155)&gt;0),1,IF(($E155&gt;=LOOKUP(2,1/($E:$E&lt;&gt;""),$E:$E))*($E155&lt;=$E156)*($E155&gt;INDEX(_xlfn.ANCHORARRAY(Sintesi!$C$14),1,$C155))*($E155&lt;INDEX(_xlfn.ANCHORARRAY(Sintesi!$C$16),1,$C155))*(INDEX(_xlfn.ANCHORARRAY(Sintesi!$C$15),1,$C155)&lt;0)+($E155&gt;=LOOKUP(2,1/($E:$E&lt;&gt;""),$E:$E))*($E155&lt;=$E156)*($E155&gt;INDEX(_xlfn.ANCHORARRAY(Sintesi!$C$15),1,$C155))*($E155&lt;INDEX(_xlfn.ANCHORARRAY(Sintesi!$C$16),1,$C155))*(INDEX(_xlfn.ANCHORARRAY(Sintesi!$C$15),1,$C155)&gt;0),2,IF($E155=(INDEX(_xlfn.ANCHORARRAY(Sintesi!$C$16),1,$C155)),3,4)))),0)))</f>
        <v>2</v>
      </c>
      <c r="E155" s="1">
        <f>'Paste cell here'!F155</f>
        <v>0.56699999999999995</v>
      </c>
      <c r="F155" s="1">
        <f>'Paste cell here'!C155</f>
        <v>29.119999999999575</v>
      </c>
      <c r="G155" s="1">
        <f>'Paste cell here'!D155</f>
        <v>16.619999999999777</v>
      </c>
      <c r="H155" s="1">
        <f>'Paste cell here'!E155</f>
        <v>5.46151456792325</v>
      </c>
      <c r="I155" s="1">
        <f>'Paste cell here'!X155</f>
        <v>3.0964283965157815</v>
      </c>
      <c r="J155" s="1">
        <f>'Paste cell here'!Y155+'Paste cell here'!S155</f>
        <v>3.0964283965157815</v>
      </c>
      <c r="K155" s="1">
        <f t="shared" si="4"/>
        <v>0.56695415859582765</v>
      </c>
      <c r="L155" s="1">
        <f t="shared" si="5"/>
        <v>24.274582308009464</v>
      </c>
      <c r="M155" s="1">
        <f t="array" ref="M155">IF(AND(A155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155&gt;=_xlfn.ANCHORARRAY(Sintesi!$C$9))+(_xlfn.ANCHORARRAY(Sintesi!$C$9)&gt;_xlfn.ANCHORARRAY(Sintesi!$C$10))*(A155&lt;=_xlfn.ANCHORARRAY(Sintesi!$C$10))+(_xlfn.ANCHORARRAY(Sintesi!$C$9)&lt;_xlfn.ANCHORARRAY(Sintesi!$C$10))*(A155&gt;=_xlfn.ANCHORARRAY(Sintesi!$C$9))*(A155&lt;=_xlfn.ANCHORARRAY(Sintesi!$C$10)),0)),0),A155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156&gt;=_xlfn.ANCHORARRAY(Sintesi!$C$9))+(_xlfn.ANCHORARRAY(Sintesi!$C$9)&gt;_xlfn.ANCHORARRAY(Sintesi!$C$10))*(A156&lt;=_xlfn.ANCHORARRAY(Sintesi!$C$10))+(_xlfn.ANCHORARRAY(Sintesi!$C$9)&lt;_xlfn.ANCHORARRAY(Sintesi!$C$10))*(A156&gt;=_xlfn.ANCHORARRAY(Sintesi!$C$9))*(A156&lt;=_xlfn.ANCHORARRAY(Sintesi!$C$10)),0)),0)),IF(L155&lt;_xlfn.IFNA(INDEX(_xlfn.ANCHORARRAY(Sintesi!$C$17),1,MATCH(1,(_xlfn.ANCHORARRAY(Sintesi!$C$9)&gt;_xlfn.ANCHORARRAY(Sintesi!$C$10))*(A154&gt;=_xlfn.ANCHORARRAY(Sintesi!$C$9))+(_xlfn.ANCHORARRAY(Sintesi!$C$9)&gt;_xlfn.ANCHORARRAY(Sintesi!$C$10))*(A154&lt;=_xlfn.ANCHORARRAY(Sintesi!$C$10))+(_xlfn.ANCHORARRAY(Sintesi!$C$9)&lt;_xlfn.ANCHORARRAY(Sintesi!$C$10))*(A154&gt;=_xlfn.ANCHORARRAY(Sintesi!$C$9))*(A154&lt;=_xlfn.ANCHORARRAY(Sintesi!$C$10)),0)),0),1,IF(L155&gt;=_xlfn.IFNA(INDEX(_xlfn.ANCHORARRAY(Sintesi!$C$18),1,MATCH(1,(_xlfn.ANCHORARRAY(Sintesi!$C$9)&gt;_xlfn.ANCHORARRAY(Sintesi!$C$10))*(A154&gt;=_xlfn.ANCHORARRAY(Sintesi!$C$9))+(_xlfn.ANCHORARRAY(Sintesi!$C$9)&gt;_xlfn.ANCHORARRAY(Sintesi!$C$10))*(A154&lt;=_xlfn.ANCHORARRAY(Sintesi!$C$10))+(_xlfn.ANCHORARRAY(Sintesi!$C$9)&lt;_xlfn.ANCHORARRAY(Sintesi!$C$10))*(A154&gt;=_xlfn.ANCHORARRAY(Sintesi!$C$9))*(A154&lt;=_xlfn.ANCHORARRAY(Sintesi!$C$10)),0)),0),0,1-(L155-_xlfn.IFNA(INDEX(_xlfn.ANCHORARRAY(Sintesi!$C$17),1,MATCH(1,(_xlfn.ANCHORARRAY(Sintesi!$C$9)&gt;_xlfn.ANCHORARRAY(Sintesi!$C$10))*(A154&gt;=_xlfn.ANCHORARRAY(Sintesi!$C$9))+(_xlfn.ANCHORARRAY(Sintesi!$C$9)&gt;_xlfn.ANCHORARRAY(Sintesi!$C$10))*(A154&lt;=_xlfn.ANCHORARRAY(Sintesi!$C$10))+(_xlfn.ANCHORARRAY(Sintesi!$C$9)&lt;_xlfn.ANCHORARRAY(Sintesi!$C$10))*(A154&gt;=_xlfn.ANCHORARRAY(Sintesi!$C$9))*(A154&lt;=_xlfn.ANCHORARRAY(Sintesi!$C$10)),0)),0))/(_xlfn.IFNA(INDEX(_xlfn.ANCHORARRAY(Sintesi!$C$18),1,MATCH(1,(_xlfn.ANCHORARRAY(Sintesi!$C$9)&gt;_xlfn.ANCHORARRAY(Sintesi!$C$10))*(A154&gt;=_xlfn.ANCHORARRAY(Sintesi!$C$9))+(_xlfn.ANCHORARRAY(Sintesi!$C$9)&gt;_xlfn.ANCHORARRAY(Sintesi!$C$10))*(A154&lt;=_xlfn.ANCHORARRAY(Sintesi!$C$10))+(_xlfn.ANCHORARRAY(Sintesi!$C$9)&lt;_xlfn.ANCHORARRAY(Sintesi!$C$10))*(A154&gt;=_xlfn.ANCHORARRAY(Sintesi!$C$9))*(A154&lt;=_xlfn.ANCHORARRAY(Sintesi!$C$10)),0)),0)-_xlfn.IFNA(INDEX(_xlfn.ANCHORARRAY(Sintesi!$C$17),1,MATCH(1,(_xlfn.ANCHORARRAY(Sintesi!$C$9)&gt;_xlfn.ANCHORARRAY(Sintesi!$C$10))*(A154&gt;=_xlfn.ANCHORARRAY(Sintesi!$C$9))+(_xlfn.ANCHORARRAY(Sintesi!$C$9)&gt;_xlfn.ANCHORARRAY(Sintesi!$C$10))*(A154&lt;=_xlfn.ANCHORARRAY(Sintesi!$C$10))+(_xlfn.ANCHORARRAY(Sintesi!$C$9)&lt;_xlfn.ANCHORARRAY(Sintesi!$C$10))*(A154&gt;=_xlfn.ANCHORARRAY(Sintesi!$C$9))*(A154&lt;=_xlfn.ANCHORARRAY(Sintesi!$C$10)),0)),0)))),0)</f>
        <v>0</v>
      </c>
    </row>
    <row r="156" spans="1:13">
      <c r="A156" s="1">
        <f>'Paste cell here'!A156</f>
        <v>155</v>
      </c>
      <c r="B156" s="2">
        <f>DATE(Sintesi!$C$4-1,12,31)+A156</f>
        <v>44351</v>
      </c>
      <c r="C156" s="34">
        <f t="array" ref="C156">_xlfn.IFNA(MATCH(1,((_xlfn.ANCHORARRAY(Sintesi!$C$9)&gt;_xlfn.ANCHORARRAY(Sintesi!$C$10))*(A156&gt;=_xlfn.ANCHORARRAY(Sintesi!$C$9))+(_xlfn.ANCHORARRAY(Sintesi!$C$9)&gt;_xlfn.ANCHORARRAY(Sintesi!$C$10))*(A156&lt;=_xlfn.ANCHORARRAY(Sintesi!$C$10))+(_xlfn.ANCHORARRAY(Sintesi!$C$9)&lt;_xlfn.ANCHORARRAY(Sintesi!$C$10))*(A156&gt;=_xlfn.ANCHORARRAY(Sintesi!$C$9))*(A156&lt;=_xlfn.ANCHORARRAY(Sintesi!$C$10)))*(_xlfn.ANCHORARRAY(Sintesi!$C$15)&gt;=0)+(_xlfn.ANCHORARRAY(Sintesi!$C$15)&lt;0),0),0)</f>
        <v>1</v>
      </c>
      <c r="D156" s="1">
        <f t="array" ref="D156">IF(ISBLANK($E157),IF(ISNUMBER($E155),IF($C156&gt;0,IF(($E156=INDEX(_xlfn.ANCHORARRAY(Sintesi!$C$14),1,$C156))*(INDEX(_xlfn.ANCHORARRAY(Sintesi!$C$15),1,$C156)&gt;0),0,IF(($E156=INDEX(_xlfn.ANCHORARRAY(Sintesi!$C$14),1,$C156))*(INDEX(_xlfn.ANCHORARRAY(Sintesi!$C$15),1,$C156)&lt;0)+($E156&gt;=$E155)*($E156&lt;=INDEX($E:$E,MATCH(TRUE,INDEX((ISNUMBER($E:$E)),0),0)))*($E156&gt;INDEX(_xlfn.ANCHORARRAY(Sintesi!$C$14),1,$C156))*($E156&lt;=INDEX(_xlfn.ANCHORARRAY(Sintesi!$C$15),1,$C156))*(INDEX(_xlfn.ANCHORARRAY(Sintesi!$C$15),1,$C156)&gt;0),1,IF(($E156&gt;=$E155)*($E156&lt;=INDEX($E:$E,MATCH(TRUE,INDEX((ISNUMBER($E:$E)),0),0)))*($E156&gt;INDEX(_xlfn.ANCHORARRAY(Sintesi!$C$14),1,$C156))*($E156&lt;INDEX(_xlfn.ANCHORARRAY(Sintesi!$C$16),1,$C156))*(INDEX(_xlfn.ANCHORARRAY(Sintesi!$C$15),1,$C156)&lt;0)+($E156&gt;=$E155)*($E156&lt;=INDEX($E:$E,MATCH(TRUE,INDEX((ISNUMBER($E:$E)),0),0)))*($E156&gt;INDEX(_xlfn.ANCHORARRAY(Sintesi!$C$15),1,$C156))*($E156&lt;INDEX(_xlfn.ANCHORARRAY(Sintesi!$C$16),1,$C156))*(INDEX(_xlfn.ANCHORARRAY(Sintesi!$C$15),1,$C156)&gt;0),2,IF($E156=(INDEX(_xlfn.ANCHORARRAY(Sintesi!$C$16),1,$C156)),3,4)))),0),IF($C156&gt;0,IF(($E156=INDEX(_xlfn.ANCHORARRAY(Sintesi!$C$14),1,$C156))*(INDEX(_xlfn.ANCHORARRAY(Sintesi!$C$15),1,$C156)&gt;0),0,IF(($E156=INDEX(_xlfn.ANCHORARRAY(Sintesi!$C$14),1,$C156))*(INDEX(_xlfn.ANCHORARRAY(Sintesi!$C$15),1,$C156)&lt;0)+($E156&gt;=LOOKUP(2,1/($E:$E&lt;&gt;""),$E:$E))*($E156&lt;=INDEX($E:$E,MATCH(TRUE,INDEX((ISNUMBER($E:$E)),0),0)))*($E156&gt;INDEX(_xlfn.ANCHORARRAY(Sintesi!$C$14),1,$C156))*($E156&lt;=INDEX(_xlfn.ANCHORARRAY(Sintesi!$C$15),1,$C156))*(INDEX(_xlfn.ANCHORARRAY(Sintesi!$C$15),1,$C156)&gt;0),1,IF(($E156&gt;=LOOKUP(2,1/($E:$E&lt;&gt;""),$E:$E))*($E156&lt;=INDEX($E:$E,MATCH(TRUE,INDEX((ISNUMBER($E:$E)),0),0)))*($E156&gt;INDEX(_xlfn.ANCHORARRAY(Sintesi!$C$14),1,$C156))*($E156&lt;INDEX(_xlfn.ANCHORARRAY(Sintesi!$C$16),1,$C156))*(INDEX(_xlfn.ANCHORARRAY(Sintesi!$C$15),1,$C156)&lt;0)+($E156&gt;=LOOKUP(2,1/($E:$E&lt;&gt;""),$E:$E))*($E156&lt;=INDEX($E:$E,MATCH(TRUE,INDEX((ISNUMBER($E:$E)),0),0)))*($E156&gt;INDEX(_xlfn.ANCHORARRAY(Sintesi!$C$15),1,$C156))*($E156&lt;INDEX(_xlfn.ANCHORARRAY(Sintesi!$C$16),1,$C156))*(INDEX(_xlfn.ANCHORARRAY(Sintesi!$C$15),1,$C156)&gt;0),2,IF($E156=(INDEX(_xlfn.ANCHORARRAY(Sintesi!$C$16),1,$C156)),3,4)))),0)),IF(ISNUMBER($E155),IF($C156&gt;0,IF(($E156=INDEX(_xlfn.ANCHORARRAY(Sintesi!$C$14),1,$C156))*(INDEX(_xlfn.ANCHORARRAY(Sintesi!$C$15),1,$C156)&gt;0),0,IF(($E156=INDEX(_xlfn.ANCHORARRAY(Sintesi!$C$14),1,$C156))*(INDEX(_xlfn.ANCHORARRAY(Sintesi!$C$15),1,$C156)&lt;0)+($E156&gt;=$E155)*($E156&lt;=$E157)*($E156&gt;INDEX(_xlfn.ANCHORARRAY(Sintesi!$C$14),1,$C156))*($E156&lt;=INDEX(_xlfn.ANCHORARRAY(Sintesi!$C$15),1,$C156))*(INDEX(_xlfn.ANCHORARRAY(Sintesi!$C$15),1,$C156)&gt;0),1,IF(($E156&gt;=$E155)*($E156&lt;=$E157)*($E156&gt;INDEX(_xlfn.ANCHORARRAY(Sintesi!$C$14),1,$C156))*($E156&lt;INDEX(_xlfn.ANCHORARRAY(Sintesi!$C$16),1,$C156))*(INDEX(_xlfn.ANCHORARRAY(Sintesi!$C$15),1,$C156)&lt;0)+($E156&gt;=$E155)*($E156&lt;=$E157)*($E156&gt;INDEX(_xlfn.ANCHORARRAY(Sintesi!$C$15),1,$C156))*($E156&lt;INDEX(_xlfn.ANCHORARRAY(Sintesi!$C$16),1,$C156))*(INDEX(_xlfn.ANCHORARRAY(Sintesi!$C$15),1,$C156)&gt;0),2,IF($E156=(INDEX(_xlfn.ANCHORARRAY(Sintesi!$C$16),1,$C156)),3,4)))),0),IF($C156&gt;0,IF(($E156=INDEX(_xlfn.ANCHORARRAY(Sintesi!$C$14),1,$C156))*(INDEX(_xlfn.ANCHORARRAY(Sintesi!$C$15),1,$C156)&gt;0),0,IF(($E156=INDEX(_xlfn.ANCHORARRAY(Sintesi!$C$14),1,$C156))*(INDEX(_xlfn.ANCHORARRAY(Sintesi!$C$15),1,$C156)&lt;0)+($E156&gt;=LOOKUP(2,1/($E:$E&lt;&gt;""),$E:$E))*($E156&lt;=$E157)*($E156&gt;INDEX(_xlfn.ANCHORARRAY(Sintesi!$C$14),1,$C156))*($E156&lt;=INDEX(_xlfn.ANCHORARRAY(Sintesi!$C$15),1,$C156))*(INDEX(_xlfn.ANCHORARRAY(Sintesi!$C$15),1,$C156)&gt;0),1,IF(($E156&gt;=LOOKUP(2,1/($E:$E&lt;&gt;""),$E:$E))*($E156&lt;=$E157)*($E156&gt;INDEX(_xlfn.ANCHORARRAY(Sintesi!$C$14),1,$C156))*($E156&lt;INDEX(_xlfn.ANCHORARRAY(Sintesi!$C$16),1,$C156))*(INDEX(_xlfn.ANCHORARRAY(Sintesi!$C$15),1,$C156)&lt;0)+($E156&gt;=LOOKUP(2,1/($E:$E&lt;&gt;""),$E:$E))*($E156&lt;=$E157)*($E156&gt;INDEX(_xlfn.ANCHORARRAY(Sintesi!$C$15),1,$C156))*($E156&lt;INDEX(_xlfn.ANCHORARRAY(Sintesi!$C$16),1,$C156))*(INDEX(_xlfn.ANCHORARRAY(Sintesi!$C$15),1,$C156)&gt;0),2,IF($E156=(INDEX(_xlfn.ANCHORARRAY(Sintesi!$C$16),1,$C156)),3,4)))),0)))</f>
        <v>2</v>
      </c>
      <c r="E156" s="1">
        <f>'Paste cell here'!F156</f>
        <v>0.58799999999999997</v>
      </c>
      <c r="F156" s="1">
        <f>'Paste cell here'!C156</f>
        <v>30.939999999999554</v>
      </c>
      <c r="G156" s="1">
        <f>'Paste cell here'!D156</f>
        <v>14.999999999999805</v>
      </c>
      <c r="H156" s="1">
        <f>'Paste cell here'!E156</f>
        <v>5.441882670489294</v>
      </c>
      <c r="I156" s="1">
        <f>'Paste cell here'!X156</f>
        <v>3.1995623927365684</v>
      </c>
      <c r="J156" s="1">
        <f>'Paste cell here'!Y156+'Paste cell here'!S156</f>
        <v>3.1637060404905721</v>
      </c>
      <c r="K156" s="1">
        <f t="shared" si="4"/>
        <v>0.58795137390363605</v>
      </c>
      <c r="L156" s="1">
        <f t="shared" si="5"/>
        <v>24.761123359173755</v>
      </c>
      <c r="M156" s="1">
        <f t="array" ref="M156">IF(AND(A156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156&gt;=_xlfn.ANCHORARRAY(Sintesi!$C$9))+(_xlfn.ANCHORARRAY(Sintesi!$C$9)&gt;_xlfn.ANCHORARRAY(Sintesi!$C$10))*(A156&lt;=_xlfn.ANCHORARRAY(Sintesi!$C$10))+(_xlfn.ANCHORARRAY(Sintesi!$C$9)&lt;_xlfn.ANCHORARRAY(Sintesi!$C$10))*(A156&gt;=_xlfn.ANCHORARRAY(Sintesi!$C$9))*(A156&lt;=_xlfn.ANCHORARRAY(Sintesi!$C$10)),0)),0),A156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157&gt;=_xlfn.ANCHORARRAY(Sintesi!$C$9))+(_xlfn.ANCHORARRAY(Sintesi!$C$9)&gt;_xlfn.ANCHORARRAY(Sintesi!$C$10))*(A157&lt;=_xlfn.ANCHORARRAY(Sintesi!$C$10))+(_xlfn.ANCHORARRAY(Sintesi!$C$9)&lt;_xlfn.ANCHORARRAY(Sintesi!$C$10))*(A157&gt;=_xlfn.ANCHORARRAY(Sintesi!$C$9))*(A157&lt;=_xlfn.ANCHORARRAY(Sintesi!$C$10)),0)),0)),IF(L156&lt;_xlfn.IFNA(INDEX(_xlfn.ANCHORARRAY(Sintesi!$C$17),1,MATCH(1,(_xlfn.ANCHORARRAY(Sintesi!$C$9)&gt;_xlfn.ANCHORARRAY(Sintesi!$C$10))*(A155&gt;=_xlfn.ANCHORARRAY(Sintesi!$C$9))+(_xlfn.ANCHORARRAY(Sintesi!$C$9)&gt;_xlfn.ANCHORARRAY(Sintesi!$C$10))*(A155&lt;=_xlfn.ANCHORARRAY(Sintesi!$C$10))+(_xlfn.ANCHORARRAY(Sintesi!$C$9)&lt;_xlfn.ANCHORARRAY(Sintesi!$C$10))*(A155&gt;=_xlfn.ANCHORARRAY(Sintesi!$C$9))*(A155&lt;=_xlfn.ANCHORARRAY(Sintesi!$C$10)),0)),0),1,IF(L156&gt;=_xlfn.IFNA(INDEX(_xlfn.ANCHORARRAY(Sintesi!$C$18),1,MATCH(1,(_xlfn.ANCHORARRAY(Sintesi!$C$9)&gt;_xlfn.ANCHORARRAY(Sintesi!$C$10))*(A155&gt;=_xlfn.ANCHORARRAY(Sintesi!$C$9))+(_xlfn.ANCHORARRAY(Sintesi!$C$9)&gt;_xlfn.ANCHORARRAY(Sintesi!$C$10))*(A155&lt;=_xlfn.ANCHORARRAY(Sintesi!$C$10))+(_xlfn.ANCHORARRAY(Sintesi!$C$9)&lt;_xlfn.ANCHORARRAY(Sintesi!$C$10))*(A155&gt;=_xlfn.ANCHORARRAY(Sintesi!$C$9))*(A155&lt;=_xlfn.ANCHORARRAY(Sintesi!$C$10)),0)),0),0,1-(L156-_xlfn.IFNA(INDEX(_xlfn.ANCHORARRAY(Sintesi!$C$17),1,MATCH(1,(_xlfn.ANCHORARRAY(Sintesi!$C$9)&gt;_xlfn.ANCHORARRAY(Sintesi!$C$10))*(A155&gt;=_xlfn.ANCHORARRAY(Sintesi!$C$9))+(_xlfn.ANCHORARRAY(Sintesi!$C$9)&gt;_xlfn.ANCHORARRAY(Sintesi!$C$10))*(A155&lt;=_xlfn.ANCHORARRAY(Sintesi!$C$10))+(_xlfn.ANCHORARRAY(Sintesi!$C$9)&lt;_xlfn.ANCHORARRAY(Sintesi!$C$10))*(A155&gt;=_xlfn.ANCHORARRAY(Sintesi!$C$9))*(A155&lt;=_xlfn.ANCHORARRAY(Sintesi!$C$10)),0)),0))/(_xlfn.IFNA(INDEX(_xlfn.ANCHORARRAY(Sintesi!$C$18),1,MATCH(1,(_xlfn.ANCHORARRAY(Sintesi!$C$9)&gt;_xlfn.ANCHORARRAY(Sintesi!$C$10))*(A155&gt;=_xlfn.ANCHORARRAY(Sintesi!$C$9))+(_xlfn.ANCHORARRAY(Sintesi!$C$9)&gt;_xlfn.ANCHORARRAY(Sintesi!$C$10))*(A155&lt;=_xlfn.ANCHORARRAY(Sintesi!$C$10))+(_xlfn.ANCHORARRAY(Sintesi!$C$9)&lt;_xlfn.ANCHORARRAY(Sintesi!$C$10))*(A155&gt;=_xlfn.ANCHORARRAY(Sintesi!$C$9))*(A155&lt;=_xlfn.ANCHORARRAY(Sintesi!$C$10)),0)),0)-_xlfn.IFNA(INDEX(_xlfn.ANCHORARRAY(Sintesi!$C$17),1,MATCH(1,(_xlfn.ANCHORARRAY(Sintesi!$C$9)&gt;_xlfn.ANCHORARRAY(Sintesi!$C$10))*(A155&gt;=_xlfn.ANCHORARRAY(Sintesi!$C$9))+(_xlfn.ANCHORARRAY(Sintesi!$C$9)&gt;_xlfn.ANCHORARRAY(Sintesi!$C$10))*(A155&lt;=_xlfn.ANCHORARRAY(Sintesi!$C$10))+(_xlfn.ANCHORARRAY(Sintesi!$C$9)&lt;_xlfn.ANCHORARRAY(Sintesi!$C$10))*(A155&gt;=_xlfn.ANCHORARRAY(Sintesi!$C$9))*(A155&lt;=_xlfn.ANCHORARRAY(Sintesi!$C$10)),0)),0)))),0)</f>
        <v>0</v>
      </c>
    </row>
    <row r="157" spans="1:13">
      <c r="A157" s="1">
        <f>'Paste cell here'!A157</f>
        <v>156</v>
      </c>
      <c r="B157" s="2">
        <f>DATE(Sintesi!$C$4-1,12,31)+A157</f>
        <v>44352</v>
      </c>
      <c r="C157" s="34">
        <f t="array" ref="C157">_xlfn.IFNA(MATCH(1,((_xlfn.ANCHORARRAY(Sintesi!$C$9)&gt;_xlfn.ANCHORARRAY(Sintesi!$C$10))*(A157&gt;=_xlfn.ANCHORARRAY(Sintesi!$C$9))+(_xlfn.ANCHORARRAY(Sintesi!$C$9)&gt;_xlfn.ANCHORARRAY(Sintesi!$C$10))*(A157&lt;=_xlfn.ANCHORARRAY(Sintesi!$C$10))+(_xlfn.ANCHORARRAY(Sintesi!$C$9)&lt;_xlfn.ANCHORARRAY(Sintesi!$C$10))*(A157&gt;=_xlfn.ANCHORARRAY(Sintesi!$C$9))*(A157&lt;=_xlfn.ANCHORARRAY(Sintesi!$C$10)))*(_xlfn.ANCHORARRAY(Sintesi!$C$15)&gt;=0)+(_xlfn.ANCHORARRAY(Sintesi!$C$15)&lt;0),0),0)</f>
        <v>1</v>
      </c>
      <c r="D157" s="1">
        <f t="array" ref="D157">IF(ISBLANK($E158),IF(ISNUMBER($E156),IF($C157&gt;0,IF(($E157=INDEX(_xlfn.ANCHORARRAY(Sintesi!$C$14),1,$C157))*(INDEX(_xlfn.ANCHORARRAY(Sintesi!$C$15),1,$C157)&gt;0),0,IF(($E157=INDEX(_xlfn.ANCHORARRAY(Sintesi!$C$14),1,$C157))*(INDEX(_xlfn.ANCHORARRAY(Sintesi!$C$15),1,$C157)&lt;0)+($E157&gt;=$E156)*($E157&lt;=INDEX($E:$E,MATCH(TRUE,INDEX((ISNUMBER($E:$E)),0),0)))*($E157&gt;INDEX(_xlfn.ANCHORARRAY(Sintesi!$C$14),1,$C157))*($E157&lt;=INDEX(_xlfn.ANCHORARRAY(Sintesi!$C$15),1,$C157))*(INDEX(_xlfn.ANCHORARRAY(Sintesi!$C$15),1,$C157)&gt;0),1,IF(($E157&gt;=$E156)*($E157&lt;=INDEX($E:$E,MATCH(TRUE,INDEX((ISNUMBER($E:$E)),0),0)))*($E157&gt;INDEX(_xlfn.ANCHORARRAY(Sintesi!$C$14),1,$C157))*($E157&lt;INDEX(_xlfn.ANCHORARRAY(Sintesi!$C$16),1,$C157))*(INDEX(_xlfn.ANCHORARRAY(Sintesi!$C$15),1,$C157)&lt;0)+($E157&gt;=$E156)*($E157&lt;=INDEX($E:$E,MATCH(TRUE,INDEX((ISNUMBER($E:$E)),0),0)))*($E157&gt;INDEX(_xlfn.ANCHORARRAY(Sintesi!$C$15),1,$C157))*($E157&lt;INDEX(_xlfn.ANCHORARRAY(Sintesi!$C$16),1,$C157))*(INDEX(_xlfn.ANCHORARRAY(Sintesi!$C$15),1,$C157)&gt;0),2,IF($E157=(INDEX(_xlfn.ANCHORARRAY(Sintesi!$C$16),1,$C157)),3,4)))),0),IF($C157&gt;0,IF(($E157=INDEX(_xlfn.ANCHORARRAY(Sintesi!$C$14),1,$C157))*(INDEX(_xlfn.ANCHORARRAY(Sintesi!$C$15),1,$C157)&gt;0),0,IF(($E157=INDEX(_xlfn.ANCHORARRAY(Sintesi!$C$14),1,$C157))*(INDEX(_xlfn.ANCHORARRAY(Sintesi!$C$15),1,$C157)&lt;0)+($E157&gt;=LOOKUP(2,1/($E:$E&lt;&gt;""),$E:$E))*($E157&lt;=INDEX($E:$E,MATCH(TRUE,INDEX((ISNUMBER($E:$E)),0),0)))*($E157&gt;INDEX(_xlfn.ANCHORARRAY(Sintesi!$C$14),1,$C157))*($E157&lt;=INDEX(_xlfn.ANCHORARRAY(Sintesi!$C$15),1,$C157))*(INDEX(_xlfn.ANCHORARRAY(Sintesi!$C$15),1,$C157)&gt;0),1,IF(($E157&gt;=LOOKUP(2,1/($E:$E&lt;&gt;""),$E:$E))*($E157&lt;=INDEX($E:$E,MATCH(TRUE,INDEX((ISNUMBER($E:$E)),0),0)))*($E157&gt;INDEX(_xlfn.ANCHORARRAY(Sintesi!$C$14),1,$C157))*($E157&lt;INDEX(_xlfn.ANCHORARRAY(Sintesi!$C$16),1,$C157))*(INDEX(_xlfn.ANCHORARRAY(Sintesi!$C$15),1,$C157)&lt;0)+($E157&gt;=LOOKUP(2,1/($E:$E&lt;&gt;""),$E:$E))*($E157&lt;=INDEX($E:$E,MATCH(TRUE,INDEX((ISNUMBER($E:$E)),0),0)))*($E157&gt;INDEX(_xlfn.ANCHORARRAY(Sintesi!$C$15),1,$C157))*($E157&lt;INDEX(_xlfn.ANCHORARRAY(Sintesi!$C$16),1,$C157))*(INDEX(_xlfn.ANCHORARRAY(Sintesi!$C$15),1,$C157)&gt;0),2,IF($E157=(INDEX(_xlfn.ANCHORARRAY(Sintesi!$C$16),1,$C157)),3,4)))),0)),IF(ISNUMBER($E156),IF($C157&gt;0,IF(($E157=INDEX(_xlfn.ANCHORARRAY(Sintesi!$C$14),1,$C157))*(INDEX(_xlfn.ANCHORARRAY(Sintesi!$C$15),1,$C157)&gt;0),0,IF(($E157=INDEX(_xlfn.ANCHORARRAY(Sintesi!$C$14),1,$C157))*(INDEX(_xlfn.ANCHORARRAY(Sintesi!$C$15),1,$C157)&lt;0)+($E157&gt;=$E156)*($E157&lt;=$E158)*($E157&gt;INDEX(_xlfn.ANCHORARRAY(Sintesi!$C$14),1,$C157))*($E157&lt;=INDEX(_xlfn.ANCHORARRAY(Sintesi!$C$15),1,$C157))*(INDEX(_xlfn.ANCHORARRAY(Sintesi!$C$15),1,$C157)&gt;0),1,IF(($E157&gt;=$E156)*($E157&lt;=$E158)*($E157&gt;INDEX(_xlfn.ANCHORARRAY(Sintesi!$C$14),1,$C157))*($E157&lt;INDEX(_xlfn.ANCHORARRAY(Sintesi!$C$16),1,$C157))*(INDEX(_xlfn.ANCHORARRAY(Sintesi!$C$15),1,$C157)&lt;0)+($E157&gt;=$E156)*($E157&lt;=$E158)*($E157&gt;INDEX(_xlfn.ANCHORARRAY(Sintesi!$C$15),1,$C157))*($E157&lt;INDEX(_xlfn.ANCHORARRAY(Sintesi!$C$16),1,$C157))*(INDEX(_xlfn.ANCHORARRAY(Sintesi!$C$15),1,$C157)&gt;0),2,IF($E157=(INDEX(_xlfn.ANCHORARRAY(Sintesi!$C$16),1,$C157)),3,4)))),0),IF($C157&gt;0,IF(($E157=INDEX(_xlfn.ANCHORARRAY(Sintesi!$C$14),1,$C157))*(INDEX(_xlfn.ANCHORARRAY(Sintesi!$C$15),1,$C157)&gt;0),0,IF(($E157=INDEX(_xlfn.ANCHORARRAY(Sintesi!$C$14),1,$C157))*(INDEX(_xlfn.ANCHORARRAY(Sintesi!$C$15),1,$C157)&lt;0)+($E157&gt;=LOOKUP(2,1/($E:$E&lt;&gt;""),$E:$E))*($E157&lt;=$E158)*($E157&gt;INDEX(_xlfn.ANCHORARRAY(Sintesi!$C$14),1,$C157))*($E157&lt;=INDEX(_xlfn.ANCHORARRAY(Sintesi!$C$15),1,$C157))*(INDEX(_xlfn.ANCHORARRAY(Sintesi!$C$15),1,$C157)&gt;0),1,IF(($E157&gt;=LOOKUP(2,1/($E:$E&lt;&gt;""),$E:$E))*($E157&lt;=$E158)*($E157&gt;INDEX(_xlfn.ANCHORARRAY(Sintesi!$C$14),1,$C157))*($E157&lt;INDEX(_xlfn.ANCHORARRAY(Sintesi!$C$16),1,$C157))*(INDEX(_xlfn.ANCHORARRAY(Sintesi!$C$15),1,$C157)&lt;0)+($E157&gt;=LOOKUP(2,1/($E:$E&lt;&gt;""),$E:$E))*($E157&lt;=$E158)*($E157&gt;INDEX(_xlfn.ANCHORARRAY(Sintesi!$C$15),1,$C157))*($E157&lt;INDEX(_xlfn.ANCHORARRAY(Sintesi!$C$16),1,$C157))*(INDEX(_xlfn.ANCHORARRAY(Sintesi!$C$15),1,$C157)&gt;0),2,IF($E157=(INDEX(_xlfn.ANCHORARRAY(Sintesi!$C$16),1,$C157)),3,4)))),0)))</f>
        <v>2</v>
      </c>
      <c r="E157" s="1">
        <f>'Paste cell here'!F157</f>
        <v>0.60899999999999999</v>
      </c>
      <c r="F157" s="1">
        <f>'Paste cell here'!C157</f>
        <v>28.039999999999594</v>
      </c>
      <c r="G157" s="1">
        <f>'Paste cell here'!D157</f>
        <v>17.259999999999756</v>
      </c>
      <c r="H157" s="1">
        <f>'Paste cell here'!E157</f>
        <v>3.6096516292209695</v>
      </c>
      <c r="I157" s="1">
        <f>'Paste cell here'!X157</f>
        <v>2.1980921313168524</v>
      </c>
      <c r="J157" s="1">
        <f>'Paste cell here'!Y157+'Paste cell here'!S157</f>
        <v>2.1980921313168524</v>
      </c>
      <c r="K157" s="1">
        <f t="shared" si="4"/>
        <v>0.60894855157843641</v>
      </c>
      <c r="L157" s="1">
        <f t="shared" si="5"/>
        <v>23.861311782427318</v>
      </c>
      <c r="M157" s="1">
        <f t="array" ref="M157">IF(AND(A157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157&gt;=_xlfn.ANCHORARRAY(Sintesi!$C$9))+(_xlfn.ANCHORARRAY(Sintesi!$C$9)&gt;_xlfn.ANCHORARRAY(Sintesi!$C$10))*(A157&lt;=_xlfn.ANCHORARRAY(Sintesi!$C$10))+(_xlfn.ANCHORARRAY(Sintesi!$C$9)&lt;_xlfn.ANCHORARRAY(Sintesi!$C$10))*(A157&gt;=_xlfn.ANCHORARRAY(Sintesi!$C$9))*(A157&lt;=_xlfn.ANCHORARRAY(Sintesi!$C$10)),0)),0),A157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158&gt;=_xlfn.ANCHORARRAY(Sintesi!$C$9))+(_xlfn.ANCHORARRAY(Sintesi!$C$9)&gt;_xlfn.ANCHORARRAY(Sintesi!$C$10))*(A158&lt;=_xlfn.ANCHORARRAY(Sintesi!$C$10))+(_xlfn.ANCHORARRAY(Sintesi!$C$9)&lt;_xlfn.ANCHORARRAY(Sintesi!$C$10))*(A158&gt;=_xlfn.ANCHORARRAY(Sintesi!$C$9))*(A158&lt;=_xlfn.ANCHORARRAY(Sintesi!$C$10)),0)),0)),IF(L157&lt;_xlfn.IFNA(INDEX(_xlfn.ANCHORARRAY(Sintesi!$C$17),1,MATCH(1,(_xlfn.ANCHORARRAY(Sintesi!$C$9)&gt;_xlfn.ANCHORARRAY(Sintesi!$C$10))*(A156&gt;=_xlfn.ANCHORARRAY(Sintesi!$C$9))+(_xlfn.ANCHORARRAY(Sintesi!$C$9)&gt;_xlfn.ANCHORARRAY(Sintesi!$C$10))*(A156&lt;=_xlfn.ANCHORARRAY(Sintesi!$C$10))+(_xlfn.ANCHORARRAY(Sintesi!$C$9)&lt;_xlfn.ANCHORARRAY(Sintesi!$C$10))*(A156&gt;=_xlfn.ANCHORARRAY(Sintesi!$C$9))*(A156&lt;=_xlfn.ANCHORARRAY(Sintesi!$C$10)),0)),0),1,IF(L157&gt;=_xlfn.IFNA(INDEX(_xlfn.ANCHORARRAY(Sintesi!$C$18),1,MATCH(1,(_xlfn.ANCHORARRAY(Sintesi!$C$9)&gt;_xlfn.ANCHORARRAY(Sintesi!$C$10))*(A156&gt;=_xlfn.ANCHORARRAY(Sintesi!$C$9))+(_xlfn.ANCHORARRAY(Sintesi!$C$9)&gt;_xlfn.ANCHORARRAY(Sintesi!$C$10))*(A156&lt;=_xlfn.ANCHORARRAY(Sintesi!$C$10))+(_xlfn.ANCHORARRAY(Sintesi!$C$9)&lt;_xlfn.ANCHORARRAY(Sintesi!$C$10))*(A156&gt;=_xlfn.ANCHORARRAY(Sintesi!$C$9))*(A156&lt;=_xlfn.ANCHORARRAY(Sintesi!$C$10)),0)),0),0,1-(L157-_xlfn.IFNA(INDEX(_xlfn.ANCHORARRAY(Sintesi!$C$17),1,MATCH(1,(_xlfn.ANCHORARRAY(Sintesi!$C$9)&gt;_xlfn.ANCHORARRAY(Sintesi!$C$10))*(A156&gt;=_xlfn.ANCHORARRAY(Sintesi!$C$9))+(_xlfn.ANCHORARRAY(Sintesi!$C$9)&gt;_xlfn.ANCHORARRAY(Sintesi!$C$10))*(A156&lt;=_xlfn.ANCHORARRAY(Sintesi!$C$10))+(_xlfn.ANCHORARRAY(Sintesi!$C$9)&lt;_xlfn.ANCHORARRAY(Sintesi!$C$10))*(A156&gt;=_xlfn.ANCHORARRAY(Sintesi!$C$9))*(A156&lt;=_xlfn.ANCHORARRAY(Sintesi!$C$10)),0)),0))/(_xlfn.IFNA(INDEX(_xlfn.ANCHORARRAY(Sintesi!$C$18),1,MATCH(1,(_xlfn.ANCHORARRAY(Sintesi!$C$9)&gt;_xlfn.ANCHORARRAY(Sintesi!$C$10))*(A156&gt;=_xlfn.ANCHORARRAY(Sintesi!$C$9))+(_xlfn.ANCHORARRAY(Sintesi!$C$9)&gt;_xlfn.ANCHORARRAY(Sintesi!$C$10))*(A156&lt;=_xlfn.ANCHORARRAY(Sintesi!$C$10))+(_xlfn.ANCHORARRAY(Sintesi!$C$9)&lt;_xlfn.ANCHORARRAY(Sintesi!$C$10))*(A156&gt;=_xlfn.ANCHORARRAY(Sintesi!$C$9))*(A156&lt;=_xlfn.ANCHORARRAY(Sintesi!$C$10)),0)),0)-_xlfn.IFNA(INDEX(_xlfn.ANCHORARRAY(Sintesi!$C$17),1,MATCH(1,(_xlfn.ANCHORARRAY(Sintesi!$C$9)&gt;_xlfn.ANCHORARRAY(Sintesi!$C$10))*(A156&gt;=_xlfn.ANCHORARRAY(Sintesi!$C$9))+(_xlfn.ANCHORARRAY(Sintesi!$C$9)&gt;_xlfn.ANCHORARRAY(Sintesi!$C$10))*(A156&lt;=_xlfn.ANCHORARRAY(Sintesi!$C$10))+(_xlfn.ANCHORARRAY(Sintesi!$C$9)&lt;_xlfn.ANCHORARRAY(Sintesi!$C$10))*(A156&gt;=_xlfn.ANCHORARRAY(Sintesi!$C$9))*(A156&lt;=_xlfn.ANCHORARRAY(Sintesi!$C$10)),0)),0)))),0)</f>
        <v>0</v>
      </c>
    </row>
    <row r="158" spans="1:13">
      <c r="A158" s="1">
        <f>'Paste cell here'!A158</f>
        <v>157</v>
      </c>
      <c r="B158" s="2">
        <f>DATE(Sintesi!$C$4-1,12,31)+A158</f>
        <v>44353</v>
      </c>
      <c r="C158" s="34">
        <f t="array" ref="C158">_xlfn.IFNA(MATCH(1,((_xlfn.ANCHORARRAY(Sintesi!$C$9)&gt;_xlfn.ANCHORARRAY(Sintesi!$C$10))*(A158&gt;=_xlfn.ANCHORARRAY(Sintesi!$C$9))+(_xlfn.ANCHORARRAY(Sintesi!$C$9)&gt;_xlfn.ANCHORARRAY(Sintesi!$C$10))*(A158&lt;=_xlfn.ANCHORARRAY(Sintesi!$C$10))+(_xlfn.ANCHORARRAY(Sintesi!$C$9)&lt;_xlfn.ANCHORARRAY(Sintesi!$C$10))*(A158&gt;=_xlfn.ANCHORARRAY(Sintesi!$C$9))*(A158&lt;=_xlfn.ANCHORARRAY(Sintesi!$C$10)))*(_xlfn.ANCHORARRAY(Sintesi!$C$15)&gt;=0)+(_xlfn.ANCHORARRAY(Sintesi!$C$15)&lt;0),0),0)</f>
        <v>1</v>
      </c>
      <c r="D158" s="1">
        <f t="array" ref="D158">IF(ISBLANK($E159),IF(ISNUMBER($E157),IF($C158&gt;0,IF(($E158=INDEX(_xlfn.ANCHORARRAY(Sintesi!$C$14),1,$C158))*(INDEX(_xlfn.ANCHORARRAY(Sintesi!$C$15),1,$C158)&gt;0),0,IF(($E158=INDEX(_xlfn.ANCHORARRAY(Sintesi!$C$14),1,$C158))*(INDEX(_xlfn.ANCHORARRAY(Sintesi!$C$15),1,$C158)&lt;0)+($E158&gt;=$E157)*($E158&lt;=INDEX($E:$E,MATCH(TRUE,INDEX((ISNUMBER($E:$E)),0),0)))*($E158&gt;INDEX(_xlfn.ANCHORARRAY(Sintesi!$C$14),1,$C158))*($E158&lt;=INDEX(_xlfn.ANCHORARRAY(Sintesi!$C$15),1,$C158))*(INDEX(_xlfn.ANCHORARRAY(Sintesi!$C$15),1,$C158)&gt;0),1,IF(($E158&gt;=$E157)*($E158&lt;=INDEX($E:$E,MATCH(TRUE,INDEX((ISNUMBER($E:$E)),0),0)))*($E158&gt;INDEX(_xlfn.ANCHORARRAY(Sintesi!$C$14),1,$C158))*($E158&lt;INDEX(_xlfn.ANCHORARRAY(Sintesi!$C$16),1,$C158))*(INDEX(_xlfn.ANCHORARRAY(Sintesi!$C$15),1,$C158)&lt;0)+($E158&gt;=$E157)*($E158&lt;=INDEX($E:$E,MATCH(TRUE,INDEX((ISNUMBER($E:$E)),0),0)))*($E158&gt;INDEX(_xlfn.ANCHORARRAY(Sintesi!$C$15),1,$C158))*($E158&lt;INDEX(_xlfn.ANCHORARRAY(Sintesi!$C$16),1,$C158))*(INDEX(_xlfn.ANCHORARRAY(Sintesi!$C$15),1,$C158)&gt;0),2,IF($E158=(INDEX(_xlfn.ANCHORARRAY(Sintesi!$C$16),1,$C158)),3,4)))),0),IF($C158&gt;0,IF(($E158=INDEX(_xlfn.ANCHORARRAY(Sintesi!$C$14),1,$C158))*(INDEX(_xlfn.ANCHORARRAY(Sintesi!$C$15),1,$C158)&gt;0),0,IF(($E158=INDEX(_xlfn.ANCHORARRAY(Sintesi!$C$14),1,$C158))*(INDEX(_xlfn.ANCHORARRAY(Sintesi!$C$15),1,$C158)&lt;0)+($E158&gt;=LOOKUP(2,1/($E:$E&lt;&gt;""),$E:$E))*($E158&lt;=INDEX($E:$E,MATCH(TRUE,INDEX((ISNUMBER($E:$E)),0),0)))*($E158&gt;INDEX(_xlfn.ANCHORARRAY(Sintesi!$C$14),1,$C158))*($E158&lt;=INDEX(_xlfn.ANCHORARRAY(Sintesi!$C$15),1,$C158))*(INDEX(_xlfn.ANCHORARRAY(Sintesi!$C$15),1,$C158)&gt;0),1,IF(($E158&gt;=LOOKUP(2,1/($E:$E&lt;&gt;""),$E:$E))*($E158&lt;=INDEX($E:$E,MATCH(TRUE,INDEX((ISNUMBER($E:$E)),0),0)))*($E158&gt;INDEX(_xlfn.ANCHORARRAY(Sintesi!$C$14),1,$C158))*($E158&lt;INDEX(_xlfn.ANCHORARRAY(Sintesi!$C$16),1,$C158))*(INDEX(_xlfn.ANCHORARRAY(Sintesi!$C$15),1,$C158)&lt;0)+($E158&gt;=LOOKUP(2,1/($E:$E&lt;&gt;""),$E:$E))*($E158&lt;=INDEX($E:$E,MATCH(TRUE,INDEX((ISNUMBER($E:$E)),0),0)))*($E158&gt;INDEX(_xlfn.ANCHORARRAY(Sintesi!$C$15),1,$C158))*($E158&lt;INDEX(_xlfn.ANCHORARRAY(Sintesi!$C$16),1,$C158))*(INDEX(_xlfn.ANCHORARRAY(Sintesi!$C$15),1,$C158)&gt;0),2,IF($E158=(INDEX(_xlfn.ANCHORARRAY(Sintesi!$C$16),1,$C158)),3,4)))),0)),IF(ISNUMBER($E157),IF($C158&gt;0,IF(($E158=INDEX(_xlfn.ANCHORARRAY(Sintesi!$C$14),1,$C158))*(INDEX(_xlfn.ANCHORARRAY(Sintesi!$C$15),1,$C158)&gt;0),0,IF(($E158=INDEX(_xlfn.ANCHORARRAY(Sintesi!$C$14),1,$C158))*(INDEX(_xlfn.ANCHORARRAY(Sintesi!$C$15),1,$C158)&lt;0)+($E158&gt;=$E157)*($E158&lt;=$E159)*($E158&gt;INDEX(_xlfn.ANCHORARRAY(Sintesi!$C$14),1,$C158))*($E158&lt;=INDEX(_xlfn.ANCHORARRAY(Sintesi!$C$15),1,$C158))*(INDEX(_xlfn.ANCHORARRAY(Sintesi!$C$15),1,$C158)&gt;0),1,IF(($E158&gt;=$E157)*($E158&lt;=$E159)*($E158&gt;INDEX(_xlfn.ANCHORARRAY(Sintesi!$C$14),1,$C158))*($E158&lt;INDEX(_xlfn.ANCHORARRAY(Sintesi!$C$16),1,$C158))*(INDEX(_xlfn.ANCHORARRAY(Sintesi!$C$15),1,$C158)&lt;0)+($E158&gt;=$E157)*($E158&lt;=$E159)*($E158&gt;INDEX(_xlfn.ANCHORARRAY(Sintesi!$C$15),1,$C158))*($E158&lt;INDEX(_xlfn.ANCHORARRAY(Sintesi!$C$16),1,$C158))*(INDEX(_xlfn.ANCHORARRAY(Sintesi!$C$15),1,$C158)&gt;0),2,IF($E158=(INDEX(_xlfn.ANCHORARRAY(Sintesi!$C$16),1,$C158)),3,4)))),0),IF($C158&gt;0,IF(($E158=INDEX(_xlfn.ANCHORARRAY(Sintesi!$C$14),1,$C158))*(INDEX(_xlfn.ANCHORARRAY(Sintesi!$C$15),1,$C158)&gt;0),0,IF(($E158=INDEX(_xlfn.ANCHORARRAY(Sintesi!$C$14),1,$C158))*(INDEX(_xlfn.ANCHORARRAY(Sintesi!$C$15),1,$C158)&lt;0)+($E158&gt;=LOOKUP(2,1/($E:$E&lt;&gt;""),$E:$E))*($E158&lt;=$E159)*($E158&gt;INDEX(_xlfn.ANCHORARRAY(Sintesi!$C$14),1,$C158))*($E158&lt;=INDEX(_xlfn.ANCHORARRAY(Sintesi!$C$15),1,$C158))*(INDEX(_xlfn.ANCHORARRAY(Sintesi!$C$15),1,$C158)&gt;0),1,IF(($E158&gt;=LOOKUP(2,1/($E:$E&lt;&gt;""),$E:$E))*($E158&lt;=$E159)*($E158&gt;INDEX(_xlfn.ANCHORARRAY(Sintesi!$C$14),1,$C158))*($E158&lt;INDEX(_xlfn.ANCHORARRAY(Sintesi!$C$16),1,$C158))*(INDEX(_xlfn.ANCHORARRAY(Sintesi!$C$15),1,$C158)&lt;0)+($E158&gt;=LOOKUP(2,1/($E:$E&lt;&gt;""),$E:$E))*($E158&lt;=$E159)*($E158&gt;INDEX(_xlfn.ANCHORARRAY(Sintesi!$C$15),1,$C158))*($E158&lt;INDEX(_xlfn.ANCHORARRAY(Sintesi!$C$16),1,$C158))*(INDEX(_xlfn.ANCHORARRAY(Sintesi!$C$15),1,$C158)&gt;0),2,IF($E158=(INDEX(_xlfn.ANCHORARRAY(Sintesi!$C$16),1,$C158)),3,4)))),0)))</f>
        <v>2</v>
      </c>
      <c r="E158" s="1">
        <f>'Paste cell here'!F158</f>
        <v>0.63</v>
      </c>
      <c r="F158" s="1">
        <f>'Paste cell here'!C158</f>
        <v>29.379999999999576</v>
      </c>
      <c r="G158" s="1">
        <f>'Paste cell here'!D158</f>
        <v>14.919999999999774</v>
      </c>
      <c r="H158" s="1">
        <f>'Paste cell here'!E158</f>
        <v>5.4244336293991635</v>
      </c>
      <c r="I158" s="1">
        <f>'Paste cell here'!X158</f>
        <v>3.4170986380277339</v>
      </c>
      <c r="J158" s="1">
        <f>'Paste cell here'!Y158+'Paste cell here'!S158</f>
        <v>3.4170986380277339</v>
      </c>
      <c r="K158" s="1">
        <f t="shared" si="4"/>
        <v>0.62994569967781655</v>
      </c>
      <c r="L158" s="1">
        <f t="shared" si="5"/>
        <v>23.774820813905396</v>
      </c>
      <c r="M158" s="1">
        <f t="array" ref="M158">IF(AND(A158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158&gt;=_xlfn.ANCHORARRAY(Sintesi!$C$9))+(_xlfn.ANCHORARRAY(Sintesi!$C$9)&gt;_xlfn.ANCHORARRAY(Sintesi!$C$10))*(A158&lt;=_xlfn.ANCHORARRAY(Sintesi!$C$10))+(_xlfn.ANCHORARRAY(Sintesi!$C$9)&lt;_xlfn.ANCHORARRAY(Sintesi!$C$10))*(A158&gt;=_xlfn.ANCHORARRAY(Sintesi!$C$9))*(A158&lt;=_xlfn.ANCHORARRAY(Sintesi!$C$10)),0)),0),A158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159&gt;=_xlfn.ANCHORARRAY(Sintesi!$C$9))+(_xlfn.ANCHORARRAY(Sintesi!$C$9)&gt;_xlfn.ANCHORARRAY(Sintesi!$C$10))*(A159&lt;=_xlfn.ANCHORARRAY(Sintesi!$C$10))+(_xlfn.ANCHORARRAY(Sintesi!$C$9)&lt;_xlfn.ANCHORARRAY(Sintesi!$C$10))*(A159&gt;=_xlfn.ANCHORARRAY(Sintesi!$C$9))*(A159&lt;=_xlfn.ANCHORARRAY(Sintesi!$C$10)),0)),0)),IF(L158&lt;_xlfn.IFNA(INDEX(_xlfn.ANCHORARRAY(Sintesi!$C$17),1,MATCH(1,(_xlfn.ANCHORARRAY(Sintesi!$C$9)&gt;_xlfn.ANCHORARRAY(Sintesi!$C$10))*(A157&gt;=_xlfn.ANCHORARRAY(Sintesi!$C$9))+(_xlfn.ANCHORARRAY(Sintesi!$C$9)&gt;_xlfn.ANCHORARRAY(Sintesi!$C$10))*(A157&lt;=_xlfn.ANCHORARRAY(Sintesi!$C$10))+(_xlfn.ANCHORARRAY(Sintesi!$C$9)&lt;_xlfn.ANCHORARRAY(Sintesi!$C$10))*(A157&gt;=_xlfn.ANCHORARRAY(Sintesi!$C$9))*(A157&lt;=_xlfn.ANCHORARRAY(Sintesi!$C$10)),0)),0),1,IF(L158&gt;=_xlfn.IFNA(INDEX(_xlfn.ANCHORARRAY(Sintesi!$C$18),1,MATCH(1,(_xlfn.ANCHORARRAY(Sintesi!$C$9)&gt;_xlfn.ANCHORARRAY(Sintesi!$C$10))*(A157&gt;=_xlfn.ANCHORARRAY(Sintesi!$C$9))+(_xlfn.ANCHORARRAY(Sintesi!$C$9)&gt;_xlfn.ANCHORARRAY(Sintesi!$C$10))*(A157&lt;=_xlfn.ANCHORARRAY(Sintesi!$C$10))+(_xlfn.ANCHORARRAY(Sintesi!$C$9)&lt;_xlfn.ANCHORARRAY(Sintesi!$C$10))*(A157&gt;=_xlfn.ANCHORARRAY(Sintesi!$C$9))*(A157&lt;=_xlfn.ANCHORARRAY(Sintesi!$C$10)),0)),0),0,1-(L158-_xlfn.IFNA(INDEX(_xlfn.ANCHORARRAY(Sintesi!$C$17),1,MATCH(1,(_xlfn.ANCHORARRAY(Sintesi!$C$9)&gt;_xlfn.ANCHORARRAY(Sintesi!$C$10))*(A157&gt;=_xlfn.ANCHORARRAY(Sintesi!$C$9))+(_xlfn.ANCHORARRAY(Sintesi!$C$9)&gt;_xlfn.ANCHORARRAY(Sintesi!$C$10))*(A157&lt;=_xlfn.ANCHORARRAY(Sintesi!$C$10))+(_xlfn.ANCHORARRAY(Sintesi!$C$9)&lt;_xlfn.ANCHORARRAY(Sintesi!$C$10))*(A157&gt;=_xlfn.ANCHORARRAY(Sintesi!$C$9))*(A157&lt;=_xlfn.ANCHORARRAY(Sintesi!$C$10)),0)),0))/(_xlfn.IFNA(INDEX(_xlfn.ANCHORARRAY(Sintesi!$C$18),1,MATCH(1,(_xlfn.ANCHORARRAY(Sintesi!$C$9)&gt;_xlfn.ANCHORARRAY(Sintesi!$C$10))*(A157&gt;=_xlfn.ANCHORARRAY(Sintesi!$C$9))+(_xlfn.ANCHORARRAY(Sintesi!$C$9)&gt;_xlfn.ANCHORARRAY(Sintesi!$C$10))*(A157&lt;=_xlfn.ANCHORARRAY(Sintesi!$C$10))+(_xlfn.ANCHORARRAY(Sintesi!$C$9)&lt;_xlfn.ANCHORARRAY(Sintesi!$C$10))*(A157&gt;=_xlfn.ANCHORARRAY(Sintesi!$C$9))*(A157&lt;=_xlfn.ANCHORARRAY(Sintesi!$C$10)),0)),0)-_xlfn.IFNA(INDEX(_xlfn.ANCHORARRAY(Sintesi!$C$17),1,MATCH(1,(_xlfn.ANCHORARRAY(Sintesi!$C$9)&gt;_xlfn.ANCHORARRAY(Sintesi!$C$10))*(A157&gt;=_xlfn.ANCHORARRAY(Sintesi!$C$9))+(_xlfn.ANCHORARRAY(Sintesi!$C$9)&gt;_xlfn.ANCHORARRAY(Sintesi!$C$10))*(A157&lt;=_xlfn.ANCHORARRAY(Sintesi!$C$10))+(_xlfn.ANCHORARRAY(Sintesi!$C$9)&lt;_xlfn.ANCHORARRAY(Sintesi!$C$10))*(A157&gt;=_xlfn.ANCHORARRAY(Sintesi!$C$9))*(A157&lt;=_xlfn.ANCHORARRAY(Sintesi!$C$10)),0)),0)))),0)</f>
        <v>0</v>
      </c>
    </row>
    <row r="159" spans="1:13">
      <c r="A159" s="1">
        <f>'Paste cell here'!A159</f>
        <v>158</v>
      </c>
      <c r="B159" s="2">
        <f>DATE(Sintesi!$C$4-1,12,31)+A159</f>
        <v>44354</v>
      </c>
      <c r="C159" s="34">
        <f t="array" ref="C159">_xlfn.IFNA(MATCH(1,((_xlfn.ANCHORARRAY(Sintesi!$C$9)&gt;_xlfn.ANCHORARRAY(Sintesi!$C$10))*(A159&gt;=_xlfn.ANCHORARRAY(Sintesi!$C$9))+(_xlfn.ANCHORARRAY(Sintesi!$C$9)&gt;_xlfn.ANCHORARRAY(Sintesi!$C$10))*(A159&lt;=_xlfn.ANCHORARRAY(Sintesi!$C$10))+(_xlfn.ANCHORARRAY(Sintesi!$C$9)&lt;_xlfn.ANCHORARRAY(Sintesi!$C$10))*(A159&gt;=_xlfn.ANCHORARRAY(Sintesi!$C$9))*(A159&lt;=_xlfn.ANCHORARRAY(Sintesi!$C$10)))*(_xlfn.ANCHORARRAY(Sintesi!$C$15)&gt;=0)+(_xlfn.ANCHORARRAY(Sintesi!$C$15)&lt;0),0),0)</f>
        <v>1</v>
      </c>
      <c r="D159" s="1">
        <f t="array" ref="D159">IF(ISBLANK($E160),IF(ISNUMBER($E158),IF($C159&gt;0,IF(($E159=INDEX(_xlfn.ANCHORARRAY(Sintesi!$C$14),1,$C159))*(INDEX(_xlfn.ANCHORARRAY(Sintesi!$C$15),1,$C159)&gt;0),0,IF(($E159=INDEX(_xlfn.ANCHORARRAY(Sintesi!$C$14),1,$C159))*(INDEX(_xlfn.ANCHORARRAY(Sintesi!$C$15),1,$C159)&lt;0)+($E159&gt;=$E158)*($E159&lt;=INDEX($E:$E,MATCH(TRUE,INDEX((ISNUMBER($E:$E)),0),0)))*($E159&gt;INDEX(_xlfn.ANCHORARRAY(Sintesi!$C$14),1,$C159))*($E159&lt;=INDEX(_xlfn.ANCHORARRAY(Sintesi!$C$15),1,$C159))*(INDEX(_xlfn.ANCHORARRAY(Sintesi!$C$15),1,$C159)&gt;0),1,IF(($E159&gt;=$E158)*($E159&lt;=INDEX($E:$E,MATCH(TRUE,INDEX((ISNUMBER($E:$E)),0),0)))*($E159&gt;INDEX(_xlfn.ANCHORARRAY(Sintesi!$C$14),1,$C159))*($E159&lt;INDEX(_xlfn.ANCHORARRAY(Sintesi!$C$16),1,$C159))*(INDEX(_xlfn.ANCHORARRAY(Sintesi!$C$15),1,$C159)&lt;0)+($E159&gt;=$E158)*($E159&lt;=INDEX($E:$E,MATCH(TRUE,INDEX((ISNUMBER($E:$E)),0),0)))*($E159&gt;INDEX(_xlfn.ANCHORARRAY(Sintesi!$C$15),1,$C159))*($E159&lt;INDEX(_xlfn.ANCHORARRAY(Sintesi!$C$16),1,$C159))*(INDEX(_xlfn.ANCHORARRAY(Sintesi!$C$15),1,$C159)&gt;0),2,IF($E159=(INDEX(_xlfn.ANCHORARRAY(Sintesi!$C$16),1,$C159)),3,4)))),0),IF($C159&gt;0,IF(($E159=INDEX(_xlfn.ANCHORARRAY(Sintesi!$C$14),1,$C159))*(INDEX(_xlfn.ANCHORARRAY(Sintesi!$C$15),1,$C159)&gt;0),0,IF(($E159=INDEX(_xlfn.ANCHORARRAY(Sintesi!$C$14),1,$C159))*(INDEX(_xlfn.ANCHORARRAY(Sintesi!$C$15),1,$C159)&lt;0)+($E159&gt;=LOOKUP(2,1/($E:$E&lt;&gt;""),$E:$E))*($E159&lt;=INDEX($E:$E,MATCH(TRUE,INDEX((ISNUMBER($E:$E)),0),0)))*($E159&gt;INDEX(_xlfn.ANCHORARRAY(Sintesi!$C$14),1,$C159))*($E159&lt;=INDEX(_xlfn.ANCHORARRAY(Sintesi!$C$15),1,$C159))*(INDEX(_xlfn.ANCHORARRAY(Sintesi!$C$15),1,$C159)&gt;0),1,IF(($E159&gt;=LOOKUP(2,1/($E:$E&lt;&gt;""),$E:$E))*($E159&lt;=INDEX($E:$E,MATCH(TRUE,INDEX((ISNUMBER($E:$E)),0),0)))*($E159&gt;INDEX(_xlfn.ANCHORARRAY(Sintesi!$C$14),1,$C159))*($E159&lt;INDEX(_xlfn.ANCHORARRAY(Sintesi!$C$16),1,$C159))*(INDEX(_xlfn.ANCHORARRAY(Sintesi!$C$15),1,$C159)&lt;0)+($E159&gt;=LOOKUP(2,1/($E:$E&lt;&gt;""),$E:$E))*($E159&lt;=INDEX($E:$E,MATCH(TRUE,INDEX((ISNUMBER($E:$E)),0),0)))*($E159&gt;INDEX(_xlfn.ANCHORARRAY(Sintesi!$C$15),1,$C159))*($E159&lt;INDEX(_xlfn.ANCHORARRAY(Sintesi!$C$16),1,$C159))*(INDEX(_xlfn.ANCHORARRAY(Sintesi!$C$15),1,$C159)&gt;0),2,IF($E159=(INDEX(_xlfn.ANCHORARRAY(Sintesi!$C$16),1,$C159)),3,4)))),0)),IF(ISNUMBER($E158),IF($C159&gt;0,IF(($E159=INDEX(_xlfn.ANCHORARRAY(Sintesi!$C$14),1,$C159))*(INDEX(_xlfn.ANCHORARRAY(Sintesi!$C$15),1,$C159)&gt;0),0,IF(($E159=INDEX(_xlfn.ANCHORARRAY(Sintesi!$C$14),1,$C159))*(INDEX(_xlfn.ANCHORARRAY(Sintesi!$C$15),1,$C159)&lt;0)+($E159&gt;=$E158)*($E159&lt;=$E160)*($E159&gt;INDEX(_xlfn.ANCHORARRAY(Sintesi!$C$14),1,$C159))*($E159&lt;=INDEX(_xlfn.ANCHORARRAY(Sintesi!$C$15),1,$C159))*(INDEX(_xlfn.ANCHORARRAY(Sintesi!$C$15),1,$C159)&gt;0),1,IF(($E159&gt;=$E158)*($E159&lt;=$E160)*($E159&gt;INDEX(_xlfn.ANCHORARRAY(Sintesi!$C$14),1,$C159))*($E159&lt;INDEX(_xlfn.ANCHORARRAY(Sintesi!$C$16),1,$C159))*(INDEX(_xlfn.ANCHORARRAY(Sintesi!$C$15),1,$C159)&lt;0)+($E159&gt;=$E158)*($E159&lt;=$E160)*($E159&gt;INDEX(_xlfn.ANCHORARRAY(Sintesi!$C$15),1,$C159))*($E159&lt;INDEX(_xlfn.ANCHORARRAY(Sintesi!$C$16),1,$C159))*(INDEX(_xlfn.ANCHORARRAY(Sintesi!$C$15),1,$C159)&gt;0),2,IF($E159=(INDEX(_xlfn.ANCHORARRAY(Sintesi!$C$16),1,$C159)),3,4)))),0),IF($C159&gt;0,IF(($E159=INDEX(_xlfn.ANCHORARRAY(Sintesi!$C$14),1,$C159))*(INDEX(_xlfn.ANCHORARRAY(Sintesi!$C$15),1,$C159)&gt;0),0,IF(($E159=INDEX(_xlfn.ANCHORARRAY(Sintesi!$C$14),1,$C159))*(INDEX(_xlfn.ANCHORARRAY(Sintesi!$C$15),1,$C159)&lt;0)+($E159&gt;=LOOKUP(2,1/($E:$E&lt;&gt;""),$E:$E))*($E159&lt;=$E160)*($E159&gt;INDEX(_xlfn.ANCHORARRAY(Sintesi!$C$14),1,$C159))*($E159&lt;=INDEX(_xlfn.ANCHORARRAY(Sintesi!$C$15),1,$C159))*(INDEX(_xlfn.ANCHORARRAY(Sintesi!$C$15),1,$C159)&gt;0),1,IF(($E159&gt;=LOOKUP(2,1/($E:$E&lt;&gt;""),$E:$E))*($E159&lt;=$E160)*($E159&gt;INDEX(_xlfn.ANCHORARRAY(Sintesi!$C$14),1,$C159))*($E159&lt;INDEX(_xlfn.ANCHORARRAY(Sintesi!$C$16),1,$C159))*(INDEX(_xlfn.ANCHORARRAY(Sintesi!$C$15),1,$C159)&lt;0)+($E159&gt;=LOOKUP(2,1/($E:$E&lt;&gt;""),$E:$E))*($E159&lt;=$E160)*($E159&gt;INDEX(_xlfn.ANCHORARRAY(Sintesi!$C$15),1,$C159))*($E159&lt;INDEX(_xlfn.ANCHORARRAY(Sintesi!$C$16),1,$C159))*(INDEX(_xlfn.ANCHORARRAY(Sintesi!$C$15),1,$C159)&gt;0),2,IF($E159=(INDEX(_xlfn.ANCHORARRAY(Sintesi!$C$16),1,$C159)),3,4)))),0)))</f>
        <v>2</v>
      </c>
      <c r="E159" s="1">
        <f>'Paste cell here'!F159</f>
        <v>0.65100000000000002</v>
      </c>
      <c r="F159" s="1">
        <f>'Paste cell here'!C159</f>
        <v>26.159999999999609</v>
      </c>
      <c r="G159" s="1">
        <f>'Paste cell here'!D159</f>
        <v>17.23999999999976</v>
      </c>
      <c r="H159" s="1">
        <f>'Paste cell here'!E159</f>
        <v>3.3381307322584735</v>
      </c>
      <c r="I159" s="1">
        <f>'Paste cell here'!X159</f>
        <v>2.1729322547150791</v>
      </c>
      <c r="J159" s="1">
        <f>'Paste cell here'!Y159+'Paste cell here'!S159</f>
        <v>2.1729322547150791</v>
      </c>
      <c r="K159" s="1">
        <f t="shared" si="4"/>
        <v>0.65094282668939751</v>
      </c>
      <c r="L159" s="1">
        <f t="shared" si="5"/>
        <v>22.702309934995466</v>
      </c>
      <c r="M159" s="1">
        <f t="array" ref="M159">IF(AND(A159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159&gt;=_xlfn.ANCHORARRAY(Sintesi!$C$9))+(_xlfn.ANCHORARRAY(Sintesi!$C$9)&gt;_xlfn.ANCHORARRAY(Sintesi!$C$10))*(A159&lt;=_xlfn.ANCHORARRAY(Sintesi!$C$10))+(_xlfn.ANCHORARRAY(Sintesi!$C$9)&lt;_xlfn.ANCHORARRAY(Sintesi!$C$10))*(A159&gt;=_xlfn.ANCHORARRAY(Sintesi!$C$9))*(A159&lt;=_xlfn.ANCHORARRAY(Sintesi!$C$10)),0)),0),A159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160&gt;=_xlfn.ANCHORARRAY(Sintesi!$C$9))+(_xlfn.ANCHORARRAY(Sintesi!$C$9)&gt;_xlfn.ANCHORARRAY(Sintesi!$C$10))*(A160&lt;=_xlfn.ANCHORARRAY(Sintesi!$C$10))+(_xlfn.ANCHORARRAY(Sintesi!$C$9)&lt;_xlfn.ANCHORARRAY(Sintesi!$C$10))*(A160&gt;=_xlfn.ANCHORARRAY(Sintesi!$C$9))*(A160&lt;=_xlfn.ANCHORARRAY(Sintesi!$C$10)),0)),0)),IF(L159&lt;_xlfn.IFNA(INDEX(_xlfn.ANCHORARRAY(Sintesi!$C$17),1,MATCH(1,(_xlfn.ANCHORARRAY(Sintesi!$C$9)&gt;_xlfn.ANCHORARRAY(Sintesi!$C$10))*(A158&gt;=_xlfn.ANCHORARRAY(Sintesi!$C$9))+(_xlfn.ANCHORARRAY(Sintesi!$C$9)&gt;_xlfn.ANCHORARRAY(Sintesi!$C$10))*(A158&lt;=_xlfn.ANCHORARRAY(Sintesi!$C$10))+(_xlfn.ANCHORARRAY(Sintesi!$C$9)&lt;_xlfn.ANCHORARRAY(Sintesi!$C$10))*(A158&gt;=_xlfn.ANCHORARRAY(Sintesi!$C$9))*(A158&lt;=_xlfn.ANCHORARRAY(Sintesi!$C$10)),0)),0),1,IF(L159&gt;=_xlfn.IFNA(INDEX(_xlfn.ANCHORARRAY(Sintesi!$C$18),1,MATCH(1,(_xlfn.ANCHORARRAY(Sintesi!$C$9)&gt;_xlfn.ANCHORARRAY(Sintesi!$C$10))*(A158&gt;=_xlfn.ANCHORARRAY(Sintesi!$C$9))+(_xlfn.ANCHORARRAY(Sintesi!$C$9)&gt;_xlfn.ANCHORARRAY(Sintesi!$C$10))*(A158&lt;=_xlfn.ANCHORARRAY(Sintesi!$C$10))+(_xlfn.ANCHORARRAY(Sintesi!$C$9)&lt;_xlfn.ANCHORARRAY(Sintesi!$C$10))*(A158&gt;=_xlfn.ANCHORARRAY(Sintesi!$C$9))*(A158&lt;=_xlfn.ANCHORARRAY(Sintesi!$C$10)),0)),0),0,1-(L159-_xlfn.IFNA(INDEX(_xlfn.ANCHORARRAY(Sintesi!$C$17),1,MATCH(1,(_xlfn.ANCHORARRAY(Sintesi!$C$9)&gt;_xlfn.ANCHORARRAY(Sintesi!$C$10))*(A158&gt;=_xlfn.ANCHORARRAY(Sintesi!$C$9))+(_xlfn.ANCHORARRAY(Sintesi!$C$9)&gt;_xlfn.ANCHORARRAY(Sintesi!$C$10))*(A158&lt;=_xlfn.ANCHORARRAY(Sintesi!$C$10))+(_xlfn.ANCHORARRAY(Sintesi!$C$9)&lt;_xlfn.ANCHORARRAY(Sintesi!$C$10))*(A158&gt;=_xlfn.ANCHORARRAY(Sintesi!$C$9))*(A158&lt;=_xlfn.ANCHORARRAY(Sintesi!$C$10)),0)),0))/(_xlfn.IFNA(INDEX(_xlfn.ANCHORARRAY(Sintesi!$C$18),1,MATCH(1,(_xlfn.ANCHORARRAY(Sintesi!$C$9)&gt;_xlfn.ANCHORARRAY(Sintesi!$C$10))*(A158&gt;=_xlfn.ANCHORARRAY(Sintesi!$C$9))+(_xlfn.ANCHORARRAY(Sintesi!$C$9)&gt;_xlfn.ANCHORARRAY(Sintesi!$C$10))*(A158&lt;=_xlfn.ANCHORARRAY(Sintesi!$C$10))+(_xlfn.ANCHORARRAY(Sintesi!$C$9)&lt;_xlfn.ANCHORARRAY(Sintesi!$C$10))*(A158&gt;=_xlfn.ANCHORARRAY(Sintesi!$C$9))*(A158&lt;=_xlfn.ANCHORARRAY(Sintesi!$C$10)),0)),0)-_xlfn.IFNA(INDEX(_xlfn.ANCHORARRAY(Sintesi!$C$17),1,MATCH(1,(_xlfn.ANCHORARRAY(Sintesi!$C$9)&gt;_xlfn.ANCHORARRAY(Sintesi!$C$10))*(A158&gt;=_xlfn.ANCHORARRAY(Sintesi!$C$9))+(_xlfn.ANCHORARRAY(Sintesi!$C$9)&gt;_xlfn.ANCHORARRAY(Sintesi!$C$10))*(A158&lt;=_xlfn.ANCHORARRAY(Sintesi!$C$10))+(_xlfn.ANCHORARRAY(Sintesi!$C$9)&lt;_xlfn.ANCHORARRAY(Sintesi!$C$10))*(A158&gt;=_xlfn.ANCHORARRAY(Sintesi!$C$9))*(A158&lt;=_xlfn.ANCHORARRAY(Sintesi!$C$10)),0)),0)))),0)</f>
        <v>0</v>
      </c>
    </row>
    <row r="160" spans="1:13">
      <c r="A160" s="1">
        <f>'Paste cell here'!A160</f>
        <v>159</v>
      </c>
      <c r="B160" s="2">
        <f>DATE(Sintesi!$C$4-1,12,31)+A160</f>
        <v>44355</v>
      </c>
      <c r="C160" s="34">
        <f t="array" ref="C160">_xlfn.IFNA(MATCH(1,((_xlfn.ANCHORARRAY(Sintesi!$C$9)&gt;_xlfn.ANCHORARRAY(Sintesi!$C$10))*(A160&gt;=_xlfn.ANCHORARRAY(Sintesi!$C$9))+(_xlfn.ANCHORARRAY(Sintesi!$C$9)&gt;_xlfn.ANCHORARRAY(Sintesi!$C$10))*(A160&lt;=_xlfn.ANCHORARRAY(Sintesi!$C$10))+(_xlfn.ANCHORARRAY(Sintesi!$C$9)&lt;_xlfn.ANCHORARRAY(Sintesi!$C$10))*(A160&gt;=_xlfn.ANCHORARRAY(Sintesi!$C$9))*(A160&lt;=_xlfn.ANCHORARRAY(Sintesi!$C$10)))*(_xlfn.ANCHORARRAY(Sintesi!$C$15)&gt;=0)+(_xlfn.ANCHORARRAY(Sintesi!$C$15)&lt;0),0),0)</f>
        <v>1</v>
      </c>
      <c r="D160" s="1">
        <f t="array" ref="D160">IF(ISBLANK($E161),IF(ISNUMBER($E159),IF($C160&gt;0,IF(($E160=INDEX(_xlfn.ANCHORARRAY(Sintesi!$C$14),1,$C160))*(INDEX(_xlfn.ANCHORARRAY(Sintesi!$C$15),1,$C160)&gt;0),0,IF(($E160=INDEX(_xlfn.ANCHORARRAY(Sintesi!$C$14),1,$C160))*(INDEX(_xlfn.ANCHORARRAY(Sintesi!$C$15),1,$C160)&lt;0)+($E160&gt;=$E159)*($E160&lt;=INDEX($E:$E,MATCH(TRUE,INDEX((ISNUMBER($E:$E)),0),0)))*($E160&gt;INDEX(_xlfn.ANCHORARRAY(Sintesi!$C$14),1,$C160))*($E160&lt;=INDEX(_xlfn.ANCHORARRAY(Sintesi!$C$15),1,$C160))*(INDEX(_xlfn.ANCHORARRAY(Sintesi!$C$15),1,$C160)&gt;0),1,IF(($E160&gt;=$E159)*($E160&lt;=INDEX($E:$E,MATCH(TRUE,INDEX((ISNUMBER($E:$E)),0),0)))*($E160&gt;INDEX(_xlfn.ANCHORARRAY(Sintesi!$C$14),1,$C160))*($E160&lt;INDEX(_xlfn.ANCHORARRAY(Sintesi!$C$16),1,$C160))*(INDEX(_xlfn.ANCHORARRAY(Sintesi!$C$15),1,$C160)&lt;0)+($E160&gt;=$E159)*($E160&lt;=INDEX($E:$E,MATCH(TRUE,INDEX((ISNUMBER($E:$E)),0),0)))*($E160&gt;INDEX(_xlfn.ANCHORARRAY(Sintesi!$C$15),1,$C160))*($E160&lt;INDEX(_xlfn.ANCHORARRAY(Sintesi!$C$16),1,$C160))*(INDEX(_xlfn.ANCHORARRAY(Sintesi!$C$15),1,$C160)&gt;0),2,IF($E160=(INDEX(_xlfn.ANCHORARRAY(Sintesi!$C$16),1,$C160)),3,4)))),0),IF($C160&gt;0,IF(($E160=INDEX(_xlfn.ANCHORARRAY(Sintesi!$C$14),1,$C160))*(INDEX(_xlfn.ANCHORARRAY(Sintesi!$C$15),1,$C160)&gt;0),0,IF(($E160=INDEX(_xlfn.ANCHORARRAY(Sintesi!$C$14),1,$C160))*(INDEX(_xlfn.ANCHORARRAY(Sintesi!$C$15),1,$C160)&lt;0)+($E160&gt;=LOOKUP(2,1/($E:$E&lt;&gt;""),$E:$E))*($E160&lt;=INDEX($E:$E,MATCH(TRUE,INDEX((ISNUMBER($E:$E)),0),0)))*($E160&gt;INDEX(_xlfn.ANCHORARRAY(Sintesi!$C$14),1,$C160))*($E160&lt;=INDEX(_xlfn.ANCHORARRAY(Sintesi!$C$15),1,$C160))*(INDEX(_xlfn.ANCHORARRAY(Sintesi!$C$15),1,$C160)&gt;0),1,IF(($E160&gt;=LOOKUP(2,1/($E:$E&lt;&gt;""),$E:$E))*($E160&lt;=INDEX($E:$E,MATCH(TRUE,INDEX((ISNUMBER($E:$E)),0),0)))*($E160&gt;INDEX(_xlfn.ANCHORARRAY(Sintesi!$C$14),1,$C160))*($E160&lt;INDEX(_xlfn.ANCHORARRAY(Sintesi!$C$16),1,$C160))*(INDEX(_xlfn.ANCHORARRAY(Sintesi!$C$15),1,$C160)&lt;0)+($E160&gt;=LOOKUP(2,1/($E:$E&lt;&gt;""),$E:$E))*($E160&lt;=INDEX($E:$E,MATCH(TRUE,INDEX((ISNUMBER($E:$E)),0),0)))*($E160&gt;INDEX(_xlfn.ANCHORARRAY(Sintesi!$C$15),1,$C160))*($E160&lt;INDEX(_xlfn.ANCHORARRAY(Sintesi!$C$16),1,$C160))*(INDEX(_xlfn.ANCHORARRAY(Sintesi!$C$15),1,$C160)&gt;0),2,IF($E160=(INDEX(_xlfn.ANCHORARRAY(Sintesi!$C$16),1,$C160)),3,4)))),0)),IF(ISNUMBER($E159),IF($C160&gt;0,IF(($E160=INDEX(_xlfn.ANCHORARRAY(Sintesi!$C$14),1,$C160))*(INDEX(_xlfn.ANCHORARRAY(Sintesi!$C$15),1,$C160)&gt;0),0,IF(($E160=INDEX(_xlfn.ANCHORARRAY(Sintesi!$C$14),1,$C160))*(INDEX(_xlfn.ANCHORARRAY(Sintesi!$C$15),1,$C160)&lt;0)+($E160&gt;=$E159)*($E160&lt;=$E161)*($E160&gt;INDEX(_xlfn.ANCHORARRAY(Sintesi!$C$14),1,$C160))*($E160&lt;=INDEX(_xlfn.ANCHORARRAY(Sintesi!$C$15),1,$C160))*(INDEX(_xlfn.ANCHORARRAY(Sintesi!$C$15),1,$C160)&gt;0),1,IF(($E160&gt;=$E159)*($E160&lt;=$E161)*($E160&gt;INDEX(_xlfn.ANCHORARRAY(Sintesi!$C$14),1,$C160))*($E160&lt;INDEX(_xlfn.ANCHORARRAY(Sintesi!$C$16),1,$C160))*(INDEX(_xlfn.ANCHORARRAY(Sintesi!$C$15),1,$C160)&lt;0)+($E160&gt;=$E159)*($E160&lt;=$E161)*($E160&gt;INDEX(_xlfn.ANCHORARRAY(Sintesi!$C$15),1,$C160))*($E160&lt;INDEX(_xlfn.ANCHORARRAY(Sintesi!$C$16),1,$C160))*(INDEX(_xlfn.ANCHORARRAY(Sintesi!$C$15),1,$C160)&gt;0),2,IF($E160=(INDEX(_xlfn.ANCHORARRAY(Sintesi!$C$16),1,$C160)),3,4)))),0),IF($C160&gt;0,IF(($E160=INDEX(_xlfn.ANCHORARRAY(Sintesi!$C$14),1,$C160))*(INDEX(_xlfn.ANCHORARRAY(Sintesi!$C$15),1,$C160)&gt;0),0,IF(($E160=INDEX(_xlfn.ANCHORARRAY(Sintesi!$C$14),1,$C160))*(INDEX(_xlfn.ANCHORARRAY(Sintesi!$C$15),1,$C160)&lt;0)+($E160&gt;=LOOKUP(2,1/($E:$E&lt;&gt;""),$E:$E))*($E160&lt;=$E161)*($E160&gt;INDEX(_xlfn.ANCHORARRAY(Sintesi!$C$14),1,$C160))*($E160&lt;=INDEX(_xlfn.ANCHORARRAY(Sintesi!$C$15),1,$C160))*(INDEX(_xlfn.ANCHORARRAY(Sintesi!$C$15),1,$C160)&gt;0),1,IF(($E160&gt;=LOOKUP(2,1/($E:$E&lt;&gt;""),$E:$E))*($E160&lt;=$E161)*($E160&gt;INDEX(_xlfn.ANCHORARRAY(Sintesi!$C$14),1,$C160))*($E160&lt;INDEX(_xlfn.ANCHORARRAY(Sintesi!$C$16),1,$C160))*(INDEX(_xlfn.ANCHORARRAY(Sintesi!$C$15),1,$C160)&lt;0)+($E160&gt;=LOOKUP(2,1/($E:$E&lt;&gt;""),$E:$E))*($E160&lt;=$E161)*($E160&gt;INDEX(_xlfn.ANCHORARRAY(Sintesi!$C$15),1,$C160))*($E160&lt;INDEX(_xlfn.ANCHORARRAY(Sintesi!$C$16),1,$C160))*(INDEX(_xlfn.ANCHORARRAY(Sintesi!$C$15),1,$C160)&gt;0),2,IF($E160=(INDEX(_xlfn.ANCHORARRAY(Sintesi!$C$16),1,$C160)),3,4)))),0)))</f>
        <v>2</v>
      </c>
      <c r="E160" s="1">
        <f>'Paste cell here'!F160</f>
        <v>0.67100000000000004</v>
      </c>
      <c r="F160" s="1">
        <f>'Paste cell here'!C160</f>
        <v>27.759999999999593</v>
      </c>
      <c r="G160" s="1">
        <f>'Paste cell here'!D160</f>
        <v>17.699999999999754</v>
      </c>
      <c r="H160" s="1">
        <f>'Paste cell here'!E160</f>
        <v>3.9058429670606456</v>
      </c>
      <c r="I160" s="1">
        <f>'Paste cell here'!X160</f>
        <v>2.6205864008689268</v>
      </c>
      <c r="J160" s="1">
        <f>'Paste cell here'!Y160+'Paste cell here'!S160</f>
        <v>2.6205864008689268</v>
      </c>
      <c r="K160" s="1">
        <f t="shared" si="4"/>
        <v>0.67094003086382592</v>
      </c>
      <c r="L160" s="1">
        <f t="shared" si="5"/>
        <v>23.860407841485948</v>
      </c>
      <c r="M160" s="1">
        <f t="array" ref="M160">IF(AND(A160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160&gt;=_xlfn.ANCHORARRAY(Sintesi!$C$9))+(_xlfn.ANCHORARRAY(Sintesi!$C$9)&gt;_xlfn.ANCHORARRAY(Sintesi!$C$10))*(A160&lt;=_xlfn.ANCHORARRAY(Sintesi!$C$10))+(_xlfn.ANCHORARRAY(Sintesi!$C$9)&lt;_xlfn.ANCHORARRAY(Sintesi!$C$10))*(A160&gt;=_xlfn.ANCHORARRAY(Sintesi!$C$9))*(A160&lt;=_xlfn.ANCHORARRAY(Sintesi!$C$10)),0)),0),A160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161&gt;=_xlfn.ANCHORARRAY(Sintesi!$C$9))+(_xlfn.ANCHORARRAY(Sintesi!$C$9)&gt;_xlfn.ANCHORARRAY(Sintesi!$C$10))*(A161&lt;=_xlfn.ANCHORARRAY(Sintesi!$C$10))+(_xlfn.ANCHORARRAY(Sintesi!$C$9)&lt;_xlfn.ANCHORARRAY(Sintesi!$C$10))*(A161&gt;=_xlfn.ANCHORARRAY(Sintesi!$C$9))*(A161&lt;=_xlfn.ANCHORARRAY(Sintesi!$C$10)),0)),0)),IF(L160&lt;_xlfn.IFNA(INDEX(_xlfn.ANCHORARRAY(Sintesi!$C$17),1,MATCH(1,(_xlfn.ANCHORARRAY(Sintesi!$C$9)&gt;_xlfn.ANCHORARRAY(Sintesi!$C$10))*(A159&gt;=_xlfn.ANCHORARRAY(Sintesi!$C$9))+(_xlfn.ANCHORARRAY(Sintesi!$C$9)&gt;_xlfn.ANCHORARRAY(Sintesi!$C$10))*(A159&lt;=_xlfn.ANCHORARRAY(Sintesi!$C$10))+(_xlfn.ANCHORARRAY(Sintesi!$C$9)&lt;_xlfn.ANCHORARRAY(Sintesi!$C$10))*(A159&gt;=_xlfn.ANCHORARRAY(Sintesi!$C$9))*(A159&lt;=_xlfn.ANCHORARRAY(Sintesi!$C$10)),0)),0),1,IF(L160&gt;=_xlfn.IFNA(INDEX(_xlfn.ANCHORARRAY(Sintesi!$C$18),1,MATCH(1,(_xlfn.ANCHORARRAY(Sintesi!$C$9)&gt;_xlfn.ANCHORARRAY(Sintesi!$C$10))*(A159&gt;=_xlfn.ANCHORARRAY(Sintesi!$C$9))+(_xlfn.ANCHORARRAY(Sintesi!$C$9)&gt;_xlfn.ANCHORARRAY(Sintesi!$C$10))*(A159&lt;=_xlfn.ANCHORARRAY(Sintesi!$C$10))+(_xlfn.ANCHORARRAY(Sintesi!$C$9)&lt;_xlfn.ANCHORARRAY(Sintesi!$C$10))*(A159&gt;=_xlfn.ANCHORARRAY(Sintesi!$C$9))*(A159&lt;=_xlfn.ANCHORARRAY(Sintesi!$C$10)),0)),0),0,1-(L160-_xlfn.IFNA(INDEX(_xlfn.ANCHORARRAY(Sintesi!$C$17),1,MATCH(1,(_xlfn.ANCHORARRAY(Sintesi!$C$9)&gt;_xlfn.ANCHORARRAY(Sintesi!$C$10))*(A159&gt;=_xlfn.ANCHORARRAY(Sintesi!$C$9))+(_xlfn.ANCHORARRAY(Sintesi!$C$9)&gt;_xlfn.ANCHORARRAY(Sintesi!$C$10))*(A159&lt;=_xlfn.ANCHORARRAY(Sintesi!$C$10))+(_xlfn.ANCHORARRAY(Sintesi!$C$9)&lt;_xlfn.ANCHORARRAY(Sintesi!$C$10))*(A159&gt;=_xlfn.ANCHORARRAY(Sintesi!$C$9))*(A159&lt;=_xlfn.ANCHORARRAY(Sintesi!$C$10)),0)),0))/(_xlfn.IFNA(INDEX(_xlfn.ANCHORARRAY(Sintesi!$C$18),1,MATCH(1,(_xlfn.ANCHORARRAY(Sintesi!$C$9)&gt;_xlfn.ANCHORARRAY(Sintesi!$C$10))*(A159&gt;=_xlfn.ANCHORARRAY(Sintesi!$C$9))+(_xlfn.ANCHORARRAY(Sintesi!$C$9)&gt;_xlfn.ANCHORARRAY(Sintesi!$C$10))*(A159&lt;=_xlfn.ANCHORARRAY(Sintesi!$C$10))+(_xlfn.ANCHORARRAY(Sintesi!$C$9)&lt;_xlfn.ANCHORARRAY(Sintesi!$C$10))*(A159&gt;=_xlfn.ANCHORARRAY(Sintesi!$C$9))*(A159&lt;=_xlfn.ANCHORARRAY(Sintesi!$C$10)),0)),0)-_xlfn.IFNA(INDEX(_xlfn.ANCHORARRAY(Sintesi!$C$17),1,MATCH(1,(_xlfn.ANCHORARRAY(Sintesi!$C$9)&gt;_xlfn.ANCHORARRAY(Sintesi!$C$10))*(A159&gt;=_xlfn.ANCHORARRAY(Sintesi!$C$9))+(_xlfn.ANCHORARRAY(Sintesi!$C$9)&gt;_xlfn.ANCHORARRAY(Sintesi!$C$10))*(A159&lt;=_xlfn.ANCHORARRAY(Sintesi!$C$10))+(_xlfn.ANCHORARRAY(Sintesi!$C$9)&lt;_xlfn.ANCHORARRAY(Sintesi!$C$10))*(A159&gt;=_xlfn.ANCHORARRAY(Sintesi!$C$9))*(A159&lt;=_xlfn.ANCHORARRAY(Sintesi!$C$10)),0)),0)))),0)</f>
        <v>0</v>
      </c>
    </row>
    <row r="161" spans="1:13">
      <c r="A161" s="1">
        <f>'Paste cell here'!A161</f>
        <v>160</v>
      </c>
      <c r="B161" s="2">
        <f>DATE(Sintesi!$C$4-1,12,31)+A161</f>
        <v>44356</v>
      </c>
      <c r="C161" s="34">
        <f t="array" ref="C161">_xlfn.IFNA(MATCH(1,((_xlfn.ANCHORARRAY(Sintesi!$C$9)&gt;_xlfn.ANCHORARRAY(Sintesi!$C$10))*(A161&gt;=_xlfn.ANCHORARRAY(Sintesi!$C$9))+(_xlfn.ANCHORARRAY(Sintesi!$C$9)&gt;_xlfn.ANCHORARRAY(Sintesi!$C$10))*(A161&lt;=_xlfn.ANCHORARRAY(Sintesi!$C$10))+(_xlfn.ANCHORARRAY(Sintesi!$C$9)&lt;_xlfn.ANCHORARRAY(Sintesi!$C$10))*(A161&gt;=_xlfn.ANCHORARRAY(Sintesi!$C$9))*(A161&lt;=_xlfn.ANCHORARRAY(Sintesi!$C$10)))*(_xlfn.ANCHORARRAY(Sintesi!$C$15)&gt;=0)+(_xlfn.ANCHORARRAY(Sintesi!$C$15)&lt;0),0),0)</f>
        <v>1</v>
      </c>
      <c r="D161" s="1">
        <f t="array" ref="D161">IF(ISBLANK($E162),IF(ISNUMBER($E160),IF($C161&gt;0,IF(($E161=INDEX(_xlfn.ANCHORARRAY(Sintesi!$C$14),1,$C161))*(INDEX(_xlfn.ANCHORARRAY(Sintesi!$C$15),1,$C161)&gt;0),0,IF(($E161=INDEX(_xlfn.ANCHORARRAY(Sintesi!$C$14),1,$C161))*(INDEX(_xlfn.ANCHORARRAY(Sintesi!$C$15),1,$C161)&lt;0)+($E161&gt;=$E160)*($E161&lt;=INDEX($E:$E,MATCH(TRUE,INDEX((ISNUMBER($E:$E)),0),0)))*($E161&gt;INDEX(_xlfn.ANCHORARRAY(Sintesi!$C$14),1,$C161))*($E161&lt;=INDEX(_xlfn.ANCHORARRAY(Sintesi!$C$15),1,$C161))*(INDEX(_xlfn.ANCHORARRAY(Sintesi!$C$15),1,$C161)&gt;0),1,IF(($E161&gt;=$E160)*($E161&lt;=INDEX($E:$E,MATCH(TRUE,INDEX((ISNUMBER($E:$E)),0),0)))*($E161&gt;INDEX(_xlfn.ANCHORARRAY(Sintesi!$C$14),1,$C161))*($E161&lt;INDEX(_xlfn.ANCHORARRAY(Sintesi!$C$16),1,$C161))*(INDEX(_xlfn.ANCHORARRAY(Sintesi!$C$15),1,$C161)&lt;0)+($E161&gt;=$E160)*($E161&lt;=INDEX($E:$E,MATCH(TRUE,INDEX((ISNUMBER($E:$E)),0),0)))*($E161&gt;INDEX(_xlfn.ANCHORARRAY(Sintesi!$C$15),1,$C161))*($E161&lt;INDEX(_xlfn.ANCHORARRAY(Sintesi!$C$16),1,$C161))*(INDEX(_xlfn.ANCHORARRAY(Sintesi!$C$15),1,$C161)&gt;0),2,IF($E161=(INDEX(_xlfn.ANCHORARRAY(Sintesi!$C$16),1,$C161)),3,4)))),0),IF($C161&gt;0,IF(($E161=INDEX(_xlfn.ANCHORARRAY(Sintesi!$C$14),1,$C161))*(INDEX(_xlfn.ANCHORARRAY(Sintesi!$C$15),1,$C161)&gt;0),0,IF(($E161=INDEX(_xlfn.ANCHORARRAY(Sintesi!$C$14),1,$C161))*(INDEX(_xlfn.ANCHORARRAY(Sintesi!$C$15),1,$C161)&lt;0)+($E161&gt;=LOOKUP(2,1/($E:$E&lt;&gt;""),$E:$E))*($E161&lt;=INDEX($E:$E,MATCH(TRUE,INDEX((ISNUMBER($E:$E)),0),0)))*($E161&gt;INDEX(_xlfn.ANCHORARRAY(Sintesi!$C$14),1,$C161))*($E161&lt;=INDEX(_xlfn.ANCHORARRAY(Sintesi!$C$15),1,$C161))*(INDEX(_xlfn.ANCHORARRAY(Sintesi!$C$15),1,$C161)&gt;0),1,IF(($E161&gt;=LOOKUP(2,1/($E:$E&lt;&gt;""),$E:$E))*($E161&lt;=INDEX($E:$E,MATCH(TRUE,INDEX((ISNUMBER($E:$E)),0),0)))*($E161&gt;INDEX(_xlfn.ANCHORARRAY(Sintesi!$C$14),1,$C161))*($E161&lt;INDEX(_xlfn.ANCHORARRAY(Sintesi!$C$16),1,$C161))*(INDEX(_xlfn.ANCHORARRAY(Sintesi!$C$15),1,$C161)&lt;0)+($E161&gt;=LOOKUP(2,1/($E:$E&lt;&gt;""),$E:$E))*($E161&lt;=INDEX($E:$E,MATCH(TRUE,INDEX((ISNUMBER($E:$E)),0),0)))*($E161&gt;INDEX(_xlfn.ANCHORARRAY(Sintesi!$C$15),1,$C161))*($E161&lt;INDEX(_xlfn.ANCHORARRAY(Sintesi!$C$16),1,$C161))*(INDEX(_xlfn.ANCHORARRAY(Sintesi!$C$15),1,$C161)&gt;0),2,IF($E161=(INDEX(_xlfn.ANCHORARRAY(Sintesi!$C$16),1,$C161)),3,4)))),0)),IF(ISNUMBER($E160),IF($C161&gt;0,IF(($E161=INDEX(_xlfn.ANCHORARRAY(Sintesi!$C$14),1,$C161))*(INDEX(_xlfn.ANCHORARRAY(Sintesi!$C$15),1,$C161)&gt;0),0,IF(($E161=INDEX(_xlfn.ANCHORARRAY(Sintesi!$C$14),1,$C161))*(INDEX(_xlfn.ANCHORARRAY(Sintesi!$C$15),1,$C161)&lt;0)+($E161&gt;=$E160)*($E161&lt;=$E162)*($E161&gt;INDEX(_xlfn.ANCHORARRAY(Sintesi!$C$14),1,$C161))*($E161&lt;=INDEX(_xlfn.ANCHORARRAY(Sintesi!$C$15),1,$C161))*(INDEX(_xlfn.ANCHORARRAY(Sintesi!$C$15),1,$C161)&gt;0),1,IF(($E161&gt;=$E160)*($E161&lt;=$E162)*($E161&gt;INDEX(_xlfn.ANCHORARRAY(Sintesi!$C$14),1,$C161))*($E161&lt;INDEX(_xlfn.ANCHORARRAY(Sintesi!$C$16),1,$C161))*(INDEX(_xlfn.ANCHORARRAY(Sintesi!$C$15),1,$C161)&lt;0)+($E161&gt;=$E160)*($E161&lt;=$E162)*($E161&gt;INDEX(_xlfn.ANCHORARRAY(Sintesi!$C$15),1,$C161))*($E161&lt;INDEX(_xlfn.ANCHORARRAY(Sintesi!$C$16),1,$C161))*(INDEX(_xlfn.ANCHORARRAY(Sintesi!$C$15),1,$C161)&gt;0),2,IF($E161=(INDEX(_xlfn.ANCHORARRAY(Sintesi!$C$16),1,$C161)),3,4)))),0),IF($C161&gt;0,IF(($E161=INDEX(_xlfn.ANCHORARRAY(Sintesi!$C$14),1,$C161))*(INDEX(_xlfn.ANCHORARRAY(Sintesi!$C$15),1,$C161)&gt;0),0,IF(($E161=INDEX(_xlfn.ANCHORARRAY(Sintesi!$C$14),1,$C161))*(INDEX(_xlfn.ANCHORARRAY(Sintesi!$C$15),1,$C161)&lt;0)+($E161&gt;=LOOKUP(2,1/($E:$E&lt;&gt;""),$E:$E))*($E161&lt;=$E162)*($E161&gt;INDEX(_xlfn.ANCHORARRAY(Sintesi!$C$14),1,$C161))*($E161&lt;=INDEX(_xlfn.ANCHORARRAY(Sintesi!$C$15),1,$C161))*(INDEX(_xlfn.ANCHORARRAY(Sintesi!$C$15),1,$C161)&gt;0),1,IF(($E161&gt;=LOOKUP(2,1/($E:$E&lt;&gt;""),$E:$E))*($E161&lt;=$E162)*($E161&gt;INDEX(_xlfn.ANCHORARRAY(Sintesi!$C$14),1,$C161))*($E161&lt;INDEX(_xlfn.ANCHORARRAY(Sintesi!$C$16),1,$C161))*(INDEX(_xlfn.ANCHORARRAY(Sintesi!$C$15),1,$C161)&lt;0)+($E161&gt;=LOOKUP(2,1/($E:$E&lt;&gt;""),$E:$E))*($E161&lt;=$E162)*($E161&gt;INDEX(_xlfn.ANCHORARRAY(Sintesi!$C$15),1,$C161))*($E161&lt;INDEX(_xlfn.ANCHORARRAY(Sintesi!$C$16),1,$C161))*(INDEX(_xlfn.ANCHORARRAY(Sintesi!$C$15),1,$C161)&gt;0),2,IF($E161=(INDEX(_xlfn.ANCHORARRAY(Sintesi!$C$16),1,$C161)),3,4)))),0)))</f>
        <v>2</v>
      </c>
      <c r="E161" s="1">
        <f>'Paste cell here'!F161</f>
        <v>0.69199999999999995</v>
      </c>
      <c r="F161" s="1">
        <f>'Paste cell here'!C161</f>
        <v>30.699999999999562</v>
      </c>
      <c r="G161" s="1">
        <f>'Paste cell here'!D161</f>
        <v>15.539999999999791</v>
      </c>
      <c r="H161" s="1">
        <f>'Paste cell here'!E161</f>
        <v>5.3551634926798029</v>
      </c>
      <c r="I161" s="1">
        <f>'Paste cell here'!X161</f>
        <v>3.7054365335211816</v>
      </c>
      <c r="J161" s="1">
        <f>'Paste cell here'!Y161+'Paste cell here'!S161</f>
        <v>3.7054365335211816</v>
      </c>
      <c r="K161" s="1">
        <f t="shared" si="4"/>
        <v>0.69193714413879204</v>
      </c>
      <c r="L161" s="1">
        <f t="shared" si="5"/>
        <v>24.823477423153946</v>
      </c>
      <c r="M161" s="1">
        <f t="array" ref="M161">IF(AND(A161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161&gt;=_xlfn.ANCHORARRAY(Sintesi!$C$9))+(_xlfn.ANCHORARRAY(Sintesi!$C$9)&gt;_xlfn.ANCHORARRAY(Sintesi!$C$10))*(A161&lt;=_xlfn.ANCHORARRAY(Sintesi!$C$10))+(_xlfn.ANCHORARRAY(Sintesi!$C$9)&lt;_xlfn.ANCHORARRAY(Sintesi!$C$10))*(A161&gt;=_xlfn.ANCHORARRAY(Sintesi!$C$9))*(A161&lt;=_xlfn.ANCHORARRAY(Sintesi!$C$10)),0)),0),A161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162&gt;=_xlfn.ANCHORARRAY(Sintesi!$C$9))+(_xlfn.ANCHORARRAY(Sintesi!$C$9)&gt;_xlfn.ANCHORARRAY(Sintesi!$C$10))*(A162&lt;=_xlfn.ANCHORARRAY(Sintesi!$C$10))+(_xlfn.ANCHORARRAY(Sintesi!$C$9)&lt;_xlfn.ANCHORARRAY(Sintesi!$C$10))*(A162&gt;=_xlfn.ANCHORARRAY(Sintesi!$C$9))*(A162&lt;=_xlfn.ANCHORARRAY(Sintesi!$C$10)),0)),0)),IF(L161&lt;_xlfn.IFNA(INDEX(_xlfn.ANCHORARRAY(Sintesi!$C$17),1,MATCH(1,(_xlfn.ANCHORARRAY(Sintesi!$C$9)&gt;_xlfn.ANCHORARRAY(Sintesi!$C$10))*(A160&gt;=_xlfn.ANCHORARRAY(Sintesi!$C$9))+(_xlfn.ANCHORARRAY(Sintesi!$C$9)&gt;_xlfn.ANCHORARRAY(Sintesi!$C$10))*(A160&lt;=_xlfn.ANCHORARRAY(Sintesi!$C$10))+(_xlfn.ANCHORARRAY(Sintesi!$C$9)&lt;_xlfn.ANCHORARRAY(Sintesi!$C$10))*(A160&gt;=_xlfn.ANCHORARRAY(Sintesi!$C$9))*(A160&lt;=_xlfn.ANCHORARRAY(Sintesi!$C$10)),0)),0),1,IF(L161&gt;=_xlfn.IFNA(INDEX(_xlfn.ANCHORARRAY(Sintesi!$C$18),1,MATCH(1,(_xlfn.ANCHORARRAY(Sintesi!$C$9)&gt;_xlfn.ANCHORARRAY(Sintesi!$C$10))*(A160&gt;=_xlfn.ANCHORARRAY(Sintesi!$C$9))+(_xlfn.ANCHORARRAY(Sintesi!$C$9)&gt;_xlfn.ANCHORARRAY(Sintesi!$C$10))*(A160&lt;=_xlfn.ANCHORARRAY(Sintesi!$C$10))+(_xlfn.ANCHORARRAY(Sintesi!$C$9)&lt;_xlfn.ANCHORARRAY(Sintesi!$C$10))*(A160&gt;=_xlfn.ANCHORARRAY(Sintesi!$C$9))*(A160&lt;=_xlfn.ANCHORARRAY(Sintesi!$C$10)),0)),0),0,1-(L161-_xlfn.IFNA(INDEX(_xlfn.ANCHORARRAY(Sintesi!$C$17),1,MATCH(1,(_xlfn.ANCHORARRAY(Sintesi!$C$9)&gt;_xlfn.ANCHORARRAY(Sintesi!$C$10))*(A160&gt;=_xlfn.ANCHORARRAY(Sintesi!$C$9))+(_xlfn.ANCHORARRAY(Sintesi!$C$9)&gt;_xlfn.ANCHORARRAY(Sintesi!$C$10))*(A160&lt;=_xlfn.ANCHORARRAY(Sintesi!$C$10))+(_xlfn.ANCHORARRAY(Sintesi!$C$9)&lt;_xlfn.ANCHORARRAY(Sintesi!$C$10))*(A160&gt;=_xlfn.ANCHORARRAY(Sintesi!$C$9))*(A160&lt;=_xlfn.ANCHORARRAY(Sintesi!$C$10)),0)),0))/(_xlfn.IFNA(INDEX(_xlfn.ANCHORARRAY(Sintesi!$C$18),1,MATCH(1,(_xlfn.ANCHORARRAY(Sintesi!$C$9)&gt;_xlfn.ANCHORARRAY(Sintesi!$C$10))*(A160&gt;=_xlfn.ANCHORARRAY(Sintesi!$C$9))+(_xlfn.ANCHORARRAY(Sintesi!$C$9)&gt;_xlfn.ANCHORARRAY(Sintesi!$C$10))*(A160&lt;=_xlfn.ANCHORARRAY(Sintesi!$C$10))+(_xlfn.ANCHORARRAY(Sintesi!$C$9)&lt;_xlfn.ANCHORARRAY(Sintesi!$C$10))*(A160&gt;=_xlfn.ANCHORARRAY(Sintesi!$C$9))*(A160&lt;=_xlfn.ANCHORARRAY(Sintesi!$C$10)),0)),0)-_xlfn.IFNA(INDEX(_xlfn.ANCHORARRAY(Sintesi!$C$17),1,MATCH(1,(_xlfn.ANCHORARRAY(Sintesi!$C$9)&gt;_xlfn.ANCHORARRAY(Sintesi!$C$10))*(A160&gt;=_xlfn.ANCHORARRAY(Sintesi!$C$9))+(_xlfn.ANCHORARRAY(Sintesi!$C$9)&gt;_xlfn.ANCHORARRAY(Sintesi!$C$10))*(A160&lt;=_xlfn.ANCHORARRAY(Sintesi!$C$10))+(_xlfn.ANCHORARRAY(Sintesi!$C$9)&lt;_xlfn.ANCHORARRAY(Sintesi!$C$10))*(A160&gt;=_xlfn.ANCHORARRAY(Sintesi!$C$9))*(A160&lt;=_xlfn.ANCHORARRAY(Sintesi!$C$10)),0)),0)))),0)</f>
        <v>0</v>
      </c>
    </row>
    <row r="162" spans="1:13">
      <c r="A162" s="1">
        <f>'Paste cell here'!A162</f>
        <v>161</v>
      </c>
      <c r="B162" s="2">
        <f>DATE(Sintesi!$C$4-1,12,31)+A162</f>
        <v>44357</v>
      </c>
      <c r="C162" s="34">
        <f t="array" ref="C162">_xlfn.IFNA(MATCH(1,((_xlfn.ANCHORARRAY(Sintesi!$C$9)&gt;_xlfn.ANCHORARRAY(Sintesi!$C$10))*(A162&gt;=_xlfn.ANCHORARRAY(Sintesi!$C$9))+(_xlfn.ANCHORARRAY(Sintesi!$C$9)&gt;_xlfn.ANCHORARRAY(Sintesi!$C$10))*(A162&lt;=_xlfn.ANCHORARRAY(Sintesi!$C$10))+(_xlfn.ANCHORARRAY(Sintesi!$C$9)&lt;_xlfn.ANCHORARRAY(Sintesi!$C$10))*(A162&gt;=_xlfn.ANCHORARRAY(Sintesi!$C$9))*(A162&lt;=_xlfn.ANCHORARRAY(Sintesi!$C$10)))*(_xlfn.ANCHORARRAY(Sintesi!$C$15)&gt;=0)+(_xlfn.ANCHORARRAY(Sintesi!$C$15)&lt;0),0),0)</f>
        <v>1</v>
      </c>
      <c r="D162" s="1">
        <f t="array" ref="D162">IF(ISBLANK($E163),IF(ISNUMBER($E161),IF($C162&gt;0,IF(($E162=INDEX(_xlfn.ANCHORARRAY(Sintesi!$C$14),1,$C162))*(INDEX(_xlfn.ANCHORARRAY(Sintesi!$C$15),1,$C162)&gt;0),0,IF(($E162=INDEX(_xlfn.ANCHORARRAY(Sintesi!$C$14),1,$C162))*(INDEX(_xlfn.ANCHORARRAY(Sintesi!$C$15),1,$C162)&lt;0)+($E162&gt;=$E161)*($E162&lt;=INDEX($E:$E,MATCH(TRUE,INDEX((ISNUMBER($E:$E)),0),0)))*($E162&gt;INDEX(_xlfn.ANCHORARRAY(Sintesi!$C$14),1,$C162))*($E162&lt;=INDEX(_xlfn.ANCHORARRAY(Sintesi!$C$15),1,$C162))*(INDEX(_xlfn.ANCHORARRAY(Sintesi!$C$15),1,$C162)&gt;0),1,IF(($E162&gt;=$E161)*($E162&lt;=INDEX($E:$E,MATCH(TRUE,INDEX((ISNUMBER($E:$E)),0),0)))*($E162&gt;INDEX(_xlfn.ANCHORARRAY(Sintesi!$C$14),1,$C162))*($E162&lt;INDEX(_xlfn.ANCHORARRAY(Sintesi!$C$16),1,$C162))*(INDEX(_xlfn.ANCHORARRAY(Sintesi!$C$15),1,$C162)&lt;0)+($E162&gt;=$E161)*($E162&lt;=INDEX($E:$E,MATCH(TRUE,INDEX((ISNUMBER($E:$E)),0),0)))*($E162&gt;INDEX(_xlfn.ANCHORARRAY(Sintesi!$C$15),1,$C162))*($E162&lt;INDEX(_xlfn.ANCHORARRAY(Sintesi!$C$16),1,$C162))*(INDEX(_xlfn.ANCHORARRAY(Sintesi!$C$15),1,$C162)&gt;0),2,IF($E162=(INDEX(_xlfn.ANCHORARRAY(Sintesi!$C$16),1,$C162)),3,4)))),0),IF($C162&gt;0,IF(($E162=INDEX(_xlfn.ANCHORARRAY(Sintesi!$C$14),1,$C162))*(INDEX(_xlfn.ANCHORARRAY(Sintesi!$C$15),1,$C162)&gt;0),0,IF(($E162=INDEX(_xlfn.ANCHORARRAY(Sintesi!$C$14),1,$C162))*(INDEX(_xlfn.ANCHORARRAY(Sintesi!$C$15),1,$C162)&lt;0)+($E162&gt;=LOOKUP(2,1/($E:$E&lt;&gt;""),$E:$E))*($E162&lt;=INDEX($E:$E,MATCH(TRUE,INDEX((ISNUMBER($E:$E)),0),0)))*($E162&gt;INDEX(_xlfn.ANCHORARRAY(Sintesi!$C$14),1,$C162))*($E162&lt;=INDEX(_xlfn.ANCHORARRAY(Sintesi!$C$15),1,$C162))*(INDEX(_xlfn.ANCHORARRAY(Sintesi!$C$15),1,$C162)&gt;0),1,IF(($E162&gt;=LOOKUP(2,1/($E:$E&lt;&gt;""),$E:$E))*($E162&lt;=INDEX($E:$E,MATCH(TRUE,INDEX((ISNUMBER($E:$E)),0),0)))*($E162&gt;INDEX(_xlfn.ANCHORARRAY(Sintesi!$C$14),1,$C162))*($E162&lt;INDEX(_xlfn.ANCHORARRAY(Sintesi!$C$16),1,$C162))*(INDEX(_xlfn.ANCHORARRAY(Sintesi!$C$15),1,$C162)&lt;0)+($E162&gt;=LOOKUP(2,1/($E:$E&lt;&gt;""),$E:$E))*($E162&lt;=INDEX($E:$E,MATCH(TRUE,INDEX((ISNUMBER($E:$E)),0),0)))*($E162&gt;INDEX(_xlfn.ANCHORARRAY(Sintesi!$C$15),1,$C162))*($E162&lt;INDEX(_xlfn.ANCHORARRAY(Sintesi!$C$16),1,$C162))*(INDEX(_xlfn.ANCHORARRAY(Sintesi!$C$15),1,$C162)&gt;0),2,IF($E162=(INDEX(_xlfn.ANCHORARRAY(Sintesi!$C$16),1,$C162)),3,4)))),0)),IF(ISNUMBER($E161),IF($C162&gt;0,IF(($E162=INDEX(_xlfn.ANCHORARRAY(Sintesi!$C$14),1,$C162))*(INDEX(_xlfn.ANCHORARRAY(Sintesi!$C$15),1,$C162)&gt;0),0,IF(($E162=INDEX(_xlfn.ANCHORARRAY(Sintesi!$C$14),1,$C162))*(INDEX(_xlfn.ANCHORARRAY(Sintesi!$C$15),1,$C162)&lt;0)+($E162&gt;=$E161)*($E162&lt;=$E163)*($E162&gt;INDEX(_xlfn.ANCHORARRAY(Sintesi!$C$14),1,$C162))*($E162&lt;=INDEX(_xlfn.ANCHORARRAY(Sintesi!$C$15),1,$C162))*(INDEX(_xlfn.ANCHORARRAY(Sintesi!$C$15),1,$C162)&gt;0),1,IF(($E162&gt;=$E161)*($E162&lt;=$E163)*($E162&gt;INDEX(_xlfn.ANCHORARRAY(Sintesi!$C$14),1,$C162))*($E162&lt;INDEX(_xlfn.ANCHORARRAY(Sintesi!$C$16),1,$C162))*(INDEX(_xlfn.ANCHORARRAY(Sintesi!$C$15),1,$C162)&lt;0)+($E162&gt;=$E161)*($E162&lt;=$E163)*($E162&gt;INDEX(_xlfn.ANCHORARRAY(Sintesi!$C$15),1,$C162))*($E162&lt;INDEX(_xlfn.ANCHORARRAY(Sintesi!$C$16),1,$C162))*(INDEX(_xlfn.ANCHORARRAY(Sintesi!$C$15),1,$C162)&gt;0),2,IF($E162=(INDEX(_xlfn.ANCHORARRAY(Sintesi!$C$16),1,$C162)),3,4)))),0),IF($C162&gt;0,IF(($E162=INDEX(_xlfn.ANCHORARRAY(Sintesi!$C$14),1,$C162))*(INDEX(_xlfn.ANCHORARRAY(Sintesi!$C$15),1,$C162)&gt;0),0,IF(($E162=INDEX(_xlfn.ANCHORARRAY(Sintesi!$C$14),1,$C162))*(INDEX(_xlfn.ANCHORARRAY(Sintesi!$C$15),1,$C162)&lt;0)+($E162&gt;=LOOKUP(2,1/($E:$E&lt;&gt;""),$E:$E))*($E162&lt;=$E163)*($E162&gt;INDEX(_xlfn.ANCHORARRAY(Sintesi!$C$14),1,$C162))*($E162&lt;=INDEX(_xlfn.ANCHORARRAY(Sintesi!$C$15),1,$C162))*(INDEX(_xlfn.ANCHORARRAY(Sintesi!$C$15),1,$C162)&gt;0),1,IF(($E162&gt;=LOOKUP(2,1/($E:$E&lt;&gt;""),$E:$E))*($E162&lt;=$E163)*($E162&gt;INDEX(_xlfn.ANCHORARRAY(Sintesi!$C$14),1,$C162))*($E162&lt;INDEX(_xlfn.ANCHORARRAY(Sintesi!$C$16),1,$C162))*(INDEX(_xlfn.ANCHORARRAY(Sintesi!$C$15),1,$C162)&lt;0)+($E162&gt;=LOOKUP(2,1/($E:$E&lt;&gt;""),$E:$E))*($E162&lt;=$E163)*($E162&gt;INDEX(_xlfn.ANCHORARRAY(Sintesi!$C$15),1,$C162))*($E162&lt;INDEX(_xlfn.ANCHORARRAY(Sintesi!$C$16),1,$C162))*(INDEX(_xlfn.ANCHORARRAY(Sintesi!$C$15),1,$C162)&gt;0),2,IF($E162=(INDEX(_xlfn.ANCHORARRAY(Sintesi!$C$16),1,$C162)),3,4)))),0)))</f>
        <v>2</v>
      </c>
      <c r="E162" s="1">
        <f>'Paste cell here'!F162</f>
        <v>0.71299999999999997</v>
      </c>
      <c r="F162" s="1">
        <f>'Paste cell here'!C162</f>
        <v>29.51999999999957</v>
      </c>
      <c r="G162" s="1">
        <f>'Paste cell here'!D162</f>
        <v>15.47999999999978</v>
      </c>
      <c r="H162" s="1">
        <f>'Paste cell here'!E162</f>
        <v>5.3829359290846588</v>
      </c>
      <c r="I162" s="1">
        <f>'Paste cell here'!X162</f>
        <v>3.8376794639759688</v>
      </c>
      <c r="J162" s="1">
        <f>'Paste cell here'!Y162+'Paste cell here'!S162</f>
        <v>3.8376794639759688</v>
      </c>
      <c r="K162" s="1">
        <f t="shared" si="4"/>
        <v>0.71293426385413938</v>
      </c>
      <c r="L162" s="1">
        <f t="shared" si="5"/>
        <v>24.077626848356267</v>
      </c>
      <c r="M162" s="1">
        <f t="array" ref="M162">IF(AND(A162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162&gt;=_xlfn.ANCHORARRAY(Sintesi!$C$9))+(_xlfn.ANCHORARRAY(Sintesi!$C$9)&gt;_xlfn.ANCHORARRAY(Sintesi!$C$10))*(A162&lt;=_xlfn.ANCHORARRAY(Sintesi!$C$10))+(_xlfn.ANCHORARRAY(Sintesi!$C$9)&lt;_xlfn.ANCHORARRAY(Sintesi!$C$10))*(A162&gt;=_xlfn.ANCHORARRAY(Sintesi!$C$9))*(A162&lt;=_xlfn.ANCHORARRAY(Sintesi!$C$10)),0)),0),A162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163&gt;=_xlfn.ANCHORARRAY(Sintesi!$C$9))+(_xlfn.ANCHORARRAY(Sintesi!$C$9)&gt;_xlfn.ANCHORARRAY(Sintesi!$C$10))*(A163&lt;=_xlfn.ANCHORARRAY(Sintesi!$C$10))+(_xlfn.ANCHORARRAY(Sintesi!$C$9)&lt;_xlfn.ANCHORARRAY(Sintesi!$C$10))*(A163&gt;=_xlfn.ANCHORARRAY(Sintesi!$C$9))*(A163&lt;=_xlfn.ANCHORARRAY(Sintesi!$C$10)),0)),0)),IF(L162&lt;_xlfn.IFNA(INDEX(_xlfn.ANCHORARRAY(Sintesi!$C$17),1,MATCH(1,(_xlfn.ANCHORARRAY(Sintesi!$C$9)&gt;_xlfn.ANCHORARRAY(Sintesi!$C$10))*(A161&gt;=_xlfn.ANCHORARRAY(Sintesi!$C$9))+(_xlfn.ANCHORARRAY(Sintesi!$C$9)&gt;_xlfn.ANCHORARRAY(Sintesi!$C$10))*(A161&lt;=_xlfn.ANCHORARRAY(Sintesi!$C$10))+(_xlfn.ANCHORARRAY(Sintesi!$C$9)&lt;_xlfn.ANCHORARRAY(Sintesi!$C$10))*(A161&gt;=_xlfn.ANCHORARRAY(Sintesi!$C$9))*(A161&lt;=_xlfn.ANCHORARRAY(Sintesi!$C$10)),0)),0),1,IF(L162&gt;=_xlfn.IFNA(INDEX(_xlfn.ANCHORARRAY(Sintesi!$C$18),1,MATCH(1,(_xlfn.ANCHORARRAY(Sintesi!$C$9)&gt;_xlfn.ANCHORARRAY(Sintesi!$C$10))*(A161&gt;=_xlfn.ANCHORARRAY(Sintesi!$C$9))+(_xlfn.ANCHORARRAY(Sintesi!$C$9)&gt;_xlfn.ANCHORARRAY(Sintesi!$C$10))*(A161&lt;=_xlfn.ANCHORARRAY(Sintesi!$C$10))+(_xlfn.ANCHORARRAY(Sintesi!$C$9)&lt;_xlfn.ANCHORARRAY(Sintesi!$C$10))*(A161&gt;=_xlfn.ANCHORARRAY(Sintesi!$C$9))*(A161&lt;=_xlfn.ANCHORARRAY(Sintesi!$C$10)),0)),0),0,1-(L162-_xlfn.IFNA(INDEX(_xlfn.ANCHORARRAY(Sintesi!$C$17),1,MATCH(1,(_xlfn.ANCHORARRAY(Sintesi!$C$9)&gt;_xlfn.ANCHORARRAY(Sintesi!$C$10))*(A161&gt;=_xlfn.ANCHORARRAY(Sintesi!$C$9))+(_xlfn.ANCHORARRAY(Sintesi!$C$9)&gt;_xlfn.ANCHORARRAY(Sintesi!$C$10))*(A161&lt;=_xlfn.ANCHORARRAY(Sintesi!$C$10))+(_xlfn.ANCHORARRAY(Sintesi!$C$9)&lt;_xlfn.ANCHORARRAY(Sintesi!$C$10))*(A161&gt;=_xlfn.ANCHORARRAY(Sintesi!$C$9))*(A161&lt;=_xlfn.ANCHORARRAY(Sintesi!$C$10)),0)),0))/(_xlfn.IFNA(INDEX(_xlfn.ANCHORARRAY(Sintesi!$C$18),1,MATCH(1,(_xlfn.ANCHORARRAY(Sintesi!$C$9)&gt;_xlfn.ANCHORARRAY(Sintesi!$C$10))*(A161&gt;=_xlfn.ANCHORARRAY(Sintesi!$C$9))+(_xlfn.ANCHORARRAY(Sintesi!$C$9)&gt;_xlfn.ANCHORARRAY(Sintesi!$C$10))*(A161&lt;=_xlfn.ANCHORARRAY(Sintesi!$C$10))+(_xlfn.ANCHORARRAY(Sintesi!$C$9)&lt;_xlfn.ANCHORARRAY(Sintesi!$C$10))*(A161&gt;=_xlfn.ANCHORARRAY(Sintesi!$C$9))*(A161&lt;=_xlfn.ANCHORARRAY(Sintesi!$C$10)),0)),0)-_xlfn.IFNA(INDEX(_xlfn.ANCHORARRAY(Sintesi!$C$17),1,MATCH(1,(_xlfn.ANCHORARRAY(Sintesi!$C$9)&gt;_xlfn.ANCHORARRAY(Sintesi!$C$10))*(A161&gt;=_xlfn.ANCHORARRAY(Sintesi!$C$9))+(_xlfn.ANCHORARRAY(Sintesi!$C$9)&gt;_xlfn.ANCHORARRAY(Sintesi!$C$10))*(A161&lt;=_xlfn.ANCHORARRAY(Sintesi!$C$10))+(_xlfn.ANCHORARRAY(Sintesi!$C$9)&lt;_xlfn.ANCHORARRAY(Sintesi!$C$10))*(A161&gt;=_xlfn.ANCHORARRAY(Sintesi!$C$9))*(A161&lt;=_xlfn.ANCHORARRAY(Sintesi!$C$10)),0)),0)))),0)</f>
        <v>0</v>
      </c>
    </row>
    <row r="163" spans="1:13">
      <c r="A163" s="1">
        <f>'Paste cell here'!A163</f>
        <v>162</v>
      </c>
      <c r="B163" s="2">
        <f>DATE(Sintesi!$C$4-1,12,31)+A163</f>
        <v>44358</v>
      </c>
      <c r="C163" s="34">
        <f t="array" ref="C163">_xlfn.IFNA(MATCH(1,((_xlfn.ANCHORARRAY(Sintesi!$C$9)&gt;_xlfn.ANCHORARRAY(Sintesi!$C$10))*(A163&gt;=_xlfn.ANCHORARRAY(Sintesi!$C$9))+(_xlfn.ANCHORARRAY(Sintesi!$C$9)&gt;_xlfn.ANCHORARRAY(Sintesi!$C$10))*(A163&lt;=_xlfn.ANCHORARRAY(Sintesi!$C$10))+(_xlfn.ANCHORARRAY(Sintesi!$C$9)&lt;_xlfn.ANCHORARRAY(Sintesi!$C$10))*(A163&gt;=_xlfn.ANCHORARRAY(Sintesi!$C$9))*(A163&lt;=_xlfn.ANCHORARRAY(Sintesi!$C$10)))*(_xlfn.ANCHORARRAY(Sintesi!$C$15)&gt;=0)+(_xlfn.ANCHORARRAY(Sintesi!$C$15)&lt;0),0),0)</f>
        <v>1</v>
      </c>
      <c r="D163" s="1">
        <f t="array" ref="D163">IF(ISBLANK($E164),IF(ISNUMBER($E162),IF($C163&gt;0,IF(($E163=INDEX(_xlfn.ANCHORARRAY(Sintesi!$C$14),1,$C163))*(INDEX(_xlfn.ANCHORARRAY(Sintesi!$C$15),1,$C163)&gt;0),0,IF(($E163=INDEX(_xlfn.ANCHORARRAY(Sintesi!$C$14),1,$C163))*(INDEX(_xlfn.ANCHORARRAY(Sintesi!$C$15),1,$C163)&lt;0)+($E163&gt;=$E162)*($E163&lt;=INDEX($E:$E,MATCH(TRUE,INDEX((ISNUMBER($E:$E)),0),0)))*($E163&gt;INDEX(_xlfn.ANCHORARRAY(Sintesi!$C$14),1,$C163))*($E163&lt;=INDEX(_xlfn.ANCHORARRAY(Sintesi!$C$15),1,$C163))*(INDEX(_xlfn.ANCHORARRAY(Sintesi!$C$15),1,$C163)&gt;0),1,IF(($E163&gt;=$E162)*($E163&lt;=INDEX($E:$E,MATCH(TRUE,INDEX((ISNUMBER($E:$E)),0),0)))*($E163&gt;INDEX(_xlfn.ANCHORARRAY(Sintesi!$C$14),1,$C163))*($E163&lt;INDEX(_xlfn.ANCHORARRAY(Sintesi!$C$16),1,$C163))*(INDEX(_xlfn.ANCHORARRAY(Sintesi!$C$15),1,$C163)&lt;0)+($E163&gt;=$E162)*($E163&lt;=INDEX($E:$E,MATCH(TRUE,INDEX((ISNUMBER($E:$E)),0),0)))*($E163&gt;INDEX(_xlfn.ANCHORARRAY(Sintesi!$C$15),1,$C163))*($E163&lt;INDEX(_xlfn.ANCHORARRAY(Sintesi!$C$16),1,$C163))*(INDEX(_xlfn.ANCHORARRAY(Sintesi!$C$15),1,$C163)&gt;0),2,IF($E163=(INDEX(_xlfn.ANCHORARRAY(Sintesi!$C$16),1,$C163)),3,4)))),0),IF($C163&gt;0,IF(($E163=INDEX(_xlfn.ANCHORARRAY(Sintesi!$C$14),1,$C163))*(INDEX(_xlfn.ANCHORARRAY(Sintesi!$C$15),1,$C163)&gt;0),0,IF(($E163=INDEX(_xlfn.ANCHORARRAY(Sintesi!$C$14),1,$C163))*(INDEX(_xlfn.ANCHORARRAY(Sintesi!$C$15),1,$C163)&lt;0)+($E163&gt;=LOOKUP(2,1/($E:$E&lt;&gt;""),$E:$E))*($E163&lt;=INDEX($E:$E,MATCH(TRUE,INDEX((ISNUMBER($E:$E)),0),0)))*($E163&gt;INDEX(_xlfn.ANCHORARRAY(Sintesi!$C$14),1,$C163))*($E163&lt;=INDEX(_xlfn.ANCHORARRAY(Sintesi!$C$15),1,$C163))*(INDEX(_xlfn.ANCHORARRAY(Sintesi!$C$15),1,$C163)&gt;0),1,IF(($E163&gt;=LOOKUP(2,1/($E:$E&lt;&gt;""),$E:$E))*($E163&lt;=INDEX($E:$E,MATCH(TRUE,INDEX((ISNUMBER($E:$E)),0),0)))*($E163&gt;INDEX(_xlfn.ANCHORARRAY(Sintesi!$C$14),1,$C163))*($E163&lt;INDEX(_xlfn.ANCHORARRAY(Sintesi!$C$16),1,$C163))*(INDEX(_xlfn.ANCHORARRAY(Sintesi!$C$15),1,$C163)&lt;0)+($E163&gt;=LOOKUP(2,1/($E:$E&lt;&gt;""),$E:$E))*($E163&lt;=INDEX($E:$E,MATCH(TRUE,INDEX((ISNUMBER($E:$E)),0),0)))*($E163&gt;INDEX(_xlfn.ANCHORARRAY(Sintesi!$C$15),1,$C163))*($E163&lt;INDEX(_xlfn.ANCHORARRAY(Sintesi!$C$16),1,$C163))*(INDEX(_xlfn.ANCHORARRAY(Sintesi!$C$15),1,$C163)&gt;0),2,IF($E163=(INDEX(_xlfn.ANCHORARRAY(Sintesi!$C$16),1,$C163)),3,4)))),0)),IF(ISNUMBER($E162),IF($C163&gt;0,IF(($E163=INDEX(_xlfn.ANCHORARRAY(Sintesi!$C$14),1,$C163))*(INDEX(_xlfn.ANCHORARRAY(Sintesi!$C$15),1,$C163)&gt;0),0,IF(($E163=INDEX(_xlfn.ANCHORARRAY(Sintesi!$C$14),1,$C163))*(INDEX(_xlfn.ANCHORARRAY(Sintesi!$C$15),1,$C163)&lt;0)+($E163&gt;=$E162)*($E163&lt;=$E164)*($E163&gt;INDEX(_xlfn.ANCHORARRAY(Sintesi!$C$14),1,$C163))*($E163&lt;=INDEX(_xlfn.ANCHORARRAY(Sintesi!$C$15),1,$C163))*(INDEX(_xlfn.ANCHORARRAY(Sintesi!$C$15),1,$C163)&gt;0),1,IF(($E163&gt;=$E162)*($E163&lt;=$E164)*($E163&gt;INDEX(_xlfn.ANCHORARRAY(Sintesi!$C$14),1,$C163))*($E163&lt;INDEX(_xlfn.ANCHORARRAY(Sintesi!$C$16),1,$C163))*(INDEX(_xlfn.ANCHORARRAY(Sintesi!$C$15),1,$C163)&lt;0)+($E163&gt;=$E162)*($E163&lt;=$E164)*($E163&gt;INDEX(_xlfn.ANCHORARRAY(Sintesi!$C$15),1,$C163))*($E163&lt;INDEX(_xlfn.ANCHORARRAY(Sintesi!$C$16),1,$C163))*(INDEX(_xlfn.ANCHORARRAY(Sintesi!$C$15),1,$C163)&gt;0),2,IF($E163=(INDEX(_xlfn.ANCHORARRAY(Sintesi!$C$16),1,$C163)),3,4)))),0),IF($C163&gt;0,IF(($E163=INDEX(_xlfn.ANCHORARRAY(Sintesi!$C$14),1,$C163))*(INDEX(_xlfn.ANCHORARRAY(Sintesi!$C$15),1,$C163)&gt;0),0,IF(($E163=INDEX(_xlfn.ANCHORARRAY(Sintesi!$C$14),1,$C163))*(INDEX(_xlfn.ANCHORARRAY(Sintesi!$C$15),1,$C163)&lt;0)+($E163&gt;=LOOKUP(2,1/($E:$E&lt;&gt;""),$E:$E))*($E163&lt;=$E164)*($E163&gt;INDEX(_xlfn.ANCHORARRAY(Sintesi!$C$14),1,$C163))*($E163&lt;=INDEX(_xlfn.ANCHORARRAY(Sintesi!$C$15),1,$C163))*(INDEX(_xlfn.ANCHORARRAY(Sintesi!$C$15),1,$C163)&gt;0),1,IF(($E163&gt;=LOOKUP(2,1/($E:$E&lt;&gt;""),$E:$E))*($E163&lt;=$E164)*($E163&gt;INDEX(_xlfn.ANCHORARRAY(Sintesi!$C$14),1,$C163))*($E163&lt;INDEX(_xlfn.ANCHORARRAY(Sintesi!$C$16),1,$C163))*(INDEX(_xlfn.ANCHORARRAY(Sintesi!$C$15),1,$C163)&lt;0)+($E163&gt;=LOOKUP(2,1/($E:$E&lt;&gt;""),$E:$E))*($E163&lt;=$E164)*($E163&gt;INDEX(_xlfn.ANCHORARRAY(Sintesi!$C$15),1,$C163))*($E163&lt;INDEX(_xlfn.ANCHORARRAY(Sintesi!$C$16),1,$C163))*(INDEX(_xlfn.ANCHORARRAY(Sintesi!$C$15),1,$C163)&gt;0),2,IF($E163=(INDEX(_xlfn.ANCHORARRAY(Sintesi!$C$16),1,$C163)),3,4)))),0)))</f>
        <v>2</v>
      </c>
      <c r="E163" s="1">
        <f>'Paste cell here'!F163</f>
        <v>0.73399999999999999</v>
      </c>
      <c r="F163" s="1">
        <f>'Paste cell here'!C163</f>
        <v>30.199999999999555</v>
      </c>
      <c r="G163" s="1">
        <f>'Paste cell here'!D163</f>
        <v>17.999999999999744</v>
      </c>
      <c r="H163" s="1">
        <f>'Paste cell here'!E163</f>
        <v>5.2620400406584444</v>
      </c>
      <c r="I163" s="1">
        <f>'Paste cell here'!X163</f>
        <v>3.8619764126941969</v>
      </c>
      <c r="J163" s="1">
        <f>'Paste cell here'!Y163+'Paste cell here'!S163</f>
        <v>3.8619764126941969</v>
      </c>
      <c r="K163" s="1">
        <f t="shared" si="4"/>
        <v>0.73393139977151212</v>
      </c>
      <c r="L163" s="1">
        <f t="shared" si="5"/>
        <v>25.470872332617201</v>
      </c>
      <c r="M163" s="1">
        <f t="array" ref="M163">IF(AND(A163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163&gt;=_xlfn.ANCHORARRAY(Sintesi!$C$9))+(_xlfn.ANCHORARRAY(Sintesi!$C$9)&gt;_xlfn.ANCHORARRAY(Sintesi!$C$10))*(A163&lt;=_xlfn.ANCHORARRAY(Sintesi!$C$10))+(_xlfn.ANCHORARRAY(Sintesi!$C$9)&lt;_xlfn.ANCHORARRAY(Sintesi!$C$10))*(A163&gt;=_xlfn.ANCHORARRAY(Sintesi!$C$9))*(A163&lt;=_xlfn.ANCHORARRAY(Sintesi!$C$10)),0)),0),A163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164&gt;=_xlfn.ANCHORARRAY(Sintesi!$C$9))+(_xlfn.ANCHORARRAY(Sintesi!$C$9)&gt;_xlfn.ANCHORARRAY(Sintesi!$C$10))*(A164&lt;=_xlfn.ANCHORARRAY(Sintesi!$C$10))+(_xlfn.ANCHORARRAY(Sintesi!$C$9)&lt;_xlfn.ANCHORARRAY(Sintesi!$C$10))*(A164&gt;=_xlfn.ANCHORARRAY(Sintesi!$C$9))*(A164&lt;=_xlfn.ANCHORARRAY(Sintesi!$C$10)),0)),0)),IF(L163&lt;_xlfn.IFNA(INDEX(_xlfn.ANCHORARRAY(Sintesi!$C$17),1,MATCH(1,(_xlfn.ANCHORARRAY(Sintesi!$C$9)&gt;_xlfn.ANCHORARRAY(Sintesi!$C$10))*(A162&gt;=_xlfn.ANCHORARRAY(Sintesi!$C$9))+(_xlfn.ANCHORARRAY(Sintesi!$C$9)&gt;_xlfn.ANCHORARRAY(Sintesi!$C$10))*(A162&lt;=_xlfn.ANCHORARRAY(Sintesi!$C$10))+(_xlfn.ANCHORARRAY(Sintesi!$C$9)&lt;_xlfn.ANCHORARRAY(Sintesi!$C$10))*(A162&gt;=_xlfn.ANCHORARRAY(Sintesi!$C$9))*(A162&lt;=_xlfn.ANCHORARRAY(Sintesi!$C$10)),0)),0),1,IF(L163&gt;=_xlfn.IFNA(INDEX(_xlfn.ANCHORARRAY(Sintesi!$C$18),1,MATCH(1,(_xlfn.ANCHORARRAY(Sintesi!$C$9)&gt;_xlfn.ANCHORARRAY(Sintesi!$C$10))*(A162&gt;=_xlfn.ANCHORARRAY(Sintesi!$C$9))+(_xlfn.ANCHORARRAY(Sintesi!$C$9)&gt;_xlfn.ANCHORARRAY(Sintesi!$C$10))*(A162&lt;=_xlfn.ANCHORARRAY(Sintesi!$C$10))+(_xlfn.ANCHORARRAY(Sintesi!$C$9)&lt;_xlfn.ANCHORARRAY(Sintesi!$C$10))*(A162&gt;=_xlfn.ANCHORARRAY(Sintesi!$C$9))*(A162&lt;=_xlfn.ANCHORARRAY(Sintesi!$C$10)),0)),0),0,1-(L163-_xlfn.IFNA(INDEX(_xlfn.ANCHORARRAY(Sintesi!$C$17),1,MATCH(1,(_xlfn.ANCHORARRAY(Sintesi!$C$9)&gt;_xlfn.ANCHORARRAY(Sintesi!$C$10))*(A162&gt;=_xlfn.ANCHORARRAY(Sintesi!$C$9))+(_xlfn.ANCHORARRAY(Sintesi!$C$9)&gt;_xlfn.ANCHORARRAY(Sintesi!$C$10))*(A162&lt;=_xlfn.ANCHORARRAY(Sintesi!$C$10))+(_xlfn.ANCHORARRAY(Sintesi!$C$9)&lt;_xlfn.ANCHORARRAY(Sintesi!$C$10))*(A162&gt;=_xlfn.ANCHORARRAY(Sintesi!$C$9))*(A162&lt;=_xlfn.ANCHORARRAY(Sintesi!$C$10)),0)),0))/(_xlfn.IFNA(INDEX(_xlfn.ANCHORARRAY(Sintesi!$C$18),1,MATCH(1,(_xlfn.ANCHORARRAY(Sintesi!$C$9)&gt;_xlfn.ANCHORARRAY(Sintesi!$C$10))*(A162&gt;=_xlfn.ANCHORARRAY(Sintesi!$C$9))+(_xlfn.ANCHORARRAY(Sintesi!$C$9)&gt;_xlfn.ANCHORARRAY(Sintesi!$C$10))*(A162&lt;=_xlfn.ANCHORARRAY(Sintesi!$C$10))+(_xlfn.ANCHORARRAY(Sintesi!$C$9)&lt;_xlfn.ANCHORARRAY(Sintesi!$C$10))*(A162&gt;=_xlfn.ANCHORARRAY(Sintesi!$C$9))*(A162&lt;=_xlfn.ANCHORARRAY(Sintesi!$C$10)),0)),0)-_xlfn.IFNA(INDEX(_xlfn.ANCHORARRAY(Sintesi!$C$17),1,MATCH(1,(_xlfn.ANCHORARRAY(Sintesi!$C$9)&gt;_xlfn.ANCHORARRAY(Sintesi!$C$10))*(A162&gt;=_xlfn.ANCHORARRAY(Sintesi!$C$9))+(_xlfn.ANCHORARRAY(Sintesi!$C$9)&gt;_xlfn.ANCHORARRAY(Sintesi!$C$10))*(A162&lt;=_xlfn.ANCHORARRAY(Sintesi!$C$10))+(_xlfn.ANCHORARRAY(Sintesi!$C$9)&lt;_xlfn.ANCHORARRAY(Sintesi!$C$10))*(A162&gt;=_xlfn.ANCHORARRAY(Sintesi!$C$9))*(A162&lt;=_xlfn.ANCHORARRAY(Sintesi!$C$10)),0)),0)))),0)</f>
        <v>0</v>
      </c>
    </row>
    <row r="164" spans="1:13">
      <c r="A164" s="1">
        <f>'Paste cell here'!A164</f>
        <v>163</v>
      </c>
      <c r="B164" s="2">
        <f>DATE(Sintesi!$C$4-1,12,31)+A164</f>
        <v>44359</v>
      </c>
      <c r="C164" s="34">
        <f t="array" ref="C164">_xlfn.IFNA(MATCH(1,((_xlfn.ANCHORARRAY(Sintesi!$C$9)&gt;_xlfn.ANCHORARRAY(Sintesi!$C$10))*(A164&gt;=_xlfn.ANCHORARRAY(Sintesi!$C$9))+(_xlfn.ANCHORARRAY(Sintesi!$C$9)&gt;_xlfn.ANCHORARRAY(Sintesi!$C$10))*(A164&lt;=_xlfn.ANCHORARRAY(Sintesi!$C$10))+(_xlfn.ANCHORARRAY(Sintesi!$C$9)&lt;_xlfn.ANCHORARRAY(Sintesi!$C$10))*(A164&gt;=_xlfn.ANCHORARRAY(Sintesi!$C$9))*(A164&lt;=_xlfn.ANCHORARRAY(Sintesi!$C$10)))*(_xlfn.ANCHORARRAY(Sintesi!$C$15)&gt;=0)+(_xlfn.ANCHORARRAY(Sintesi!$C$15)&lt;0),0),0)</f>
        <v>1</v>
      </c>
      <c r="D164" s="1">
        <f t="array" ref="D164">IF(ISBLANK($E165),IF(ISNUMBER($E163),IF($C164&gt;0,IF(($E164=INDEX(_xlfn.ANCHORARRAY(Sintesi!$C$14),1,$C164))*(INDEX(_xlfn.ANCHORARRAY(Sintesi!$C$15),1,$C164)&gt;0),0,IF(($E164=INDEX(_xlfn.ANCHORARRAY(Sintesi!$C$14),1,$C164))*(INDEX(_xlfn.ANCHORARRAY(Sintesi!$C$15),1,$C164)&lt;0)+($E164&gt;=$E163)*($E164&lt;=INDEX($E:$E,MATCH(TRUE,INDEX((ISNUMBER($E:$E)),0),0)))*($E164&gt;INDEX(_xlfn.ANCHORARRAY(Sintesi!$C$14),1,$C164))*($E164&lt;=INDEX(_xlfn.ANCHORARRAY(Sintesi!$C$15),1,$C164))*(INDEX(_xlfn.ANCHORARRAY(Sintesi!$C$15),1,$C164)&gt;0),1,IF(($E164&gt;=$E163)*($E164&lt;=INDEX($E:$E,MATCH(TRUE,INDEX((ISNUMBER($E:$E)),0),0)))*($E164&gt;INDEX(_xlfn.ANCHORARRAY(Sintesi!$C$14),1,$C164))*($E164&lt;INDEX(_xlfn.ANCHORARRAY(Sintesi!$C$16),1,$C164))*(INDEX(_xlfn.ANCHORARRAY(Sintesi!$C$15),1,$C164)&lt;0)+($E164&gt;=$E163)*($E164&lt;=INDEX($E:$E,MATCH(TRUE,INDEX((ISNUMBER($E:$E)),0),0)))*($E164&gt;INDEX(_xlfn.ANCHORARRAY(Sintesi!$C$15),1,$C164))*($E164&lt;INDEX(_xlfn.ANCHORARRAY(Sintesi!$C$16),1,$C164))*(INDEX(_xlfn.ANCHORARRAY(Sintesi!$C$15),1,$C164)&gt;0),2,IF($E164=(INDEX(_xlfn.ANCHORARRAY(Sintesi!$C$16),1,$C164)),3,4)))),0),IF($C164&gt;0,IF(($E164=INDEX(_xlfn.ANCHORARRAY(Sintesi!$C$14),1,$C164))*(INDEX(_xlfn.ANCHORARRAY(Sintesi!$C$15),1,$C164)&gt;0),0,IF(($E164=INDEX(_xlfn.ANCHORARRAY(Sintesi!$C$14),1,$C164))*(INDEX(_xlfn.ANCHORARRAY(Sintesi!$C$15),1,$C164)&lt;0)+($E164&gt;=LOOKUP(2,1/($E:$E&lt;&gt;""),$E:$E))*($E164&lt;=INDEX($E:$E,MATCH(TRUE,INDEX((ISNUMBER($E:$E)),0),0)))*($E164&gt;INDEX(_xlfn.ANCHORARRAY(Sintesi!$C$14),1,$C164))*($E164&lt;=INDEX(_xlfn.ANCHORARRAY(Sintesi!$C$15),1,$C164))*(INDEX(_xlfn.ANCHORARRAY(Sintesi!$C$15),1,$C164)&gt;0),1,IF(($E164&gt;=LOOKUP(2,1/($E:$E&lt;&gt;""),$E:$E))*($E164&lt;=INDEX($E:$E,MATCH(TRUE,INDEX((ISNUMBER($E:$E)),0),0)))*($E164&gt;INDEX(_xlfn.ANCHORARRAY(Sintesi!$C$14),1,$C164))*($E164&lt;INDEX(_xlfn.ANCHORARRAY(Sintesi!$C$16),1,$C164))*(INDEX(_xlfn.ANCHORARRAY(Sintesi!$C$15),1,$C164)&lt;0)+($E164&gt;=LOOKUP(2,1/($E:$E&lt;&gt;""),$E:$E))*($E164&lt;=INDEX($E:$E,MATCH(TRUE,INDEX((ISNUMBER($E:$E)),0),0)))*($E164&gt;INDEX(_xlfn.ANCHORARRAY(Sintesi!$C$15),1,$C164))*($E164&lt;INDEX(_xlfn.ANCHORARRAY(Sintesi!$C$16),1,$C164))*(INDEX(_xlfn.ANCHORARRAY(Sintesi!$C$15),1,$C164)&gt;0),2,IF($E164=(INDEX(_xlfn.ANCHORARRAY(Sintesi!$C$16),1,$C164)),3,4)))),0)),IF(ISNUMBER($E163),IF($C164&gt;0,IF(($E164=INDEX(_xlfn.ANCHORARRAY(Sintesi!$C$14),1,$C164))*(INDEX(_xlfn.ANCHORARRAY(Sintesi!$C$15),1,$C164)&gt;0),0,IF(($E164=INDEX(_xlfn.ANCHORARRAY(Sintesi!$C$14),1,$C164))*(INDEX(_xlfn.ANCHORARRAY(Sintesi!$C$15),1,$C164)&lt;0)+($E164&gt;=$E163)*($E164&lt;=$E165)*($E164&gt;INDEX(_xlfn.ANCHORARRAY(Sintesi!$C$14),1,$C164))*($E164&lt;=INDEX(_xlfn.ANCHORARRAY(Sintesi!$C$15),1,$C164))*(INDEX(_xlfn.ANCHORARRAY(Sintesi!$C$15),1,$C164)&gt;0),1,IF(($E164&gt;=$E163)*($E164&lt;=$E165)*($E164&gt;INDEX(_xlfn.ANCHORARRAY(Sintesi!$C$14),1,$C164))*($E164&lt;INDEX(_xlfn.ANCHORARRAY(Sintesi!$C$16),1,$C164))*(INDEX(_xlfn.ANCHORARRAY(Sintesi!$C$15),1,$C164)&lt;0)+($E164&gt;=$E163)*($E164&lt;=$E165)*($E164&gt;INDEX(_xlfn.ANCHORARRAY(Sintesi!$C$15),1,$C164))*($E164&lt;INDEX(_xlfn.ANCHORARRAY(Sintesi!$C$16),1,$C164))*(INDEX(_xlfn.ANCHORARRAY(Sintesi!$C$15),1,$C164)&gt;0),2,IF($E164=(INDEX(_xlfn.ANCHORARRAY(Sintesi!$C$16),1,$C164)),3,4)))),0),IF($C164&gt;0,IF(($E164=INDEX(_xlfn.ANCHORARRAY(Sintesi!$C$14),1,$C164))*(INDEX(_xlfn.ANCHORARRAY(Sintesi!$C$15),1,$C164)&gt;0),0,IF(($E164=INDEX(_xlfn.ANCHORARRAY(Sintesi!$C$14),1,$C164))*(INDEX(_xlfn.ANCHORARRAY(Sintesi!$C$15),1,$C164)&lt;0)+($E164&gt;=LOOKUP(2,1/($E:$E&lt;&gt;""),$E:$E))*($E164&lt;=$E165)*($E164&gt;INDEX(_xlfn.ANCHORARRAY(Sintesi!$C$14),1,$C164))*($E164&lt;=INDEX(_xlfn.ANCHORARRAY(Sintesi!$C$15),1,$C164))*(INDEX(_xlfn.ANCHORARRAY(Sintesi!$C$15),1,$C164)&gt;0),1,IF(($E164&gt;=LOOKUP(2,1/($E:$E&lt;&gt;""),$E:$E))*($E164&lt;=$E165)*($E164&gt;INDEX(_xlfn.ANCHORARRAY(Sintesi!$C$14),1,$C164))*($E164&lt;INDEX(_xlfn.ANCHORARRAY(Sintesi!$C$16),1,$C164))*(INDEX(_xlfn.ANCHORARRAY(Sintesi!$C$15),1,$C164)&lt;0)+($E164&gt;=LOOKUP(2,1/($E:$E&lt;&gt;""),$E:$E))*($E164&lt;=$E165)*($E164&gt;INDEX(_xlfn.ANCHORARRAY(Sintesi!$C$15),1,$C164))*($E164&lt;INDEX(_xlfn.ANCHORARRAY(Sintesi!$C$16),1,$C164))*(INDEX(_xlfn.ANCHORARRAY(Sintesi!$C$15),1,$C164)&gt;0),2,IF($E164=(INDEX(_xlfn.ANCHORARRAY(Sintesi!$C$16),1,$C164)),3,4)))),0)))</f>
        <v>2</v>
      </c>
      <c r="E164" s="1">
        <f>'Paste cell here'!F164</f>
        <v>0.755</v>
      </c>
      <c r="F164" s="1">
        <f>'Paste cell here'!C164</f>
        <v>31.57999999999954</v>
      </c>
      <c r="G164" s="1">
        <f>'Paste cell here'!D164</f>
        <v>16.319999999999776</v>
      </c>
      <c r="H164" s="1">
        <f>'Paste cell here'!E164</f>
        <v>5.6788791911606724</v>
      </c>
      <c r="I164" s="1">
        <f>'Paste cell here'!X164</f>
        <v>4.2871481006604091</v>
      </c>
      <c r="J164" s="1">
        <f>'Paste cell here'!Y164+'Paste cell here'!S164</f>
        <v>4.2871481006604091</v>
      </c>
      <c r="K164" s="1">
        <f t="shared" si="4"/>
        <v>0.75492856184253221</v>
      </c>
      <c r="L164" s="1">
        <f t="shared" si="5"/>
        <v>25.664714081618005</v>
      </c>
      <c r="M164" s="1">
        <f t="array" ref="M164">IF(AND(A164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164&gt;=_xlfn.ANCHORARRAY(Sintesi!$C$9))+(_xlfn.ANCHORARRAY(Sintesi!$C$9)&gt;_xlfn.ANCHORARRAY(Sintesi!$C$10))*(A164&lt;=_xlfn.ANCHORARRAY(Sintesi!$C$10))+(_xlfn.ANCHORARRAY(Sintesi!$C$9)&lt;_xlfn.ANCHORARRAY(Sintesi!$C$10))*(A164&gt;=_xlfn.ANCHORARRAY(Sintesi!$C$9))*(A164&lt;=_xlfn.ANCHORARRAY(Sintesi!$C$10)),0)),0),A164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165&gt;=_xlfn.ANCHORARRAY(Sintesi!$C$9))+(_xlfn.ANCHORARRAY(Sintesi!$C$9)&gt;_xlfn.ANCHORARRAY(Sintesi!$C$10))*(A165&lt;=_xlfn.ANCHORARRAY(Sintesi!$C$10))+(_xlfn.ANCHORARRAY(Sintesi!$C$9)&lt;_xlfn.ANCHORARRAY(Sintesi!$C$10))*(A165&gt;=_xlfn.ANCHORARRAY(Sintesi!$C$9))*(A165&lt;=_xlfn.ANCHORARRAY(Sintesi!$C$10)),0)),0)),IF(L164&lt;_xlfn.IFNA(INDEX(_xlfn.ANCHORARRAY(Sintesi!$C$17),1,MATCH(1,(_xlfn.ANCHORARRAY(Sintesi!$C$9)&gt;_xlfn.ANCHORARRAY(Sintesi!$C$10))*(A163&gt;=_xlfn.ANCHORARRAY(Sintesi!$C$9))+(_xlfn.ANCHORARRAY(Sintesi!$C$9)&gt;_xlfn.ANCHORARRAY(Sintesi!$C$10))*(A163&lt;=_xlfn.ANCHORARRAY(Sintesi!$C$10))+(_xlfn.ANCHORARRAY(Sintesi!$C$9)&lt;_xlfn.ANCHORARRAY(Sintesi!$C$10))*(A163&gt;=_xlfn.ANCHORARRAY(Sintesi!$C$9))*(A163&lt;=_xlfn.ANCHORARRAY(Sintesi!$C$10)),0)),0),1,IF(L164&gt;=_xlfn.IFNA(INDEX(_xlfn.ANCHORARRAY(Sintesi!$C$18),1,MATCH(1,(_xlfn.ANCHORARRAY(Sintesi!$C$9)&gt;_xlfn.ANCHORARRAY(Sintesi!$C$10))*(A163&gt;=_xlfn.ANCHORARRAY(Sintesi!$C$9))+(_xlfn.ANCHORARRAY(Sintesi!$C$9)&gt;_xlfn.ANCHORARRAY(Sintesi!$C$10))*(A163&lt;=_xlfn.ANCHORARRAY(Sintesi!$C$10))+(_xlfn.ANCHORARRAY(Sintesi!$C$9)&lt;_xlfn.ANCHORARRAY(Sintesi!$C$10))*(A163&gt;=_xlfn.ANCHORARRAY(Sintesi!$C$9))*(A163&lt;=_xlfn.ANCHORARRAY(Sintesi!$C$10)),0)),0),0,1-(L164-_xlfn.IFNA(INDEX(_xlfn.ANCHORARRAY(Sintesi!$C$17),1,MATCH(1,(_xlfn.ANCHORARRAY(Sintesi!$C$9)&gt;_xlfn.ANCHORARRAY(Sintesi!$C$10))*(A163&gt;=_xlfn.ANCHORARRAY(Sintesi!$C$9))+(_xlfn.ANCHORARRAY(Sintesi!$C$9)&gt;_xlfn.ANCHORARRAY(Sintesi!$C$10))*(A163&lt;=_xlfn.ANCHORARRAY(Sintesi!$C$10))+(_xlfn.ANCHORARRAY(Sintesi!$C$9)&lt;_xlfn.ANCHORARRAY(Sintesi!$C$10))*(A163&gt;=_xlfn.ANCHORARRAY(Sintesi!$C$9))*(A163&lt;=_xlfn.ANCHORARRAY(Sintesi!$C$10)),0)),0))/(_xlfn.IFNA(INDEX(_xlfn.ANCHORARRAY(Sintesi!$C$18),1,MATCH(1,(_xlfn.ANCHORARRAY(Sintesi!$C$9)&gt;_xlfn.ANCHORARRAY(Sintesi!$C$10))*(A163&gt;=_xlfn.ANCHORARRAY(Sintesi!$C$9))+(_xlfn.ANCHORARRAY(Sintesi!$C$9)&gt;_xlfn.ANCHORARRAY(Sintesi!$C$10))*(A163&lt;=_xlfn.ANCHORARRAY(Sintesi!$C$10))+(_xlfn.ANCHORARRAY(Sintesi!$C$9)&lt;_xlfn.ANCHORARRAY(Sintesi!$C$10))*(A163&gt;=_xlfn.ANCHORARRAY(Sintesi!$C$9))*(A163&lt;=_xlfn.ANCHORARRAY(Sintesi!$C$10)),0)),0)-_xlfn.IFNA(INDEX(_xlfn.ANCHORARRAY(Sintesi!$C$17),1,MATCH(1,(_xlfn.ANCHORARRAY(Sintesi!$C$9)&gt;_xlfn.ANCHORARRAY(Sintesi!$C$10))*(A163&gt;=_xlfn.ANCHORARRAY(Sintesi!$C$9))+(_xlfn.ANCHORARRAY(Sintesi!$C$9)&gt;_xlfn.ANCHORARRAY(Sintesi!$C$10))*(A163&lt;=_xlfn.ANCHORARRAY(Sintesi!$C$10))+(_xlfn.ANCHORARRAY(Sintesi!$C$9)&lt;_xlfn.ANCHORARRAY(Sintesi!$C$10))*(A163&gt;=_xlfn.ANCHORARRAY(Sintesi!$C$9))*(A163&lt;=_xlfn.ANCHORARRAY(Sintesi!$C$10)),0)),0)))),0)</f>
        <v>0</v>
      </c>
    </row>
    <row r="165" spans="1:13">
      <c r="A165" s="1">
        <f>'Paste cell here'!A165</f>
        <v>164</v>
      </c>
      <c r="B165" s="2">
        <f>DATE(Sintesi!$C$4-1,12,31)+A165</f>
        <v>44360</v>
      </c>
      <c r="C165" s="34">
        <f t="array" ref="C165">_xlfn.IFNA(MATCH(1,((_xlfn.ANCHORARRAY(Sintesi!$C$9)&gt;_xlfn.ANCHORARRAY(Sintesi!$C$10))*(A165&gt;=_xlfn.ANCHORARRAY(Sintesi!$C$9))+(_xlfn.ANCHORARRAY(Sintesi!$C$9)&gt;_xlfn.ANCHORARRAY(Sintesi!$C$10))*(A165&lt;=_xlfn.ANCHORARRAY(Sintesi!$C$10))+(_xlfn.ANCHORARRAY(Sintesi!$C$9)&lt;_xlfn.ANCHORARRAY(Sintesi!$C$10))*(A165&gt;=_xlfn.ANCHORARRAY(Sintesi!$C$9))*(A165&lt;=_xlfn.ANCHORARRAY(Sintesi!$C$10)))*(_xlfn.ANCHORARRAY(Sintesi!$C$15)&gt;=0)+(_xlfn.ANCHORARRAY(Sintesi!$C$15)&lt;0),0),0)</f>
        <v>1</v>
      </c>
      <c r="D165" s="1">
        <f t="array" ref="D165">IF(ISBLANK($E166),IF(ISNUMBER($E164),IF($C165&gt;0,IF(($E165=INDEX(_xlfn.ANCHORARRAY(Sintesi!$C$14),1,$C165))*(INDEX(_xlfn.ANCHORARRAY(Sintesi!$C$15),1,$C165)&gt;0),0,IF(($E165=INDEX(_xlfn.ANCHORARRAY(Sintesi!$C$14),1,$C165))*(INDEX(_xlfn.ANCHORARRAY(Sintesi!$C$15),1,$C165)&lt;0)+($E165&gt;=$E164)*($E165&lt;=INDEX($E:$E,MATCH(TRUE,INDEX((ISNUMBER($E:$E)),0),0)))*($E165&gt;INDEX(_xlfn.ANCHORARRAY(Sintesi!$C$14),1,$C165))*($E165&lt;=INDEX(_xlfn.ANCHORARRAY(Sintesi!$C$15),1,$C165))*(INDEX(_xlfn.ANCHORARRAY(Sintesi!$C$15),1,$C165)&gt;0),1,IF(($E165&gt;=$E164)*($E165&lt;=INDEX($E:$E,MATCH(TRUE,INDEX((ISNUMBER($E:$E)),0),0)))*($E165&gt;INDEX(_xlfn.ANCHORARRAY(Sintesi!$C$14),1,$C165))*($E165&lt;INDEX(_xlfn.ANCHORARRAY(Sintesi!$C$16),1,$C165))*(INDEX(_xlfn.ANCHORARRAY(Sintesi!$C$15),1,$C165)&lt;0)+($E165&gt;=$E164)*($E165&lt;=INDEX($E:$E,MATCH(TRUE,INDEX((ISNUMBER($E:$E)),0),0)))*($E165&gt;INDEX(_xlfn.ANCHORARRAY(Sintesi!$C$15),1,$C165))*($E165&lt;INDEX(_xlfn.ANCHORARRAY(Sintesi!$C$16),1,$C165))*(INDEX(_xlfn.ANCHORARRAY(Sintesi!$C$15),1,$C165)&gt;0),2,IF($E165=(INDEX(_xlfn.ANCHORARRAY(Sintesi!$C$16),1,$C165)),3,4)))),0),IF($C165&gt;0,IF(($E165=INDEX(_xlfn.ANCHORARRAY(Sintesi!$C$14),1,$C165))*(INDEX(_xlfn.ANCHORARRAY(Sintesi!$C$15),1,$C165)&gt;0),0,IF(($E165=INDEX(_xlfn.ANCHORARRAY(Sintesi!$C$14),1,$C165))*(INDEX(_xlfn.ANCHORARRAY(Sintesi!$C$15),1,$C165)&lt;0)+($E165&gt;=LOOKUP(2,1/($E:$E&lt;&gt;""),$E:$E))*($E165&lt;=INDEX($E:$E,MATCH(TRUE,INDEX((ISNUMBER($E:$E)),0),0)))*($E165&gt;INDEX(_xlfn.ANCHORARRAY(Sintesi!$C$14),1,$C165))*($E165&lt;=INDEX(_xlfn.ANCHORARRAY(Sintesi!$C$15),1,$C165))*(INDEX(_xlfn.ANCHORARRAY(Sintesi!$C$15),1,$C165)&gt;0),1,IF(($E165&gt;=LOOKUP(2,1/($E:$E&lt;&gt;""),$E:$E))*($E165&lt;=INDEX($E:$E,MATCH(TRUE,INDEX((ISNUMBER($E:$E)),0),0)))*($E165&gt;INDEX(_xlfn.ANCHORARRAY(Sintesi!$C$14),1,$C165))*($E165&lt;INDEX(_xlfn.ANCHORARRAY(Sintesi!$C$16),1,$C165))*(INDEX(_xlfn.ANCHORARRAY(Sintesi!$C$15),1,$C165)&lt;0)+($E165&gt;=LOOKUP(2,1/($E:$E&lt;&gt;""),$E:$E))*($E165&lt;=INDEX($E:$E,MATCH(TRUE,INDEX((ISNUMBER($E:$E)),0),0)))*($E165&gt;INDEX(_xlfn.ANCHORARRAY(Sintesi!$C$15),1,$C165))*($E165&lt;INDEX(_xlfn.ANCHORARRAY(Sintesi!$C$16),1,$C165))*(INDEX(_xlfn.ANCHORARRAY(Sintesi!$C$15),1,$C165)&gt;0),2,IF($E165=(INDEX(_xlfn.ANCHORARRAY(Sintesi!$C$16),1,$C165)),3,4)))),0)),IF(ISNUMBER($E164),IF($C165&gt;0,IF(($E165=INDEX(_xlfn.ANCHORARRAY(Sintesi!$C$14),1,$C165))*(INDEX(_xlfn.ANCHORARRAY(Sintesi!$C$15),1,$C165)&gt;0),0,IF(($E165=INDEX(_xlfn.ANCHORARRAY(Sintesi!$C$14),1,$C165))*(INDEX(_xlfn.ANCHORARRAY(Sintesi!$C$15),1,$C165)&lt;0)+($E165&gt;=$E164)*($E165&lt;=$E166)*($E165&gt;INDEX(_xlfn.ANCHORARRAY(Sintesi!$C$14),1,$C165))*($E165&lt;=INDEX(_xlfn.ANCHORARRAY(Sintesi!$C$15),1,$C165))*(INDEX(_xlfn.ANCHORARRAY(Sintesi!$C$15),1,$C165)&gt;0),1,IF(($E165&gt;=$E164)*($E165&lt;=$E166)*($E165&gt;INDEX(_xlfn.ANCHORARRAY(Sintesi!$C$14),1,$C165))*($E165&lt;INDEX(_xlfn.ANCHORARRAY(Sintesi!$C$16),1,$C165))*(INDEX(_xlfn.ANCHORARRAY(Sintesi!$C$15),1,$C165)&lt;0)+($E165&gt;=$E164)*($E165&lt;=$E166)*($E165&gt;INDEX(_xlfn.ANCHORARRAY(Sintesi!$C$15),1,$C165))*($E165&lt;INDEX(_xlfn.ANCHORARRAY(Sintesi!$C$16),1,$C165))*(INDEX(_xlfn.ANCHORARRAY(Sintesi!$C$15),1,$C165)&gt;0),2,IF($E165=(INDEX(_xlfn.ANCHORARRAY(Sintesi!$C$16),1,$C165)),3,4)))),0),IF($C165&gt;0,IF(($E165=INDEX(_xlfn.ANCHORARRAY(Sintesi!$C$14),1,$C165))*(INDEX(_xlfn.ANCHORARRAY(Sintesi!$C$15),1,$C165)&gt;0),0,IF(($E165=INDEX(_xlfn.ANCHORARRAY(Sintesi!$C$14),1,$C165))*(INDEX(_xlfn.ANCHORARRAY(Sintesi!$C$15),1,$C165)&lt;0)+($E165&gt;=LOOKUP(2,1/($E:$E&lt;&gt;""),$E:$E))*($E165&lt;=$E166)*($E165&gt;INDEX(_xlfn.ANCHORARRAY(Sintesi!$C$14),1,$C165))*($E165&lt;=INDEX(_xlfn.ANCHORARRAY(Sintesi!$C$15),1,$C165))*(INDEX(_xlfn.ANCHORARRAY(Sintesi!$C$15),1,$C165)&gt;0),1,IF(($E165&gt;=LOOKUP(2,1/($E:$E&lt;&gt;""),$E:$E))*($E165&lt;=$E166)*($E165&gt;INDEX(_xlfn.ANCHORARRAY(Sintesi!$C$14),1,$C165))*($E165&lt;INDEX(_xlfn.ANCHORARRAY(Sintesi!$C$16),1,$C165))*(INDEX(_xlfn.ANCHORARRAY(Sintesi!$C$15),1,$C165)&lt;0)+($E165&gt;=LOOKUP(2,1/($E:$E&lt;&gt;""),$E:$E))*($E165&lt;=$E166)*($E165&gt;INDEX(_xlfn.ANCHORARRAY(Sintesi!$C$15),1,$C165))*($E165&lt;INDEX(_xlfn.ANCHORARRAY(Sintesi!$C$16),1,$C165))*(INDEX(_xlfn.ANCHORARRAY(Sintesi!$C$15),1,$C165)&gt;0),2,IF($E165=(INDEX(_xlfn.ANCHORARRAY(Sintesi!$C$16),1,$C165)),3,4)))),0)))</f>
        <v>2</v>
      </c>
      <c r="E165" s="1">
        <f>'Paste cell here'!F165</f>
        <v>0.77600000000000002</v>
      </c>
      <c r="F165" s="1">
        <f>'Paste cell here'!C165</f>
        <v>35.219999999999487</v>
      </c>
      <c r="G165" s="1">
        <f>'Paste cell here'!D165</f>
        <v>18.779999999999735</v>
      </c>
      <c r="H165" s="1">
        <f>'Paste cell here'!E165</f>
        <v>6.5393862451683455</v>
      </c>
      <c r="I165" s="1">
        <f>'Paste cell here'!X165</f>
        <v>5.0740782431977847</v>
      </c>
      <c r="J165" s="1">
        <f>'Paste cell here'!Y165+'Paste cell here'!S165</f>
        <v>5.0740782431977847</v>
      </c>
      <c r="K165" s="1">
        <f t="shared" si="4"/>
        <v>0.77592576015016546</v>
      </c>
      <c r="L165" s="1">
        <f t="shared" si="5"/>
        <v>28.847306651494076</v>
      </c>
      <c r="M165" s="1">
        <f t="array" ref="M165">IF(AND(A165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165&gt;=_xlfn.ANCHORARRAY(Sintesi!$C$9))+(_xlfn.ANCHORARRAY(Sintesi!$C$9)&gt;_xlfn.ANCHORARRAY(Sintesi!$C$10))*(A165&lt;=_xlfn.ANCHORARRAY(Sintesi!$C$10))+(_xlfn.ANCHORARRAY(Sintesi!$C$9)&lt;_xlfn.ANCHORARRAY(Sintesi!$C$10))*(A165&gt;=_xlfn.ANCHORARRAY(Sintesi!$C$9))*(A165&lt;=_xlfn.ANCHORARRAY(Sintesi!$C$10)),0)),0),A165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166&gt;=_xlfn.ANCHORARRAY(Sintesi!$C$9))+(_xlfn.ANCHORARRAY(Sintesi!$C$9)&gt;_xlfn.ANCHORARRAY(Sintesi!$C$10))*(A166&lt;=_xlfn.ANCHORARRAY(Sintesi!$C$10))+(_xlfn.ANCHORARRAY(Sintesi!$C$9)&lt;_xlfn.ANCHORARRAY(Sintesi!$C$10))*(A166&gt;=_xlfn.ANCHORARRAY(Sintesi!$C$9))*(A166&lt;=_xlfn.ANCHORARRAY(Sintesi!$C$10)),0)),0)),IF(L165&lt;_xlfn.IFNA(INDEX(_xlfn.ANCHORARRAY(Sintesi!$C$17),1,MATCH(1,(_xlfn.ANCHORARRAY(Sintesi!$C$9)&gt;_xlfn.ANCHORARRAY(Sintesi!$C$10))*(A164&gt;=_xlfn.ANCHORARRAY(Sintesi!$C$9))+(_xlfn.ANCHORARRAY(Sintesi!$C$9)&gt;_xlfn.ANCHORARRAY(Sintesi!$C$10))*(A164&lt;=_xlfn.ANCHORARRAY(Sintesi!$C$10))+(_xlfn.ANCHORARRAY(Sintesi!$C$9)&lt;_xlfn.ANCHORARRAY(Sintesi!$C$10))*(A164&gt;=_xlfn.ANCHORARRAY(Sintesi!$C$9))*(A164&lt;=_xlfn.ANCHORARRAY(Sintesi!$C$10)),0)),0),1,IF(L165&gt;=_xlfn.IFNA(INDEX(_xlfn.ANCHORARRAY(Sintesi!$C$18),1,MATCH(1,(_xlfn.ANCHORARRAY(Sintesi!$C$9)&gt;_xlfn.ANCHORARRAY(Sintesi!$C$10))*(A164&gt;=_xlfn.ANCHORARRAY(Sintesi!$C$9))+(_xlfn.ANCHORARRAY(Sintesi!$C$9)&gt;_xlfn.ANCHORARRAY(Sintesi!$C$10))*(A164&lt;=_xlfn.ANCHORARRAY(Sintesi!$C$10))+(_xlfn.ANCHORARRAY(Sintesi!$C$9)&lt;_xlfn.ANCHORARRAY(Sintesi!$C$10))*(A164&gt;=_xlfn.ANCHORARRAY(Sintesi!$C$9))*(A164&lt;=_xlfn.ANCHORARRAY(Sintesi!$C$10)),0)),0),0,1-(L165-_xlfn.IFNA(INDEX(_xlfn.ANCHORARRAY(Sintesi!$C$17),1,MATCH(1,(_xlfn.ANCHORARRAY(Sintesi!$C$9)&gt;_xlfn.ANCHORARRAY(Sintesi!$C$10))*(A164&gt;=_xlfn.ANCHORARRAY(Sintesi!$C$9))+(_xlfn.ANCHORARRAY(Sintesi!$C$9)&gt;_xlfn.ANCHORARRAY(Sintesi!$C$10))*(A164&lt;=_xlfn.ANCHORARRAY(Sintesi!$C$10))+(_xlfn.ANCHORARRAY(Sintesi!$C$9)&lt;_xlfn.ANCHORARRAY(Sintesi!$C$10))*(A164&gt;=_xlfn.ANCHORARRAY(Sintesi!$C$9))*(A164&lt;=_xlfn.ANCHORARRAY(Sintesi!$C$10)),0)),0))/(_xlfn.IFNA(INDEX(_xlfn.ANCHORARRAY(Sintesi!$C$18),1,MATCH(1,(_xlfn.ANCHORARRAY(Sintesi!$C$9)&gt;_xlfn.ANCHORARRAY(Sintesi!$C$10))*(A164&gt;=_xlfn.ANCHORARRAY(Sintesi!$C$9))+(_xlfn.ANCHORARRAY(Sintesi!$C$9)&gt;_xlfn.ANCHORARRAY(Sintesi!$C$10))*(A164&lt;=_xlfn.ANCHORARRAY(Sintesi!$C$10))+(_xlfn.ANCHORARRAY(Sintesi!$C$9)&lt;_xlfn.ANCHORARRAY(Sintesi!$C$10))*(A164&gt;=_xlfn.ANCHORARRAY(Sintesi!$C$9))*(A164&lt;=_xlfn.ANCHORARRAY(Sintesi!$C$10)),0)),0)-_xlfn.IFNA(INDEX(_xlfn.ANCHORARRAY(Sintesi!$C$17),1,MATCH(1,(_xlfn.ANCHORARRAY(Sintesi!$C$9)&gt;_xlfn.ANCHORARRAY(Sintesi!$C$10))*(A164&gt;=_xlfn.ANCHORARRAY(Sintesi!$C$9))+(_xlfn.ANCHORARRAY(Sintesi!$C$9)&gt;_xlfn.ANCHORARRAY(Sintesi!$C$10))*(A164&lt;=_xlfn.ANCHORARRAY(Sintesi!$C$10))+(_xlfn.ANCHORARRAY(Sintesi!$C$9)&lt;_xlfn.ANCHORARRAY(Sintesi!$C$10))*(A164&gt;=_xlfn.ANCHORARRAY(Sintesi!$C$9))*(A164&lt;=_xlfn.ANCHORARRAY(Sintesi!$C$10)),0)),0)))),0)</f>
        <v>1</v>
      </c>
    </row>
    <row r="166" spans="1:13">
      <c r="A166" s="1">
        <f>'Paste cell here'!A166</f>
        <v>165</v>
      </c>
      <c r="B166" s="2">
        <f>DATE(Sintesi!$C$4-1,12,31)+A166</f>
        <v>44361</v>
      </c>
      <c r="C166" s="34">
        <f t="array" ref="C166">_xlfn.IFNA(MATCH(1,((_xlfn.ANCHORARRAY(Sintesi!$C$9)&gt;_xlfn.ANCHORARRAY(Sintesi!$C$10))*(A166&gt;=_xlfn.ANCHORARRAY(Sintesi!$C$9))+(_xlfn.ANCHORARRAY(Sintesi!$C$9)&gt;_xlfn.ANCHORARRAY(Sintesi!$C$10))*(A166&lt;=_xlfn.ANCHORARRAY(Sintesi!$C$10))+(_xlfn.ANCHORARRAY(Sintesi!$C$9)&lt;_xlfn.ANCHORARRAY(Sintesi!$C$10))*(A166&gt;=_xlfn.ANCHORARRAY(Sintesi!$C$9))*(A166&lt;=_xlfn.ANCHORARRAY(Sintesi!$C$10)))*(_xlfn.ANCHORARRAY(Sintesi!$C$15)&gt;=0)+(_xlfn.ANCHORARRAY(Sintesi!$C$15)&lt;0),0),0)</f>
        <v>1</v>
      </c>
      <c r="D166" s="1">
        <f t="array" ref="D166">IF(ISBLANK($E167),IF(ISNUMBER($E165),IF($C166&gt;0,IF(($E166=INDEX(_xlfn.ANCHORARRAY(Sintesi!$C$14),1,$C166))*(INDEX(_xlfn.ANCHORARRAY(Sintesi!$C$15),1,$C166)&gt;0),0,IF(($E166=INDEX(_xlfn.ANCHORARRAY(Sintesi!$C$14),1,$C166))*(INDEX(_xlfn.ANCHORARRAY(Sintesi!$C$15),1,$C166)&lt;0)+($E166&gt;=$E165)*($E166&lt;=INDEX($E:$E,MATCH(TRUE,INDEX((ISNUMBER($E:$E)),0),0)))*($E166&gt;INDEX(_xlfn.ANCHORARRAY(Sintesi!$C$14),1,$C166))*($E166&lt;=INDEX(_xlfn.ANCHORARRAY(Sintesi!$C$15),1,$C166))*(INDEX(_xlfn.ANCHORARRAY(Sintesi!$C$15),1,$C166)&gt;0),1,IF(($E166&gt;=$E165)*($E166&lt;=INDEX($E:$E,MATCH(TRUE,INDEX((ISNUMBER($E:$E)),0),0)))*($E166&gt;INDEX(_xlfn.ANCHORARRAY(Sintesi!$C$14),1,$C166))*($E166&lt;INDEX(_xlfn.ANCHORARRAY(Sintesi!$C$16),1,$C166))*(INDEX(_xlfn.ANCHORARRAY(Sintesi!$C$15),1,$C166)&lt;0)+($E166&gt;=$E165)*($E166&lt;=INDEX($E:$E,MATCH(TRUE,INDEX((ISNUMBER($E:$E)),0),0)))*($E166&gt;INDEX(_xlfn.ANCHORARRAY(Sintesi!$C$15),1,$C166))*($E166&lt;INDEX(_xlfn.ANCHORARRAY(Sintesi!$C$16),1,$C166))*(INDEX(_xlfn.ANCHORARRAY(Sintesi!$C$15),1,$C166)&gt;0),2,IF($E166=(INDEX(_xlfn.ANCHORARRAY(Sintesi!$C$16),1,$C166)),3,4)))),0),IF($C166&gt;0,IF(($E166=INDEX(_xlfn.ANCHORARRAY(Sintesi!$C$14),1,$C166))*(INDEX(_xlfn.ANCHORARRAY(Sintesi!$C$15),1,$C166)&gt;0),0,IF(($E166=INDEX(_xlfn.ANCHORARRAY(Sintesi!$C$14),1,$C166))*(INDEX(_xlfn.ANCHORARRAY(Sintesi!$C$15),1,$C166)&lt;0)+($E166&gt;=LOOKUP(2,1/($E:$E&lt;&gt;""),$E:$E))*($E166&lt;=INDEX($E:$E,MATCH(TRUE,INDEX((ISNUMBER($E:$E)),0),0)))*($E166&gt;INDEX(_xlfn.ANCHORARRAY(Sintesi!$C$14),1,$C166))*($E166&lt;=INDEX(_xlfn.ANCHORARRAY(Sintesi!$C$15),1,$C166))*(INDEX(_xlfn.ANCHORARRAY(Sintesi!$C$15),1,$C166)&gt;0),1,IF(($E166&gt;=LOOKUP(2,1/($E:$E&lt;&gt;""),$E:$E))*($E166&lt;=INDEX($E:$E,MATCH(TRUE,INDEX((ISNUMBER($E:$E)),0),0)))*($E166&gt;INDEX(_xlfn.ANCHORARRAY(Sintesi!$C$14),1,$C166))*($E166&lt;INDEX(_xlfn.ANCHORARRAY(Sintesi!$C$16),1,$C166))*(INDEX(_xlfn.ANCHORARRAY(Sintesi!$C$15),1,$C166)&lt;0)+($E166&gt;=LOOKUP(2,1/($E:$E&lt;&gt;""),$E:$E))*($E166&lt;=INDEX($E:$E,MATCH(TRUE,INDEX((ISNUMBER($E:$E)),0),0)))*($E166&gt;INDEX(_xlfn.ANCHORARRAY(Sintesi!$C$15),1,$C166))*($E166&lt;INDEX(_xlfn.ANCHORARRAY(Sintesi!$C$16),1,$C166))*(INDEX(_xlfn.ANCHORARRAY(Sintesi!$C$15),1,$C166)&gt;0),2,IF($E166=(INDEX(_xlfn.ANCHORARRAY(Sintesi!$C$16),1,$C166)),3,4)))),0)),IF(ISNUMBER($E165),IF($C166&gt;0,IF(($E166=INDEX(_xlfn.ANCHORARRAY(Sintesi!$C$14),1,$C166))*(INDEX(_xlfn.ANCHORARRAY(Sintesi!$C$15),1,$C166)&gt;0),0,IF(($E166=INDEX(_xlfn.ANCHORARRAY(Sintesi!$C$14),1,$C166))*(INDEX(_xlfn.ANCHORARRAY(Sintesi!$C$15),1,$C166)&lt;0)+($E166&gt;=$E165)*($E166&lt;=$E167)*($E166&gt;INDEX(_xlfn.ANCHORARRAY(Sintesi!$C$14),1,$C166))*($E166&lt;=INDEX(_xlfn.ANCHORARRAY(Sintesi!$C$15),1,$C166))*(INDEX(_xlfn.ANCHORARRAY(Sintesi!$C$15),1,$C166)&gt;0),1,IF(($E166&gt;=$E165)*($E166&lt;=$E167)*($E166&gt;INDEX(_xlfn.ANCHORARRAY(Sintesi!$C$14),1,$C166))*($E166&lt;INDEX(_xlfn.ANCHORARRAY(Sintesi!$C$16),1,$C166))*(INDEX(_xlfn.ANCHORARRAY(Sintesi!$C$15),1,$C166)&lt;0)+($E166&gt;=$E165)*($E166&lt;=$E167)*($E166&gt;INDEX(_xlfn.ANCHORARRAY(Sintesi!$C$15),1,$C166))*($E166&lt;INDEX(_xlfn.ANCHORARRAY(Sintesi!$C$16),1,$C166))*(INDEX(_xlfn.ANCHORARRAY(Sintesi!$C$15),1,$C166)&gt;0),2,IF($E166=(INDEX(_xlfn.ANCHORARRAY(Sintesi!$C$16),1,$C166)),3,4)))),0),IF($C166&gt;0,IF(($E166=INDEX(_xlfn.ANCHORARRAY(Sintesi!$C$14),1,$C166))*(INDEX(_xlfn.ANCHORARRAY(Sintesi!$C$15),1,$C166)&gt;0),0,IF(($E166=INDEX(_xlfn.ANCHORARRAY(Sintesi!$C$14),1,$C166))*(INDEX(_xlfn.ANCHORARRAY(Sintesi!$C$15),1,$C166)&lt;0)+($E166&gt;=LOOKUP(2,1/($E:$E&lt;&gt;""),$E:$E))*($E166&lt;=$E167)*($E166&gt;INDEX(_xlfn.ANCHORARRAY(Sintesi!$C$14),1,$C166))*($E166&lt;=INDEX(_xlfn.ANCHORARRAY(Sintesi!$C$15),1,$C166))*(INDEX(_xlfn.ANCHORARRAY(Sintesi!$C$15),1,$C166)&gt;0),1,IF(($E166&gt;=LOOKUP(2,1/($E:$E&lt;&gt;""),$E:$E))*($E166&lt;=$E167)*($E166&gt;INDEX(_xlfn.ANCHORARRAY(Sintesi!$C$14),1,$C166))*($E166&lt;INDEX(_xlfn.ANCHORARRAY(Sintesi!$C$16),1,$C166))*(INDEX(_xlfn.ANCHORARRAY(Sintesi!$C$15),1,$C166)&lt;0)+($E166&gt;=LOOKUP(2,1/($E:$E&lt;&gt;""),$E:$E))*($E166&lt;=$E167)*($E166&gt;INDEX(_xlfn.ANCHORARRAY(Sintesi!$C$15),1,$C166))*($E166&lt;INDEX(_xlfn.ANCHORARRAY(Sintesi!$C$16),1,$C166))*(INDEX(_xlfn.ANCHORARRAY(Sintesi!$C$15),1,$C166)&gt;0),2,IF($E166=(INDEX(_xlfn.ANCHORARRAY(Sintesi!$C$16),1,$C166)),3,4)))),0)))</f>
        <v>2</v>
      </c>
      <c r="E166" s="1">
        <f>'Paste cell here'!F166</f>
        <v>0.79700000000000004</v>
      </c>
      <c r="F166" s="1">
        <f>'Paste cell here'!C166</f>
        <v>31.099999999999547</v>
      </c>
      <c r="G166" s="1">
        <f>'Paste cell here'!D166</f>
        <v>20.079999999999728</v>
      </c>
      <c r="H166" s="1">
        <f>'Paste cell here'!E166</f>
        <v>6.1180566066722051</v>
      </c>
      <c r="I166" s="1">
        <f>'Paste cell here'!X166</f>
        <v>4.8756200548168529</v>
      </c>
      <c r="J166" s="1">
        <f>'Paste cell here'!Y166+'Paste cell here'!S166</f>
        <v>4.8756200548168529</v>
      </c>
      <c r="K166" s="1">
        <f t="shared" si="4"/>
        <v>0.79692300484758827</v>
      </c>
      <c r="L166" s="1">
        <f t="shared" si="5"/>
        <v>26.828279762741062</v>
      </c>
      <c r="M166" s="1">
        <f t="array" ref="M166">IF(AND(A166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166&gt;=_xlfn.ANCHORARRAY(Sintesi!$C$9))+(_xlfn.ANCHORARRAY(Sintesi!$C$9)&gt;_xlfn.ANCHORARRAY(Sintesi!$C$10))*(A166&lt;=_xlfn.ANCHORARRAY(Sintesi!$C$10))+(_xlfn.ANCHORARRAY(Sintesi!$C$9)&lt;_xlfn.ANCHORARRAY(Sintesi!$C$10))*(A166&gt;=_xlfn.ANCHORARRAY(Sintesi!$C$9))*(A166&lt;=_xlfn.ANCHORARRAY(Sintesi!$C$10)),0)),0),A166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167&gt;=_xlfn.ANCHORARRAY(Sintesi!$C$9))+(_xlfn.ANCHORARRAY(Sintesi!$C$9)&gt;_xlfn.ANCHORARRAY(Sintesi!$C$10))*(A167&lt;=_xlfn.ANCHORARRAY(Sintesi!$C$10))+(_xlfn.ANCHORARRAY(Sintesi!$C$9)&lt;_xlfn.ANCHORARRAY(Sintesi!$C$10))*(A167&gt;=_xlfn.ANCHORARRAY(Sintesi!$C$9))*(A167&lt;=_xlfn.ANCHORARRAY(Sintesi!$C$10)),0)),0)),IF(L166&lt;_xlfn.IFNA(INDEX(_xlfn.ANCHORARRAY(Sintesi!$C$17),1,MATCH(1,(_xlfn.ANCHORARRAY(Sintesi!$C$9)&gt;_xlfn.ANCHORARRAY(Sintesi!$C$10))*(A165&gt;=_xlfn.ANCHORARRAY(Sintesi!$C$9))+(_xlfn.ANCHORARRAY(Sintesi!$C$9)&gt;_xlfn.ANCHORARRAY(Sintesi!$C$10))*(A165&lt;=_xlfn.ANCHORARRAY(Sintesi!$C$10))+(_xlfn.ANCHORARRAY(Sintesi!$C$9)&lt;_xlfn.ANCHORARRAY(Sintesi!$C$10))*(A165&gt;=_xlfn.ANCHORARRAY(Sintesi!$C$9))*(A165&lt;=_xlfn.ANCHORARRAY(Sintesi!$C$10)),0)),0),1,IF(L166&gt;=_xlfn.IFNA(INDEX(_xlfn.ANCHORARRAY(Sintesi!$C$18),1,MATCH(1,(_xlfn.ANCHORARRAY(Sintesi!$C$9)&gt;_xlfn.ANCHORARRAY(Sintesi!$C$10))*(A165&gt;=_xlfn.ANCHORARRAY(Sintesi!$C$9))+(_xlfn.ANCHORARRAY(Sintesi!$C$9)&gt;_xlfn.ANCHORARRAY(Sintesi!$C$10))*(A165&lt;=_xlfn.ANCHORARRAY(Sintesi!$C$10))+(_xlfn.ANCHORARRAY(Sintesi!$C$9)&lt;_xlfn.ANCHORARRAY(Sintesi!$C$10))*(A165&gt;=_xlfn.ANCHORARRAY(Sintesi!$C$9))*(A165&lt;=_xlfn.ANCHORARRAY(Sintesi!$C$10)),0)),0),0,1-(L166-_xlfn.IFNA(INDEX(_xlfn.ANCHORARRAY(Sintesi!$C$17),1,MATCH(1,(_xlfn.ANCHORARRAY(Sintesi!$C$9)&gt;_xlfn.ANCHORARRAY(Sintesi!$C$10))*(A165&gt;=_xlfn.ANCHORARRAY(Sintesi!$C$9))+(_xlfn.ANCHORARRAY(Sintesi!$C$9)&gt;_xlfn.ANCHORARRAY(Sintesi!$C$10))*(A165&lt;=_xlfn.ANCHORARRAY(Sintesi!$C$10))+(_xlfn.ANCHORARRAY(Sintesi!$C$9)&lt;_xlfn.ANCHORARRAY(Sintesi!$C$10))*(A165&gt;=_xlfn.ANCHORARRAY(Sintesi!$C$9))*(A165&lt;=_xlfn.ANCHORARRAY(Sintesi!$C$10)),0)),0))/(_xlfn.IFNA(INDEX(_xlfn.ANCHORARRAY(Sintesi!$C$18),1,MATCH(1,(_xlfn.ANCHORARRAY(Sintesi!$C$9)&gt;_xlfn.ANCHORARRAY(Sintesi!$C$10))*(A165&gt;=_xlfn.ANCHORARRAY(Sintesi!$C$9))+(_xlfn.ANCHORARRAY(Sintesi!$C$9)&gt;_xlfn.ANCHORARRAY(Sintesi!$C$10))*(A165&lt;=_xlfn.ANCHORARRAY(Sintesi!$C$10))+(_xlfn.ANCHORARRAY(Sintesi!$C$9)&lt;_xlfn.ANCHORARRAY(Sintesi!$C$10))*(A165&gt;=_xlfn.ANCHORARRAY(Sintesi!$C$9))*(A165&lt;=_xlfn.ANCHORARRAY(Sintesi!$C$10)),0)),0)-_xlfn.IFNA(INDEX(_xlfn.ANCHORARRAY(Sintesi!$C$17),1,MATCH(1,(_xlfn.ANCHORARRAY(Sintesi!$C$9)&gt;_xlfn.ANCHORARRAY(Sintesi!$C$10))*(A165&gt;=_xlfn.ANCHORARRAY(Sintesi!$C$9))+(_xlfn.ANCHORARRAY(Sintesi!$C$9)&gt;_xlfn.ANCHORARRAY(Sintesi!$C$10))*(A165&lt;=_xlfn.ANCHORARRAY(Sintesi!$C$10))+(_xlfn.ANCHORARRAY(Sintesi!$C$9)&lt;_xlfn.ANCHORARRAY(Sintesi!$C$10))*(A165&gt;=_xlfn.ANCHORARRAY(Sintesi!$C$9))*(A165&lt;=_xlfn.ANCHORARRAY(Sintesi!$C$10)),0)),0)))),0)</f>
        <v>1</v>
      </c>
    </row>
    <row r="167" spans="1:13">
      <c r="A167" s="1">
        <f>'Paste cell here'!A167</f>
        <v>166</v>
      </c>
      <c r="B167" s="2">
        <f>DATE(Sintesi!$C$4-1,12,31)+A167</f>
        <v>44362</v>
      </c>
      <c r="C167" s="34">
        <f t="array" ref="C167">_xlfn.IFNA(MATCH(1,((_xlfn.ANCHORARRAY(Sintesi!$C$9)&gt;_xlfn.ANCHORARRAY(Sintesi!$C$10))*(A167&gt;=_xlfn.ANCHORARRAY(Sintesi!$C$9))+(_xlfn.ANCHORARRAY(Sintesi!$C$9)&gt;_xlfn.ANCHORARRAY(Sintesi!$C$10))*(A167&lt;=_xlfn.ANCHORARRAY(Sintesi!$C$10))+(_xlfn.ANCHORARRAY(Sintesi!$C$9)&lt;_xlfn.ANCHORARRAY(Sintesi!$C$10))*(A167&gt;=_xlfn.ANCHORARRAY(Sintesi!$C$9))*(A167&lt;=_xlfn.ANCHORARRAY(Sintesi!$C$10)))*(_xlfn.ANCHORARRAY(Sintesi!$C$15)&gt;=0)+(_xlfn.ANCHORARRAY(Sintesi!$C$15)&lt;0),0),0)</f>
        <v>1</v>
      </c>
      <c r="D167" s="1">
        <f t="array" ref="D167">IF(ISBLANK($E168),IF(ISNUMBER($E166),IF($C167&gt;0,IF(($E167=INDEX(_xlfn.ANCHORARRAY(Sintesi!$C$14),1,$C167))*(INDEX(_xlfn.ANCHORARRAY(Sintesi!$C$15),1,$C167)&gt;0),0,IF(($E167=INDEX(_xlfn.ANCHORARRAY(Sintesi!$C$14),1,$C167))*(INDEX(_xlfn.ANCHORARRAY(Sintesi!$C$15),1,$C167)&lt;0)+($E167&gt;=$E166)*($E167&lt;=INDEX($E:$E,MATCH(TRUE,INDEX((ISNUMBER($E:$E)),0),0)))*($E167&gt;INDEX(_xlfn.ANCHORARRAY(Sintesi!$C$14),1,$C167))*($E167&lt;=INDEX(_xlfn.ANCHORARRAY(Sintesi!$C$15),1,$C167))*(INDEX(_xlfn.ANCHORARRAY(Sintesi!$C$15),1,$C167)&gt;0),1,IF(($E167&gt;=$E166)*($E167&lt;=INDEX($E:$E,MATCH(TRUE,INDEX((ISNUMBER($E:$E)),0),0)))*($E167&gt;INDEX(_xlfn.ANCHORARRAY(Sintesi!$C$14),1,$C167))*($E167&lt;INDEX(_xlfn.ANCHORARRAY(Sintesi!$C$16),1,$C167))*(INDEX(_xlfn.ANCHORARRAY(Sintesi!$C$15),1,$C167)&lt;0)+($E167&gt;=$E166)*($E167&lt;=INDEX($E:$E,MATCH(TRUE,INDEX((ISNUMBER($E:$E)),0),0)))*($E167&gt;INDEX(_xlfn.ANCHORARRAY(Sintesi!$C$15),1,$C167))*($E167&lt;INDEX(_xlfn.ANCHORARRAY(Sintesi!$C$16),1,$C167))*(INDEX(_xlfn.ANCHORARRAY(Sintesi!$C$15),1,$C167)&gt;0),2,IF($E167=(INDEX(_xlfn.ANCHORARRAY(Sintesi!$C$16),1,$C167)),3,4)))),0),IF($C167&gt;0,IF(($E167=INDEX(_xlfn.ANCHORARRAY(Sintesi!$C$14),1,$C167))*(INDEX(_xlfn.ANCHORARRAY(Sintesi!$C$15),1,$C167)&gt;0),0,IF(($E167=INDEX(_xlfn.ANCHORARRAY(Sintesi!$C$14),1,$C167))*(INDEX(_xlfn.ANCHORARRAY(Sintesi!$C$15),1,$C167)&lt;0)+($E167&gt;=LOOKUP(2,1/($E:$E&lt;&gt;""),$E:$E))*($E167&lt;=INDEX($E:$E,MATCH(TRUE,INDEX((ISNUMBER($E:$E)),0),0)))*($E167&gt;INDEX(_xlfn.ANCHORARRAY(Sintesi!$C$14),1,$C167))*($E167&lt;=INDEX(_xlfn.ANCHORARRAY(Sintesi!$C$15),1,$C167))*(INDEX(_xlfn.ANCHORARRAY(Sintesi!$C$15),1,$C167)&gt;0),1,IF(($E167&gt;=LOOKUP(2,1/($E:$E&lt;&gt;""),$E:$E))*($E167&lt;=INDEX($E:$E,MATCH(TRUE,INDEX((ISNUMBER($E:$E)),0),0)))*($E167&gt;INDEX(_xlfn.ANCHORARRAY(Sintesi!$C$14),1,$C167))*($E167&lt;INDEX(_xlfn.ANCHORARRAY(Sintesi!$C$16),1,$C167))*(INDEX(_xlfn.ANCHORARRAY(Sintesi!$C$15),1,$C167)&lt;0)+($E167&gt;=LOOKUP(2,1/($E:$E&lt;&gt;""),$E:$E))*($E167&lt;=INDEX($E:$E,MATCH(TRUE,INDEX((ISNUMBER($E:$E)),0),0)))*($E167&gt;INDEX(_xlfn.ANCHORARRAY(Sintesi!$C$15),1,$C167))*($E167&lt;INDEX(_xlfn.ANCHORARRAY(Sintesi!$C$16),1,$C167))*(INDEX(_xlfn.ANCHORARRAY(Sintesi!$C$15),1,$C167)&gt;0),2,IF($E167=(INDEX(_xlfn.ANCHORARRAY(Sintesi!$C$16),1,$C167)),3,4)))),0)),IF(ISNUMBER($E166),IF($C167&gt;0,IF(($E167=INDEX(_xlfn.ANCHORARRAY(Sintesi!$C$14),1,$C167))*(INDEX(_xlfn.ANCHORARRAY(Sintesi!$C$15),1,$C167)&gt;0),0,IF(($E167=INDEX(_xlfn.ANCHORARRAY(Sintesi!$C$14),1,$C167))*(INDEX(_xlfn.ANCHORARRAY(Sintesi!$C$15),1,$C167)&lt;0)+($E167&gt;=$E166)*($E167&lt;=$E168)*($E167&gt;INDEX(_xlfn.ANCHORARRAY(Sintesi!$C$14),1,$C167))*($E167&lt;=INDEX(_xlfn.ANCHORARRAY(Sintesi!$C$15),1,$C167))*(INDEX(_xlfn.ANCHORARRAY(Sintesi!$C$15),1,$C167)&gt;0),1,IF(($E167&gt;=$E166)*($E167&lt;=$E168)*($E167&gt;INDEX(_xlfn.ANCHORARRAY(Sintesi!$C$14),1,$C167))*($E167&lt;INDEX(_xlfn.ANCHORARRAY(Sintesi!$C$16),1,$C167))*(INDEX(_xlfn.ANCHORARRAY(Sintesi!$C$15),1,$C167)&lt;0)+($E167&gt;=$E166)*($E167&lt;=$E168)*($E167&gt;INDEX(_xlfn.ANCHORARRAY(Sintesi!$C$15),1,$C167))*($E167&lt;INDEX(_xlfn.ANCHORARRAY(Sintesi!$C$16),1,$C167))*(INDEX(_xlfn.ANCHORARRAY(Sintesi!$C$15),1,$C167)&gt;0),2,IF($E167=(INDEX(_xlfn.ANCHORARRAY(Sintesi!$C$16),1,$C167)),3,4)))),0),IF($C167&gt;0,IF(($E167=INDEX(_xlfn.ANCHORARRAY(Sintesi!$C$14),1,$C167))*(INDEX(_xlfn.ANCHORARRAY(Sintesi!$C$15),1,$C167)&gt;0),0,IF(($E167=INDEX(_xlfn.ANCHORARRAY(Sintesi!$C$14),1,$C167))*(INDEX(_xlfn.ANCHORARRAY(Sintesi!$C$15),1,$C167)&lt;0)+($E167&gt;=LOOKUP(2,1/($E:$E&lt;&gt;""),$E:$E))*($E167&lt;=$E168)*($E167&gt;INDEX(_xlfn.ANCHORARRAY(Sintesi!$C$14),1,$C167))*($E167&lt;=INDEX(_xlfn.ANCHORARRAY(Sintesi!$C$15),1,$C167))*(INDEX(_xlfn.ANCHORARRAY(Sintesi!$C$15),1,$C167)&gt;0),1,IF(($E167&gt;=LOOKUP(2,1/($E:$E&lt;&gt;""),$E:$E))*($E167&lt;=$E168)*($E167&gt;INDEX(_xlfn.ANCHORARRAY(Sintesi!$C$14),1,$C167))*($E167&lt;INDEX(_xlfn.ANCHORARRAY(Sintesi!$C$16),1,$C167))*(INDEX(_xlfn.ANCHORARRAY(Sintesi!$C$15),1,$C167)&lt;0)+($E167&gt;=LOOKUP(2,1/($E:$E&lt;&gt;""),$E:$E))*($E167&lt;=$E168)*($E167&gt;INDEX(_xlfn.ANCHORARRAY(Sintesi!$C$15),1,$C167))*($E167&lt;INDEX(_xlfn.ANCHORARRAY(Sintesi!$C$16),1,$C167))*(INDEX(_xlfn.ANCHORARRAY(Sintesi!$C$15),1,$C167)&gt;0),2,IF($E167=(INDEX(_xlfn.ANCHORARRAY(Sintesi!$C$16),1,$C167)),3,4)))),0)))</f>
        <v>2</v>
      </c>
      <c r="E167" s="1">
        <f>'Paste cell here'!F167</f>
        <v>0.81699999999999995</v>
      </c>
      <c r="F167" s="1">
        <f>'Paste cell here'!C167</f>
        <v>30.699999999999555</v>
      </c>
      <c r="G167" s="1">
        <f>'Paste cell here'!D167</f>
        <v>20.719999999999722</v>
      </c>
      <c r="H167" s="1">
        <f>'Paste cell here'!E167</f>
        <v>6.0501347119393492</v>
      </c>
      <c r="I167" s="1">
        <f>'Paste cell here'!X167</f>
        <v>4.9424784902303536</v>
      </c>
      <c r="J167" s="1">
        <f>'Paste cell here'!Y167+'Paste cell here'!S167</f>
        <v>4.9424784902303536</v>
      </c>
      <c r="K167" s="1">
        <f t="shared" si="4"/>
        <v>0.81692040352041351</v>
      </c>
      <c r="L167" s="1">
        <f t="shared" si="5"/>
        <v>26.831418514714649</v>
      </c>
      <c r="M167" s="1">
        <f t="array" ref="M167">IF(AND(A167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167&gt;=_xlfn.ANCHORARRAY(Sintesi!$C$9))+(_xlfn.ANCHORARRAY(Sintesi!$C$9)&gt;_xlfn.ANCHORARRAY(Sintesi!$C$10))*(A167&lt;=_xlfn.ANCHORARRAY(Sintesi!$C$10))+(_xlfn.ANCHORARRAY(Sintesi!$C$9)&lt;_xlfn.ANCHORARRAY(Sintesi!$C$10))*(A167&gt;=_xlfn.ANCHORARRAY(Sintesi!$C$9))*(A167&lt;=_xlfn.ANCHORARRAY(Sintesi!$C$10)),0)),0),A167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168&gt;=_xlfn.ANCHORARRAY(Sintesi!$C$9))+(_xlfn.ANCHORARRAY(Sintesi!$C$9)&gt;_xlfn.ANCHORARRAY(Sintesi!$C$10))*(A168&lt;=_xlfn.ANCHORARRAY(Sintesi!$C$10))+(_xlfn.ANCHORARRAY(Sintesi!$C$9)&lt;_xlfn.ANCHORARRAY(Sintesi!$C$10))*(A168&gt;=_xlfn.ANCHORARRAY(Sintesi!$C$9))*(A168&lt;=_xlfn.ANCHORARRAY(Sintesi!$C$10)),0)),0)),IF(L167&lt;_xlfn.IFNA(INDEX(_xlfn.ANCHORARRAY(Sintesi!$C$17),1,MATCH(1,(_xlfn.ANCHORARRAY(Sintesi!$C$9)&gt;_xlfn.ANCHORARRAY(Sintesi!$C$10))*(A166&gt;=_xlfn.ANCHORARRAY(Sintesi!$C$9))+(_xlfn.ANCHORARRAY(Sintesi!$C$9)&gt;_xlfn.ANCHORARRAY(Sintesi!$C$10))*(A166&lt;=_xlfn.ANCHORARRAY(Sintesi!$C$10))+(_xlfn.ANCHORARRAY(Sintesi!$C$9)&lt;_xlfn.ANCHORARRAY(Sintesi!$C$10))*(A166&gt;=_xlfn.ANCHORARRAY(Sintesi!$C$9))*(A166&lt;=_xlfn.ANCHORARRAY(Sintesi!$C$10)),0)),0),1,IF(L167&gt;=_xlfn.IFNA(INDEX(_xlfn.ANCHORARRAY(Sintesi!$C$18),1,MATCH(1,(_xlfn.ANCHORARRAY(Sintesi!$C$9)&gt;_xlfn.ANCHORARRAY(Sintesi!$C$10))*(A166&gt;=_xlfn.ANCHORARRAY(Sintesi!$C$9))+(_xlfn.ANCHORARRAY(Sintesi!$C$9)&gt;_xlfn.ANCHORARRAY(Sintesi!$C$10))*(A166&lt;=_xlfn.ANCHORARRAY(Sintesi!$C$10))+(_xlfn.ANCHORARRAY(Sintesi!$C$9)&lt;_xlfn.ANCHORARRAY(Sintesi!$C$10))*(A166&gt;=_xlfn.ANCHORARRAY(Sintesi!$C$9))*(A166&lt;=_xlfn.ANCHORARRAY(Sintesi!$C$10)),0)),0),0,1-(L167-_xlfn.IFNA(INDEX(_xlfn.ANCHORARRAY(Sintesi!$C$17),1,MATCH(1,(_xlfn.ANCHORARRAY(Sintesi!$C$9)&gt;_xlfn.ANCHORARRAY(Sintesi!$C$10))*(A166&gt;=_xlfn.ANCHORARRAY(Sintesi!$C$9))+(_xlfn.ANCHORARRAY(Sintesi!$C$9)&gt;_xlfn.ANCHORARRAY(Sintesi!$C$10))*(A166&lt;=_xlfn.ANCHORARRAY(Sintesi!$C$10))+(_xlfn.ANCHORARRAY(Sintesi!$C$9)&lt;_xlfn.ANCHORARRAY(Sintesi!$C$10))*(A166&gt;=_xlfn.ANCHORARRAY(Sintesi!$C$9))*(A166&lt;=_xlfn.ANCHORARRAY(Sintesi!$C$10)),0)),0))/(_xlfn.IFNA(INDEX(_xlfn.ANCHORARRAY(Sintesi!$C$18),1,MATCH(1,(_xlfn.ANCHORARRAY(Sintesi!$C$9)&gt;_xlfn.ANCHORARRAY(Sintesi!$C$10))*(A166&gt;=_xlfn.ANCHORARRAY(Sintesi!$C$9))+(_xlfn.ANCHORARRAY(Sintesi!$C$9)&gt;_xlfn.ANCHORARRAY(Sintesi!$C$10))*(A166&lt;=_xlfn.ANCHORARRAY(Sintesi!$C$10))+(_xlfn.ANCHORARRAY(Sintesi!$C$9)&lt;_xlfn.ANCHORARRAY(Sintesi!$C$10))*(A166&gt;=_xlfn.ANCHORARRAY(Sintesi!$C$9))*(A166&lt;=_xlfn.ANCHORARRAY(Sintesi!$C$10)),0)),0)-_xlfn.IFNA(INDEX(_xlfn.ANCHORARRAY(Sintesi!$C$17),1,MATCH(1,(_xlfn.ANCHORARRAY(Sintesi!$C$9)&gt;_xlfn.ANCHORARRAY(Sintesi!$C$10))*(A166&gt;=_xlfn.ANCHORARRAY(Sintesi!$C$9))+(_xlfn.ANCHORARRAY(Sintesi!$C$9)&gt;_xlfn.ANCHORARRAY(Sintesi!$C$10))*(A166&lt;=_xlfn.ANCHORARRAY(Sintesi!$C$10))+(_xlfn.ANCHORARRAY(Sintesi!$C$9)&lt;_xlfn.ANCHORARRAY(Sintesi!$C$10))*(A166&gt;=_xlfn.ANCHORARRAY(Sintesi!$C$9))*(A166&lt;=_xlfn.ANCHORARRAY(Sintesi!$C$10)),0)),0)))),0)</f>
        <v>1</v>
      </c>
    </row>
    <row r="168" spans="1:13">
      <c r="A168" s="1">
        <f>'Paste cell here'!A168</f>
        <v>167</v>
      </c>
      <c r="B168" s="2">
        <f>DATE(Sintesi!$C$4-1,12,31)+A168</f>
        <v>44363</v>
      </c>
      <c r="C168" s="34">
        <f t="array" ref="C168">_xlfn.IFNA(MATCH(1,((_xlfn.ANCHORARRAY(Sintesi!$C$9)&gt;_xlfn.ANCHORARRAY(Sintesi!$C$10))*(A168&gt;=_xlfn.ANCHORARRAY(Sintesi!$C$9))+(_xlfn.ANCHORARRAY(Sintesi!$C$9)&gt;_xlfn.ANCHORARRAY(Sintesi!$C$10))*(A168&lt;=_xlfn.ANCHORARRAY(Sintesi!$C$10))+(_xlfn.ANCHORARRAY(Sintesi!$C$9)&lt;_xlfn.ANCHORARRAY(Sintesi!$C$10))*(A168&gt;=_xlfn.ANCHORARRAY(Sintesi!$C$9))*(A168&lt;=_xlfn.ANCHORARRAY(Sintesi!$C$10)))*(_xlfn.ANCHORARRAY(Sintesi!$C$15)&gt;=0)+(_xlfn.ANCHORARRAY(Sintesi!$C$15)&lt;0),0),0)</f>
        <v>1</v>
      </c>
      <c r="D168" s="1">
        <f t="array" ref="D168">IF(ISBLANK($E169),IF(ISNUMBER($E167),IF($C168&gt;0,IF(($E168=INDEX(_xlfn.ANCHORARRAY(Sintesi!$C$14),1,$C168))*(INDEX(_xlfn.ANCHORARRAY(Sintesi!$C$15),1,$C168)&gt;0),0,IF(($E168=INDEX(_xlfn.ANCHORARRAY(Sintesi!$C$14),1,$C168))*(INDEX(_xlfn.ANCHORARRAY(Sintesi!$C$15),1,$C168)&lt;0)+($E168&gt;=$E167)*($E168&lt;=INDEX($E:$E,MATCH(TRUE,INDEX((ISNUMBER($E:$E)),0),0)))*($E168&gt;INDEX(_xlfn.ANCHORARRAY(Sintesi!$C$14),1,$C168))*($E168&lt;=INDEX(_xlfn.ANCHORARRAY(Sintesi!$C$15),1,$C168))*(INDEX(_xlfn.ANCHORARRAY(Sintesi!$C$15),1,$C168)&gt;0),1,IF(($E168&gt;=$E167)*($E168&lt;=INDEX($E:$E,MATCH(TRUE,INDEX((ISNUMBER($E:$E)),0),0)))*($E168&gt;INDEX(_xlfn.ANCHORARRAY(Sintesi!$C$14),1,$C168))*($E168&lt;INDEX(_xlfn.ANCHORARRAY(Sintesi!$C$16),1,$C168))*(INDEX(_xlfn.ANCHORARRAY(Sintesi!$C$15),1,$C168)&lt;0)+($E168&gt;=$E167)*($E168&lt;=INDEX($E:$E,MATCH(TRUE,INDEX((ISNUMBER($E:$E)),0),0)))*($E168&gt;INDEX(_xlfn.ANCHORARRAY(Sintesi!$C$15),1,$C168))*($E168&lt;INDEX(_xlfn.ANCHORARRAY(Sintesi!$C$16),1,$C168))*(INDEX(_xlfn.ANCHORARRAY(Sintesi!$C$15),1,$C168)&gt;0),2,IF($E168=(INDEX(_xlfn.ANCHORARRAY(Sintesi!$C$16),1,$C168)),3,4)))),0),IF($C168&gt;0,IF(($E168=INDEX(_xlfn.ANCHORARRAY(Sintesi!$C$14),1,$C168))*(INDEX(_xlfn.ANCHORARRAY(Sintesi!$C$15),1,$C168)&gt;0),0,IF(($E168=INDEX(_xlfn.ANCHORARRAY(Sintesi!$C$14),1,$C168))*(INDEX(_xlfn.ANCHORARRAY(Sintesi!$C$15),1,$C168)&lt;0)+($E168&gt;=LOOKUP(2,1/($E:$E&lt;&gt;""),$E:$E))*($E168&lt;=INDEX($E:$E,MATCH(TRUE,INDEX((ISNUMBER($E:$E)),0),0)))*($E168&gt;INDEX(_xlfn.ANCHORARRAY(Sintesi!$C$14),1,$C168))*($E168&lt;=INDEX(_xlfn.ANCHORARRAY(Sintesi!$C$15),1,$C168))*(INDEX(_xlfn.ANCHORARRAY(Sintesi!$C$15),1,$C168)&gt;0),1,IF(($E168&gt;=LOOKUP(2,1/($E:$E&lt;&gt;""),$E:$E))*($E168&lt;=INDEX($E:$E,MATCH(TRUE,INDEX((ISNUMBER($E:$E)),0),0)))*($E168&gt;INDEX(_xlfn.ANCHORARRAY(Sintesi!$C$14),1,$C168))*($E168&lt;INDEX(_xlfn.ANCHORARRAY(Sintesi!$C$16),1,$C168))*(INDEX(_xlfn.ANCHORARRAY(Sintesi!$C$15),1,$C168)&lt;0)+($E168&gt;=LOOKUP(2,1/($E:$E&lt;&gt;""),$E:$E))*($E168&lt;=INDEX($E:$E,MATCH(TRUE,INDEX((ISNUMBER($E:$E)),0),0)))*($E168&gt;INDEX(_xlfn.ANCHORARRAY(Sintesi!$C$15),1,$C168))*($E168&lt;INDEX(_xlfn.ANCHORARRAY(Sintesi!$C$16),1,$C168))*(INDEX(_xlfn.ANCHORARRAY(Sintesi!$C$15),1,$C168)&gt;0),2,IF($E168=(INDEX(_xlfn.ANCHORARRAY(Sintesi!$C$16),1,$C168)),3,4)))),0)),IF(ISNUMBER($E167),IF($C168&gt;0,IF(($E168=INDEX(_xlfn.ANCHORARRAY(Sintesi!$C$14),1,$C168))*(INDEX(_xlfn.ANCHORARRAY(Sintesi!$C$15),1,$C168)&gt;0),0,IF(($E168=INDEX(_xlfn.ANCHORARRAY(Sintesi!$C$14),1,$C168))*(INDEX(_xlfn.ANCHORARRAY(Sintesi!$C$15),1,$C168)&lt;0)+($E168&gt;=$E167)*($E168&lt;=$E169)*($E168&gt;INDEX(_xlfn.ANCHORARRAY(Sintesi!$C$14),1,$C168))*($E168&lt;=INDEX(_xlfn.ANCHORARRAY(Sintesi!$C$15),1,$C168))*(INDEX(_xlfn.ANCHORARRAY(Sintesi!$C$15),1,$C168)&gt;0),1,IF(($E168&gt;=$E167)*($E168&lt;=$E169)*($E168&gt;INDEX(_xlfn.ANCHORARRAY(Sintesi!$C$14),1,$C168))*($E168&lt;INDEX(_xlfn.ANCHORARRAY(Sintesi!$C$16),1,$C168))*(INDEX(_xlfn.ANCHORARRAY(Sintesi!$C$15),1,$C168)&lt;0)+($E168&gt;=$E167)*($E168&lt;=$E169)*($E168&gt;INDEX(_xlfn.ANCHORARRAY(Sintesi!$C$15),1,$C168))*($E168&lt;INDEX(_xlfn.ANCHORARRAY(Sintesi!$C$16),1,$C168))*(INDEX(_xlfn.ANCHORARRAY(Sintesi!$C$15),1,$C168)&gt;0),2,IF($E168=(INDEX(_xlfn.ANCHORARRAY(Sintesi!$C$16),1,$C168)),3,4)))),0),IF($C168&gt;0,IF(($E168=INDEX(_xlfn.ANCHORARRAY(Sintesi!$C$14),1,$C168))*(INDEX(_xlfn.ANCHORARRAY(Sintesi!$C$15),1,$C168)&gt;0),0,IF(($E168=INDEX(_xlfn.ANCHORARRAY(Sintesi!$C$14),1,$C168))*(INDEX(_xlfn.ANCHORARRAY(Sintesi!$C$15),1,$C168)&lt;0)+($E168&gt;=LOOKUP(2,1/($E:$E&lt;&gt;""),$E:$E))*($E168&lt;=$E169)*($E168&gt;INDEX(_xlfn.ANCHORARRAY(Sintesi!$C$14),1,$C168))*($E168&lt;=INDEX(_xlfn.ANCHORARRAY(Sintesi!$C$15),1,$C168))*(INDEX(_xlfn.ANCHORARRAY(Sintesi!$C$15),1,$C168)&gt;0),1,IF(($E168&gt;=LOOKUP(2,1/($E:$E&lt;&gt;""),$E:$E))*($E168&lt;=$E169)*($E168&gt;INDEX(_xlfn.ANCHORARRAY(Sintesi!$C$14),1,$C168))*($E168&lt;INDEX(_xlfn.ANCHORARRAY(Sintesi!$C$16),1,$C168))*(INDEX(_xlfn.ANCHORARRAY(Sintesi!$C$15),1,$C168)&lt;0)+($E168&gt;=LOOKUP(2,1/($E:$E&lt;&gt;""),$E:$E))*($E168&lt;=$E169)*($E168&gt;INDEX(_xlfn.ANCHORARRAY(Sintesi!$C$15),1,$C168))*($E168&lt;INDEX(_xlfn.ANCHORARRAY(Sintesi!$C$16),1,$C168))*(INDEX(_xlfn.ANCHORARRAY(Sintesi!$C$15),1,$C168)&gt;0),2,IF($E168=(INDEX(_xlfn.ANCHORARRAY(Sintesi!$C$16),1,$C168)),3,4)))),0)))</f>
        <v>2</v>
      </c>
      <c r="E168" s="1">
        <f>'Paste cell here'!F168</f>
        <v>0.83799999999999997</v>
      </c>
      <c r="F168" s="1">
        <f>'Paste cell here'!C168</f>
        <v>31.219999999999558</v>
      </c>
      <c r="G168" s="1">
        <f>'Paste cell here'!D168</f>
        <v>19.139999999999748</v>
      </c>
      <c r="H168" s="1">
        <f>'Paste cell here'!E168</f>
        <v>4.6045361403043037</v>
      </c>
      <c r="I168" s="1">
        <f>'Paste cell here'!X168</f>
        <v>3.8582226643280872</v>
      </c>
      <c r="J168" s="1">
        <f>'Paste cell here'!Y168+'Paste cell here'!S168</f>
        <v>3.8582226643280872</v>
      </c>
      <c r="K168" s="1">
        <f t="shared" si="4"/>
        <v>0.8379177721196267</v>
      </c>
      <c r="L168" s="1">
        <f t="shared" si="5"/>
        <v>26.537388342460311</v>
      </c>
      <c r="M168" s="1">
        <f t="array" ref="M168">IF(AND(A168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168&gt;=_xlfn.ANCHORARRAY(Sintesi!$C$9))+(_xlfn.ANCHORARRAY(Sintesi!$C$9)&gt;_xlfn.ANCHORARRAY(Sintesi!$C$10))*(A168&lt;=_xlfn.ANCHORARRAY(Sintesi!$C$10))+(_xlfn.ANCHORARRAY(Sintesi!$C$9)&lt;_xlfn.ANCHORARRAY(Sintesi!$C$10))*(A168&gt;=_xlfn.ANCHORARRAY(Sintesi!$C$9))*(A168&lt;=_xlfn.ANCHORARRAY(Sintesi!$C$10)),0)),0),A168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169&gt;=_xlfn.ANCHORARRAY(Sintesi!$C$9))+(_xlfn.ANCHORARRAY(Sintesi!$C$9)&gt;_xlfn.ANCHORARRAY(Sintesi!$C$10))*(A169&lt;=_xlfn.ANCHORARRAY(Sintesi!$C$10))+(_xlfn.ANCHORARRAY(Sintesi!$C$9)&lt;_xlfn.ANCHORARRAY(Sintesi!$C$10))*(A169&gt;=_xlfn.ANCHORARRAY(Sintesi!$C$9))*(A169&lt;=_xlfn.ANCHORARRAY(Sintesi!$C$10)),0)),0)),IF(L168&lt;_xlfn.IFNA(INDEX(_xlfn.ANCHORARRAY(Sintesi!$C$17),1,MATCH(1,(_xlfn.ANCHORARRAY(Sintesi!$C$9)&gt;_xlfn.ANCHORARRAY(Sintesi!$C$10))*(A167&gt;=_xlfn.ANCHORARRAY(Sintesi!$C$9))+(_xlfn.ANCHORARRAY(Sintesi!$C$9)&gt;_xlfn.ANCHORARRAY(Sintesi!$C$10))*(A167&lt;=_xlfn.ANCHORARRAY(Sintesi!$C$10))+(_xlfn.ANCHORARRAY(Sintesi!$C$9)&lt;_xlfn.ANCHORARRAY(Sintesi!$C$10))*(A167&gt;=_xlfn.ANCHORARRAY(Sintesi!$C$9))*(A167&lt;=_xlfn.ANCHORARRAY(Sintesi!$C$10)),0)),0),1,IF(L168&gt;=_xlfn.IFNA(INDEX(_xlfn.ANCHORARRAY(Sintesi!$C$18),1,MATCH(1,(_xlfn.ANCHORARRAY(Sintesi!$C$9)&gt;_xlfn.ANCHORARRAY(Sintesi!$C$10))*(A167&gt;=_xlfn.ANCHORARRAY(Sintesi!$C$9))+(_xlfn.ANCHORARRAY(Sintesi!$C$9)&gt;_xlfn.ANCHORARRAY(Sintesi!$C$10))*(A167&lt;=_xlfn.ANCHORARRAY(Sintesi!$C$10))+(_xlfn.ANCHORARRAY(Sintesi!$C$9)&lt;_xlfn.ANCHORARRAY(Sintesi!$C$10))*(A167&gt;=_xlfn.ANCHORARRAY(Sintesi!$C$9))*(A167&lt;=_xlfn.ANCHORARRAY(Sintesi!$C$10)),0)),0),0,1-(L168-_xlfn.IFNA(INDEX(_xlfn.ANCHORARRAY(Sintesi!$C$17),1,MATCH(1,(_xlfn.ANCHORARRAY(Sintesi!$C$9)&gt;_xlfn.ANCHORARRAY(Sintesi!$C$10))*(A167&gt;=_xlfn.ANCHORARRAY(Sintesi!$C$9))+(_xlfn.ANCHORARRAY(Sintesi!$C$9)&gt;_xlfn.ANCHORARRAY(Sintesi!$C$10))*(A167&lt;=_xlfn.ANCHORARRAY(Sintesi!$C$10))+(_xlfn.ANCHORARRAY(Sintesi!$C$9)&lt;_xlfn.ANCHORARRAY(Sintesi!$C$10))*(A167&gt;=_xlfn.ANCHORARRAY(Sintesi!$C$9))*(A167&lt;=_xlfn.ANCHORARRAY(Sintesi!$C$10)),0)),0))/(_xlfn.IFNA(INDEX(_xlfn.ANCHORARRAY(Sintesi!$C$18),1,MATCH(1,(_xlfn.ANCHORARRAY(Sintesi!$C$9)&gt;_xlfn.ANCHORARRAY(Sintesi!$C$10))*(A167&gt;=_xlfn.ANCHORARRAY(Sintesi!$C$9))+(_xlfn.ANCHORARRAY(Sintesi!$C$9)&gt;_xlfn.ANCHORARRAY(Sintesi!$C$10))*(A167&lt;=_xlfn.ANCHORARRAY(Sintesi!$C$10))+(_xlfn.ANCHORARRAY(Sintesi!$C$9)&lt;_xlfn.ANCHORARRAY(Sintesi!$C$10))*(A167&gt;=_xlfn.ANCHORARRAY(Sintesi!$C$9))*(A167&lt;=_xlfn.ANCHORARRAY(Sintesi!$C$10)),0)),0)-_xlfn.IFNA(INDEX(_xlfn.ANCHORARRAY(Sintesi!$C$17),1,MATCH(1,(_xlfn.ANCHORARRAY(Sintesi!$C$9)&gt;_xlfn.ANCHORARRAY(Sintesi!$C$10))*(A167&gt;=_xlfn.ANCHORARRAY(Sintesi!$C$9))+(_xlfn.ANCHORARRAY(Sintesi!$C$9)&gt;_xlfn.ANCHORARRAY(Sintesi!$C$10))*(A167&lt;=_xlfn.ANCHORARRAY(Sintesi!$C$10))+(_xlfn.ANCHORARRAY(Sintesi!$C$9)&lt;_xlfn.ANCHORARRAY(Sintesi!$C$10))*(A167&gt;=_xlfn.ANCHORARRAY(Sintesi!$C$9))*(A167&lt;=_xlfn.ANCHORARRAY(Sintesi!$C$10)),0)),0)))),0)</f>
        <v>1</v>
      </c>
    </row>
    <row r="169" spans="1:13">
      <c r="A169" s="1">
        <f>'Paste cell here'!A169</f>
        <v>168</v>
      </c>
      <c r="B169" s="2">
        <f>DATE(Sintesi!$C$4-1,12,31)+A169</f>
        <v>44364</v>
      </c>
      <c r="C169" s="34">
        <f t="array" ref="C169">_xlfn.IFNA(MATCH(1,((_xlfn.ANCHORARRAY(Sintesi!$C$9)&gt;_xlfn.ANCHORARRAY(Sintesi!$C$10))*(A169&gt;=_xlfn.ANCHORARRAY(Sintesi!$C$9))+(_xlfn.ANCHORARRAY(Sintesi!$C$9)&gt;_xlfn.ANCHORARRAY(Sintesi!$C$10))*(A169&lt;=_xlfn.ANCHORARRAY(Sintesi!$C$10))+(_xlfn.ANCHORARRAY(Sintesi!$C$9)&lt;_xlfn.ANCHORARRAY(Sintesi!$C$10))*(A169&gt;=_xlfn.ANCHORARRAY(Sintesi!$C$9))*(A169&lt;=_xlfn.ANCHORARRAY(Sintesi!$C$10)))*(_xlfn.ANCHORARRAY(Sintesi!$C$15)&gt;=0)+(_xlfn.ANCHORARRAY(Sintesi!$C$15)&lt;0),0),0)</f>
        <v>1</v>
      </c>
      <c r="D169" s="1">
        <f t="array" ref="D169">IF(ISBLANK($E170),IF(ISNUMBER($E168),IF($C169&gt;0,IF(($E169=INDEX(_xlfn.ANCHORARRAY(Sintesi!$C$14),1,$C169))*(INDEX(_xlfn.ANCHORARRAY(Sintesi!$C$15),1,$C169)&gt;0),0,IF(($E169=INDEX(_xlfn.ANCHORARRAY(Sintesi!$C$14),1,$C169))*(INDEX(_xlfn.ANCHORARRAY(Sintesi!$C$15),1,$C169)&lt;0)+($E169&gt;=$E168)*($E169&lt;=INDEX($E:$E,MATCH(TRUE,INDEX((ISNUMBER($E:$E)),0),0)))*($E169&gt;INDEX(_xlfn.ANCHORARRAY(Sintesi!$C$14),1,$C169))*($E169&lt;=INDEX(_xlfn.ANCHORARRAY(Sintesi!$C$15),1,$C169))*(INDEX(_xlfn.ANCHORARRAY(Sintesi!$C$15),1,$C169)&gt;0),1,IF(($E169&gt;=$E168)*($E169&lt;=INDEX($E:$E,MATCH(TRUE,INDEX((ISNUMBER($E:$E)),0),0)))*($E169&gt;INDEX(_xlfn.ANCHORARRAY(Sintesi!$C$14),1,$C169))*($E169&lt;INDEX(_xlfn.ANCHORARRAY(Sintesi!$C$16),1,$C169))*(INDEX(_xlfn.ANCHORARRAY(Sintesi!$C$15),1,$C169)&lt;0)+($E169&gt;=$E168)*($E169&lt;=INDEX($E:$E,MATCH(TRUE,INDEX((ISNUMBER($E:$E)),0),0)))*($E169&gt;INDEX(_xlfn.ANCHORARRAY(Sintesi!$C$15),1,$C169))*($E169&lt;INDEX(_xlfn.ANCHORARRAY(Sintesi!$C$16),1,$C169))*(INDEX(_xlfn.ANCHORARRAY(Sintesi!$C$15),1,$C169)&gt;0),2,IF($E169=(INDEX(_xlfn.ANCHORARRAY(Sintesi!$C$16),1,$C169)),3,4)))),0),IF($C169&gt;0,IF(($E169=INDEX(_xlfn.ANCHORARRAY(Sintesi!$C$14),1,$C169))*(INDEX(_xlfn.ANCHORARRAY(Sintesi!$C$15),1,$C169)&gt;0),0,IF(($E169=INDEX(_xlfn.ANCHORARRAY(Sintesi!$C$14),1,$C169))*(INDEX(_xlfn.ANCHORARRAY(Sintesi!$C$15),1,$C169)&lt;0)+($E169&gt;=LOOKUP(2,1/($E:$E&lt;&gt;""),$E:$E))*($E169&lt;=INDEX($E:$E,MATCH(TRUE,INDEX((ISNUMBER($E:$E)),0),0)))*($E169&gt;INDEX(_xlfn.ANCHORARRAY(Sintesi!$C$14),1,$C169))*($E169&lt;=INDEX(_xlfn.ANCHORARRAY(Sintesi!$C$15),1,$C169))*(INDEX(_xlfn.ANCHORARRAY(Sintesi!$C$15),1,$C169)&gt;0),1,IF(($E169&gt;=LOOKUP(2,1/($E:$E&lt;&gt;""),$E:$E))*($E169&lt;=INDEX($E:$E,MATCH(TRUE,INDEX((ISNUMBER($E:$E)),0),0)))*($E169&gt;INDEX(_xlfn.ANCHORARRAY(Sintesi!$C$14),1,$C169))*($E169&lt;INDEX(_xlfn.ANCHORARRAY(Sintesi!$C$16),1,$C169))*(INDEX(_xlfn.ANCHORARRAY(Sintesi!$C$15),1,$C169)&lt;0)+($E169&gt;=LOOKUP(2,1/($E:$E&lt;&gt;""),$E:$E))*($E169&lt;=INDEX($E:$E,MATCH(TRUE,INDEX((ISNUMBER($E:$E)),0),0)))*($E169&gt;INDEX(_xlfn.ANCHORARRAY(Sintesi!$C$15),1,$C169))*($E169&lt;INDEX(_xlfn.ANCHORARRAY(Sintesi!$C$16),1,$C169))*(INDEX(_xlfn.ANCHORARRAY(Sintesi!$C$15),1,$C169)&gt;0),2,IF($E169=(INDEX(_xlfn.ANCHORARRAY(Sintesi!$C$16),1,$C169)),3,4)))),0)),IF(ISNUMBER($E168),IF($C169&gt;0,IF(($E169=INDEX(_xlfn.ANCHORARRAY(Sintesi!$C$14),1,$C169))*(INDEX(_xlfn.ANCHORARRAY(Sintesi!$C$15),1,$C169)&gt;0),0,IF(($E169=INDEX(_xlfn.ANCHORARRAY(Sintesi!$C$14),1,$C169))*(INDEX(_xlfn.ANCHORARRAY(Sintesi!$C$15),1,$C169)&lt;0)+($E169&gt;=$E168)*($E169&lt;=$E170)*($E169&gt;INDEX(_xlfn.ANCHORARRAY(Sintesi!$C$14),1,$C169))*($E169&lt;=INDEX(_xlfn.ANCHORARRAY(Sintesi!$C$15),1,$C169))*(INDEX(_xlfn.ANCHORARRAY(Sintesi!$C$15),1,$C169)&gt;0),1,IF(($E169&gt;=$E168)*($E169&lt;=$E170)*($E169&gt;INDEX(_xlfn.ANCHORARRAY(Sintesi!$C$14),1,$C169))*($E169&lt;INDEX(_xlfn.ANCHORARRAY(Sintesi!$C$16),1,$C169))*(INDEX(_xlfn.ANCHORARRAY(Sintesi!$C$15),1,$C169)&lt;0)+($E169&gt;=$E168)*($E169&lt;=$E170)*($E169&gt;INDEX(_xlfn.ANCHORARRAY(Sintesi!$C$15),1,$C169))*($E169&lt;INDEX(_xlfn.ANCHORARRAY(Sintesi!$C$16),1,$C169))*(INDEX(_xlfn.ANCHORARRAY(Sintesi!$C$15),1,$C169)&gt;0),2,IF($E169=(INDEX(_xlfn.ANCHORARRAY(Sintesi!$C$16),1,$C169)),3,4)))),0),IF($C169&gt;0,IF(($E169=INDEX(_xlfn.ANCHORARRAY(Sintesi!$C$14),1,$C169))*(INDEX(_xlfn.ANCHORARRAY(Sintesi!$C$15),1,$C169)&gt;0),0,IF(($E169=INDEX(_xlfn.ANCHORARRAY(Sintesi!$C$14),1,$C169))*(INDEX(_xlfn.ANCHORARRAY(Sintesi!$C$15),1,$C169)&lt;0)+($E169&gt;=LOOKUP(2,1/($E:$E&lt;&gt;""),$E:$E))*($E169&lt;=$E170)*($E169&gt;INDEX(_xlfn.ANCHORARRAY(Sintesi!$C$14),1,$C169))*($E169&lt;=INDEX(_xlfn.ANCHORARRAY(Sintesi!$C$15),1,$C169))*(INDEX(_xlfn.ANCHORARRAY(Sintesi!$C$15),1,$C169)&gt;0),1,IF(($E169&gt;=LOOKUP(2,1/($E:$E&lt;&gt;""),$E:$E))*($E169&lt;=$E170)*($E169&gt;INDEX(_xlfn.ANCHORARRAY(Sintesi!$C$14),1,$C169))*($E169&lt;INDEX(_xlfn.ANCHORARRAY(Sintesi!$C$16),1,$C169))*(INDEX(_xlfn.ANCHORARRAY(Sintesi!$C$15),1,$C169)&lt;0)+($E169&gt;=LOOKUP(2,1/($E:$E&lt;&gt;""),$E:$E))*($E169&lt;=$E170)*($E169&gt;INDEX(_xlfn.ANCHORARRAY(Sintesi!$C$15),1,$C169))*($E169&lt;INDEX(_xlfn.ANCHORARRAY(Sintesi!$C$16),1,$C169))*(INDEX(_xlfn.ANCHORARRAY(Sintesi!$C$15),1,$C169)&gt;0),2,IF($E169=(INDEX(_xlfn.ANCHORARRAY(Sintesi!$C$16),1,$C169)),3,4)))),0)))</f>
        <v>2</v>
      </c>
      <c r="E169" s="1">
        <f>'Paste cell here'!F169</f>
        <v>0.85899999999999999</v>
      </c>
      <c r="F169" s="1">
        <f>'Paste cell here'!C169</f>
        <v>32.459999999999525</v>
      </c>
      <c r="G169" s="1">
        <f>'Paste cell here'!D169</f>
        <v>19.639999999999738</v>
      </c>
      <c r="H169" s="1">
        <f>'Paste cell here'!E169</f>
        <v>5.1041279049905768</v>
      </c>
      <c r="I169" s="1">
        <f>'Paste cell here'!X169</f>
        <v>4.3840131282796913</v>
      </c>
      <c r="J169" s="1">
        <f>'Paste cell here'!Y169+'Paste cell here'!S169</f>
        <v>4.3840131282796913</v>
      </c>
      <c r="K169" s="1">
        <f t="shared" si="4"/>
        <v>0.85891521722902142</v>
      </c>
      <c r="L169" s="1">
        <f t="shared" si="5"/>
        <v>27.490539615094466</v>
      </c>
      <c r="M169" s="1">
        <f t="array" ref="M169">IF(AND(A169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169&gt;=_xlfn.ANCHORARRAY(Sintesi!$C$9))+(_xlfn.ANCHORARRAY(Sintesi!$C$9)&gt;_xlfn.ANCHORARRAY(Sintesi!$C$10))*(A169&lt;=_xlfn.ANCHORARRAY(Sintesi!$C$10))+(_xlfn.ANCHORARRAY(Sintesi!$C$9)&lt;_xlfn.ANCHORARRAY(Sintesi!$C$10))*(A169&gt;=_xlfn.ANCHORARRAY(Sintesi!$C$9))*(A169&lt;=_xlfn.ANCHORARRAY(Sintesi!$C$10)),0)),0),A169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170&gt;=_xlfn.ANCHORARRAY(Sintesi!$C$9))+(_xlfn.ANCHORARRAY(Sintesi!$C$9)&gt;_xlfn.ANCHORARRAY(Sintesi!$C$10))*(A170&lt;=_xlfn.ANCHORARRAY(Sintesi!$C$10))+(_xlfn.ANCHORARRAY(Sintesi!$C$9)&lt;_xlfn.ANCHORARRAY(Sintesi!$C$10))*(A170&gt;=_xlfn.ANCHORARRAY(Sintesi!$C$9))*(A170&lt;=_xlfn.ANCHORARRAY(Sintesi!$C$10)),0)),0)),IF(L169&lt;_xlfn.IFNA(INDEX(_xlfn.ANCHORARRAY(Sintesi!$C$17),1,MATCH(1,(_xlfn.ANCHORARRAY(Sintesi!$C$9)&gt;_xlfn.ANCHORARRAY(Sintesi!$C$10))*(A168&gt;=_xlfn.ANCHORARRAY(Sintesi!$C$9))+(_xlfn.ANCHORARRAY(Sintesi!$C$9)&gt;_xlfn.ANCHORARRAY(Sintesi!$C$10))*(A168&lt;=_xlfn.ANCHORARRAY(Sintesi!$C$10))+(_xlfn.ANCHORARRAY(Sintesi!$C$9)&lt;_xlfn.ANCHORARRAY(Sintesi!$C$10))*(A168&gt;=_xlfn.ANCHORARRAY(Sintesi!$C$9))*(A168&lt;=_xlfn.ANCHORARRAY(Sintesi!$C$10)),0)),0),1,IF(L169&gt;=_xlfn.IFNA(INDEX(_xlfn.ANCHORARRAY(Sintesi!$C$18),1,MATCH(1,(_xlfn.ANCHORARRAY(Sintesi!$C$9)&gt;_xlfn.ANCHORARRAY(Sintesi!$C$10))*(A168&gt;=_xlfn.ANCHORARRAY(Sintesi!$C$9))+(_xlfn.ANCHORARRAY(Sintesi!$C$9)&gt;_xlfn.ANCHORARRAY(Sintesi!$C$10))*(A168&lt;=_xlfn.ANCHORARRAY(Sintesi!$C$10))+(_xlfn.ANCHORARRAY(Sintesi!$C$9)&lt;_xlfn.ANCHORARRAY(Sintesi!$C$10))*(A168&gt;=_xlfn.ANCHORARRAY(Sintesi!$C$9))*(A168&lt;=_xlfn.ANCHORARRAY(Sintesi!$C$10)),0)),0),0,1-(L169-_xlfn.IFNA(INDEX(_xlfn.ANCHORARRAY(Sintesi!$C$17),1,MATCH(1,(_xlfn.ANCHORARRAY(Sintesi!$C$9)&gt;_xlfn.ANCHORARRAY(Sintesi!$C$10))*(A168&gt;=_xlfn.ANCHORARRAY(Sintesi!$C$9))+(_xlfn.ANCHORARRAY(Sintesi!$C$9)&gt;_xlfn.ANCHORARRAY(Sintesi!$C$10))*(A168&lt;=_xlfn.ANCHORARRAY(Sintesi!$C$10))+(_xlfn.ANCHORARRAY(Sintesi!$C$9)&lt;_xlfn.ANCHORARRAY(Sintesi!$C$10))*(A168&gt;=_xlfn.ANCHORARRAY(Sintesi!$C$9))*(A168&lt;=_xlfn.ANCHORARRAY(Sintesi!$C$10)),0)),0))/(_xlfn.IFNA(INDEX(_xlfn.ANCHORARRAY(Sintesi!$C$18),1,MATCH(1,(_xlfn.ANCHORARRAY(Sintesi!$C$9)&gt;_xlfn.ANCHORARRAY(Sintesi!$C$10))*(A168&gt;=_xlfn.ANCHORARRAY(Sintesi!$C$9))+(_xlfn.ANCHORARRAY(Sintesi!$C$9)&gt;_xlfn.ANCHORARRAY(Sintesi!$C$10))*(A168&lt;=_xlfn.ANCHORARRAY(Sintesi!$C$10))+(_xlfn.ANCHORARRAY(Sintesi!$C$9)&lt;_xlfn.ANCHORARRAY(Sintesi!$C$10))*(A168&gt;=_xlfn.ANCHORARRAY(Sintesi!$C$9))*(A168&lt;=_xlfn.ANCHORARRAY(Sintesi!$C$10)),0)),0)-_xlfn.IFNA(INDEX(_xlfn.ANCHORARRAY(Sintesi!$C$17),1,MATCH(1,(_xlfn.ANCHORARRAY(Sintesi!$C$9)&gt;_xlfn.ANCHORARRAY(Sintesi!$C$10))*(A168&gt;=_xlfn.ANCHORARRAY(Sintesi!$C$9))+(_xlfn.ANCHORARRAY(Sintesi!$C$9)&gt;_xlfn.ANCHORARRAY(Sintesi!$C$10))*(A168&lt;=_xlfn.ANCHORARRAY(Sintesi!$C$10))+(_xlfn.ANCHORARRAY(Sintesi!$C$9)&lt;_xlfn.ANCHORARRAY(Sintesi!$C$10))*(A168&gt;=_xlfn.ANCHORARRAY(Sintesi!$C$9))*(A168&lt;=_xlfn.ANCHORARRAY(Sintesi!$C$10)),0)),0)))),0)</f>
        <v>1</v>
      </c>
    </row>
    <row r="170" spans="1:13">
      <c r="A170" s="1">
        <f>'Paste cell here'!A170</f>
        <v>169</v>
      </c>
      <c r="B170" s="2">
        <f>DATE(Sintesi!$C$4-1,12,31)+A170</f>
        <v>44365</v>
      </c>
      <c r="C170" s="34">
        <f t="array" ref="C170">_xlfn.IFNA(MATCH(1,((_xlfn.ANCHORARRAY(Sintesi!$C$9)&gt;_xlfn.ANCHORARRAY(Sintesi!$C$10))*(A170&gt;=_xlfn.ANCHORARRAY(Sintesi!$C$9))+(_xlfn.ANCHORARRAY(Sintesi!$C$9)&gt;_xlfn.ANCHORARRAY(Sintesi!$C$10))*(A170&lt;=_xlfn.ANCHORARRAY(Sintesi!$C$10))+(_xlfn.ANCHORARRAY(Sintesi!$C$9)&lt;_xlfn.ANCHORARRAY(Sintesi!$C$10))*(A170&gt;=_xlfn.ANCHORARRAY(Sintesi!$C$9))*(A170&lt;=_xlfn.ANCHORARRAY(Sintesi!$C$10)))*(_xlfn.ANCHORARRAY(Sintesi!$C$15)&gt;=0)+(_xlfn.ANCHORARRAY(Sintesi!$C$15)&lt;0),0),0)</f>
        <v>1</v>
      </c>
      <c r="D170" s="1">
        <f t="array" ref="D170">IF(ISBLANK($E171),IF(ISNUMBER($E169),IF($C170&gt;0,IF(($E170=INDEX(_xlfn.ANCHORARRAY(Sintesi!$C$14),1,$C170))*(INDEX(_xlfn.ANCHORARRAY(Sintesi!$C$15),1,$C170)&gt;0),0,IF(($E170=INDEX(_xlfn.ANCHORARRAY(Sintesi!$C$14),1,$C170))*(INDEX(_xlfn.ANCHORARRAY(Sintesi!$C$15),1,$C170)&lt;0)+($E170&gt;=$E169)*($E170&lt;=INDEX($E:$E,MATCH(TRUE,INDEX((ISNUMBER($E:$E)),0),0)))*($E170&gt;INDEX(_xlfn.ANCHORARRAY(Sintesi!$C$14),1,$C170))*($E170&lt;=INDEX(_xlfn.ANCHORARRAY(Sintesi!$C$15),1,$C170))*(INDEX(_xlfn.ANCHORARRAY(Sintesi!$C$15),1,$C170)&gt;0),1,IF(($E170&gt;=$E169)*($E170&lt;=INDEX($E:$E,MATCH(TRUE,INDEX((ISNUMBER($E:$E)),0),0)))*($E170&gt;INDEX(_xlfn.ANCHORARRAY(Sintesi!$C$14),1,$C170))*($E170&lt;INDEX(_xlfn.ANCHORARRAY(Sintesi!$C$16),1,$C170))*(INDEX(_xlfn.ANCHORARRAY(Sintesi!$C$15),1,$C170)&lt;0)+($E170&gt;=$E169)*($E170&lt;=INDEX($E:$E,MATCH(TRUE,INDEX((ISNUMBER($E:$E)),0),0)))*($E170&gt;INDEX(_xlfn.ANCHORARRAY(Sintesi!$C$15),1,$C170))*($E170&lt;INDEX(_xlfn.ANCHORARRAY(Sintesi!$C$16),1,$C170))*(INDEX(_xlfn.ANCHORARRAY(Sintesi!$C$15),1,$C170)&gt;0),2,IF($E170=(INDEX(_xlfn.ANCHORARRAY(Sintesi!$C$16),1,$C170)),3,4)))),0),IF($C170&gt;0,IF(($E170=INDEX(_xlfn.ANCHORARRAY(Sintesi!$C$14),1,$C170))*(INDEX(_xlfn.ANCHORARRAY(Sintesi!$C$15),1,$C170)&gt;0),0,IF(($E170=INDEX(_xlfn.ANCHORARRAY(Sintesi!$C$14),1,$C170))*(INDEX(_xlfn.ANCHORARRAY(Sintesi!$C$15),1,$C170)&lt;0)+($E170&gt;=LOOKUP(2,1/($E:$E&lt;&gt;""),$E:$E))*($E170&lt;=INDEX($E:$E,MATCH(TRUE,INDEX((ISNUMBER($E:$E)),0),0)))*($E170&gt;INDEX(_xlfn.ANCHORARRAY(Sintesi!$C$14),1,$C170))*($E170&lt;=INDEX(_xlfn.ANCHORARRAY(Sintesi!$C$15),1,$C170))*(INDEX(_xlfn.ANCHORARRAY(Sintesi!$C$15),1,$C170)&gt;0),1,IF(($E170&gt;=LOOKUP(2,1/($E:$E&lt;&gt;""),$E:$E))*($E170&lt;=INDEX($E:$E,MATCH(TRUE,INDEX((ISNUMBER($E:$E)),0),0)))*($E170&gt;INDEX(_xlfn.ANCHORARRAY(Sintesi!$C$14),1,$C170))*($E170&lt;INDEX(_xlfn.ANCHORARRAY(Sintesi!$C$16),1,$C170))*(INDEX(_xlfn.ANCHORARRAY(Sintesi!$C$15),1,$C170)&lt;0)+($E170&gt;=LOOKUP(2,1/($E:$E&lt;&gt;""),$E:$E))*($E170&lt;=INDEX($E:$E,MATCH(TRUE,INDEX((ISNUMBER($E:$E)),0),0)))*($E170&gt;INDEX(_xlfn.ANCHORARRAY(Sintesi!$C$15),1,$C170))*($E170&lt;INDEX(_xlfn.ANCHORARRAY(Sintesi!$C$16),1,$C170))*(INDEX(_xlfn.ANCHORARRAY(Sintesi!$C$15),1,$C170)&gt;0),2,IF($E170=(INDEX(_xlfn.ANCHORARRAY(Sintesi!$C$16),1,$C170)),3,4)))),0)),IF(ISNUMBER($E169),IF($C170&gt;0,IF(($E170=INDEX(_xlfn.ANCHORARRAY(Sintesi!$C$14),1,$C170))*(INDEX(_xlfn.ANCHORARRAY(Sintesi!$C$15),1,$C170)&gt;0),0,IF(($E170=INDEX(_xlfn.ANCHORARRAY(Sintesi!$C$14),1,$C170))*(INDEX(_xlfn.ANCHORARRAY(Sintesi!$C$15),1,$C170)&lt;0)+($E170&gt;=$E169)*($E170&lt;=$E171)*($E170&gt;INDEX(_xlfn.ANCHORARRAY(Sintesi!$C$14),1,$C170))*($E170&lt;=INDEX(_xlfn.ANCHORARRAY(Sintesi!$C$15),1,$C170))*(INDEX(_xlfn.ANCHORARRAY(Sintesi!$C$15),1,$C170)&gt;0),1,IF(($E170&gt;=$E169)*($E170&lt;=$E171)*($E170&gt;INDEX(_xlfn.ANCHORARRAY(Sintesi!$C$14),1,$C170))*($E170&lt;INDEX(_xlfn.ANCHORARRAY(Sintesi!$C$16),1,$C170))*(INDEX(_xlfn.ANCHORARRAY(Sintesi!$C$15),1,$C170)&lt;0)+($E170&gt;=$E169)*($E170&lt;=$E171)*($E170&gt;INDEX(_xlfn.ANCHORARRAY(Sintesi!$C$15),1,$C170))*($E170&lt;INDEX(_xlfn.ANCHORARRAY(Sintesi!$C$16),1,$C170))*(INDEX(_xlfn.ANCHORARRAY(Sintesi!$C$15),1,$C170)&gt;0),2,IF($E170=(INDEX(_xlfn.ANCHORARRAY(Sintesi!$C$16),1,$C170)),3,4)))),0),IF($C170&gt;0,IF(($E170=INDEX(_xlfn.ANCHORARRAY(Sintesi!$C$14),1,$C170))*(INDEX(_xlfn.ANCHORARRAY(Sintesi!$C$15),1,$C170)&gt;0),0,IF(($E170=INDEX(_xlfn.ANCHORARRAY(Sintesi!$C$14),1,$C170))*(INDEX(_xlfn.ANCHORARRAY(Sintesi!$C$15),1,$C170)&lt;0)+($E170&gt;=LOOKUP(2,1/($E:$E&lt;&gt;""),$E:$E))*($E170&lt;=$E171)*($E170&gt;INDEX(_xlfn.ANCHORARRAY(Sintesi!$C$14),1,$C170))*($E170&lt;=INDEX(_xlfn.ANCHORARRAY(Sintesi!$C$15),1,$C170))*(INDEX(_xlfn.ANCHORARRAY(Sintesi!$C$15),1,$C170)&gt;0),1,IF(($E170&gt;=LOOKUP(2,1/($E:$E&lt;&gt;""),$E:$E))*($E170&lt;=$E171)*($E170&gt;INDEX(_xlfn.ANCHORARRAY(Sintesi!$C$14),1,$C170))*($E170&lt;INDEX(_xlfn.ANCHORARRAY(Sintesi!$C$16),1,$C170))*(INDEX(_xlfn.ANCHORARRAY(Sintesi!$C$15),1,$C170)&lt;0)+($E170&gt;=LOOKUP(2,1/($E:$E&lt;&gt;""),$E:$E))*($E170&lt;=$E171)*($E170&gt;INDEX(_xlfn.ANCHORARRAY(Sintesi!$C$15),1,$C170))*($E170&lt;INDEX(_xlfn.ANCHORARRAY(Sintesi!$C$16),1,$C170))*(INDEX(_xlfn.ANCHORARRAY(Sintesi!$C$15),1,$C170)&gt;0),2,IF($E170=(INDEX(_xlfn.ANCHORARRAY(Sintesi!$C$16),1,$C170)),3,4)))),0)))</f>
        <v>2</v>
      </c>
      <c r="E170" s="1">
        <f>'Paste cell here'!F170</f>
        <v>0.88</v>
      </c>
      <c r="F170" s="1">
        <f>'Paste cell here'!C170</f>
        <v>33.179999999999517</v>
      </c>
      <c r="G170" s="1">
        <f>'Paste cell here'!D170</f>
        <v>21.739999999999704</v>
      </c>
      <c r="H170" s="1">
        <f>'Paste cell here'!E170</f>
        <v>5.9191844272117828</v>
      </c>
      <c r="I170" s="1">
        <f>'Paste cell here'!X170</f>
        <v>5.2083658390470209</v>
      </c>
      <c r="J170" s="1">
        <f>'Paste cell here'!Y170+'Paste cell here'!S170</f>
        <v>5.2083658390470209</v>
      </c>
      <c r="K170" s="1">
        <f t="shared" si="4"/>
        <v>0.87991274863865132</v>
      </c>
      <c r="L170" s="1">
        <f t="shared" si="5"/>
        <v>28.745473728290165</v>
      </c>
      <c r="M170" s="1">
        <f t="array" ref="M170">IF(AND(A170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170&gt;=_xlfn.ANCHORARRAY(Sintesi!$C$9))+(_xlfn.ANCHORARRAY(Sintesi!$C$9)&gt;_xlfn.ANCHORARRAY(Sintesi!$C$10))*(A170&lt;=_xlfn.ANCHORARRAY(Sintesi!$C$10))+(_xlfn.ANCHORARRAY(Sintesi!$C$9)&lt;_xlfn.ANCHORARRAY(Sintesi!$C$10))*(A170&gt;=_xlfn.ANCHORARRAY(Sintesi!$C$9))*(A170&lt;=_xlfn.ANCHORARRAY(Sintesi!$C$10)),0)),0),A170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171&gt;=_xlfn.ANCHORARRAY(Sintesi!$C$9))+(_xlfn.ANCHORARRAY(Sintesi!$C$9)&gt;_xlfn.ANCHORARRAY(Sintesi!$C$10))*(A171&lt;=_xlfn.ANCHORARRAY(Sintesi!$C$10))+(_xlfn.ANCHORARRAY(Sintesi!$C$9)&lt;_xlfn.ANCHORARRAY(Sintesi!$C$10))*(A171&gt;=_xlfn.ANCHORARRAY(Sintesi!$C$9))*(A171&lt;=_xlfn.ANCHORARRAY(Sintesi!$C$10)),0)),0)),IF(L170&lt;_xlfn.IFNA(INDEX(_xlfn.ANCHORARRAY(Sintesi!$C$17),1,MATCH(1,(_xlfn.ANCHORARRAY(Sintesi!$C$9)&gt;_xlfn.ANCHORARRAY(Sintesi!$C$10))*(A169&gt;=_xlfn.ANCHORARRAY(Sintesi!$C$9))+(_xlfn.ANCHORARRAY(Sintesi!$C$9)&gt;_xlfn.ANCHORARRAY(Sintesi!$C$10))*(A169&lt;=_xlfn.ANCHORARRAY(Sintesi!$C$10))+(_xlfn.ANCHORARRAY(Sintesi!$C$9)&lt;_xlfn.ANCHORARRAY(Sintesi!$C$10))*(A169&gt;=_xlfn.ANCHORARRAY(Sintesi!$C$9))*(A169&lt;=_xlfn.ANCHORARRAY(Sintesi!$C$10)),0)),0),1,IF(L170&gt;=_xlfn.IFNA(INDEX(_xlfn.ANCHORARRAY(Sintesi!$C$18),1,MATCH(1,(_xlfn.ANCHORARRAY(Sintesi!$C$9)&gt;_xlfn.ANCHORARRAY(Sintesi!$C$10))*(A169&gt;=_xlfn.ANCHORARRAY(Sintesi!$C$9))+(_xlfn.ANCHORARRAY(Sintesi!$C$9)&gt;_xlfn.ANCHORARRAY(Sintesi!$C$10))*(A169&lt;=_xlfn.ANCHORARRAY(Sintesi!$C$10))+(_xlfn.ANCHORARRAY(Sintesi!$C$9)&lt;_xlfn.ANCHORARRAY(Sintesi!$C$10))*(A169&gt;=_xlfn.ANCHORARRAY(Sintesi!$C$9))*(A169&lt;=_xlfn.ANCHORARRAY(Sintesi!$C$10)),0)),0),0,1-(L170-_xlfn.IFNA(INDEX(_xlfn.ANCHORARRAY(Sintesi!$C$17),1,MATCH(1,(_xlfn.ANCHORARRAY(Sintesi!$C$9)&gt;_xlfn.ANCHORARRAY(Sintesi!$C$10))*(A169&gt;=_xlfn.ANCHORARRAY(Sintesi!$C$9))+(_xlfn.ANCHORARRAY(Sintesi!$C$9)&gt;_xlfn.ANCHORARRAY(Sintesi!$C$10))*(A169&lt;=_xlfn.ANCHORARRAY(Sintesi!$C$10))+(_xlfn.ANCHORARRAY(Sintesi!$C$9)&lt;_xlfn.ANCHORARRAY(Sintesi!$C$10))*(A169&gt;=_xlfn.ANCHORARRAY(Sintesi!$C$9))*(A169&lt;=_xlfn.ANCHORARRAY(Sintesi!$C$10)),0)),0))/(_xlfn.IFNA(INDEX(_xlfn.ANCHORARRAY(Sintesi!$C$18),1,MATCH(1,(_xlfn.ANCHORARRAY(Sintesi!$C$9)&gt;_xlfn.ANCHORARRAY(Sintesi!$C$10))*(A169&gt;=_xlfn.ANCHORARRAY(Sintesi!$C$9))+(_xlfn.ANCHORARRAY(Sintesi!$C$9)&gt;_xlfn.ANCHORARRAY(Sintesi!$C$10))*(A169&lt;=_xlfn.ANCHORARRAY(Sintesi!$C$10))+(_xlfn.ANCHORARRAY(Sintesi!$C$9)&lt;_xlfn.ANCHORARRAY(Sintesi!$C$10))*(A169&gt;=_xlfn.ANCHORARRAY(Sintesi!$C$9))*(A169&lt;=_xlfn.ANCHORARRAY(Sintesi!$C$10)),0)),0)-_xlfn.IFNA(INDEX(_xlfn.ANCHORARRAY(Sintesi!$C$17),1,MATCH(1,(_xlfn.ANCHORARRAY(Sintesi!$C$9)&gt;_xlfn.ANCHORARRAY(Sintesi!$C$10))*(A169&gt;=_xlfn.ANCHORARRAY(Sintesi!$C$9))+(_xlfn.ANCHORARRAY(Sintesi!$C$9)&gt;_xlfn.ANCHORARRAY(Sintesi!$C$10))*(A169&lt;=_xlfn.ANCHORARRAY(Sintesi!$C$10))+(_xlfn.ANCHORARRAY(Sintesi!$C$9)&lt;_xlfn.ANCHORARRAY(Sintesi!$C$10))*(A169&gt;=_xlfn.ANCHORARRAY(Sintesi!$C$9))*(A169&lt;=_xlfn.ANCHORARRAY(Sintesi!$C$10)),0)),0)))),0)</f>
        <v>1</v>
      </c>
    </row>
    <row r="171" spans="1:13">
      <c r="A171" s="1">
        <f>'Paste cell here'!A171</f>
        <v>170</v>
      </c>
      <c r="B171" s="2">
        <f>DATE(Sintesi!$C$4-1,12,31)+A171</f>
        <v>44366</v>
      </c>
      <c r="C171" s="34">
        <f t="array" ref="C171">_xlfn.IFNA(MATCH(1,((_xlfn.ANCHORARRAY(Sintesi!$C$9)&gt;_xlfn.ANCHORARRAY(Sintesi!$C$10))*(A171&gt;=_xlfn.ANCHORARRAY(Sintesi!$C$9))+(_xlfn.ANCHORARRAY(Sintesi!$C$9)&gt;_xlfn.ANCHORARRAY(Sintesi!$C$10))*(A171&lt;=_xlfn.ANCHORARRAY(Sintesi!$C$10))+(_xlfn.ANCHORARRAY(Sintesi!$C$9)&lt;_xlfn.ANCHORARRAY(Sintesi!$C$10))*(A171&gt;=_xlfn.ANCHORARRAY(Sintesi!$C$9))*(A171&lt;=_xlfn.ANCHORARRAY(Sintesi!$C$10)))*(_xlfn.ANCHORARRAY(Sintesi!$C$15)&gt;=0)+(_xlfn.ANCHORARRAY(Sintesi!$C$15)&lt;0),0),0)</f>
        <v>1</v>
      </c>
      <c r="D171" s="1">
        <f t="array" ref="D171">IF(ISBLANK($E172),IF(ISNUMBER($E170),IF($C171&gt;0,IF(($E171=INDEX(_xlfn.ANCHORARRAY(Sintesi!$C$14),1,$C171))*(INDEX(_xlfn.ANCHORARRAY(Sintesi!$C$15),1,$C171)&gt;0),0,IF(($E171=INDEX(_xlfn.ANCHORARRAY(Sintesi!$C$14),1,$C171))*(INDEX(_xlfn.ANCHORARRAY(Sintesi!$C$15),1,$C171)&lt;0)+($E171&gt;=$E170)*($E171&lt;=INDEX($E:$E,MATCH(TRUE,INDEX((ISNUMBER($E:$E)),0),0)))*($E171&gt;INDEX(_xlfn.ANCHORARRAY(Sintesi!$C$14),1,$C171))*($E171&lt;=INDEX(_xlfn.ANCHORARRAY(Sintesi!$C$15),1,$C171))*(INDEX(_xlfn.ANCHORARRAY(Sintesi!$C$15),1,$C171)&gt;0),1,IF(($E171&gt;=$E170)*($E171&lt;=INDEX($E:$E,MATCH(TRUE,INDEX((ISNUMBER($E:$E)),0),0)))*($E171&gt;INDEX(_xlfn.ANCHORARRAY(Sintesi!$C$14),1,$C171))*($E171&lt;INDEX(_xlfn.ANCHORARRAY(Sintesi!$C$16),1,$C171))*(INDEX(_xlfn.ANCHORARRAY(Sintesi!$C$15),1,$C171)&lt;0)+($E171&gt;=$E170)*($E171&lt;=INDEX($E:$E,MATCH(TRUE,INDEX((ISNUMBER($E:$E)),0),0)))*($E171&gt;INDEX(_xlfn.ANCHORARRAY(Sintesi!$C$15),1,$C171))*($E171&lt;INDEX(_xlfn.ANCHORARRAY(Sintesi!$C$16),1,$C171))*(INDEX(_xlfn.ANCHORARRAY(Sintesi!$C$15),1,$C171)&gt;0),2,IF($E171=(INDEX(_xlfn.ANCHORARRAY(Sintesi!$C$16),1,$C171)),3,4)))),0),IF($C171&gt;0,IF(($E171=INDEX(_xlfn.ANCHORARRAY(Sintesi!$C$14),1,$C171))*(INDEX(_xlfn.ANCHORARRAY(Sintesi!$C$15),1,$C171)&gt;0),0,IF(($E171=INDEX(_xlfn.ANCHORARRAY(Sintesi!$C$14),1,$C171))*(INDEX(_xlfn.ANCHORARRAY(Sintesi!$C$15),1,$C171)&lt;0)+($E171&gt;=LOOKUP(2,1/($E:$E&lt;&gt;""),$E:$E))*($E171&lt;=INDEX($E:$E,MATCH(TRUE,INDEX((ISNUMBER($E:$E)),0),0)))*($E171&gt;INDEX(_xlfn.ANCHORARRAY(Sintesi!$C$14),1,$C171))*($E171&lt;=INDEX(_xlfn.ANCHORARRAY(Sintesi!$C$15),1,$C171))*(INDEX(_xlfn.ANCHORARRAY(Sintesi!$C$15),1,$C171)&gt;0),1,IF(($E171&gt;=LOOKUP(2,1/($E:$E&lt;&gt;""),$E:$E))*($E171&lt;=INDEX($E:$E,MATCH(TRUE,INDEX((ISNUMBER($E:$E)),0),0)))*($E171&gt;INDEX(_xlfn.ANCHORARRAY(Sintesi!$C$14),1,$C171))*($E171&lt;INDEX(_xlfn.ANCHORARRAY(Sintesi!$C$16),1,$C171))*(INDEX(_xlfn.ANCHORARRAY(Sintesi!$C$15),1,$C171)&lt;0)+($E171&gt;=LOOKUP(2,1/($E:$E&lt;&gt;""),$E:$E))*($E171&lt;=INDEX($E:$E,MATCH(TRUE,INDEX((ISNUMBER($E:$E)),0),0)))*($E171&gt;INDEX(_xlfn.ANCHORARRAY(Sintesi!$C$15),1,$C171))*($E171&lt;INDEX(_xlfn.ANCHORARRAY(Sintesi!$C$16),1,$C171))*(INDEX(_xlfn.ANCHORARRAY(Sintesi!$C$15),1,$C171)&gt;0),2,IF($E171=(INDEX(_xlfn.ANCHORARRAY(Sintesi!$C$16),1,$C171)),3,4)))),0)),IF(ISNUMBER($E170),IF($C171&gt;0,IF(($E171=INDEX(_xlfn.ANCHORARRAY(Sintesi!$C$14),1,$C171))*(INDEX(_xlfn.ANCHORARRAY(Sintesi!$C$15),1,$C171)&gt;0),0,IF(($E171=INDEX(_xlfn.ANCHORARRAY(Sintesi!$C$14),1,$C171))*(INDEX(_xlfn.ANCHORARRAY(Sintesi!$C$15),1,$C171)&lt;0)+($E171&gt;=$E170)*($E171&lt;=$E172)*($E171&gt;INDEX(_xlfn.ANCHORARRAY(Sintesi!$C$14),1,$C171))*($E171&lt;=INDEX(_xlfn.ANCHORARRAY(Sintesi!$C$15),1,$C171))*(INDEX(_xlfn.ANCHORARRAY(Sintesi!$C$15),1,$C171)&gt;0),1,IF(($E171&gt;=$E170)*($E171&lt;=$E172)*($E171&gt;INDEX(_xlfn.ANCHORARRAY(Sintesi!$C$14),1,$C171))*($E171&lt;INDEX(_xlfn.ANCHORARRAY(Sintesi!$C$16),1,$C171))*(INDEX(_xlfn.ANCHORARRAY(Sintesi!$C$15),1,$C171)&lt;0)+($E171&gt;=$E170)*($E171&lt;=$E172)*($E171&gt;INDEX(_xlfn.ANCHORARRAY(Sintesi!$C$15),1,$C171))*($E171&lt;INDEX(_xlfn.ANCHORARRAY(Sintesi!$C$16),1,$C171))*(INDEX(_xlfn.ANCHORARRAY(Sintesi!$C$15),1,$C171)&gt;0),2,IF($E171=(INDEX(_xlfn.ANCHORARRAY(Sintesi!$C$16),1,$C171)),3,4)))),0),IF($C171&gt;0,IF(($E171=INDEX(_xlfn.ANCHORARRAY(Sintesi!$C$14),1,$C171))*(INDEX(_xlfn.ANCHORARRAY(Sintesi!$C$15),1,$C171)&gt;0),0,IF(($E171=INDEX(_xlfn.ANCHORARRAY(Sintesi!$C$14),1,$C171))*(INDEX(_xlfn.ANCHORARRAY(Sintesi!$C$15),1,$C171)&lt;0)+($E171&gt;=LOOKUP(2,1/($E:$E&lt;&gt;""),$E:$E))*($E171&lt;=$E172)*($E171&gt;INDEX(_xlfn.ANCHORARRAY(Sintesi!$C$14),1,$C171))*($E171&lt;=INDEX(_xlfn.ANCHORARRAY(Sintesi!$C$15),1,$C171))*(INDEX(_xlfn.ANCHORARRAY(Sintesi!$C$15),1,$C171)&gt;0),1,IF(($E171&gt;=LOOKUP(2,1/($E:$E&lt;&gt;""),$E:$E))*($E171&lt;=$E172)*($E171&gt;INDEX(_xlfn.ANCHORARRAY(Sintesi!$C$14),1,$C171))*($E171&lt;INDEX(_xlfn.ANCHORARRAY(Sintesi!$C$16),1,$C171))*(INDEX(_xlfn.ANCHORARRAY(Sintesi!$C$15),1,$C171)&lt;0)+($E171&gt;=LOOKUP(2,1/($E:$E&lt;&gt;""),$E:$E))*($E171&lt;=$E172)*($E171&gt;INDEX(_xlfn.ANCHORARRAY(Sintesi!$C$15),1,$C171))*($E171&lt;INDEX(_xlfn.ANCHORARRAY(Sintesi!$C$16),1,$C171))*(INDEX(_xlfn.ANCHORARRAY(Sintesi!$C$15),1,$C171)&gt;0),2,IF($E171=(INDEX(_xlfn.ANCHORARRAY(Sintesi!$C$16),1,$C171)),3,4)))),0)))</f>
        <v>2</v>
      </c>
      <c r="E171" s="1">
        <f>'Paste cell here'!F171</f>
        <v>0.90100000000000002</v>
      </c>
      <c r="F171" s="1">
        <f>'Paste cell here'!C171</f>
        <v>32.019999999999541</v>
      </c>
      <c r="G171" s="1">
        <f>'Paste cell here'!D171</f>
        <v>19.819999999999741</v>
      </c>
      <c r="H171" s="1">
        <f>'Paste cell here'!E171</f>
        <v>5.1100367620308287</v>
      </c>
      <c r="I171" s="1">
        <f>'Paste cell here'!X171</f>
        <v>4.603685140073118</v>
      </c>
      <c r="J171" s="1">
        <f>'Paste cell here'!Y171+'Paste cell here'!S171</f>
        <v>4.603685140073118</v>
      </c>
      <c r="K171" s="1">
        <f t="shared" si="4"/>
        <v>0.90091037588612644</v>
      </c>
      <c r="L171" s="1">
        <f t="shared" si="5"/>
        <v>27.290872332617194</v>
      </c>
      <c r="M171" s="1">
        <f t="array" ref="M171">IF(AND(A171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171&gt;=_xlfn.ANCHORARRAY(Sintesi!$C$9))+(_xlfn.ANCHORARRAY(Sintesi!$C$9)&gt;_xlfn.ANCHORARRAY(Sintesi!$C$10))*(A171&lt;=_xlfn.ANCHORARRAY(Sintesi!$C$10))+(_xlfn.ANCHORARRAY(Sintesi!$C$9)&lt;_xlfn.ANCHORARRAY(Sintesi!$C$10))*(A171&gt;=_xlfn.ANCHORARRAY(Sintesi!$C$9))*(A171&lt;=_xlfn.ANCHORARRAY(Sintesi!$C$10)),0)),0),A171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172&gt;=_xlfn.ANCHORARRAY(Sintesi!$C$9))+(_xlfn.ANCHORARRAY(Sintesi!$C$9)&gt;_xlfn.ANCHORARRAY(Sintesi!$C$10))*(A172&lt;=_xlfn.ANCHORARRAY(Sintesi!$C$10))+(_xlfn.ANCHORARRAY(Sintesi!$C$9)&lt;_xlfn.ANCHORARRAY(Sintesi!$C$10))*(A172&gt;=_xlfn.ANCHORARRAY(Sintesi!$C$9))*(A172&lt;=_xlfn.ANCHORARRAY(Sintesi!$C$10)),0)),0)),IF(L171&lt;_xlfn.IFNA(INDEX(_xlfn.ANCHORARRAY(Sintesi!$C$17),1,MATCH(1,(_xlfn.ANCHORARRAY(Sintesi!$C$9)&gt;_xlfn.ANCHORARRAY(Sintesi!$C$10))*(A170&gt;=_xlfn.ANCHORARRAY(Sintesi!$C$9))+(_xlfn.ANCHORARRAY(Sintesi!$C$9)&gt;_xlfn.ANCHORARRAY(Sintesi!$C$10))*(A170&lt;=_xlfn.ANCHORARRAY(Sintesi!$C$10))+(_xlfn.ANCHORARRAY(Sintesi!$C$9)&lt;_xlfn.ANCHORARRAY(Sintesi!$C$10))*(A170&gt;=_xlfn.ANCHORARRAY(Sintesi!$C$9))*(A170&lt;=_xlfn.ANCHORARRAY(Sintesi!$C$10)),0)),0),1,IF(L171&gt;=_xlfn.IFNA(INDEX(_xlfn.ANCHORARRAY(Sintesi!$C$18),1,MATCH(1,(_xlfn.ANCHORARRAY(Sintesi!$C$9)&gt;_xlfn.ANCHORARRAY(Sintesi!$C$10))*(A170&gt;=_xlfn.ANCHORARRAY(Sintesi!$C$9))+(_xlfn.ANCHORARRAY(Sintesi!$C$9)&gt;_xlfn.ANCHORARRAY(Sintesi!$C$10))*(A170&lt;=_xlfn.ANCHORARRAY(Sintesi!$C$10))+(_xlfn.ANCHORARRAY(Sintesi!$C$9)&lt;_xlfn.ANCHORARRAY(Sintesi!$C$10))*(A170&gt;=_xlfn.ANCHORARRAY(Sintesi!$C$9))*(A170&lt;=_xlfn.ANCHORARRAY(Sintesi!$C$10)),0)),0),0,1-(L171-_xlfn.IFNA(INDEX(_xlfn.ANCHORARRAY(Sintesi!$C$17),1,MATCH(1,(_xlfn.ANCHORARRAY(Sintesi!$C$9)&gt;_xlfn.ANCHORARRAY(Sintesi!$C$10))*(A170&gt;=_xlfn.ANCHORARRAY(Sintesi!$C$9))+(_xlfn.ANCHORARRAY(Sintesi!$C$9)&gt;_xlfn.ANCHORARRAY(Sintesi!$C$10))*(A170&lt;=_xlfn.ANCHORARRAY(Sintesi!$C$10))+(_xlfn.ANCHORARRAY(Sintesi!$C$9)&lt;_xlfn.ANCHORARRAY(Sintesi!$C$10))*(A170&gt;=_xlfn.ANCHORARRAY(Sintesi!$C$9))*(A170&lt;=_xlfn.ANCHORARRAY(Sintesi!$C$10)),0)),0))/(_xlfn.IFNA(INDEX(_xlfn.ANCHORARRAY(Sintesi!$C$18),1,MATCH(1,(_xlfn.ANCHORARRAY(Sintesi!$C$9)&gt;_xlfn.ANCHORARRAY(Sintesi!$C$10))*(A170&gt;=_xlfn.ANCHORARRAY(Sintesi!$C$9))+(_xlfn.ANCHORARRAY(Sintesi!$C$9)&gt;_xlfn.ANCHORARRAY(Sintesi!$C$10))*(A170&lt;=_xlfn.ANCHORARRAY(Sintesi!$C$10))+(_xlfn.ANCHORARRAY(Sintesi!$C$9)&lt;_xlfn.ANCHORARRAY(Sintesi!$C$10))*(A170&gt;=_xlfn.ANCHORARRAY(Sintesi!$C$9))*(A170&lt;=_xlfn.ANCHORARRAY(Sintesi!$C$10)),0)),0)-_xlfn.IFNA(INDEX(_xlfn.ANCHORARRAY(Sintesi!$C$17),1,MATCH(1,(_xlfn.ANCHORARRAY(Sintesi!$C$9)&gt;_xlfn.ANCHORARRAY(Sintesi!$C$10))*(A170&gt;=_xlfn.ANCHORARRAY(Sintesi!$C$9))+(_xlfn.ANCHORARRAY(Sintesi!$C$9)&gt;_xlfn.ANCHORARRAY(Sintesi!$C$10))*(A170&lt;=_xlfn.ANCHORARRAY(Sintesi!$C$10))+(_xlfn.ANCHORARRAY(Sintesi!$C$9)&lt;_xlfn.ANCHORARRAY(Sintesi!$C$10))*(A170&gt;=_xlfn.ANCHORARRAY(Sintesi!$C$9))*(A170&lt;=_xlfn.ANCHORARRAY(Sintesi!$C$10)),0)),0)))),0)</f>
        <v>1</v>
      </c>
    </row>
    <row r="172" spans="1:13">
      <c r="A172" s="1">
        <f>'Paste cell here'!A172</f>
        <v>171</v>
      </c>
      <c r="B172" s="2">
        <f>DATE(Sintesi!$C$4-1,12,31)+A172</f>
        <v>44367</v>
      </c>
      <c r="C172" s="34">
        <f t="array" ref="C172">_xlfn.IFNA(MATCH(1,((_xlfn.ANCHORARRAY(Sintesi!$C$9)&gt;_xlfn.ANCHORARRAY(Sintesi!$C$10))*(A172&gt;=_xlfn.ANCHORARRAY(Sintesi!$C$9))+(_xlfn.ANCHORARRAY(Sintesi!$C$9)&gt;_xlfn.ANCHORARRAY(Sintesi!$C$10))*(A172&lt;=_xlfn.ANCHORARRAY(Sintesi!$C$10))+(_xlfn.ANCHORARRAY(Sintesi!$C$9)&lt;_xlfn.ANCHORARRAY(Sintesi!$C$10))*(A172&gt;=_xlfn.ANCHORARRAY(Sintesi!$C$9))*(A172&lt;=_xlfn.ANCHORARRAY(Sintesi!$C$10)))*(_xlfn.ANCHORARRAY(Sintesi!$C$15)&gt;=0)+(_xlfn.ANCHORARRAY(Sintesi!$C$15)&lt;0),0),0)</f>
        <v>1</v>
      </c>
      <c r="D172" s="1">
        <f t="array" ref="D172">IF(ISBLANK($E173),IF(ISNUMBER($E171),IF($C172&gt;0,IF(($E172=INDEX(_xlfn.ANCHORARRAY(Sintesi!$C$14),1,$C172))*(INDEX(_xlfn.ANCHORARRAY(Sintesi!$C$15),1,$C172)&gt;0),0,IF(($E172=INDEX(_xlfn.ANCHORARRAY(Sintesi!$C$14),1,$C172))*(INDEX(_xlfn.ANCHORARRAY(Sintesi!$C$15),1,$C172)&lt;0)+($E172&gt;=$E171)*($E172&lt;=INDEX($E:$E,MATCH(TRUE,INDEX((ISNUMBER($E:$E)),0),0)))*($E172&gt;INDEX(_xlfn.ANCHORARRAY(Sintesi!$C$14),1,$C172))*($E172&lt;=INDEX(_xlfn.ANCHORARRAY(Sintesi!$C$15),1,$C172))*(INDEX(_xlfn.ANCHORARRAY(Sintesi!$C$15),1,$C172)&gt;0),1,IF(($E172&gt;=$E171)*($E172&lt;=INDEX($E:$E,MATCH(TRUE,INDEX((ISNUMBER($E:$E)),0),0)))*($E172&gt;INDEX(_xlfn.ANCHORARRAY(Sintesi!$C$14),1,$C172))*($E172&lt;INDEX(_xlfn.ANCHORARRAY(Sintesi!$C$16),1,$C172))*(INDEX(_xlfn.ANCHORARRAY(Sintesi!$C$15),1,$C172)&lt;0)+($E172&gt;=$E171)*($E172&lt;=INDEX($E:$E,MATCH(TRUE,INDEX((ISNUMBER($E:$E)),0),0)))*($E172&gt;INDEX(_xlfn.ANCHORARRAY(Sintesi!$C$15),1,$C172))*($E172&lt;INDEX(_xlfn.ANCHORARRAY(Sintesi!$C$16),1,$C172))*(INDEX(_xlfn.ANCHORARRAY(Sintesi!$C$15),1,$C172)&gt;0),2,IF($E172=(INDEX(_xlfn.ANCHORARRAY(Sintesi!$C$16),1,$C172)),3,4)))),0),IF($C172&gt;0,IF(($E172=INDEX(_xlfn.ANCHORARRAY(Sintesi!$C$14),1,$C172))*(INDEX(_xlfn.ANCHORARRAY(Sintesi!$C$15),1,$C172)&gt;0),0,IF(($E172=INDEX(_xlfn.ANCHORARRAY(Sintesi!$C$14),1,$C172))*(INDEX(_xlfn.ANCHORARRAY(Sintesi!$C$15),1,$C172)&lt;0)+($E172&gt;=LOOKUP(2,1/($E:$E&lt;&gt;""),$E:$E))*($E172&lt;=INDEX($E:$E,MATCH(TRUE,INDEX((ISNUMBER($E:$E)),0),0)))*($E172&gt;INDEX(_xlfn.ANCHORARRAY(Sintesi!$C$14),1,$C172))*($E172&lt;=INDEX(_xlfn.ANCHORARRAY(Sintesi!$C$15),1,$C172))*(INDEX(_xlfn.ANCHORARRAY(Sintesi!$C$15),1,$C172)&gt;0),1,IF(($E172&gt;=LOOKUP(2,1/($E:$E&lt;&gt;""),$E:$E))*($E172&lt;=INDEX($E:$E,MATCH(TRUE,INDEX((ISNUMBER($E:$E)),0),0)))*($E172&gt;INDEX(_xlfn.ANCHORARRAY(Sintesi!$C$14),1,$C172))*($E172&lt;INDEX(_xlfn.ANCHORARRAY(Sintesi!$C$16),1,$C172))*(INDEX(_xlfn.ANCHORARRAY(Sintesi!$C$15),1,$C172)&lt;0)+($E172&gt;=LOOKUP(2,1/($E:$E&lt;&gt;""),$E:$E))*($E172&lt;=INDEX($E:$E,MATCH(TRUE,INDEX((ISNUMBER($E:$E)),0),0)))*($E172&gt;INDEX(_xlfn.ANCHORARRAY(Sintesi!$C$15),1,$C172))*($E172&lt;INDEX(_xlfn.ANCHORARRAY(Sintesi!$C$16),1,$C172))*(INDEX(_xlfn.ANCHORARRAY(Sintesi!$C$15),1,$C172)&gt;0),2,IF($E172=(INDEX(_xlfn.ANCHORARRAY(Sintesi!$C$16),1,$C172)),3,4)))),0)),IF(ISNUMBER($E171),IF($C172&gt;0,IF(($E172=INDEX(_xlfn.ANCHORARRAY(Sintesi!$C$14),1,$C172))*(INDEX(_xlfn.ANCHORARRAY(Sintesi!$C$15),1,$C172)&gt;0),0,IF(($E172=INDEX(_xlfn.ANCHORARRAY(Sintesi!$C$14),1,$C172))*(INDEX(_xlfn.ANCHORARRAY(Sintesi!$C$15),1,$C172)&lt;0)+($E172&gt;=$E171)*($E172&lt;=$E173)*($E172&gt;INDEX(_xlfn.ANCHORARRAY(Sintesi!$C$14),1,$C172))*($E172&lt;=INDEX(_xlfn.ANCHORARRAY(Sintesi!$C$15),1,$C172))*(INDEX(_xlfn.ANCHORARRAY(Sintesi!$C$15),1,$C172)&gt;0),1,IF(($E172&gt;=$E171)*($E172&lt;=$E173)*($E172&gt;INDEX(_xlfn.ANCHORARRAY(Sintesi!$C$14),1,$C172))*($E172&lt;INDEX(_xlfn.ANCHORARRAY(Sintesi!$C$16),1,$C172))*(INDEX(_xlfn.ANCHORARRAY(Sintesi!$C$15),1,$C172)&lt;0)+($E172&gt;=$E171)*($E172&lt;=$E173)*($E172&gt;INDEX(_xlfn.ANCHORARRAY(Sintesi!$C$15),1,$C172))*($E172&lt;INDEX(_xlfn.ANCHORARRAY(Sintesi!$C$16),1,$C172))*(INDEX(_xlfn.ANCHORARRAY(Sintesi!$C$15),1,$C172)&gt;0),2,IF($E172=(INDEX(_xlfn.ANCHORARRAY(Sintesi!$C$16),1,$C172)),3,4)))),0),IF($C172&gt;0,IF(($E172=INDEX(_xlfn.ANCHORARRAY(Sintesi!$C$14),1,$C172))*(INDEX(_xlfn.ANCHORARRAY(Sintesi!$C$15),1,$C172)&gt;0),0,IF(($E172=INDEX(_xlfn.ANCHORARRAY(Sintesi!$C$14),1,$C172))*(INDEX(_xlfn.ANCHORARRAY(Sintesi!$C$15),1,$C172)&lt;0)+($E172&gt;=LOOKUP(2,1/($E:$E&lt;&gt;""),$E:$E))*($E172&lt;=$E173)*($E172&gt;INDEX(_xlfn.ANCHORARRAY(Sintesi!$C$14),1,$C172))*($E172&lt;=INDEX(_xlfn.ANCHORARRAY(Sintesi!$C$15),1,$C172))*(INDEX(_xlfn.ANCHORARRAY(Sintesi!$C$15),1,$C172)&gt;0),1,IF(($E172&gt;=LOOKUP(2,1/($E:$E&lt;&gt;""),$E:$E))*($E172&lt;=$E173)*($E172&gt;INDEX(_xlfn.ANCHORARRAY(Sintesi!$C$14),1,$C172))*($E172&lt;INDEX(_xlfn.ANCHORARRAY(Sintesi!$C$16),1,$C172))*(INDEX(_xlfn.ANCHORARRAY(Sintesi!$C$15),1,$C172)&lt;0)+($E172&gt;=LOOKUP(2,1/($E:$E&lt;&gt;""),$E:$E))*($E172&lt;=$E173)*($E172&gt;INDEX(_xlfn.ANCHORARRAY(Sintesi!$C$15),1,$C172))*($E172&lt;INDEX(_xlfn.ANCHORARRAY(Sintesi!$C$16),1,$C172))*(INDEX(_xlfn.ANCHORARRAY(Sintesi!$C$15),1,$C172)&gt;0),2,IF($E172=(INDEX(_xlfn.ANCHORARRAY(Sintesi!$C$16),1,$C172)),3,4)))),0)))</f>
        <v>2</v>
      </c>
      <c r="E172" s="1">
        <f>'Paste cell here'!F172</f>
        <v>0.92200000000000004</v>
      </c>
      <c r="F172" s="1">
        <f>'Paste cell here'!C172</f>
        <v>32.159999999999535</v>
      </c>
      <c r="G172" s="1">
        <f>'Paste cell here'!D172</f>
        <v>20.01999999999973</v>
      </c>
      <c r="H172" s="1">
        <f>'Paste cell here'!E172</f>
        <v>4.1426492017581671</v>
      </c>
      <c r="I172" s="1">
        <f>'Paste cell here'!X172</f>
        <v>3.8191418884993413</v>
      </c>
      <c r="J172" s="1">
        <f>'Paste cell here'!Y172+'Paste cell here'!S172</f>
        <v>3.8191418884993413</v>
      </c>
      <c r="K172" s="1">
        <f t="shared" si="4"/>
        <v>0.92190810819281366</v>
      </c>
      <c r="L172" s="1">
        <f t="shared" si="5"/>
        <v>27.454130337538736</v>
      </c>
      <c r="M172" s="1">
        <f t="array" ref="M172">IF(AND(A172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172&gt;=_xlfn.ANCHORARRAY(Sintesi!$C$9))+(_xlfn.ANCHORARRAY(Sintesi!$C$9)&gt;_xlfn.ANCHORARRAY(Sintesi!$C$10))*(A172&lt;=_xlfn.ANCHORARRAY(Sintesi!$C$10))+(_xlfn.ANCHORARRAY(Sintesi!$C$9)&lt;_xlfn.ANCHORARRAY(Sintesi!$C$10))*(A172&gt;=_xlfn.ANCHORARRAY(Sintesi!$C$9))*(A172&lt;=_xlfn.ANCHORARRAY(Sintesi!$C$10)),0)),0),A172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173&gt;=_xlfn.ANCHORARRAY(Sintesi!$C$9))+(_xlfn.ANCHORARRAY(Sintesi!$C$9)&gt;_xlfn.ANCHORARRAY(Sintesi!$C$10))*(A173&lt;=_xlfn.ANCHORARRAY(Sintesi!$C$10))+(_xlfn.ANCHORARRAY(Sintesi!$C$9)&lt;_xlfn.ANCHORARRAY(Sintesi!$C$10))*(A173&gt;=_xlfn.ANCHORARRAY(Sintesi!$C$9))*(A173&lt;=_xlfn.ANCHORARRAY(Sintesi!$C$10)),0)),0)),IF(L172&lt;_xlfn.IFNA(INDEX(_xlfn.ANCHORARRAY(Sintesi!$C$17),1,MATCH(1,(_xlfn.ANCHORARRAY(Sintesi!$C$9)&gt;_xlfn.ANCHORARRAY(Sintesi!$C$10))*(A171&gt;=_xlfn.ANCHORARRAY(Sintesi!$C$9))+(_xlfn.ANCHORARRAY(Sintesi!$C$9)&gt;_xlfn.ANCHORARRAY(Sintesi!$C$10))*(A171&lt;=_xlfn.ANCHORARRAY(Sintesi!$C$10))+(_xlfn.ANCHORARRAY(Sintesi!$C$9)&lt;_xlfn.ANCHORARRAY(Sintesi!$C$10))*(A171&gt;=_xlfn.ANCHORARRAY(Sintesi!$C$9))*(A171&lt;=_xlfn.ANCHORARRAY(Sintesi!$C$10)),0)),0),1,IF(L172&gt;=_xlfn.IFNA(INDEX(_xlfn.ANCHORARRAY(Sintesi!$C$18),1,MATCH(1,(_xlfn.ANCHORARRAY(Sintesi!$C$9)&gt;_xlfn.ANCHORARRAY(Sintesi!$C$10))*(A171&gt;=_xlfn.ANCHORARRAY(Sintesi!$C$9))+(_xlfn.ANCHORARRAY(Sintesi!$C$9)&gt;_xlfn.ANCHORARRAY(Sintesi!$C$10))*(A171&lt;=_xlfn.ANCHORARRAY(Sintesi!$C$10))+(_xlfn.ANCHORARRAY(Sintesi!$C$9)&lt;_xlfn.ANCHORARRAY(Sintesi!$C$10))*(A171&gt;=_xlfn.ANCHORARRAY(Sintesi!$C$9))*(A171&lt;=_xlfn.ANCHORARRAY(Sintesi!$C$10)),0)),0),0,1-(L172-_xlfn.IFNA(INDEX(_xlfn.ANCHORARRAY(Sintesi!$C$17),1,MATCH(1,(_xlfn.ANCHORARRAY(Sintesi!$C$9)&gt;_xlfn.ANCHORARRAY(Sintesi!$C$10))*(A171&gt;=_xlfn.ANCHORARRAY(Sintesi!$C$9))+(_xlfn.ANCHORARRAY(Sintesi!$C$9)&gt;_xlfn.ANCHORARRAY(Sintesi!$C$10))*(A171&lt;=_xlfn.ANCHORARRAY(Sintesi!$C$10))+(_xlfn.ANCHORARRAY(Sintesi!$C$9)&lt;_xlfn.ANCHORARRAY(Sintesi!$C$10))*(A171&gt;=_xlfn.ANCHORARRAY(Sintesi!$C$9))*(A171&lt;=_xlfn.ANCHORARRAY(Sintesi!$C$10)),0)),0))/(_xlfn.IFNA(INDEX(_xlfn.ANCHORARRAY(Sintesi!$C$18),1,MATCH(1,(_xlfn.ANCHORARRAY(Sintesi!$C$9)&gt;_xlfn.ANCHORARRAY(Sintesi!$C$10))*(A171&gt;=_xlfn.ANCHORARRAY(Sintesi!$C$9))+(_xlfn.ANCHORARRAY(Sintesi!$C$9)&gt;_xlfn.ANCHORARRAY(Sintesi!$C$10))*(A171&lt;=_xlfn.ANCHORARRAY(Sintesi!$C$10))+(_xlfn.ANCHORARRAY(Sintesi!$C$9)&lt;_xlfn.ANCHORARRAY(Sintesi!$C$10))*(A171&gt;=_xlfn.ANCHORARRAY(Sintesi!$C$9))*(A171&lt;=_xlfn.ANCHORARRAY(Sintesi!$C$10)),0)),0)-_xlfn.IFNA(INDEX(_xlfn.ANCHORARRAY(Sintesi!$C$17),1,MATCH(1,(_xlfn.ANCHORARRAY(Sintesi!$C$9)&gt;_xlfn.ANCHORARRAY(Sintesi!$C$10))*(A171&gt;=_xlfn.ANCHORARRAY(Sintesi!$C$9))+(_xlfn.ANCHORARRAY(Sintesi!$C$9)&gt;_xlfn.ANCHORARRAY(Sintesi!$C$10))*(A171&lt;=_xlfn.ANCHORARRAY(Sintesi!$C$10))+(_xlfn.ANCHORARRAY(Sintesi!$C$9)&lt;_xlfn.ANCHORARRAY(Sintesi!$C$10))*(A171&gt;=_xlfn.ANCHORARRAY(Sintesi!$C$9))*(A171&lt;=_xlfn.ANCHORARRAY(Sintesi!$C$10)),0)),0)))),0)</f>
        <v>1</v>
      </c>
    </row>
    <row r="173" spans="1:13">
      <c r="A173" s="1">
        <f>'Paste cell here'!A173</f>
        <v>172</v>
      </c>
      <c r="B173" s="2">
        <f>DATE(Sintesi!$C$4-1,12,31)+A173</f>
        <v>44368</v>
      </c>
      <c r="C173" s="34">
        <f t="array" ref="C173">_xlfn.IFNA(MATCH(1,((_xlfn.ANCHORARRAY(Sintesi!$C$9)&gt;_xlfn.ANCHORARRAY(Sintesi!$C$10))*(A173&gt;=_xlfn.ANCHORARRAY(Sintesi!$C$9))+(_xlfn.ANCHORARRAY(Sintesi!$C$9)&gt;_xlfn.ANCHORARRAY(Sintesi!$C$10))*(A173&lt;=_xlfn.ANCHORARRAY(Sintesi!$C$10))+(_xlfn.ANCHORARRAY(Sintesi!$C$9)&lt;_xlfn.ANCHORARRAY(Sintesi!$C$10))*(A173&gt;=_xlfn.ANCHORARRAY(Sintesi!$C$9))*(A173&lt;=_xlfn.ANCHORARRAY(Sintesi!$C$10)))*(_xlfn.ANCHORARRAY(Sintesi!$C$15)&gt;=0)+(_xlfn.ANCHORARRAY(Sintesi!$C$15)&lt;0),0),0)</f>
        <v>1</v>
      </c>
      <c r="D173" s="1">
        <f t="array" ref="D173">IF(ISBLANK($E174),IF(ISNUMBER($E172),IF($C173&gt;0,IF(($E173=INDEX(_xlfn.ANCHORARRAY(Sintesi!$C$14),1,$C173))*(INDEX(_xlfn.ANCHORARRAY(Sintesi!$C$15),1,$C173)&gt;0),0,IF(($E173=INDEX(_xlfn.ANCHORARRAY(Sintesi!$C$14),1,$C173))*(INDEX(_xlfn.ANCHORARRAY(Sintesi!$C$15),1,$C173)&lt;0)+($E173&gt;=$E172)*($E173&lt;=INDEX($E:$E,MATCH(TRUE,INDEX((ISNUMBER($E:$E)),0),0)))*($E173&gt;INDEX(_xlfn.ANCHORARRAY(Sintesi!$C$14),1,$C173))*($E173&lt;=INDEX(_xlfn.ANCHORARRAY(Sintesi!$C$15),1,$C173))*(INDEX(_xlfn.ANCHORARRAY(Sintesi!$C$15),1,$C173)&gt;0),1,IF(($E173&gt;=$E172)*($E173&lt;=INDEX($E:$E,MATCH(TRUE,INDEX((ISNUMBER($E:$E)),0),0)))*($E173&gt;INDEX(_xlfn.ANCHORARRAY(Sintesi!$C$14),1,$C173))*($E173&lt;INDEX(_xlfn.ANCHORARRAY(Sintesi!$C$16),1,$C173))*(INDEX(_xlfn.ANCHORARRAY(Sintesi!$C$15),1,$C173)&lt;0)+($E173&gt;=$E172)*($E173&lt;=INDEX($E:$E,MATCH(TRUE,INDEX((ISNUMBER($E:$E)),0),0)))*($E173&gt;INDEX(_xlfn.ANCHORARRAY(Sintesi!$C$15),1,$C173))*($E173&lt;INDEX(_xlfn.ANCHORARRAY(Sintesi!$C$16),1,$C173))*(INDEX(_xlfn.ANCHORARRAY(Sintesi!$C$15),1,$C173)&gt;0),2,IF($E173=(INDEX(_xlfn.ANCHORARRAY(Sintesi!$C$16),1,$C173)),3,4)))),0),IF($C173&gt;0,IF(($E173=INDEX(_xlfn.ANCHORARRAY(Sintesi!$C$14),1,$C173))*(INDEX(_xlfn.ANCHORARRAY(Sintesi!$C$15),1,$C173)&gt;0),0,IF(($E173=INDEX(_xlfn.ANCHORARRAY(Sintesi!$C$14),1,$C173))*(INDEX(_xlfn.ANCHORARRAY(Sintesi!$C$15),1,$C173)&lt;0)+($E173&gt;=LOOKUP(2,1/($E:$E&lt;&gt;""),$E:$E))*($E173&lt;=INDEX($E:$E,MATCH(TRUE,INDEX((ISNUMBER($E:$E)),0),0)))*($E173&gt;INDEX(_xlfn.ANCHORARRAY(Sintesi!$C$14),1,$C173))*($E173&lt;=INDEX(_xlfn.ANCHORARRAY(Sintesi!$C$15),1,$C173))*(INDEX(_xlfn.ANCHORARRAY(Sintesi!$C$15),1,$C173)&gt;0),1,IF(($E173&gt;=LOOKUP(2,1/($E:$E&lt;&gt;""),$E:$E))*($E173&lt;=INDEX($E:$E,MATCH(TRUE,INDEX((ISNUMBER($E:$E)),0),0)))*($E173&gt;INDEX(_xlfn.ANCHORARRAY(Sintesi!$C$14),1,$C173))*($E173&lt;INDEX(_xlfn.ANCHORARRAY(Sintesi!$C$16),1,$C173))*(INDEX(_xlfn.ANCHORARRAY(Sintesi!$C$15),1,$C173)&lt;0)+($E173&gt;=LOOKUP(2,1/($E:$E&lt;&gt;""),$E:$E))*($E173&lt;=INDEX($E:$E,MATCH(TRUE,INDEX((ISNUMBER($E:$E)),0),0)))*($E173&gt;INDEX(_xlfn.ANCHORARRAY(Sintesi!$C$15),1,$C173))*($E173&lt;INDEX(_xlfn.ANCHORARRAY(Sintesi!$C$16),1,$C173))*(INDEX(_xlfn.ANCHORARRAY(Sintesi!$C$15),1,$C173)&gt;0),2,IF($E173=(INDEX(_xlfn.ANCHORARRAY(Sintesi!$C$16),1,$C173)),3,4)))),0)),IF(ISNUMBER($E172),IF($C173&gt;0,IF(($E173=INDEX(_xlfn.ANCHORARRAY(Sintesi!$C$14),1,$C173))*(INDEX(_xlfn.ANCHORARRAY(Sintesi!$C$15),1,$C173)&gt;0),0,IF(($E173=INDEX(_xlfn.ANCHORARRAY(Sintesi!$C$14),1,$C173))*(INDEX(_xlfn.ANCHORARRAY(Sintesi!$C$15),1,$C173)&lt;0)+($E173&gt;=$E172)*($E173&lt;=$E174)*($E173&gt;INDEX(_xlfn.ANCHORARRAY(Sintesi!$C$14),1,$C173))*($E173&lt;=INDEX(_xlfn.ANCHORARRAY(Sintesi!$C$15),1,$C173))*(INDEX(_xlfn.ANCHORARRAY(Sintesi!$C$15),1,$C173)&gt;0),1,IF(($E173&gt;=$E172)*($E173&lt;=$E174)*($E173&gt;INDEX(_xlfn.ANCHORARRAY(Sintesi!$C$14),1,$C173))*($E173&lt;INDEX(_xlfn.ANCHORARRAY(Sintesi!$C$16),1,$C173))*(INDEX(_xlfn.ANCHORARRAY(Sintesi!$C$15),1,$C173)&lt;0)+($E173&gt;=$E172)*($E173&lt;=$E174)*($E173&gt;INDEX(_xlfn.ANCHORARRAY(Sintesi!$C$15),1,$C173))*($E173&lt;INDEX(_xlfn.ANCHORARRAY(Sintesi!$C$16),1,$C173))*(INDEX(_xlfn.ANCHORARRAY(Sintesi!$C$15),1,$C173)&gt;0),2,IF($E173=(INDEX(_xlfn.ANCHORARRAY(Sintesi!$C$16),1,$C173)),3,4)))),0),IF($C173&gt;0,IF(($E173=INDEX(_xlfn.ANCHORARRAY(Sintesi!$C$14),1,$C173))*(INDEX(_xlfn.ANCHORARRAY(Sintesi!$C$15),1,$C173)&gt;0),0,IF(($E173=INDEX(_xlfn.ANCHORARRAY(Sintesi!$C$14),1,$C173))*(INDEX(_xlfn.ANCHORARRAY(Sintesi!$C$15),1,$C173)&lt;0)+($E173&gt;=LOOKUP(2,1/($E:$E&lt;&gt;""),$E:$E))*($E173&lt;=$E174)*($E173&gt;INDEX(_xlfn.ANCHORARRAY(Sintesi!$C$14),1,$C173))*($E173&lt;=INDEX(_xlfn.ANCHORARRAY(Sintesi!$C$15),1,$C173))*(INDEX(_xlfn.ANCHORARRAY(Sintesi!$C$15),1,$C173)&gt;0),1,IF(($E173&gt;=LOOKUP(2,1/($E:$E&lt;&gt;""),$E:$E))*($E173&lt;=$E174)*($E173&gt;INDEX(_xlfn.ANCHORARRAY(Sintesi!$C$14),1,$C173))*($E173&lt;INDEX(_xlfn.ANCHORARRAY(Sintesi!$C$16),1,$C173))*(INDEX(_xlfn.ANCHORARRAY(Sintesi!$C$15),1,$C173)&lt;0)+($E173&gt;=LOOKUP(2,1/($E:$E&lt;&gt;""),$E:$E))*($E173&lt;=$E174)*($E173&gt;INDEX(_xlfn.ANCHORARRAY(Sintesi!$C$15),1,$C173))*($E173&lt;INDEX(_xlfn.ANCHORARRAY(Sintesi!$C$16),1,$C173))*(INDEX(_xlfn.ANCHORARRAY(Sintesi!$C$15),1,$C173)&gt;0),2,IF($E173=(INDEX(_xlfn.ANCHORARRAY(Sintesi!$C$16),1,$C173)),3,4)))),0)))</f>
        <v>2</v>
      </c>
      <c r="E173" s="1">
        <f>'Paste cell here'!F173</f>
        <v>0.94299999999999995</v>
      </c>
      <c r="F173" s="1">
        <f>'Paste cell here'!C173</f>
        <v>32.539999999999523</v>
      </c>
      <c r="G173" s="1">
        <f>'Paste cell here'!D173</f>
        <v>20.119999999999724</v>
      </c>
      <c r="H173" s="1">
        <f>'Paste cell here'!E173</f>
        <v>5.5067587377850025</v>
      </c>
      <c r="I173" s="1">
        <f>'Paste cell here'!X173</f>
        <v>5.1923556033115315</v>
      </c>
      <c r="J173" s="1">
        <f>'Paste cell here'!Y173+'Paste cell here'!S173</f>
        <v>5.1923556033115315</v>
      </c>
      <c r="K173" s="1">
        <f t="shared" si="4"/>
        <v>0.94290595440178404</v>
      </c>
      <c r="L173" s="1">
        <f t="shared" si="5"/>
        <v>27.725592981238144</v>
      </c>
      <c r="M173" s="1">
        <f t="array" ref="M173">IF(AND(A173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173&gt;=_xlfn.ANCHORARRAY(Sintesi!$C$9))+(_xlfn.ANCHORARRAY(Sintesi!$C$9)&gt;_xlfn.ANCHORARRAY(Sintesi!$C$10))*(A173&lt;=_xlfn.ANCHORARRAY(Sintesi!$C$10))+(_xlfn.ANCHORARRAY(Sintesi!$C$9)&lt;_xlfn.ANCHORARRAY(Sintesi!$C$10))*(A173&gt;=_xlfn.ANCHORARRAY(Sintesi!$C$9))*(A173&lt;=_xlfn.ANCHORARRAY(Sintesi!$C$10)),0)),0),A173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174&gt;=_xlfn.ANCHORARRAY(Sintesi!$C$9))+(_xlfn.ANCHORARRAY(Sintesi!$C$9)&gt;_xlfn.ANCHORARRAY(Sintesi!$C$10))*(A174&lt;=_xlfn.ANCHORARRAY(Sintesi!$C$10))+(_xlfn.ANCHORARRAY(Sintesi!$C$9)&lt;_xlfn.ANCHORARRAY(Sintesi!$C$10))*(A174&gt;=_xlfn.ANCHORARRAY(Sintesi!$C$9))*(A174&lt;=_xlfn.ANCHORARRAY(Sintesi!$C$10)),0)),0)),IF(L173&lt;_xlfn.IFNA(INDEX(_xlfn.ANCHORARRAY(Sintesi!$C$17),1,MATCH(1,(_xlfn.ANCHORARRAY(Sintesi!$C$9)&gt;_xlfn.ANCHORARRAY(Sintesi!$C$10))*(A172&gt;=_xlfn.ANCHORARRAY(Sintesi!$C$9))+(_xlfn.ANCHORARRAY(Sintesi!$C$9)&gt;_xlfn.ANCHORARRAY(Sintesi!$C$10))*(A172&lt;=_xlfn.ANCHORARRAY(Sintesi!$C$10))+(_xlfn.ANCHORARRAY(Sintesi!$C$9)&lt;_xlfn.ANCHORARRAY(Sintesi!$C$10))*(A172&gt;=_xlfn.ANCHORARRAY(Sintesi!$C$9))*(A172&lt;=_xlfn.ANCHORARRAY(Sintesi!$C$10)),0)),0),1,IF(L173&gt;=_xlfn.IFNA(INDEX(_xlfn.ANCHORARRAY(Sintesi!$C$18),1,MATCH(1,(_xlfn.ANCHORARRAY(Sintesi!$C$9)&gt;_xlfn.ANCHORARRAY(Sintesi!$C$10))*(A172&gt;=_xlfn.ANCHORARRAY(Sintesi!$C$9))+(_xlfn.ANCHORARRAY(Sintesi!$C$9)&gt;_xlfn.ANCHORARRAY(Sintesi!$C$10))*(A172&lt;=_xlfn.ANCHORARRAY(Sintesi!$C$10))+(_xlfn.ANCHORARRAY(Sintesi!$C$9)&lt;_xlfn.ANCHORARRAY(Sintesi!$C$10))*(A172&gt;=_xlfn.ANCHORARRAY(Sintesi!$C$9))*(A172&lt;=_xlfn.ANCHORARRAY(Sintesi!$C$10)),0)),0),0,1-(L173-_xlfn.IFNA(INDEX(_xlfn.ANCHORARRAY(Sintesi!$C$17),1,MATCH(1,(_xlfn.ANCHORARRAY(Sintesi!$C$9)&gt;_xlfn.ANCHORARRAY(Sintesi!$C$10))*(A172&gt;=_xlfn.ANCHORARRAY(Sintesi!$C$9))+(_xlfn.ANCHORARRAY(Sintesi!$C$9)&gt;_xlfn.ANCHORARRAY(Sintesi!$C$10))*(A172&lt;=_xlfn.ANCHORARRAY(Sintesi!$C$10))+(_xlfn.ANCHORARRAY(Sintesi!$C$9)&lt;_xlfn.ANCHORARRAY(Sintesi!$C$10))*(A172&gt;=_xlfn.ANCHORARRAY(Sintesi!$C$9))*(A172&lt;=_xlfn.ANCHORARRAY(Sintesi!$C$10)),0)),0))/(_xlfn.IFNA(INDEX(_xlfn.ANCHORARRAY(Sintesi!$C$18),1,MATCH(1,(_xlfn.ANCHORARRAY(Sintesi!$C$9)&gt;_xlfn.ANCHORARRAY(Sintesi!$C$10))*(A172&gt;=_xlfn.ANCHORARRAY(Sintesi!$C$9))+(_xlfn.ANCHORARRAY(Sintesi!$C$9)&gt;_xlfn.ANCHORARRAY(Sintesi!$C$10))*(A172&lt;=_xlfn.ANCHORARRAY(Sintesi!$C$10))+(_xlfn.ANCHORARRAY(Sintesi!$C$9)&lt;_xlfn.ANCHORARRAY(Sintesi!$C$10))*(A172&gt;=_xlfn.ANCHORARRAY(Sintesi!$C$9))*(A172&lt;=_xlfn.ANCHORARRAY(Sintesi!$C$10)),0)),0)-_xlfn.IFNA(INDEX(_xlfn.ANCHORARRAY(Sintesi!$C$17),1,MATCH(1,(_xlfn.ANCHORARRAY(Sintesi!$C$9)&gt;_xlfn.ANCHORARRAY(Sintesi!$C$10))*(A172&gt;=_xlfn.ANCHORARRAY(Sintesi!$C$9))+(_xlfn.ANCHORARRAY(Sintesi!$C$9)&gt;_xlfn.ANCHORARRAY(Sintesi!$C$10))*(A172&lt;=_xlfn.ANCHORARRAY(Sintesi!$C$10))+(_xlfn.ANCHORARRAY(Sintesi!$C$9)&lt;_xlfn.ANCHORARRAY(Sintesi!$C$10))*(A172&gt;=_xlfn.ANCHORARRAY(Sintesi!$C$9))*(A172&lt;=_xlfn.ANCHORARRAY(Sintesi!$C$10)),0)),0)))),0)</f>
        <v>1</v>
      </c>
    </row>
    <row r="174" spans="1:13">
      <c r="A174" s="1">
        <f>'Paste cell here'!A174</f>
        <v>173</v>
      </c>
      <c r="B174" s="2">
        <f>DATE(Sintesi!$C$4-1,12,31)+A174</f>
        <v>44369</v>
      </c>
      <c r="C174" s="34">
        <f t="array" ref="C174">_xlfn.IFNA(MATCH(1,((_xlfn.ANCHORARRAY(Sintesi!$C$9)&gt;_xlfn.ANCHORARRAY(Sintesi!$C$10))*(A174&gt;=_xlfn.ANCHORARRAY(Sintesi!$C$9))+(_xlfn.ANCHORARRAY(Sintesi!$C$9)&gt;_xlfn.ANCHORARRAY(Sintesi!$C$10))*(A174&lt;=_xlfn.ANCHORARRAY(Sintesi!$C$10))+(_xlfn.ANCHORARRAY(Sintesi!$C$9)&lt;_xlfn.ANCHORARRAY(Sintesi!$C$10))*(A174&gt;=_xlfn.ANCHORARRAY(Sintesi!$C$9))*(A174&lt;=_xlfn.ANCHORARRAY(Sintesi!$C$10)))*(_xlfn.ANCHORARRAY(Sintesi!$C$15)&gt;=0)+(_xlfn.ANCHORARRAY(Sintesi!$C$15)&lt;0),0),0)</f>
        <v>1</v>
      </c>
      <c r="D174" s="1">
        <f t="array" ref="D174">IF(ISBLANK($E175),IF(ISNUMBER($E173),IF($C174&gt;0,IF(($E174=INDEX(_xlfn.ANCHORARRAY(Sintesi!$C$14),1,$C174))*(INDEX(_xlfn.ANCHORARRAY(Sintesi!$C$15),1,$C174)&gt;0),0,IF(($E174=INDEX(_xlfn.ANCHORARRAY(Sintesi!$C$14),1,$C174))*(INDEX(_xlfn.ANCHORARRAY(Sintesi!$C$15),1,$C174)&lt;0)+($E174&gt;=$E173)*($E174&lt;=INDEX($E:$E,MATCH(TRUE,INDEX((ISNUMBER($E:$E)),0),0)))*($E174&gt;INDEX(_xlfn.ANCHORARRAY(Sintesi!$C$14),1,$C174))*($E174&lt;=INDEX(_xlfn.ANCHORARRAY(Sintesi!$C$15),1,$C174))*(INDEX(_xlfn.ANCHORARRAY(Sintesi!$C$15),1,$C174)&gt;0),1,IF(($E174&gt;=$E173)*($E174&lt;=INDEX($E:$E,MATCH(TRUE,INDEX((ISNUMBER($E:$E)),0),0)))*($E174&gt;INDEX(_xlfn.ANCHORARRAY(Sintesi!$C$14),1,$C174))*($E174&lt;INDEX(_xlfn.ANCHORARRAY(Sintesi!$C$16),1,$C174))*(INDEX(_xlfn.ANCHORARRAY(Sintesi!$C$15),1,$C174)&lt;0)+($E174&gt;=$E173)*($E174&lt;=INDEX($E:$E,MATCH(TRUE,INDEX((ISNUMBER($E:$E)),0),0)))*($E174&gt;INDEX(_xlfn.ANCHORARRAY(Sintesi!$C$15),1,$C174))*($E174&lt;INDEX(_xlfn.ANCHORARRAY(Sintesi!$C$16),1,$C174))*(INDEX(_xlfn.ANCHORARRAY(Sintesi!$C$15),1,$C174)&gt;0),2,IF($E174=(INDEX(_xlfn.ANCHORARRAY(Sintesi!$C$16),1,$C174)),3,4)))),0),IF($C174&gt;0,IF(($E174=INDEX(_xlfn.ANCHORARRAY(Sintesi!$C$14),1,$C174))*(INDEX(_xlfn.ANCHORARRAY(Sintesi!$C$15),1,$C174)&gt;0),0,IF(($E174=INDEX(_xlfn.ANCHORARRAY(Sintesi!$C$14),1,$C174))*(INDEX(_xlfn.ANCHORARRAY(Sintesi!$C$15),1,$C174)&lt;0)+($E174&gt;=LOOKUP(2,1/($E:$E&lt;&gt;""),$E:$E))*($E174&lt;=INDEX($E:$E,MATCH(TRUE,INDEX((ISNUMBER($E:$E)),0),0)))*($E174&gt;INDEX(_xlfn.ANCHORARRAY(Sintesi!$C$14),1,$C174))*($E174&lt;=INDEX(_xlfn.ANCHORARRAY(Sintesi!$C$15),1,$C174))*(INDEX(_xlfn.ANCHORARRAY(Sintesi!$C$15),1,$C174)&gt;0),1,IF(($E174&gt;=LOOKUP(2,1/($E:$E&lt;&gt;""),$E:$E))*($E174&lt;=INDEX($E:$E,MATCH(TRUE,INDEX((ISNUMBER($E:$E)),0),0)))*($E174&gt;INDEX(_xlfn.ANCHORARRAY(Sintesi!$C$14),1,$C174))*($E174&lt;INDEX(_xlfn.ANCHORARRAY(Sintesi!$C$16),1,$C174))*(INDEX(_xlfn.ANCHORARRAY(Sintesi!$C$15),1,$C174)&lt;0)+($E174&gt;=LOOKUP(2,1/($E:$E&lt;&gt;""),$E:$E))*($E174&lt;=INDEX($E:$E,MATCH(TRUE,INDEX((ISNUMBER($E:$E)),0),0)))*($E174&gt;INDEX(_xlfn.ANCHORARRAY(Sintesi!$C$15),1,$C174))*($E174&lt;INDEX(_xlfn.ANCHORARRAY(Sintesi!$C$16),1,$C174))*(INDEX(_xlfn.ANCHORARRAY(Sintesi!$C$15),1,$C174)&gt;0),2,IF($E174=(INDEX(_xlfn.ANCHORARRAY(Sintesi!$C$16),1,$C174)),3,4)))),0)),IF(ISNUMBER($E173),IF($C174&gt;0,IF(($E174=INDEX(_xlfn.ANCHORARRAY(Sintesi!$C$14),1,$C174))*(INDEX(_xlfn.ANCHORARRAY(Sintesi!$C$15),1,$C174)&gt;0),0,IF(($E174=INDEX(_xlfn.ANCHORARRAY(Sintesi!$C$14),1,$C174))*(INDEX(_xlfn.ANCHORARRAY(Sintesi!$C$15),1,$C174)&lt;0)+($E174&gt;=$E173)*($E174&lt;=$E175)*($E174&gt;INDEX(_xlfn.ANCHORARRAY(Sintesi!$C$14),1,$C174))*($E174&lt;=INDEX(_xlfn.ANCHORARRAY(Sintesi!$C$15),1,$C174))*(INDEX(_xlfn.ANCHORARRAY(Sintesi!$C$15),1,$C174)&gt;0),1,IF(($E174&gt;=$E173)*($E174&lt;=$E175)*($E174&gt;INDEX(_xlfn.ANCHORARRAY(Sintesi!$C$14),1,$C174))*($E174&lt;INDEX(_xlfn.ANCHORARRAY(Sintesi!$C$16),1,$C174))*(INDEX(_xlfn.ANCHORARRAY(Sintesi!$C$15),1,$C174)&lt;0)+($E174&gt;=$E173)*($E174&lt;=$E175)*($E174&gt;INDEX(_xlfn.ANCHORARRAY(Sintesi!$C$15),1,$C174))*($E174&lt;INDEX(_xlfn.ANCHORARRAY(Sintesi!$C$16),1,$C174))*(INDEX(_xlfn.ANCHORARRAY(Sintesi!$C$15),1,$C174)&gt;0),2,IF($E174=(INDEX(_xlfn.ANCHORARRAY(Sintesi!$C$16),1,$C174)),3,4)))),0),IF($C174&gt;0,IF(($E174=INDEX(_xlfn.ANCHORARRAY(Sintesi!$C$14),1,$C174))*(INDEX(_xlfn.ANCHORARRAY(Sintesi!$C$15),1,$C174)&gt;0),0,IF(($E174=INDEX(_xlfn.ANCHORARRAY(Sintesi!$C$14),1,$C174))*(INDEX(_xlfn.ANCHORARRAY(Sintesi!$C$15),1,$C174)&lt;0)+($E174&gt;=LOOKUP(2,1/($E:$E&lt;&gt;""),$E:$E))*($E174&lt;=$E175)*($E174&gt;INDEX(_xlfn.ANCHORARRAY(Sintesi!$C$14),1,$C174))*($E174&lt;=INDEX(_xlfn.ANCHORARRAY(Sintesi!$C$15),1,$C174))*(INDEX(_xlfn.ANCHORARRAY(Sintesi!$C$15),1,$C174)&gt;0),1,IF(($E174&gt;=LOOKUP(2,1/($E:$E&lt;&gt;""),$E:$E))*($E174&lt;=$E175)*($E174&gt;INDEX(_xlfn.ANCHORARRAY(Sintesi!$C$14),1,$C174))*($E174&lt;INDEX(_xlfn.ANCHORARRAY(Sintesi!$C$16),1,$C174))*(INDEX(_xlfn.ANCHORARRAY(Sintesi!$C$15),1,$C174)&lt;0)+($E174&gt;=LOOKUP(2,1/($E:$E&lt;&gt;""),$E:$E))*($E174&lt;=$E175)*($E174&gt;INDEX(_xlfn.ANCHORARRAY(Sintesi!$C$15),1,$C174))*($E174&lt;INDEX(_xlfn.ANCHORARRAY(Sintesi!$C$16),1,$C174))*(INDEX(_xlfn.ANCHORARRAY(Sintesi!$C$15),1,$C174)&gt;0),2,IF($E174=(INDEX(_xlfn.ANCHORARRAY(Sintesi!$C$16),1,$C174)),3,4)))),0)))</f>
        <v>2</v>
      </c>
      <c r="E174" s="1">
        <f>'Paste cell here'!F174</f>
        <v>0.96299999999999997</v>
      </c>
      <c r="F174" s="1">
        <f>'Paste cell here'!C174</f>
        <v>31.799999999999528</v>
      </c>
      <c r="G174" s="1">
        <f>'Paste cell here'!D174</f>
        <v>19.599999999999731</v>
      </c>
      <c r="H174" s="1">
        <f>'Paste cell here'!E174</f>
        <v>5.3049912991955663</v>
      </c>
      <c r="I174" s="1">
        <f>'Paste cell here'!X174</f>
        <v>5.10819746176404</v>
      </c>
      <c r="J174" s="1">
        <f>'Paste cell here'!Y174+'Paste cell here'!S174</f>
        <v>5.10819746176404</v>
      </c>
      <c r="K174" s="1">
        <f t="shared" si="4"/>
        <v>0.96290402258315344</v>
      </c>
      <c r="L174" s="1">
        <f t="shared" si="5"/>
        <v>27.070872332617178</v>
      </c>
      <c r="M174" s="1">
        <f t="array" ref="M174">IF(AND(A174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174&gt;=_xlfn.ANCHORARRAY(Sintesi!$C$9))+(_xlfn.ANCHORARRAY(Sintesi!$C$9)&gt;_xlfn.ANCHORARRAY(Sintesi!$C$10))*(A174&lt;=_xlfn.ANCHORARRAY(Sintesi!$C$10))+(_xlfn.ANCHORARRAY(Sintesi!$C$9)&lt;_xlfn.ANCHORARRAY(Sintesi!$C$10))*(A174&gt;=_xlfn.ANCHORARRAY(Sintesi!$C$9))*(A174&lt;=_xlfn.ANCHORARRAY(Sintesi!$C$10)),0)),0),A174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175&gt;=_xlfn.ANCHORARRAY(Sintesi!$C$9))+(_xlfn.ANCHORARRAY(Sintesi!$C$9)&gt;_xlfn.ANCHORARRAY(Sintesi!$C$10))*(A175&lt;=_xlfn.ANCHORARRAY(Sintesi!$C$10))+(_xlfn.ANCHORARRAY(Sintesi!$C$9)&lt;_xlfn.ANCHORARRAY(Sintesi!$C$10))*(A175&gt;=_xlfn.ANCHORARRAY(Sintesi!$C$9))*(A175&lt;=_xlfn.ANCHORARRAY(Sintesi!$C$10)),0)),0)),IF(L174&lt;_xlfn.IFNA(INDEX(_xlfn.ANCHORARRAY(Sintesi!$C$17),1,MATCH(1,(_xlfn.ANCHORARRAY(Sintesi!$C$9)&gt;_xlfn.ANCHORARRAY(Sintesi!$C$10))*(A173&gt;=_xlfn.ANCHORARRAY(Sintesi!$C$9))+(_xlfn.ANCHORARRAY(Sintesi!$C$9)&gt;_xlfn.ANCHORARRAY(Sintesi!$C$10))*(A173&lt;=_xlfn.ANCHORARRAY(Sintesi!$C$10))+(_xlfn.ANCHORARRAY(Sintesi!$C$9)&lt;_xlfn.ANCHORARRAY(Sintesi!$C$10))*(A173&gt;=_xlfn.ANCHORARRAY(Sintesi!$C$9))*(A173&lt;=_xlfn.ANCHORARRAY(Sintesi!$C$10)),0)),0),1,IF(L174&gt;=_xlfn.IFNA(INDEX(_xlfn.ANCHORARRAY(Sintesi!$C$18),1,MATCH(1,(_xlfn.ANCHORARRAY(Sintesi!$C$9)&gt;_xlfn.ANCHORARRAY(Sintesi!$C$10))*(A173&gt;=_xlfn.ANCHORARRAY(Sintesi!$C$9))+(_xlfn.ANCHORARRAY(Sintesi!$C$9)&gt;_xlfn.ANCHORARRAY(Sintesi!$C$10))*(A173&lt;=_xlfn.ANCHORARRAY(Sintesi!$C$10))+(_xlfn.ANCHORARRAY(Sintesi!$C$9)&lt;_xlfn.ANCHORARRAY(Sintesi!$C$10))*(A173&gt;=_xlfn.ANCHORARRAY(Sintesi!$C$9))*(A173&lt;=_xlfn.ANCHORARRAY(Sintesi!$C$10)),0)),0),0,1-(L174-_xlfn.IFNA(INDEX(_xlfn.ANCHORARRAY(Sintesi!$C$17),1,MATCH(1,(_xlfn.ANCHORARRAY(Sintesi!$C$9)&gt;_xlfn.ANCHORARRAY(Sintesi!$C$10))*(A173&gt;=_xlfn.ANCHORARRAY(Sintesi!$C$9))+(_xlfn.ANCHORARRAY(Sintesi!$C$9)&gt;_xlfn.ANCHORARRAY(Sintesi!$C$10))*(A173&lt;=_xlfn.ANCHORARRAY(Sintesi!$C$10))+(_xlfn.ANCHORARRAY(Sintesi!$C$9)&lt;_xlfn.ANCHORARRAY(Sintesi!$C$10))*(A173&gt;=_xlfn.ANCHORARRAY(Sintesi!$C$9))*(A173&lt;=_xlfn.ANCHORARRAY(Sintesi!$C$10)),0)),0))/(_xlfn.IFNA(INDEX(_xlfn.ANCHORARRAY(Sintesi!$C$18),1,MATCH(1,(_xlfn.ANCHORARRAY(Sintesi!$C$9)&gt;_xlfn.ANCHORARRAY(Sintesi!$C$10))*(A173&gt;=_xlfn.ANCHORARRAY(Sintesi!$C$9))+(_xlfn.ANCHORARRAY(Sintesi!$C$9)&gt;_xlfn.ANCHORARRAY(Sintesi!$C$10))*(A173&lt;=_xlfn.ANCHORARRAY(Sintesi!$C$10))+(_xlfn.ANCHORARRAY(Sintesi!$C$9)&lt;_xlfn.ANCHORARRAY(Sintesi!$C$10))*(A173&gt;=_xlfn.ANCHORARRAY(Sintesi!$C$9))*(A173&lt;=_xlfn.ANCHORARRAY(Sintesi!$C$10)),0)),0)-_xlfn.IFNA(INDEX(_xlfn.ANCHORARRAY(Sintesi!$C$17),1,MATCH(1,(_xlfn.ANCHORARRAY(Sintesi!$C$9)&gt;_xlfn.ANCHORARRAY(Sintesi!$C$10))*(A173&gt;=_xlfn.ANCHORARRAY(Sintesi!$C$9))+(_xlfn.ANCHORARRAY(Sintesi!$C$9)&gt;_xlfn.ANCHORARRAY(Sintesi!$C$10))*(A173&lt;=_xlfn.ANCHORARRAY(Sintesi!$C$10))+(_xlfn.ANCHORARRAY(Sintesi!$C$9)&lt;_xlfn.ANCHORARRAY(Sintesi!$C$10))*(A173&gt;=_xlfn.ANCHORARRAY(Sintesi!$C$9))*(A173&lt;=_xlfn.ANCHORARRAY(Sintesi!$C$10)),0)),0)))),0)</f>
        <v>1</v>
      </c>
    </row>
    <row r="175" spans="1:13">
      <c r="A175" s="1">
        <f>'Paste cell here'!A175</f>
        <v>174</v>
      </c>
      <c r="B175" s="2">
        <f>DATE(Sintesi!$C$4-1,12,31)+A175</f>
        <v>44370</v>
      </c>
      <c r="C175" s="34">
        <f t="array" ref="C175">_xlfn.IFNA(MATCH(1,((_xlfn.ANCHORARRAY(Sintesi!$C$9)&gt;_xlfn.ANCHORARRAY(Sintesi!$C$10))*(A175&gt;=_xlfn.ANCHORARRAY(Sintesi!$C$9))+(_xlfn.ANCHORARRAY(Sintesi!$C$9)&gt;_xlfn.ANCHORARRAY(Sintesi!$C$10))*(A175&lt;=_xlfn.ANCHORARRAY(Sintesi!$C$10))+(_xlfn.ANCHORARRAY(Sintesi!$C$9)&lt;_xlfn.ANCHORARRAY(Sintesi!$C$10))*(A175&gt;=_xlfn.ANCHORARRAY(Sintesi!$C$9))*(A175&lt;=_xlfn.ANCHORARRAY(Sintesi!$C$10)))*(_xlfn.ANCHORARRAY(Sintesi!$C$15)&gt;=0)+(_xlfn.ANCHORARRAY(Sintesi!$C$15)&lt;0),0),0)</f>
        <v>1</v>
      </c>
      <c r="D175" s="1">
        <f t="array" ref="D175">IF(ISBLANK($E176),IF(ISNUMBER($E174),IF($C175&gt;0,IF(($E175=INDEX(_xlfn.ANCHORARRAY(Sintesi!$C$14),1,$C175))*(INDEX(_xlfn.ANCHORARRAY(Sintesi!$C$15),1,$C175)&gt;0),0,IF(($E175=INDEX(_xlfn.ANCHORARRAY(Sintesi!$C$14),1,$C175))*(INDEX(_xlfn.ANCHORARRAY(Sintesi!$C$15),1,$C175)&lt;0)+($E175&gt;=$E174)*($E175&lt;=INDEX($E:$E,MATCH(TRUE,INDEX((ISNUMBER($E:$E)),0),0)))*($E175&gt;INDEX(_xlfn.ANCHORARRAY(Sintesi!$C$14),1,$C175))*($E175&lt;=INDEX(_xlfn.ANCHORARRAY(Sintesi!$C$15),1,$C175))*(INDEX(_xlfn.ANCHORARRAY(Sintesi!$C$15),1,$C175)&gt;0),1,IF(($E175&gt;=$E174)*($E175&lt;=INDEX($E:$E,MATCH(TRUE,INDEX((ISNUMBER($E:$E)),0),0)))*($E175&gt;INDEX(_xlfn.ANCHORARRAY(Sintesi!$C$14),1,$C175))*($E175&lt;INDEX(_xlfn.ANCHORARRAY(Sintesi!$C$16),1,$C175))*(INDEX(_xlfn.ANCHORARRAY(Sintesi!$C$15),1,$C175)&lt;0)+($E175&gt;=$E174)*($E175&lt;=INDEX($E:$E,MATCH(TRUE,INDEX((ISNUMBER($E:$E)),0),0)))*($E175&gt;INDEX(_xlfn.ANCHORARRAY(Sintesi!$C$15),1,$C175))*($E175&lt;INDEX(_xlfn.ANCHORARRAY(Sintesi!$C$16),1,$C175))*(INDEX(_xlfn.ANCHORARRAY(Sintesi!$C$15),1,$C175)&gt;0),2,IF($E175=(INDEX(_xlfn.ANCHORARRAY(Sintesi!$C$16),1,$C175)),3,4)))),0),IF($C175&gt;0,IF(($E175=INDEX(_xlfn.ANCHORARRAY(Sintesi!$C$14),1,$C175))*(INDEX(_xlfn.ANCHORARRAY(Sintesi!$C$15),1,$C175)&gt;0),0,IF(($E175=INDEX(_xlfn.ANCHORARRAY(Sintesi!$C$14),1,$C175))*(INDEX(_xlfn.ANCHORARRAY(Sintesi!$C$15),1,$C175)&lt;0)+($E175&gt;=LOOKUP(2,1/($E:$E&lt;&gt;""),$E:$E))*($E175&lt;=INDEX($E:$E,MATCH(TRUE,INDEX((ISNUMBER($E:$E)),0),0)))*($E175&gt;INDEX(_xlfn.ANCHORARRAY(Sintesi!$C$14),1,$C175))*($E175&lt;=INDEX(_xlfn.ANCHORARRAY(Sintesi!$C$15),1,$C175))*(INDEX(_xlfn.ANCHORARRAY(Sintesi!$C$15),1,$C175)&gt;0),1,IF(($E175&gt;=LOOKUP(2,1/($E:$E&lt;&gt;""),$E:$E))*($E175&lt;=INDEX($E:$E,MATCH(TRUE,INDEX((ISNUMBER($E:$E)),0),0)))*($E175&gt;INDEX(_xlfn.ANCHORARRAY(Sintesi!$C$14),1,$C175))*($E175&lt;INDEX(_xlfn.ANCHORARRAY(Sintesi!$C$16),1,$C175))*(INDEX(_xlfn.ANCHORARRAY(Sintesi!$C$15),1,$C175)&lt;0)+($E175&gt;=LOOKUP(2,1/($E:$E&lt;&gt;""),$E:$E))*($E175&lt;=INDEX($E:$E,MATCH(TRUE,INDEX((ISNUMBER($E:$E)),0),0)))*($E175&gt;INDEX(_xlfn.ANCHORARRAY(Sintesi!$C$15),1,$C175))*($E175&lt;INDEX(_xlfn.ANCHORARRAY(Sintesi!$C$16),1,$C175))*(INDEX(_xlfn.ANCHORARRAY(Sintesi!$C$15),1,$C175)&gt;0),2,IF($E175=(INDEX(_xlfn.ANCHORARRAY(Sintesi!$C$16),1,$C175)),3,4)))),0)),IF(ISNUMBER($E174),IF($C175&gt;0,IF(($E175=INDEX(_xlfn.ANCHORARRAY(Sintesi!$C$14),1,$C175))*(INDEX(_xlfn.ANCHORARRAY(Sintesi!$C$15),1,$C175)&gt;0),0,IF(($E175=INDEX(_xlfn.ANCHORARRAY(Sintesi!$C$14),1,$C175))*(INDEX(_xlfn.ANCHORARRAY(Sintesi!$C$15),1,$C175)&lt;0)+($E175&gt;=$E174)*($E175&lt;=$E176)*($E175&gt;INDEX(_xlfn.ANCHORARRAY(Sintesi!$C$14),1,$C175))*($E175&lt;=INDEX(_xlfn.ANCHORARRAY(Sintesi!$C$15),1,$C175))*(INDEX(_xlfn.ANCHORARRAY(Sintesi!$C$15),1,$C175)&gt;0),1,IF(($E175&gt;=$E174)*($E175&lt;=$E176)*($E175&gt;INDEX(_xlfn.ANCHORARRAY(Sintesi!$C$14),1,$C175))*($E175&lt;INDEX(_xlfn.ANCHORARRAY(Sintesi!$C$16),1,$C175))*(INDEX(_xlfn.ANCHORARRAY(Sintesi!$C$15),1,$C175)&lt;0)+($E175&gt;=$E174)*($E175&lt;=$E176)*($E175&gt;INDEX(_xlfn.ANCHORARRAY(Sintesi!$C$15),1,$C175))*($E175&lt;INDEX(_xlfn.ANCHORARRAY(Sintesi!$C$16),1,$C175))*(INDEX(_xlfn.ANCHORARRAY(Sintesi!$C$15),1,$C175)&gt;0),2,IF($E175=(INDEX(_xlfn.ANCHORARRAY(Sintesi!$C$16),1,$C175)),3,4)))),0),IF($C175&gt;0,IF(($E175=INDEX(_xlfn.ANCHORARRAY(Sintesi!$C$14),1,$C175))*(INDEX(_xlfn.ANCHORARRAY(Sintesi!$C$15),1,$C175)&gt;0),0,IF(($E175=INDEX(_xlfn.ANCHORARRAY(Sintesi!$C$14),1,$C175))*(INDEX(_xlfn.ANCHORARRAY(Sintesi!$C$15),1,$C175)&lt;0)+($E175&gt;=LOOKUP(2,1/($E:$E&lt;&gt;""),$E:$E))*($E175&lt;=$E176)*($E175&gt;INDEX(_xlfn.ANCHORARRAY(Sintesi!$C$14),1,$C175))*($E175&lt;=INDEX(_xlfn.ANCHORARRAY(Sintesi!$C$15),1,$C175))*(INDEX(_xlfn.ANCHORARRAY(Sintesi!$C$15),1,$C175)&gt;0),1,IF(($E175&gt;=LOOKUP(2,1/($E:$E&lt;&gt;""),$E:$E))*($E175&lt;=$E176)*($E175&gt;INDEX(_xlfn.ANCHORARRAY(Sintesi!$C$14),1,$C175))*($E175&lt;INDEX(_xlfn.ANCHORARRAY(Sintesi!$C$16),1,$C175))*(INDEX(_xlfn.ANCHORARRAY(Sintesi!$C$15),1,$C175)&lt;0)+($E175&gt;=LOOKUP(2,1/($E:$E&lt;&gt;""),$E:$E))*($E175&lt;=$E176)*($E175&gt;INDEX(_xlfn.ANCHORARRAY(Sintesi!$C$15),1,$C175))*($E175&lt;INDEX(_xlfn.ANCHORARRAY(Sintesi!$C$16),1,$C175))*(INDEX(_xlfn.ANCHORARRAY(Sintesi!$C$15),1,$C175)&gt;0),2,IF($E175=(INDEX(_xlfn.ANCHORARRAY(Sintesi!$C$16),1,$C175)),3,4)))),0)))</f>
        <v>2</v>
      </c>
      <c r="E175" s="1">
        <f>'Paste cell here'!F175</f>
        <v>0.98399999999999999</v>
      </c>
      <c r="F175" s="1">
        <f>'Paste cell here'!C175</f>
        <v>31.599999999999536</v>
      </c>
      <c r="G175" s="1">
        <f>'Paste cell here'!D175</f>
        <v>17.519999999999765</v>
      </c>
      <c r="H175" s="1">
        <f>'Paste cell here'!E175</f>
        <v>5.1541831086207957</v>
      </c>
      <c r="I175" s="1">
        <f>'Paste cell here'!X175</f>
        <v>5.0712116932266014</v>
      </c>
      <c r="J175" s="1">
        <f>'Paste cell here'!Y175+'Paste cell here'!S175</f>
        <v>5.0712116932266014</v>
      </c>
      <c r="K175" s="1">
        <f t="shared" si="4"/>
        <v>0.98390212112266295</v>
      </c>
      <c r="L175" s="1">
        <f t="shared" si="5"/>
        <v>26.142121511741873</v>
      </c>
      <c r="M175" s="1">
        <f t="array" ref="M175">IF(AND(A175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175&gt;=_xlfn.ANCHORARRAY(Sintesi!$C$9))+(_xlfn.ANCHORARRAY(Sintesi!$C$9)&gt;_xlfn.ANCHORARRAY(Sintesi!$C$10))*(A175&lt;=_xlfn.ANCHORARRAY(Sintesi!$C$10))+(_xlfn.ANCHORARRAY(Sintesi!$C$9)&lt;_xlfn.ANCHORARRAY(Sintesi!$C$10))*(A175&gt;=_xlfn.ANCHORARRAY(Sintesi!$C$9))*(A175&lt;=_xlfn.ANCHORARRAY(Sintesi!$C$10)),0)),0),A175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176&gt;=_xlfn.ANCHORARRAY(Sintesi!$C$9))+(_xlfn.ANCHORARRAY(Sintesi!$C$9)&gt;_xlfn.ANCHORARRAY(Sintesi!$C$10))*(A176&lt;=_xlfn.ANCHORARRAY(Sintesi!$C$10))+(_xlfn.ANCHORARRAY(Sintesi!$C$9)&lt;_xlfn.ANCHORARRAY(Sintesi!$C$10))*(A176&gt;=_xlfn.ANCHORARRAY(Sintesi!$C$9))*(A176&lt;=_xlfn.ANCHORARRAY(Sintesi!$C$10)),0)),0)),IF(L175&lt;_xlfn.IFNA(INDEX(_xlfn.ANCHORARRAY(Sintesi!$C$17),1,MATCH(1,(_xlfn.ANCHORARRAY(Sintesi!$C$9)&gt;_xlfn.ANCHORARRAY(Sintesi!$C$10))*(A174&gt;=_xlfn.ANCHORARRAY(Sintesi!$C$9))+(_xlfn.ANCHORARRAY(Sintesi!$C$9)&gt;_xlfn.ANCHORARRAY(Sintesi!$C$10))*(A174&lt;=_xlfn.ANCHORARRAY(Sintesi!$C$10))+(_xlfn.ANCHORARRAY(Sintesi!$C$9)&lt;_xlfn.ANCHORARRAY(Sintesi!$C$10))*(A174&gt;=_xlfn.ANCHORARRAY(Sintesi!$C$9))*(A174&lt;=_xlfn.ANCHORARRAY(Sintesi!$C$10)),0)),0),1,IF(L175&gt;=_xlfn.IFNA(INDEX(_xlfn.ANCHORARRAY(Sintesi!$C$18),1,MATCH(1,(_xlfn.ANCHORARRAY(Sintesi!$C$9)&gt;_xlfn.ANCHORARRAY(Sintesi!$C$10))*(A174&gt;=_xlfn.ANCHORARRAY(Sintesi!$C$9))+(_xlfn.ANCHORARRAY(Sintesi!$C$9)&gt;_xlfn.ANCHORARRAY(Sintesi!$C$10))*(A174&lt;=_xlfn.ANCHORARRAY(Sintesi!$C$10))+(_xlfn.ANCHORARRAY(Sintesi!$C$9)&lt;_xlfn.ANCHORARRAY(Sintesi!$C$10))*(A174&gt;=_xlfn.ANCHORARRAY(Sintesi!$C$9))*(A174&lt;=_xlfn.ANCHORARRAY(Sintesi!$C$10)),0)),0),0,1-(L175-_xlfn.IFNA(INDEX(_xlfn.ANCHORARRAY(Sintesi!$C$17),1,MATCH(1,(_xlfn.ANCHORARRAY(Sintesi!$C$9)&gt;_xlfn.ANCHORARRAY(Sintesi!$C$10))*(A174&gt;=_xlfn.ANCHORARRAY(Sintesi!$C$9))+(_xlfn.ANCHORARRAY(Sintesi!$C$9)&gt;_xlfn.ANCHORARRAY(Sintesi!$C$10))*(A174&lt;=_xlfn.ANCHORARRAY(Sintesi!$C$10))+(_xlfn.ANCHORARRAY(Sintesi!$C$9)&lt;_xlfn.ANCHORARRAY(Sintesi!$C$10))*(A174&gt;=_xlfn.ANCHORARRAY(Sintesi!$C$9))*(A174&lt;=_xlfn.ANCHORARRAY(Sintesi!$C$10)),0)),0))/(_xlfn.IFNA(INDEX(_xlfn.ANCHORARRAY(Sintesi!$C$18),1,MATCH(1,(_xlfn.ANCHORARRAY(Sintesi!$C$9)&gt;_xlfn.ANCHORARRAY(Sintesi!$C$10))*(A174&gt;=_xlfn.ANCHORARRAY(Sintesi!$C$9))+(_xlfn.ANCHORARRAY(Sintesi!$C$9)&gt;_xlfn.ANCHORARRAY(Sintesi!$C$10))*(A174&lt;=_xlfn.ANCHORARRAY(Sintesi!$C$10))+(_xlfn.ANCHORARRAY(Sintesi!$C$9)&lt;_xlfn.ANCHORARRAY(Sintesi!$C$10))*(A174&gt;=_xlfn.ANCHORARRAY(Sintesi!$C$9))*(A174&lt;=_xlfn.ANCHORARRAY(Sintesi!$C$10)),0)),0)-_xlfn.IFNA(INDEX(_xlfn.ANCHORARRAY(Sintesi!$C$17),1,MATCH(1,(_xlfn.ANCHORARRAY(Sintesi!$C$9)&gt;_xlfn.ANCHORARRAY(Sintesi!$C$10))*(A174&gt;=_xlfn.ANCHORARRAY(Sintesi!$C$9))+(_xlfn.ANCHORARRAY(Sintesi!$C$9)&gt;_xlfn.ANCHORARRAY(Sintesi!$C$10))*(A174&lt;=_xlfn.ANCHORARRAY(Sintesi!$C$10))+(_xlfn.ANCHORARRAY(Sintesi!$C$9)&lt;_xlfn.ANCHORARRAY(Sintesi!$C$10))*(A174&gt;=_xlfn.ANCHORARRAY(Sintesi!$C$9))*(A174&lt;=_xlfn.ANCHORARRAY(Sintesi!$C$10)),0)),0)))),0)</f>
        <v>1</v>
      </c>
    </row>
    <row r="176" spans="1:13">
      <c r="A176" s="1">
        <f>'Paste cell here'!A176</f>
        <v>175</v>
      </c>
      <c r="B176" s="2">
        <f>DATE(Sintesi!$C$4-1,12,31)+A176</f>
        <v>44371</v>
      </c>
      <c r="C176" s="34">
        <f t="array" ref="C176">_xlfn.IFNA(MATCH(1,((_xlfn.ANCHORARRAY(Sintesi!$C$9)&gt;_xlfn.ANCHORARRAY(Sintesi!$C$10))*(A176&gt;=_xlfn.ANCHORARRAY(Sintesi!$C$9))+(_xlfn.ANCHORARRAY(Sintesi!$C$9)&gt;_xlfn.ANCHORARRAY(Sintesi!$C$10))*(A176&lt;=_xlfn.ANCHORARRAY(Sintesi!$C$10))+(_xlfn.ANCHORARRAY(Sintesi!$C$9)&lt;_xlfn.ANCHORARRAY(Sintesi!$C$10))*(A176&gt;=_xlfn.ANCHORARRAY(Sintesi!$C$9))*(A176&lt;=_xlfn.ANCHORARRAY(Sintesi!$C$10)))*(_xlfn.ANCHORARRAY(Sintesi!$C$15)&gt;=0)+(_xlfn.ANCHORARRAY(Sintesi!$C$15)&lt;0),0),0)</f>
        <v>1</v>
      </c>
      <c r="D176" s="1">
        <f t="array" ref="D176">IF(ISBLANK($E177),IF(ISNUMBER($E175),IF($C176&gt;0,IF(($E176=INDEX(_xlfn.ANCHORARRAY(Sintesi!$C$14),1,$C176))*(INDEX(_xlfn.ANCHORARRAY(Sintesi!$C$15),1,$C176)&gt;0),0,IF(($E176=INDEX(_xlfn.ANCHORARRAY(Sintesi!$C$14),1,$C176))*(INDEX(_xlfn.ANCHORARRAY(Sintesi!$C$15),1,$C176)&lt;0)+($E176&gt;=$E175)*($E176&lt;=INDEX($E:$E,MATCH(TRUE,INDEX((ISNUMBER($E:$E)),0),0)))*($E176&gt;INDEX(_xlfn.ANCHORARRAY(Sintesi!$C$14),1,$C176))*($E176&lt;=INDEX(_xlfn.ANCHORARRAY(Sintesi!$C$15),1,$C176))*(INDEX(_xlfn.ANCHORARRAY(Sintesi!$C$15),1,$C176)&gt;0),1,IF(($E176&gt;=$E175)*($E176&lt;=INDEX($E:$E,MATCH(TRUE,INDEX((ISNUMBER($E:$E)),0),0)))*($E176&gt;INDEX(_xlfn.ANCHORARRAY(Sintesi!$C$14),1,$C176))*($E176&lt;INDEX(_xlfn.ANCHORARRAY(Sintesi!$C$16),1,$C176))*(INDEX(_xlfn.ANCHORARRAY(Sintesi!$C$15),1,$C176)&lt;0)+($E176&gt;=$E175)*($E176&lt;=INDEX($E:$E,MATCH(TRUE,INDEX((ISNUMBER($E:$E)),0),0)))*($E176&gt;INDEX(_xlfn.ANCHORARRAY(Sintesi!$C$15),1,$C176))*($E176&lt;INDEX(_xlfn.ANCHORARRAY(Sintesi!$C$16),1,$C176))*(INDEX(_xlfn.ANCHORARRAY(Sintesi!$C$15),1,$C176)&gt;0),2,IF($E176=(INDEX(_xlfn.ANCHORARRAY(Sintesi!$C$16),1,$C176)),3,4)))),0),IF($C176&gt;0,IF(($E176=INDEX(_xlfn.ANCHORARRAY(Sintesi!$C$14),1,$C176))*(INDEX(_xlfn.ANCHORARRAY(Sintesi!$C$15),1,$C176)&gt;0),0,IF(($E176=INDEX(_xlfn.ANCHORARRAY(Sintesi!$C$14),1,$C176))*(INDEX(_xlfn.ANCHORARRAY(Sintesi!$C$15),1,$C176)&lt;0)+($E176&gt;=LOOKUP(2,1/($E:$E&lt;&gt;""),$E:$E))*($E176&lt;=INDEX($E:$E,MATCH(TRUE,INDEX((ISNUMBER($E:$E)),0),0)))*($E176&gt;INDEX(_xlfn.ANCHORARRAY(Sintesi!$C$14),1,$C176))*($E176&lt;=INDEX(_xlfn.ANCHORARRAY(Sintesi!$C$15),1,$C176))*(INDEX(_xlfn.ANCHORARRAY(Sintesi!$C$15),1,$C176)&gt;0),1,IF(($E176&gt;=LOOKUP(2,1/($E:$E&lt;&gt;""),$E:$E))*($E176&lt;=INDEX($E:$E,MATCH(TRUE,INDEX((ISNUMBER($E:$E)),0),0)))*($E176&gt;INDEX(_xlfn.ANCHORARRAY(Sintesi!$C$14),1,$C176))*($E176&lt;INDEX(_xlfn.ANCHORARRAY(Sintesi!$C$16),1,$C176))*(INDEX(_xlfn.ANCHORARRAY(Sintesi!$C$15),1,$C176)&lt;0)+($E176&gt;=LOOKUP(2,1/($E:$E&lt;&gt;""),$E:$E))*($E176&lt;=INDEX($E:$E,MATCH(TRUE,INDEX((ISNUMBER($E:$E)),0),0)))*($E176&gt;INDEX(_xlfn.ANCHORARRAY(Sintesi!$C$15),1,$C176))*($E176&lt;INDEX(_xlfn.ANCHORARRAY(Sintesi!$C$16),1,$C176))*(INDEX(_xlfn.ANCHORARRAY(Sintesi!$C$15),1,$C176)&gt;0),2,IF($E176=(INDEX(_xlfn.ANCHORARRAY(Sintesi!$C$16),1,$C176)),3,4)))),0)),IF(ISNUMBER($E175),IF($C176&gt;0,IF(($E176=INDEX(_xlfn.ANCHORARRAY(Sintesi!$C$14),1,$C176))*(INDEX(_xlfn.ANCHORARRAY(Sintesi!$C$15),1,$C176)&gt;0),0,IF(($E176=INDEX(_xlfn.ANCHORARRAY(Sintesi!$C$14),1,$C176))*(INDEX(_xlfn.ANCHORARRAY(Sintesi!$C$15),1,$C176)&lt;0)+($E176&gt;=$E175)*($E176&lt;=$E177)*($E176&gt;INDEX(_xlfn.ANCHORARRAY(Sintesi!$C$14),1,$C176))*($E176&lt;=INDEX(_xlfn.ANCHORARRAY(Sintesi!$C$15),1,$C176))*(INDEX(_xlfn.ANCHORARRAY(Sintesi!$C$15),1,$C176)&gt;0),1,IF(($E176&gt;=$E175)*($E176&lt;=$E177)*($E176&gt;INDEX(_xlfn.ANCHORARRAY(Sintesi!$C$14),1,$C176))*($E176&lt;INDEX(_xlfn.ANCHORARRAY(Sintesi!$C$16),1,$C176))*(INDEX(_xlfn.ANCHORARRAY(Sintesi!$C$15),1,$C176)&lt;0)+($E176&gt;=$E175)*($E176&lt;=$E177)*($E176&gt;INDEX(_xlfn.ANCHORARRAY(Sintesi!$C$15),1,$C176))*($E176&lt;INDEX(_xlfn.ANCHORARRAY(Sintesi!$C$16),1,$C176))*(INDEX(_xlfn.ANCHORARRAY(Sintesi!$C$15),1,$C176)&gt;0),2,IF($E176=(INDEX(_xlfn.ANCHORARRAY(Sintesi!$C$16),1,$C176)),3,4)))),0),IF($C176&gt;0,IF(($E176=INDEX(_xlfn.ANCHORARRAY(Sintesi!$C$14),1,$C176))*(INDEX(_xlfn.ANCHORARRAY(Sintesi!$C$15),1,$C176)&gt;0),0,IF(($E176=INDEX(_xlfn.ANCHORARRAY(Sintesi!$C$14),1,$C176))*(INDEX(_xlfn.ANCHORARRAY(Sintesi!$C$15),1,$C176)&lt;0)+($E176&gt;=LOOKUP(2,1/($E:$E&lt;&gt;""),$E:$E))*($E176&lt;=$E177)*($E176&gt;INDEX(_xlfn.ANCHORARRAY(Sintesi!$C$14),1,$C176))*($E176&lt;=INDEX(_xlfn.ANCHORARRAY(Sintesi!$C$15),1,$C176))*(INDEX(_xlfn.ANCHORARRAY(Sintesi!$C$15),1,$C176)&gt;0),1,IF(($E176&gt;=LOOKUP(2,1/($E:$E&lt;&gt;""),$E:$E))*($E176&lt;=$E177)*($E176&gt;INDEX(_xlfn.ANCHORARRAY(Sintesi!$C$14),1,$C176))*($E176&lt;INDEX(_xlfn.ANCHORARRAY(Sintesi!$C$16),1,$C176))*(INDEX(_xlfn.ANCHORARRAY(Sintesi!$C$15),1,$C176)&lt;0)+($E176&gt;=LOOKUP(2,1/($E:$E&lt;&gt;""),$E:$E))*($E176&lt;=$E177)*($E176&gt;INDEX(_xlfn.ANCHORARRAY(Sintesi!$C$15),1,$C176))*($E176&lt;INDEX(_xlfn.ANCHORARRAY(Sintesi!$C$16),1,$C176))*(INDEX(_xlfn.ANCHORARRAY(Sintesi!$C$15),1,$C176)&gt;0),2,IF($E176=(INDEX(_xlfn.ANCHORARRAY(Sintesi!$C$16),1,$C176)),3,4)))),0)))</f>
        <v>2</v>
      </c>
      <c r="E176" s="1">
        <f>'Paste cell here'!F176</f>
        <v>1.0049999999999999</v>
      </c>
      <c r="F176" s="1">
        <f>'Paste cell here'!C176</f>
        <v>31.579999999999547</v>
      </c>
      <c r="G176" s="1">
        <f>'Paste cell here'!D176</f>
        <v>16.059999999999782</v>
      </c>
      <c r="H176" s="1">
        <f>'Paste cell here'!E176</f>
        <v>5.6141903210342017</v>
      </c>
      <c r="I176" s="1">
        <f>'Paste cell here'!X176</f>
        <v>5.6417018585124801</v>
      </c>
      <c r="J176" s="1">
        <f>'Paste cell here'!Y176+'Paste cell here'!S176</f>
        <v>5.6417018585124801</v>
      </c>
      <c r="K176" s="1">
        <f t="shared" si="4"/>
        <v>1.0049003571138662</v>
      </c>
      <c r="L176" s="1">
        <f t="shared" si="5"/>
        <v>25.563929393624619</v>
      </c>
      <c r="M176" s="1">
        <f t="array" ref="M176">IF(AND(A176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176&gt;=_xlfn.ANCHORARRAY(Sintesi!$C$9))+(_xlfn.ANCHORARRAY(Sintesi!$C$9)&gt;_xlfn.ANCHORARRAY(Sintesi!$C$10))*(A176&lt;=_xlfn.ANCHORARRAY(Sintesi!$C$10))+(_xlfn.ANCHORARRAY(Sintesi!$C$9)&lt;_xlfn.ANCHORARRAY(Sintesi!$C$10))*(A176&gt;=_xlfn.ANCHORARRAY(Sintesi!$C$9))*(A176&lt;=_xlfn.ANCHORARRAY(Sintesi!$C$10)),0)),0),A176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177&gt;=_xlfn.ANCHORARRAY(Sintesi!$C$9))+(_xlfn.ANCHORARRAY(Sintesi!$C$9)&gt;_xlfn.ANCHORARRAY(Sintesi!$C$10))*(A177&lt;=_xlfn.ANCHORARRAY(Sintesi!$C$10))+(_xlfn.ANCHORARRAY(Sintesi!$C$9)&lt;_xlfn.ANCHORARRAY(Sintesi!$C$10))*(A177&gt;=_xlfn.ANCHORARRAY(Sintesi!$C$9))*(A177&lt;=_xlfn.ANCHORARRAY(Sintesi!$C$10)),0)),0)),IF(L176&lt;_xlfn.IFNA(INDEX(_xlfn.ANCHORARRAY(Sintesi!$C$17),1,MATCH(1,(_xlfn.ANCHORARRAY(Sintesi!$C$9)&gt;_xlfn.ANCHORARRAY(Sintesi!$C$10))*(A175&gt;=_xlfn.ANCHORARRAY(Sintesi!$C$9))+(_xlfn.ANCHORARRAY(Sintesi!$C$9)&gt;_xlfn.ANCHORARRAY(Sintesi!$C$10))*(A175&lt;=_xlfn.ANCHORARRAY(Sintesi!$C$10))+(_xlfn.ANCHORARRAY(Sintesi!$C$9)&lt;_xlfn.ANCHORARRAY(Sintesi!$C$10))*(A175&gt;=_xlfn.ANCHORARRAY(Sintesi!$C$9))*(A175&lt;=_xlfn.ANCHORARRAY(Sintesi!$C$10)),0)),0),1,IF(L176&gt;=_xlfn.IFNA(INDEX(_xlfn.ANCHORARRAY(Sintesi!$C$18),1,MATCH(1,(_xlfn.ANCHORARRAY(Sintesi!$C$9)&gt;_xlfn.ANCHORARRAY(Sintesi!$C$10))*(A175&gt;=_xlfn.ANCHORARRAY(Sintesi!$C$9))+(_xlfn.ANCHORARRAY(Sintesi!$C$9)&gt;_xlfn.ANCHORARRAY(Sintesi!$C$10))*(A175&lt;=_xlfn.ANCHORARRAY(Sintesi!$C$10))+(_xlfn.ANCHORARRAY(Sintesi!$C$9)&lt;_xlfn.ANCHORARRAY(Sintesi!$C$10))*(A175&gt;=_xlfn.ANCHORARRAY(Sintesi!$C$9))*(A175&lt;=_xlfn.ANCHORARRAY(Sintesi!$C$10)),0)),0),0,1-(L176-_xlfn.IFNA(INDEX(_xlfn.ANCHORARRAY(Sintesi!$C$17),1,MATCH(1,(_xlfn.ANCHORARRAY(Sintesi!$C$9)&gt;_xlfn.ANCHORARRAY(Sintesi!$C$10))*(A175&gt;=_xlfn.ANCHORARRAY(Sintesi!$C$9))+(_xlfn.ANCHORARRAY(Sintesi!$C$9)&gt;_xlfn.ANCHORARRAY(Sintesi!$C$10))*(A175&lt;=_xlfn.ANCHORARRAY(Sintesi!$C$10))+(_xlfn.ANCHORARRAY(Sintesi!$C$9)&lt;_xlfn.ANCHORARRAY(Sintesi!$C$10))*(A175&gt;=_xlfn.ANCHORARRAY(Sintesi!$C$9))*(A175&lt;=_xlfn.ANCHORARRAY(Sintesi!$C$10)),0)),0))/(_xlfn.IFNA(INDEX(_xlfn.ANCHORARRAY(Sintesi!$C$18),1,MATCH(1,(_xlfn.ANCHORARRAY(Sintesi!$C$9)&gt;_xlfn.ANCHORARRAY(Sintesi!$C$10))*(A175&gt;=_xlfn.ANCHORARRAY(Sintesi!$C$9))+(_xlfn.ANCHORARRAY(Sintesi!$C$9)&gt;_xlfn.ANCHORARRAY(Sintesi!$C$10))*(A175&lt;=_xlfn.ANCHORARRAY(Sintesi!$C$10))+(_xlfn.ANCHORARRAY(Sintesi!$C$9)&lt;_xlfn.ANCHORARRAY(Sintesi!$C$10))*(A175&gt;=_xlfn.ANCHORARRAY(Sintesi!$C$9))*(A175&lt;=_xlfn.ANCHORARRAY(Sintesi!$C$10)),0)),0)-_xlfn.IFNA(INDEX(_xlfn.ANCHORARRAY(Sintesi!$C$17),1,MATCH(1,(_xlfn.ANCHORARRAY(Sintesi!$C$9)&gt;_xlfn.ANCHORARRAY(Sintesi!$C$10))*(A175&gt;=_xlfn.ANCHORARRAY(Sintesi!$C$9))+(_xlfn.ANCHORARRAY(Sintesi!$C$9)&gt;_xlfn.ANCHORARRAY(Sintesi!$C$10))*(A175&lt;=_xlfn.ANCHORARRAY(Sintesi!$C$10))+(_xlfn.ANCHORARRAY(Sintesi!$C$9)&lt;_xlfn.ANCHORARRAY(Sintesi!$C$10))*(A175&gt;=_xlfn.ANCHORARRAY(Sintesi!$C$9))*(A175&lt;=_xlfn.ANCHORARRAY(Sintesi!$C$10)),0)),0)))),0)</f>
        <v>1</v>
      </c>
    </row>
    <row r="177" spans="1:13">
      <c r="A177" s="1">
        <f>'Paste cell here'!A177</f>
        <v>176</v>
      </c>
      <c r="B177" s="2">
        <f>DATE(Sintesi!$C$4-1,12,31)+A177</f>
        <v>44372</v>
      </c>
      <c r="C177" s="34">
        <f t="array" ref="C177">_xlfn.IFNA(MATCH(1,((_xlfn.ANCHORARRAY(Sintesi!$C$9)&gt;_xlfn.ANCHORARRAY(Sintesi!$C$10))*(A177&gt;=_xlfn.ANCHORARRAY(Sintesi!$C$9))+(_xlfn.ANCHORARRAY(Sintesi!$C$9)&gt;_xlfn.ANCHORARRAY(Sintesi!$C$10))*(A177&lt;=_xlfn.ANCHORARRAY(Sintesi!$C$10))+(_xlfn.ANCHORARRAY(Sintesi!$C$9)&lt;_xlfn.ANCHORARRAY(Sintesi!$C$10))*(A177&gt;=_xlfn.ANCHORARRAY(Sintesi!$C$9))*(A177&lt;=_xlfn.ANCHORARRAY(Sintesi!$C$10)))*(_xlfn.ANCHORARRAY(Sintesi!$C$15)&gt;=0)+(_xlfn.ANCHORARRAY(Sintesi!$C$15)&lt;0),0),0)</f>
        <v>1</v>
      </c>
      <c r="D177" s="1">
        <f t="array" ref="D177">IF(ISBLANK($E178),IF(ISNUMBER($E176),IF($C177&gt;0,IF(($E177=INDEX(_xlfn.ANCHORARRAY(Sintesi!$C$14),1,$C177))*(INDEX(_xlfn.ANCHORARRAY(Sintesi!$C$15),1,$C177)&gt;0),0,IF(($E177=INDEX(_xlfn.ANCHORARRAY(Sintesi!$C$14),1,$C177))*(INDEX(_xlfn.ANCHORARRAY(Sintesi!$C$15),1,$C177)&lt;0)+($E177&gt;=$E176)*($E177&lt;=INDEX($E:$E,MATCH(TRUE,INDEX((ISNUMBER($E:$E)),0),0)))*($E177&gt;INDEX(_xlfn.ANCHORARRAY(Sintesi!$C$14),1,$C177))*($E177&lt;=INDEX(_xlfn.ANCHORARRAY(Sintesi!$C$15),1,$C177))*(INDEX(_xlfn.ANCHORARRAY(Sintesi!$C$15),1,$C177)&gt;0),1,IF(($E177&gt;=$E176)*($E177&lt;=INDEX($E:$E,MATCH(TRUE,INDEX((ISNUMBER($E:$E)),0),0)))*($E177&gt;INDEX(_xlfn.ANCHORARRAY(Sintesi!$C$14),1,$C177))*($E177&lt;INDEX(_xlfn.ANCHORARRAY(Sintesi!$C$16),1,$C177))*(INDEX(_xlfn.ANCHORARRAY(Sintesi!$C$15),1,$C177)&lt;0)+($E177&gt;=$E176)*($E177&lt;=INDEX($E:$E,MATCH(TRUE,INDEX((ISNUMBER($E:$E)),0),0)))*($E177&gt;INDEX(_xlfn.ANCHORARRAY(Sintesi!$C$15),1,$C177))*($E177&lt;INDEX(_xlfn.ANCHORARRAY(Sintesi!$C$16),1,$C177))*(INDEX(_xlfn.ANCHORARRAY(Sintesi!$C$15),1,$C177)&gt;0),2,IF($E177=(INDEX(_xlfn.ANCHORARRAY(Sintesi!$C$16),1,$C177)),3,4)))),0),IF($C177&gt;0,IF(($E177=INDEX(_xlfn.ANCHORARRAY(Sintesi!$C$14),1,$C177))*(INDEX(_xlfn.ANCHORARRAY(Sintesi!$C$15),1,$C177)&gt;0),0,IF(($E177=INDEX(_xlfn.ANCHORARRAY(Sintesi!$C$14),1,$C177))*(INDEX(_xlfn.ANCHORARRAY(Sintesi!$C$15),1,$C177)&lt;0)+($E177&gt;=LOOKUP(2,1/($E:$E&lt;&gt;""),$E:$E))*($E177&lt;=INDEX($E:$E,MATCH(TRUE,INDEX((ISNUMBER($E:$E)),0),0)))*($E177&gt;INDEX(_xlfn.ANCHORARRAY(Sintesi!$C$14),1,$C177))*($E177&lt;=INDEX(_xlfn.ANCHORARRAY(Sintesi!$C$15),1,$C177))*(INDEX(_xlfn.ANCHORARRAY(Sintesi!$C$15),1,$C177)&gt;0),1,IF(($E177&gt;=LOOKUP(2,1/($E:$E&lt;&gt;""),$E:$E))*($E177&lt;=INDEX($E:$E,MATCH(TRUE,INDEX((ISNUMBER($E:$E)),0),0)))*($E177&gt;INDEX(_xlfn.ANCHORARRAY(Sintesi!$C$14),1,$C177))*($E177&lt;INDEX(_xlfn.ANCHORARRAY(Sintesi!$C$16),1,$C177))*(INDEX(_xlfn.ANCHORARRAY(Sintesi!$C$15),1,$C177)&lt;0)+($E177&gt;=LOOKUP(2,1/($E:$E&lt;&gt;""),$E:$E))*($E177&lt;=INDEX($E:$E,MATCH(TRUE,INDEX((ISNUMBER($E:$E)),0),0)))*($E177&gt;INDEX(_xlfn.ANCHORARRAY(Sintesi!$C$15),1,$C177))*($E177&lt;INDEX(_xlfn.ANCHORARRAY(Sintesi!$C$16),1,$C177))*(INDEX(_xlfn.ANCHORARRAY(Sintesi!$C$15),1,$C177)&gt;0),2,IF($E177=(INDEX(_xlfn.ANCHORARRAY(Sintesi!$C$16),1,$C177)),3,4)))),0)),IF(ISNUMBER($E176),IF($C177&gt;0,IF(($E177=INDEX(_xlfn.ANCHORARRAY(Sintesi!$C$14),1,$C177))*(INDEX(_xlfn.ANCHORARRAY(Sintesi!$C$15),1,$C177)&gt;0),0,IF(($E177=INDEX(_xlfn.ANCHORARRAY(Sintesi!$C$14),1,$C177))*(INDEX(_xlfn.ANCHORARRAY(Sintesi!$C$15),1,$C177)&lt;0)+($E177&gt;=$E176)*($E177&lt;=$E178)*($E177&gt;INDEX(_xlfn.ANCHORARRAY(Sintesi!$C$14),1,$C177))*($E177&lt;=INDEX(_xlfn.ANCHORARRAY(Sintesi!$C$15),1,$C177))*(INDEX(_xlfn.ANCHORARRAY(Sintesi!$C$15),1,$C177)&gt;0),1,IF(($E177&gt;=$E176)*($E177&lt;=$E178)*($E177&gt;INDEX(_xlfn.ANCHORARRAY(Sintesi!$C$14),1,$C177))*($E177&lt;INDEX(_xlfn.ANCHORARRAY(Sintesi!$C$16),1,$C177))*(INDEX(_xlfn.ANCHORARRAY(Sintesi!$C$15),1,$C177)&lt;0)+($E177&gt;=$E176)*($E177&lt;=$E178)*($E177&gt;INDEX(_xlfn.ANCHORARRAY(Sintesi!$C$15),1,$C177))*($E177&lt;INDEX(_xlfn.ANCHORARRAY(Sintesi!$C$16),1,$C177))*(INDEX(_xlfn.ANCHORARRAY(Sintesi!$C$15),1,$C177)&gt;0),2,IF($E177=(INDEX(_xlfn.ANCHORARRAY(Sintesi!$C$16),1,$C177)),3,4)))),0),IF($C177&gt;0,IF(($E177=INDEX(_xlfn.ANCHORARRAY(Sintesi!$C$14),1,$C177))*(INDEX(_xlfn.ANCHORARRAY(Sintesi!$C$15),1,$C177)&gt;0),0,IF(($E177=INDEX(_xlfn.ANCHORARRAY(Sintesi!$C$14),1,$C177))*(INDEX(_xlfn.ANCHORARRAY(Sintesi!$C$15),1,$C177)&lt;0)+($E177&gt;=LOOKUP(2,1/($E:$E&lt;&gt;""),$E:$E))*($E177&lt;=$E178)*($E177&gt;INDEX(_xlfn.ANCHORARRAY(Sintesi!$C$14),1,$C177))*($E177&lt;=INDEX(_xlfn.ANCHORARRAY(Sintesi!$C$15),1,$C177))*(INDEX(_xlfn.ANCHORARRAY(Sintesi!$C$15),1,$C177)&gt;0),1,IF(($E177&gt;=LOOKUP(2,1/($E:$E&lt;&gt;""),$E:$E))*($E177&lt;=$E178)*($E177&gt;INDEX(_xlfn.ANCHORARRAY(Sintesi!$C$14),1,$C177))*($E177&lt;INDEX(_xlfn.ANCHORARRAY(Sintesi!$C$16),1,$C177))*(INDEX(_xlfn.ANCHORARRAY(Sintesi!$C$15),1,$C177)&lt;0)+($E177&gt;=LOOKUP(2,1/($E:$E&lt;&gt;""),$E:$E))*($E177&lt;=$E178)*($E177&gt;INDEX(_xlfn.ANCHORARRAY(Sintesi!$C$15),1,$C177))*($E177&lt;INDEX(_xlfn.ANCHORARRAY(Sintesi!$C$16),1,$C177))*(INDEX(_xlfn.ANCHORARRAY(Sintesi!$C$15),1,$C177)&gt;0),2,IF($E177=(INDEX(_xlfn.ANCHORARRAY(Sintesi!$C$16),1,$C177)),3,4)))),0)))</f>
        <v>2</v>
      </c>
      <c r="E177" s="1">
        <f>'Paste cell here'!F177</f>
        <v>1.026</v>
      </c>
      <c r="F177" s="1">
        <f>'Paste cell here'!C177</f>
        <v>30.899999999999551</v>
      </c>
      <c r="G177" s="1">
        <f>'Paste cell here'!D177</f>
        <v>16.719999999999782</v>
      </c>
      <c r="H177" s="1">
        <f>'Paste cell here'!E177</f>
        <v>6.1923211281622814</v>
      </c>
      <c r="I177" s="1">
        <f>'Paste cell here'!X177</f>
        <v>6.3526944264842715</v>
      </c>
      <c r="J177" s="1">
        <f>'Paste cell here'!Y177+'Paste cell here'!S177</f>
        <v>6.3526944264842715</v>
      </c>
      <c r="K177" s="1">
        <f t="shared" si="4"/>
        <v>1.0258987373236543</v>
      </c>
      <c r="L177" s="1">
        <f t="shared" si="5"/>
        <v>25.403358170205969</v>
      </c>
      <c r="M177" s="1">
        <f t="array" ref="M177">IF(AND(A177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177&gt;=_xlfn.ANCHORARRAY(Sintesi!$C$9))+(_xlfn.ANCHORARRAY(Sintesi!$C$9)&gt;_xlfn.ANCHORARRAY(Sintesi!$C$10))*(A177&lt;=_xlfn.ANCHORARRAY(Sintesi!$C$10))+(_xlfn.ANCHORARRAY(Sintesi!$C$9)&lt;_xlfn.ANCHORARRAY(Sintesi!$C$10))*(A177&gt;=_xlfn.ANCHORARRAY(Sintesi!$C$9))*(A177&lt;=_xlfn.ANCHORARRAY(Sintesi!$C$10)),0)),0),A177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178&gt;=_xlfn.ANCHORARRAY(Sintesi!$C$9))+(_xlfn.ANCHORARRAY(Sintesi!$C$9)&gt;_xlfn.ANCHORARRAY(Sintesi!$C$10))*(A178&lt;=_xlfn.ANCHORARRAY(Sintesi!$C$10))+(_xlfn.ANCHORARRAY(Sintesi!$C$9)&lt;_xlfn.ANCHORARRAY(Sintesi!$C$10))*(A178&gt;=_xlfn.ANCHORARRAY(Sintesi!$C$9))*(A178&lt;=_xlfn.ANCHORARRAY(Sintesi!$C$10)),0)),0)),IF(L177&lt;_xlfn.IFNA(INDEX(_xlfn.ANCHORARRAY(Sintesi!$C$17),1,MATCH(1,(_xlfn.ANCHORARRAY(Sintesi!$C$9)&gt;_xlfn.ANCHORARRAY(Sintesi!$C$10))*(A176&gt;=_xlfn.ANCHORARRAY(Sintesi!$C$9))+(_xlfn.ANCHORARRAY(Sintesi!$C$9)&gt;_xlfn.ANCHORARRAY(Sintesi!$C$10))*(A176&lt;=_xlfn.ANCHORARRAY(Sintesi!$C$10))+(_xlfn.ANCHORARRAY(Sintesi!$C$9)&lt;_xlfn.ANCHORARRAY(Sintesi!$C$10))*(A176&gt;=_xlfn.ANCHORARRAY(Sintesi!$C$9))*(A176&lt;=_xlfn.ANCHORARRAY(Sintesi!$C$10)),0)),0),1,IF(L177&gt;=_xlfn.IFNA(INDEX(_xlfn.ANCHORARRAY(Sintesi!$C$18),1,MATCH(1,(_xlfn.ANCHORARRAY(Sintesi!$C$9)&gt;_xlfn.ANCHORARRAY(Sintesi!$C$10))*(A176&gt;=_xlfn.ANCHORARRAY(Sintesi!$C$9))+(_xlfn.ANCHORARRAY(Sintesi!$C$9)&gt;_xlfn.ANCHORARRAY(Sintesi!$C$10))*(A176&lt;=_xlfn.ANCHORARRAY(Sintesi!$C$10))+(_xlfn.ANCHORARRAY(Sintesi!$C$9)&lt;_xlfn.ANCHORARRAY(Sintesi!$C$10))*(A176&gt;=_xlfn.ANCHORARRAY(Sintesi!$C$9))*(A176&lt;=_xlfn.ANCHORARRAY(Sintesi!$C$10)),0)),0),0,1-(L177-_xlfn.IFNA(INDEX(_xlfn.ANCHORARRAY(Sintesi!$C$17),1,MATCH(1,(_xlfn.ANCHORARRAY(Sintesi!$C$9)&gt;_xlfn.ANCHORARRAY(Sintesi!$C$10))*(A176&gt;=_xlfn.ANCHORARRAY(Sintesi!$C$9))+(_xlfn.ANCHORARRAY(Sintesi!$C$9)&gt;_xlfn.ANCHORARRAY(Sintesi!$C$10))*(A176&lt;=_xlfn.ANCHORARRAY(Sintesi!$C$10))+(_xlfn.ANCHORARRAY(Sintesi!$C$9)&lt;_xlfn.ANCHORARRAY(Sintesi!$C$10))*(A176&gt;=_xlfn.ANCHORARRAY(Sintesi!$C$9))*(A176&lt;=_xlfn.ANCHORARRAY(Sintesi!$C$10)),0)),0))/(_xlfn.IFNA(INDEX(_xlfn.ANCHORARRAY(Sintesi!$C$18),1,MATCH(1,(_xlfn.ANCHORARRAY(Sintesi!$C$9)&gt;_xlfn.ANCHORARRAY(Sintesi!$C$10))*(A176&gt;=_xlfn.ANCHORARRAY(Sintesi!$C$9))+(_xlfn.ANCHORARRAY(Sintesi!$C$9)&gt;_xlfn.ANCHORARRAY(Sintesi!$C$10))*(A176&lt;=_xlfn.ANCHORARRAY(Sintesi!$C$10))+(_xlfn.ANCHORARRAY(Sintesi!$C$9)&lt;_xlfn.ANCHORARRAY(Sintesi!$C$10))*(A176&gt;=_xlfn.ANCHORARRAY(Sintesi!$C$9))*(A176&lt;=_xlfn.ANCHORARRAY(Sintesi!$C$10)),0)),0)-_xlfn.IFNA(INDEX(_xlfn.ANCHORARRAY(Sintesi!$C$17),1,MATCH(1,(_xlfn.ANCHORARRAY(Sintesi!$C$9)&gt;_xlfn.ANCHORARRAY(Sintesi!$C$10))*(A176&gt;=_xlfn.ANCHORARRAY(Sintesi!$C$9))+(_xlfn.ANCHORARRAY(Sintesi!$C$9)&gt;_xlfn.ANCHORARRAY(Sintesi!$C$10))*(A176&lt;=_xlfn.ANCHORARRAY(Sintesi!$C$10))+(_xlfn.ANCHORARRAY(Sintesi!$C$9)&lt;_xlfn.ANCHORARRAY(Sintesi!$C$10))*(A176&gt;=_xlfn.ANCHORARRAY(Sintesi!$C$9))*(A176&lt;=_xlfn.ANCHORARRAY(Sintesi!$C$10)),0)),0)))),0)</f>
        <v>1</v>
      </c>
    </row>
    <row r="178" spans="1:13">
      <c r="A178" s="1">
        <f>'Paste cell here'!A178</f>
        <v>177</v>
      </c>
      <c r="B178" s="2">
        <f>DATE(Sintesi!$C$4-1,12,31)+A178</f>
        <v>44373</v>
      </c>
      <c r="C178" s="34">
        <f t="array" ref="C178">_xlfn.IFNA(MATCH(1,((_xlfn.ANCHORARRAY(Sintesi!$C$9)&gt;_xlfn.ANCHORARRAY(Sintesi!$C$10))*(A178&gt;=_xlfn.ANCHORARRAY(Sintesi!$C$9))+(_xlfn.ANCHORARRAY(Sintesi!$C$9)&gt;_xlfn.ANCHORARRAY(Sintesi!$C$10))*(A178&lt;=_xlfn.ANCHORARRAY(Sintesi!$C$10))+(_xlfn.ANCHORARRAY(Sintesi!$C$9)&lt;_xlfn.ANCHORARRAY(Sintesi!$C$10))*(A178&gt;=_xlfn.ANCHORARRAY(Sintesi!$C$9))*(A178&lt;=_xlfn.ANCHORARRAY(Sintesi!$C$10)))*(_xlfn.ANCHORARRAY(Sintesi!$C$15)&gt;=0)+(_xlfn.ANCHORARRAY(Sintesi!$C$15)&lt;0),0),0)</f>
        <v>1</v>
      </c>
      <c r="D178" s="1">
        <f t="array" ref="D178">IF(ISBLANK($E179),IF(ISNUMBER($E177),IF($C178&gt;0,IF(($E178=INDEX(_xlfn.ANCHORARRAY(Sintesi!$C$14),1,$C178))*(INDEX(_xlfn.ANCHORARRAY(Sintesi!$C$15),1,$C178)&gt;0),0,IF(($E178=INDEX(_xlfn.ANCHORARRAY(Sintesi!$C$14),1,$C178))*(INDEX(_xlfn.ANCHORARRAY(Sintesi!$C$15),1,$C178)&lt;0)+($E178&gt;=$E177)*($E178&lt;=INDEX($E:$E,MATCH(TRUE,INDEX((ISNUMBER($E:$E)),0),0)))*($E178&gt;INDEX(_xlfn.ANCHORARRAY(Sintesi!$C$14),1,$C178))*($E178&lt;=INDEX(_xlfn.ANCHORARRAY(Sintesi!$C$15),1,$C178))*(INDEX(_xlfn.ANCHORARRAY(Sintesi!$C$15),1,$C178)&gt;0),1,IF(($E178&gt;=$E177)*($E178&lt;=INDEX($E:$E,MATCH(TRUE,INDEX((ISNUMBER($E:$E)),0),0)))*($E178&gt;INDEX(_xlfn.ANCHORARRAY(Sintesi!$C$14),1,$C178))*($E178&lt;INDEX(_xlfn.ANCHORARRAY(Sintesi!$C$16),1,$C178))*(INDEX(_xlfn.ANCHORARRAY(Sintesi!$C$15),1,$C178)&lt;0)+($E178&gt;=$E177)*($E178&lt;=INDEX($E:$E,MATCH(TRUE,INDEX((ISNUMBER($E:$E)),0),0)))*($E178&gt;INDEX(_xlfn.ANCHORARRAY(Sintesi!$C$15),1,$C178))*($E178&lt;INDEX(_xlfn.ANCHORARRAY(Sintesi!$C$16),1,$C178))*(INDEX(_xlfn.ANCHORARRAY(Sintesi!$C$15),1,$C178)&gt;0),2,IF($E178=(INDEX(_xlfn.ANCHORARRAY(Sintesi!$C$16),1,$C178)),3,4)))),0),IF($C178&gt;0,IF(($E178=INDEX(_xlfn.ANCHORARRAY(Sintesi!$C$14),1,$C178))*(INDEX(_xlfn.ANCHORARRAY(Sintesi!$C$15),1,$C178)&gt;0),0,IF(($E178=INDEX(_xlfn.ANCHORARRAY(Sintesi!$C$14),1,$C178))*(INDEX(_xlfn.ANCHORARRAY(Sintesi!$C$15),1,$C178)&lt;0)+($E178&gt;=LOOKUP(2,1/($E:$E&lt;&gt;""),$E:$E))*($E178&lt;=INDEX($E:$E,MATCH(TRUE,INDEX((ISNUMBER($E:$E)),0),0)))*($E178&gt;INDEX(_xlfn.ANCHORARRAY(Sintesi!$C$14),1,$C178))*($E178&lt;=INDEX(_xlfn.ANCHORARRAY(Sintesi!$C$15),1,$C178))*(INDEX(_xlfn.ANCHORARRAY(Sintesi!$C$15),1,$C178)&gt;0),1,IF(($E178&gt;=LOOKUP(2,1/($E:$E&lt;&gt;""),$E:$E))*($E178&lt;=INDEX($E:$E,MATCH(TRUE,INDEX((ISNUMBER($E:$E)),0),0)))*($E178&gt;INDEX(_xlfn.ANCHORARRAY(Sintesi!$C$14),1,$C178))*($E178&lt;INDEX(_xlfn.ANCHORARRAY(Sintesi!$C$16),1,$C178))*(INDEX(_xlfn.ANCHORARRAY(Sintesi!$C$15),1,$C178)&lt;0)+($E178&gt;=LOOKUP(2,1/($E:$E&lt;&gt;""),$E:$E))*($E178&lt;=INDEX($E:$E,MATCH(TRUE,INDEX((ISNUMBER($E:$E)),0),0)))*($E178&gt;INDEX(_xlfn.ANCHORARRAY(Sintesi!$C$15),1,$C178))*($E178&lt;INDEX(_xlfn.ANCHORARRAY(Sintesi!$C$16),1,$C178))*(INDEX(_xlfn.ANCHORARRAY(Sintesi!$C$15),1,$C178)&gt;0),2,IF($E178=(INDEX(_xlfn.ANCHORARRAY(Sintesi!$C$16),1,$C178)),3,4)))),0)),IF(ISNUMBER($E177),IF($C178&gt;0,IF(($E178=INDEX(_xlfn.ANCHORARRAY(Sintesi!$C$14),1,$C178))*(INDEX(_xlfn.ANCHORARRAY(Sintesi!$C$15),1,$C178)&gt;0),0,IF(($E178=INDEX(_xlfn.ANCHORARRAY(Sintesi!$C$14),1,$C178))*(INDEX(_xlfn.ANCHORARRAY(Sintesi!$C$15),1,$C178)&lt;0)+($E178&gt;=$E177)*($E178&lt;=$E179)*($E178&gt;INDEX(_xlfn.ANCHORARRAY(Sintesi!$C$14),1,$C178))*($E178&lt;=INDEX(_xlfn.ANCHORARRAY(Sintesi!$C$15),1,$C178))*(INDEX(_xlfn.ANCHORARRAY(Sintesi!$C$15),1,$C178)&gt;0),1,IF(($E178&gt;=$E177)*($E178&lt;=$E179)*($E178&gt;INDEX(_xlfn.ANCHORARRAY(Sintesi!$C$14),1,$C178))*($E178&lt;INDEX(_xlfn.ANCHORARRAY(Sintesi!$C$16),1,$C178))*(INDEX(_xlfn.ANCHORARRAY(Sintesi!$C$15),1,$C178)&lt;0)+($E178&gt;=$E177)*($E178&lt;=$E179)*($E178&gt;INDEX(_xlfn.ANCHORARRAY(Sintesi!$C$15),1,$C178))*($E178&lt;INDEX(_xlfn.ANCHORARRAY(Sintesi!$C$16),1,$C178))*(INDEX(_xlfn.ANCHORARRAY(Sintesi!$C$15),1,$C178)&gt;0),2,IF($E178=(INDEX(_xlfn.ANCHORARRAY(Sintesi!$C$16),1,$C178)),3,4)))),0),IF($C178&gt;0,IF(($E178=INDEX(_xlfn.ANCHORARRAY(Sintesi!$C$14),1,$C178))*(INDEX(_xlfn.ANCHORARRAY(Sintesi!$C$15),1,$C178)&gt;0),0,IF(($E178=INDEX(_xlfn.ANCHORARRAY(Sintesi!$C$14),1,$C178))*(INDEX(_xlfn.ANCHORARRAY(Sintesi!$C$15),1,$C178)&lt;0)+($E178&gt;=LOOKUP(2,1/($E:$E&lt;&gt;""),$E:$E))*($E178&lt;=$E179)*($E178&gt;INDEX(_xlfn.ANCHORARRAY(Sintesi!$C$14),1,$C178))*($E178&lt;=INDEX(_xlfn.ANCHORARRAY(Sintesi!$C$15),1,$C178))*(INDEX(_xlfn.ANCHORARRAY(Sintesi!$C$15),1,$C178)&gt;0),1,IF(($E178&gt;=LOOKUP(2,1/($E:$E&lt;&gt;""),$E:$E))*($E178&lt;=$E179)*($E178&gt;INDEX(_xlfn.ANCHORARRAY(Sintesi!$C$14),1,$C178))*($E178&lt;INDEX(_xlfn.ANCHORARRAY(Sintesi!$C$16),1,$C178))*(INDEX(_xlfn.ANCHORARRAY(Sintesi!$C$15),1,$C178)&lt;0)+($E178&gt;=LOOKUP(2,1/($E:$E&lt;&gt;""),$E:$E))*($E178&lt;=$E179)*($E178&gt;INDEX(_xlfn.ANCHORARRAY(Sintesi!$C$15),1,$C178))*($E178&lt;INDEX(_xlfn.ANCHORARRAY(Sintesi!$C$16),1,$C178))*(INDEX(_xlfn.ANCHORARRAY(Sintesi!$C$15),1,$C178)&gt;0),2,IF($E178=(INDEX(_xlfn.ANCHORARRAY(Sintesi!$C$16),1,$C178)),3,4)))),0)))</f>
        <v>3</v>
      </c>
      <c r="E178" s="1">
        <f>'Paste cell here'!F178</f>
        <v>1.0469999999999999</v>
      </c>
      <c r="F178" s="1">
        <f>'Paste cell here'!C178</f>
        <v>31.839999999999542</v>
      </c>
      <c r="G178" s="1">
        <f>'Paste cell here'!D178</f>
        <v>17.43999999999977</v>
      </c>
      <c r="H178" s="1">
        <f>'Paste cell here'!E178</f>
        <v>5.8337585697336172</v>
      </c>
      <c r="I178" s="1">
        <f>'Paste cell here'!X178</f>
        <v>6.1073459081135404</v>
      </c>
      <c r="J178" s="1">
        <f>'Paste cell here'!Y178+'Paste cell here'!S178</f>
        <v>6.1073459081135404</v>
      </c>
      <c r="K178" s="1">
        <f t="shared" si="4"/>
        <v>1.0468972678779225</v>
      </c>
      <c r="L178" s="1">
        <f t="shared" si="5"/>
        <v>26.258078818826931</v>
      </c>
      <c r="M178" s="1">
        <f t="array" ref="M178">IF(AND(A178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178&gt;=_xlfn.ANCHORARRAY(Sintesi!$C$9))+(_xlfn.ANCHORARRAY(Sintesi!$C$9)&gt;_xlfn.ANCHORARRAY(Sintesi!$C$10))*(A178&lt;=_xlfn.ANCHORARRAY(Sintesi!$C$10))+(_xlfn.ANCHORARRAY(Sintesi!$C$9)&lt;_xlfn.ANCHORARRAY(Sintesi!$C$10))*(A178&gt;=_xlfn.ANCHORARRAY(Sintesi!$C$9))*(A178&lt;=_xlfn.ANCHORARRAY(Sintesi!$C$10)),0)),0),A178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179&gt;=_xlfn.ANCHORARRAY(Sintesi!$C$9))+(_xlfn.ANCHORARRAY(Sintesi!$C$9)&gt;_xlfn.ANCHORARRAY(Sintesi!$C$10))*(A179&lt;=_xlfn.ANCHORARRAY(Sintesi!$C$10))+(_xlfn.ANCHORARRAY(Sintesi!$C$9)&lt;_xlfn.ANCHORARRAY(Sintesi!$C$10))*(A179&gt;=_xlfn.ANCHORARRAY(Sintesi!$C$9))*(A179&lt;=_xlfn.ANCHORARRAY(Sintesi!$C$10)),0)),0)),IF(L178&lt;_xlfn.IFNA(INDEX(_xlfn.ANCHORARRAY(Sintesi!$C$17),1,MATCH(1,(_xlfn.ANCHORARRAY(Sintesi!$C$9)&gt;_xlfn.ANCHORARRAY(Sintesi!$C$10))*(A177&gt;=_xlfn.ANCHORARRAY(Sintesi!$C$9))+(_xlfn.ANCHORARRAY(Sintesi!$C$9)&gt;_xlfn.ANCHORARRAY(Sintesi!$C$10))*(A177&lt;=_xlfn.ANCHORARRAY(Sintesi!$C$10))+(_xlfn.ANCHORARRAY(Sintesi!$C$9)&lt;_xlfn.ANCHORARRAY(Sintesi!$C$10))*(A177&gt;=_xlfn.ANCHORARRAY(Sintesi!$C$9))*(A177&lt;=_xlfn.ANCHORARRAY(Sintesi!$C$10)),0)),0),1,IF(L178&gt;=_xlfn.IFNA(INDEX(_xlfn.ANCHORARRAY(Sintesi!$C$18),1,MATCH(1,(_xlfn.ANCHORARRAY(Sintesi!$C$9)&gt;_xlfn.ANCHORARRAY(Sintesi!$C$10))*(A177&gt;=_xlfn.ANCHORARRAY(Sintesi!$C$9))+(_xlfn.ANCHORARRAY(Sintesi!$C$9)&gt;_xlfn.ANCHORARRAY(Sintesi!$C$10))*(A177&lt;=_xlfn.ANCHORARRAY(Sintesi!$C$10))+(_xlfn.ANCHORARRAY(Sintesi!$C$9)&lt;_xlfn.ANCHORARRAY(Sintesi!$C$10))*(A177&gt;=_xlfn.ANCHORARRAY(Sintesi!$C$9))*(A177&lt;=_xlfn.ANCHORARRAY(Sintesi!$C$10)),0)),0),0,1-(L178-_xlfn.IFNA(INDEX(_xlfn.ANCHORARRAY(Sintesi!$C$17),1,MATCH(1,(_xlfn.ANCHORARRAY(Sintesi!$C$9)&gt;_xlfn.ANCHORARRAY(Sintesi!$C$10))*(A177&gt;=_xlfn.ANCHORARRAY(Sintesi!$C$9))+(_xlfn.ANCHORARRAY(Sintesi!$C$9)&gt;_xlfn.ANCHORARRAY(Sintesi!$C$10))*(A177&lt;=_xlfn.ANCHORARRAY(Sintesi!$C$10))+(_xlfn.ANCHORARRAY(Sintesi!$C$9)&lt;_xlfn.ANCHORARRAY(Sintesi!$C$10))*(A177&gt;=_xlfn.ANCHORARRAY(Sintesi!$C$9))*(A177&lt;=_xlfn.ANCHORARRAY(Sintesi!$C$10)),0)),0))/(_xlfn.IFNA(INDEX(_xlfn.ANCHORARRAY(Sintesi!$C$18),1,MATCH(1,(_xlfn.ANCHORARRAY(Sintesi!$C$9)&gt;_xlfn.ANCHORARRAY(Sintesi!$C$10))*(A177&gt;=_xlfn.ANCHORARRAY(Sintesi!$C$9))+(_xlfn.ANCHORARRAY(Sintesi!$C$9)&gt;_xlfn.ANCHORARRAY(Sintesi!$C$10))*(A177&lt;=_xlfn.ANCHORARRAY(Sintesi!$C$10))+(_xlfn.ANCHORARRAY(Sintesi!$C$9)&lt;_xlfn.ANCHORARRAY(Sintesi!$C$10))*(A177&gt;=_xlfn.ANCHORARRAY(Sintesi!$C$9))*(A177&lt;=_xlfn.ANCHORARRAY(Sintesi!$C$10)),0)),0)-_xlfn.IFNA(INDEX(_xlfn.ANCHORARRAY(Sintesi!$C$17),1,MATCH(1,(_xlfn.ANCHORARRAY(Sintesi!$C$9)&gt;_xlfn.ANCHORARRAY(Sintesi!$C$10))*(A177&gt;=_xlfn.ANCHORARRAY(Sintesi!$C$9))+(_xlfn.ANCHORARRAY(Sintesi!$C$9)&gt;_xlfn.ANCHORARRAY(Sintesi!$C$10))*(A177&lt;=_xlfn.ANCHORARRAY(Sintesi!$C$10))+(_xlfn.ANCHORARRAY(Sintesi!$C$9)&lt;_xlfn.ANCHORARRAY(Sintesi!$C$10))*(A177&gt;=_xlfn.ANCHORARRAY(Sintesi!$C$9))*(A177&lt;=_xlfn.ANCHORARRAY(Sintesi!$C$10)),0)),0)))),0)</f>
        <v>1</v>
      </c>
    </row>
    <row r="179" spans="1:13">
      <c r="A179" s="1">
        <f>'Paste cell here'!A179</f>
        <v>178</v>
      </c>
      <c r="B179" s="2">
        <f>DATE(Sintesi!$C$4-1,12,31)+A179</f>
        <v>44374</v>
      </c>
      <c r="C179" s="34">
        <f t="array" ref="C179">_xlfn.IFNA(MATCH(1,((_xlfn.ANCHORARRAY(Sintesi!$C$9)&gt;_xlfn.ANCHORARRAY(Sintesi!$C$10))*(A179&gt;=_xlfn.ANCHORARRAY(Sintesi!$C$9))+(_xlfn.ANCHORARRAY(Sintesi!$C$9)&gt;_xlfn.ANCHORARRAY(Sintesi!$C$10))*(A179&lt;=_xlfn.ANCHORARRAY(Sintesi!$C$10))+(_xlfn.ANCHORARRAY(Sintesi!$C$9)&lt;_xlfn.ANCHORARRAY(Sintesi!$C$10))*(A179&gt;=_xlfn.ANCHORARRAY(Sintesi!$C$9))*(A179&lt;=_xlfn.ANCHORARRAY(Sintesi!$C$10)))*(_xlfn.ANCHORARRAY(Sintesi!$C$15)&gt;=0)+(_xlfn.ANCHORARRAY(Sintesi!$C$15)&lt;0),0),0)</f>
        <v>1</v>
      </c>
      <c r="D179" s="1">
        <f t="array" ref="D179">IF(ISBLANK($E180),IF(ISNUMBER($E178),IF($C179&gt;0,IF(($E179=INDEX(_xlfn.ANCHORARRAY(Sintesi!$C$14),1,$C179))*(INDEX(_xlfn.ANCHORARRAY(Sintesi!$C$15),1,$C179)&gt;0),0,IF(($E179=INDEX(_xlfn.ANCHORARRAY(Sintesi!$C$14),1,$C179))*(INDEX(_xlfn.ANCHORARRAY(Sintesi!$C$15),1,$C179)&lt;0)+($E179&gt;=$E178)*($E179&lt;=INDEX($E:$E,MATCH(TRUE,INDEX((ISNUMBER($E:$E)),0),0)))*($E179&gt;INDEX(_xlfn.ANCHORARRAY(Sintesi!$C$14),1,$C179))*($E179&lt;=INDEX(_xlfn.ANCHORARRAY(Sintesi!$C$15),1,$C179))*(INDEX(_xlfn.ANCHORARRAY(Sintesi!$C$15),1,$C179)&gt;0),1,IF(($E179&gt;=$E178)*($E179&lt;=INDEX($E:$E,MATCH(TRUE,INDEX((ISNUMBER($E:$E)),0),0)))*($E179&gt;INDEX(_xlfn.ANCHORARRAY(Sintesi!$C$14),1,$C179))*($E179&lt;INDEX(_xlfn.ANCHORARRAY(Sintesi!$C$16),1,$C179))*(INDEX(_xlfn.ANCHORARRAY(Sintesi!$C$15),1,$C179)&lt;0)+($E179&gt;=$E178)*($E179&lt;=INDEX($E:$E,MATCH(TRUE,INDEX((ISNUMBER($E:$E)),0),0)))*($E179&gt;INDEX(_xlfn.ANCHORARRAY(Sintesi!$C$15),1,$C179))*($E179&lt;INDEX(_xlfn.ANCHORARRAY(Sintesi!$C$16),1,$C179))*(INDEX(_xlfn.ANCHORARRAY(Sintesi!$C$15),1,$C179)&gt;0),2,IF($E179=(INDEX(_xlfn.ANCHORARRAY(Sintesi!$C$16),1,$C179)),3,4)))),0),IF($C179&gt;0,IF(($E179=INDEX(_xlfn.ANCHORARRAY(Sintesi!$C$14),1,$C179))*(INDEX(_xlfn.ANCHORARRAY(Sintesi!$C$15),1,$C179)&gt;0),0,IF(($E179=INDEX(_xlfn.ANCHORARRAY(Sintesi!$C$14),1,$C179))*(INDEX(_xlfn.ANCHORARRAY(Sintesi!$C$15),1,$C179)&lt;0)+($E179&gt;=LOOKUP(2,1/($E:$E&lt;&gt;""),$E:$E))*($E179&lt;=INDEX($E:$E,MATCH(TRUE,INDEX((ISNUMBER($E:$E)),0),0)))*($E179&gt;INDEX(_xlfn.ANCHORARRAY(Sintesi!$C$14),1,$C179))*($E179&lt;=INDEX(_xlfn.ANCHORARRAY(Sintesi!$C$15),1,$C179))*(INDEX(_xlfn.ANCHORARRAY(Sintesi!$C$15),1,$C179)&gt;0),1,IF(($E179&gt;=LOOKUP(2,1/($E:$E&lt;&gt;""),$E:$E))*($E179&lt;=INDEX($E:$E,MATCH(TRUE,INDEX((ISNUMBER($E:$E)),0),0)))*($E179&gt;INDEX(_xlfn.ANCHORARRAY(Sintesi!$C$14),1,$C179))*($E179&lt;INDEX(_xlfn.ANCHORARRAY(Sintesi!$C$16),1,$C179))*(INDEX(_xlfn.ANCHORARRAY(Sintesi!$C$15),1,$C179)&lt;0)+($E179&gt;=LOOKUP(2,1/($E:$E&lt;&gt;""),$E:$E))*($E179&lt;=INDEX($E:$E,MATCH(TRUE,INDEX((ISNUMBER($E:$E)),0),0)))*($E179&gt;INDEX(_xlfn.ANCHORARRAY(Sintesi!$C$15),1,$C179))*($E179&lt;INDEX(_xlfn.ANCHORARRAY(Sintesi!$C$16),1,$C179))*(INDEX(_xlfn.ANCHORARRAY(Sintesi!$C$15),1,$C179)&gt;0),2,IF($E179=(INDEX(_xlfn.ANCHORARRAY(Sintesi!$C$16),1,$C179)),3,4)))),0)),IF(ISNUMBER($E178),IF($C179&gt;0,IF(($E179=INDEX(_xlfn.ANCHORARRAY(Sintesi!$C$14),1,$C179))*(INDEX(_xlfn.ANCHORARRAY(Sintesi!$C$15),1,$C179)&gt;0),0,IF(($E179=INDEX(_xlfn.ANCHORARRAY(Sintesi!$C$14),1,$C179))*(INDEX(_xlfn.ANCHORARRAY(Sintesi!$C$15),1,$C179)&lt;0)+($E179&gt;=$E178)*($E179&lt;=$E180)*($E179&gt;INDEX(_xlfn.ANCHORARRAY(Sintesi!$C$14),1,$C179))*($E179&lt;=INDEX(_xlfn.ANCHORARRAY(Sintesi!$C$15),1,$C179))*(INDEX(_xlfn.ANCHORARRAY(Sintesi!$C$15),1,$C179)&gt;0),1,IF(($E179&gt;=$E178)*($E179&lt;=$E180)*($E179&gt;INDEX(_xlfn.ANCHORARRAY(Sintesi!$C$14),1,$C179))*($E179&lt;INDEX(_xlfn.ANCHORARRAY(Sintesi!$C$16),1,$C179))*(INDEX(_xlfn.ANCHORARRAY(Sintesi!$C$15),1,$C179)&lt;0)+($E179&gt;=$E178)*($E179&lt;=$E180)*($E179&gt;INDEX(_xlfn.ANCHORARRAY(Sintesi!$C$15),1,$C179))*($E179&lt;INDEX(_xlfn.ANCHORARRAY(Sintesi!$C$16),1,$C179))*(INDEX(_xlfn.ANCHORARRAY(Sintesi!$C$15),1,$C179)&gt;0),2,IF($E179=(INDEX(_xlfn.ANCHORARRAY(Sintesi!$C$16),1,$C179)),3,4)))),0),IF($C179&gt;0,IF(($E179=INDEX(_xlfn.ANCHORARRAY(Sintesi!$C$14),1,$C179))*(INDEX(_xlfn.ANCHORARRAY(Sintesi!$C$15),1,$C179)&gt;0),0,IF(($E179=INDEX(_xlfn.ANCHORARRAY(Sintesi!$C$14),1,$C179))*(INDEX(_xlfn.ANCHORARRAY(Sintesi!$C$15),1,$C179)&lt;0)+($E179&gt;=LOOKUP(2,1/($E:$E&lt;&gt;""),$E:$E))*($E179&lt;=$E180)*($E179&gt;INDEX(_xlfn.ANCHORARRAY(Sintesi!$C$14),1,$C179))*($E179&lt;=INDEX(_xlfn.ANCHORARRAY(Sintesi!$C$15),1,$C179))*(INDEX(_xlfn.ANCHORARRAY(Sintesi!$C$15),1,$C179)&gt;0),1,IF(($E179&gt;=LOOKUP(2,1/($E:$E&lt;&gt;""),$E:$E))*($E179&lt;=$E180)*($E179&gt;INDEX(_xlfn.ANCHORARRAY(Sintesi!$C$14),1,$C179))*($E179&lt;INDEX(_xlfn.ANCHORARRAY(Sintesi!$C$16),1,$C179))*(INDEX(_xlfn.ANCHORARRAY(Sintesi!$C$15),1,$C179)&lt;0)+($E179&gt;=LOOKUP(2,1/($E:$E&lt;&gt;""),$E:$E))*($E179&lt;=$E180)*($E179&gt;INDEX(_xlfn.ANCHORARRAY(Sintesi!$C$15),1,$C179))*($E179&lt;INDEX(_xlfn.ANCHORARRAY(Sintesi!$C$16),1,$C179))*(INDEX(_xlfn.ANCHORARRAY(Sintesi!$C$15),1,$C179)&gt;0),2,IF($E179=(INDEX(_xlfn.ANCHORARRAY(Sintesi!$C$16),1,$C179)),3,4)))),0)))</f>
        <v>3</v>
      </c>
      <c r="E179" s="1">
        <f>'Paste cell here'!F179</f>
        <v>1.0469999999999999</v>
      </c>
      <c r="F179" s="1">
        <f>'Paste cell here'!C179</f>
        <v>32.959999999999525</v>
      </c>
      <c r="G179" s="1">
        <f>'Paste cell here'!D179</f>
        <v>18.73999999999975</v>
      </c>
      <c r="H179" s="1">
        <f>'Paste cell here'!E179</f>
        <v>5.485105473246275</v>
      </c>
      <c r="I179" s="1">
        <f>'Paste cell here'!X179</f>
        <v>5.7423459500922966</v>
      </c>
      <c r="J179" s="1">
        <f>'Paste cell here'!Y179+'Paste cell here'!S179</f>
        <v>5.7423459500922966</v>
      </c>
      <c r="K179" s="1">
        <f t="shared" si="4"/>
        <v>1.0468980000659456</v>
      </c>
      <c r="L179" s="1">
        <f t="shared" si="5"/>
        <v>27.447852833591575</v>
      </c>
      <c r="M179" s="1">
        <f t="array" ref="M179">IF(AND(A179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179&gt;=_xlfn.ANCHORARRAY(Sintesi!$C$9))+(_xlfn.ANCHORARRAY(Sintesi!$C$9)&gt;_xlfn.ANCHORARRAY(Sintesi!$C$10))*(A179&lt;=_xlfn.ANCHORARRAY(Sintesi!$C$10))+(_xlfn.ANCHORARRAY(Sintesi!$C$9)&lt;_xlfn.ANCHORARRAY(Sintesi!$C$10))*(A179&gt;=_xlfn.ANCHORARRAY(Sintesi!$C$9))*(A179&lt;=_xlfn.ANCHORARRAY(Sintesi!$C$10)),0)),0),A179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180&gt;=_xlfn.ANCHORARRAY(Sintesi!$C$9))+(_xlfn.ANCHORARRAY(Sintesi!$C$9)&gt;_xlfn.ANCHORARRAY(Sintesi!$C$10))*(A180&lt;=_xlfn.ANCHORARRAY(Sintesi!$C$10))+(_xlfn.ANCHORARRAY(Sintesi!$C$9)&lt;_xlfn.ANCHORARRAY(Sintesi!$C$10))*(A180&gt;=_xlfn.ANCHORARRAY(Sintesi!$C$9))*(A180&lt;=_xlfn.ANCHORARRAY(Sintesi!$C$10)),0)),0)),IF(L179&lt;_xlfn.IFNA(INDEX(_xlfn.ANCHORARRAY(Sintesi!$C$17),1,MATCH(1,(_xlfn.ANCHORARRAY(Sintesi!$C$9)&gt;_xlfn.ANCHORARRAY(Sintesi!$C$10))*(A178&gt;=_xlfn.ANCHORARRAY(Sintesi!$C$9))+(_xlfn.ANCHORARRAY(Sintesi!$C$9)&gt;_xlfn.ANCHORARRAY(Sintesi!$C$10))*(A178&lt;=_xlfn.ANCHORARRAY(Sintesi!$C$10))+(_xlfn.ANCHORARRAY(Sintesi!$C$9)&lt;_xlfn.ANCHORARRAY(Sintesi!$C$10))*(A178&gt;=_xlfn.ANCHORARRAY(Sintesi!$C$9))*(A178&lt;=_xlfn.ANCHORARRAY(Sintesi!$C$10)),0)),0),1,IF(L179&gt;=_xlfn.IFNA(INDEX(_xlfn.ANCHORARRAY(Sintesi!$C$18),1,MATCH(1,(_xlfn.ANCHORARRAY(Sintesi!$C$9)&gt;_xlfn.ANCHORARRAY(Sintesi!$C$10))*(A178&gt;=_xlfn.ANCHORARRAY(Sintesi!$C$9))+(_xlfn.ANCHORARRAY(Sintesi!$C$9)&gt;_xlfn.ANCHORARRAY(Sintesi!$C$10))*(A178&lt;=_xlfn.ANCHORARRAY(Sintesi!$C$10))+(_xlfn.ANCHORARRAY(Sintesi!$C$9)&lt;_xlfn.ANCHORARRAY(Sintesi!$C$10))*(A178&gt;=_xlfn.ANCHORARRAY(Sintesi!$C$9))*(A178&lt;=_xlfn.ANCHORARRAY(Sintesi!$C$10)),0)),0),0,1-(L179-_xlfn.IFNA(INDEX(_xlfn.ANCHORARRAY(Sintesi!$C$17),1,MATCH(1,(_xlfn.ANCHORARRAY(Sintesi!$C$9)&gt;_xlfn.ANCHORARRAY(Sintesi!$C$10))*(A178&gt;=_xlfn.ANCHORARRAY(Sintesi!$C$9))+(_xlfn.ANCHORARRAY(Sintesi!$C$9)&gt;_xlfn.ANCHORARRAY(Sintesi!$C$10))*(A178&lt;=_xlfn.ANCHORARRAY(Sintesi!$C$10))+(_xlfn.ANCHORARRAY(Sintesi!$C$9)&lt;_xlfn.ANCHORARRAY(Sintesi!$C$10))*(A178&gt;=_xlfn.ANCHORARRAY(Sintesi!$C$9))*(A178&lt;=_xlfn.ANCHORARRAY(Sintesi!$C$10)),0)),0))/(_xlfn.IFNA(INDEX(_xlfn.ANCHORARRAY(Sintesi!$C$18),1,MATCH(1,(_xlfn.ANCHORARRAY(Sintesi!$C$9)&gt;_xlfn.ANCHORARRAY(Sintesi!$C$10))*(A178&gt;=_xlfn.ANCHORARRAY(Sintesi!$C$9))+(_xlfn.ANCHORARRAY(Sintesi!$C$9)&gt;_xlfn.ANCHORARRAY(Sintesi!$C$10))*(A178&lt;=_xlfn.ANCHORARRAY(Sintesi!$C$10))+(_xlfn.ANCHORARRAY(Sintesi!$C$9)&lt;_xlfn.ANCHORARRAY(Sintesi!$C$10))*(A178&gt;=_xlfn.ANCHORARRAY(Sintesi!$C$9))*(A178&lt;=_xlfn.ANCHORARRAY(Sintesi!$C$10)),0)),0)-_xlfn.IFNA(INDEX(_xlfn.ANCHORARRAY(Sintesi!$C$17),1,MATCH(1,(_xlfn.ANCHORARRAY(Sintesi!$C$9)&gt;_xlfn.ANCHORARRAY(Sintesi!$C$10))*(A178&gt;=_xlfn.ANCHORARRAY(Sintesi!$C$9))+(_xlfn.ANCHORARRAY(Sintesi!$C$9)&gt;_xlfn.ANCHORARRAY(Sintesi!$C$10))*(A178&lt;=_xlfn.ANCHORARRAY(Sintesi!$C$10))+(_xlfn.ANCHORARRAY(Sintesi!$C$9)&lt;_xlfn.ANCHORARRAY(Sintesi!$C$10))*(A178&gt;=_xlfn.ANCHORARRAY(Sintesi!$C$9))*(A178&lt;=_xlfn.ANCHORARRAY(Sintesi!$C$10)),0)),0)))),0)</f>
        <v>1</v>
      </c>
    </row>
    <row r="180" spans="1:13">
      <c r="A180" s="1">
        <f>'Paste cell here'!A180</f>
        <v>179</v>
      </c>
      <c r="B180" s="2">
        <f>DATE(Sintesi!$C$4-1,12,31)+A180</f>
        <v>44375</v>
      </c>
      <c r="C180" s="34">
        <f t="array" ref="C180">_xlfn.IFNA(MATCH(1,((_xlfn.ANCHORARRAY(Sintesi!$C$9)&gt;_xlfn.ANCHORARRAY(Sintesi!$C$10))*(A180&gt;=_xlfn.ANCHORARRAY(Sintesi!$C$9))+(_xlfn.ANCHORARRAY(Sintesi!$C$9)&gt;_xlfn.ANCHORARRAY(Sintesi!$C$10))*(A180&lt;=_xlfn.ANCHORARRAY(Sintesi!$C$10))+(_xlfn.ANCHORARRAY(Sintesi!$C$9)&lt;_xlfn.ANCHORARRAY(Sintesi!$C$10))*(A180&gt;=_xlfn.ANCHORARRAY(Sintesi!$C$9))*(A180&lt;=_xlfn.ANCHORARRAY(Sintesi!$C$10)))*(_xlfn.ANCHORARRAY(Sintesi!$C$15)&gt;=0)+(_xlfn.ANCHORARRAY(Sintesi!$C$15)&lt;0),0),0)</f>
        <v>1</v>
      </c>
      <c r="D180" s="1">
        <f t="array" ref="D180">IF(ISBLANK($E181),IF(ISNUMBER($E179),IF($C180&gt;0,IF(($E180=INDEX(_xlfn.ANCHORARRAY(Sintesi!$C$14),1,$C180))*(INDEX(_xlfn.ANCHORARRAY(Sintesi!$C$15),1,$C180)&gt;0),0,IF(($E180=INDEX(_xlfn.ANCHORARRAY(Sintesi!$C$14),1,$C180))*(INDEX(_xlfn.ANCHORARRAY(Sintesi!$C$15),1,$C180)&lt;0)+($E180&gt;=$E179)*($E180&lt;=INDEX($E:$E,MATCH(TRUE,INDEX((ISNUMBER($E:$E)),0),0)))*($E180&gt;INDEX(_xlfn.ANCHORARRAY(Sintesi!$C$14),1,$C180))*($E180&lt;=INDEX(_xlfn.ANCHORARRAY(Sintesi!$C$15),1,$C180))*(INDEX(_xlfn.ANCHORARRAY(Sintesi!$C$15),1,$C180)&gt;0),1,IF(($E180&gt;=$E179)*($E180&lt;=INDEX($E:$E,MATCH(TRUE,INDEX((ISNUMBER($E:$E)),0),0)))*($E180&gt;INDEX(_xlfn.ANCHORARRAY(Sintesi!$C$14),1,$C180))*($E180&lt;INDEX(_xlfn.ANCHORARRAY(Sintesi!$C$16),1,$C180))*(INDEX(_xlfn.ANCHORARRAY(Sintesi!$C$15),1,$C180)&lt;0)+($E180&gt;=$E179)*($E180&lt;=INDEX($E:$E,MATCH(TRUE,INDEX((ISNUMBER($E:$E)),0),0)))*($E180&gt;INDEX(_xlfn.ANCHORARRAY(Sintesi!$C$15),1,$C180))*($E180&lt;INDEX(_xlfn.ANCHORARRAY(Sintesi!$C$16),1,$C180))*(INDEX(_xlfn.ANCHORARRAY(Sintesi!$C$15),1,$C180)&gt;0),2,IF($E180=(INDEX(_xlfn.ANCHORARRAY(Sintesi!$C$16),1,$C180)),3,4)))),0),IF($C180&gt;0,IF(($E180=INDEX(_xlfn.ANCHORARRAY(Sintesi!$C$14),1,$C180))*(INDEX(_xlfn.ANCHORARRAY(Sintesi!$C$15),1,$C180)&gt;0),0,IF(($E180=INDEX(_xlfn.ANCHORARRAY(Sintesi!$C$14),1,$C180))*(INDEX(_xlfn.ANCHORARRAY(Sintesi!$C$15),1,$C180)&lt;0)+($E180&gt;=LOOKUP(2,1/($E:$E&lt;&gt;""),$E:$E))*($E180&lt;=INDEX($E:$E,MATCH(TRUE,INDEX((ISNUMBER($E:$E)),0),0)))*($E180&gt;INDEX(_xlfn.ANCHORARRAY(Sintesi!$C$14),1,$C180))*($E180&lt;=INDEX(_xlfn.ANCHORARRAY(Sintesi!$C$15),1,$C180))*(INDEX(_xlfn.ANCHORARRAY(Sintesi!$C$15),1,$C180)&gt;0),1,IF(($E180&gt;=LOOKUP(2,1/($E:$E&lt;&gt;""),$E:$E))*($E180&lt;=INDEX($E:$E,MATCH(TRUE,INDEX((ISNUMBER($E:$E)),0),0)))*($E180&gt;INDEX(_xlfn.ANCHORARRAY(Sintesi!$C$14),1,$C180))*($E180&lt;INDEX(_xlfn.ANCHORARRAY(Sintesi!$C$16),1,$C180))*(INDEX(_xlfn.ANCHORARRAY(Sintesi!$C$15),1,$C180)&lt;0)+($E180&gt;=LOOKUP(2,1/($E:$E&lt;&gt;""),$E:$E))*($E180&lt;=INDEX($E:$E,MATCH(TRUE,INDEX((ISNUMBER($E:$E)),0),0)))*($E180&gt;INDEX(_xlfn.ANCHORARRAY(Sintesi!$C$15),1,$C180))*($E180&lt;INDEX(_xlfn.ANCHORARRAY(Sintesi!$C$16),1,$C180))*(INDEX(_xlfn.ANCHORARRAY(Sintesi!$C$15),1,$C180)&gt;0),2,IF($E180=(INDEX(_xlfn.ANCHORARRAY(Sintesi!$C$16),1,$C180)),3,4)))),0)),IF(ISNUMBER($E179),IF($C180&gt;0,IF(($E180=INDEX(_xlfn.ANCHORARRAY(Sintesi!$C$14),1,$C180))*(INDEX(_xlfn.ANCHORARRAY(Sintesi!$C$15),1,$C180)&gt;0),0,IF(($E180=INDEX(_xlfn.ANCHORARRAY(Sintesi!$C$14),1,$C180))*(INDEX(_xlfn.ANCHORARRAY(Sintesi!$C$15),1,$C180)&lt;0)+($E180&gt;=$E179)*($E180&lt;=$E181)*($E180&gt;INDEX(_xlfn.ANCHORARRAY(Sintesi!$C$14),1,$C180))*($E180&lt;=INDEX(_xlfn.ANCHORARRAY(Sintesi!$C$15),1,$C180))*(INDEX(_xlfn.ANCHORARRAY(Sintesi!$C$15),1,$C180)&gt;0),1,IF(($E180&gt;=$E179)*($E180&lt;=$E181)*($E180&gt;INDEX(_xlfn.ANCHORARRAY(Sintesi!$C$14),1,$C180))*($E180&lt;INDEX(_xlfn.ANCHORARRAY(Sintesi!$C$16),1,$C180))*(INDEX(_xlfn.ANCHORARRAY(Sintesi!$C$15),1,$C180)&lt;0)+($E180&gt;=$E179)*($E180&lt;=$E181)*($E180&gt;INDEX(_xlfn.ANCHORARRAY(Sintesi!$C$15),1,$C180))*($E180&lt;INDEX(_xlfn.ANCHORARRAY(Sintesi!$C$16),1,$C180))*(INDEX(_xlfn.ANCHORARRAY(Sintesi!$C$15),1,$C180)&gt;0),2,IF($E180=(INDEX(_xlfn.ANCHORARRAY(Sintesi!$C$16),1,$C180)),3,4)))),0),IF($C180&gt;0,IF(($E180=INDEX(_xlfn.ANCHORARRAY(Sintesi!$C$14),1,$C180))*(INDEX(_xlfn.ANCHORARRAY(Sintesi!$C$15),1,$C180)&gt;0),0,IF(($E180=INDEX(_xlfn.ANCHORARRAY(Sintesi!$C$14),1,$C180))*(INDEX(_xlfn.ANCHORARRAY(Sintesi!$C$15),1,$C180)&lt;0)+($E180&gt;=LOOKUP(2,1/($E:$E&lt;&gt;""),$E:$E))*($E180&lt;=$E181)*($E180&gt;INDEX(_xlfn.ANCHORARRAY(Sintesi!$C$14),1,$C180))*($E180&lt;=INDEX(_xlfn.ANCHORARRAY(Sintesi!$C$15),1,$C180))*(INDEX(_xlfn.ANCHORARRAY(Sintesi!$C$15),1,$C180)&gt;0),1,IF(($E180&gt;=LOOKUP(2,1/($E:$E&lt;&gt;""),$E:$E))*($E180&lt;=$E181)*($E180&gt;INDEX(_xlfn.ANCHORARRAY(Sintesi!$C$14),1,$C180))*($E180&lt;INDEX(_xlfn.ANCHORARRAY(Sintesi!$C$16),1,$C180))*(INDEX(_xlfn.ANCHORARRAY(Sintesi!$C$15),1,$C180)&lt;0)+($E180&gt;=LOOKUP(2,1/($E:$E&lt;&gt;""),$E:$E))*($E180&lt;=$E181)*($E180&gt;INDEX(_xlfn.ANCHORARRAY(Sintesi!$C$15),1,$C180))*($E180&lt;INDEX(_xlfn.ANCHORARRAY(Sintesi!$C$16),1,$C180))*(INDEX(_xlfn.ANCHORARRAY(Sintesi!$C$15),1,$C180)&gt;0),2,IF($E180=(INDEX(_xlfn.ANCHORARRAY(Sintesi!$C$16),1,$C180)),3,4)))),0)))</f>
        <v>3</v>
      </c>
      <c r="E180" s="1">
        <f>'Paste cell here'!F180</f>
        <v>1.0469999999999999</v>
      </c>
      <c r="F180" s="1">
        <f>'Paste cell here'!C180</f>
        <v>34.139999999999517</v>
      </c>
      <c r="G180" s="1">
        <f>'Paste cell here'!D180</f>
        <v>21.039999999999729</v>
      </c>
      <c r="H180" s="1">
        <f>'Paste cell here'!E180</f>
        <v>6.1241134893116751</v>
      </c>
      <c r="I180" s="1">
        <f>'Paste cell here'!X180</f>
        <v>6.4113274203343478</v>
      </c>
      <c r="J180" s="1">
        <f>'Paste cell here'!Y180+'Paste cell here'!S180</f>
        <v>6.4113274203343478</v>
      </c>
      <c r="K180" s="1">
        <f t="shared" si="4"/>
        <v>1.0468988583447945</v>
      </c>
      <c r="L180" s="1">
        <f t="shared" si="5"/>
        <v>29.062002258793882</v>
      </c>
      <c r="M180" s="1">
        <f t="array" ref="M180">IF(AND(A180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180&gt;=_xlfn.ANCHORARRAY(Sintesi!$C$9))+(_xlfn.ANCHORARRAY(Sintesi!$C$9)&gt;_xlfn.ANCHORARRAY(Sintesi!$C$10))*(A180&lt;=_xlfn.ANCHORARRAY(Sintesi!$C$10))+(_xlfn.ANCHORARRAY(Sintesi!$C$9)&lt;_xlfn.ANCHORARRAY(Sintesi!$C$10))*(A180&gt;=_xlfn.ANCHORARRAY(Sintesi!$C$9))*(A180&lt;=_xlfn.ANCHORARRAY(Sintesi!$C$10)),0)),0),A180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181&gt;=_xlfn.ANCHORARRAY(Sintesi!$C$9))+(_xlfn.ANCHORARRAY(Sintesi!$C$9)&gt;_xlfn.ANCHORARRAY(Sintesi!$C$10))*(A181&lt;=_xlfn.ANCHORARRAY(Sintesi!$C$10))+(_xlfn.ANCHORARRAY(Sintesi!$C$9)&lt;_xlfn.ANCHORARRAY(Sintesi!$C$10))*(A181&gt;=_xlfn.ANCHORARRAY(Sintesi!$C$9))*(A181&lt;=_xlfn.ANCHORARRAY(Sintesi!$C$10)),0)),0)),IF(L180&lt;_xlfn.IFNA(INDEX(_xlfn.ANCHORARRAY(Sintesi!$C$17),1,MATCH(1,(_xlfn.ANCHORARRAY(Sintesi!$C$9)&gt;_xlfn.ANCHORARRAY(Sintesi!$C$10))*(A179&gt;=_xlfn.ANCHORARRAY(Sintesi!$C$9))+(_xlfn.ANCHORARRAY(Sintesi!$C$9)&gt;_xlfn.ANCHORARRAY(Sintesi!$C$10))*(A179&lt;=_xlfn.ANCHORARRAY(Sintesi!$C$10))+(_xlfn.ANCHORARRAY(Sintesi!$C$9)&lt;_xlfn.ANCHORARRAY(Sintesi!$C$10))*(A179&gt;=_xlfn.ANCHORARRAY(Sintesi!$C$9))*(A179&lt;=_xlfn.ANCHORARRAY(Sintesi!$C$10)),0)),0),1,IF(L180&gt;=_xlfn.IFNA(INDEX(_xlfn.ANCHORARRAY(Sintesi!$C$18),1,MATCH(1,(_xlfn.ANCHORARRAY(Sintesi!$C$9)&gt;_xlfn.ANCHORARRAY(Sintesi!$C$10))*(A179&gt;=_xlfn.ANCHORARRAY(Sintesi!$C$9))+(_xlfn.ANCHORARRAY(Sintesi!$C$9)&gt;_xlfn.ANCHORARRAY(Sintesi!$C$10))*(A179&lt;=_xlfn.ANCHORARRAY(Sintesi!$C$10))+(_xlfn.ANCHORARRAY(Sintesi!$C$9)&lt;_xlfn.ANCHORARRAY(Sintesi!$C$10))*(A179&gt;=_xlfn.ANCHORARRAY(Sintesi!$C$9))*(A179&lt;=_xlfn.ANCHORARRAY(Sintesi!$C$10)),0)),0),0,1-(L180-_xlfn.IFNA(INDEX(_xlfn.ANCHORARRAY(Sintesi!$C$17),1,MATCH(1,(_xlfn.ANCHORARRAY(Sintesi!$C$9)&gt;_xlfn.ANCHORARRAY(Sintesi!$C$10))*(A179&gt;=_xlfn.ANCHORARRAY(Sintesi!$C$9))+(_xlfn.ANCHORARRAY(Sintesi!$C$9)&gt;_xlfn.ANCHORARRAY(Sintesi!$C$10))*(A179&lt;=_xlfn.ANCHORARRAY(Sintesi!$C$10))+(_xlfn.ANCHORARRAY(Sintesi!$C$9)&lt;_xlfn.ANCHORARRAY(Sintesi!$C$10))*(A179&gt;=_xlfn.ANCHORARRAY(Sintesi!$C$9))*(A179&lt;=_xlfn.ANCHORARRAY(Sintesi!$C$10)),0)),0))/(_xlfn.IFNA(INDEX(_xlfn.ANCHORARRAY(Sintesi!$C$18),1,MATCH(1,(_xlfn.ANCHORARRAY(Sintesi!$C$9)&gt;_xlfn.ANCHORARRAY(Sintesi!$C$10))*(A179&gt;=_xlfn.ANCHORARRAY(Sintesi!$C$9))+(_xlfn.ANCHORARRAY(Sintesi!$C$9)&gt;_xlfn.ANCHORARRAY(Sintesi!$C$10))*(A179&lt;=_xlfn.ANCHORARRAY(Sintesi!$C$10))+(_xlfn.ANCHORARRAY(Sintesi!$C$9)&lt;_xlfn.ANCHORARRAY(Sintesi!$C$10))*(A179&gt;=_xlfn.ANCHORARRAY(Sintesi!$C$9))*(A179&lt;=_xlfn.ANCHORARRAY(Sintesi!$C$10)),0)),0)-_xlfn.IFNA(INDEX(_xlfn.ANCHORARRAY(Sintesi!$C$17),1,MATCH(1,(_xlfn.ANCHORARRAY(Sintesi!$C$9)&gt;_xlfn.ANCHORARRAY(Sintesi!$C$10))*(A179&gt;=_xlfn.ANCHORARRAY(Sintesi!$C$9))+(_xlfn.ANCHORARRAY(Sintesi!$C$9)&gt;_xlfn.ANCHORARRAY(Sintesi!$C$10))*(A179&lt;=_xlfn.ANCHORARRAY(Sintesi!$C$10))+(_xlfn.ANCHORARRAY(Sintesi!$C$9)&lt;_xlfn.ANCHORARRAY(Sintesi!$C$10))*(A179&gt;=_xlfn.ANCHORARRAY(Sintesi!$C$9))*(A179&lt;=_xlfn.ANCHORARRAY(Sintesi!$C$10)),0)),0)))),0)</f>
        <v>1</v>
      </c>
    </row>
    <row r="181" spans="1:13">
      <c r="A181" s="1">
        <f>'Paste cell here'!A181</f>
        <v>180</v>
      </c>
      <c r="B181" s="2">
        <f>DATE(Sintesi!$C$4-1,12,31)+A181</f>
        <v>44376</v>
      </c>
      <c r="C181" s="34">
        <f t="array" ref="C181">_xlfn.IFNA(MATCH(1,((_xlfn.ANCHORARRAY(Sintesi!$C$9)&gt;_xlfn.ANCHORARRAY(Sintesi!$C$10))*(A181&gt;=_xlfn.ANCHORARRAY(Sintesi!$C$9))+(_xlfn.ANCHORARRAY(Sintesi!$C$9)&gt;_xlfn.ANCHORARRAY(Sintesi!$C$10))*(A181&lt;=_xlfn.ANCHORARRAY(Sintesi!$C$10))+(_xlfn.ANCHORARRAY(Sintesi!$C$9)&lt;_xlfn.ANCHORARRAY(Sintesi!$C$10))*(A181&gt;=_xlfn.ANCHORARRAY(Sintesi!$C$9))*(A181&lt;=_xlfn.ANCHORARRAY(Sintesi!$C$10)))*(_xlfn.ANCHORARRAY(Sintesi!$C$15)&gt;=0)+(_xlfn.ANCHORARRAY(Sintesi!$C$15)&lt;0),0),0)</f>
        <v>1</v>
      </c>
      <c r="D181" s="1">
        <f t="array" ref="D181">IF(ISBLANK($E182),IF(ISNUMBER($E180),IF($C181&gt;0,IF(($E181=INDEX(_xlfn.ANCHORARRAY(Sintesi!$C$14),1,$C181))*(INDEX(_xlfn.ANCHORARRAY(Sintesi!$C$15),1,$C181)&gt;0),0,IF(($E181=INDEX(_xlfn.ANCHORARRAY(Sintesi!$C$14),1,$C181))*(INDEX(_xlfn.ANCHORARRAY(Sintesi!$C$15),1,$C181)&lt;0)+($E181&gt;=$E180)*($E181&lt;=INDEX($E:$E,MATCH(TRUE,INDEX((ISNUMBER($E:$E)),0),0)))*($E181&gt;INDEX(_xlfn.ANCHORARRAY(Sintesi!$C$14),1,$C181))*($E181&lt;=INDEX(_xlfn.ANCHORARRAY(Sintesi!$C$15),1,$C181))*(INDEX(_xlfn.ANCHORARRAY(Sintesi!$C$15),1,$C181)&gt;0),1,IF(($E181&gt;=$E180)*($E181&lt;=INDEX($E:$E,MATCH(TRUE,INDEX((ISNUMBER($E:$E)),0),0)))*($E181&gt;INDEX(_xlfn.ANCHORARRAY(Sintesi!$C$14),1,$C181))*($E181&lt;INDEX(_xlfn.ANCHORARRAY(Sintesi!$C$16),1,$C181))*(INDEX(_xlfn.ANCHORARRAY(Sintesi!$C$15),1,$C181)&lt;0)+($E181&gt;=$E180)*($E181&lt;=INDEX($E:$E,MATCH(TRUE,INDEX((ISNUMBER($E:$E)),0),0)))*($E181&gt;INDEX(_xlfn.ANCHORARRAY(Sintesi!$C$15),1,$C181))*($E181&lt;INDEX(_xlfn.ANCHORARRAY(Sintesi!$C$16),1,$C181))*(INDEX(_xlfn.ANCHORARRAY(Sintesi!$C$15),1,$C181)&gt;0),2,IF($E181=(INDEX(_xlfn.ANCHORARRAY(Sintesi!$C$16),1,$C181)),3,4)))),0),IF($C181&gt;0,IF(($E181=INDEX(_xlfn.ANCHORARRAY(Sintesi!$C$14),1,$C181))*(INDEX(_xlfn.ANCHORARRAY(Sintesi!$C$15),1,$C181)&gt;0),0,IF(($E181=INDEX(_xlfn.ANCHORARRAY(Sintesi!$C$14),1,$C181))*(INDEX(_xlfn.ANCHORARRAY(Sintesi!$C$15),1,$C181)&lt;0)+($E181&gt;=LOOKUP(2,1/($E:$E&lt;&gt;""),$E:$E))*($E181&lt;=INDEX($E:$E,MATCH(TRUE,INDEX((ISNUMBER($E:$E)),0),0)))*($E181&gt;INDEX(_xlfn.ANCHORARRAY(Sintesi!$C$14),1,$C181))*($E181&lt;=INDEX(_xlfn.ANCHORARRAY(Sintesi!$C$15),1,$C181))*(INDEX(_xlfn.ANCHORARRAY(Sintesi!$C$15),1,$C181)&gt;0),1,IF(($E181&gt;=LOOKUP(2,1/($E:$E&lt;&gt;""),$E:$E))*($E181&lt;=INDEX($E:$E,MATCH(TRUE,INDEX((ISNUMBER($E:$E)),0),0)))*($E181&gt;INDEX(_xlfn.ANCHORARRAY(Sintesi!$C$14),1,$C181))*($E181&lt;INDEX(_xlfn.ANCHORARRAY(Sintesi!$C$16),1,$C181))*(INDEX(_xlfn.ANCHORARRAY(Sintesi!$C$15),1,$C181)&lt;0)+($E181&gt;=LOOKUP(2,1/($E:$E&lt;&gt;""),$E:$E))*($E181&lt;=INDEX($E:$E,MATCH(TRUE,INDEX((ISNUMBER($E:$E)),0),0)))*($E181&gt;INDEX(_xlfn.ANCHORARRAY(Sintesi!$C$15),1,$C181))*($E181&lt;INDEX(_xlfn.ANCHORARRAY(Sintesi!$C$16),1,$C181))*(INDEX(_xlfn.ANCHORARRAY(Sintesi!$C$15),1,$C181)&gt;0),2,IF($E181=(INDEX(_xlfn.ANCHORARRAY(Sintesi!$C$16),1,$C181)),3,4)))),0)),IF(ISNUMBER($E180),IF($C181&gt;0,IF(($E181=INDEX(_xlfn.ANCHORARRAY(Sintesi!$C$14),1,$C181))*(INDEX(_xlfn.ANCHORARRAY(Sintesi!$C$15),1,$C181)&gt;0),0,IF(($E181=INDEX(_xlfn.ANCHORARRAY(Sintesi!$C$14),1,$C181))*(INDEX(_xlfn.ANCHORARRAY(Sintesi!$C$15),1,$C181)&lt;0)+($E181&gt;=$E180)*($E181&lt;=$E182)*($E181&gt;INDEX(_xlfn.ANCHORARRAY(Sintesi!$C$14),1,$C181))*($E181&lt;=INDEX(_xlfn.ANCHORARRAY(Sintesi!$C$15),1,$C181))*(INDEX(_xlfn.ANCHORARRAY(Sintesi!$C$15),1,$C181)&gt;0),1,IF(($E181&gt;=$E180)*($E181&lt;=$E182)*($E181&gt;INDEX(_xlfn.ANCHORARRAY(Sintesi!$C$14),1,$C181))*($E181&lt;INDEX(_xlfn.ANCHORARRAY(Sintesi!$C$16),1,$C181))*(INDEX(_xlfn.ANCHORARRAY(Sintesi!$C$15),1,$C181)&lt;0)+($E181&gt;=$E180)*($E181&lt;=$E182)*($E181&gt;INDEX(_xlfn.ANCHORARRAY(Sintesi!$C$15),1,$C181))*($E181&lt;INDEX(_xlfn.ANCHORARRAY(Sintesi!$C$16),1,$C181))*(INDEX(_xlfn.ANCHORARRAY(Sintesi!$C$15),1,$C181)&gt;0),2,IF($E181=(INDEX(_xlfn.ANCHORARRAY(Sintesi!$C$16),1,$C181)),3,4)))),0),IF($C181&gt;0,IF(($E181=INDEX(_xlfn.ANCHORARRAY(Sintesi!$C$14),1,$C181))*(INDEX(_xlfn.ANCHORARRAY(Sintesi!$C$15),1,$C181)&gt;0),0,IF(($E181=INDEX(_xlfn.ANCHORARRAY(Sintesi!$C$14),1,$C181))*(INDEX(_xlfn.ANCHORARRAY(Sintesi!$C$15),1,$C181)&lt;0)+($E181&gt;=LOOKUP(2,1/($E:$E&lt;&gt;""),$E:$E))*($E181&lt;=$E182)*($E181&gt;INDEX(_xlfn.ANCHORARRAY(Sintesi!$C$14),1,$C181))*($E181&lt;=INDEX(_xlfn.ANCHORARRAY(Sintesi!$C$15),1,$C181))*(INDEX(_xlfn.ANCHORARRAY(Sintesi!$C$15),1,$C181)&gt;0),1,IF(($E181&gt;=LOOKUP(2,1/($E:$E&lt;&gt;""),$E:$E))*($E181&lt;=$E182)*($E181&gt;INDEX(_xlfn.ANCHORARRAY(Sintesi!$C$14),1,$C181))*($E181&lt;INDEX(_xlfn.ANCHORARRAY(Sintesi!$C$16),1,$C181))*(INDEX(_xlfn.ANCHORARRAY(Sintesi!$C$15),1,$C181)&lt;0)+($E181&gt;=LOOKUP(2,1/($E:$E&lt;&gt;""),$E:$E))*($E181&lt;=$E182)*($E181&gt;INDEX(_xlfn.ANCHORARRAY(Sintesi!$C$15),1,$C181))*($E181&lt;INDEX(_xlfn.ANCHORARRAY(Sintesi!$C$16),1,$C181))*(INDEX(_xlfn.ANCHORARRAY(Sintesi!$C$15),1,$C181)&gt;0),2,IF($E181=(INDEX(_xlfn.ANCHORARRAY(Sintesi!$C$16),1,$C181)),3,4)))),0)))</f>
        <v>3</v>
      </c>
      <c r="E181" s="1">
        <f>'Paste cell here'!F181</f>
        <v>1.0469999999999999</v>
      </c>
      <c r="F181" s="1">
        <f>'Paste cell here'!C181</f>
        <v>32.999999999999517</v>
      </c>
      <c r="G181" s="1">
        <f>'Paste cell here'!D181</f>
        <v>20.299999999999734</v>
      </c>
      <c r="H181" s="1">
        <f>'Paste cell here'!E181</f>
        <v>5.9317323184006074</v>
      </c>
      <c r="I181" s="1">
        <f>'Paste cell here'!X181</f>
        <v>6.2099296110161673</v>
      </c>
      <c r="J181" s="1">
        <f>'Paste cell here'!Y181+'Paste cell here'!S181</f>
        <v>6.2099296110161673</v>
      </c>
      <c r="K181" s="1">
        <f t="shared" si="4"/>
        <v>1.046899839318874</v>
      </c>
      <c r="L181" s="1">
        <f t="shared" si="5"/>
        <v>28.077055624937568</v>
      </c>
      <c r="M181" s="1">
        <f t="array" ref="M181">IF(AND(A181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181&gt;=_xlfn.ANCHORARRAY(Sintesi!$C$9))+(_xlfn.ANCHORARRAY(Sintesi!$C$9)&gt;_xlfn.ANCHORARRAY(Sintesi!$C$10))*(A181&lt;=_xlfn.ANCHORARRAY(Sintesi!$C$10))+(_xlfn.ANCHORARRAY(Sintesi!$C$9)&lt;_xlfn.ANCHORARRAY(Sintesi!$C$10))*(A181&gt;=_xlfn.ANCHORARRAY(Sintesi!$C$9))*(A181&lt;=_xlfn.ANCHORARRAY(Sintesi!$C$10)),0)),0),A181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182&gt;=_xlfn.ANCHORARRAY(Sintesi!$C$9))+(_xlfn.ANCHORARRAY(Sintesi!$C$9)&gt;_xlfn.ANCHORARRAY(Sintesi!$C$10))*(A182&lt;=_xlfn.ANCHORARRAY(Sintesi!$C$10))+(_xlfn.ANCHORARRAY(Sintesi!$C$9)&lt;_xlfn.ANCHORARRAY(Sintesi!$C$10))*(A182&gt;=_xlfn.ANCHORARRAY(Sintesi!$C$9))*(A182&lt;=_xlfn.ANCHORARRAY(Sintesi!$C$10)),0)),0)),IF(L181&lt;_xlfn.IFNA(INDEX(_xlfn.ANCHORARRAY(Sintesi!$C$17),1,MATCH(1,(_xlfn.ANCHORARRAY(Sintesi!$C$9)&gt;_xlfn.ANCHORARRAY(Sintesi!$C$10))*(A180&gt;=_xlfn.ANCHORARRAY(Sintesi!$C$9))+(_xlfn.ANCHORARRAY(Sintesi!$C$9)&gt;_xlfn.ANCHORARRAY(Sintesi!$C$10))*(A180&lt;=_xlfn.ANCHORARRAY(Sintesi!$C$10))+(_xlfn.ANCHORARRAY(Sintesi!$C$9)&lt;_xlfn.ANCHORARRAY(Sintesi!$C$10))*(A180&gt;=_xlfn.ANCHORARRAY(Sintesi!$C$9))*(A180&lt;=_xlfn.ANCHORARRAY(Sintesi!$C$10)),0)),0),1,IF(L181&gt;=_xlfn.IFNA(INDEX(_xlfn.ANCHORARRAY(Sintesi!$C$18),1,MATCH(1,(_xlfn.ANCHORARRAY(Sintesi!$C$9)&gt;_xlfn.ANCHORARRAY(Sintesi!$C$10))*(A180&gt;=_xlfn.ANCHORARRAY(Sintesi!$C$9))+(_xlfn.ANCHORARRAY(Sintesi!$C$9)&gt;_xlfn.ANCHORARRAY(Sintesi!$C$10))*(A180&lt;=_xlfn.ANCHORARRAY(Sintesi!$C$10))+(_xlfn.ANCHORARRAY(Sintesi!$C$9)&lt;_xlfn.ANCHORARRAY(Sintesi!$C$10))*(A180&gt;=_xlfn.ANCHORARRAY(Sintesi!$C$9))*(A180&lt;=_xlfn.ANCHORARRAY(Sintesi!$C$10)),0)),0),0,1-(L181-_xlfn.IFNA(INDEX(_xlfn.ANCHORARRAY(Sintesi!$C$17),1,MATCH(1,(_xlfn.ANCHORARRAY(Sintesi!$C$9)&gt;_xlfn.ANCHORARRAY(Sintesi!$C$10))*(A180&gt;=_xlfn.ANCHORARRAY(Sintesi!$C$9))+(_xlfn.ANCHORARRAY(Sintesi!$C$9)&gt;_xlfn.ANCHORARRAY(Sintesi!$C$10))*(A180&lt;=_xlfn.ANCHORARRAY(Sintesi!$C$10))+(_xlfn.ANCHORARRAY(Sintesi!$C$9)&lt;_xlfn.ANCHORARRAY(Sintesi!$C$10))*(A180&gt;=_xlfn.ANCHORARRAY(Sintesi!$C$9))*(A180&lt;=_xlfn.ANCHORARRAY(Sintesi!$C$10)),0)),0))/(_xlfn.IFNA(INDEX(_xlfn.ANCHORARRAY(Sintesi!$C$18),1,MATCH(1,(_xlfn.ANCHORARRAY(Sintesi!$C$9)&gt;_xlfn.ANCHORARRAY(Sintesi!$C$10))*(A180&gt;=_xlfn.ANCHORARRAY(Sintesi!$C$9))+(_xlfn.ANCHORARRAY(Sintesi!$C$9)&gt;_xlfn.ANCHORARRAY(Sintesi!$C$10))*(A180&lt;=_xlfn.ANCHORARRAY(Sintesi!$C$10))+(_xlfn.ANCHORARRAY(Sintesi!$C$9)&lt;_xlfn.ANCHORARRAY(Sintesi!$C$10))*(A180&gt;=_xlfn.ANCHORARRAY(Sintesi!$C$9))*(A180&lt;=_xlfn.ANCHORARRAY(Sintesi!$C$10)),0)),0)-_xlfn.IFNA(INDEX(_xlfn.ANCHORARRAY(Sintesi!$C$17),1,MATCH(1,(_xlfn.ANCHORARRAY(Sintesi!$C$9)&gt;_xlfn.ANCHORARRAY(Sintesi!$C$10))*(A180&gt;=_xlfn.ANCHORARRAY(Sintesi!$C$9))+(_xlfn.ANCHORARRAY(Sintesi!$C$9)&gt;_xlfn.ANCHORARRAY(Sintesi!$C$10))*(A180&lt;=_xlfn.ANCHORARRAY(Sintesi!$C$10))+(_xlfn.ANCHORARRAY(Sintesi!$C$9)&lt;_xlfn.ANCHORARRAY(Sintesi!$C$10))*(A180&gt;=_xlfn.ANCHORARRAY(Sintesi!$C$9))*(A180&lt;=_xlfn.ANCHORARRAY(Sintesi!$C$10)),0)),0)))),0)</f>
        <v>1</v>
      </c>
    </row>
    <row r="182" spans="1:13">
      <c r="A182" s="1">
        <f>'Paste cell here'!A182</f>
        <v>181</v>
      </c>
      <c r="B182" s="2">
        <f>DATE(Sintesi!$C$4-1,12,31)+A182</f>
        <v>44377</v>
      </c>
      <c r="C182" s="34">
        <f t="array" ref="C182">_xlfn.IFNA(MATCH(1,((_xlfn.ANCHORARRAY(Sintesi!$C$9)&gt;_xlfn.ANCHORARRAY(Sintesi!$C$10))*(A182&gt;=_xlfn.ANCHORARRAY(Sintesi!$C$9))+(_xlfn.ANCHORARRAY(Sintesi!$C$9)&gt;_xlfn.ANCHORARRAY(Sintesi!$C$10))*(A182&lt;=_xlfn.ANCHORARRAY(Sintesi!$C$10))+(_xlfn.ANCHORARRAY(Sintesi!$C$9)&lt;_xlfn.ANCHORARRAY(Sintesi!$C$10))*(A182&gt;=_xlfn.ANCHORARRAY(Sintesi!$C$9))*(A182&lt;=_xlfn.ANCHORARRAY(Sintesi!$C$10)))*(_xlfn.ANCHORARRAY(Sintesi!$C$15)&gt;=0)+(_xlfn.ANCHORARRAY(Sintesi!$C$15)&lt;0),0),0)</f>
        <v>1</v>
      </c>
      <c r="D182" s="1">
        <f t="array" ref="D182">IF(ISBLANK($E183),IF(ISNUMBER($E181),IF($C182&gt;0,IF(($E182=INDEX(_xlfn.ANCHORARRAY(Sintesi!$C$14),1,$C182))*(INDEX(_xlfn.ANCHORARRAY(Sintesi!$C$15),1,$C182)&gt;0),0,IF(($E182=INDEX(_xlfn.ANCHORARRAY(Sintesi!$C$14),1,$C182))*(INDEX(_xlfn.ANCHORARRAY(Sintesi!$C$15),1,$C182)&lt;0)+($E182&gt;=$E181)*($E182&lt;=INDEX($E:$E,MATCH(TRUE,INDEX((ISNUMBER($E:$E)),0),0)))*($E182&gt;INDEX(_xlfn.ANCHORARRAY(Sintesi!$C$14),1,$C182))*($E182&lt;=INDEX(_xlfn.ANCHORARRAY(Sintesi!$C$15),1,$C182))*(INDEX(_xlfn.ANCHORARRAY(Sintesi!$C$15),1,$C182)&gt;0),1,IF(($E182&gt;=$E181)*($E182&lt;=INDEX($E:$E,MATCH(TRUE,INDEX((ISNUMBER($E:$E)),0),0)))*($E182&gt;INDEX(_xlfn.ANCHORARRAY(Sintesi!$C$14),1,$C182))*($E182&lt;INDEX(_xlfn.ANCHORARRAY(Sintesi!$C$16),1,$C182))*(INDEX(_xlfn.ANCHORARRAY(Sintesi!$C$15),1,$C182)&lt;0)+($E182&gt;=$E181)*($E182&lt;=INDEX($E:$E,MATCH(TRUE,INDEX((ISNUMBER($E:$E)),0),0)))*($E182&gt;INDEX(_xlfn.ANCHORARRAY(Sintesi!$C$15),1,$C182))*($E182&lt;INDEX(_xlfn.ANCHORARRAY(Sintesi!$C$16),1,$C182))*(INDEX(_xlfn.ANCHORARRAY(Sintesi!$C$15),1,$C182)&gt;0),2,IF($E182=(INDEX(_xlfn.ANCHORARRAY(Sintesi!$C$16),1,$C182)),3,4)))),0),IF($C182&gt;0,IF(($E182=INDEX(_xlfn.ANCHORARRAY(Sintesi!$C$14),1,$C182))*(INDEX(_xlfn.ANCHORARRAY(Sintesi!$C$15),1,$C182)&gt;0),0,IF(($E182=INDEX(_xlfn.ANCHORARRAY(Sintesi!$C$14),1,$C182))*(INDEX(_xlfn.ANCHORARRAY(Sintesi!$C$15),1,$C182)&lt;0)+($E182&gt;=LOOKUP(2,1/($E:$E&lt;&gt;""),$E:$E))*($E182&lt;=INDEX($E:$E,MATCH(TRUE,INDEX((ISNUMBER($E:$E)),0),0)))*($E182&gt;INDEX(_xlfn.ANCHORARRAY(Sintesi!$C$14),1,$C182))*($E182&lt;=INDEX(_xlfn.ANCHORARRAY(Sintesi!$C$15),1,$C182))*(INDEX(_xlfn.ANCHORARRAY(Sintesi!$C$15),1,$C182)&gt;0),1,IF(($E182&gt;=LOOKUP(2,1/($E:$E&lt;&gt;""),$E:$E))*($E182&lt;=INDEX($E:$E,MATCH(TRUE,INDEX((ISNUMBER($E:$E)),0),0)))*($E182&gt;INDEX(_xlfn.ANCHORARRAY(Sintesi!$C$14),1,$C182))*($E182&lt;INDEX(_xlfn.ANCHORARRAY(Sintesi!$C$16),1,$C182))*(INDEX(_xlfn.ANCHORARRAY(Sintesi!$C$15),1,$C182)&lt;0)+($E182&gt;=LOOKUP(2,1/($E:$E&lt;&gt;""),$E:$E))*($E182&lt;=INDEX($E:$E,MATCH(TRUE,INDEX((ISNUMBER($E:$E)),0),0)))*($E182&gt;INDEX(_xlfn.ANCHORARRAY(Sintesi!$C$15),1,$C182))*($E182&lt;INDEX(_xlfn.ANCHORARRAY(Sintesi!$C$16),1,$C182))*(INDEX(_xlfn.ANCHORARRAY(Sintesi!$C$15),1,$C182)&gt;0),2,IF($E182=(INDEX(_xlfn.ANCHORARRAY(Sintesi!$C$16),1,$C182)),3,4)))),0)),IF(ISNUMBER($E181),IF($C182&gt;0,IF(($E182=INDEX(_xlfn.ANCHORARRAY(Sintesi!$C$14),1,$C182))*(INDEX(_xlfn.ANCHORARRAY(Sintesi!$C$15),1,$C182)&gt;0),0,IF(($E182=INDEX(_xlfn.ANCHORARRAY(Sintesi!$C$14),1,$C182))*(INDEX(_xlfn.ANCHORARRAY(Sintesi!$C$15),1,$C182)&lt;0)+($E182&gt;=$E181)*($E182&lt;=$E183)*($E182&gt;INDEX(_xlfn.ANCHORARRAY(Sintesi!$C$14),1,$C182))*($E182&lt;=INDEX(_xlfn.ANCHORARRAY(Sintesi!$C$15),1,$C182))*(INDEX(_xlfn.ANCHORARRAY(Sintesi!$C$15),1,$C182)&gt;0),1,IF(($E182&gt;=$E181)*($E182&lt;=$E183)*($E182&gt;INDEX(_xlfn.ANCHORARRAY(Sintesi!$C$14),1,$C182))*($E182&lt;INDEX(_xlfn.ANCHORARRAY(Sintesi!$C$16),1,$C182))*(INDEX(_xlfn.ANCHORARRAY(Sintesi!$C$15),1,$C182)&lt;0)+($E182&gt;=$E181)*($E182&lt;=$E183)*($E182&gt;INDEX(_xlfn.ANCHORARRAY(Sintesi!$C$15),1,$C182))*($E182&lt;INDEX(_xlfn.ANCHORARRAY(Sintesi!$C$16),1,$C182))*(INDEX(_xlfn.ANCHORARRAY(Sintesi!$C$15),1,$C182)&gt;0),2,IF($E182=(INDEX(_xlfn.ANCHORARRAY(Sintesi!$C$16),1,$C182)),3,4)))),0),IF($C182&gt;0,IF(($E182=INDEX(_xlfn.ANCHORARRAY(Sintesi!$C$14),1,$C182))*(INDEX(_xlfn.ANCHORARRAY(Sintesi!$C$15),1,$C182)&gt;0),0,IF(($E182=INDEX(_xlfn.ANCHORARRAY(Sintesi!$C$14),1,$C182))*(INDEX(_xlfn.ANCHORARRAY(Sintesi!$C$15),1,$C182)&lt;0)+($E182&gt;=LOOKUP(2,1/($E:$E&lt;&gt;""),$E:$E))*($E182&lt;=$E183)*($E182&gt;INDEX(_xlfn.ANCHORARRAY(Sintesi!$C$14),1,$C182))*($E182&lt;=INDEX(_xlfn.ANCHORARRAY(Sintesi!$C$15),1,$C182))*(INDEX(_xlfn.ANCHORARRAY(Sintesi!$C$15),1,$C182)&gt;0),1,IF(($E182&gt;=LOOKUP(2,1/($E:$E&lt;&gt;""),$E:$E))*($E182&lt;=$E183)*($E182&gt;INDEX(_xlfn.ANCHORARRAY(Sintesi!$C$14),1,$C182))*($E182&lt;INDEX(_xlfn.ANCHORARRAY(Sintesi!$C$16),1,$C182))*(INDEX(_xlfn.ANCHORARRAY(Sintesi!$C$15),1,$C182)&lt;0)+($E182&gt;=LOOKUP(2,1/($E:$E&lt;&gt;""),$E:$E))*($E182&lt;=$E183)*($E182&gt;INDEX(_xlfn.ANCHORARRAY(Sintesi!$C$15),1,$C182))*($E182&lt;INDEX(_xlfn.ANCHORARRAY(Sintesi!$C$16),1,$C182))*(INDEX(_xlfn.ANCHORARRAY(Sintesi!$C$15),1,$C182)&gt;0),2,IF($E182=(INDEX(_xlfn.ANCHORARRAY(Sintesi!$C$16),1,$C182)),3,4)))),0)))</f>
        <v>3</v>
      </c>
      <c r="E182" s="1">
        <f>'Paste cell here'!F182</f>
        <v>1.0469999999999999</v>
      </c>
      <c r="F182" s="1">
        <f>'Paste cell here'!C182</f>
        <v>30.839999999999559</v>
      </c>
      <c r="G182" s="1">
        <f>'Paste cell here'!D182</f>
        <v>18.359999999999761</v>
      </c>
      <c r="H182" s="1">
        <f>'Paste cell here'!E182</f>
        <v>5.7791653001075112</v>
      </c>
      <c r="I182" s="1">
        <f>'Paste cell here'!X182</f>
        <v>6.0502135801030228</v>
      </c>
      <c r="J182" s="1">
        <f>'Paste cell here'!Y182+'Paste cell here'!S182</f>
        <v>6.0502135801030228</v>
      </c>
      <c r="K182" s="1">
        <f t="shared" si="4"/>
        <v>1.0469009391357034</v>
      </c>
      <c r="L182" s="1">
        <f t="shared" si="5"/>
        <v>26.002334976316629</v>
      </c>
      <c r="M182" s="1">
        <f t="array" ref="M182">IF(AND(A182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182&gt;=_xlfn.ANCHORARRAY(Sintesi!$C$9))+(_xlfn.ANCHORARRAY(Sintesi!$C$9)&gt;_xlfn.ANCHORARRAY(Sintesi!$C$10))*(A182&lt;=_xlfn.ANCHORARRAY(Sintesi!$C$10))+(_xlfn.ANCHORARRAY(Sintesi!$C$9)&lt;_xlfn.ANCHORARRAY(Sintesi!$C$10))*(A182&gt;=_xlfn.ANCHORARRAY(Sintesi!$C$9))*(A182&lt;=_xlfn.ANCHORARRAY(Sintesi!$C$10)),0)),0),A182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183&gt;=_xlfn.ANCHORARRAY(Sintesi!$C$9))+(_xlfn.ANCHORARRAY(Sintesi!$C$9)&gt;_xlfn.ANCHORARRAY(Sintesi!$C$10))*(A183&lt;=_xlfn.ANCHORARRAY(Sintesi!$C$10))+(_xlfn.ANCHORARRAY(Sintesi!$C$9)&lt;_xlfn.ANCHORARRAY(Sintesi!$C$10))*(A183&gt;=_xlfn.ANCHORARRAY(Sintesi!$C$9))*(A183&lt;=_xlfn.ANCHORARRAY(Sintesi!$C$10)),0)),0)),IF(L182&lt;_xlfn.IFNA(INDEX(_xlfn.ANCHORARRAY(Sintesi!$C$17),1,MATCH(1,(_xlfn.ANCHORARRAY(Sintesi!$C$9)&gt;_xlfn.ANCHORARRAY(Sintesi!$C$10))*(A181&gt;=_xlfn.ANCHORARRAY(Sintesi!$C$9))+(_xlfn.ANCHORARRAY(Sintesi!$C$9)&gt;_xlfn.ANCHORARRAY(Sintesi!$C$10))*(A181&lt;=_xlfn.ANCHORARRAY(Sintesi!$C$10))+(_xlfn.ANCHORARRAY(Sintesi!$C$9)&lt;_xlfn.ANCHORARRAY(Sintesi!$C$10))*(A181&gt;=_xlfn.ANCHORARRAY(Sintesi!$C$9))*(A181&lt;=_xlfn.ANCHORARRAY(Sintesi!$C$10)),0)),0),1,IF(L182&gt;=_xlfn.IFNA(INDEX(_xlfn.ANCHORARRAY(Sintesi!$C$18),1,MATCH(1,(_xlfn.ANCHORARRAY(Sintesi!$C$9)&gt;_xlfn.ANCHORARRAY(Sintesi!$C$10))*(A181&gt;=_xlfn.ANCHORARRAY(Sintesi!$C$9))+(_xlfn.ANCHORARRAY(Sintesi!$C$9)&gt;_xlfn.ANCHORARRAY(Sintesi!$C$10))*(A181&lt;=_xlfn.ANCHORARRAY(Sintesi!$C$10))+(_xlfn.ANCHORARRAY(Sintesi!$C$9)&lt;_xlfn.ANCHORARRAY(Sintesi!$C$10))*(A181&gt;=_xlfn.ANCHORARRAY(Sintesi!$C$9))*(A181&lt;=_xlfn.ANCHORARRAY(Sintesi!$C$10)),0)),0),0,1-(L182-_xlfn.IFNA(INDEX(_xlfn.ANCHORARRAY(Sintesi!$C$17),1,MATCH(1,(_xlfn.ANCHORARRAY(Sintesi!$C$9)&gt;_xlfn.ANCHORARRAY(Sintesi!$C$10))*(A181&gt;=_xlfn.ANCHORARRAY(Sintesi!$C$9))+(_xlfn.ANCHORARRAY(Sintesi!$C$9)&gt;_xlfn.ANCHORARRAY(Sintesi!$C$10))*(A181&lt;=_xlfn.ANCHORARRAY(Sintesi!$C$10))+(_xlfn.ANCHORARRAY(Sintesi!$C$9)&lt;_xlfn.ANCHORARRAY(Sintesi!$C$10))*(A181&gt;=_xlfn.ANCHORARRAY(Sintesi!$C$9))*(A181&lt;=_xlfn.ANCHORARRAY(Sintesi!$C$10)),0)),0))/(_xlfn.IFNA(INDEX(_xlfn.ANCHORARRAY(Sintesi!$C$18),1,MATCH(1,(_xlfn.ANCHORARRAY(Sintesi!$C$9)&gt;_xlfn.ANCHORARRAY(Sintesi!$C$10))*(A181&gt;=_xlfn.ANCHORARRAY(Sintesi!$C$9))+(_xlfn.ANCHORARRAY(Sintesi!$C$9)&gt;_xlfn.ANCHORARRAY(Sintesi!$C$10))*(A181&lt;=_xlfn.ANCHORARRAY(Sintesi!$C$10))+(_xlfn.ANCHORARRAY(Sintesi!$C$9)&lt;_xlfn.ANCHORARRAY(Sintesi!$C$10))*(A181&gt;=_xlfn.ANCHORARRAY(Sintesi!$C$9))*(A181&lt;=_xlfn.ANCHORARRAY(Sintesi!$C$10)),0)),0)-_xlfn.IFNA(INDEX(_xlfn.ANCHORARRAY(Sintesi!$C$17),1,MATCH(1,(_xlfn.ANCHORARRAY(Sintesi!$C$9)&gt;_xlfn.ANCHORARRAY(Sintesi!$C$10))*(A181&gt;=_xlfn.ANCHORARRAY(Sintesi!$C$9))+(_xlfn.ANCHORARRAY(Sintesi!$C$9)&gt;_xlfn.ANCHORARRAY(Sintesi!$C$10))*(A181&lt;=_xlfn.ANCHORARRAY(Sintesi!$C$10))+(_xlfn.ANCHORARRAY(Sintesi!$C$9)&lt;_xlfn.ANCHORARRAY(Sintesi!$C$10))*(A181&gt;=_xlfn.ANCHORARRAY(Sintesi!$C$9))*(A181&lt;=_xlfn.ANCHORARRAY(Sintesi!$C$10)),0)),0)))),0)</f>
        <v>1</v>
      </c>
    </row>
    <row r="183" spans="1:13">
      <c r="A183" s="1">
        <f>'Paste cell here'!A183</f>
        <v>182</v>
      </c>
      <c r="B183" s="2">
        <f>DATE(Sintesi!$C$4-1,12,31)+A183</f>
        <v>44378</v>
      </c>
      <c r="C183" s="34">
        <f t="array" ref="C183">_xlfn.IFNA(MATCH(1,((_xlfn.ANCHORARRAY(Sintesi!$C$9)&gt;_xlfn.ANCHORARRAY(Sintesi!$C$10))*(A183&gt;=_xlfn.ANCHORARRAY(Sintesi!$C$9))+(_xlfn.ANCHORARRAY(Sintesi!$C$9)&gt;_xlfn.ANCHORARRAY(Sintesi!$C$10))*(A183&lt;=_xlfn.ANCHORARRAY(Sintesi!$C$10))+(_xlfn.ANCHORARRAY(Sintesi!$C$9)&lt;_xlfn.ANCHORARRAY(Sintesi!$C$10))*(A183&gt;=_xlfn.ANCHORARRAY(Sintesi!$C$9))*(A183&lt;=_xlfn.ANCHORARRAY(Sintesi!$C$10)))*(_xlfn.ANCHORARRAY(Sintesi!$C$15)&gt;=0)+(_xlfn.ANCHORARRAY(Sintesi!$C$15)&lt;0),0),0)</f>
        <v>1</v>
      </c>
      <c r="D183" s="1">
        <f t="array" ref="D183">IF(ISBLANK($E184),IF(ISNUMBER($E182),IF($C183&gt;0,IF(($E183=INDEX(_xlfn.ANCHORARRAY(Sintesi!$C$14),1,$C183))*(INDEX(_xlfn.ANCHORARRAY(Sintesi!$C$15),1,$C183)&gt;0),0,IF(($E183=INDEX(_xlfn.ANCHORARRAY(Sintesi!$C$14),1,$C183))*(INDEX(_xlfn.ANCHORARRAY(Sintesi!$C$15),1,$C183)&lt;0)+($E183&gt;=$E182)*($E183&lt;=INDEX($E:$E,MATCH(TRUE,INDEX((ISNUMBER($E:$E)),0),0)))*($E183&gt;INDEX(_xlfn.ANCHORARRAY(Sintesi!$C$14),1,$C183))*($E183&lt;=INDEX(_xlfn.ANCHORARRAY(Sintesi!$C$15),1,$C183))*(INDEX(_xlfn.ANCHORARRAY(Sintesi!$C$15),1,$C183)&gt;0),1,IF(($E183&gt;=$E182)*($E183&lt;=INDEX($E:$E,MATCH(TRUE,INDEX((ISNUMBER($E:$E)),0),0)))*($E183&gt;INDEX(_xlfn.ANCHORARRAY(Sintesi!$C$14),1,$C183))*($E183&lt;INDEX(_xlfn.ANCHORARRAY(Sintesi!$C$16),1,$C183))*(INDEX(_xlfn.ANCHORARRAY(Sintesi!$C$15),1,$C183)&lt;0)+($E183&gt;=$E182)*($E183&lt;=INDEX($E:$E,MATCH(TRUE,INDEX((ISNUMBER($E:$E)),0),0)))*($E183&gt;INDEX(_xlfn.ANCHORARRAY(Sintesi!$C$15),1,$C183))*($E183&lt;INDEX(_xlfn.ANCHORARRAY(Sintesi!$C$16),1,$C183))*(INDEX(_xlfn.ANCHORARRAY(Sintesi!$C$15),1,$C183)&gt;0),2,IF($E183=(INDEX(_xlfn.ANCHORARRAY(Sintesi!$C$16),1,$C183)),3,4)))),0),IF($C183&gt;0,IF(($E183=INDEX(_xlfn.ANCHORARRAY(Sintesi!$C$14),1,$C183))*(INDEX(_xlfn.ANCHORARRAY(Sintesi!$C$15),1,$C183)&gt;0),0,IF(($E183=INDEX(_xlfn.ANCHORARRAY(Sintesi!$C$14),1,$C183))*(INDEX(_xlfn.ANCHORARRAY(Sintesi!$C$15),1,$C183)&lt;0)+($E183&gt;=LOOKUP(2,1/($E:$E&lt;&gt;""),$E:$E))*($E183&lt;=INDEX($E:$E,MATCH(TRUE,INDEX((ISNUMBER($E:$E)),0),0)))*($E183&gt;INDEX(_xlfn.ANCHORARRAY(Sintesi!$C$14),1,$C183))*($E183&lt;=INDEX(_xlfn.ANCHORARRAY(Sintesi!$C$15),1,$C183))*(INDEX(_xlfn.ANCHORARRAY(Sintesi!$C$15),1,$C183)&gt;0),1,IF(($E183&gt;=LOOKUP(2,1/($E:$E&lt;&gt;""),$E:$E))*($E183&lt;=INDEX($E:$E,MATCH(TRUE,INDEX((ISNUMBER($E:$E)),0),0)))*($E183&gt;INDEX(_xlfn.ANCHORARRAY(Sintesi!$C$14),1,$C183))*($E183&lt;INDEX(_xlfn.ANCHORARRAY(Sintesi!$C$16),1,$C183))*(INDEX(_xlfn.ANCHORARRAY(Sintesi!$C$15),1,$C183)&lt;0)+($E183&gt;=LOOKUP(2,1/($E:$E&lt;&gt;""),$E:$E))*($E183&lt;=INDEX($E:$E,MATCH(TRUE,INDEX((ISNUMBER($E:$E)),0),0)))*($E183&gt;INDEX(_xlfn.ANCHORARRAY(Sintesi!$C$15),1,$C183))*($E183&lt;INDEX(_xlfn.ANCHORARRAY(Sintesi!$C$16),1,$C183))*(INDEX(_xlfn.ANCHORARRAY(Sintesi!$C$15),1,$C183)&gt;0),2,IF($E183=(INDEX(_xlfn.ANCHORARRAY(Sintesi!$C$16),1,$C183)),3,4)))),0)),IF(ISNUMBER($E182),IF($C183&gt;0,IF(($E183=INDEX(_xlfn.ANCHORARRAY(Sintesi!$C$14),1,$C183))*(INDEX(_xlfn.ANCHORARRAY(Sintesi!$C$15),1,$C183)&gt;0),0,IF(($E183=INDEX(_xlfn.ANCHORARRAY(Sintesi!$C$14),1,$C183))*(INDEX(_xlfn.ANCHORARRAY(Sintesi!$C$15),1,$C183)&lt;0)+($E183&gt;=$E182)*($E183&lt;=$E184)*($E183&gt;INDEX(_xlfn.ANCHORARRAY(Sintesi!$C$14),1,$C183))*($E183&lt;=INDEX(_xlfn.ANCHORARRAY(Sintesi!$C$15),1,$C183))*(INDEX(_xlfn.ANCHORARRAY(Sintesi!$C$15),1,$C183)&gt;0),1,IF(($E183&gt;=$E182)*($E183&lt;=$E184)*($E183&gt;INDEX(_xlfn.ANCHORARRAY(Sintesi!$C$14),1,$C183))*($E183&lt;INDEX(_xlfn.ANCHORARRAY(Sintesi!$C$16),1,$C183))*(INDEX(_xlfn.ANCHORARRAY(Sintesi!$C$15),1,$C183)&lt;0)+($E183&gt;=$E182)*($E183&lt;=$E184)*($E183&gt;INDEX(_xlfn.ANCHORARRAY(Sintesi!$C$15),1,$C183))*($E183&lt;INDEX(_xlfn.ANCHORARRAY(Sintesi!$C$16),1,$C183))*(INDEX(_xlfn.ANCHORARRAY(Sintesi!$C$15),1,$C183)&gt;0),2,IF($E183=(INDEX(_xlfn.ANCHORARRAY(Sintesi!$C$16),1,$C183)),3,4)))),0),IF($C183&gt;0,IF(($E183=INDEX(_xlfn.ANCHORARRAY(Sintesi!$C$14),1,$C183))*(INDEX(_xlfn.ANCHORARRAY(Sintesi!$C$15),1,$C183)&gt;0),0,IF(($E183=INDEX(_xlfn.ANCHORARRAY(Sintesi!$C$14),1,$C183))*(INDEX(_xlfn.ANCHORARRAY(Sintesi!$C$15),1,$C183)&lt;0)+($E183&gt;=LOOKUP(2,1/($E:$E&lt;&gt;""),$E:$E))*($E183&lt;=$E184)*($E183&gt;INDEX(_xlfn.ANCHORARRAY(Sintesi!$C$14),1,$C183))*($E183&lt;=INDEX(_xlfn.ANCHORARRAY(Sintesi!$C$15),1,$C183))*(INDEX(_xlfn.ANCHORARRAY(Sintesi!$C$15),1,$C183)&gt;0),1,IF(($E183&gt;=LOOKUP(2,1/($E:$E&lt;&gt;""),$E:$E))*($E183&lt;=$E184)*($E183&gt;INDEX(_xlfn.ANCHORARRAY(Sintesi!$C$14),1,$C183))*($E183&lt;INDEX(_xlfn.ANCHORARRAY(Sintesi!$C$16),1,$C183))*(INDEX(_xlfn.ANCHORARRAY(Sintesi!$C$15),1,$C183)&lt;0)+($E183&gt;=LOOKUP(2,1/($E:$E&lt;&gt;""),$E:$E))*($E183&lt;=$E184)*($E183&gt;INDEX(_xlfn.ANCHORARRAY(Sintesi!$C$15),1,$C183))*($E183&lt;INDEX(_xlfn.ANCHORARRAY(Sintesi!$C$16),1,$C183))*(INDEX(_xlfn.ANCHORARRAY(Sintesi!$C$15),1,$C183)&gt;0),2,IF($E183=(INDEX(_xlfn.ANCHORARRAY(Sintesi!$C$16),1,$C183)),3,4)))),0)))</f>
        <v>3</v>
      </c>
      <c r="E183" s="1">
        <f>'Paste cell here'!F183</f>
        <v>1.0469999999999999</v>
      </c>
      <c r="F183" s="1">
        <f>'Paste cell here'!C183</f>
        <v>32.159999999999535</v>
      </c>
      <c r="G183" s="1">
        <f>'Paste cell here'!D183</f>
        <v>18.619999999999774</v>
      </c>
      <c r="H183" s="1">
        <f>'Paste cell here'!E183</f>
        <v>6.5124986541578309</v>
      </c>
      <c r="I183" s="1">
        <f>'Paste cell here'!X183</f>
        <v>6.8179488657851834</v>
      </c>
      <c r="J183" s="1">
        <f>'Paste cell here'!Y183+'Paste cell here'!S183</f>
        <v>6.8179488657851834</v>
      </c>
      <c r="K183" s="1">
        <f t="shared" si="4"/>
        <v>1.0469021535125143</v>
      </c>
      <c r="L183" s="1">
        <f t="shared" si="5"/>
        <v>27.764923002492015</v>
      </c>
      <c r="M183" s="1">
        <f t="array" ref="M183">IF(AND(A183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183&gt;=_xlfn.ANCHORARRAY(Sintesi!$C$9))+(_xlfn.ANCHORARRAY(Sintesi!$C$9)&gt;_xlfn.ANCHORARRAY(Sintesi!$C$10))*(A183&lt;=_xlfn.ANCHORARRAY(Sintesi!$C$10))+(_xlfn.ANCHORARRAY(Sintesi!$C$9)&lt;_xlfn.ANCHORARRAY(Sintesi!$C$10))*(A183&gt;=_xlfn.ANCHORARRAY(Sintesi!$C$9))*(A183&lt;=_xlfn.ANCHORARRAY(Sintesi!$C$10)),0)),0),A183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184&gt;=_xlfn.ANCHORARRAY(Sintesi!$C$9))+(_xlfn.ANCHORARRAY(Sintesi!$C$9)&gt;_xlfn.ANCHORARRAY(Sintesi!$C$10))*(A184&lt;=_xlfn.ANCHORARRAY(Sintesi!$C$10))+(_xlfn.ANCHORARRAY(Sintesi!$C$9)&lt;_xlfn.ANCHORARRAY(Sintesi!$C$10))*(A184&gt;=_xlfn.ANCHORARRAY(Sintesi!$C$9))*(A184&lt;=_xlfn.ANCHORARRAY(Sintesi!$C$10)),0)),0)),IF(L183&lt;_xlfn.IFNA(INDEX(_xlfn.ANCHORARRAY(Sintesi!$C$17),1,MATCH(1,(_xlfn.ANCHORARRAY(Sintesi!$C$9)&gt;_xlfn.ANCHORARRAY(Sintesi!$C$10))*(A182&gt;=_xlfn.ANCHORARRAY(Sintesi!$C$9))+(_xlfn.ANCHORARRAY(Sintesi!$C$9)&gt;_xlfn.ANCHORARRAY(Sintesi!$C$10))*(A182&lt;=_xlfn.ANCHORARRAY(Sintesi!$C$10))+(_xlfn.ANCHORARRAY(Sintesi!$C$9)&lt;_xlfn.ANCHORARRAY(Sintesi!$C$10))*(A182&gt;=_xlfn.ANCHORARRAY(Sintesi!$C$9))*(A182&lt;=_xlfn.ANCHORARRAY(Sintesi!$C$10)),0)),0),1,IF(L183&gt;=_xlfn.IFNA(INDEX(_xlfn.ANCHORARRAY(Sintesi!$C$18),1,MATCH(1,(_xlfn.ANCHORARRAY(Sintesi!$C$9)&gt;_xlfn.ANCHORARRAY(Sintesi!$C$10))*(A182&gt;=_xlfn.ANCHORARRAY(Sintesi!$C$9))+(_xlfn.ANCHORARRAY(Sintesi!$C$9)&gt;_xlfn.ANCHORARRAY(Sintesi!$C$10))*(A182&lt;=_xlfn.ANCHORARRAY(Sintesi!$C$10))+(_xlfn.ANCHORARRAY(Sintesi!$C$9)&lt;_xlfn.ANCHORARRAY(Sintesi!$C$10))*(A182&gt;=_xlfn.ANCHORARRAY(Sintesi!$C$9))*(A182&lt;=_xlfn.ANCHORARRAY(Sintesi!$C$10)),0)),0),0,1-(L183-_xlfn.IFNA(INDEX(_xlfn.ANCHORARRAY(Sintesi!$C$17),1,MATCH(1,(_xlfn.ANCHORARRAY(Sintesi!$C$9)&gt;_xlfn.ANCHORARRAY(Sintesi!$C$10))*(A182&gt;=_xlfn.ANCHORARRAY(Sintesi!$C$9))+(_xlfn.ANCHORARRAY(Sintesi!$C$9)&gt;_xlfn.ANCHORARRAY(Sintesi!$C$10))*(A182&lt;=_xlfn.ANCHORARRAY(Sintesi!$C$10))+(_xlfn.ANCHORARRAY(Sintesi!$C$9)&lt;_xlfn.ANCHORARRAY(Sintesi!$C$10))*(A182&gt;=_xlfn.ANCHORARRAY(Sintesi!$C$9))*(A182&lt;=_xlfn.ANCHORARRAY(Sintesi!$C$10)),0)),0))/(_xlfn.IFNA(INDEX(_xlfn.ANCHORARRAY(Sintesi!$C$18),1,MATCH(1,(_xlfn.ANCHORARRAY(Sintesi!$C$9)&gt;_xlfn.ANCHORARRAY(Sintesi!$C$10))*(A182&gt;=_xlfn.ANCHORARRAY(Sintesi!$C$9))+(_xlfn.ANCHORARRAY(Sintesi!$C$9)&gt;_xlfn.ANCHORARRAY(Sintesi!$C$10))*(A182&lt;=_xlfn.ANCHORARRAY(Sintesi!$C$10))+(_xlfn.ANCHORARRAY(Sintesi!$C$9)&lt;_xlfn.ANCHORARRAY(Sintesi!$C$10))*(A182&gt;=_xlfn.ANCHORARRAY(Sintesi!$C$9))*(A182&lt;=_xlfn.ANCHORARRAY(Sintesi!$C$10)),0)),0)-_xlfn.IFNA(INDEX(_xlfn.ANCHORARRAY(Sintesi!$C$17),1,MATCH(1,(_xlfn.ANCHORARRAY(Sintesi!$C$9)&gt;_xlfn.ANCHORARRAY(Sintesi!$C$10))*(A182&gt;=_xlfn.ANCHORARRAY(Sintesi!$C$9))+(_xlfn.ANCHORARRAY(Sintesi!$C$9)&gt;_xlfn.ANCHORARRAY(Sintesi!$C$10))*(A182&lt;=_xlfn.ANCHORARRAY(Sintesi!$C$10))+(_xlfn.ANCHORARRAY(Sintesi!$C$9)&lt;_xlfn.ANCHORARRAY(Sintesi!$C$10))*(A182&gt;=_xlfn.ANCHORARRAY(Sintesi!$C$9))*(A182&lt;=_xlfn.ANCHORARRAY(Sintesi!$C$10)),0)),0)))),0)</f>
        <v>1</v>
      </c>
    </row>
    <row r="184" spans="1:13">
      <c r="A184" s="1">
        <f>'Paste cell here'!A184</f>
        <v>183</v>
      </c>
      <c r="B184" s="2">
        <f>DATE(Sintesi!$C$4-1,12,31)+A184</f>
        <v>44379</v>
      </c>
      <c r="C184" s="34">
        <f t="array" ref="C184">_xlfn.IFNA(MATCH(1,((_xlfn.ANCHORARRAY(Sintesi!$C$9)&gt;_xlfn.ANCHORARRAY(Sintesi!$C$10))*(A184&gt;=_xlfn.ANCHORARRAY(Sintesi!$C$9))+(_xlfn.ANCHORARRAY(Sintesi!$C$9)&gt;_xlfn.ANCHORARRAY(Sintesi!$C$10))*(A184&lt;=_xlfn.ANCHORARRAY(Sintesi!$C$10))+(_xlfn.ANCHORARRAY(Sintesi!$C$9)&lt;_xlfn.ANCHORARRAY(Sintesi!$C$10))*(A184&gt;=_xlfn.ANCHORARRAY(Sintesi!$C$9))*(A184&lt;=_xlfn.ANCHORARRAY(Sintesi!$C$10)))*(_xlfn.ANCHORARRAY(Sintesi!$C$15)&gt;=0)+(_xlfn.ANCHORARRAY(Sintesi!$C$15)&lt;0),0),0)</f>
        <v>1</v>
      </c>
      <c r="D184" s="1">
        <f t="array" ref="D184">IF(ISBLANK($E185),IF(ISNUMBER($E183),IF($C184&gt;0,IF(($E184=INDEX(_xlfn.ANCHORARRAY(Sintesi!$C$14),1,$C184))*(INDEX(_xlfn.ANCHORARRAY(Sintesi!$C$15),1,$C184)&gt;0),0,IF(($E184=INDEX(_xlfn.ANCHORARRAY(Sintesi!$C$14),1,$C184))*(INDEX(_xlfn.ANCHORARRAY(Sintesi!$C$15),1,$C184)&lt;0)+($E184&gt;=$E183)*($E184&lt;=INDEX($E:$E,MATCH(TRUE,INDEX((ISNUMBER($E:$E)),0),0)))*($E184&gt;INDEX(_xlfn.ANCHORARRAY(Sintesi!$C$14),1,$C184))*($E184&lt;=INDEX(_xlfn.ANCHORARRAY(Sintesi!$C$15),1,$C184))*(INDEX(_xlfn.ANCHORARRAY(Sintesi!$C$15),1,$C184)&gt;0),1,IF(($E184&gt;=$E183)*($E184&lt;=INDEX($E:$E,MATCH(TRUE,INDEX((ISNUMBER($E:$E)),0),0)))*($E184&gt;INDEX(_xlfn.ANCHORARRAY(Sintesi!$C$14),1,$C184))*($E184&lt;INDEX(_xlfn.ANCHORARRAY(Sintesi!$C$16),1,$C184))*(INDEX(_xlfn.ANCHORARRAY(Sintesi!$C$15),1,$C184)&lt;0)+($E184&gt;=$E183)*($E184&lt;=INDEX($E:$E,MATCH(TRUE,INDEX((ISNUMBER($E:$E)),0),0)))*($E184&gt;INDEX(_xlfn.ANCHORARRAY(Sintesi!$C$15),1,$C184))*($E184&lt;INDEX(_xlfn.ANCHORARRAY(Sintesi!$C$16),1,$C184))*(INDEX(_xlfn.ANCHORARRAY(Sintesi!$C$15),1,$C184)&gt;0),2,IF($E184=(INDEX(_xlfn.ANCHORARRAY(Sintesi!$C$16),1,$C184)),3,4)))),0),IF($C184&gt;0,IF(($E184=INDEX(_xlfn.ANCHORARRAY(Sintesi!$C$14),1,$C184))*(INDEX(_xlfn.ANCHORARRAY(Sintesi!$C$15),1,$C184)&gt;0),0,IF(($E184=INDEX(_xlfn.ANCHORARRAY(Sintesi!$C$14),1,$C184))*(INDEX(_xlfn.ANCHORARRAY(Sintesi!$C$15),1,$C184)&lt;0)+($E184&gt;=LOOKUP(2,1/($E:$E&lt;&gt;""),$E:$E))*($E184&lt;=INDEX($E:$E,MATCH(TRUE,INDEX((ISNUMBER($E:$E)),0),0)))*($E184&gt;INDEX(_xlfn.ANCHORARRAY(Sintesi!$C$14),1,$C184))*($E184&lt;=INDEX(_xlfn.ANCHORARRAY(Sintesi!$C$15),1,$C184))*(INDEX(_xlfn.ANCHORARRAY(Sintesi!$C$15),1,$C184)&gt;0),1,IF(($E184&gt;=LOOKUP(2,1/($E:$E&lt;&gt;""),$E:$E))*($E184&lt;=INDEX($E:$E,MATCH(TRUE,INDEX((ISNUMBER($E:$E)),0),0)))*($E184&gt;INDEX(_xlfn.ANCHORARRAY(Sintesi!$C$14),1,$C184))*($E184&lt;INDEX(_xlfn.ANCHORARRAY(Sintesi!$C$16),1,$C184))*(INDEX(_xlfn.ANCHORARRAY(Sintesi!$C$15),1,$C184)&lt;0)+($E184&gt;=LOOKUP(2,1/($E:$E&lt;&gt;""),$E:$E))*($E184&lt;=INDEX($E:$E,MATCH(TRUE,INDEX((ISNUMBER($E:$E)),0),0)))*($E184&gt;INDEX(_xlfn.ANCHORARRAY(Sintesi!$C$15),1,$C184))*($E184&lt;INDEX(_xlfn.ANCHORARRAY(Sintesi!$C$16),1,$C184))*(INDEX(_xlfn.ANCHORARRAY(Sintesi!$C$15),1,$C184)&gt;0),2,IF($E184=(INDEX(_xlfn.ANCHORARRAY(Sintesi!$C$16),1,$C184)),3,4)))),0)),IF(ISNUMBER($E183),IF($C184&gt;0,IF(($E184=INDEX(_xlfn.ANCHORARRAY(Sintesi!$C$14),1,$C184))*(INDEX(_xlfn.ANCHORARRAY(Sintesi!$C$15),1,$C184)&gt;0),0,IF(($E184=INDEX(_xlfn.ANCHORARRAY(Sintesi!$C$14),1,$C184))*(INDEX(_xlfn.ANCHORARRAY(Sintesi!$C$15),1,$C184)&lt;0)+($E184&gt;=$E183)*($E184&lt;=$E185)*($E184&gt;INDEX(_xlfn.ANCHORARRAY(Sintesi!$C$14),1,$C184))*($E184&lt;=INDEX(_xlfn.ANCHORARRAY(Sintesi!$C$15),1,$C184))*(INDEX(_xlfn.ANCHORARRAY(Sintesi!$C$15),1,$C184)&gt;0),1,IF(($E184&gt;=$E183)*($E184&lt;=$E185)*($E184&gt;INDEX(_xlfn.ANCHORARRAY(Sintesi!$C$14),1,$C184))*($E184&lt;INDEX(_xlfn.ANCHORARRAY(Sintesi!$C$16),1,$C184))*(INDEX(_xlfn.ANCHORARRAY(Sintesi!$C$15),1,$C184)&lt;0)+($E184&gt;=$E183)*($E184&lt;=$E185)*($E184&gt;INDEX(_xlfn.ANCHORARRAY(Sintesi!$C$15),1,$C184))*($E184&lt;INDEX(_xlfn.ANCHORARRAY(Sintesi!$C$16),1,$C184))*(INDEX(_xlfn.ANCHORARRAY(Sintesi!$C$15),1,$C184)&gt;0),2,IF($E184=(INDEX(_xlfn.ANCHORARRAY(Sintesi!$C$16),1,$C184)),3,4)))),0),IF($C184&gt;0,IF(($E184=INDEX(_xlfn.ANCHORARRAY(Sintesi!$C$14),1,$C184))*(INDEX(_xlfn.ANCHORARRAY(Sintesi!$C$15),1,$C184)&gt;0),0,IF(($E184=INDEX(_xlfn.ANCHORARRAY(Sintesi!$C$14),1,$C184))*(INDEX(_xlfn.ANCHORARRAY(Sintesi!$C$15),1,$C184)&lt;0)+($E184&gt;=LOOKUP(2,1/($E:$E&lt;&gt;""),$E:$E))*($E184&lt;=$E185)*($E184&gt;INDEX(_xlfn.ANCHORARRAY(Sintesi!$C$14),1,$C184))*($E184&lt;=INDEX(_xlfn.ANCHORARRAY(Sintesi!$C$15),1,$C184))*(INDEX(_xlfn.ANCHORARRAY(Sintesi!$C$15),1,$C184)&gt;0),1,IF(($E184&gt;=LOOKUP(2,1/($E:$E&lt;&gt;""),$E:$E))*($E184&lt;=$E185)*($E184&gt;INDEX(_xlfn.ANCHORARRAY(Sintesi!$C$14),1,$C184))*($E184&lt;INDEX(_xlfn.ANCHORARRAY(Sintesi!$C$16),1,$C184))*(INDEX(_xlfn.ANCHORARRAY(Sintesi!$C$15),1,$C184)&lt;0)+($E184&gt;=LOOKUP(2,1/($E:$E&lt;&gt;""),$E:$E))*($E184&lt;=$E185)*($E184&gt;INDEX(_xlfn.ANCHORARRAY(Sintesi!$C$15),1,$C184))*($E184&lt;INDEX(_xlfn.ANCHORARRAY(Sintesi!$C$16),1,$C184))*(INDEX(_xlfn.ANCHORARRAY(Sintesi!$C$15),1,$C184)&gt;0),2,IF($E184=(INDEX(_xlfn.ANCHORARRAY(Sintesi!$C$16),1,$C184)),3,4)))),0)))</f>
        <v>3</v>
      </c>
      <c r="E184" s="1">
        <f>'Paste cell here'!F184</f>
        <v>1.0469999999999999</v>
      </c>
      <c r="F184" s="1">
        <f>'Paste cell here'!C184</f>
        <v>32.119999999999536</v>
      </c>
      <c r="G184" s="1">
        <f>'Paste cell here'!D184</f>
        <v>18.399999999999757</v>
      </c>
      <c r="H184" s="1">
        <f>'Paste cell here'!E184</f>
        <v>5.9420624809616625</v>
      </c>
      <c r="I184" s="1">
        <f>'Paste cell here'!X184</f>
        <v>6.2207658764187519</v>
      </c>
      <c r="J184" s="1">
        <f>'Paste cell here'!Y184+'Paste cell here'!S184</f>
        <v>6.2207658764187519</v>
      </c>
      <c r="K184" s="1">
        <f t="shared" si="4"/>
        <v>1.0469034777655155</v>
      </c>
      <c r="L184" s="1">
        <f t="shared" si="5"/>
        <v>27.66649509558275</v>
      </c>
      <c r="M184" s="1">
        <f t="array" ref="M184">IF(AND(A184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184&gt;=_xlfn.ANCHORARRAY(Sintesi!$C$9))+(_xlfn.ANCHORARRAY(Sintesi!$C$9)&gt;_xlfn.ANCHORARRAY(Sintesi!$C$10))*(A184&lt;=_xlfn.ANCHORARRAY(Sintesi!$C$10))+(_xlfn.ANCHORARRAY(Sintesi!$C$9)&lt;_xlfn.ANCHORARRAY(Sintesi!$C$10))*(A184&gt;=_xlfn.ANCHORARRAY(Sintesi!$C$9))*(A184&lt;=_xlfn.ANCHORARRAY(Sintesi!$C$10)),0)),0),A184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185&gt;=_xlfn.ANCHORARRAY(Sintesi!$C$9))+(_xlfn.ANCHORARRAY(Sintesi!$C$9)&gt;_xlfn.ANCHORARRAY(Sintesi!$C$10))*(A185&lt;=_xlfn.ANCHORARRAY(Sintesi!$C$10))+(_xlfn.ANCHORARRAY(Sintesi!$C$9)&lt;_xlfn.ANCHORARRAY(Sintesi!$C$10))*(A185&gt;=_xlfn.ANCHORARRAY(Sintesi!$C$9))*(A185&lt;=_xlfn.ANCHORARRAY(Sintesi!$C$10)),0)),0)),IF(L184&lt;_xlfn.IFNA(INDEX(_xlfn.ANCHORARRAY(Sintesi!$C$17),1,MATCH(1,(_xlfn.ANCHORARRAY(Sintesi!$C$9)&gt;_xlfn.ANCHORARRAY(Sintesi!$C$10))*(A183&gt;=_xlfn.ANCHORARRAY(Sintesi!$C$9))+(_xlfn.ANCHORARRAY(Sintesi!$C$9)&gt;_xlfn.ANCHORARRAY(Sintesi!$C$10))*(A183&lt;=_xlfn.ANCHORARRAY(Sintesi!$C$10))+(_xlfn.ANCHORARRAY(Sintesi!$C$9)&lt;_xlfn.ANCHORARRAY(Sintesi!$C$10))*(A183&gt;=_xlfn.ANCHORARRAY(Sintesi!$C$9))*(A183&lt;=_xlfn.ANCHORARRAY(Sintesi!$C$10)),0)),0),1,IF(L184&gt;=_xlfn.IFNA(INDEX(_xlfn.ANCHORARRAY(Sintesi!$C$18),1,MATCH(1,(_xlfn.ANCHORARRAY(Sintesi!$C$9)&gt;_xlfn.ANCHORARRAY(Sintesi!$C$10))*(A183&gt;=_xlfn.ANCHORARRAY(Sintesi!$C$9))+(_xlfn.ANCHORARRAY(Sintesi!$C$9)&gt;_xlfn.ANCHORARRAY(Sintesi!$C$10))*(A183&lt;=_xlfn.ANCHORARRAY(Sintesi!$C$10))+(_xlfn.ANCHORARRAY(Sintesi!$C$9)&lt;_xlfn.ANCHORARRAY(Sintesi!$C$10))*(A183&gt;=_xlfn.ANCHORARRAY(Sintesi!$C$9))*(A183&lt;=_xlfn.ANCHORARRAY(Sintesi!$C$10)),0)),0),0,1-(L184-_xlfn.IFNA(INDEX(_xlfn.ANCHORARRAY(Sintesi!$C$17),1,MATCH(1,(_xlfn.ANCHORARRAY(Sintesi!$C$9)&gt;_xlfn.ANCHORARRAY(Sintesi!$C$10))*(A183&gt;=_xlfn.ANCHORARRAY(Sintesi!$C$9))+(_xlfn.ANCHORARRAY(Sintesi!$C$9)&gt;_xlfn.ANCHORARRAY(Sintesi!$C$10))*(A183&lt;=_xlfn.ANCHORARRAY(Sintesi!$C$10))+(_xlfn.ANCHORARRAY(Sintesi!$C$9)&lt;_xlfn.ANCHORARRAY(Sintesi!$C$10))*(A183&gt;=_xlfn.ANCHORARRAY(Sintesi!$C$9))*(A183&lt;=_xlfn.ANCHORARRAY(Sintesi!$C$10)),0)),0))/(_xlfn.IFNA(INDEX(_xlfn.ANCHORARRAY(Sintesi!$C$18),1,MATCH(1,(_xlfn.ANCHORARRAY(Sintesi!$C$9)&gt;_xlfn.ANCHORARRAY(Sintesi!$C$10))*(A183&gt;=_xlfn.ANCHORARRAY(Sintesi!$C$9))+(_xlfn.ANCHORARRAY(Sintesi!$C$9)&gt;_xlfn.ANCHORARRAY(Sintesi!$C$10))*(A183&lt;=_xlfn.ANCHORARRAY(Sintesi!$C$10))+(_xlfn.ANCHORARRAY(Sintesi!$C$9)&lt;_xlfn.ANCHORARRAY(Sintesi!$C$10))*(A183&gt;=_xlfn.ANCHORARRAY(Sintesi!$C$9))*(A183&lt;=_xlfn.ANCHORARRAY(Sintesi!$C$10)),0)),0)-_xlfn.IFNA(INDEX(_xlfn.ANCHORARRAY(Sintesi!$C$17),1,MATCH(1,(_xlfn.ANCHORARRAY(Sintesi!$C$9)&gt;_xlfn.ANCHORARRAY(Sintesi!$C$10))*(A183&gt;=_xlfn.ANCHORARRAY(Sintesi!$C$9))+(_xlfn.ANCHORARRAY(Sintesi!$C$9)&gt;_xlfn.ANCHORARRAY(Sintesi!$C$10))*(A183&lt;=_xlfn.ANCHORARRAY(Sintesi!$C$10))+(_xlfn.ANCHORARRAY(Sintesi!$C$9)&lt;_xlfn.ANCHORARRAY(Sintesi!$C$10))*(A183&gt;=_xlfn.ANCHORARRAY(Sintesi!$C$9))*(A183&lt;=_xlfn.ANCHORARRAY(Sintesi!$C$10)),0)),0)))),0)</f>
        <v>1</v>
      </c>
    </row>
    <row r="185" spans="1:13">
      <c r="A185" s="1">
        <f>'Paste cell here'!A185</f>
        <v>184</v>
      </c>
      <c r="B185" s="2">
        <f>DATE(Sintesi!$C$4-1,12,31)+A185</f>
        <v>44380</v>
      </c>
      <c r="C185" s="34">
        <f t="array" ref="C185">_xlfn.IFNA(MATCH(1,((_xlfn.ANCHORARRAY(Sintesi!$C$9)&gt;_xlfn.ANCHORARRAY(Sintesi!$C$10))*(A185&gt;=_xlfn.ANCHORARRAY(Sintesi!$C$9))+(_xlfn.ANCHORARRAY(Sintesi!$C$9)&gt;_xlfn.ANCHORARRAY(Sintesi!$C$10))*(A185&lt;=_xlfn.ANCHORARRAY(Sintesi!$C$10))+(_xlfn.ANCHORARRAY(Sintesi!$C$9)&lt;_xlfn.ANCHORARRAY(Sintesi!$C$10))*(A185&gt;=_xlfn.ANCHORARRAY(Sintesi!$C$9))*(A185&lt;=_xlfn.ANCHORARRAY(Sintesi!$C$10)))*(_xlfn.ANCHORARRAY(Sintesi!$C$15)&gt;=0)+(_xlfn.ANCHORARRAY(Sintesi!$C$15)&lt;0),0),0)</f>
        <v>1</v>
      </c>
      <c r="D185" s="1">
        <f t="array" ref="D185">IF(ISBLANK($E186),IF(ISNUMBER($E184),IF($C185&gt;0,IF(($E185=INDEX(_xlfn.ANCHORARRAY(Sintesi!$C$14),1,$C185))*(INDEX(_xlfn.ANCHORARRAY(Sintesi!$C$15),1,$C185)&gt;0),0,IF(($E185=INDEX(_xlfn.ANCHORARRAY(Sintesi!$C$14),1,$C185))*(INDEX(_xlfn.ANCHORARRAY(Sintesi!$C$15),1,$C185)&lt;0)+($E185&gt;=$E184)*($E185&lt;=INDEX($E:$E,MATCH(TRUE,INDEX((ISNUMBER($E:$E)),0),0)))*($E185&gt;INDEX(_xlfn.ANCHORARRAY(Sintesi!$C$14),1,$C185))*($E185&lt;=INDEX(_xlfn.ANCHORARRAY(Sintesi!$C$15),1,$C185))*(INDEX(_xlfn.ANCHORARRAY(Sintesi!$C$15),1,$C185)&gt;0),1,IF(($E185&gt;=$E184)*($E185&lt;=INDEX($E:$E,MATCH(TRUE,INDEX((ISNUMBER($E:$E)),0),0)))*($E185&gt;INDEX(_xlfn.ANCHORARRAY(Sintesi!$C$14),1,$C185))*($E185&lt;INDEX(_xlfn.ANCHORARRAY(Sintesi!$C$16),1,$C185))*(INDEX(_xlfn.ANCHORARRAY(Sintesi!$C$15),1,$C185)&lt;0)+($E185&gt;=$E184)*($E185&lt;=INDEX($E:$E,MATCH(TRUE,INDEX((ISNUMBER($E:$E)),0),0)))*($E185&gt;INDEX(_xlfn.ANCHORARRAY(Sintesi!$C$15),1,$C185))*($E185&lt;INDEX(_xlfn.ANCHORARRAY(Sintesi!$C$16),1,$C185))*(INDEX(_xlfn.ANCHORARRAY(Sintesi!$C$15),1,$C185)&gt;0),2,IF($E185=(INDEX(_xlfn.ANCHORARRAY(Sintesi!$C$16),1,$C185)),3,4)))),0),IF($C185&gt;0,IF(($E185=INDEX(_xlfn.ANCHORARRAY(Sintesi!$C$14),1,$C185))*(INDEX(_xlfn.ANCHORARRAY(Sintesi!$C$15),1,$C185)&gt;0),0,IF(($E185=INDEX(_xlfn.ANCHORARRAY(Sintesi!$C$14),1,$C185))*(INDEX(_xlfn.ANCHORARRAY(Sintesi!$C$15),1,$C185)&lt;0)+($E185&gt;=LOOKUP(2,1/($E:$E&lt;&gt;""),$E:$E))*($E185&lt;=INDEX($E:$E,MATCH(TRUE,INDEX((ISNUMBER($E:$E)),0),0)))*($E185&gt;INDEX(_xlfn.ANCHORARRAY(Sintesi!$C$14),1,$C185))*($E185&lt;=INDEX(_xlfn.ANCHORARRAY(Sintesi!$C$15),1,$C185))*(INDEX(_xlfn.ANCHORARRAY(Sintesi!$C$15),1,$C185)&gt;0),1,IF(($E185&gt;=LOOKUP(2,1/($E:$E&lt;&gt;""),$E:$E))*($E185&lt;=INDEX($E:$E,MATCH(TRUE,INDEX((ISNUMBER($E:$E)),0),0)))*($E185&gt;INDEX(_xlfn.ANCHORARRAY(Sintesi!$C$14),1,$C185))*($E185&lt;INDEX(_xlfn.ANCHORARRAY(Sintesi!$C$16),1,$C185))*(INDEX(_xlfn.ANCHORARRAY(Sintesi!$C$15),1,$C185)&lt;0)+($E185&gt;=LOOKUP(2,1/($E:$E&lt;&gt;""),$E:$E))*($E185&lt;=INDEX($E:$E,MATCH(TRUE,INDEX((ISNUMBER($E:$E)),0),0)))*($E185&gt;INDEX(_xlfn.ANCHORARRAY(Sintesi!$C$15),1,$C185))*($E185&lt;INDEX(_xlfn.ANCHORARRAY(Sintesi!$C$16),1,$C185))*(INDEX(_xlfn.ANCHORARRAY(Sintesi!$C$15),1,$C185)&gt;0),2,IF($E185=(INDEX(_xlfn.ANCHORARRAY(Sintesi!$C$16),1,$C185)),3,4)))),0)),IF(ISNUMBER($E184),IF($C185&gt;0,IF(($E185=INDEX(_xlfn.ANCHORARRAY(Sintesi!$C$14),1,$C185))*(INDEX(_xlfn.ANCHORARRAY(Sintesi!$C$15),1,$C185)&gt;0),0,IF(($E185=INDEX(_xlfn.ANCHORARRAY(Sintesi!$C$14),1,$C185))*(INDEX(_xlfn.ANCHORARRAY(Sintesi!$C$15),1,$C185)&lt;0)+($E185&gt;=$E184)*($E185&lt;=$E186)*($E185&gt;INDEX(_xlfn.ANCHORARRAY(Sintesi!$C$14),1,$C185))*($E185&lt;=INDEX(_xlfn.ANCHORARRAY(Sintesi!$C$15),1,$C185))*(INDEX(_xlfn.ANCHORARRAY(Sintesi!$C$15),1,$C185)&gt;0),1,IF(($E185&gt;=$E184)*($E185&lt;=$E186)*($E185&gt;INDEX(_xlfn.ANCHORARRAY(Sintesi!$C$14),1,$C185))*($E185&lt;INDEX(_xlfn.ANCHORARRAY(Sintesi!$C$16),1,$C185))*(INDEX(_xlfn.ANCHORARRAY(Sintesi!$C$15),1,$C185)&lt;0)+($E185&gt;=$E184)*($E185&lt;=$E186)*($E185&gt;INDEX(_xlfn.ANCHORARRAY(Sintesi!$C$15),1,$C185))*($E185&lt;INDEX(_xlfn.ANCHORARRAY(Sintesi!$C$16),1,$C185))*(INDEX(_xlfn.ANCHORARRAY(Sintesi!$C$15),1,$C185)&gt;0),2,IF($E185=(INDEX(_xlfn.ANCHORARRAY(Sintesi!$C$16),1,$C185)),3,4)))),0),IF($C185&gt;0,IF(($E185=INDEX(_xlfn.ANCHORARRAY(Sintesi!$C$14),1,$C185))*(INDEX(_xlfn.ANCHORARRAY(Sintesi!$C$15),1,$C185)&gt;0),0,IF(($E185=INDEX(_xlfn.ANCHORARRAY(Sintesi!$C$14),1,$C185))*(INDEX(_xlfn.ANCHORARRAY(Sintesi!$C$15),1,$C185)&lt;0)+($E185&gt;=LOOKUP(2,1/($E:$E&lt;&gt;""),$E:$E))*($E185&lt;=$E186)*($E185&gt;INDEX(_xlfn.ANCHORARRAY(Sintesi!$C$14),1,$C185))*($E185&lt;=INDEX(_xlfn.ANCHORARRAY(Sintesi!$C$15),1,$C185))*(INDEX(_xlfn.ANCHORARRAY(Sintesi!$C$15),1,$C185)&gt;0),1,IF(($E185&gt;=LOOKUP(2,1/($E:$E&lt;&gt;""),$E:$E))*($E185&lt;=$E186)*($E185&gt;INDEX(_xlfn.ANCHORARRAY(Sintesi!$C$14),1,$C185))*($E185&lt;INDEX(_xlfn.ANCHORARRAY(Sintesi!$C$16),1,$C185))*(INDEX(_xlfn.ANCHORARRAY(Sintesi!$C$15),1,$C185)&lt;0)+($E185&gt;=LOOKUP(2,1/($E:$E&lt;&gt;""),$E:$E))*($E185&lt;=$E186)*($E185&gt;INDEX(_xlfn.ANCHORARRAY(Sintesi!$C$15),1,$C185))*($E185&lt;INDEX(_xlfn.ANCHORARRAY(Sintesi!$C$16),1,$C185))*(INDEX(_xlfn.ANCHORARRAY(Sintesi!$C$15),1,$C185)&gt;0),2,IF($E185=(INDEX(_xlfn.ANCHORARRAY(Sintesi!$C$16),1,$C185)),3,4)))),0)))</f>
        <v>3</v>
      </c>
      <c r="E185" s="1">
        <f>'Paste cell here'!F185</f>
        <v>1.0469999999999999</v>
      </c>
      <c r="F185" s="1">
        <f>'Paste cell here'!C185</f>
        <v>31.619999999999539</v>
      </c>
      <c r="G185" s="1">
        <f>'Paste cell here'!D185</f>
        <v>20.339999999999733</v>
      </c>
      <c r="H185" s="1">
        <f>'Paste cell here'!E185</f>
        <v>4.3888005973098734</v>
      </c>
      <c r="I185" s="1">
        <f>'Paste cell here'!X185</f>
        <v>4.5946568804727095</v>
      </c>
      <c r="J185" s="1">
        <f>'Paste cell here'!Y185+'Paste cell here'!S185</f>
        <v>4.5946568804727095</v>
      </c>
      <c r="K185" s="1">
        <f t="shared" si="4"/>
        <v>1.0469049068415222</v>
      </c>
      <c r="L185" s="1">
        <f t="shared" si="5"/>
        <v>27.958517833686034</v>
      </c>
      <c r="M185" s="1">
        <f t="array" ref="M185">IF(AND(A185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185&gt;=_xlfn.ANCHORARRAY(Sintesi!$C$9))+(_xlfn.ANCHORARRAY(Sintesi!$C$9)&gt;_xlfn.ANCHORARRAY(Sintesi!$C$10))*(A185&lt;=_xlfn.ANCHORARRAY(Sintesi!$C$10))+(_xlfn.ANCHORARRAY(Sintesi!$C$9)&lt;_xlfn.ANCHORARRAY(Sintesi!$C$10))*(A185&gt;=_xlfn.ANCHORARRAY(Sintesi!$C$9))*(A185&lt;=_xlfn.ANCHORARRAY(Sintesi!$C$10)),0)),0),A185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186&gt;=_xlfn.ANCHORARRAY(Sintesi!$C$9))+(_xlfn.ANCHORARRAY(Sintesi!$C$9)&gt;_xlfn.ANCHORARRAY(Sintesi!$C$10))*(A186&lt;=_xlfn.ANCHORARRAY(Sintesi!$C$10))+(_xlfn.ANCHORARRAY(Sintesi!$C$9)&lt;_xlfn.ANCHORARRAY(Sintesi!$C$10))*(A186&gt;=_xlfn.ANCHORARRAY(Sintesi!$C$9))*(A186&lt;=_xlfn.ANCHORARRAY(Sintesi!$C$10)),0)),0)),IF(L185&lt;_xlfn.IFNA(INDEX(_xlfn.ANCHORARRAY(Sintesi!$C$17),1,MATCH(1,(_xlfn.ANCHORARRAY(Sintesi!$C$9)&gt;_xlfn.ANCHORARRAY(Sintesi!$C$10))*(A184&gt;=_xlfn.ANCHORARRAY(Sintesi!$C$9))+(_xlfn.ANCHORARRAY(Sintesi!$C$9)&gt;_xlfn.ANCHORARRAY(Sintesi!$C$10))*(A184&lt;=_xlfn.ANCHORARRAY(Sintesi!$C$10))+(_xlfn.ANCHORARRAY(Sintesi!$C$9)&lt;_xlfn.ANCHORARRAY(Sintesi!$C$10))*(A184&gt;=_xlfn.ANCHORARRAY(Sintesi!$C$9))*(A184&lt;=_xlfn.ANCHORARRAY(Sintesi!$C$10)),0)),0),1,IF(L185&gt;=_xlfn.IFNA(INDEX(_xlfn.ANCHORARRAY(Sintesi!$C$18),1,MATCH(1,(_xlfn.ANCHORARRAY(Sintesi!$C$9)&gt;_xlfn.ANCHORARRAY(Sintesi!$C$10))*(A184&gt;=_xlfn.ANCHORARRAY(Sintesi!$C$9))+(_xlfn.ANCHORARRAY(Sintesi!$C$9)&gt;_xlfn.ANCHORARRAY(Sintesi!$C$10))*(A184&lt;=_xlfn.ANCHORARRAY(Sintesi!$C$10))+(_xlfn.ANCHORARRAY(Sintesi!$C$9)&lt;_xlfn.ANCHORARRAY(Sintesi!$C$10))*(A184&gt;=_xlfn.ANCHORARRAY(Sintesi!$C$9))*(A184&lt;=_xlfn.ANCHORARRAY(Sintesi!$C$10)),0)),0),0,1-(L185-_xlfn.IFNA(INDEX(_xlfn.ANCHORARRAY(Sintesi!$C$17),1,MATCH(1,(_xlfn.ANCHORARRAY(Sintesi!$C$9)&gt;_xlfn.ANCHORARRAY(Sintesi!$C$10))*(A184&gt;=_xlfn.ANCHORARRAY(Sintesi!$C$9))+(_xlfn.ANCHORARRAY(Sintesi!$C$9)&gt;_xlfn.ANCHORARRAY(Sintesi!$C$10))*(A184&lt;=_xlfn.ANCHORARRAY(Sintesi!$C$10))+(_xlfn.ANCHORARRAY(Sintesi!$C$9)&lt;_xlfn.ANCHORARRAY(Sintesi!$C$10))*(A184&gt;=_xlfn.ANCHORARRAY(Sintesi!$C$9))*(A184&lt;=_xlfn.ANCHORARRAY(Sintesi!$C$10)),0)),0))/(_xlfn.IFNA(INDEX(_xlfn.ANCHORARRAY(Sintesi!$C$18),1,MATCH(1,(_xlfn.ANCHORARRAY(Sintesi!$C$9)&gt;_xlfn.ANCHORARRAY(Sintesi!$C$10))*(A184&gt;=_xlfn.ANCHORARRAY(Sintesi!$C$9))+(_xlfn.ANCHORARRAY(Sintesi!$C$9)&gt;_xlfn.ANCHORARRAY(Sintesi!$C$10))*(A184&lt;=_xlfn.ANCHORARRAY(Sintesi!$C$10))+(_xlfn.ANCHORARRAY(Sintesi!$C$9)&lt;_xlfn.ANCHORARRAY(Sintesi!$C$10))*(A184&gt;=_xlfn.ANCHORARRAY(Sintesi!$C$9))*(A184&lt;=_xlfn.ANCHORARRAY(Sintesi!$C$10)),0)),0)-_xlfn.IFNA(INDEX(_xlfn.ANCHORARRAY(Sintesi!$C$17),1,MATCH(1,(_xlfn.ANCHORARRAY(Sintesi!$C$9)&gt;_xlfn.ANCHORARRAY(Sintesi!$C$10))*(A184&gt;=_xlfn.ANCHORARRAY(Sintesi!$C$9))+(_xlfn.ANCHORARRAY(Sintesi!$C$9)&gt;_xlfn.ANCHORARRAY(Sintesi!$C$10))*(A184&lt;=_xlfn.ANCHORARRAY(Sintesi!$C$10))+(_xlfn.ANCHORARRAY(Sintesi!$C$9)&lt;_xlfn.ANCHORARRAY(Sintesi!$C$10))*(A184&gt;=_xlfn.ANCHORARRAY(Sintesi!$C$9))*(A184&lt;=_xlfn.ANCHORARRAY(Sintesi!$C$10)),0)),0)))),0)</f>
        <v>1</v>
      </c>
    </row>
    <row r="186" spans="1:13">
      <c r="A186" s="1">
        <f>'Paste cell here'!A186</f>
        <v>185</v>
      </c>
      <c r="B186" s="2">
        <f>DATE(Sintesi!$C$4-1,12,31)+A186</f>
        <v>44381</v>
      </c>
      <c r="C186" s="34">
        <f t="array" ref="C186">_xlfn.IFNA(MATCH(1,((_xlfn.ANCHORARRAY(Sintesi!$C$9)&gt;_xlfn.ANCHORARRAY(Sintesi!$C$10))*(A186&gt;=_xlfn.ANCHORARRAY(Sintesi!$C$9))+(_xlfn.ANCHORARRAY(Sintesi!$C$9)&gt;_xlfn.ANCHORARRAY(Sintesi!$C$10))*(A186&lt;=_xlfn.ANCHORARRAY(Sintesi!$C$10))+(_xlfn.ANCHORARRAY(Sintesi!$C$9)&lt;_xlfn.ANCHORARRAY(Sintesi!$C$10))*(A186&gt;=_xlfn.ANCHORARRAY(Sintesi!$C$9))*(A186&lt;=_xlfn.ANCHORARRAY(Sintesi!$C$10)))*(_xlfn.ANCHORARRAY(Sintesi!$C$15)&gt;=0)+(_xlfn.ANCHORARRAY(Sintesi!$C$15)&lt;0),0),0)</f>
        <v>1</v>
      </c>
      <c r="D186" s="1">
        <f t="array" ref="D186">IF(ISBLANK($E187),IF(ISNUMBER($E185),IF($C186&gt;0,IF(($E186=INDEX(_xlfn.ANCHORARRAY(Sintesi!$C$14),1,$C186))*(INDEX(_xlfn.ANCHORARRAY(Sintesi!$C$15),1,$C186)&gt;0),0,IF(($E186=INDEX(_xlfn.ANCHORARRAY(Sintesi!$C$14),1,$C186))*(INDEX(_xlfn.ANCHORARRAY(Sintesi!$C$15),1,$C186)&lt;0)+($E186&gt;=$E185)*($E186&lt;=INDEX($E:$E,MATCH(TRUE,INDEX((ISNUMBER($E:$E)),0),0)))*($E186&gt;INDEX(_xlfn.ANCHORARRAY(Sintesi!$C$14),1,$C186))*($E186&lt;=INDEX(_xlfn.ANCHORARRAY(Sintesi!$C$15),1,$C186))*(INDEX(_xlfn.ANCHORARRAY(Sintesi!$C$15),1,$C186)&gt;0),1,IF(($E186&gt;=$E185)*($E186&lt;=INDEX($E:$E,MATCH(TRUE,INDEX((ISNUMBER($E:$E)),0),0)))*($E186&gt;INDEX(_xlfn.ANCHORARRAY(Sintesi!$C$14),1,$C186))*($E186&lt;INDEX(_xlfn.ANCHORARRAY(Sintesi!$C$16),1,$C186))*(INDEX(_xlfn.ANCHORARRAY(Sintesi!$C$15),1,$C186)&lt;0)+($E186&gt;=$E185)*($E186&lt;=INDEX($E:$E,MATCH(TRUE,INDEX((ISNUMBER($E:$E)),0),0)))*($E186&gt;INDEX(_xlfn.ANCHORARRAY(Sintesi!$C$15),1,$C186))*($E186&lt;INDEX(_xlfn.ANCHORARRAY(Sintesi!$C$16),1,$C186))*(INDEX(_xlfn.ANCHORARRAY(Sintesi!$C$15),1,$C186)&gt;0),2,IF($E186=(INDEX(_xlfn.ANCHORARRAY(Sintesi!$C$16),1,$C186)),3,4)))),0),IF($C186&gt;0,IF(($E186=INDEX(_xlfn.ANCHORARRAY(Sintesi!$C$14),1,$C186))*(INDEX(_xlfn.ANCHORARRAY(Sintesi!$C$15),1,$C186)&gt;0),0,IF(($E186=INDEX(_xlfn.ANCHORARRAY(Sintesi!$C$14),1,$C186))*(INDEX(_xlfn.ANCHORARRAY(Sintesi!$C$15),1,$C186)&lt;0)+($E186&gt;=LOOKUP(2,1/($E:$E&lt;&gt;""),$E:$E))*($E186&lt;=INDEX($E:$E,MATCH(TRUE,INDEX((ISNUMBER($E:$E)),0),0)))*($E186&gt;INDEX(_xlfn.ANCHORARRAY(Sintesi!$C$14),1,$C186))*($E186&lt;=INDEX(_xlfn.ANCHORARRAY(Sintesi!$C$15),1,$C186))*(INDEX(_xlfn.ANCHORARRAY(Sintesi!$C$15),1,$C186)&gt;0),1,IF(($E186&gt;=LOOKUP(2,1/($E:$E&lt;&gt;""),$E:$E))*($E186&lt;=INDEX($E:$E,MATCH(TRUE,INDEX((ISNUMBER($E:$E)),0),0)))*($E186&gt;INDEX(_xlfn.ANCHORARRAY(Sintesi!$C$14),1,$C186))*($E186&lt;INDEX(_xlfn.ANCHORARRAY(Sintesi!$C$16),1,$C186))*(INDEX(_xlfn.ANCHORARRAY(Sintesi!$C$15),1,$C186)&lt;0)+($E186&gt;=LOOKUP(2,1/($E:$E&lt;&gt;""),$E:$E))*($E186&lt;=INDEX($E:$E,MATCH(TRUE,INDEX((ISNUMBER($E:$E)),0),0)))*($E186&gt;INDEX(_xlfn.ANCHORARRAY(Sintesi!$C$15),1,$C186))*($E186&lt;INDEX(_xlfn.ANCHORARRAY(Sintesi!$C$16),1,$C186))*(INDEX(_xlfn.ANCHORARRAY(Sintesi!$C$15),1,$C186)&gt;0),2,IF($E186=(INDEX(_xlfn.ANCHORARRAY(Sintesi!$C$16),1,$C186)),3,4)))),0)),IF(ISNUMBER($E185),IF($C186&gt;0,IF(($E186=INDEX(_xlfn.ANCHORARRAY(Sintesi!$C$14),1,$C186))*(INDEX(_xlfn.ANCHORARRAY(Sintesi!$C$15),1,$C186)&gt;0),0,IF(($E186=INDEX(_xlfn.ANCHORARRAY(Sintesi!$C$14),1,$C186))*(INDEX(_xlfn.ANCHORARRAY(Sintesi!$C$15),1,$C186)&lt;0)+($E186&gt;=$E185)*($E186&lt;=$E187)*($E186&gt;INDEX(_xlfn.ANCHORARRAY(Sintesi!$C$14),1,$C186))*($E186&lt;=INDEX(_xlfn.ANCHORARRAY(Sintesi!$C$15),1,$C186))*(INDEX(_xlfn.ANCHORARRAY(Sintesi!$C$15),1,$C186)&gt;0),1,IF(($E186&gt;=$E185)*($E186&lt;=$E187)*($E186&gt;INDEX(_xlfn.ANCHORARRAY(Sintesi!$C$14),1,$C186))*($E186&lt;INDEX(_xlfn.ANCHORARRAY(Sintesi!$C$16),1,$C186))*(INDEX(_xlfn.ANCHORARRAY(Sintesi!$C$15),1,$C186)&lt;0)+($E186&gt;=$E185)*($E186&lt;=$E187)*($E186&gt;INDEX(_xlfn.ANCHORARRAY(Sintesi!$C$15),1,$C186))*($E186&lt;INDEX(_xlfn.ANCHORARRAY(Sintesi!$C$16),1,$C186))*(INDEX(_xlfn.ANCHORARRAY(Sintesi!$C$15),1,$C186)&gt;0),2,IF($E186=(INDEX(_xlfn.ANCHORARRAY(Sintesi!$C$16),1,$C186)),3,4)))),0),IF($C186&gt;0,IF(($E186=INDEX(_xlfn.ANCHORARRAY(Sintesi!$C$14),1,$C186))*(INDEX(_xlfn.ANCHORARRAY(Sintesi!$C$15),1,$C186)&gt;0),0,IF(($E186=INDEX(_xlfn.ANCHORARRAY(Sintesi!$C$14),1,$C186))*(INDEX(_xlfn.ANCHORARRAY(Sintesi!$C$15),1,$C186)&lt;0)+($E186&gt;=LOOKUP(2,1/($E:$E&lt;&gt;""),$E:$E))*($E186&lt;=$E187)*($E186&gt;INDEX(_xlfn.ANCHORARRAY(Sintesi!$C$14),1,$C186))*($E186&lt;=INDEX(_xlfn.ANCHORARRAY(Sintesi!$C$15),1,$C186))*(INDEX(_xlfn.ANCHORARRAY(Sintesi!$C$15),1,$C186)&gt;0),1,IF(($E186&gt;=LOOKUP(2,1/($E:$E&lt;&gt;""),$E:$E))*($E186&lt;=$E187)*($E186&gt;INDEX(_xlfn.ANCHORARRAY(Sintesi!$C$14),1,$C186))*($E186&lt;INDEX(_xlfn.ANCHORARRAY(Sintesi!$C$16),1,$C186))*(INDEX(_xlfn.ANCHORARRAY(Sintesi!$C$15),1,$C186)&lt;0)+($E186&gt;=LOOKUP(2,1/($E:$E&lt;&gt;""),$E:$E))*($E186&lt;=$E187)*($E186&gt;INDEX(_xlfn.ANCHORARRAY(Sintesi!$C$15),1,$C186))*($E186&lt;INDEX(_xlfn.ANCHORARRAY(Sintesi!$C$16),1,$C186))*(INDEX(_xlfn.ANCHORARRAY(Sintesi!$C$15),1,$C186)&gt;0),2,IF($E186=(INDEX(_xlfn.ANCHORARRAY(Sintesi!$C$16),1,$C186)),3,4)))),0)))</f>
        <v>3</v>
      </c>
      <c r="E186" s="1">
        <f>'Paste cell here'!F186</f>
        <v>1.0469999999999999</v>
      </c>
      <c r="F186" s="1">
        <f>'Paste cell here'!C186</f>
        <v>25.779999999999628</v>
      </c>
      <c r="G186" s="1">
        <f>'Paste cell here'!D186</f>
        <v>17.619999999999759</v>
      </c>
      <c r="H186" s="1">
        <f>'Paste cell here'!E186</f>
        <v>2.1938363942991299</v>
      </c>
      <c r="I186" s="1">
        <f>'Paste cell here'!X186</f>
        <v>2.2967414393003662</v>
      </c>
      <c r="J186" s="1">
        <f>'Paste cell here'!Y186+'Paste cell here'!S186</f>
        <v>2.2967414393003662</v>
      </c>
      <c r="K186" s="1">
        <f t="shared" si="4"/>
        <v>1.046906435351626</v>
      </c>
      <c r="L186" s="1">
        <f t="shared" si="5"/>
        <v>23.131268220113263</v>
      </c>
      <c r="M186" s="1">
        <f t="array" ref="M186">IF(AND(A186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186&gt;=_xlfn.ANCHORARRAY(Sintesi!$C$9))+(_xlfn.ANCHORARRAY(Sintesi!$C$9)&gt;_xlfn.ANCHORARRAY(Sintesi!$C$10))*(A186&lt;=_xlfn.ANCHORARRAY(Sintesi!$C$10))+(_xlfn.ANCHORARRAY(Sintesi!$C$9)&lt;_xlfn.ANCHORARRAY(Sintesi!$C$10))*(A186&gt;=_xlfn.ANCHORARRAY(Sintesi!$C$9))*(A186&lt;=_xlfn.ANCHORARRAY(Sintesi!$C$10)),0)),0),A186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187&gt;=_xlfn.ANCHORARRAY(Sintesi!$C$9))+(_xlfn.ANCHORARRAY(Sintesi!$C$9)&gt;_xlfn.ANCHORARRAY(Sintesi!$C$10))*(A187&lt;=_xlfn.ANCHORARRAY(Sintesi!$C$10))+(_xlfn.ANCHORARRAY(Sintesi!$C$9)&lt;_xlfn.ANCHORARRAY(Sintesi!$C$10))*(A187&gt;=_xlfn.ANCHORARRAY(Sintesi!$C$9))*(A187&lt;=_xlfn.ANCHORARRAY(Sintesi!$C$10)),0)),0)),IF(L186&lt;_xlfn.IFNA(INDEX(_xlfn.ANCHORARRAY(Sintesi!$C$17),1,MATCH(1,(_xlfn.ANCHORARRAY(Sintesi!$C$9)&gt;_xlfn.ANCHORARRAY(Sintesi!$C$10))*(A185&gt;=_xlfn.ANCHORARRAY(Sintesi!$C$9))+(_xlfn.ANCHORARRAY(Sintesi!$C$9)&gt;_xlfn.ANCHORARRAY(Sintesi!$C$10))*(A185&lt;=_xlfn.ANCHORARRAY(Sintesi!$C$10))+(_xlfn.ANCHORARRAY(Sintesi!$C$9)&lt;_xlfn.ANCHORARRAY(Sintesi!$C$10))*(A185&gt;=_xlfn.ANCHORARRAY(Sintesi!$C$9))*(A185&lt;=_xlfn.ANCHORARRAY(Sintesi!$C$10)),0)),0),1,IF(L186&gt;=_xlfn.IFNA(INDEX(_xlfn.ANCHORARRAY(Sintesi!$C$18),1,MATCH(1,(_xlfn.ANCHORARRAY(Sintesi!$C$9)&gt;_xlfn.ANCHORARRAY(Sintesi!$C$10))*(A185&gt;=_xlfn.ANCHORARRAY(Sintesi!$C$9))+(_xlfn.ANCHORARRAY(Sintesi!$C$9)&gt;_xlfn.ANCHORARRAY(Sintesi!$C$10))*(A185&lt;=_xlfn.ANCHORARRAY(Sintesi!$C$10))+(_xlfn.ANCHORARRAY(Sintesi!$C$9)&lt;_xlfn.ANCHORARRAY(Sintesi!$C$10))*(A185&gt;=_xlfn.ANCHORARRAY(Sintesi!$C$9))*(A185&lt;=_xlfn.ANCHORARRAY(Sintesi!$C$10)),0)),0),0,1-(L186-_xlfn.IFNA(INDEX(_xlfn.ANCHORARRAY(Sintesi!$C$17),1,MATCH(1,(_xlfn.ANCHORARRAY(Sintesi!$C$9)&gt;_xlfn.ANCHORARRAY(Sintesi!$C$10))*(A185&gt;=_xlfn.ANCHORARRAY(Sintesi!$C$9))+(_xlfn.ANCHORARRAY(Sintesi!$C$9)&gt;_xlfn.ANCHORARRAY(Sintesi!$C$10))*(A185&lt;=_xlfn.ANCHORARRAY(Sintesi!$C$10))+(_xlfn.ANCHORARRAY(Sintesi!$C$9)&lt;_xlfn.ANCHORARRAY(Sintesi!$C$10))*(A185&gt;=_xlfn.ANCHORARRAY(Sintesi!$C$9))*(A185&lt;=_xlfn.ANCHORARRAY(Sintesi!$C$10)),0)),0))/(_xlfn.IFNA(INDEX(_xlfn.ANCHORARRAY(Sintesi!$C$18),1,MATCH(1,(_xlfn.ANCHORARRAY(Sintesi!$C$9)&gt;_xlfn.ANCHORARRAY(Sintesi!$C$10))*(A185&gt;=_xlfn.ANCHORARRAY(Sintesi!$C$9))+(_xlfn.ANCHORARRAY(Sintesi!$C$9)&gt;_xlfn.ANCHORARRAY(Sintesi!$C$10))*(A185&lt;=_xlfn.ANCHORARRAY(Sintesi!$C$10))+(_xlfn.ANCHORARRAY(Sintesi!$C$9)&lt;_xlfn.ANCHORARRAY(Sintesi!$C$10))*(A185&gt;=_xlfn.ANCHORARRAY(Sintesi!$C$9))*(A185&lt;=_xlfn.ANCHORARRAY(Sintesi!$C$10)),0)),0)-_xlfn.IFNA(INDEX(_xlfn.ANCHORARRAY(Sintesi!$C$17),1,MATCH(1,(_xlfn.ANCHORARRAY(Sintesi!$C$9)&gt;_xlfn.ANCHORARRAY(Sintesi!$C$10))*(A185&gt;=_xlfn.ANCHORARRAY(Sintesi!$C$9))+(_xlfn.ANCHORARRAY(Sintesi!$C$9)&gt;_xlfn.ANCHORARRAY(Sintesi!$C$10))*(A185&lt;=_xlfn.ANCHORARRAY(Sintesi!$C$10))+(_xlfn.ANCHORARRAY(Sintesi!$C$9)&lt;_xlfn.ANCHORARRAY(Sintesi!$C$10))*(A185&gt;=_xlfn.ANCHORARRAY(Sintesi!$C$9))*(A185&lt;=_xlfn.ANCHORARRAY(Sintesi!$C$10)),0)),0)))),0)</f>
        <v>1</v>
      </c>
    </row>
    <row r="187" spans="1:13">
      <c r="A187" s="1">
        <f>'Paste cell here'!A187</f>
        <v>186</v>
      </c>
      <c r="B187" s="2">
        <f>DATE(Sintesi!$C$4-1,12,31)+A187</f>
        <v>44382</v>
      </c>
      <c r="C187" s="34">
        <f t="array" ref="C187">_xlfn.IFNA(MATCH(1,((_xlfn.ANCHORARRAY(Sintesi!$C$9)&gt;_xlfn.ANCHORARRAY(Sintesi!$C$10))*(A187&gt;=_xlfn.ANCHORARRAY(Sintesi!$C$9))+(_xlfn.ANCHORARRAY(Sintesi!$C$9)&gt;_xlfn.ANCHORARRAY(Sintesi!$C$10))*(A187&lt;=_xlfn.ANCHORARRAY(Sintesi!$C$10))+(_xlfn.ANCHORARRAY(Sintesi!$C$9)&lt;_xlfn.ANCHORARRAY(Sintesi!$C$10))*(A187&gt;=_xlfn.ANCHORARRAY(Sintesi!$C$9))*(A187&lt;=_xlfn.ANCHORARRAY(Sintesi!$C$10)))*(_xlfn.ANCHORARRAY(Sintesi!$C$15)&gt;=0)+(_xlfn.ANCHORARRAY(Sintesi!$C$15)&lt;0),0),0)</f>
        <v>1</v>
      </c>
      <c r="D187" s="1">
        <f t="array" ref="D187">IF(ISBLANK($E188),IF(ISNUMBER($E186),IF($C187&gt;0,IF(($E187=INDEX(_xlfn.ANCHORARRAY(Sintesi!$C$14),1,$C187))*(INDEX(_xlfn.ANCHORARRAY(Sintesi!$C$15),1,$C187)&gt;0),0,IF(($E187=INDEX(_xlfn.ANCHORARRAY(Sintesi!$C$14),1,$C187))*(INDEX(_xlfn.ANCHORARRAY(Sintesi!$C$15),1,$C187)&lt;0)+($E187&gt;=$E186)*($E187&lt;=INDEX($E:$E,MATCH(TRUE,INDEX((ISNUMBER($E:$E)),0),0)))*($E187&gt;INDEX(_xlfn.ANCHORARRAY(Sintesi!$C$14),1,$C187))*($E187&lt;=INDEX(_xlfn.ANCHORARRAY(Sintesi!$C$15),1,$C187))*(INDEX(_xlfn.ANCHORARRAY(Sintesi!$C$15),1,$C187)&gt;0),1,IF(($E187&gt;=$E186)*($E187&lt;=INDEX($E:$E,MATCH(TRUE,INDEX((ISNUMBER($E:$E)),0),0)))*($E187&gt;INDEX(_xlfn.ANCHORARRAY(Sintesi!$C$14),1,$C187))*($E187&lt;INDEX(_xlfn.ANCHORARRAY(Sintesi!$C$16),1,$C187))*(INDEX(_xlfn.ANCHORARRAY(Sintesi!$C$15),1,$C187)&lt;0)+($E187&gt;=$E186)*($E187&lt;=INDEX($E:$E,MATCH(TRUE,INDEX((ISNUMBER($E:$E)),0),0)))*($E187&gt;INDEX(_xlfn.ANCHORARRAY(Sintesi!$C$15),1,$C187))*($E187&lt;INDEX(_xlfn.ANCHORARRAY(Sintesi!$C$16),1,$C187))*(INDEX(_xlfn.ANCHORARRAY(Sintesi!$C$15),1,$C187)&gt;0),2,IF($E187=(INDEX(_xlfn.ANCHORARRAY(Sintesi!$C$16),1,$C187)),3,4)))),0),IF($C187&gt;0,IF(($E187=INDEX(_xlfn.ANCHORARRAY(Sintesi!$C$14),1,$C187))*(INDEX(_xlfn.ANCHORARRAY(Sintesi!$C$15),1,$C187)&gt;0),0,IF(($E187=INDEX(_xlfn.ANCHORARRAY(Sintesi!$C$14),1,$C187))*(INDEX(_xlfn.ANCHORARRAY(Sintesi!$C$15),1,$C187)&lt;0)+($E187&gt;=LOOKUP(2,1/($E:$E&lt;&gt;""),$E:$E))*($E187&lt;=INDEX($E:$E,MATCH(TRUE,INDEX((ISNUMBER($E:$E)),0),0)))*($E187&gt;INDEX(_xlfn.ANCHORARRAY(Sintesi!$C$14),1,$C187))*($E187&lt;=INDEX(_xlfn.ANCHORARRAY(Sintesi!$C$15),1,$C187))*(INDEX(_xlfn.ANCHORARRAY(Sintesi!$C$15),1,$C187)&gt;0),1,IF(($E187&gt;=LOOKUP(2,1/($E:$E&lt;&gt;""),$E:$E))*($E187&lt;=INDEX($E:$E,MATCH(TRUE,INDEX((ISNUMBER($E:$E)),0),0)))*($E187&gt;INDEX(_xlfn.ANCHORARRAY(Sintesi!$C$14),1,$C187))*($E187&lt;INDEX(_xlfn.ANCHORARRAY(Sintesi!$C$16),1,$C187))*(INDEX(_xlfn.ANCHORARRAY(Sintesi!$C$15),1,$C187)&lt;0)+($E187&gt;=LOOKUP(2,1/($E:$E&lt;&gt;""),$E:$E))*($E187&lt;=INDEX($E:$E,MATCH(TRUE,INDEX((ISNUMBER($E:$E)),0),0)))*($E187&gt;INDEX(_xlfn.ANCHORARRAY(Sintesi!$C$15),1,$C187))*($E187&lt;INDEX(_xlfn.ANCHORARRAY(Sintesi!$C$16),1,$C187))*(INDEX(_xlfn.ANCHORARRAY(Sintesi!$C$15),1,$C187)&gt;0),2,IF($E187=(INDEX(_xlfn.ANCHORARRAY(Sintesi!$C$16),1,$C187)),3,4)))),0)),IF(ISNUMBER($E186),IF($C187&gt;0,IF(($E187=INDEX(_xlfn.ANCHORARRAY(Sintesi!$C$14),1,$C187))*(INDEX(_xlfn.ANCHORARRAY(Sintesi!$C$15),1,$C187)&gt;0),0,IF(($E187=INDEX(_xlfn.ANCHORARRAY(Sintesi!$C$14),1,$C187))*(INDEX(_xlfn.ANCHORARRAY(Sintesi!$C$15),1,$C187)&lt;0)+($E187&gt;=$E186)*($E187&lt;=$E188)*($E187&gt;INDEX(_xlfn.ANCHORARRAY(Sintesi!$C$14),1,$C187))*($E187&lt;=INDEX(_xlfn.ANCHORARRAY(Sintesi!$C$15),1,$C187))*(INDEX(_xlfn.ANCHORARRAY(Sintesi!$C$15),1,$C187)&gt;0),1,IF(($E187&gt;=$E186)*($E187&lt;=$E188)*($E187&gt;INDEX(_xlfn.ANCHORARRAY(Sintesi!$C$14),1,$C187))*($E187&lt;INDEX(_xlfn.ANCHORARRAY(Sintesi!$C$16),1,$C187))*(INDEX(_xlfn.ANCHORARRAY(Sintesi!$C$15),1,$C187)&lt;0)+($E187&gt;=$E186)*($E187&lt;=$E188)*($E187&gt;INDEX(_xlfn.ANCHORARRAY(Sintesi!$C$15),1,$C187))*($E187&lt;INDEX(_xlfn.ANCHORARRAY(Sintesi!$C$16),1,$C187))*(INDEX(_xlfn.ANCHORARRAY(Sintesi!$C$15),1,$C187)&gt;0),2,IF($E187=(INDEX(_xlfn.ANCHORARRAY(Sintesi!$C$16),1,$C187)),3,4)))),0),IF($C187&gt;0,IF(($E187=INDEX(_xlfn.ANCHORARRAY(Sintesi!$C$14),1,$C187))*(INDEX(_xlfn.ANCHORARRAY(Sintesi!$C$15),1,$C187)&gt;0),0,IF(($E187=INDEX(_xlfn.ANCHORARRAY(Sintesi!$C$14),1,$C187))*(INDEX(_xlfn.ANCHORARRAY(Sintesi!$C$15),1,$C187)&lt;0)+($E187&gt;=LOOKUP(2,1/($E:$E&lt;&gt;""),$E:$E))*($E187&lt;=$E188)*($E187&gt;INDEX(_xlfn.ANCHORARRAY(Sintesi!$C$14),1,$C187))*($E187&lt;=INDEX(_xlfn.ANCHORARRAY(Sintesi!$C$15),1,$C187))*(INDEX(_xlfn.ANCHORARRAY(Sintesi!$C$15),1,$C187)&gt;0),1,IF(($E187&gt;=LOOKUP(2,1/($E:$E&lt;&gt;""),$E:$E))*($E187&lt;=$E188)*($E187&gt;INDEX(_xlfn.ANCHORARRAY(Sintesi!$C$14),1,$C187))*($E187&lt;INDEX(_xlfn.ANCHORARRAY(Sintesi!$C$16),1,$C187))*(INDEX(_xlfn.ANCHORARRAY(Sintesi!$C$15),1,$C187)&lt;0)+($E187&gt;=LOOKUP(2,1/($E:$E&lt;&gt;""),$E:$E))*($E187&lt;=$E188)*($E187&gt;INDEX(_xlfn.ANCHORARRAY(Sintesi!$C$15),1,$C187))*($E187&lt;INDEX(_xlfn.ANCHORARRAY(Sintesi!$C$16),1,$C187))*(INDEX(_xlfn.ANCHORARRAY(Sintesi!$C$15),1,$C187)&gt;0),2,IF($E187=(INDEX(_xlfn.ANCHORARRAY(Sintesi!$C$16),1,$C187)),3,4)))),0)))</f>
        <v>3</v>
      </c>
      <c r="E187" s="1">
        <f>'Paste cell here'!F187</f>
        <v>1.0469999999999999</v>
      </c>
      <c r="F187" s="1">
        <f>'Paste cell here'!C187</f>
        <v>31.179999999999559</v>
      </c>
      <c r="G187" s="1">
        <f>'Paste cell here'!D187</f>
        <v>15.379999999999791</v>
      </c>
      <c r="H187" s="1">
        <f>'Paste cell here'!E187</f>
        <v>4.9603343514557627</v>
      </c>
      <c r="I187" s="1">
        <f>'Paste cell here'!X187</f>
        <v>5.1930140009617363</v>
      </c>
      <c r="J187" s="1">
        <f>'Paste cell here'!Y187+'Paste cell here'!S187</f>
        <v>5.1930140009617363</v>
      </c>
      <c r="K187" s="1">
        <f t="shared" si="4"/>
        <v>1.0469080576065777</v>
      </c>
      <c r="L187" s="1">
        <f t="shared" si="5"/>
        <v>26.051328171298003</v>
      </c>
      <c r="M187" s="1">
        <f t="array" ref="M187">IF(AND(A187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187&gt;=_xlfn.ANCHORARRAY(Sintesi!$C$9))+(_xlfn.ANCHORARRAY(Sintesi!$C$9)&gt;_xlfn.ANCHORARRAY(Sintesi!$C$10))*(A187&lt;=_xlfn.ANCHORARRAY(Sintesi!$C$10))+(_xlfn.ANCHORARRAY(Sintesi!$C$9)&lt;_xlfn.ANCHORARRAY(Sintesi!$C$10))*(A187&gt;=_xlfn.ANCHORARRAY(Sintesi!$C$9))*(A187&lt;=_xlfn.ANCHORARRAY(Sintesi!$C$10)),0)),0),A187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188&gt;=_xlfn.ANCHORARRAY(Sintesi!$C$9))+(_xlfn.ANCHORARRAY(Sintesi!$C$9)&gt;_xlfn.ANCHORARRAY(Sintesi!$C$10))*(A188&lt;=_xlfn.ANCHORARRAY(Sintesi!$C$10))+(_xlfn.ANCHORARRAY(Sintesi!$C$9)&lt;_xlfn.ANCHORARRAY(Sintesi!$C$10))*(A188&gt;=_xlfn.ANCHORARRAY(Sintesi!$C$9))*(A188&lt;=_xlfn.ANCHORARRAY(Sintesi!$C$10)),0)),0)),IF(L187&lt;_xlfn.IFNA(INDEX(_xlfn.ANCHORARRAY(Sintesi!$C$17),1,MATCH(1,(_xlfn.ANCHORARRAY(Sintesi!$C$9)&gt;_xlfn.ANCHORARRAY(Sintesi!$C$10))*(A186&gt;=_xlfn.ANCHORARRAY(Sintesi!$C$9))+(_xlfn.ANCHORARRAY(Sintesi!$C$9)&gt;_xlfn.ANCHORARRAY(Sintesi!$C$10))*(A186&lt;=_xlfn.ANCHORARRAY(Sintesi!$C$10))+(_xlfn.ANCHORARRAY(Sintesi!$C$9)&lt;_xlfn.ANCHORARRAY(Sintesi!$C$10))*(A186&gt;=_xlfn.ANCHORARRAY(Sintesi!$C$9))*(A186&lt;=_xlfn.ANCHORARRAY(Sintesi!$C$10)),0)),0),1,IF(L187&gt;=_xlfn.IFNA(INDEX(_xlfn.ANCHORARRAY(Sintesi!$C$18),1,MATCH(1,(_xlfn.ANCHORARRAY(Sintesi!$C$9)&gt;_xlfn.ANCHORARRAY(Sintesi!$C$10))*(A186&gt;=_xlfn.ANCHORARRAY(Sintesi!$C$9))+(_xlfn.ANCHORARRAY(Sintesi!$C$9)&gt;_xlfn.ANCHORARRAY(Sintesi!$C$10))*(A186&lt;=_xlfn.ANCHORARRAY(Sintesi!$C$10))+(_xlfn.ANCHORARRAY(Sintesi!$C$9)&lt;_xlfn.ANCHORARRAY(Sintesi!$C$10))*(A186&gt;=_xlfn.ANCHORARRAY(Sintesi!$C$9))*(A186&lt;=_xlfn.ANCHORARRAY(Sintesi!$C$10)),0)),0),0,1-(L187-_xlfn.IFNA(INDEX(_xlfn.ANCHORARRAY(Sintesi!$C$17),1,MATCH(1,(_xlfn.ANCHORARRAY(Sintesi!$C$9)&gt;_xlfn.ANCHORARRAY(Sintesi!$C$10))*(A186&gt;=_xlfn.ANCHORARRAY(Sintesi!$C$9))+(_xlfn.ANCHORARRAY(Sintesi!$C$9)&gt;_xlfn.ANCHORARRAY(Sintesi!$C$10))*(A186&lt;=_xlfn.ANCHORARRAY(Sintesi!$C$10))+(_xlfn.ANCHORARRAY(Sintesi!$C$9)&lt;_xlfn.ANCHORARRAY(Sintesi!$C$10))*(A186&gt;=_xlfn.ANCHORARRAY(Sintesi!$C$9))*(A186&lt;=_xlfn.ANCHORARRAY(Sintesi!$C$10)),0)),0))/(_xlfn.IFNA(INDEX(_xlfn.ANCHORARRAY(Sintesi!$C$18),1,MATCH(1,(_xlfn.ANCHORARRAY(Sintesi!$C$9)&gt;_xlfn.ANCHORARRAY(Sintesi!$C$10))*(A186&gt;=_xlfn.ANCHORARRAY(Sintesi!$C$9))+(_xlfn.ANCHORARRAY(Sintesi!$C$9)&gt;_xlfn.ANCHORARRAY(Sintesi!$C$10))*(A186&lt;=_xlfn.ANCHORARRAY(Sintesi!$C$10))+(_xlfn.ANCHORARRAY(Sintesi!$C$9)&lt;_xlfn.ANCHORARRAY(Sintesi!$C$10))*(A186&gt;=_xlfn.ANCHORARRAY(Sintesi!$C$9))*(A186&lt;=_xlfn.ANCHORARRAY(Sintesi!$C$10)),0)),0)-_xlfn.IFNA(INDEX(_xlfn.ANCHORARRAY(Sintesi!$C$17),1,MATCH(1,(_xlfn.ANCHORARRAY(Sintesi!$C$9)&gt;_xlfn.ANCHORARRAY(Sintesi!$C$10))*(A186&gt;=_xlfn.ANCHORARRAY(Sintesi!$C$9))+(_xlfn.ANCHORARRAY(Sintesi!$C$9)&gt;_xlfn.ANCHORARRAY(Sintesi!$C$10))*(A186&lt;=_xlfn.ANCHORARRAY(Sintesi!$C$10))+(_xlfn.ANCHORARRAY(Sintesi!$C$9)&lt;_xlfn.ANCHORARRAY(Sintesi!$C$10))*(A186&gt;=_xlfn.ANCHORARRAY(Sintesi!$C$9))*(A186&lt;=_xlfn.ANCHORARRAY(Sintesi!$C$10)),0)),0)))),0)</f>
        <v>1</v>
      </c>
    </row>
    <row r="188" spans="1:13">
      <c r="A188" s="1">
        <f>'Paste cell here'!A188</f>
        <v>187</v>
      </c>
      <c r="B188" s="2">
        <f>DATE(Sintesi!$C$4-1,12,31)+A188</f>
        <v>44383</v>
      </c>
      <c r="C188" s="34">
        <f t="array" ref="C188">_xlfn.IFNA(MATCH(1,((_xlfn.ANCHORARRAY(Sintesi!$C$9)&gt;_xlfn.ANCHORARRAY(Sintesi!$C$10))*(A188&gt;=_xlfn.ANCHORARRAY(Sintesi!$C$9))+(_xlfn.ANCHORARRAY(Sintesi!$C$9)&gt;_xlfn.ANCHORARRAY(Sintesi!$C$10))*(A188&lt;=_xlfn.ANCHORARRAY(Sintesi!$C$10))+(_xlfn.ANCHORARRAY(Sintesi!$C$9)&lt;_xlfn.ANCHORARRAY(Sintesi!$C$10))*(A188&gt;=_xlfn.ANCHORARRAY(Sintesi!$C$9))*(A188&lt;=_xlfn.ANCHORARRAY(Sintesi!$C$10)))*(_xlfn.ANCHORARRAY(Sintesi!$C$15)&gt;=0)+(_xlfn.ANCHORARRAY(Sintesi!$C$15)&lt;0),0),0)</f>
        <v>1</v>
      </c>
      <c r="D188" s="1">
        <f t="array" ref="D188">IF(ISBLANK($E189),IF(ISNUMBER($E187),IF($C188&gt;0,IF(($E188=INDEX(_xlfn.ANCHORARRAY(Sintesi!$C$14),1,$C188))*(INDEX(_xlfn.ANCHORARRAY(Sintesi!$C$15),1,$C188)&gt;0),0,IF(($E188=INDEX(_xlfn.ANCHORARRAY(Sintesi!$C$14),1,$C188))*(INDEX(_xlfn.ANCHORARRAY(Sintesi!$C$15),1,$C188)&lt;0)+($E188&gt;=$E187)*($E188&lt;=INDEX($E:$E,MATCH(TRUE,INDEX((ISNUMBER($E:$E)),0),0)))*($E188&gt;INDEX(_xlfn.ANCHORARRAY(Sintesi!$C$14),1,$C188))*($E188&lt;=INDEX(_xlfn.ANCHORARRAY(Sintesi!$C$15),1,$C188))*(INDEX(_xlfn.ANCHORARRAY(Sintesi!$C$15),1,$C188)&gt;0),1,IF(($E188&gt;=$E187)*($E188&lt;=INDEX($E:$E,MATCH(TRUE,INDEX((ISNUMBER($E:$E)),0),0)))*($E188&gt;INDEX(_xlfn.ANCHORARRAY(Sintesi!$C$14),1,$C188))*($E188&lt;INDEX(_xlfn.ANCHORARRAY(Sintesi!$C$16),1,$C188))*(INDEX(_xlfn.ANCHORARRAY(Sintesi!$C$15),1,$C188)&lt;0)+($E188&gt;=$E187)*($E188&lt;=INDEX($E:$E,MATCH(TRUE,INDEX((ISNUMBER($E:$E)),0),0)))*($E188&gt;INDEX(_xlfn.ANCHORARRAY(Sintesi!$C$15),1,$C188))*($E188&lt;INDEX(_xlfn.ANCHORARRAY(Sintesi!$C$16),1,$C188))*(INDEX(_xlfn.ANCHORARRAY(Sintesi!$C$15),1,$C188)&gt;0),2,IF($E188=(INDEX(_xlfn.ANCHORARRAY(Sintesi!$C$16),1,$C188)),3,4)))),0),IF($C188&gt;0,IF(($E188=INDEX(_xlfn.ANCHORARRAY(Sintesi!$C$14),1,$C188))*(INDEX(_xlfn.ANCHORARRAY(Sintesi!$C$15),1,$C188)&gt;0),0,IF(($E188=INDEX(_xlfn.ANCHORARRAY(Sintesi!$C$14),1,$C188))*(INDEX(_xlfn.ANCHORARRAY(Sintesi!$C$15),1,$C188)&lt;0)+($E188&gt;=LOOKUP(2,1/($E:$E&lt;&gt;""),$E:$E))*($E188&lt;=INDEX($E:$E,MATCH(TRUE,INDEX((ISNUMBER($E:$E)),0),0)))*($E188&gt;INDEX(_xlfn.ANCHORARRAY(Sintesi!$C$14),1,$C188))*($E188&lt;=INDEX(_xlfn.ANCHORARRAY(Sintesi!$C$15),1,$C188))*(INDEX(_xlfn.ANCHORARRAY(Sintesi!$C$15),1,$C188)&gt;0),1,IF(($E188&gt;=LOOKUP(2,1/($E:$E&lt;&gt;""),$E:$E))*($E188&lt;=INDEX($E:$E,MATCH(TRUE,INDEX((ISNUMBER($E:$E)),0),0)))*($E188&gt;INDEX(_xlfn.ANCHORARRAY(Sintesi!$C$14),1,$C188))*($E188&lt;INDEX(_xlfn.ANCHORARRAY(Sintesi!$C$16),1,$C188))*(INDEX(_xlfn.ANCHORARRAY(Sintesi!$C$15),1,$C188)&lt;0)+($E188&gt;=LOOKUP(2,1/($E:$E&lt;&gt;""),$E:$E))*($E188&lt;=INDEX($E:$E,MATCH(TRUE,INDEX((ISNUMBER($E:$E)),0),0)))*($E188&gt;INDEX(_xlfn.ANCHORARRAY(Sintesi!$C$15),1,$C188))*($E188&lt;INDEX(_xlfn.ANCHORARRAY(Sintesi!$C$16),1,$C188))*(INDEX(_xlfn.ANCHORARRAY(Sintesi!$C$15),1,$C188)&gt;0),2,IF($E188=(INDEX(_xlfn.ANCHORARRAY(Sintesi!$C$16),1,$C188)),3,4)))),0)),IF(ISNUMBER($E187),IF($C188&gt;0,IF(($E188=INDEX(_xlfn.ANCHORARRAY(Sintesi!$C$14),1,$C188))*(INDEX(_xlfn.ANCHORARRAY(Sintesi!$C$15),1,$C188)&gt;0),0,IF(($E188=INDEX(_xlfn.ANCHORARRAY(Sintesi!$C$14),1,$C188))*(INDEX(_xlfn.ANCHORARRAY(Sintesi!$C$15),1,$C188)&lt;0)+($E188&gt;=$E187)*($E188&lt;=$E189)*($E188&gt;INDEX(_xlfn.ANCHORARRAY(Sintesi!$C$14),1,$C188))*($E188&lt;=INDEX(_xlfn.ANCHORARRAY(Sintesi!$C$15),1,$C188))*(INDEX(_xlfn.ANCHORARRAY(Sintesi!$C$15),1,$C188)&gt;0),1,IF(($E188&gt;=$E187)*($E188&lt;=$E189)*($E188&gt;INDEX(_xlfn.ANCHORARRAY(Sintesi!$C$14),1,$C188))*($E188&lt;INDEX(_xlfn.ANCHORARRAY(Sintesi!$C$16),1,$C188))*(INDEX(_xlfn.ANCHORARRAY(Sintesi!$C$15),1,$C188)&lt;0)+($E188&gt;=$E187)*($E188&lt;=$E189)*($E188&gt;INDEX(_xlfn.ANCHORARRAY(Sintesi!$C$15),1,$C188))*($E188&lt;INDEX(_xlfn.ANCHORARRAY(Sintesi!$C$16),1,$C188))*(INDEX(_xlfn.ANCHORARRAY(Sintesi!$C$15),1,$C188)&gt;0),2,IF($E188=(INDEX(_xlfn.ANCHORARRAY(Sintesi!$C$16),1,$C188)),3,4)))),0),IF($C188&gt;0,IF(($E188=INDEX(_xlfn.ANCHORARRAY(Sintesi!$C$14),1,$C188))*(INDEX(_xlfn.ANCHORARRAY(Sintesi!$C$15),1,$C188)&gt;0),0,IF(($E188=INDEX(_xlfn.ANCHORARRAY(Sintesi!$C$14),1,$C188))*(INDEX(_xlfn.ANCHORARRAY(Sintesi!$C$15),1,$C188)&lt;0)+($E188&gt;=LOOKUP(2,1/($E:$E&lt;&gt;""),$E:$E))*($E188&lt;=$E189)*($E188&gt;INDEX(_xlfn.ANCHORARRAY(Sintesi!$C$14),1,$C188))*($E188&lt;=INDEX(_xlfn.ANCHORARRAY(Sintesi!$C$15),1,$C188))*(INDEX(_xlfn.ANCHORARRAY(Sintesi!$C$15),1,$C188)&gt;0),1,IF(($E188&gt;=LOOKUP(2,1/($E:$E&lt;&gt;""),$E:$E))*($E188&lt;=$E189)*($E188&gt;INDEX(_xlfn.ANCHORARRAY(Sintesi!$C$14),1,$C188))*($E188&lt;INDEX(_xlfn.ANCHORARRAY(Sintesi!$C$16),1,$C188))*(INDEX(_xlfn.ANCHORARRAY(Sintesi!$C$15),1,$C188)&lt;0)+($E188&gt;=LOOKUP(2,1/($E:$E&lt;&gt;""),$E:$E))*($E188&lt;=$E189)*($E188&gt;INDEX(_xlfn.ANCHORARRAY(Sintesi!$C$15),1,$C188))*($E188&lt;INDEX(_xlfn.ANCHORARRAY(Sintesi!$C$16),1,$C188))*(INDEX(_xlfn.ANCHORARRAY(Sintesi!$C$15),1,$C188)&gt;0),2,IF($E188=(INDEX(_xlfn.ANCHORARRAY(Sintesi!$C$16),1,$C188)),3,4)))),0)))</f>
        <v>3</v>
      </c>
      <c r="E188" s="1">
        <f>'Paste cell here'!F188</f>
        <v>1.0469999999999999</v>
      </c>
      <c r="F188" s="1">
        <f>'Paste cell here'!C188</f>
        <v>32.459999999999532</v>
      </c>
      <c r="G188" s="1">
        <f>'Paste cell here'!D188</f>
        <v>17.819999999999769</v>
      </c>
      <c r="H188" s="1">
        <f>'Paste cell here'!E188</f>
        <v>5.6137561354718821</v>
      </c>
      <c r="I188" s="1">
        <f>'Paste cell here'!X188</f>
        <v>5.877096131450454</v>
      </c>
      <c r="J188" s="1">
        <f>'Paste cell here'!Y188+'Paste cell here'!S188</f>
        <v>5.877096131450454</v>
      </c>
      <c r="K188" s="1">
        <f t="shared" si="4"/>
        <v>1.0469097676535313</v>
      </c>
      <c r="L188" s="1">
        <f t="shared" si="5"/>
        <v>27.707863571379875</v>
      </c>
      <c r="M188" s="1">
        <f t="array" ref="M188">IF(AND(A188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188&gt;=_xlfn.ANCHORARRAY(Sintesi!$C$9))+(_xlfn.ANCHORARRAY(Sintesi!$C$9)&gt;_xlfn.ANCHORARRAY(Sintesi!$C$10))*(A188&lt;=_xlfn.ANCHORARRAY(Sintesi!$C$10))+(_xlfn.ANCHORARRAY(Sintesi!$C$9)&lt;_xlfn.ANCHORARRAY(Sintesi!$C$10))*(A188&gt;=_xlfn.ANCHORARRAY(Sintesi!$C$9))*(A188&lt;=_xlfn.ANCHORARRAY(Sintesi!$C$10)),0)),0),A188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189&gt;=_xlfn.ANCHORARRAY(Sintesi!$C$9))+(_xlfn.ANCHORARRAY(Sintesi!$C$9)&gt;_xlfn.ANCHORARRAY(Sintesi!$C$10))*(A189&lt;=_xlfn.ANCHORARRAY(Sintesi!$C$10))+(_xlfn.ANCHORARRAY(Sintesi!$C$9)&lt;_xlfn.ANCHORARRAY(Sintesi!$C$10))*(A189&gt;=_xlfn.ANCHORARRAY(Sintesi!$C$9))*(A189&lt;=_xlfn.ANCHORARRAY(Sintesi!$C$10)),0)),0)),IF(L188&lt;_xlfn.IFNA(INDEX(_xlfn.ANCHORARRAY(Sintesi!$C$17),1,MATCH(1,(_xlfn.ANCHORARRAY(Sintesi!$C$9)&gt;_xlfn.ANCHORARRAY(Sintesi!$C$10))*(A187&gt;=_xlfn.ANCHORARRAY(Sintesi!$C$9))+(_xlfn.ANCHORARRAY(Sintesi!$C$9)&gt;_xlfn.ANCHORARRAY(Sintesi!$C$10))*(A187&lt;=_xlfn.ANCHORARRAY(Sintesi!$C$10))+(_xlfn.ANCHORARRAY(Sintesi!$C$9)&lt;_xlfn.ANCHORARRAY(Sintesi!$C$10))*(A187&gt;=_xlfn.ANCHORARRAY(Sintesi!$C$9))*(A187&lt;=_xlfn.ANCHORARRAY(Sintesi!$C$10)),0)),0),1,IF(L188&gt;=_xlfn.IFNA(INDEX(_xlfn.ANCHORARRAY(Sintesi!$C$18),1,MATCH(1,(_xlfn.ANCHORARRAY(Sintesi!$C$9)&gt;_xlfn.ANCHORARRAY(Sintesi!$C$10))*(A187&gt;=_xlfn.ANCHORARRAY(Sintesi!$C$9))+(_xlfn.ANCHORARRAY(Sintesi!$C$9)&gt;_xlfn.ANCHORARRAY(Sintesi!$C$10))*(A187&lt;=_xlfn.ANCHORARRAY(Sintesi!$C$10))+(_xlfn.ANCHORARRAY(Sintesi!$C$9)&lt;_xlfn.ANCHORARRAY(Sintesi!$C$10))*(A187&gt;=_xlfn.ANCHORARRAY(Sintesi!$C$9))*(A187&lt;=_xlfn.ANCHORARRAY(Sintesi!$C$10)),0)),0),0,1-(L188-_xlfn.IFNA(INDEX(_xlfn.ANCHORARRAY(Sintesi!$C$17),1,MATCH(1,(_xlfn.ANCHORARRAY(Sintesi!$C$9)&gt;_xlfn.ANCHORARRAY(Sintesi!$C$10))*(A187&gt;=_xlfn.ANCHORARRAY(Sintesi!$C$9))+(_xlfn.ANCHORARRAY(Sintesi!$C$9)&gt;_xlfn.ANCHORARRAY(Sintesi!$C$10))*(A187&lt;=_xlfn.ANCHORARRAY(Sintesi!$C$10))+(_xlfn.ANCHORARRAY(Sintesi!$C$9)&lt;_xlfn.ANCHORARRAY(Sintesi!$C$10))*(A187&gt;=_xlfn.ANCHORARRAY(Sintesi!$C$9))*(A187&lt;=_xlfn.ANCHORARRAY(Sintesi!$C$10)),0)),0))/(_xlfn.IFNA(INDEX(_xlfn.ANCHORARRAY(Sintesi!$C$18),1,MATCH(1,(_xlfn.ANCHORARRAY(Sintesi!$C$9)&gt;_xlfn.ANCHORARRAY(Sintesi!$C$10))*(A187&gt;=_xlfn.ANCHORARRAY(Sintesi!$C$9))+(_xlfn.ANCHORARRAY(Sintesi!$C$9)&gt;_xlfn.ANCHORARRAY(Sintesi!$C$10))*(A187&lt;=_xlfn.ANCHORARRAY(Sintesi!$C$10))+(_xlfn.ANCHORARRAY(Sintesi!$C$9)&lt;_xlfn.ANCHORARRAY(Sintesi!$C$10))*(A187&gt;=_xlfn.ANCHORARRAY(Sintesi!$C$9))*(A187&lt;=_xlfn.ANCHORARRAY(Sintesi!$C$10)),0)),0)-_xlfn.IFNA(INDEX(_xlfn.ANCHORARRAY(Sintesi!$C$17),1,MATCH(1,(_xlfn.ANCHORARRAY(Sintesi!$C$9)&gt;_xlfn.ANCHORARRAY(Sintesi!$C$10))*(A187&gt;=_xlfn.ANCHORARRAY(Sintesi!$C$9))+(_xlfn.ANCHORARRAY(Sintesi!$C$9)&gt;_xlfn.ANCHORARRAY(Sintesi!$C$10))*(A187&lt;=_xlfn.ANCHORARRAY(Sintesi!$C$10))+(_xlfn.ANCHORARRAY(Sintesi!$C$9)&lt;_xlfn.ANCHORARRAY(Sintesi!$C$10))*(A187&gt;=_xlfn.ANCHORARRAY(Sintesi!$C$9))*(A187&lt;=_xlfn.ANCHORARRAY(Sintesi!$C$10)),0)),0)))),0)</f>
        <v>1</v>
      </c>
    </row>
    <row r="189" spans="1:13">
      <c r="A189" s="1">
        <f>'Paste cell here'!A189</f>
        <v>188</v>
      </c>
      <c r="B189" s="2">
        <f>DATE(Sintesi!$C$4-1,12,31)+A189</f>
        <v>44384</v>
      </c>
      <c r="C189" s="34">
        <f t="array" ref="C189">_xlfn.IFNA(MATCH(1,((_xlfn.ANCHORARRAY(Sintesi!$C$9)&gt;_xlfn.ANCHORARRAY(Sintesi!$C$10))*(A189&gt;=_xlfn.ANCHORARRAY(Sintesi!$C$9))+(_xlfn.ANCHORARRAY(Sintesi!$C$9)&gt;_xlfn.ANCHORARRAY(Sintesi!$C$10))*(A189&lt;=_xlfn.ANCHORARRAY(Sintesi!$C$10))+(_xlfn.ANCHORARRAY(Sintesi!$C$9)&lt;_xlfn.ANCHORARRAY(Sintesi!$C$10))*(A189&gt;=_xlfn.ANCHORARRAY(Sintesi!$C$9))*(A189&lt;=_xlfn.ANCHORARRAY(Sintesi!$C$10)))*(_xlfn.ANCHORARRAY(Sintesi!$C$15)&gt;=0)+(_xlfn.ANCHORARRAY(Sintesi!$C$15)&lt;0),0),0)</f>
        <v>1</v>
      </c>
      <c r="D189" s="1">
        <f t="array" ref="D189">IF(ISBLANK($E190),IF(ISNUMBER($E188),IF($C189&gt;0,IF(($E189=INDEX(_xlfn.ANCHORARRAY(Sintesi!$C$14),1,$C189))*(INDEX(_xlfn.ANCHORARRAY(Sintesi!$C$15),1,$C189)&gt;0),0,IF(($E189=INDEX(_xlfn.ANCHORARRAY(Sintesi!$C$14),1,$C189))*(INDEX(_xlfn.ANCHORARRAY(Sintesi!$C$15),1,$C189)&lt;0)+($E189&gt;=$E188)*($E189&lt;=INDEX($E:$E,MATCH(TRUE,INDEX((ISNUMBER($E:$E)),0),0)))*($E189&gt;INDEX(_xlfn.ANCHORARRAY(Sintesi!$C$14),1,$C189))*($E189&lt;=INDEX(_xlfn.ANCHORARRAY(Sintesi!$C$15),1,$C189))*(INDEX(_xlfn.ANCHORARRAY(Sintesi!$C$15),1,$C189)&gt;0),1,IF(($E189&gt;=$E188)*($E189&lt;=INDEX($E:$E,MATCH(TRUE,INDEX((ISNUMBER($E:$E)),0),0)))*($E189&gt;INDEX(_xlfn.ANCHORARRAY(Sintesi!$C$14),1,$C189))*($E189&lt;INDEX(_xlfn.ANCHORARRAY(Sintesi!$C$16),1,$C189))*(INDEX(_xlfn.ANCHORARRAY(Sintesi!$C$15),1,$C189)&lt;0)+($E189&gt;=$E188)*($E189&lt;=INDEX($E:$E,MATCH(TRUE,INDEX((ISNUMBER($E:$E)),0),0)))*($E189&gt;INDEX(_xlfn.ANCHORARRAY(Sintesi!$C$15),1,$C189))*($E189&lt;INDEX(_xlfn.ANCHORARRAY(Sintesi!$C$16),1,$C189))*(INDEX(_xlfn.ANCHORARRAY(Sintesi!$C$15),1,$C189)&gt;0),2,IF($E189=(INDEX(_xlfn.ANCHORARRAY(Sintesi!$C$16),1,$C189)),3,4)))),0),IF($C189&gt;0,IF(($E189=INDEX(_xlfn.ANCHORARRAY(Sintesi!$C$14),1,$C189))*(INDEX(_xlfn.ANCHORARRAY(Sintesi!$C$15),1,$C189)&gt;0),0,IF(($E189=INDEX(_xlfn.ANCHORARRAY(Sintesi!$C$14),1,$C189))*(INDEX(_xlfn.ANCHORARRAY(Sintesi!$C$15),1,$C189)&lt;0)+($E189&gt;=LOOKUP(2,1/($E:$E&lt;&gt;""),$E:$E))*($E189&lt;=INDEX($E:$E,MATCH(TRUE,INDEX((ISNUMBER($E:$E)),0),0)))*($E189&gt;INDEX(_xlfn.ANCHORARRAY(Sintesi!$C$14),1,$C189))*($E189&lt;=INDEX(_xlfn.ANCHORARRAY(Sintesi!$C$15),1,$C189))*(INDEX(_xlfn.ANCHORARRAY(Sintesi!$C$15),1,$C189)&gt;0),1,IF(($E189&gt;=LOOKUP(2,1/($E:$E&lt;&gt;""),$E:$E))*($E189&lt;=INDEX($E:$E,MATCH(TRUE,INDEX((ISNUMBER($E:$E)),0),0)))*($E189&gt;INDEX(_xlfn.ANCHORARRAY(Sintesi!$C$14),1,$C189))*($E189&lt;INDEX(_xlfn.ANCHORARRAY(Sintesi!$C$16),1,$C189))*(INDEX(_xlfn.ANCHORARRAY(Sintesi!$C$15),1,$C189)&lt;0)+($E189&gt;=LOOKUP(2,1/($E:$E&lt;&gt;""),$E:$E))*($E189&lt;=INDEX($E:$E,MATCH(TRUE,INDEX((ISNUMBER($E:$E)),0),0)))*($E189&gt;INDEX(_xlfn.ANCHORARRAY(Sintesi!$C$15),1,$C189))*($E189&lt;INDEX(_xlfn.ANCHORARRAY(Sintesi!$C$16),1,$C189))*(INDEX(_xlfn.ANCHORARRAY(Sintesi!$C$15),1,$C189)&gt;0),2,IF($E189=(INDEX(_xlfn.ANCHORARRAY(Sintesi!$C$16),1,$C189)),3,4)))),0)),IF(ISNUMBER($E188),IF($C189&gt;0,IF(($E189=INDEX(_xlfn.ANCHORARRAY(Sintesi!$C$14),1,$C189))*(INDEX(_xlfn.ANCHORARRAY(Sintesi!$C$15),1,$C189)&gt;0),0,IF(($E189=INDEX(_xlfn.ANCHORARRAY(Sintesi!$C$14),1,$C189))*(INDEX(_xlfn.ANCHORARRAY(Sintesi!$C$15),1,$C189)&lt;0)+($E189&gt;=$E188)*($E189&lt;=$E190)*($E189&gt;INDEX(_xlfn.ANCHORARRAY(Sintesi!$C$14),1,$C189))*($E189&lt;=INDEX(_xlfn.ANCHORARRAY(Sintesi!$C$15),1,$C189))*(INDEX(_xlfn.ANCHORARRAY(Sintesi!$C$15),1,$C189)&gt;0),1,IF(($E189&gt;=$E188)*($E189&lt;=$E190)*($E189&gt;INDEX(_xlfn.ANCHORARRAY(Sintesi!$C$14),1,$C189))*($E189&lt;INDEX(_xlfn.ANCHORARRAY(Sintesi!$C$16),1,$C189))*(INDEX(_xlfn.ANCHORARRAY(Sintesi!$C$15),1,$C189)&lt;0)+($E189&gt;=$E188)*($E189&lt;=$E190)*($E189&gt;INDEX(_xlfn.ANCHORARRAY(Sintesi!$C$15),1,$C189))*($E189&lt;INDEX(_xlfn.ANCHORARRAY(Sintesi!$C$16),1,$C189))*(INDEX(_xlfn.ANCHORARRAY(Sintesi!$C$15),1,$C189)&gt;0),2,IF($E189=(INDEX(_xlfn.ANCHORARRAY(Sintesi!$C$16),1,$C189)),3,4)))),0),IF($C189&gt;0,IF(($E189=INDEX(_xlfn.ANCHORARRAY(Sintesi!$C$14),1,$C189))*(INDEX(_xlfn.ANCHORARRAY(Sintesi!$C$15),1,$C189)&gt;0),0,IF(($E189=INDEX(_xlfn.ANCHORARRAY(Sintesi!$C$14),1,$C189))*(INDEX(_xlfn.ANCHORARRAY(Sintesi!$C$15),1,$C189)&lt;0)+($E189&gt;=LOOKUP(2,1/($E:$E&lt;&gt;""),$E:$E))*($E189&lt;=$E190)*($E189&gt;INDEX(_xlfn.ANCHORARRAY(Sintesi!$C$14),1,$C189))*($E189&lt;=INDEX(_xlfn.ANCHORARRAY(Sintesi!$C$15),1,$C189))*(INDEX(_xlfn.ANCHORARRAY(Sintesi!$C$15),1,$C189)&gt;0),1,IF(($E189&gt;=LOOKUP(2,1/($E:$E&lt;&gt;""),$E:$E))*($E189&lt;=$E190)*($E189&gt;INDEX(_xlfn.ANCHORARRAY(Sintesi!$C$14),1,$C189))*($E189&lt;INDEX(_xlfn.ANCHORARRAY(Sintesi!$C$16),1,$C189))*(INDEX(_xlfn.ANCHORARRAY(Sintesi!$C$15),1,$C189)&lt;0)+($E189&gt;=LOOKUP(2,1/($E:$E&lt;&gt;""),$E:$E))*($E189&lt;=$E190)*($E189&gt;INDEX(_xlfn.ANCHORARRAY(Sintesi!$C$15),1,$C189))*($E189&lt;INDEX(_xlfn.ANCHORARRAY(Sintesi!$C$16),1,$C189))*(INDEX(_xlfn.ANCHORARRAY(Sintesi!$C$15),1,$C189)&gt;0),2,IF($E189=(INDEX(_xlfn.ANCHORARRAY(Sintesi!$C$16),1,$C189)),3,4)))),0)))</f>
        <v>3</v>
      </c>
      <c r="E189" s="1">
        <f>'Paste cell here'!F189</f>
        <v>1.0469999999999999</v>
      </c>
      <c r="F189" s="1">
        <f>'Paste cell here'!C189</f>
        <v>33.919999999999511</v>
      </c>
      <c r="G189" s="1">
        <f>'Paste cell here'!D189</f>
        <v>19.579999999999732</v>
      </c>
      <c r="H189" s="1">
        <f>'Paste cell here'!E189</f>
        <v>5.4761550976233364</v>
      </c>
      <c r="I189" s="1">
        <f>'Paste cell here'!X189</f>
        <v>5.7330500722970683</v>
      </c>
      <c r="J189" s="1">
        <f>'Paste cell here'!Y189+'Paste cell here'!S189</f>
        <v>5.7330500722970683</v>
      </c>
      <c r="K189" s="1">
        <f t="shared" si="4"/>
        <v>1.0469115593138012</v>
      </c>
      <c r="L189" s="1">
        <f t="shared" si="5"/>
        <v>29.265243416228618</v>
      </c>
      <c r="M189" s="1">
        <f t="array" ref="M189">IF(AND(A189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189&gt;=_xlfn.ANCHORARRAY(Sintesi!$C$9))+(_xlfn.ANCHORARRAY(Sintesi!$C$9)&gt;_xlfn.ANCHORARRAY(Sintesi!$C$10))*(A189&lt;=_xlfn.ANCHORARRAY(Sintesi!$C$10))+(_xlfn.ANCHORARRAY(Sintesi!$C$9)&lt;_xlfn.ANCHORARRAY(Sintesi!$C$10))*(A189&gt;=_xlfn.ANCHORARRAY(Sintesi!$C$9))*(A189&lt;=_xlfn.ANCHORARRAY(Sintesi!$C$10)),0)),0),A189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190&gt;=_xlfn.ANCHORARRAY(Sintesi!$C$9))+(_xlfn.ANCHORARRAY(Sintesi!$C$9)&gt;_xlfn.ANCHORARRAY(Sintesi!$C$10))*(A190&lt;=_xlfn.ANCHORARRAY(Sintesi!$C$10))+(_xlfn.ANCHORARRAY(Sintesi!$C$9)&lt;_xlfn.ANCHORARRAY(Sintesi!$C$10))*(A190&gt;=_xlfn.ANCHORARRAY(Sintesi!$C$9))*(A190&lt;=_xlfn.ANCHORARRAY(Sintesi!$C$10)),0)),0)),IF(L189&lt;_xlfn.IFNA(INDEX(_xlfn.ANCHORARRAY(Sintesi!$C$17),1,MATCH(1,(_xlfn.ANCHORARRAY(Sintesi!$C$9)&gt;_xlfn.ANCHORARRAY(Sintesi!$C$10))*(A188&gt;=_xlfn.ANCHORARRAY(Sintesi!$C$9))+(_xlfn.ANCHORARRAY(Sintesi!$C$9)&gt;_xlfn.ANCHORARRAY(Sintesi!$C$10))*(A188&lt;=_xlfn.ANCHORARRAY(Sintesi!$C$10))+(_xlfn.ANCHORARRAY(Sintesi!$C$9)&lt;_xlfn.ANCHORARRAY(Sintesi!$C$10))*(A188&gt;=_xlfn.ANCHORARRAY(Sintesi!$C$9))*(A188&lt;=_xlfn.ANCHORARRAY(Sintesi!$C$10)),0)),0),1,IF(L189&gt;=_xlfn.IFNA(INDEX(_xlfn.ANCHORARRAY(Sintesi!$C$18),1,MATCH(1,(_xlfn.ANCHORARRAY(Sintesi!$C$9)&gt;_xlfn.ANCHORARRAY(Sintesi!$C$10))*(A188&gt;=_xlfn.ANCHORARRAY(Sintesi!$C$9))+(_xlfn.ANCHORARRAY(Sintesi!$C$9)&gt;_xlfn.ANCHORARRAY(Sintesi!$C$10))*(A188&lt;=_xlfn.ANCHORARRAY(Sintesi!$C$10))+(_xlfn.ANCHORARRAY(Sintesi!$C$9)&lt;_xlfn.ANCHORARRAY(Sintesi!$C$10))*(A188&gt;=_xlfn.ANCHORARRAY(Sintesi!$C$9))*(A188&lt;=_xlfn.ANCHORARRAY(Sintesi!$C$10)),0)),0),0,1-(L189-_xlfn.IFNA(INDEX(_xlfn.ANCHORARRAY(Sintesi!$C$17),1,MATCH(1,(_xlfn.ANCHORARRAY(Sintesi!$C$9)&gt;_xlfn.ANCHORARRAY(Sintesi!$C$10))*(A188&gt;=_xlfn.ANCHORARRAY(Sintesi!$C$9))+(_xlfn.ANCHORARRAY(Sintesi!$C$9)&gt;_xlfn.ANCHORARRAY(Sintesi!$C$10))*(A188&lt;=_xlfn.ANCHORARRAY(Sintesi!$C$10))+(_xlfn.ANCHORARRAY(Sintesi!$C$9)&lt;_xlfn.ANCHORARRAY(Sintesi!$C$10))*(A188&gt;=_xlfn.ANCHORARRAY(Sintesi!$C$9))*(A188&lt;=_xlfn.ANCHORARRAY(Sintesi!$C$10)),0)),0))/(_xlfn.IFNA(INDEX(_xlfn.ANCHORARRAY(Sintesi!$C$18),1,MATCH(1,(_xlfn.ANCHORARRAY(Sintesi!$C$9)&gt;_xlfn.ANCHORARRAY(Sintesi!$C$10))*(A188&gt;=_xlfn.ANCHORARRAY(Sintesi!$C$9))+(_xlfn.ANCHORARRAY(Sintesi!$C$9)&gt;_xlfn.ANCHORARRAY(Sintesi!$C$10))*(A188&lt;=_xlfn.ANCHORARRAY(Sintesi!$C$10))+(_xlfn.ANCHORARRAY(Sintesi!$C$9)&lt;_xlfn.ANCHORARRAY(Sintesi!$C$10))*(A188&gt;=_xlfn.ANCHORARRAY(Sintesi!$C$9))*(A188&lt;=_xlfn.ANCHORARRAY(Sintesi!$C$10)),0)),0)-_xlfn.IFNA(INDEX(_xlfn.ANCHORARRAY(Sintesi!$C$17),1,MATCH(1,(_xlfn.ANCHORARRAY(Sintesi!$C$9)&gt;_xlfn.ANCHORARRAY(Sintesi!$C$10))*(A188&gt;=_xlfn.ANCHORARRAY(Sintesi!$C$9))+(_xlfn.ANCHORARRAY(Sintesi!$C$9)&gt;_xlfn.ANCHORARRAY(Sintesi!$C$10))*(A188&lt;=_xlfn.ANCHORARRAY(Sintesi!$C$10))+(_xlfn.ANCHORARRAY(Sintesi!$C$9)&lt;_xlfn.ANCHORARRAY(Sintesi!$C$10))*(A188&gt;=_xlfn.ANCHORARRAY(Sintesi!$C$9))*(A188&lt;=_xlfn.ANCHORARRAY(Sintesi!$C$10)),0)),0)))),0)</f>
        <v>1</v>
      </c>
    </row>
    <row r="190" spans="1:13">
      <c r="A190" s="1">
        <f>'Paste cell here'!A190</f>
        <v>189</v>
      </c>
      <c r="B190" s="2">
        <f>DATE(Sintesi!$C$4-1,12,31)+A190</f>
        <v>44385</v>
      </c>
      <c r="C190" s="34">
        <f t="array" ref="C190">_xlfn.IFNA(MATCH(1,((_xlfn.ANCHORARRAY(Sintesi!$C$9)&gt;_xlfn.ANCHORARRAY(Sintesi!$C$10))*(A190&gt;=_xlfn.ANCHORARRAY(Sintesi!$C$9))+(_xlfn.ANCHORARRAY(Sintesi!$C$9)&gt;_xlfn.ANCHORARRAY(Sintesi!$C$10))*(A190&lt;=_xlfn.ANCHORARRAY(Sintesi!$C$10))+(_xlfn.ANCHORARRAY(Sintesi!$C$9)&lt;_xlfn.ANCHORARRAY(Sintesi!$C$10))*(A190&gt;=_xlfn.ANCHORARRAY(Sintesi!$C$9))*(A190&lt;=_xlfn.ANCHORARRAY(Sintesi!$C$10)))*(_xlfn.ANCHORARRAY(Sintesi!$C$15)&gt;=0)+(_xlfn.ANCHORARRAY(Sintesi!$C$15)&lt;0),0),0)</f>
        <v>1</v>
      </c>
      <c r="D190" s="1">
        <f t="array" ref="D190">IF(ISBLANK($E191),IF(ISNUMBER($E189),IF($C190&gt;0,IF(($E190=INDEX(_xlfn.ANCHORARRAY(Sintesi!$C$14),1,$C190))*(INDEX(_xlfn.ANCHORARRAY(Sintesi!$C$15),1,$C190)&gt;0),0,IF(($E190=INDEX(_xlfn.ANCHORARRAY(Sintesi!$C$14),1,$C190))*(INDEX(_xlfn.ANCHORARRAY(Sintesi!$C$15),1,$C190)&lt;0)+($E190&gt;=$E189)*($E190&lt;=INDEX($E:$E,MATCH(TRUE,INDEX((ISNUMBER($E:$E)),0),0)))*($E190&gt;INDEX(_xlfn.ANCHORARRAY(Sintesi!$C$14),1,$C190))*($E190&lt;=INDEX(_xlfn.ANCHORARRAY(Sintesi!$C$15),1,$C190))*(INDEX(_xlfn.ANCHORARRAY(Sintesi!$C$15),1,$C190)&gt;0),1,IF(($E190&gt;=$E189)*($E190&lt;=INDEX($E:$E,MATCH(TRUE,INDEX((ISNUMBER($E:$E)),0),0)))*($E190&gt;INDEX(_xlfn.ANCHORARRAY(Sintesi!$C$14),1,$C190))*($E190&lt;INDEX(_xlfn.ANCHORARRAY(Sintesi!$C$16),1,$C190))*(INDEX(_xlfn.ANCHORARRAY(Sintesi!$C$15),1,$C190)&lt;0)+($E190&gt;=$E189)*($E190&lt;=INDEX($E:$E,MATCH(TRUE,INDEX((ISNUMBER($E:$E)),0),0)))*($E190&gt;INDEX(_xlfn.ANCHORARRAY(Sintesi!$C$15),1,$C190))*($E190&lt;INDEX(_xlfn.ANCHORARRAY(Sintesi!$C$16),1,$C190))*(INDEX(_xlfn.ANCHORARRAY(Sintesi!$C$15),1,$C190)&gt;0),2,IF($E190=(INDEX(_xlfn.ANCHORARRAY(Sintesi!$C$16),1,$C190)),3,4)))),0),IF($C190&gt;0,IF(($E190=INDEX(_xlfn.ANCHORARRAY(Sintesi!$C$14),1,$C190))*(INDEX(_xlfn.ANCHORARRAY(Sintesi!$C$15),1,$C190)&gt;0),0,IF(($E190=INDEX(_xlfn.ANCHORARRAY(Sintesi!$C$14),1,$C190))*(INDEX(_xlfn.ANCHORARRAY(Sintesi!$C$15),1,$C190)&lt;0)+($E190&gt;=LOOKUP(2,1/($E:$E&lt;&gt;""),$E:$E))*($E190&lt;=INDEX($E:$E,MATCH(TRUE,INDEX((ISNUMBER($E:$E)),0),0)))*($E190&gt;INDEX(_xlfn.ANCHORARRAY(Sintesi!$C$14),1,$C190))*($E190&lt;=INDEX(_xlfn.ANCHORARRAY(Sintesi!$C$15),1,$C190))*(INDEX(_xlfn.ANCHORARRAY(Sintesi!$C$15),1,$C190)&gt;0),1,IF(($E190&gt;=LOOKUP(2,1/($E:$E&lt;&gt;""),$E:$E))*($E190&lt;=INDEX($E:$E,MATCH(TRUE,INDEX((ISNUMBER($E:$E)),0),0)))*($E190&gt;INDEX(_xlfn.ANCHORARRAY(Sintesi!$C$14),1,$C190))*($E190&lt;INDEX(_xlfn.ANCHORARRAY(Sintesi!$C$16),1,$C190))*(INDEX(_xlfn.ANCHORARRAY(Sintesi!$C$15),1,$C190)&lt;0)+($E190&gt;=LOOKUP(2,1/($E:$E&lt;&gt;""),$E:$E))*($E190&lt;=INDEX($E:$E,MATCH(TRUE,INDEX((ISNUMBER($E:$E)),0),0)))*($E190&gt;INDEX(_xlfn.ANCHORARRAY(Sintesi!$C$15),1,$C190))*($E190&lt;INDEX(_xlfn.ANCHORARRAY(Sintesi!$C$16),1,$C190))*(INDEX(_xlfn.ANCHORARRAY(Sintesi!$C$15),1,$C190)&gt;0),2,IF($E190=(INDEX(_xlfn.ANCHORARRAY(Sintesi!$C$16),1,$C190)),3,4)))),0)),IF(ISNUMBER($E189),IF($C190&gt;0,IF(($E190=INDEX(_xlfn.ANCHORARRAY(Sintesi!$C$14),1,$C190))*(INDEX(_xlfn.ANCHORARRAY(Sintesi!$C$15),1,$C190)&gt;0),0,IF(($E190=INDEX(_xlfn.ANCHORARRAY(Sintesi!$C$14),1,$C190))*(INDEX(_xlfn.ANCHORARRAY(Sintesi!$C$15),1,$C190)&lt;0)+($E190&gt;=$E189)*($E190&lt;=$E191)*($E190&gt;INDEX(_xlfn.ANCHORARRAY(Sintesi!$C$14),1,$C190))*($E190&lt;=INDEX(_xlfn.ANCHORARRAY(Sintesi!$C$15),1,$C190))*(INDEX(_xlfn.ANCHORARRAY(Sintesi!$C$15),1,$C190)&gt;0),1,IF(($E190&gt;=$E189)*($E190&lt;=$E191)*($E190&gt;INDEX(_xlfn.ANCHORARRAY(Sintesi!$C$14),1,$C190))*($E190&lt;INDEX(_xlfn.ANCHORARRAY(Sintesi!$C$16),1,$C190))*(INDEX(_xlfn.ANCHORARRAY(Sintesi!$C$15),1,$C190)&lt;0)+($E190&gt;=$E189)*($E190&lt;=$E191)*($E190&gt;INDEX(_xlfn.ANCHORARRAY(Sintesi!$C$15),1,$C190))*($E190&lt;INDEX(_xlfn.ANCHORARRAY(Sintesi!$C$16),1,$C190))*(INDEX(_xlfn.ANCHORARRAY(Sintesi!$C$15),1,$C190)&gt;0),2,IF($E190=(INDEX(_xlfn.ANCHORARRAY(Sintesi!$C$16),1,$C190)),3,4)))),0),IF($C190&gt;0,IF(($E190=INDEX(_xlfn.ANCHORARRAY(Sintesi!$C$14),1,$C190))*(INDEX(_xlfn.ANCHORARRAY(Sintesi!$C$15),1,$C190)&gt;0),0,IF(($E190=INDEX(_xlfn.ANCHORARRAY(Sintesi!$C$14),1,$C190))*(INDEX(_xlfn.ANCHORARRAY(Sintesi!$C$15),1,$C190)&lt;0)+($E190&gt;=LOOKUP(2,1/($E:$E&lt;&gt;""),$E:$E))*($E190&lt;=$E191)*($E190&gt;INDEX(_xlfn.ANCHORARRAY(Sintesi!$C$14),1,$C190))*($E190&lt;=INDEX(_xlfn.ANCHORARRAY(Sintesi!$C$15),1,$C190))*(INDEX(_xlfn.ANCHORARRAY(Sintesi!$C$15),1,$C190)&gt;0),1,IF(($E190&gt;=LOOKUP(2,1/($E:$E&lt;&gt;""),$E:$E))*($E190&lt;=$E191)*($E190&gt;INDEX(_xlfn.ANCHORARRAY(Sintesi!$C$14),1,$C190))*($E190&lt;INDEX(_xlfn.ANCHORARRAY(Sintesi!$C$16),1,$C190))*(INDEX(_xlfn.ANCHORARRAY(Sintesi!$C$15),1,$C190)&lt;0)+($E190&gt;=LOOKUP(2,1/($E:$E&lt;&gt;""),$E:$E))*($E190&lt;=$E191)*($E190&gt;INDEX(_xlfn.ANCHORARRAY(Sintesi!$C$15),1,$C190))*($E190&lt;INDEX(_xlfn.ANCHORARRAY(Sintesi!$C$16),1,$C190))*(INDEX(_xlfn.ANCHORARRAY(Sintesi!$C$15),1,$C190)&gt;0),2,IF($E190=(INDEX(_xlfn.ANCHORARRAY(Sintesi!$C$16),1,$C190)),3,4)))),0)))</f>
        <v>3</v>
      </c>
      <c r="E190" s="1">
        <f>'Paste cell here'!F190</f>
        <v>1.0469999999999999</v>
      </c>
      <c r="F190" s="1">
        <f>'Paste cell here'!C190</f>
        <v>31.239999999999547</v>
      </c>
      <c r="G190" s="1">
        <f>'Paste cell here'!D190</f>
        <v>17.699999999999754</v>
      </c>
      <c r="H190" s="1">
        <f>'Paste cell here'!E190</f>
        <v>3.7231972479185647</v>
      </c>
      <c r="I190" s="1">
        <f>'Paste cell here'!X190</f>
        <v>3.8978651873160604</v>
      </c>
      <c r="J190" s="1">
        <f>'Paste cell here'!Y190+'Paste cell here'!S190</f>
        <v>3.8978651873160604</v>
      </c>
      <c r="K190" s="1">
        <f t="shared" si="4"/>
        <v>1.0469134262212787</v>
      </c>
      <c r="L190" s="1">
        <f t="shared" si="5"/>
        <v>26.844923002492017</v>
      </c>
      <c r="M190" s="1">
        <f t="array" ref="M190">IF(AND(A190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190&gt;=_xlfn.ANCHORARRAY(Sintesi!$C$9))+(_xlfn.ANCHORARRAY(Sintesi!$C$9)&gt;_xlfn.ANCHORARRAY(Sintesi!$C$10))*(A190&lt;=_xlfn.ANCHORARRAY(Sintesi!$C$10))+(_xlfn.ANCHORARRAY(Sintesi!$C$9)&lt;_xlfn.ANCHORARRAY(Sintesi!$C$10))*(A190&gt;=_xlfn.ANCHORARRAY(Sintesi!$C$9))*(A190&lt;=_xlfn.ANCHORARRAY(Sintesi!$C$10)),0)),0),A190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191&gt;=_xlfn.ANCHORARRAY(Sintesi!$C$9))+(_xlfn.ANCHORARRAY(Sintesi!$C$9)&gt;_xlfn.ANCHORARRAY(Sintesi!$C$10))*(A191&lt;=_xlfn.ANCHORARRAY(Sintesi!$C$10))+(_xlfn.ANCHORARRAY(Sintesi!$C$9)&lt;_xlfn.ANCHORARRAY(Sintesi!$C$10))*(A191&gt;=_xlfn.ANCHORARRAY(Sintesi!$C$9))*(A191&lt;=_xlfn.ANCHORARRAY(Sintesi!$C$10)),0)),0)),IF(L190&lt;_xlfn.IFNA(INDEX(_xlfn.ANCHORARRAY(Sintesi!$C$17),1,MATCH(1,(_xlfn.ANCHORARRAY(Sintesi!$C$9)&gt;_xlfn.ANCHORARRAY(Sintesi!$C$10))*(A189&gt;=_xlfn.ANCHORARRAY(Sintesi!$C$9))+(_xlfn.ANCHORARRAY(Sintesi!$C$9)&gt;_xlfn.ANCHORARRAY(Sintesi!$C$10))*(A189&lt;=_xlfn.ANCHORARRAY(Sintesi!$C$10))+(_xlfn.ANCHORARRAY(Sintesi!$C$9)&lt;_xlfn.ANCHORARRAY(Sintesi!$C$10))*(A189&gt;=_xlfn.ANCHORARRAY(Sintesi!$C$9))*(A189&lt;=_xlfn.ANCHORARRAY(Sintesi!$C$10)),0)),0),1,IF(L190&gt;=_xlfn.IFNA(INDEX(_xlfn.ANCHORARRAY(Sintesi!$C$18),1,MATCH(1,(_xlfn.ANCHORARRAY(Sintesi!$C$9)&gt;_xlfn.ANCHORARRAY(Sintesi!$C$10))*(A189&gt;=_xlfn.ANCHORARRAY(Sintesi!$C$9))+(_xlfn.ANCHORARRAY(Sintesi!$C$9)&gt;_xlfn.ANCHORARRAY(Sintesi!$C$10))*(A189&lt;=_xlfn.ANCHORARRAY(Sintesi!$C$10))+(_xlfn.ANCHORARRAY(Sintesi!$C$9)&lt;_xlfn.ANCHORARRAY(Sintesi!$C$10))*(A189&gt;=_xlfn.ANCHORARRAY(Sintesi!$C$9))*(A189&lt;=_xlfn.ANCHORARRAY(Sintesi!$C$10)),0)),0),0,1-(L190-_xlfn.IFNA(INDEX(_xlfn.ANCHORARRAY(Sintesi!$C$17),1,MATCH(1,(_xlfn.ANCHORARRAY(Sintesi!$C$9)&gt;_xlfn.ANCHORARRAY(Sintesi!$C$10))*(A189&gt;=_xlfn.ANCHORARRAY(Sintesi!$C$9))+(_xlfn.ANCHORARRAY(Sintesi!$C$9)&gt;_xlfn.ANCHORARRAY(Sintesi!$C$10))*(A189&lt;=_xlfn.ANCHORARRAY(Sintesi!$C$10))+(_xlfn.ANCHORARRAY(Sintesi!$C$9)&lt;_xlfn.ANCHORARRAY(Sintesi!$C$10))*(A189&gt;=_xlfn.ANCHORARRAY(Sintesi!$C$9))*(A189&lt;=_xlfn.ANCHORARRAY(Sintesi!$C$10)),0)),0))/(_xlfn.IFNA(INDEX(_xlfn.ANCHORARRAY(Sintesi!$C$18),1,MATCH(1,(_xlfn.ANCHORARRAY(Sintesi!$C$9)&gt;_xlfn.ANCHORARRAY(Sintesi!$C$10))*(A189&gt;=_xlfn.ANCHORARRAY(Sintesi!$C$9))+(_xlfn.ANCHORARRAY(Sintesi!$C$9)&gt;_xlfn.ANCHORARRAY(Sintesi!$C$10))*(A189&lt;=_xlfn.ANCHORARRAY(Sintesi!$C$10))+(_xlfn.ANCHORARRAY(Sintesi!$C$9)&lt;_xlfn.ANCHORARRAY(Sintesi!$C$10))*(A189&gt;=_xlfn.ANCHORARRAY(Sintesi!$C$9))*(A189&lt;=_xlfn.ANCHORARRAY(Sintesi!$C$10)),0)),0)-_xlfn.IFNA(INDEX(_xlfn.ANCHORARRAY(Sintesi!$C$17),1,MATCH(1,(_xlfn.ANCHORARRAY(Sintesi!$C$9)&gt;_xlfn.ANCHORARRAY(Sintesi!$C$10))*(A189&gt;=_xlfn.ANCHORARRAY(Sintesi!$C$9))+(_xlfn.ANCHORARRAY(Sintesi!$C$9)&gt;_xlfn.ANCHORARRAY(Sintesi!$C$10))*(A189&lt;=_xlfn.ANCHORARRAY(Sintesi!$C$10))+(_xlfn.ANCHORARRAY(Sintesi!$C$9)&lt;_xlfn.ANCHORARRAY(Sintesi!$C$10))*(A189&gt;=_xlfn.ANCHORARRAY(Sintesi!$C$9))*(A189&lt;=_xlfn.ANCHORARRAY(Sintesi!$C$10)),0)),0)))),0)</f>
        <v>1</v>
      </c>
    </row>
    <row r="191" spans="1:13">
      <c r="A191" s="1">
        <f>'Paste cell here'!A191</f>
        <v>190</v>
      </c>
      <c r="B191" s="2">
        <f>DATE(Sintesi!$C$4-1,12,31)+A191</f>
        <v>44386</v>
      </c>
      <c r="C191" s="34">
        <f t="array" ref="C191">_xlfn.IFNA(MATCH(1,((_xlfn.ANCHORARRAY(Sintesi!$C$9)&gt;_xlfn.ANCHORARRAY(Sintesi!$C$10))*(A191&gt;=_xlfn.ANCHORARRAY(Sintesi!$C$9))+(_xlfn.ANCHORARRAY(Sintesi!$C$9)&gt;_xlfn.ANCHORARRAY(Sintesi!$C$10))*(A191&lt;=_xlfn.ANCHORARRAY(Sintesi!$C$10))+(_xlfn.ANCHORARRAY(Sintesi!$C$9)&lt;_xlfn.ANCHORARRAY(Sintesi!$C$10))*(A191&gt;=_xlfn.ANCHORARRAY(Sintesi!$C$9))*(A191&lt;=_xlfn.ANCHORARRAY(Sintesi!$C$10)))*(_xlfn.ANCHORARRAY(Sintesi!$C$15)&gt;=0)+(_xlfn.ANCHORARRAY(Sintesi!$C$15)&lt;0),0),0)</f>
        <v>1</v>
      </c>
      <c r="D191" s="1">
        <f t="array" ref="D191">IF(ISBLANK($E192),IF(ISNUMBER($E190),IF($C191&gt;0,IF(($E191=INDEX(_xlfn.ANCHORARRAY(Sintesi!$C$14),1,$C191))*(INDEX(_xlfn.ANCHORARRAY(Sintesi!$C$15),1,$C191)&gt;0),0,IF(($E191=INDEX(_xlfn.ANCHORARRAY(Sintesi!$C$14),1,$C191))*(INDEX(_xlfn.ANCHORARRAY(Sintesi!$C$15),1,$C191)&lt;0)+($E191&gt;=$E190)*($E191&lt;=INDEX($E:$E,MATCH(TRUE,INDEX((ISNUMBER($E:$E)),0),0)))*($E191&gt;INDEX(_xlfn.ANCHORARRAY(Sintesi!$C$14),1,$C191))*($E191&lt;=INDEX(_xlfn.ANCHORARRAY(Sintesi!$C$15),1,$C191))*(INDEX(_xlfn.ANCHORARRAY(Sintesi!$C$15),1,$C191)&gt;0),1,IF(($E191&gt;=$E190)*($E191&lt;=INDEX($E:$E,MATCH(TRUE,INDEX((ISNUMBER($E:$E)),0),0)))*($E191&gt;INDEX(_xlfn.ANCHORARRAY(Sintesi!$C$14),1,$C191))*($E191&lt;INDEX(_xlfn.ANCHORARRAY(Sintesi!$C$16),1,$C191))*(INDEX(_xlfn.ANCHORARRAY(Sintesi!$C$15),1,$C191)&lt;0)+($E191&gt;=$E190)*($E191&lt;=INDEX($E:$E,MATCH(TRUE,INDEX((ISNUMBER($E:$E)),0),0)))*($E191&gt;INDEX(_xlfn.ANCHORARRAY(Sintesi!$C$15),1,$C191))*($E191&lt;INDEX(_xlfn.ANCHORARRAY(Sintesi!$C$16),1,$C191))*(INDEX(_xlfn.ANCHORARRAY(Sintesi!$C$15),1,$C191)&gt;0),2,IF($E191=(INDEX(_xlfn.ANCHORARRAY(Sintesi!$C$16),1,$C191)),3,4)))),0),IF($C191&gt;0,IF(($E191=INDEX(_xlfn.ANCHORARRAY(Sintesi!$C$14),1,$C191))*(INDEX(_xlfn.ANCHORARRAY(Sintesi!$C$15),1,$C191)&gt;0),0,IF(($E191=INDEX(_xlfn.ANCHORARRAY(Sintesi!$C$14),1,$C191))*(INDEX(_xlfn.ANCHORARRAY(Sintesi!$C$15),1,$C191)&lt;0)+($E191&gt;=LOOKUP(2,1/($E:$E&lt;&gt;""),$E:$E))*($E191&lt;=INDEX($E:$E,MATCH(TRUE,INDEX((ISNUMBER($E:$E)),0),0)))*($E191&gt;INDEX(_xlfn.ANCHORARRAY(Sintesi!$C$14),1,$C191))*($E191&lt;=INDEX(_xlfn.ANCHORARRAY(Sintesi!$C$15),1,$C191))*(INDEX(_xlfn.ANCHORARRAY(Sintesi!$C$15),1,$C191)&gt;0),1,IF(($E191&gt;=LOOKUP(2,1/($E:$E&lt;&gt;""),$E:$E))*($E191&lt;=INDEX($E:$E,MATCH(TRUE,INDEX((ISNUMBER($E:$E)),0),0)))*($E191&gt;INDEX(_xlfn.ANCHORARRAY(Sintesi!$C$14),1,$C191))*($E191&lt;INDEX(_xlfn.ANCHORARRAY(Sintesi!$C$16),1,$C191))*(INDEX(_xlfn.ANCHORARRAY(Sintesi!$C$15),1,$C191)&lt;0)+($E191&gt;=LOOKUP(2,1/($E:$E&lt;&gt;""),$E:$E))*($E191&lt;=INDEX($E:$E,MATCH(TRUE,INDEX((ISNUMBER($E:$E)),0),0)))*($E191&gt;INDEX(_xlfn.ANCHORARRAY(Sintesi!$C$15),1,$C191))*($E191&lt;INDEX(_xlfn.ANCHORARRAY(Sintesi!$C$16),1,$C191))*(INDEX(_xlfn.ANCHORARRAY(Sintesi!$C$15),1,$C191)&gt;0),2,IF($E191=(INDEX(_xlfn.ANCHORARRAY(Sintesi!$C$16),1,$C191)),3,4)))),0)),IF(ISNUMBER($E190),IF($C191&gt;0,IF(($E191=INDEX(_xlfn.ANCHORARRAY(Sintesi!$C$14),1,$C191))*(INDEX(_xlfn.ANCHORARRAY(Sintesi!$C$15),1,$C191)&gt;0),0,IF(($E191=INDEX(_xlfn.ANCHORARRAY(Sintesi!$C$14),1,$C191))*(INDEX(_xlfn.ANCHORARRAY(Sintesi!$C$15),1,$C191)&lt;0)+($E191&gt;=$E190)*($E191&lt;=$E192)*($E191&gt;INDEX(_xlfn.ANCHORARRAY(Sintesi!$C$14),1,$C191))*($E191&lt;=INDEX(_xlfn.ANCHORARRAY(Sintesi!$C$15),1,$C191))*(INDEX(_xlfn.ANCHORARRAY(Sintesi!$C$15),1,$C191)&gt;0),1,IF(($E191&gt;=$E190)*($E191&lt;=$E192)*($E191&gt;INDEX(_xlfn.ANCHORARRAY(Sintesi!$C$14),1,$C191))*($E191&lt;INDEX(_xlfn.ANCHORARRAY(Sintesi!$C$16),1,$C191))*(INDEX(_xlfn.ANCHORARRAY(Sintesi!$C$15),1,$C191)&lt;0)+($E191&gt;=$E190)*($E191&lt;=$E192)*($E191&gt;INDEX(_xlfn.ANCHORARRAY(Sintesi!$C$15),1,$C191))*($E191&lt;INDEX(_xlfn.ANCHORARRAY(Sintesi!$C$16),1,$C191))*(INDEX(_xlfn.ANCHORARRAY(Sintesi!$C$15),1,$C191)&gt;0),2,IF($E191=(INDEX(_xlfn.ANCHORARRAY(Sintesi!$C$16),1,$C191)),3,4)))),0),IF($C191&gt;0,IF(($E191=INDEX(_xlfn.ANCHORARRAY(Sintesi!$C$14),1,$C191))*(INDEX(_xlfn.ANCHORARRAY(Sintesi!$C$15),1,$C191)&gt;0),0,IF(($E191=INDEX(_xlfn.ANCHORARRAY(Sintesi!$C$14),1,$C191))*(INDEX(_xlfn.ANCHORARRAY(Sintesi!$C$15),1,$C191)&lt;0)+($E191&gt;=LOOKUP(2,1/($E:$E&lt;&gt;""),$E:$E))*($E191&lt;=$E192)*($E191&gt;INDEX(_xlfn.ANCHORARRAY(Sintesi!$C$14),1,$C191))*($E191&lt;=INDEX(_xlfn.ANCHORARRAY(Sintesi!$C$15),1,$C191))*(INDEX(_xlfn.ANCHORARRAY(Sintesi!$C$15),1,$C191)&gt;0),1,IF(($E191&gt;=LOOKUP(2,1/($E:$E&lt;&gt;""),$E:$E))*($E191&lt;=$E192)*($E191&gt;INDEX(_xlfn.ANCHORARRAY(Sintesi!$C$14),1,$C191))*($E191&lt;INDEX(_xlfn.ANCHORARRAY(Sintesi!$C$16),1,$C191))*(INDEX(_xlfn.ANCHORARRAY(Sintesi!$C$15),1,$C191)&lt;0)+($E191&gt;=LOOKUP(2,1/($E:$E&lt;&gt;""),$E:$E))*($E191&lt;=$E192)*($E191&gt;INDEX(_xlfn.ANCHORARRAY(Sintesi!$C$15),1,$C191))*($E191&lt;INDEX(_xlfn.ANCHORARRAY(Sintesi!$C$16),1,$C191))*(INDEX(_xlfn.ANCHORARRAY(Sintesi!$C$15),1,$C191)&gt;0),2,IF($E191=(INDEX(_xlfn.ANCHORARRAY(Sintesi!$C$16),1,$C191)),3,4)))),0)))</f>
        <v>3</v>
      </c>
      <c r="E191" s="1">
        <f>'Paste cell here'!F191</f>
        <v>1.0469999999999999</v>
      </c>
      <c r="F191" s="1">
        <f>'Paste cell here'!C191</f>
        <v>31.43999999999955</v>
      </c>
      <c r="G191" s="1">
        <f>'Paste cell here'!D191</f>
        <v>15.599999999999792</v>
      </c>
      <c r="H191" s="1">
        <f>'Paste cell here'!E191</f>
        <v>6.0545996616956863</v>
      </c>
      <c r="I191" s="1">
        <f>'Paste cell here'!X191</f>
        <v>6.3386533957485982</v>
      </c>
      <c r="J191" s="1">
        <f>'Paste cell here'!Y191+'Paste cell here'!S191</f>
        <v>6.3386533957485982</v>
      </c>
      <c r="K191" s="1">
        <f t="shared" si="4"/>
        <v>1.0469153618611604</v>
      </c>
      <c r="L191" s="1">
        <f t="shared" si="5"/>
        <v>26.298344191984832</v>
      </c>
      <c r="M191" s="1">
        <f t="array" ref="M191">IF(AND(A191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191&gt;=_xlfn.ANCHORARRAY(Sintesi!$C$9))+(_xlfn.ANCHORARRAY(Sintesi!$C$9)&gt;_xlfn.ANCHORARRAY(Sintesi!$C$10))*(A191&lt;=_xlfn.ANCHORARRAY(Sintesi!$C$10))+(_xlfn.ANCHORARRAY(Sintesi!$C$9)&lt;_xlfn.ANCHORARRAY(Sintesi!$C$10))*(A191&gt;=_xlfn.ANCHORARRAY(Sintesi!$C$9))*(A191&lt;=_xlfn.ANCHORARRAY(Sintesi!$C$10)),0)),0),A191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192&gt;=_xlfn.ANCHORARRAY(Sintesi!$C$9))+(_xlfn.ANCHORARRAY(Sintesi!$C$9)&gt;_xlfn.ANCHORARRAY(Sintesi!$C$10))*(A192&lt;=_xlfn.ANCHORARRAY(Sintesi!$C$10))+(_xlfn.ANCHORARRAY(Sintesi!$C$9)&lt;_xlfn.ANCHORARRAY(Sintesi!$C$10))*(A192&gt;=_xlfn.ANCHORARRAY(Sintesi!$C$9))*(A192&lt;=_xlfn.ANCHORARRAY(Sintesi!$C$10)),0)),0)),IF(L191&lt;_xlfn.IFNA(INDEX(_xlfn.ANCHORARRAY(Sintesi!$C$17),1,MATCH(1,(_xlfn.ANCHORARRAY(Sintesi!$C$9)&gt;_xlfn.ANCHORARRAY(Sintesi!$C$10))*(A190&gt;=_xlfn.ANCHORARRAY(Sintesi!$C$9))+(_xlfn.ANCHORARRAY(Sintesi!$C$9)&gt;_xlfn.ANCHORARRAY(Sintesi!$C$10))*(A190&lt;=_xlfn.ANCHORARRAY(Sintesi!$C$10))+(_xlfn.ANCHORARRAY(Sintesi!$C$9)&lt;_xlfn.ANCHORARRAY(Sintesi!$C$10))*(A190&gt;=_xlfn.ANCHORARRAY(Sintesi!$C$9))*(A190&lt;=_xlfn.ANCHORARRAY(Sintesi!$C$10)),0)),0),1,IF(L191&gt;=_xlfn.IFNA(INDEX(_xlfn.ANCHORARRAY(Sintesi!$C$18),1,MATCH(1,(_xlfn.ANCHORARRAY(Sintesi!$C$9)&gt;_xlfn.ANCHORARRAY(Sintesi!$C$10))*(A190&gt;=_xlfn.ANCHORARRAY(Sintesi!$C$9))+(_xlfn.ANCHORARRAY(Sintesi!$C$9)&gt;_xlfn.ANCHORARRAY(Sintesi!$C$10))*(A190&lt;=_xlfn.ANCHORARRAY(Sintesi!$C$10))+(_xlfn.ANCHORARRAY(Sintesi!$C$9)&lt;_xlfn.ANCHORARRAY(Sintesi!$C$10))*(A190&gt;=_xlfn.ANCHORARRAY(Sintesi!$C$9))*(A190&lt;=_xlfn.ANCHORARRAY(Sintesi!$C$10)),0)),0),0,1-(L191-_xlfn.IFNA(INDEX(_xlfn.ANCHORARRAY(Sintesi!$C$17),1,MATCH(1,(_xlfn.ANCHORARRAY(Sintesi!$C$9)&gt;_xlfn.ANCHORARRAY(Sintesi!$C$10))*(A190&gt;=_xlfn.ANCHORARRAY(Sintesi!$C$9))+(_xlfn.ANCHORARRAY(Sintesi!$C$9)&gt;_xlfn.ANCHORARRAY(Sintesi!$C$10))*(A190&lt;=_xlfn.ANCHORARRAY(Sintesi!$C$10))+(_xlfn.ANCHORARRAY(Sintesi!$C$9)&lt;_xlfn.ANCHORARRAY(Sintesi!$C$10))*(A190&gt;=_xlfn.ANCHORARRAY(Sintesi!$C$9))*(A190&lt;=_xlfn.ANCHORARRAY(Sintesi!$C$10)),0)),0))/(_xlfn.IFNA(INDEX(_xlfn.ANCHORARRAY(Sintesi!$C$18),1,MATCH(1,(_xlfn.ANCHORARRAY(Sintesi!$C$9)&gt;_xlfn.ANCHORARRAY(Sintesi!$C$10))*(A190&gt;=_xlfn.ANCHORARRAY(Sintesi!$C$9))+(_xlfn.ANCHORARRAY(Sintesi!$C$9)&gt;_xlfn.ANCHORARRAY(Sintesi!$C$10))*(A190&lt;=_xlfn.ANCHORARRAY(Sintesi!$C$10))+(_xlfn.ANCHORARRAY(Sintesi!$C$9)&lt;_xlfn.ANCHORARRAY(Sintesi!$C$10))*(A190&gt;=_xlfn.ANCHORARRAY(Sintesi!$C$9))*(A190&lt;=_xlfn.ANCHORARRAY(Sintesi!$C$10)),0)),0)-_xlfn.IFNA(INDEX(_xlfn.ANCHORARRAY(Sintesi!$C$17),1,MATCH(1,(_xlfn.ANCHORARRAY(Sintesi!$C$9)&gt;_xlfn.ANCHORARRAY(Sintesi!$C$10))*(A190&gt;=_xlfn.ANCHORARRAY(Sintesi!$C$9))+(_xlfn.ANCHORARRAY(Sintesi!$C$9)&gt;_xlfn.ANCHORARRAY(Sintesi!$C$10))*(A190&lt;=_xlfn.ANCHORARRAY(Sintesi!$C$10))+(_xlfn.ANCHORARRAY(Sintesi!$C$9)&lt;_xlfn.ANCHORARRAY(Sintesi!$C$10))*(A190&gt;=_xlfn.ANCHORARRAY(Sintesi!$C$9))*(A190&lt;=_xlfn.ANCHORARRAY(Sintesi!$C$10)),0)),0)))),0)</f>
        <v>1</v>
      </c>
    </row>
    <row r="192" spans="1:13">
      <c r="A192" s="1">
        <f>'Paste cell here'!A192</f>
        <v>191</v>
      </c>
      <c r="B192" s="2">
        <f>DATE(Sintesi!$C$4-1,12,31)+A192</f>
        <v>44387</v>
      </c>
      <c r="C192" s="34">
        <f t="array" ref="C192">_xlfn.IFNA(MATCH(1,((_xlfn.ANCHORARRAY(Sintesi!$C$9)&gt;_xlfn.ANCHORARRAY(Sintesi!$C$10))*(A192&gt;=_xlfn.ANCHORARRAY(Sintesi!$C$9))+(_xlfn.ANCHORARRAY(Sintesi!$C$9)&gt;_xlfn.ANCHORARRAY(Sintesi!$C$10))*(A192&lt;=_xlfn.ANCHORARRAY(Sintesi!$C$10))+(_xlfn.ANCHORARRAY(Sintesi!$C$9)&lt;_xlfn.ANCHORARRAY(Sintesi!$C$10))*(A192&gt;=_xlfn.ANCHORARRAY(Sintesi!$C$9))*(A192&lt;=_xlfn.ANCHORARRAY(Sintesi!$C$10)))*(_xlfn.ANCHORARRAY(Sintesi!$C$15)&gt;=0)+(_xlfn.ANCHORARRAY(Sintesi!$C$15)&lt;0),0),0)</f>
        <v>1</v>
      </c>
      <c r="D192" s="1">
        <f t="array" ref="D192">IF(ISBLANK($E193),IF(ISNUMBER($E191),IF($C192&gt;0,IF(($E192=INDEX(_xlfn.ANCHORARRAY(Sintesi!$C$14),1,$C192))*(INDEX(_xlfn.ANCHORARRAY(Sintesi!$C$15),1,$C192)&gt;0),0,IF(($E192=INDEX(_xlfn.ANCHORARRAY(Sintesi!$C$14),1,$C192))*(INDEX(_xlfn.ANCHORARRAY(Sintesi!$C$15),1,$C192)&lt;0)+($E192&gt;=$E191)*($E192&lt;=INDEX($E:$E,MATCH(TRUE,INDEX((ISNUMBER($E:$E)),0),0)))*($E192&gt;INDEX(_xlfn.ANCHORARRAY(Sintesi!$C$14),1,$C192))*($E192&lt;=INDEX(_xlfn.ANCHORARRAY(Sintesi!$C$15),1,$C192))*(INDEX(_xlfn.ANCHORARRAY(Sintesi!$C$15),1,$C192)&gt;0),1,IF(($E192&gt;=$E191)*($E192&lt;=INDEX($E:$E,MATCH(TRUE,INDEX((ISNUMBER($E:$E)),0),0)))*($E192&gt;INDEX(_xlfn.ANCHORARRAY(Sintesi!$C$14),1,$C192))*($E192&lt;INDEX(_xlfn.ANCHORARRAY(Sintesi!$C$16),1,$C192))*(INDEX(_xlfn.ANCHORARRAY(Sintesi!$C$15),1,$C192)&lt;0)+($E192&gt;=$E191)*($E192&lt;=INDEX($E:$E,MATCH(TRUE,INDEX((ISNUMBER($E:$E)),0),0)))*($E192&gt;INDEX(_xlfn.ANCHORARRAY(Sintesi!$C$15),1,$C192))*($E192&lt;INDEX(_xlfn.ANCHORARRAY(Sintesi!$C$16),1,$C192))*(INDEX(_xlfn.ANCHORARRAY(Sintesi!$C$15),1,$C192)&gt;0),2,IF($E192=(INDEX(_xlfn.ANCHORARRAY(Sintesi!$C$16),1,$C192)),3,4)))),0),IF($C192&gt;0,IF(($E192=INDEX(_xlfn.ANCHORARRAY(Sintesi!$C$14),1,$C192))*(INDEX(_xlfn.ANCHORARRAY(Sintesi!$C$15),1,$C192)&gt;0),0,IF(($E192=INDEX(_xlfn.ANCHORARRAY(Sintesi!$C$14),1,$C192))*(INDEX(_xlfn.ANCHORARRAY(Sintesi!$C$15),1,$C192)&lt;0)+($E192&gt;=LOOKUP(2,1/($E:$E&lt;&gt;""),$E:$E))*($E192&lt;=INDEX($E:$E,MATCH(TRUE,INDEX((ISNUMBER($E:$E)),0),0)))*($E192&gt;INDEX(_xlfn.ANCHORARRAY(Sintesi!$C$14),1,$C192))*($E192&lt;=INDEX(_xlfn.ANCHORARRAY(Sintesi!$C$15),1,$C192))*(INDEX(_xlfn.ANCHORARRAY(Sintesi!$C$15),1,$C192)&gt;0),1,IF(($E192&gt;=LOOKUP(2,1/($E:$E&lt;&gt;""),$E:$E))*($E192&lt;=INDEX($E:$E,MATCH(TRUE,INDEX((ISNUMBER($E:$E)),0),0)))*($E192&gt;INDEX(_xlfn.ANCHORARRAY(Sintesi!$C$14),1,$C192))*($E192&lt;INDEX(_xlfn.ANCHORARRAY(Sintesi!$C$16),1,$C192))*(INDEX(_xlfn.ANCHORARRAY(Sintesi!$C$15),1,$C192)&lt;0)+($E192&gt;=LOOKUP(2,1/($E:$E&lt;&gt;""),$E:$E))*($E192&lt;=INDEX($E:$E,MATCH(TRUE,INDEX((ISNUMBER($E:$E)),0),0)))*($E192&gt;INDEX(_xlfn.ANCHORARRAY(Sintesi!$C$15),1,$C192))*($E192&lt;INDEX(_xlfn.ANCHORARRAY(Sintesi!$C$16),1,$C192))*(INDEX(_xlfn.ANCHORARRAY(Sintesi!$C$15),1,$C192)&gt;0),2,IF($E192=(INDEX(_xlfn.ANCHORARRAY(Sintesi!$C$16),1,$C192)),3,4)))),0)),IF(ISNUMBER($E191),IF($C192&gt;0,IF(($E192=INDEX(_xlfn.ANCHORARRAY(Sintesi!$C$14),1,$C192))*(INDEX(_xlfn.ANCHORARRAY(Sintesi!$C$15),1,$C192)&gt;0),0,IF(($E192=INDEX(_xlfn.ANCHORARRAY(Sintesi!$C$14),1,$C192))*(INDEX(_xlfn.ANCHORARRAY(Sintesi!$C$15),1,$C192)&lt;0)+($E192&gt;=$E191)*($E192&lt;=$E193)*($E192&gt;INDEX(_xlfn.ANCHORARRAY(Sintesi!$C$14),1,$C192))*($E192&lt;=INDEX(_xlfn.ANCHORARRAY(Sintesi!$C$15),1,$C192))*(INDEX(_xlfn.ANCHORARRAY(Sintesi!$C$15),1,$C192)&gt;0),1,IF(($E192&gt;=$E191)*($E192&lt;=$E193)*($E192&gt;INDEX(_xlfn.ANCHORARRAY(Sintesi!$C$14),1,$C192))*($E192&lt;INDEX(_xlfn.ANCHORARRAY(Sintesi!$C$16),1,$C192))*(INDEX(_xlfn.ANCHORARRAY(Sintesi!$C$15),1,$C192)&lt;0)+($E192&gt;=$E191)*($E192&lt;=$E193)*($E192&gt;INDEX(_xlfn.ANCHORARRAY(Sintesi!$C$15),1,$C192))*($E192&lt;INDEX(_xlfn.ANCHORARRAY(Sintesi!$C$16),1,$C192))*(INDEX(_xlfn.ANCHORARRAY(Sintesi!$C$15),1,$C192)&gt;0),2,IF($E192=(INDEX(_xlfn.ANCHORARRAY(Sintesi!$C$16),1,$C192)),3,4)))),0),IF($C192&gt;0,IF(($E192=INDEX(_xlfn.ANCHORARRAY(Sintesi!$C$14),1,$C192))*(INDEX(_xlfn.ANCHORARRAY(Sintesi!$C$15),1,$C192)&gt;0),0,IF(($E192=INDEX(_xlfn.ANCHORARRAY(Sintesi!$C$14),1,$C192))*(INDEX(_xlfn.ANCHORARRAY(Sintesi!$C$15),1,$C192)&lt;0)+($E192&gt;=LOOKUP(2,1/($E:$E&lt;&gt;""),$E:$E))*($E192&lt;=$E193)*($E192&gt;INDEX(_xlfn.ANCHORARRAY(Sintesi!$C$14),1,$C192))*($E192&lt;=INDEX(_xlfn.ANCHORARRAY(Sintesi!$C$15),1,$C192))*(INDEX(_xlfn.ANCHORARRAY(Sintesi!$C$15),1,$C192)&gt;0),1,IF(($E192&gt;=LOOKUP(2,1/($E:$E&lt;&gt;""),$E:$E))*($E192&lt;=$E193)*($E192&gt;INDEX(_xlfn.ANCHORARRAY(Sintesi!$C$14),1,$C192))*($E192&lt;INDEX(_xlfn.ANCHORARRAY(Sintesi!$C$16),1,$C192))*(INDEX(_xlfn.ANCHORARRAY(Sintesi!$C$15),1,$C192)&lt;0)+($E192&gt;=LOOKUP(2,1/($E:$E&lt;&gt;""),$E:$E))*($E192&lt;=$E193)*($E192&gt;INDEX(_xlfn.ANCHORARRAY(Sintesi!$C$15),1,$C192))*($E192&lt;INDEX(_xlfn.ANCHORARRAY(Sintesi!$C$16),1,$C192))*(INDEX(_xlfn.ANCHORARRAY(Sintesi!$C$15),1,$C192)&gt;0),2,IF($E192=(INDEX(_xlfn.ANCHORARRAY(Sintesi!$C$16),1,$C192)),3,4)))),0)))</f>
        <v>3</v>
      </c>
      <c r="E192" s="1">
        <f>'Paste cell here'!F192</f>
        <v>1.0469999999999999</v>
      </c>
      <c r="F192" s="1">
        <f>'Paste cell here'!C192</f>
        <v>32.219999999999537</v>
      </c>
      <c r="G192" s="1">
        <f>'Paste cell here'!D192</f>
        <v>15.499999999999794</v>
      </c>
      <c r="H192" s="1">
        <f>'Paste cell here'!E192</f>
        <v>5.7496770758414559</v>
      </c>
      <c r="I192" s="1">
        <f>'Paste cell here'!X192</f>
        <v>6.0194367428423226</v>
      </c>
      <c r="J192" s="1">
        <f>'Paste cell here'!Y192+'Paste cell here'!S192</f>
        <v>6.0194367428423226</v>
      </c>
      <c r="K192" s="1">
        <f t="shared" si="4"/>
        <v>1.0469173596086503</v>
      </c>
      <c r="L192" s="1">
        <f t="shared" si="5"/>
        <v>26.792696647095113</v>
      </c>
      <c r="M192" s="1">
        <f t="array" ref="M192">IF(AND(A192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192&gt;=_xlfn.ANCHORARRAY(Sintesi!$C$9))+(_xlfn.ANCHORARRAY(Sintesi!$C$9)&gt;_xlfn.ANCHORARRAY(Sintesi!$C$10))*(A192&lt;=_xlfn.ANCHORARRAY(Sintesi!$C$10))+(_xlfn.ANCHORARRAY(Sintesi!$C$9)&lt;_xlfn.ANCHORARRAY(Sintesi!$C$10))*(A192&gt;=_xlfn.ANCHORARRAY(Sintesi!$C$9))*(A192&lt;=_xlfn.ANCHORARRAY(Sintesi!$C$10)),0)),0),A192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193&gt;=_xlfn.ANCHORARRAY(Sintesi!$C$9))+(_xlfn.ANCHORARRAY(Sintesi!$C$9)&gt;_xlfn.ANCHORARRAY(Sintesi!$C$10))*(A193&lt;=_xlfn.ANCHORARRAY(Sintesi!$C$10))+(_xlfn.ANCHORARRAY(Sintesi!$C$9)&lt;_xlfn.ANCHORARRAY(Sintesi!$C$10))*(A193&gt;=_xlfn.ANCHORARRAY(Sintesi!$C$9))*(A193&lt;=_xlfn.ANCHORARRAY(Sintesi!$C$10)),0)),0)),IF(L192&lt;_xlfn.IFNA(INDEX(_xlfn.ANCHORARRAY(Sintesi!$C$17),1,MATCH(1,(_xlfn.ANCHORARRAY(Sintesi!$C$9)&gt;_xlfn.ANCHORARRAY(Sintesi!$C$10))*(A191&gt;=_xlfn.ANCHORARRAY(Sintesi!$C$9))+(_xlfn.ANCHORARRAY(Sintesi!$C$9)&gt;_xlfn.ANCHORARRAY(Sintesi!$C$10))*(A191&lt;=_xlfn.ANCHORARRAY(Sintesi!$C$10))+(_xlfn.ANCHORARRAY(Sintesi!$C$9)&lt;_xlfn.ANCHORARRAY(Sintesi!$C$10))*(A191&gt;=_xlfn.ANCHORARRAY(Sintesi!$C$9))*(A191&lt;=_xlfn.ANCHORARRAY(Sintesi!$C$10)),0)),0),1,IF(L192&gt;=_xlfn.IFNA(INDEX(_xlfn.ANCHORARRAY(Sintesi!$C$18),1,MATCH(1,(_xlfn.ANCHORARRAY(Sintesi!$C$9)&gt;_xlfn.ANCHORARRAY(Sintesi!$C$10))*(A191&gt;=_xlfn.ANCHORARRAY(Sintesi!$C$9))+(_xlfn.ANCHORARRAY(Sintesi!$C$9)&gt;_xlfn.ANCHORARRAY(Sintesi!$C$10))*(A191&lt;=_xlfn.ANCHORARRAY(Sintesi!$C$10))+(_xlfn.ANCHORARRAY(Sintesi!$C$9)&lt;_xlfn.ANCHORARRAY(Sintesi!$C$10))*(A191&gt;=_xlfn.ANCHORARRAY(Sintesi!$C$9))*(A191&lt;=_xlfn.ANCHORARRAY(Sintesi!$C$10)),0)),0),0,1-(L192-_xlfn.IFNA(INDEX(_xlfn.ANCHORARRAY(Sintesi!$C$17),1,MATCH(1,(_xlfn.ANCHORARRAY(Sintesi!$C$9)&gt;_xlfn.ANCHORARRAY(Sintesi!$C$10))*(A191&gt;=_xlfn.ANCHORARRAY(Sintesi!$C$9))+(_xlfn.ANCHORARRAY(Sintesi!$C$9)&gt;_xlfn.ANCHORARRAY(Sintesi!$C$10))*(A191&lt;=_xlfn.ANCHORARRAY(Sintesi!$C$10))+(_xlfn.ANCHORARRAY(Sintesi!$C$9)&lt;_xlfn.ANCHORARRAY(Sintesi!$C$10))*(A191&gt;=_xlfn.ANCHORARRAY(Sintesi!$C$9))*(A191&lt;=_xlfn.ANCHORARRAY(Sintesi!$C$10)),0)),0))/(_xlfn.IFNA(INDEX(_xlfn.ANCHORARRAY(Sintesi!$C$18),1,MATCH(1,(_xlfn.ANCHORARRAY(Sintesi!$C$9)&gt;_xlfn.ANCHORARRAY(Sintesi!$C$10))*(A191&gt;=_xlfn.ANCHORARRAY(Sintesi!$C$9))+(_xlfn.ANCHORARRAY(Sintesi!$C$9)&gt;_xlfn.ANCHORARRAY(Sintesi!$C$10))*(A191&lt;=_xlfn.ANCHORARRAY(Sintesi!$C$10))+(_xlfn.ANCHORARRAY(Sintesi!$C$9)&lt;_xlfn.ANCHORARRAY(Sintesi!$C$10))*(A191&gt;=_xlfn.ANCHORARRAY(Sintesi!$C$9))*(A191&lt;=_xlfn.ANCHORARRAY(Sintesi!$C$10)),0)),0)-_xlfn.IFNA(INDEX(_xlfn.ANCHORARRAY(Sintesi!$C$17),1,MATCH(1,(_xlfn.ANCHORARRAY(Sintesi!$C$9)&gt;_xlfn.ANCHORARRAY(Sintesi!$C$10))*(A191&gt;=_xlfn.ANCHORARRAY(Sintesi!$C$9))+(_xlfn.ANCHORARRAY(Sintesi!$C$9)&gt;_xlfn.ANCHORARRAY(Sintesi!$C$10))*(A191&lt;=_xlfn.ANCHORARRAY(Sintesi!$C$10))+(_xlfn.ANCHORARRAY(Sintesi!$C$9)&lt;_xlfn.ANCHORARRAY(Sintesi!$C$10))*(A191&gt;=_xlfn.ANCHORARRAY(Sintesi!$C$9))*(A191&lt;=_xlfn.ANCHORARRAY(Sintesi!$C$10)),0)),0)))),0)</f>
        <v>1</v>
      </c>
    </row>
    <row r="193" spans="1:13">
      <c r="A193" s="1">
        <f>'Paste cell here'!A193</f>
        <v>192</v>
      </c>
      <c r="B193" s="2">
        <f>DATE(Sintesi!$C$4-1,12,31)+A193</f>
        <v>44388</v>
      </c>
      <c r="C193" s="34">
        <f t="array" ref="C193">_xlfn.IFNA(MATCH(1,((_xlfn.ANCHORARRAY(Sintesi!$C$9)&gt;_xlfn.ANCHORARRAY(Sintesi!$C$10))*(A193&gt;=_xlfn.ANCHORARRAY(Sintesi!$C$9))+(_xlfn.ANCHORARRAY(Sintesi!$C$9)&gt;_xlfn.ANCHORARRAY(Sintesi!$C$10))*(A193&lt;=_xlfn.ANCHORARRAY(Sintesi!$C$10))+(_xlfn.ANCHORARRAY(Sintesi!$C$9)&lt;_xlfn.ANCHORARRAY(Sintesi!$C$10))*(A193&gt;=_xlfn.ANCHORARRAY(Sintesi!$C$9))*(A193&lt;=_xlfn.ANCHORARRAY(Sintesi!$C$10)))*(_xlfn.ANCHORARRAY(Sintesi!$C$15)&gt;=0)+(_xlfn.ANCHORARRAY(Sintesi!$C$15)&lt;0),0),0)</f>
        <v>1</v>
      </c>
      <c r="D193" s="1">
        <f t="array" ref="D193">IF(ISBLANK($E194),IF(ISNUMBER($E192),IF($C193&gt;0,IF(($E193=INDEX(_xlfn.ANCHORARRAY(Sintesi!$C$14),1,$C193))*(INDEX(_xlfn.ANCHORARRAY(Sintesi!$C$15),1,$C193)&gt;0),0,IF(($E193=INDEX(_xlfn.ANCHORARRAY(Sintesi!$C$14),1,$C193))*(INDEX(_xlfn.ANCHORARRAY(Sintesi!$C$15),1,$C193)&lt;0)+($E193&gt;=$E192)*($E193&lt;=INDEX($E:$E,MATCH(TRUE,INDEX((ISNUMBER($E:$E)),0),0)))*($E193&gt;INDEX(_xlfn.ANCHORARRAY(Sintesi!$C$14),1,$C193))*($E193&lt;=INDEX(_xlfn.ANCHORARRAY(Sintesi!$C$15),1,$C193))*(INDEX(_xlfn.ANCHORARRAY(Sintesi!$C$15),1,$C193)&gt;0),1,IF(($E193&gt;=$E192)*($E193&lt;=INDEX($E:$E,MATCH(TRUE,INDEX((ISNUMBER($E:$E)),0),0)))*($E193&gt;INDEX(_xlfn.ANCHORARRAY(Sintesi!$C$14),1,$C193))*($E193&lt;INDEX(_xlfn.ANCHORARRAY(Sintesi!$C$16),1,$C193))*(INDEX(_xlfn.ANCHORARRAY(Sintesi!$C$15),1,$C193)&lt;0)+($E193&gt;=$E192)*($E193&lt;=INDEX($E:$E,MATCH(TRUE,INDEX((ISNUMBER($E:$E)),0),0)))*($E193&gt;INDEX(_xlfn.ANCHORARRAY(Sintesi!$C$15),1,$C193))*($E193&lt;INDEX(_xlfn.ANCHORARRAY(Sintesi!$C$16),1,$C193))*(INDEX(_xlfn.ANCHORARRAY(Sintesi!$C$15),1,$C193)&gt;0),2,IF($E193=(INDEX(_xlfn.ANCHORARRAY(Sintesi!$C$16),1,$C193)),3,4)))),0),IF($C193&gt;0,IF(($E193=INDEX(_xlfn.ANCHORARRAY(Sintesi!$C$14),1,$C193))*(INDEX(_xlfn.ANCHORARRAY(Sintesi!$C$15),1,$C193)&gt;0),0,IF(($E193=INDEX(_xlfn.ANCHORARRAY(Sintesi!$C$14),1,$C193))*(INDEX(_xlfn.ANCHORARRAY(Sintesi!$C$15),1,$C193)&lt;0)+($E193&gt;=LOOKUP(2,1/($E:$E&lt;&gt;""),$E:$E))*($E193&lt;=INDEX($E:$E,MATCH(TRUE,INDEX((ISNUMBER($E:$E)),0),0)))*($E193&gt;INDEX(_xlfn.ANCHORARRAY(Sintesi!$C$14),1,$C193))*($E193&lt;=INDEX(_xlfn.ANCHORARRAY(Sintesi!$C$15),1,$C193))*(INDEX(_xlfn.ANCHORARRAY(Sintesi!$C$15),1,$C193)&gt;0),1,IF(($E193&gt;=LOOKUP(2,1/($E:$E&lt;&gt;""),$E:$E))*($E193&lt;=INDEX($E:$E,MATCH(TRUE,INDEX((ISNUMBER($E:$E)),0),0)))*($E193&gt;INDEX(_xlfn.ANCHORARRAY(Sintesi!$C$14),1,$C193))*($E193&lt;INDEX(_xlfn.ANCHORARRAY(Sintesi!$C$16),1,$C193))*(INDEX(_xlfn.ANCHORARRAY(Sintesi!$C$15),1,$C193)&lt;0)+($E193&gt;=LOOKUP(2,1/($E:$E&lt;&gt;""),$E:$E))*($E193&lt;=INDEX($E:$E,MATCH(TRUE,INDEX((ISNUMBER($E:$E)),0),0)))*($E193&gt;INDEX(_xlfn.ANCHORARRAY(Sintesi!$C$15),1,$C193))*($E193&lt;INDEX(_xlfn.ANCHORARRAY(Sintesi!$C$16),1,$C193))*(INDEX(_xlfn.ANCHORARRAY(Sintesi!$C$15),1,$C193)&gt;0),2,IF($E193=(INDEX(_xlfn.ANCHORARRAY(Sintesi!$C$16),1,$C193)),3,4)))),0)),IF(ISNUMBER($E192),IF($C193&gt;0,IF(($E193=INDEX(_xlfn.ANCHORARRAY(Sintesi!$C$14),1,$C193))*(INDEX(_xlfn.ANCHORARRAY(Sintesi!$C$15),1,$C193)&gt;0),0,IF(($E193=INDEX(_xlfn.ANCHORARRAY(Sintesi!$C$14),1,$C193))*(INDEX(_xlfn.ANCHORARRAY(Sintesi!$C$15),1,$C193)&lt;0)+($E193&gt;=$E192)*($E193&lt;=$E194)*($E193&gt;INDEX(_xlfn.ANCHORARRAY(Sintesi!$C$14),1,$C193))*($E193&lt;=INDEX(_xlfn.ANCHORARRAY(Sintesi!$C$15),1,$C193))*(INDEX(_xlfn.ANCHORARRAY(Sintesi!$C$15),1,$C193)&gt;0),1,IF(($E193&gt;=$E192)*($E193&lt;=$E194)*($E193&gt;INDEX(_xlfn.ANCHORARRAY(Sintesi!$C$14),1,$C193))*($E193&lt;INDEX(_xlfn.ANCHORARRAY(Sintesi!$C$16),1,$C193))*(INDEX(_xlfn.ANCHORARRAY(Sintesi!$C$15),1,$C193)&lt;0)+($E193&gt;=$E192)*($E193&lt;=$E194)*($E193&gt;INDEX(_xlfn.ANCHORARRAY(Sintesi!$C$15),1,$C193))*($E193&lt;INDEX(_xlfn.ANCHORARRAY(Sintesi!$C$16),1,$C193))*(INDEX(_xlfn.ANCHORARRAY(Sintesi!$C$15),1,$C193)&gt;0),2,IF($E193=(INDEX(_xlfn.ANCHORARRAY(Sintesi!$C$16),1,$C193)),3,4)))),0),IF($C193&gt;0,IF(($E193=INDEX(_xlfn.ANCHORARRAY(Sintesi!$C$14),1,$C193))*(INDEX(_xlfn.ANCHORARRAY(Sintesi!$C$15),1,$C193)&gt;0),0,IF(($E193=INDEX(_xlfn.ANCHORARRAY(Sintesi!$C$14),1,$C193))*(INDEX(_xlfn.ANCHORARRAY(Sintesi!$C$15),1,$C193)&lt;0)+($E193&gt;=LOOKUP(2,1/($E:$E&lt;&gt;""),$E:$E))*($E193&lt;=$E194)*($E193&gt;INDEX(_xlfn.ANCHORARRAY(Sintesi!$C$14),1,$C193))*($E193&lt;=INDEX(_xlfn.ANCHORARRAY(Sintesi!$C$15),1,$C193))*(INDEX(_xlfn.ANCHORARRAY(Sintesi!$C$15),1,$C193)&gt;0),1,IF(($E193&gt;=LOOKUP(2,1/($E:$E&lt;&gt;""),$E:$E))*($E193&lt;=$E194)*($E193&gt;INDEX(_xlfn.ANCHORARRAY(Sintesi!$C$14),1,$C193))*($E193&lt;INDEX(_xlfn.ANCHORARRAY(Sintesi!$C$16),1,$C193))*(INDEX(_xlfn.ANCHORARRAY(Sintesi!$C$15),1,$C193)&lt;0)+($E193&gt;=LOOKUP(2,1/($E:$E&lt;&gt;""),$E:$E))*($E193&lt;=$E194)*($E193&gt;INDEX(_xlfn.ANCHORARRAY(Sintesi!$C$15),1,$C193))*($E193&lt;INDEX(_xlfn.ANCHORARRAY(Sintesi!$C$16),1,$C193))*(INDEX(_xlfn.ANCHORARRAY(Sintesi!$C$15),1,$C193)&gt;0),2,IF($E193=(INDEX(_xlfn.ANCHORARRAY(Sintesi!$C$16),1,$C193)),3,4)))),0)))</f>
        <v>3</v>
      </c>
      <c r="E193" s="1">
        <f>'Paste cell here'!F193</f>
        <v>1.0469999999999999</v>
      </c>
      <c r="F193" s="1">
        <f>'Paste cell here'!C193</f>
        <v>32.179999999999538</v>
      </c>
      <c r="G193" s="1">
        <f>'Paste cell here'!D193</f>
        <v>17.839999999999748</v>
      </c>
      <c r="H193" s="1">
        <f>'Paste cell here'!E193</f>
        <v>5.7982520979096188</v>
      </c>
      <c r="I193" s="1">
        <f>'Paste cell here'!X193</f>
        <v>6.07030268142032</v>
      </c>
      <c r="J193" s="1">
        <f>'Paste cell here'!Y193+'Paste cell here'!S193</f>
        <v>6.07030268142032</v>
      </c>
      <c r="K193" s="1">
        <f t="shared" si="4"/>
        <v>1.0469194127673029</v>
      </c>
      <c r="L193" s="1">
        <f t="shared" si="5"/>
        <v>27.525243416228637</v>
      </c>
      <c r="M193" s="1">
        <f t="array" ref="M193">IF(AND(A193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193&gt;=_xlfn.ANCHORARRAY(Sintesi!$C$9))+(_xlfn.ANCHORARRAY(Sintesi!$C$9)&gt;_xlfn.ANCHORARRAY(Sintesi!$C$10))*(A193&lt;=_xlfn.ANCHORARRAY(Sintesi!$C$10))+(_xlfn.ANCHORARRAY(Sintesi!$C$9)&lt;_xlfn.ANCHORARRAY(Sintesi!$C$10))*(A193&gt;=_xlfn.ANCHORARRAY(Sintesi!$C$9))*(A193&lt;=_xlfn.ANCHORARRAY(Sintesi!$C$10)),0)),0),A193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194&gt;=_xlfn.ANCHORARRAY(Sintesi!$C$9))+(_xlfn.ANCHORARRAY(Sintesi!$C$9)&gt;_xlfn.ANCHORARRAY(Sintesi!$C$10))*(A194&lt;=_xlfn.ANCHORARRAY(Sintesi!$C$10))+(_xlfn.ANCHORARRAY(Sintesi!$C$9)&lt;_xlfn.ANCHORARRAY(Sintesi!$C$10))*(A194&gt;=_xlfn.ANCHORARRAY(Sintesi!$C$9))*(A194&lt;=_xlfn.ANCHORARRAY(Sintesi!$C$10)),0)),0)),IF(L193&lt;_xlfn.IFNA(INDEX(_xlfn.ANCHORARRAY(Sintesi!$C$17),1,MATCH(1,(_xlfn.ANCHORARRAY(Sintesi!$C$9)&gt;_xlfn.ANCHORARRAY(Sintesi!$C$10))*(A192&gt;=_xlfn.ANCHORARRAY(Sintesi!$C$9))+(_xlfn.ANCHORARRAY(Sintesi!$C$9)&gt;_xlfn.ANCHORARRAY(Sintesi!$C$10))*(A192&lt;=_xlfn.ANCHORARRAY(Sintesi!$C$10))+(_xlfn.ANCHORARRAY(Sintesi!$C$9)&lt;_xlfn.ANCHORARRAY(Sintesi!$C$10))*(A192&gt;=_xlfn.ANCHORARRAY(Sintesi!$C$9))*(A192&lt;=_xlfn.ANCHORARRAY(Sintesi!$C$10)),0)),0),1,IF(L193&gt;=_xlfn.IFNA(INDEX(_xlfn.ANCHORARRAY(Sintesi!$C$18),1,MATCH(1,(_xlfn.ANCHORARRAY(Sintesi!$C$9)&gt;_xlfn.ANCHORARRAY(Sintesi!$C$10))*(A192&gt;=_xlfn.ANCHORARRAY(Sintesi!$C$9))+(_xlfn.ANCHORARRAY(Sintesi!$C$9)&gt;_xlfn.ANCHORARRAY(Sintesi!$C$10))*(A192&lt;=_xlfn.ANCHORARRAY(Sintesi!$C$10))+(_xlfn.ANCHORARRAY(Sintesi!$C$9)&lt;_xlfn.ANCHORARRAY(Sintesi!$C$10))*(A192&gt;=_xlfn.ANCHORARRAY(Sintesi!$C$9))*(A192&lt;=_xlfn.ANCHORARRAY(Sintesi!$C$10)),0)),0),0,1-(L193-_xlfn.IFNA(INDEX(_xlfn.ANCHORARRAY(Sintesi!$C$17),1,MATCH(1,(_xlfn.ANCHORARRAY(Sintesi!$C$9)&gt;_xlfn.ANCHORARRAY(Sintesi!$C$10))*(A192&gt;=_xlfn.ANCHORARRAY(Sintesi!$C$9))+(_xlfn.ANCHORARRAY(Sintesi!$C$9)&gt;_xlfn.ANCHORARRAY(Sintesi!$C$10))*(A192&lt;=_xlfn.ANCHORARRAY(Sintesi!$C$10))+(_xlfn.ANCHORARRAY(Sintesi!$C$9)&lt;_xlfn.ANCHORARRAY(Sintesi!$C$10))*(A192&gt;=_xlfn.ANCHORARRAY(Sintesi!$C$9))*(A192&lt;=_xlfn.ANCHORARRAY(Sintesi!$C$10)),0)),0))/(_xlfn.IFNA(INDEX(_xlfn.ANCHORARRAY(Sintesi!$C$18),1,MATCH(1,(_xlfn.ANCHORARRAY(Sintesi!$C$9)&gt;_xlfn.ANCHORARRAY(Sintesi!$C$10))*(A192&gt;=_xlfn.ANCHORARRAY(Sintesi!$C$9))+(_xlfn.ANCHORARRAY(Sintesi!$C$9)&gt;_xlfn.ANCHORARRAY(Sintesi!$C$10))*(A192&lt;=_xlfn.ANCHORARRAY(Sintesi!$C$10))+(_xlfn.ANCHORARRAY(Sintesi!$C$9)&lt;_xlfn.ANCHORARRAY(Sintesi!$C$10))*(A192&gt;=_xlfn.ANCHORARRAY(Sintesi!$C$9))*(A192&lt;=_xlfn.ANCHORARRAY(Sintesi!$C$10)),0)),0)-_xlfn.IFNA(INDEX(_xlfn.ANCHORARRAY(Sintesi!$C$17),1,MATCH(1,(_xlfn.ANCHORARRAY(Sintesi!$C$9)&gt;_xlfn.ANCHORARRAY(Sintesi!$C$10))*(A192&gt;=_xlfn.ANCHORARRAY(Sintesi!$C$9))+(_xlfn.ANCHORARRAY(Sintesi!$C$9)&gt;_xlfn.ANCHORARRAY(Sintesi!$C$10))*(A192&lt;=_xlfn.ANCHORARRAY(Sintesi!$C$10))+(_xlfn.ANCHORARRAY(Sintesi!$C$9)&lt;_xlfn.ANCHORARRAY(Sintesi!$C$10))*(A192&gt;=_xlfn.ANCHORARRAY(Sintesi!$C$9))*(A192&lt;=_xlfn.ANCHORARRAY(Sintesi!$C$10)),0)),0)))),0)</f>
        <v>1</v>
      </c>
    </row>
    <row r="194" spans="1:13">
      <c r="A194" s="1">
        <f>'Paste cell here'!A194</f>
        <v>193</v>
      </c>
      <c r="B194" s="2">
        <f>DATE(Sintesi!$C$4-1,12,31)+A194</f>
        <v>44389</v>
      </c>
      <c r="C194" s="34">
        <f t="array" ref="C194">_xlfn.IFNA(MATCH(1,((_xlfn.ANCHORARRAY(Sintesi!$C$9)&gt;_xlfn.ANCHORARRAY(Sintesi!$C$10))*(A194&gt;=_xlfn.ANCHORARRAY(Sintesi!$C$9))+(_xlfn.ANCHORARRAY(Sintesi!$C$9)&gt;_xlfn.ANCHORARRAY(Sintesi!$C$10))*(A194&lt;=_xlfn.ANCHORARRAY(Sintesi!$C$10))+(_xlfn.ANCHORARRAY(Sintesi!$C$9)&lt;_xlfn.ANCHORARRAY(Sintesi!$C$10))*(A194&gt;=_xlfn.ANCHORARRAY(Sintesi!$C$9))*(A194&lt;=_xlfn.ANCHORARRAY(Sintesi!$C$10)))*(_xlfn.ANCHORARRAY(Sintesi!$C$15)&gt;=0)+(_xlfn.ANCHORARRAY(Sintesi!$C$15)&lt;0),0),0)</f>
        <v>1</v>
      </c>
      <c r="D194" s="1">
        <f t="array" ref="D194">IF(ISBLANK($E195),IF(ISNUMBER($E193),IF($C194&gt;0,IF(($E194=INDEX(_xlfn.ANCHORARRAY(Sintesi!$C$14),1,$C194))*(INDEX(_xlfn.ANCHORARRAY(Sintesi!$C$15),1,$C194)&gt;0),0,IF(($E194=INDEX(_xlfn.ANCHORARRAY(Sintesi!$C$14),1,$C194))*(INDEX(_xlfn.ANCHORARRAY(Sintesi!$C$15),1,$C194)&lt;0)+($E194&gt;=$E193)*($E194&lt;=INDEX($E:$E,MATCH(TRUE,INDEX((ISNUMBER($E:$E)),0),0)))*($E194&gt;INDEX(_xlfn.ANCHORARRAY(Sintesi!$C$14),1,$C194))*($E194&lt;=INDEX(_xlfn.ANCHORARRAY(Sintesi!$C$15),1,$C194))*(INDEX(_xlfn.ANCHORARRAY(Sintesi!$C$15),1,$C194)&gt;0),1,IF(($E194&gt;=$E193)*($E194&lt;=INDEX($E:$E,MATCH(TRUE,INDEX((ISNUMBER($E:$E)),0),0)))*($E194&gt;INDEX(_xlfn.ANCHORARRAY(Sintesi!$C$14),1,$C194))*($E194&lt;INDEX(_xlfn.ANCHORARRAY(Sintesi!$C$16),1,$C194))*(INDEX(_xlfn.ANCHORARRAY(Sintesi!$C$15),1,$C194)&lt;0)+($E194&gt;=$E193)*($E194&lt;=INDEX($E:$E,MATCH(TRUE,INDEX((ISNUMBER($E:$E)),0),0)))*($E194&gt;INDEX(_xlfn.ANCHORARRAY(Sintesi!$C$15),1,$C194))*($E194&lt;INDEX(_xlfn.ANCHORARRAY(Sintesi!$C$16),1,$C194))*(INDEX(_xlfn.ANCHORARRAY(Sintesi!$C$15),1,$C194)&gt;0),2,IF($E194=(INDEX(_xlfn.ANCHORARRAY(Sintesi!$C$16),1,$C194)),3,4)))),0),IF($C194&gt;0,IF(($E194=INDEX(_xlfn.ANCHORARRAY(Sintesi!$C$14),1,$C194))*(INDEX(_xlfn.ANCHORARRAY(Sintesi!$C$15),1,$C194)&gt;0),0,IF(($E194=INDEX(_xlfn.ANCHORARRAY(Sintesi!$C$14),1,$C194))*(INDEX(_xlfn.ANCHORARRAY(Sintesi!$C$15),1,$C194)&lt;0)+($E194&gt;=LOOKUP(2,1/($E:$E&lt;&gt;""),$E:$E))*($E194&lt;=INDEX($E:$E,MATCH(TRUE,INDEX((ISNUMBER($E:$E)),0),0)))*($E194&gt;INDEX(_xlfn.ANCHORARRAY(Sintesi!$C$14),1,$C194))*($E194&lt;=INDEX(_xlfn.ANCHORARRAY(Sintesi!$C$15),1,$C194))*(INDEX(_xlfn.ANCHORARRAY(Sintesi!$C$15),1,$C194)&gt;0),1,IF(($E194&gt;=LOOKUP(2,1/($E:$E&lt;&gt;""),$E:$E))*($E194&lt;=INDEX($E:$E,MATCH(TRUE,INDEX((ISNUMBER($E:$E)),0),0)))*($E194&gt;INDEX(_xlfn.ANCHORARRAY(Sintesi!$C$14),1,$C194))*($E194&lt;INDEX(_xlfn.ANCHORARRAY(Sintesi!$C$16),1,$C194))*(INDEX(_xlfn.ANCHORARRAY(Sintesi!$C$15),1,$C194)&lt;0)+($E194&gt;=LOOKUP(2,1/($E:$E&lt;&gt;""),$E:$E))*($E194&lt;=INDEX($E:$E,MATCH(TRUE,INDEX((ISNUMBER($E:$E)),0),0)))*($E194&gt;INDEX(_xlfn.ANCHORARRAY(Sintesi!$C$15),1,$C194))*($E194&lt;INDEX(_xlfn.ANCHORARRAY(Sintesi!$C$16),1,$C194))*(INDEX(_xlfn.ANCHORARRAY(Sintesi!$C$15),1,$C194)&gt;0),2,IF($E194=(INDEX(_xlfn.ANCHORARRAY(Sintesi!$C$16),1,$C194)),3,4)))),0)),IF(ISNUMBER($E193),IF($C194&gt;0,IF(($E194=INDEX(_xlfn.ANCHORARRAY(Sintesi!$C$14),1,$C194))*(INDEX(_xlfn.ANCHORARRAY(Sintesi!$C$15),1,$C194)&gt;0),0,IF(($E194=INDEX(_xlfn.ANCHORARRAY(Sintesi!$C$14),1,$C194))*(INDEX(_xlfn.ANCHORARRAY(Sintesi!$C$15),1,$C194)&lt;0)+($E194&gt;=$E193)*($E194&lt;=$E195)*($E194&gt;INDEX(_xlfn.ANCHORARRAY(Sintesi!$C$14),1,$C194))*($E194&lt;=INDEX(_xlfn.ANCHORARRAY(Sintesi!$C$15),1,$C194))*(INDEX(_xlfn.ANCHORARRAY(Sintesi!$C$15),1,$C194)&gt;0),1,IF(($E194&gt;=$E193)*($E194&lt;=$E195)*($E194&gt;INDEX(_xlfn.ANCHORARRAY(Sintesi!$C$14),1,$C194))*($E194&lt;INDEX(_xlfn.ANCHORARRAY(Sintesi!$C$16),1,$C194))*(INDEX(_xlfn.ANCHORARRAY(Sintesi!$C$15),1,$C194)&lt;0)+($E194&gt;=$E193)*($E194&lt;=$E195)*($E194&gt;INDEX(_xlfn.ANCHORARRAY(Sintesi!$C$15),1,$C194))*($E194&lt;INDEX(_xlfn.ANCHORARRAY(Sintesi!$C$16),1,$C194))*(INDEX(_xlfn.ANCHORARRAY(Sintesi!$C$15),1,$C194)&gt;0),2,IF($E194=(INDEX(_xlfn.ANCHORARRAY(Sintesi!$C$16),1,$C194)),3,4)))),0),IF($C194&gt;0,IF(($E194=INDEX(_xlfn.ANCHORARRAY(Sintesi!$C$14),1,$C194))*(INDEX(_xlfn.ANCHORARRAY(Sintesi!$C$15),1,$C194)&gt;0),0,IF(($E194=INDEX(_xlfn.ANCHORARRAY(Sintesi!$C$14),1,$C194))*(INDEX(_xlfn.ANCHORARRAY(Sintesi!$C$15),1,$C194)&lt;0)+($E194&gt;=LOOKUP(2,1/($E:$E&lt;&gt;""),$E:$E))*($E194&lt;=$E195)*($E194&gt;INDEX(_xlfn.ANCHORARRAY(Sintesi!$C$14),1,$C194))*($E194&lt;=INDEX(_xlfn.ANCHORARRAY(Sintesi!$C$15),1,$C194))*(INDEX(_xlfn.ANCHORARRAY(Sintesi!$C$15),1,$C194)&gt;0),1,IF(($E194&gt;=LOOKUP(2,1/($E:$E&lt;&gt;""),$E:$E))*($E194&lt;=$E195)*($E194&gt;INDEX(_xlfn.ANCHORARRAY(Sintesi!$C$14),1,$C194))*($E194&lt;INDEX(_xlfn.ANCHORARRAY(Sintesi!$C$16),1,$C194))*(INDEX(_xlfn.ANCHORARRAY(Sintesi!$C$15),1,$C194)&lt;0)+($E194&gt;=LOOKUP(2,1/($E:$E&lt;&gt;""),$E:$E))*($E194&lt;=$E195)*($E194&gt;INDEX(_xlfn.ANCHORARRAY(Sintesi!$C$15),1,$C194))*($E194&lt;INDEX(_xlfn.ANCHORARRAY(Sintesi!$C$16),1,$C194))*(INDEX(_xlfn.ANCHORARRAY(Sintesi!$C$15),1,$C194)&gt;0),2,IF($E194=(INDEX(_xlfn.ANCHORARRAY(Sintesi!$C$16),1,$C194)),3,4)))),0)))</f>
        <v>3</v>
      </c>
      <c r="E194" s="1">
        <f>'Paste cell here'!F194</f>
        <v>1.0469999999999999</v>
      </c>
      <c r="F194" s="1">
        <f>'Paste cell here'!C194</f>
        <v>31.839999999999542</v>
      </c>
      <c r="G194" s="1">
        <f>'Paste cell here'!D194</f>
        <v>19.499999999999744</v>
      </c>
      <c r="H194" s="1">
        <f>'Paste cell here'!E194</f>
        <v>5.1898732168480164</v>
      </c>
      <c r="I194" s="1">
        <f>'Paste cell here'!X194</f>
        <v>5.4333899287992402</v>
      </c>
      <c r="J194" s="1">
        <f>'Paste cell here'!Y194+'Paste cell here'!S194</f>
        <v>5.4333899287992402</v>
      </c>
      <c r="K194" s="1">
        <f t="shared" ref="K194:K257" si="6">I194/H194</f>
        <v>1.0469215146066939</v>
      </c>
      <c r="L194" s="1">
        <f t="shared" ref="L194:L257" si="7">AVERAGE(($F194+$G194)/2-($F194-$G194)/2*COS(PI()*(8-VLOOKUP(MONTH(B194),$O$1:$Q$13,3))/(VLOOKUP(MONTH(B194),$O$1:$Q$13,2)-VLOOKUP(MONTH(B194),$O$1:$Q$13,3))),($F194+$G194)/2-($F194-$G194)/2*COS(PI()*(9-VLOOKUP(MONTH(B194),$O$1:$Q$13,3))/(VLOOKUP(MONTH(B194),$O$1:$Q$13,2)-VLOOKUP(MONTH(B194),$O$1:$Q$13,3))),($F194+$G194)/2-($F194-$G194)/2*COS(PI()*(10-VLOOKUP(MONTH(B194),$O$1:$Q$13,3))/(VLOOKUP(MONTH(B194),$O$1:$Q$13,2)-VLOOKUP(MONTH(B194),$O$1:$Q$13,3))),($F194+$G194)/2-($F194-$G194)/2*COS(PI()*(11-VLOOKUP(MONTH(B194),$O$1:$Q$13,3))/(VLOOKUP(MONTH(B194),$O$1:$Q$13,2)-VLOOKUP(MONTH(B194),$O$1:$Q$13,3))),($F194+$G194)/2-($F194-$G194)/2*COS(PI()*(12-VLOOKUP(MONTH(B194),$O$1:$Q$13,3))/(VLOOKUP(MONTH(B194),$O$1:$Q$13,2)-VLOOKUP(MONTH(B194),$O$1:$Q$13,3))),($F194+$G194)/2-($F194-$G194)/2*COS(PI()*(13-VLOOKUP(MONTH(B194),$O$1:$Q$13,3))/(VLOOKUP(MONTH(B194),$O$1:$Q$13,2)-VLOOKUP(MONTH(B194),$O$1:$Q$13,3))),($F194+$G194)/2-($F194-$G194)/2*COS(PI()*(14-VLOOKUP(MONTH(B194),$O$1:$Q$13,3))/(VLOOKUP(MONTH(B194),$O$1:$Q$13,2)-VLOOKUP(MONTH(B194),$O$1:$Q$13,3))))</f>
        <v>27.834442381887072</v>
      </c>
      <c r="M194" s="1">
        <f t="array" ref="M194">IF(AND(A194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194&gt;=_xlfn.ANCHORARRAY(Sintesi!$C$9))+(_xlfn.ANCHORARRAY(Sintesi!$C$9)&gt;_xlfn.ANCHORARRAY(Sintesi!$C$10))*(A194&lt;=_xlfn.ANCHORARRAY(Sintesi!$C$10))+(_xlfn.ANCHORARRAY(Sintesi!$C$9)&lt;_xlfn.ANCHORARRAY(Sintesi!$C$10))*(A194&gt;=_xlfn.ANCHORARRAY(Sintesi!$C$9))*(A194&lt;=_xlfn.ANCHORARRAY(Sintesi!$C$10)),0)),0),A194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195&gt;=_xlfn.ANCHORARRAY(Sintesi!$C$9))+(_xlfn.ANCHORARRAY(Sintesi!$C$9)&gt;_xlfn.ANCHORARRAY(Sintesi!$C$10))*(A195&lt;=_xlfn.ANCHORARRAY(Sintesi!$C$10))+(_xlfn.ANCHORARRAY(Sintesi!$C$9)&lt;_xlfn.ANCHORARRAY(Sintesi!$C$10))*(A195&gt;=_xlfn.ANCHORARRAY(Sintesi!$C$9))*(A195&lt;=_xlfn.ANCHORARRAY(Sintesi!$C$10)),0)),0)),IF(L194&lt;_xlfn.IFNA(INDEX(_xlfn.ANCHORARRAY(Sintesi!$C$17),1,MATCH(1,(_xlfn.ANCHORARRAY(Sintesi!$C$9)&gt;_xlfn.ANCHORARRAY(Sintesi!$C$10))*(A193&gt;=_xlfn.ANCHORARRAY(Sintesi!$C$9))+(_xlfn.ANCHORARRAY(Sintesi!$C$9)&gt;_xlfn.ANCHORARRAY(Sintesi!$C$10))*(A193&lt;=_xlfn.ANCHORARRAY(Sintesi!$C$10))+(_xlfn.ANCHORARRAY(Sintesi!$C$9)&lt;_xlfn.ANCHORARRAY(Sintesi!$C$10))*(A193&gt;=_xlfn.ANCHORARRAY(Sintesi!$C$9))*(A193&lt;=_xlfn.ANCHORARRAY(Sintesi!$C$10)),0)),0),1,IF(L194&gt;=_xlfn.IFNA(INDEX(_xlfn.ANCHORARRAY(Sintesi!$C$18),1,MATCH(1,(_xlfn.ANCHORARRAY(Sintesi!$C$9)&gt;_xlfn.ANCHORARRAY(Sintesi!$C$10))*(A193&gt;=_xlfn.ANCHORARRAY(Sintesi!$C$9))+(_xlfn.ANCHORARRAY(Sintesi!$C$9)&gt;_xlfn.ANCHORARRAY(Sintesi!$C$10))*(A193&lt;=_xlfn.ANCHORARRAY(Sintesi!$C$10))+(_xlfn.ANCHORARRAY(Sintesi!$C$9)&lt;_xlfn.ANCHORARRAY(Sintesi!$C$10))*(A193&gt;=_xlfn.ANCHORARRAY(Sintesi!$C$9))*(A193&lt;=_xlfn.ANCHORARRAY(Sintesi!$C$10)),0)),0),0,1-(L194-_xlfn.IFNA(INDEX(_xlfn.ANCHORARRAY(Sintesi!$C$17),1,MATCH(1,(_xlfn.ANCHORARRAY(Sintesi!$C$9)&gt;_xlfn.ANCHORARRAY(Sintesi!$C$10))*(A193&gt;=_xlfn.ANCHORARRAY(Sintesi!$C$9))+(_xlfn.ANCHORARRAY(Sintesi!$C$9)&gt;_xlfn.ANCHORARRAY(Sintesi!$C$10))*(A193&lt;=_xlfn.ANCHORARRAY(Sintesi!$C$10))+(_xlfn.ANCHORARRAY(Sintesi!$C$9)&lt;_xlfn.ANCHORARRAY(Sintesi!$C$10))*(A193&gt;=_xlfn.ANCHORARRAY(Sintesi!$C$9))*(A193&lt;=_xlfn.ANCHORARRAY(Sintesi!$C$10)),0)),0))/(_xlfn.IFNA(INDEX(_xlfn.ANCHORARRAY(Sintesi!$C$18),1,MATCH(1,(_xlfn.ANCHORARRAY(Sintesi!$C$9)&gt;_xlfn.ANCHORARRAY(Sintesi!$C$10))*(A193&gt;=_xlfn.ANCHORARRAY(Sintesi!$C$9))+(_xlfn.ANCHORARRAY(Sintesi!$C$9)&gt;_xlfn.ANCHORARRAY(Sintesi!$C$10))*(A193&lt;=_xlfn.ANCHORARRAY(Sintesi!$C$10))+(_xlfn.ANCHORARRAY(Sintesi!$C$9)&lt;_xlfn.ANCHORARRAY(Sintesi!$C$10))*(A193&gt;=_xlfn.ANCHORARRAY(Sintesi!$C$9))*(A193&lt;=_xlfn.ANCHORARRAY(Sintesi!$C$10)),0)),0)-_xlfn.IFNA(INDEX(_xlfn.ANCHORARRAY(Sintesi!$C$17),1,MATCH(1,(_xlfn.ANCHORARRAY(Sintesi!$C$9)&gt;_xlfn.ANCHORARRAY(Sintesi!$C$10))*(A193&gt;=_xlfn.ANCHORARRAY(Sintesi!$C$9))+(_xlfn.ANCHORARRAY(Sintesi!$C$9)&gt;_xlfn.ANCHORARRAY(Sintesi!$C$10))*(A193&lt;=_xlfn.ANCHORARRAY(Sintesi!$C$10))+(_xlfn.ANCHORARRAY(Sintesi!$C$9)&lt;_xlfn.ANCHORARRAY(Sintesi!$C$10))*(A193&gt;=_xlfn.ANCHORARRAY(Sintesi!$C$9))*(A193&lt;=_xlfn.ANCHORARRAY(Sintesi!$C$10)),0)),0)))),0)</f>
        <v>1</v>
      </c>
    </row>
    <row r="195" spans="1:13">
      <c r="A195" s="1">
        <f>'Paste cell here'!A195</f>
        <v>194</v>
      </c>
      <c r="B195" s="2">
        <f>DATE(Sintesi!$C$4-1,12,31)+A195</f>
        <v>44390</v>
      </c>
      <c r="C195" s="34">
        <f t="array" ref="C195">_xlfn.IFNA(MATCH(1,((_xlfn.ANCHORARRAY(Sintesi!$C$9)&gt;_xlfn.ANCHORARRAY(Sintesi!$C$10))*(A195&gt;=_xlfn.ANCHORARRAY(Sintesi!$C$9))+(_xlfn.ANCHORARRAY(Sintesi!$C$9)&gt;_xlfn.ANCHORARRAY(Sintesi!$C$10))*(A195&lt;=_xlfn.ANCHORARRAY(Sintesi!$C$10))+(_xlfn.ANCHORARRAY(Sintesi!$C$9)&lt;_xlfn.ANCHORARRAY(Sintesi!$C$10))*(A195&gt;=_xlfn.ANCHORARRAY(Sintesi!$C$9))*(A195&lt;=_xlfn.ANCHORARRAY(Sintesi!$C$10)))*(_xlfn.ANCHORARRAY(Sintesi!$C$15)&gt;=0)+(_xlfn.ANCHORARRAY(Sintesi!$C$15)&lt;0),0),0)</f>
        <v>1</v>
      </c>
      <c r="D195" s="1">
        <f t="array" ref="D195">IF(ISBLANK($E196),IF(ISNUMBER($E194),IF($C195&gt;0,IF(($E195=INDEX(_xlfn.ANCHORARRAY(Sintesi!$C$14),1,$C195))*(INDEX(_xlfn.ANCHORARRAY(Sintesi!$C$15),1,$C195)&gt;0),0,IF(($E195=INDEX(_xlfn.ANCHORARRAY(Sintesi!$C$14),1,$C195))*(INDEX(_xlfn.ANCHORARRAY(Sintesi!$C$15),1,$C195)&lt;0)+($E195&gt;=$E194)*($E195&lt;=INDEX($E:$E,MATCH(TRUE,INDEX((ISNUMBER($E:$E)),0),0)))*($E195&gt;INDEX(_xlfn.ANCHORARRAY(Sintesi!$C$14),1,$C195))*($E195&lt;=INDEX(_xlfn.ANCHORARRAY(Sintesi!$C$15),1,$C195))*(INDEX(_xlfn.ANCHORARRAY(Sintesi!$C$15),1,$C195)&gt;0),1,IF(($E195&gt;=$E194)*($E195&lt;=INDEX($E:$E,MATCH(TRUE,INDEX((ISNUMBER($E:$E)),0),0)))*($E195&gt;INDEX(_xlfn.ANCHORARRAY(Sintesi!$C$14),1,$C195))*($E195&lt;INDEX(_xlfn.ANCHORARRAY(Sintesi!$C$16),1,$C195))*(INDEX(_xlfn.ANCHORARRAY(Sintesi!$C$15),1,$C195)&lt;0)+($E195&gt;=$E194)*($E195&lt;=INDEX($E:$E,MATCH(TRUE,INDEX((ISNUMBER($E:$E)),0),0)))*($E195&gt;INDEX(_xlfn.ANCHORARRAY(Sintesi!$C$15),1,$C195))*($E195&lt;INDEX(_xlfn.ANCHORARRAY(Sintesi!$C$16),1,$C195))*(INDEX(_xlfn.ANCHORARRAY(Sintesi!$C$15),1,$C195)&gt;0),2,IF($E195=(INDEX(_xlfn.ANCHORARRAY(Sintesi!$C$16),1,$C195)),3,4)))),0),IF($C195&gt;0,IF(($E195=INDEX(_xlfn.ANCHORARRAY(Sintesi!$C$14),1,$C195))*(INDEX(_xlfn.ANCHORARRAY(Sintesi!$C$15),1,$C195)&gt;0),0,IF(($E195=INDEX(_xlfn.ANCHORARRAY(Sintesi!$C$14),1,$C195))*(INDEX(_xlfn.ANCHORARRAY(Sintesi!$C$15),1,$C195)&lt;0)+($E195&gt;=LOOKUP(2,1/($E:$E&lt;&gt;""),$E:$E))*($E195&lt;=INDEX($E:$E,MATCH(TRUE,INDEX((ISNUMBER($E:$E)),0),0)))*($E195&gt;INDEX(_xlfn.ANCHORARRAY(Sintesi!$C$14),1,$C195))*($E195&lt;=INDEX(_xlfn.ANCHORARRAY(Sintesi!$C$15),1,$C195))*(INDEX(_xlfn.ANCHORARRAY(Sintesi!$C$15),1,$C195)&gt;0),1,IF(($E195&gt;=LOOKUP(2,1/($E:$E&lt;&gt;""),$E:$E))*($E195&lt;=INDEX($E:$E,MATCH(TRUE,INDEX((ISNUMBER($E:$E)),0),0)))*($E195&gt;INDEX(_xlfn.ANCHORARRAY(Sintesi!$C$14),1,$C195))*($E195&lt;INDEX(_xlfn.ANCHORARRAY(Sintesi!$C$16),1,$C195))*(INDEX(_xlfn.ANCHORARRAY(Sintesi!$C$15),1,$C195)&lt;0)+($E195&gt;=LOOKUP(2,1/($E:$E&lt;&gt;""),$E:$E))*($E195&lt;=INDEX($E:$E,MATCH(TRUE,INDEX((ISNUMBER($E:$E)),0),0)))*($E195&gt;INDEX(_xlfn.ANCHORARRAY(Sintesi!$C$15),1,$C195))*($E195&lt;INDEX(_xlfn.ANCHORARRAY(Sintesi!$C$16),1,$C195))*(INDEX(_xlfn.ANCHORARRAY(Sintesi!$C$15),1,$C195)&gt;0),2,IF($E195=(INDEX(_xlfn.ANCHORARRAY(Sintesi!$C$16),1,$C195)),3,4)))),0)),IF(ISNUMBER($E194),IF($C195&gt;0,IF(($E195=INDEX(_xlfn.ANCHORARRAY(Sintesi!$C$14),1,$C195))*(INDEX(_xlfn.ANCHORARRAY(Sintesi!$C$15),1,$C195)&gt;0),0,IF(($E195=INDEX(_xlfn.ANCHORARRAY(Sintesi!$C$14),1,$C195))*(INDEX(_xlfn.ANCHORARRAY(Sintesi!$C$15),1,$C195)&lt;0)+($E195&gt;=$E194)*($E195&lt;=$E196)*($E195&gt;INDEX(_xlfn.ANCHORARRAY(Sintesi!$C$14),1,$C195))*($E195&lt;=INDEX(_xlfn.ANCHORARRAY(Sintesi!$C$15),1,$C195))*(INDEX(_xlfn.ANCHORARRAY(Sintesi!$C$15),1,$C195)&gt;0),1,IF(($E195&gt;=$E194)*($E195&lt;=$E196)*($E195&gt;INDEX(_xlfn.ANCHORARRAY(Sintesi!$C$14),1,$C195))*($E195&lt;INDEX(_xlfn.ANCHORARRAY(Sintesi!$C$16),1,$C195))*(INDEX(_xlfn.ANCHORARRAY(Sintesi!$C$15),1,$C195)&lt;0)+($E195&gt;=$E194)*($E195&lt;=$E196)*($E195&gt;INDEX(_xlfn.ANCHORARRAY(Sintesi!$C$15),1,$C195))*($E195&lt;INDEX(_xlfn.ANCHORARRAY(Sintesi!$C$16),1,$C195))*(INDEX(_xlfn.ANCHORARRAY(Sintesi!$C$15),1,$C195)&gt;0),2,IF($E195=(INDEX(_xlfn.ANCHORARRAY(Sintesi!$C$16),1,$C195)),3,4)))),0),IF($C195&gt;0,IF(($E195=INDEX(_xlfn.ANCHORARRAY(Sintesi!$C$14),1,$C195))*(INDEX(_xlfn.ANCHORARRAY(Sintesi!$C$15),1,$C195)&gt;0),0,IF(($E195=INDEX(_xlfn.ANCHORARRAY(Sintesi!$C$14),1,$C195))*(INDEX(_xlfn.ANCHORARRAY(Sintesi!$C$15),1,$C195)&lt;0)+($E195&gt;=LOOKUP(2,1/($E:$E&lt;&gt;""),$E:$E))*($E195&lt;=$E196)*($E195&gt;INDEX(_xlfn.ANCHORARRAY(Sintesi!$C$14),1,$C195))*($E195&lt;=INDEX(_xlfn.ANCHORARRAY(Sintesi!$C$15),1,$C195))*(INDEX(_xlfn.ANCHORARRAY(Sintesi!$C$15),1,$C195)&gt;0),1,IF(($E195&gt;=LOOKUP(2,1/($E:$E&lt;&gt;""),$E:$E))*($E195&lt;=$E196)*($E195&gt;INDEX(_xlfn.ANCHORARRAY(Sintesi!$C$14),1,$C195))*($E195&lt;INDEX(_xlfn.ANCHORARRAY(Sintesi!$C$16),1,$C195))*(INDEX(_xlfn.ANCHORARRAY(Sintesi!$C$15),1,$C195)&lt;0)+($E195&gt;=LOOKUP(2,1/($E:$E&lt;&gt;""),$E:$E))*($E195&lt;=$E196)*($E195&gt;INDEX(_xlfn.ANCHORARRAY(Sintesi!$C$15),1,$C195))*($E195&lt;INDEX(_xlfn.ANCHORARRAY(Sintesi!$C$16),1,$C195))*(INDEX(_xlfn.ANCHORARRAY(Sintesi!$C$15),1,$C195)&gt;0),2,IF($E195=(INDEX(_xlfn.ANCHORARRAY(Sintesi!$C$16),1,$C195)),3,4)))),0)))</f>
        <v>3</v>
      </c>
      <c r="E195" s="1">
        <f>'Paste cell here'!F195</f>
        <v>1.0469999999999999</v>
      </c>
      <c r="F195" s="1">
        <f>'Paste cell here'!C195</f>
        <v>28.659999999999584</v>
      </c>
      <c r="G195" s="1">
        <f>'Paste cell here'!D195</f>
        <v>16.959999999999766</v>
      </c>
      <c r="H195" s="1">
        <f>'Paste cell here'!E195</f>
        <v>4.7710097428047904</v>
      </c>
      <c r="I195" s="1">
        <f>'Paste cell here'!X195</f>
        <v>4.9948829741950567</v>
      </c>
      <c r="J195" s="1">
        <f>'Paste cell here'!Y195+'Paste cell here'!S195</f>
        <v>4.9948829741950567</v>
      </c>
      <c r="K195" s="1">
        <f t="shared" si="6"/>
        <v>1.0469236583991244</v>
      </c>
      <c r="L195" s="1">
        <f t="shared" si="7"/>
        <v>24.862186050897808</v>
      </c>
      <c r="M195" s="1">
        <f t="array" ref="M195">IF(AND(A195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195&gt;=_xlfn.ANCHORARRAY(Sintesi!$C$9))+(_xlfn.ANCHORARRAY(Sintesi!$C$9)&gt;_xlfn.ANCHORARRAY(Sintesi!$C$10))*(A195&lt;=_xlfn.ANCHORARRAY(Sintesi!$C$10))+(_xlfn.ANCHORARRAY(Sintesi!$C$9)&lt;_xlfn.ANCHORARRAY(Sintesi!$C$10))*(A195&gt;=_xlfn.ANCHORARRAY(Sintesi!$C$9))*(A195&lt;=_xlfn.ANCHORARRAY(Sintesi!$C$10)),0)),0),A195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196&gt;=_xlfn.ANCHORARRAY(Sintesi!$C$9))+(_xlfn.ANCHORARRAY(Sintesi!$C$9)&gt;_xlfn.ANCHORARRAY(Sintesi!$C$10))*(A196&lt;=_xlfn.ANCHORARRAY(Sintesi!$C$10))+(_xlfn.ANCHORARRAY(Sintesi!$C$9)&lt;_xlfn.ANCHORARRAY(Sintesi!$C$10))*(A196&gt;=_xlfn.ANCHORARRAY(Sintesi!$C$9))*(A196&lt;=_xlfn.ANCHORARRAY(Sintesi!$C$10)),0)),0)),IF(L195&lt;_xlfn.IFNA(INDEX(_xlfn.ANCHORARRAY(Sintesi!$C$17),1,MATCH(1,(_xlfn.ANCHORARRAY(Sintesi!$C$9)&gt;_xlfn.ANCHORARRAY(Sintesi!$C$10))*(A194&gt;=_xlfn.ANCHORARRAY(Sintesi!$C$9))+(_xlfn.ANCHORARRAY(Sintesi!$C$9)&gt;_xlfn.ANCHORARRAY(Sintesi!$C$10))*(A194&lt;=_xlfn.ANCHORARRAY(Sintesi!$C$10))+(_xlfn.ANCHORARRAY(Sintesi!$C$9)&lt;_xlfn.ANCHORARRAY(Sintesi!$C$10))*(A194&gt;=_xlfn.ANCHORARRAY(Sintesi!$C$9))*(A194&lt;=_xlfn.ANCHORARRAY(Sintesi!$C$10)),0)),0),1,IF(L195&gt;=_xlfn.IFNA(INDEX(_xlfn.ANCHORARRAY(Sintesi!$C$18),1,MATCH(1,(_xlfn.ANCHORARRAY(Sintesi!$C$9)&gt;_xlfn.ANCHORARRAY(Sintesi!$C$10))*(A194&gt;=_xlfn.ANCHORARRAY(Sintesi!$C$9))+(_xlfn.ANCHORARRAY(Sintesi!$C$9)&gt;_xlfn.ANCHORARRAY(Sintesi!$C$10))*(A194&lt;=_xlfn.ANCHORARRAY(Sintesi!$C$10))+(_xlfn.ANCHORARRAY(Sintesi!$C$9)&lt;_xlfn.ANCHORARRAY(Sintesi!$C$10))*(A194&gt;=_xlfn.ANCHORARRAY(Sintesi!$C$9))*(A194&lt;=_xlfn.ANCHORARRAY(Sintesi!$C$10)),0)),0),0,1-(L195-_xlfn.IFNA(INDEX(_xlfn.ANCHORARRAY(Sintesi!$C$17),1,MATCH(1,(_xlfn.ANCHORARRAY(Sintesi!$C$9)&gt;_xlfn.ANCHORARRAY(Sintesi!$C$10))*(A194&gt;=_xlfn.ANCHORARRAY(Sintesi!$C$9))+(_xlfn.ANCHORARRAY(Sintesi!$C$9)&gt;_xlfn.ANCHORARRAY(Sintesi!$C$10))*(A194&lt;=_xlfn.ANCHORARRAY(Sintesi!$C$10))+(_xlfn.ANCHORARRAY(Sintesi!$C$9)&lt;_xlfn.ANCHORARRAY(Sintesi!$C$10))*(A194&gt;=_xlfn.ANCHORARRAY(Sintesi!$C$9))*(A194&lt;=_xlfn.ANCHORARRAY(Sintesi!$C$10)),0)),0))/(_xlfn.IFNA(INDEX(_xlfn.ANCHORARRAY(Sintesi!$C$18),1,MATCH(1,(_xlfn.ANCHORARRAY(Sintesi!$C$9)&gt;_xlfn.ANCHORARRAY(Sintesi!$C$10))*(A194&gt;=_xlfn.ANCHORARRAY(Sintesi!$C$9))+(_xlfn.ANCHORARRAY(Sintesi!$C$9)&gt;_xlfn.ANCHORARRAY(Sintesi!$C$10))*(A194&lt;=_xlfn.ANCHORARRAY(Sintesi!$C$10))+(_xlfn.ANCHORARRAY(Sintesi!$C$9)&lt;_xlfn.ANCHORARRAY(Sintesi!$C$10))*(A194&gt;=_xlfn.ANCHORARRAY(Sintesi!$C$9))*(A194&lt;=_xlfn.ANCHORARRAY(Sintesi!$C$10)),0)),0)-_xlfn.IFNA(INDEX(_xlfn.ANCHORARRAY(Sintesi!$C$17),1,MATCH(1,(_xlfn.ANCHORARRAY(Sintesi!$C$9)&gt;_xlfn.ANCHORARRAY(Sintesi!$C$10))*(A194&gt;=_xlfn.ANCHORARRAY(Sintesi!$C$9))+(_xlfn.ANCHORARRAY(Sintesi!$C$9)&gt;_xlfn.ANCHORARRAY(Sintesi!$C$10))*(A194&lt;=_xlfn.ANCHORARRAY(Sintesi!$C$10))+(_xlfn.ANCHORARRAY(Sintesi!$C$9)&lt;_xlfn.ANCHORARRAY(Sintesi!$C$10))*(A194&gt;=_xlfn.ANCHORARRAY(Sintesi!$C$9))*(A194&lt;=_xlfn.ANCHORARRAY(Sintesi!$C$10)),0)),0)))),0)</f>
        <v>1</v>
      </c>
    </row>
    <row r="196" spans="1:13">
      <c r="A196" s="1">
        <f>'Paste cell here'!A196</f>
        <v>195</v>
      </c>
      <c r="B196" s="2">
        <f>DATE(Sintesi!$C$4-1,12,31)+A196</f>
        <v>44391</v>
      </c>
      <c r="C196" s="34">
        <f t="array" ref="C196">_xlfn.IFNA(MATCH(1,((_xlfn.ANCHORARRAY(Sintesi!$C$9)&gt;_xlfn.ANCHORARRAY(Sintesi!$C$10))*(A196&gt;=_xlfn.ANCHORARRAY(Sintesi!$C$9))+(_xlfn.ANCHORARRAY(Sintesi!$C$9)&gt;_xlfn.ANCHORARRAY(Sintesi!$C$10))*(A196&lt;=_xlfn.ANCHORARRAY(Sintesi!$C$10))+(_xlfn.ANCHORARRAY(Sintesi!$C$9)&lt;_xlfn.ANCHORARRAY(Sintesi!$C$10))*(A196&gt;=_xlfn.ANCHORARRAY(Sintesi!$C$9))*(A196&lt;=_xlfn.ANCHORARRAY(Sintesi!$C$10)))*(_xlfn.ANCHORARRAY(Sintesi!$C$15)&gt;=0)+(_xlfn.ANCHORARRAY(Sintesi!$C$15)&lt;0),0),0)</f>
        <v>1</v>
      </c>
      <c r="D196" s="1">
        <f t="array" ref="D196">IF(ISBLANK($E197),IF(ISNUMBER($E195),IF($C196&gt;0,IF(($E196=INDEX(_xlfn.ANCHORARRAY(Sintesi!$C$14),1,$C196))*(INDEX(_xlfn.ANCHORARRAY(Sintesi!$C$15),1,$C196)&gt;0),0,IF(($E196=INDEX(_xlfn.ANCHORARRAY(Sintesi!$C$14),1,$C196))*(INDEX(_xlfn.ANCHORARRAY(Sintesi!$C$15),1,$C196)&lt;0)+($E196&gt;=$E195)*($E196&lt;=INDEX($E:$E,MATCH(TRUE,INDEX((ISNUMBER($E:$E)),0),0)))*($E196&gt;INDEX(_xlfn.ANCHORARRAY(Sintesi!$C$14),1,$C196))*($E196&lt;=INDEX(_xlfn.ANCHORARRAY(Sintesi!$C$15),1,$C196))*(INDEX(_xlfn.ANCHORARRAY(Sintesi!$C$15),1,$C196)&gt;0),1,IF(($E196&gt;=$E195)*($E196&lt;=INDEX($E:$E,MATCH(TRUE,INDEX((ISNUMBER($E:$E)),0),0)))*($E196&gt;INDEX(_xlfn.ANCHORARRAY(Sintesi!$C$14),1,$C196))*($E196&lt;INDEX(_xlfn.ANCHORARRAY(Sintesi!$C$16),1,$C196))*(INDEX(_xlfn.ANCHORARRAY(Sintesi!$C$15),1,$C196)&lt;0)+($E196&gt;=$E195)*($E196&lt;=INDEX($E:$E,MATCH(TRUE,INDEX((ISNUMBER($E:$E)),0),0)))*($E196&gt;INDEX(_xlfn.ANCHORARRAY(Sintesi!$C$15),1,$C196))*($E196&lt;INDEX(_xlfn.ANCHORARRAY(Sintesi!$C$16),1,$C196))*(INDEX(_xlfn.ANCHORARRAY(Sintesi!$C$15),1,$C196)&gt;0),2,IF($E196=(INDEX(_xlfn.ANCHORARRAY(Sintesi!$C$16),1,$C196)),3,4)))),0),IF($C196&gt;0,IF(($E196=INDEX(_xlfn.ANCHORARRAY(Sintesi!$C$14),1,$C196))*(INDEX(_xlfn.ANCHORARRAY(Sintesi!$C$15),1,$C196)&gt;0),0,IF(($E196=INDEX(_xlfn.ANCHORARRAY(Sintesi!$C$14),1,$C196))*(INDEX(_xlfn.ANCHORARRAY(Sintesi!$C$15),1,$C196)&lt;0)+($E196&gt;=LOOKUP(2,1/($E:$E&lt;&gt;""),$E:$E))*($E196&lt;=INDEX($E:$E,MATCH(TRUE,INDEX((ISNUMBER($E:$E)),0),0)))*($E196&gt;INDEX(_xlfn.ANCHORARRAY(Sintesi!$C$14),1,$C196))*($E196&lt;=INDEX(_xlfn.ANCHORARRAY(Sintesi!$C$15),1,$C196))*(INDEX(_xlfn.ANCHORARRAY(Sintesi!$C$15),1,$C196)&gt;0),1,IF(($E196&gt;=LOOKUP(2,1/($E:$E&lt;&gt;""),$E:$E))*($E196&lt;=INDEX($E:$E,MATCH(TRUE,INDEX((ISNUMBER($E:$E)),0),0)))*($E196&gt;INDEX(_xlfn.ANCHORARRAY(Sintesi!$C$14),1,$C196))*($E196&lt;INDEX(_xlfn.ANCHORARRAY(Sintesi!$C$16),1,$C196))*(INDEX(_xlfn.ANCHORARRAY(Sintesi!$C$15),1,$C196)&lt;0)+($E196&gt;=LOOKUP(2,1/($E:$E&lt;&gt;""),$E:$E))*($E196&lt;=INDEX($E:$E,MATCH(TRUE,INDEX((ISNUMBER($E:$E)),0),0)))*($E196&gt;INDEX(_xlfn.ANCHORARRAY(Sintesi!$C$15),1,$C196))*($E196&lt;INDEX(_xlfn.ANCHORARRAY(Sintesi!$C$16),1,$C196))*(INDEX(_xlfn.ANCHORARRAY(Sintesi!$C$15),1,$C196)&gt;0),2,IF($E196=(INDEX(_xlfn.ANCHORARRAY(Sintesi!$C$16),1,$C196)),3,4)))),0)),IF(ISNUMBER($E195),IF($C196&gt;0,IF(($E196=INDEX(_xlfn.ANCHORARRAY(Sintesi!$C$14),1,$C196))*(INDEX(_xlfn.ANCHORARRAY(Sintesi!$C$15),1,$C196)&gt;0),0,IF(($E196=INDEX(_xlfn.ANCHORARRAY(Sintesi!$C$14),1,$C196))*(INDEX(_xlfn.ANCHORARRAY(Sintesi!$C$15),1,$C196)&lt;0)+($E196&gt;=$E195)*($E196&lt;=$E197)*($E196&gt;INDEX(_xlfn.ANCHORARRAY(Sintesi!$C$14),1,$C196))*($E196&lt;=INDEX(_xlfn.ANCHORARRAY(Sintesi!$C$15),1,$C196))*(INDEX(_xlfn.ANCHORARRAY(Sintesi!$C$15),1,$C196)&gt;0),1,IF(($E196&gt;=$E195)*($E196&lt;=$E197)*($E196&gt;INDEX(_xlfn.ANCHORARRAY(Sintesi!$C$14),1,$C196))*($E196&lt;INDEX(_xlfn.ANCHORARRAY(Sintesi!$C$16),1,$C196))*(INDEX(_xlfn.ANCHORARRAY(Sintesi!$C$15),1,$C196)&lt;0)+($E196&gt;=$E195)*($E196&lt;=$E197)*($E196&gt;INDEX(_xlfn.ANCHORARRAY(Sintesi!$C$15),1,$C196))*($E196&lt;INDEX(_xlfn.ANCHORARRAY(Sintesi!$C$16),1,$C196))*(INDEX(_xlfn.ANCHORARRAY(Sintesi!$C$15),1,$C196)&gt;0),2,IF($E196=(INDEX(_xlfn.ANCHORARRAY(Sintesi!$C$16),1,$C196)),3,4)))),0),IF($C196&gt;0,IF(($E196=INDEX(_xlfn.ANCHORARRAY(Sintesi!$C$14),1,$C196))*(INDEX(_xlfn.ANCHORARRAY(Sintesi!$C$15),1,$C196)&gt;0),0,IF(($E196=INDEX(_xlfn.ANCHORARRAY(Sintesi!$C$14),1,$C196))*(INDEX(_xlfn.ANCHORARRAY(Sintesi!$C$15),1,$C196)&lt;0)+($E196&gt;=LOOKUP(2,1/($E:$E&lt;&gt;""),$E:$E))*($E196&lt;=$E197)*($E196&gt;INDEX(_xlfn.ANCHORARRAY(Sintesi!$C$14),1,$C196))*($E196&lt;=INDEX(_xlfn.ANCHORARRAY(Sintesi!$C$15),1,$C196))*(INDEX(_xlfn.ANCHORARRAY(Sintesi!$C$15),1,$C196)&gt;0),1,IF(($E196&gt;=LOOKUP(2,1/($E:$E&lt;&gt;""),$E:$E))*($E196&lt;=$E197)*($E196&gt;INDEX(_xlfn.ANCHORARRAY(Sintesi!$C$14),1,$C196))*($E196&lt;INDEX(_xlfn.ANCHORARRAY(Sintesi!$C$16),1,$C196))*(INDEX(_xlfn.ANCHORARRAY(Sintesi!$C$15),1,$C196)&lt;0)+($E196&gt;=LOOKUP(2,1/($E:$E&lt;&gt;""),$E:$E))*($E196&lt;=$E197)*($E196&gt;INDEX(_xlfn.ANCHORARRAY(Sintesi!$C$15),1,$C196))*($E196&lt;INDEX(_xlfn.ANCHORARRAY(Sintesi!$C$16),1,$C196))*(INDEX(_xlfn.ANCHORARRAY(Sintesi!$C$15),1,$C196)&gt;0),2,IF($E196=(INDEX(_xlfn.ANCHORARRAY(Sintesi!$C$16),1,$C196)),3,4)))),0)))</f>
        <v>3</v>
      </c>
      <c r="E196" s="1">
        <f>'Paste cell here'!F196</f>
        <v>1.0469999999999999</v>
      </c>
      <c r="F196" s="1">
        <f>'Paste cell here'!C196</f>
        <v>25.219999999999644</v>
      </c>
      <c r="G196" s="1">
        <f>'Paste cell here'!D196</f>
        <v>15.499999999999794</v>
      </c>
      <c r="H196" s="1">
        <f>'Paste cell here'!E196</f>
        <v>3.6581549139520657</v>
      </c>
      <c r="I196" s="1">
        <f>'Paste cell here'!X196</f>
        <v>3.8298168968296964</v>
      </c>
      <c r="J196" s="1">
        <f>'Paste cell here'!Y196+'Paste cell here'!S196</f>
        <v>3.8298168968296964</v>
      </c>
      <c r="K196" s="1">
        <f t="shared" si="6"/>
        <v>1.0469258374550838</v>
      </c>
      <c r="L196" s="1">
        <f t="shared" si="7"/>
        <v>22.064893026899707</v>
      </c>
      <c r="M196" s="1">
        <f t="array" ref="M196">IF(AND(A196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196&gt;=_xlfn.ANCHORARRAY(Sintesi!$C$9))+(_xlfn.ANCHORARRAY(Sintesi!$C$9)&gt;_xlfn.ANCHORARRAY(Sintesi!$C$10))*(A196&lt;=_xlfn.ANCHORARRAY(Sintesi!$C$10))+(_xlfn.ANCHORARRAY(Sintesi!$C$9)&lt;_xlfn.ANCHORARRAY(Sintesi!$C$10))*(A196&gt;=_xlfn.ANCHORARRAY(Sintesi!$C$9))*(A196&lt;=_xlfn.ANCHORARRAY(Sintesi!$C$10)),0)),0),A196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197&gt;=_xlfn.ANCHORARRAY(Sintesi!$C$9))+(_xlfn.ANCHORARRAY(Sintesi!$C$9)&gt;_xlfn.ANCHORARRAY(Sintesi!$C$10))*(A197&lt;=_xlfn.ANCHORARRAY(Sintesi!$C$10))+(_xlfn.ANCHORARRAY(Sintesi!$C$9)&lt;_xlfn.ANCHORARRAY(Sintesi!$C$10))*(A197&gt;=_xlfn.ANCHORARRAY(Sintesi!$C$9))*(A197&lt;=_xlfn.ANCHORARRAY(Sintesi!$C$10)),0)),0)),IF(L196&lt;_xlfn.IFNA(INDEX(_xlfn.ANCHORARRAY(Sintesi!$C$17),1,MATCH(1,(_xlfn.ANCHORARRAY(Sintesi!$C$9)&gt;_xlfn.ANCHORARRAY(Sintesi!$C$10))*(A195&gt;=_xlfn.ANCHORARRAY(Sintesi!$C$9))+(_xlfn.ANCHORARRAY(Sintesi!$C$9)&gt;_xlfn.ANCHORARRAY(Sintesi!$C$10))*(A195&lt;=_xlfn.ANCHORARRAY(Sintesi!$C$10))+(_xlfn.ANCHORARRAY(Sintesi!$C$9)&lt;_xlfn.ANCHORARRAY(Sintesi!$C$10))*(A195&gt;=_xlfn.ANCHORARRAY(Sintesi!$C$9))*(A195&lt;=_xlfn.ANCHORARRAY(Sintesi!$C$10)),0)),0),1,IF(L196&gt;=_xlfn.IFNA(INDEX(_xlfn.ANCHORARRAY(Sintesi!$C$18),1,MATCH(1,(_xlfn.ANCHORARRAY(Sintesi!$C$9)&gt;_xlfn.ANCHORARRAY(Sintesi!$C$10))*(A195&gt;=_xlfn.ANCHORARRAY(Sintesi!$C$9))+(_xlfn.ANCHORARRAY(Sintesi!$C$9)&gt;_xlfn.ANCHORARRAY(Sintesi!$C$10))*(A195&lt;=_xlfn.ANCHORARRAY(Sintesi!$C$10))+(_xlfn.ANCHORARRAY(Sintesi!$C$9)&lt;_xlfn.ANCHORARRAY(Sintesi!$C$10))*(A195&gt;=_xlfn.ANCHORARRAY(Sintesi!$C$9))*(A195&lt;=_xlfn.ANCHORARRAY(Sintesi!$C$10)),0)),0),0,1-(L196-_xlfn.IFNA(INDEX(_xlfn.ANCHORARRAY(Sintesi!$C$17),1,MATCH(1,(_xlfn.ANCHORARRAY(Sintesi!$C$9)&gt;_xlfn.ANCHORARRAY(Sintesi!$C$10))*(A195&gt;=_xlfn.ANCHORARRAY(Sintesi!$C$9))+(_xlfn.ANCHORARRAY(Sintesi!$C$9)&gt;_xlfn.ANCHORARRAY(Sintesi!$C$10))*(A195&lt;=_xlfn.ANCHORARRAY(Sintesi!$C$10))+(_xlfn.ANCHORARRAY(Sintesi!$C$9)&lt;_xlfn.ANCHORARRAY(Sintesi!$C$10))*(A195&gt;=_xlfn.ANCHORARRAY(Sintesi!$C$9))*(A195&lt;=_xlfn.ANCHORARRAY(Sintesi!$C$10)),0)),0))/(_xlfn.IFNA(INDEX(_xlfn.ANCHORARRAY(Sintesi!$C$18),1,MATCH(1,(_xlfn.ANCHORARRAY(Sintesi!$C$9)&gt;_xlfn.ANCHORARRAY(Sintesi!$C$10))*(A195&gt;=_xlfn.ANCHORARRAY(Sintesi!$C$9))+(_xlfn.ANCHORARRAY(Sintesi!$C$9)&gt;_xlfn.ANCHORARRAY(Sintesi!$C$10))*(A195&lt;=_xlfn.ANCHORARRAY(Sintesi!$C$10))+(_xlfn.ANCHORARRAY(Sintesi!$C$9)&lt;_xlfn.ANCHORARRAY(Sintesi!$C$10))*(A195&gt;=_xlfn.ANCHORARRAY(Sintesi!$C$9))*(A195&lt;=_xlfn.ANCHORARRAY(Sintesi!$C$10)),0)),0)-_xlfn.IFNA(INDEX(_xlfn.ANCHORARRAY(Sintesi!$C$17),1,MATCH(1,(_xlfn.ANCHORARRAY(Sintesi!$C$9)&gt;_xlfn.ANCHORARRAY(Sintesi!$C$10))*(A195&gt;=_xlfn.ANCHORARRAY(Sintesi!$C$9))+(_xlfn.ANCHORARRAY(Sintesi!$C$9)&gt;_xlfn.ANCHORARRAY(Sintesi!$C$10))*(A195&lt;=_xlfn.ANCHORARRAY(Sintesi!$C$10))+(_xlfn.ANCHORARRAY(Sintesi!$C$9)&lt;_xlfn.ANCHORARRAY(Sintesi!$C$10))*(A195&gt;=_xlfn.ANCHORARRAY(Sintesi!$C$9))*(A195&lt;=_xlfn.ANCHORARRAY(Sintesi!$C$10)),0)),0)))),0)</f>
        <v>1</v>
      </c>
    </row>
    <row r="197" spans="1:13">
      <c r="A197" s="1">
        <f>'Paste cell here'!A197</f>
        <v>196</v>
      </c>
      <c r="B197" s="2">
        <f>DATE(Sintesi!$C$4-1,12,31)+A197</f>
        <v>44392</v>
      </c>
      <c r="C197" s="34">
        <f t="array" ref="C197">_xlfn.IFNA(MATCH(1,((_xlfn.ANCHORARRAY(Sintesi!$C$9)&gt;_xlfn.ANCHORARRAY(Sintesi!$C$10))*(A197&gt;=_xlfn.ANCHORARRAY(Sintesi!$C$9))+(_xlfn.ANCHORARRAY(Sintesi!$C$9)&gt;_xlfn.ANCHORARRAY(Sintesi!$C$10))*(A197&lt;=_xlfn.ANCHORARRAY(Sintesi!$C$10))+(_xlfn.ANCHORARRAY(Sintesi!$C$9)&lt;_xlfn.ANCHORARRAY(Sintesi!$C$10))*(A197&gt;=_xlfn.ANCHORARRAY(Sintesi!$C$9))*(A197&lt;=_xlfn.ANCHORARRAY(Sintesi!$C$10)))*(_xlfn.ANCHORARRAY(Sintesi!$C$15)&gt;=0)+(_xlfn.ANCHORARRAY(Sintesi!$C$15)&lt;0),0),0)</f>
        <v>1</v>
      </c>
      <c r="D197" s="1">
        <f t="array" ref="D197">IF(ISBLANK($E198),IF(ISNUMBER($E196),IF($C197&gt;0,IF(($E197=INDEX(_xlfn.ANCHORARRAY(Sintesi!$C$14),1,$C197))*(INDEX(_xlfn.ANCHORARRAY(Sintesi!$C$15),1,$C197)&gt;0),0,IF(($E197=INDEX(_xlfn.ANCHORARRAY(Sintesi!$C$14),1,$C197))*(INDEX(_xlfn.ANCHORARRAY(Sintesi!$C$15),1,$C197)&lt;0)+($E197&gt;=$E196)*($E197&lt;=INDEX($E:$E,MATCH(TRUE,INDEX((ISNUMBER($E:$E)),0),0)))*($E197&gt;INDEX(_xlfn.ANCHORARRAY(Sintesi!$C$14),1,$C197))*($E197&lt;=INDEX(_xlfn.ANCHORARRAY(Sintesi!$C$15),1,$C197))*(INDEX(_xlfn.ANCHORARRAY(Sintesi!$C$15),1,$C197)&gt;0),1,IF(($E197&gt;=$E196)*($E197&lt;=INDEX($E:$E,MATCH(TRUE,INDEX((ISNUMBER($E:$E)),0),0)))*($E197&gt;INDEX(_xlfn.ANCHORARRAY(Sintesi!$C$14),1,$C197))*($E197&lt;INDEX(_xlfn.ANCHORARRAY(Sintesi!$C$16),1,$C197))*(INDEX(_xlfn.ANCHORARRAY(Sintesi!$C$15),1,$C197)&lt;0)+($E197&gt;=$E196)*($E197&lt;=INDEX($E:$E,MATCH(TRUE,INDEX((ISNUMBER($E:$E)),0),0)))*($E197&gt;INDEX(_xlfn.ANCHORARRAY(Sintesi!$C$15),1,$C197))*($E197&lt;INDEX(_xlfn.ANCHORARRAY(Sintesi!$C$16),1,$C197))*(INDEX(_xlfn.ANCHORARRAY(Sintesi!$C$15),1,$C197)&gt;0),2,IF($E197=(INDEX(_xlfn.ANCHORARRAY(Sintesi!$C$16),1,$C197)),3,4)))),0),IF($C197&gt;0,IF(($E197=INDEX(_xlfn.ANCHORARRAY(Sintesi!$C$14),1,$C197))*(INDEX(_xlfn.ANCHORARRAY(Sintesi!$C$15),1,$C197)&gt;0),0,IF(($E197=INDEX(_xlfn.ANCHORARRAY(Sintesi!$C$14),1,$C197))*(INDEX(_xlfn.ANCHORARRAY(Sintesi!$C$15),1,$C197)&lt;0)+($E197&gt;=LOOKUP(2,1/($E:$E&lt;&gt;""),$E:$E))*($E197&lt;=INDEX($E:$E,MATCH(TRUE,INDEX((ISNUMBER($E:$E)),0),0)))*($E197&gt;INDEX(_xlfn.ANCHORARRAY(Sintesi!$C$14),1,$C197))*($E197&lt;=INDEX(_xlfn.ANCHORARRAY(Sintesi!$C$15),1,$C197))*(INDEX(_xlfn.ANCHORARRAY(Sintesi!$C$15),1,$C197)&gt;0),1,IF(($E197&gt;=LOOKUP(2,1/($E:$E&lt;&gt;""),$E:$E))*($E197&lt;=INDEX($E:$E,MATCH(TRUE,INDEX((ISNUMBER($E:$E)),0),0)))*($E197&gt;INDEX(_xlfn.ANCHORARRAY(Sintesi!$C$14),1,$C197))*($E197&lt;INDEX(_xlfn.ANCHORARRAY(Sintesi!$C$16),1,$C197))*(INDEX(_xlfn.ANCHORARRAY(Sintesi!$C$15),1,$C197)&lt;0)+($E197&gt;=LOOKUP(2,1/($E:$E&lt;&gt;""),$E:$E))*($E197&lt;=INDEX($E:$E,MATCH(TRUE,INDEX((ISNUMBER($E:$E)),0),0)))*($E197&gt;INDEX(_xlfn.ANCHORARRAY(Sintesi!$C$15),1,$C197))*($E197&lt;INDEX(_xlfn.ANCHORARRAY(Sintesi!$C$16),1,$C197))*(INDEX(_xlfn.ANCHORARRAY(Sintesi!$C$15),1,$C197)&gt;0),2,IF($E197=(INDEX(_xlfn.ANCHORARRAY(Sintesi!$C$16),1,$C197)),3,4)))),0)),IF(ISNUMBER($E196),IF($C197&gt;0,IF(($E197=INDEX(_xlfn.ANCHORARRAY(Sintesi!$C$14),1,$C197))*(INDEX(_xlfn.ANCHORARRAY(Sintesi!$C$15),1,$C197)&gt;0),0,IF(($E197=INDEX(_xlfn.ANCHORARRAY(Sintesi!$C$14),1,$C197))*(INDEX(_xlfn.ANCHORARRAY(Sintesi!$C$15),1,$C197)&lt;0)+($E197&gt;=$E196)*($E197&lt;=$E198)*($E197&gt;INDEX(_xlfn.ANCHORARRAY(Sintesi!$C$14),1,$C197))*($E197&lt;=INDEX(_xlfn.ANCHORARRAY(Sintesi!$C$15),1,$C197))*(INDEX(_xlfn.ANCHORARRAY(Sintesi!$C$15),1,$C197)&gt;0),1,IF(($E197&gt;=$E196)*($E197&lt;=$E198)*($E197&gt;INDEX(_xlfn.ANCHORARRAY(Sintesi!$C$14),1,$C197))*($E197&lt;INDEX(_xlfn.ANCHORARRAY(Sintesi!$C$16),1,$C197))*(INDEX(_xlfn.ANCHORARRAY(Sintesi!$C$15),1,$C197)&lt;0)+($E197&gt;=$E196)*($E197&lt;=$E198)*($E197&gt;INDEX(_xlfn.ANCHORARRAY(Sintesi!$C$15),1,$C197))*($E197&lt;INDEX(_xlfn.ANCHORARRAY(Sintesi!$C$16),1,$C197))*(INDEX(_xlfn.ANCHORARRAY(Sintesi!$C$15),1,$C197)&gt;0),2,IF($E197=(INDEX(_xlfn.ANCHORARRAY(Sintesi!$C$16),1,$C197)),3,4)))),0),IF($C197&gt;0,IF(($E197=INDEX(_xlfn.ANCHORARRAY(Sintesi!$C$14),1,$C197))*(INDEX(_xlfn.ANCHORARRAY(Sintesi!$C$15),1,$C197)&gt;0),0,IF(($E197=INDEX(_xlfn.ANCHORARRAY(Sintesi!$C$14),1,$C197))*(INDEX(_xlfn.ANCHORARRAY(Sintesi!$C$15),1,$C197)&lt;0)+($E197&gt;=LOOKUP(2,1/($E:$E&lt;&gt;""),$E:$E))*($E197&lt;=$E198)*($E197&gt;INDEX(_xlfn.ANCHORARRAY(Sintesi!$C$14),1,$C197))*($E197&lt;=INDEX(_xlfn.ANCHORARRAY(Sintesi!$C$15),1,$C197))*(INDEX(_xlfn.ANCHORARRAY(Sintesi!$C$15),1,$C197)&gt;0),1,IF(($E197&gt;=LOOKUP(2,1/($E:$E&lt;&gt;""),$E:$E))*($E197&lt;=$E198)*($E197&gt;INDEX(_xlfn.ANCHORARRAY(Sintesi!$C$14),1,$C197))*($E197&lt;INDEX(_xlfn.ANCHORARRAY(Sintesi!$C$16),1,$C197))*(INDEX(_xlfn.ANCHORARRAY(Sintesi!$C$15),1,$C197)&lt;0)+($E197&gt;=LOOKUP(2,1/($E:$E&lt;&gt;""),$E:$E))*($E197&lt;=$E198)*($E197&gt;INDEX(_xlfn.ANCHORARRAY(Sintesi!$C$15),1,$C197))*($E197&lt;INDEX(_xlfn.ANCHORARRAY(Sintesi!$C$16),1,$C197))*(INDEX(_xlfn.ANCHORARRAY(Sintesi!$C$15),1,$C197)&gt;0),2,IF($E197=(INDEX(_xlfn.ANCHORARRAY(Sintesi!$C$16),1,$C197)),3,4)))),0)))</f>
        <v>3</v>
      </c>
      <c r="E197" s="1">
        <f>'Paste cell here'!F197</f>
        <v>1.0469999999999999</v>
      </c>
      <c r="F197" s="1">
        <f>'Paste cell here'!C197</f>
        <v>27.259999999999607</v>
      </c>
      <c r="G197" s="1">
        <f>'Paste cell here'!D197</f>
        <v>17.059999999999761</v>
      </c>
      <c r="H197" s="1">
        <f>'Paste cell here'!E197</f>
        <v>3.6058934976361061</v>
      </c>
      <c r="I197" s="1">
        <f>'Paste cell here'!X197</f>
        <v>3.7751110305253177</v>
      </c>
      <c r="J197" s="1">
        <f>'Paste cell here'!Y197+'Paste cell here'!S197</f>
        <v>3.7751110305253177</v>
      </c>
      <c r="K197" s="1">
        <f t="shared" si="6"/>
        <v>1.0469280451572252</v>
      </c>
      <c r="L197" s="1">
        <f t="shared" si="7"/>
        <v>23.949085275141641</v>
      </c>
      <c r="M197" s="1">
        <f t="array" ref="M197">IF(AND(A197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197&gt;=_xlfn.ANCHORARRAY(Sintesi!$C$9))+(_xlfn.ANCHORARRAY(Sintesi!$C$9)&gt;_xlfn.ANCHORARRAY(Sintesi!$C$10))*(A197&lt;=_xlfn.ANCHORARRAY(Sintesi!$C$10))+(_xlfn.ANCHORARRAY(Sintesi!$C$9)&lt;_xlfn.ANCHORARRAY(Sintesi!$C$10))*(A197&gt;=_xlfn.ANCHORARRAY(Sintesi!$C$9))*(A197&lt;=_xlfn.ANCHORARRAY(Sintesi!$C$10)),0)),0),A197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198&gt;=_xlfn.ANCHORARRAY(Sintesi!$C$9))+(_xlfn.ANCHORARRAY(Sintesi!$C$9)&gt;_xlfn.ANCHORARRAY(Sintesi!$C$10))*(A198&lt;=_xlfn.ANCHORARRAY(Sintesi!$C$10))+(_xlfn.ANCHORARRAY(Sintesi!$C$9)&lt;_xlfn.ANCHORARRAY(Sintesi!$C$10))*(A198&gt;=_xlfn.ANCHORARRAY(Sintesi!$C$9))*(A198&lt;=_xlfn.ANCHORARRAY(Sintesi!$C$10)),0)),0)),IF(L197&lt;_xlfn.IFNA(INDEX(_xlfn.ANCHORARRAY(Sintesi!$C$17),1,MATCH(1,(_xlfn.ANCHORARRAY(Sintesi!$C$9)&gt;_xlfn.ANCHORARRAY(Sintesi!$C$10))*(A196&gt;=_xlfn.ANCHORARRAY(Sintesi!$C$9))+(_xlfn.ANCHORARRAY(Sintesi!$C$9)&gt;_xlfn.ANCHORARRAY(Sintesi!$C$10))*(A196&lt;=_xlfn.ANCHORARRAY(Sintesi!$C$10))+(_xlfn.ANCHORARRAY(Sintesi!$C$9)&lt;_xlfn.ANCHORARRAY(Sintesi!$C$10))*(A196&gt;=_xlfn.ANCHORARRAY(Sintesi!$C$9))*(A196&lt;=_xlfn.ANCHORARRAY(Sintesi!$C$10)),0)),0),1,IF(L197&gt;=_xlfn.IFNA(INDEX(_xlfn.ANCHORARRAY(Sintesi!$C$18),1,MATCH(1,(_xlfn.ANCHORARRAY(Sintesi!$C$9)&gt;_xlfn.ANCHORARRAY(Sintesi!$C$10))*(A196&gt;=_xlfn.ANCHORARRAY(Sintesi!$C$9))+(_xlfn.ANCHORARRAY(Sintesi!$C$9)&gt;_xlfn.ANCHORARRAY(Sintesi!$C$10))*(A196&lt;=_xlfn.ANCHORARRAY(Sintesi!$C$10))+(_xlfn.ANCHORARRAY(Sintesi!$C$9)&lt;_xlfn.ANCHORARRAY(Sintesi!$C$10))*(A196&gt;=_xlfn.ANCHORARRAY(Sintesi!$C$9))*(A196&lt;=_xlfn.ANCHORARRAY(Sintesi!$C$10)),0)),0),0,1-(L197-_xlfn.IFNA(INDEX(_xlfn.ANCHORARRAY(Sintesi!$C$17),1,MATCH(1,(_xlfn.ANCHORARRAY(Sintesi!$C$9)&gt;_xlfn.ANCHORARRAY(Sintesi!$C$10))*(A196&gt;=_xlfn.ANCHORARRAY(Sintesi!$C$9))+(_xlfn.ANCHORARRAY(Sintesi!$C$9)&gt;_xlfn.ANCHORARRAY(Sintesi!$C$10))*(A196&lt;=_xlfn.ANCHORARRAY(Sintesi!$C$10))+(_xlfn.ANCHORARRAY(Sintesi!$C$9)&lt;_xlfn.ANCHORARRAY(Sintesi!$C$10))*(A196&gt;=_xlfn.ANCHORARRAY(Sintesi!$C$9))*(A196&lt;=_xlfn.ANCHORARRAY(Sintesi!$C$10)),0)),0))/(_xlfn.IFNA(INDEX(_xlfn.ANCHORARRAY(Sintesi!$C$18),1,MATCH(1,(_xlfn.ANCHORARRAY(Sintesi!$C$9)&gt;_xlfn.ANCHORARRAY(Sintesi!$C$10))*(A196&gt;=_xlfn.ANCHORARRAY(Sintesi!$C$9))+(_xlfn.ANCHORARRAY(Sintesi!$C$9)&gt;_xlfn.ANCHORARRAY(Sintesi!$C$10))*(A196&lt;=_xlfn.ANCHORARRAY(Sintesi!$C$10))+(_xlfn.ANCHORARRAY(Sintesi!$C$9)&lt;_xlfn.ANCHORARRAY(Sintesi!$C$10))*(A196&gt;=_xlfn.ANCHORARRAY(Sintesi!$C$9))*(A196&lt;=_xlfn.ANCHORARRAY(Sintesi!$C$10)),0)),0)-_xlfn.IFNA(INDEX(_xlfn.ANCHORARRAY(Sintesi!$C$17),1,MATCH(1,(_xlfn.ANCHORARRAY(Sintesi!$C$9)&gt;_xlfn.ANCHORARRAY(Sintesi!$C$10))*(A196&gt;=_xlfn.ANCHORARRAY(Sintesi!$C$9))+(_xlfn.ANCHORARRAY(Sintesi!$C$9)&gt;_xlfn.ANCHORARRAY(Sintesi!$C$10))*(A196&lt;=_xlfn.ANCHORARRAY(Sintesi!$C$10))+(_xlfn.ANCHORARRAY(Sintesi!$C$9)&lt;_xlfn.ANCHORARRAY(Sintesi!$C$10))*(A196&gt;=_xlfn.ANCHORARRAY(Sintesi!$C$9))*(A196&lt;=_xlfn.ANCHORARRAY(Sintesi!$C$10)),0)),0)))),0)</f>
        <v>1</v>
      </c>
    </row>
    <row r="198" spans="1:13">
      <c r="A198" s="1">
        <f>'Paste cell here'!A198</f>
        <v>197</v>
      </c>
      <c r="B198" s="2">
        <f>DATE(Sintesi!$C$4-1,12,31)+A198</f>
        <v>44393</v>
      </c>
      <c r="C198" s="34">
        <f t="array" ref="C198">_xlfn.IFNA(MATCH(1,((_xlfn.ANCHORARRAY(Sintesi!$C$9)&gt;_xlfn.ANCHORARRAY(Sintesi!$C$10))*(A198&gt;=_xlfn.ANCHORARRAY(Sintesi!$C$9))+(_xlfn.ANCHORARRAY(Sintesi!$C$9)&gt;_xlfn.ANCHORARRAY(Sintesi!$C$10))*(A198&lt;=_xlfn.ANCHORARRAY(Sintesi!$C$10))+(_xlfn.ANCHORARRAY(Sintesi!$C$9)&lt;_xlfn.ANCHORARRAY(Sintesi!$C$10))*(A198&gt;=_xlfn.ANCHORARRAY(Sintesi!$C$9))*(A198&lt;=_xlfn.ANCHORARRAY(Sintesi!$C$10)))*(_xlfn.ANCHORARRAY(Sintesi!$C$15)&gt;=0)+(_xlfn.ANCHORARRAY(Sintesi!$C$15)&lt;0),0),0)</f>
        <v>1</v>
      </c>
      <c r="D198" s="1">
        <f t="array" ref="D198">IF(ISBLANK($E199),IF(ISNUMBER($E197),IF($C198&gt;0,IF(($E198=INDEX(_xlfn.ANCHORARRAY(Sintesi!$C$14),1,$C198))*(INDEX(_xlfn.ANCHORARRAY(Sintesi!$C$15),1,$C198)&gt;0),0,IF(($E198=INDEX(_xlfn.ANCHORARRAY(Sintesi!$C$14),1,$C198))*(INDEX(_xlfn.ANCHORARRAY(Sintesi!$C$15),1,$C198)&lt;0)+($E198&gt;=$E197)*($E198&lt;=INDEX($E:$E,MATCH(TRUE,INDEX((ISNUMBER($E:$E)),0),0)))*($E198&gt;INDEX(_xlfn.ANCHORARRAY(Sintesi!$C$14),1,$C198))*($E198&lt;=INDEX(_xlfn.ANCHORARRAY(Sintesi!$C$15),1,$C198))*(INDEX(_xlfn.ANCHORARRAY(Sintesi!$C$15),1,$C198)&gt;0),1,IF(($E198&gt;=$E197)*($E198&lt;=INDEX($E:$E,MATCH(TRUE,INDEX((ISNUMBER($E:$E)),0),0)))*($E198&gt;INDEX(_xlfn.ANCHORARRAY(Sintesi!$C$14),1,$C198))*($E198&lt;INDEX(_xlfn.ANCHORARRAY(Sintesi!$C$16),1,$C198))*(INDEX(_xlfn.ANCHORARRAY(Sintesi!$C$15),1,$C198)&lt;0)+($E198&gt;=$E197)*($E198&lt;=INDEX($E:$E,MATCH(TRUE,INDEX((ISNUMBER($E:$E)),0),0)))*($E198&gt;INDEX(_xlfn.ANCHORARRAY(Sintesi!$C$15),1,$C198))*($E198&lt;INDEX(_xlfn.ANCHORARRAY(Sintesi!$C$16),1,$C198))*(INDEX(_xlfn.ANCHORARRAY(Sintesi!$C$15),1,$C198)&gt;0),2,IF($E198=(INDEX(_xlfn.ANCHORARRAY(Sintesi!$C$16),1,$C198)),3,4)))),0),IF($C198&gt;0,IF(($E198=INDEX(_xlfn.ANCHORARRAY(Sintesi!$C$14),1,$C198))*(INDEX(_xlfn.ANCHORARRAY(Sintesi!$C$15),1,$C198)&gt;0),0,IF(($E198=INDEX(_xlfn.ANCHORARRAY(Sintesi!$C$14),1,$C198))*(INDEX(_xlfn.ANCHORARRAY(Sintesi!$C$15),1,$C198)&lt;0)+($E198&gt;=LOOKUP(2,1/($E:$E&lt;&gt;""),$E:$E))*($E198&lt;=INDEX($E:$E,MATCH(TRUE,INDEX((ISNUMBER($E:$E)),0),0)))*($E198&gt;INDEX(_xlfn.ANCHORARRAY(Sintesi!$C$14),1,$C198))*($E198&lt;=INDEX(_xlfn.ANCHORARRAY(Sintesi!$C$15),1,$C198))*(INDEX(_xlfn.ANCHORARRAY(Sintesi!$C$15),1,$C198)&gt;0),1,IF(($E198&gt;=LOOKUP(2,1/($E:$E&lt;&gt;""),$E:$E))*($E198&lt;=INDEX($E:$E,MATCH(TRUE,INDEX((ISNUMBER($E:$E)),0),0)))*($E198&gt;INDEX(_xlfn.ANCHORARRAY(Sintesi!$C$14),1,$C198))*($E198&lt;INDEX(_xlfn.ANCHORARRAY(Sintesi!$C$16),1,$C198))*(INDEX(_xlfn.ANCHORARRAY(Sintesi!$C$15),1,$C198)&lt;0)+($E198&gt;=LOOKUP(2,1/($E:$E&lt;&gt;""),$E:$E))*($E198&lt;=INDEX($E:$E,MATCH(TRUE,INDEX((ISNUMBER($E:$E)),0),0)))*($E198&gt;INDEX(_xlfn.ANCHORARRAY(Sintesi!$C$15),1,$C198))*($E198&lt;INDEX(_xlfn.ANCHORARRAY(Sintesi!$C$16),1,$C198))*(INDEX(_xlfn.ANCHORARRAY(Sintesi!$C$15),1,$C198)&gt;0),2,IF($E198=(INDEX(_xlfn.ANCHORARRAY(Sintesi!$C$16),1,$C198)),3,4)))),0)),IF(ISNUMBER($E197),IF($C198&gt;0,IF(($E198=INDEX(_xlfn.ANCHORARRAY(Sintesi!$C$14),1,$C198))*(INDEX(_xlfn.ANCHORARRAY(Sintesi!$C$15),1,$C198)&gt;0),0,IF(($E198=INDEX(_xlfn.ANCHORARRAY(Sintesi!$C$14),1,$C198))*(INDEX(_xlfn.ANCHORARRAY(Sintesi!$C$15),1,$C198)&lt;0)+($E198&gt;=$E197)*($E198&lt;=$E199)*($E198&gt;INDEX(_xlfn.ANCHORARRAY(Sintesi!$C$14),1,$C198))*($E198&lt;=INDEX(_xlfn.ANCHORARRAY(Sintesi!$C$15),1,$C198))*(INDEX(_xlfn.ANCHORARRAY(Sintesi!$C$15),1,$C198)&gt;0),1,IF(($E198&gt;=$E197)*($E198&lt;=$E199)*($E198&gt;INDEX(_xlfn.ANCHORARRAY(Sintesi!$C$14),1,$C198))*($E198&lt;INDEX(_xlfn.ANCHORARRAY(Sintesi!$C$16),1,$C198))*(INDEX(_xlfn.ANCHORARRAY(Sintesi!$C$15),1,$C198)&lt;0)+($E198&gt;=$E197)*($E198&lt;=$E199)*($E198&gt;INDEX(_xlfn.ANCHORARRAY(Sintesi!$C$15),1,$C198))*($E198&lt;INDEX(_xlfn.ANCHORARRAY(Sintesi!$C$16),1,$C198))*(INDEX(_xlfn.ANCHORARRAY(Sintesi!$C$15),1,$C198)&gt;0),2,IF($E198=(INDEX(_xlfn.ANCHORARRAY(Sintesi!$C$16),1,$C198)),3,4)))),0),IF($C198&gt;0,IF(($E198=INDEX(_xlfn.ANCHORARRAY(Sintesi!$C$14),1,$C198))*(INDEX(_xlfn.ANCHORARRAY(Sintesi!$C$15),1,$C198)&gt;0),0,IF(($E198=INDEX(_xlfn.ANCHORARRAY(Sintesi!$C$14),1,$C198))*(INDEX(_xlfn.ANCHORARRAY(Sintesi!$C$15),1,$C198)&lt;0)+($E198&gt;=LOOKUP(2,1/($E:$E&lt;&gt;""),$E:$E))*($E198&lt;=$E199)*($E198&gt;INDEX(_xlfn.ANCHORARRAY(Sintesi!$C$14),1,$C198))*($E198&lt;=INDEX(_xlfn.ANCHORARRAY(Sintesi!$C$15),1,$C198))*(INDEX(_xlfn.ANCHORARRAY(Sintesi!$C$15),1,$C198)&gt;0),1,IF(($E198&gt;=LOOKUP(2,1/($E:$E&lt;&gt;""),$E:$E))*($E198&lt;=$E199)*($E198&gt;INDEX(_xlfn.ANCHORARRAY(Sintesi!$C$14),1,$C198))*($E198&lt;INDEX(_xlfn.ANCHORARRAY(Sintesi!$C$16),1,$C198))*(INDEX(_xlfn.ANCHORARRAY(Sintesi!$C$15),1,$C198)&lt;0)+($E198&gt;=LOOKUP(2,1/($E:$E&lt;&gt;""),$E:$E))*($E198&lt;=$E199)*($E198&gt;INDEX(_xlfn.ANCHORARRAY(Sintesi!$C$15),1,$C198))*($E198&lt;INDEX(_xlfn.ANCHORARRAY(Sintesi!$C$16),1,$C198))*(INDEX(_xlfn.ANCHORARRAY(Sintesi!$C$15),1,$C198)&gt;0),2,IF($E198=(INDEX(_xlfn.ANCHORARRAY(Sintesi!$C$16),1,$C198)),3,4)))),0)))</f>
        <v>3</v>
      </c>
      <c r="E198" s="1">
        <f>'Paste cell here'!F198</f>
        <v>1.0469999999999999</v>
      </c>
      <c r="F198" s="1">
        <f>'Paste cell here'!C198</f>
        <v>29.979999999999574</v>
      </c>
      <c r="G198" s="1">
        <f>'Paste cell here'!D198</f>
        <v>16.419999999999771</v>
      </c>
      <c r="H198" s="1">
        <f>'Paste cell here'!E198</f>
        <v>4.9914828112465441</v>
      </c>
      <c r="I198" s="1">
        <f>'Paste cell here'!X198</f>
        <v>5.225734472199278</v>
      </c>
      <c r="J198" s="1">
        <f>'Paste cell here'!Y198+'Paste cell here'!S198</f>
        <v>5.225734472199278</v>
      </c>
      <c r="K198" s="1">
        <f t="shared" si="6"/>
        <v>1.0469302749926195</v>
      </c>
      <c r="L198" s="1">
        <f t="shared" si="7"/>
        <v>25.578431012835459</v>
      </c>
      <c r="M198" s="1">
        <f t="array" ref="M198">IF(AND(A198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198&gt;=_xlfn.ANCHORARRAY(Sintesi!$C$9))+(_xlfn.ANCHORARRAY(Sintesi!$C$9)&gt;_xlfn.ANCHORARRAY(Sintesi!$C$10))*(A198&lt;=_xlfn.ANCHORARRAY(Sintesi!$C$10))+(_xlfn.ANCHORARRAY(Sintesi!$C$9)&lt;_xlfn.ANCHORARRAY(Sintesi!$C$10))*(A198&gt;=_xlfn.ANCHORARRAY(Sintesi!$C$9))*(A198&lt;=_xlfn.ANCHORARRAY(Sintesi!$C$10)),0)),0),A198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199&gt;=_xlfn.ANCHORARRAY(Sintesi!$C$9))+(_xlfn.ANCHORARRAY(Sintesi!$C$9)&gt;_xlfn.ANCHORARRAY(Sintesi!$C$10))*(A199&lt;=_xlfn.ANCHORARRAY(Sintesi!$C$10))+(_xlfn.ANCHORARRAY(Sintesi!$C$9)&lt;_xlfn.ANCHORARRAY(Sintesi!$C$10))*(A199&gt;=_xlfn.ANCHORARRAY(Sintesi!$C$9))*(A199&lt;=_xlfn.ANCHORARRAY(Sintesi!$C$10)),0)),0)),IF(L198&lt;_xlfn.IFNA(INDEX(_xlfn.ANCHORARRAY(Sintesi!$C$17),1,MATCH(1,(_xlfn.ANCHORARRAY(Sintesi!$C$9)&gt;_xlfn.ANCHORARRAY(Sintesi!$C$10))*(A197&gt;=_xlfn.ANCHORARRAY(Sintesi!$C$9))+(_xlfn.ANCHORARRAY(Sintesi!$C$9)&gt;_xlfn.ANCHORARRAY(Sintesi!$C$10))*(A197&lt;=_xlfn.ANCHORARRAY(Sintesi!$C$10))+(_xlfn.ANCHORARRAY(Sintesi!$C$9)&lt;_xlfn.ANCHORARRAY(Sintesi!$C$10))*(A197&gt;=_xlfn.ANCHORARRAY(Sintesi!$C$9))*(A197&lt;=_xlfn.ANCHORARRAY(Sintesi!$C$10)),0)),0),1,IF(L198&gt;=_xlfn.IFNA(INDEX(_xlfn.ANCHORARRAY(Sintesi!$C$18),1,MATCH(1,(_xlfn.ANCHORARRAY(Sintesi!$C$9)&gt;_xlfn.ANCHORARRAY(Sintesi!$C$10))*(A197&gt;=_xlfn.ANCHORARRAY(Sintesi!$C$9))+(_xlfn.ANCHORARRAY(Sintesi!$C$9)&gt;_xlfn.ANCHORARRAY(Sintesi!$C$10))*(A197&lt;=_xlfn.ANCHORARRAY(Sintesi!$C$10))+(_xlfn.ANCHORARRAY(Sintesi!$C$9)&lt;_xlfn.ANCHORARRAY(Sintesi!$C$10))*(A197&gt;=_xlfn.ANCHORARRAY(Sintesi!$C$9))*(A197&lt;=_xlfn.ANCHORARRAY(Sintesi!$C$10)),0)),0),0,1-(L198-_xlfn.IFNA(INDEX(_xlfn.ANCHORARRAY(Sintesi!$C$17),1,MATCH(1,(_xlfn.ANCHORARRAY(Sintesi!$C$9)&gt;_xlfn.ANCHORARRAY(Sintesi!$C$10))*(A197&gt;=_xlfn.ANCHORARRAY(Sintesi!$C$9))+(_xlfn.ANCHORARRAY(Sintesi!$C$9)&gt;_xlfn.ANCHORARRAY(Sintesi!$C$10))*(A197&lt;=_xlfn.ANCHORARRAY(Sintesi!$C$10))+(_xlfn.ANCHORARRAY(Sintesi!$C$9)&lt;_xlfn.ANCHORARRAY(Sintesi!$C$10))*(A197&gt;=_xlfn.ANCHORARRAY(Sintesi!$C$9))*(A197&lt;=_xlfn.ANCHORARRAY(Sintesi!$C$10)),0)),0))/(_xlfn.IFNA(INDEX(_xlfn.ANCHORARRAY(Sintesi!$C$18),1,MATCH(1,(_xlfn.ANCHORARRAY(Sintesi!$C$9)&gt;_xlfn.ANCHORARRAY(Sintesi!$C$10))*(A197&gt;=_xlfn.ANCHORARRAY(Sintesi!$C$9))+(_xlfn.ANCHORARRAY(Sintesi!$C$9)&gt;_xlfn.ANCHORARRAY(Sintesi!$C$10))*(A197&lt;=_xlfn.ANCHORARRAY(Sintesi!$C$10))+(_xlfn.ANCHORARRAY(Sintesi!$C$9)&lt;_xlfn.ANCHORARRAY(Sintesi!$C$10))*(A197&gt;=_xlfn.ANCHORARRAY(Sintesi!$C$9))*(A197&lt;=_xlfn.ANCHORARRAY(Sintesi!$C$10)),0)),0)-_xlfn.IFNA(INDEX(_xlfn.ANCHORARRAY(Sintesi!$C$17),1,MATCH(1,(_xlfn.ANCHORARRAY(Sintesi!$C$9)&gt;_xlfn.ANCHORARRAY(Sintesi!$C$10))*(A197&gt;=_xlfn.ANCHORARRAY(Sintesi!$C$9))+(_xlfn.ANCHORARRAY(Sintesi!$C$9)&gt;_xlfn.ANCHORARRAY(Sintesi!$C$10))*(A197&lt;=_xlfn.ANCHORARRAY(Sintesi!$C$10))+(_xlfn.ANCHORARRAY(Sintesi!$C$9)&lt;_xlfn.ANCHORARRAY(Sintesi!$C$10))*(A197&gt;=_xlfn.ANCHORARRAY(Sintesi!$C$9))*(A197&lt;=_xlfn.ANCHORARRAY(Sintesi!$C$10)),0)),0)))),0)</f>
        <v>1</v>
      </c>
    </row>
    <row r="199" spans="1:13">
      <c r="A199" s="1">
        <f>'Paste cell here'!A199</f>
        <v>198</v>
      </c>
      <c r="B199" s="2">
        <f>DATE(Sintesi!$C$4-1,12,31)+A199</f>
        <v>44394</v>
      </c>
      <c r="C199" s="34">
        <f t="array" ref="C199">_xlfn.IFNA(MATCH(1,((_xlfn.ANCHORARRAY(Sintesi!$C$9)&gt;_xlfn.ANCHORARRAY(Sintesi!$C$10))*(A199&gt;=_xlfn.ANCHORARRAY(Sintesi!$C$9))+(_xlfn.ANCHORARRAY(Sintesi!$C$9)&gt;_xlfn.ANCHORARRAY(Sintesi!$C$10))*(A199&lt;=_xlfn.ANCHORARRAY(Sintesi!$C$10))+(_xlfn.ANCHORARRAY(Sintesi!$C$9)&lt;_xlfn.ANCHORARRAY(Sintesi!$C$10))*(A199&gt;=_xlfn.ANCHORARRAY(Sintesi!$C$9))*(A199&lt;=_xlfn.ANCHORARRAY(Sintesi!$C$10)))*(_xlfn.ANCHORARRAY(Sintesi!$C$15)&gt;=0)+(_xlfn.ANCHORARRAY(Sintesi!$C$15)&lt;0),0),0)</f>
        <v>1</v>
      </c>
      <c r="D199" s="1">
        <f t="array" ref="D199">IF(ISBLANK($E200),IF(ISNUMBER($E198),IF($C199&gt;0,IF(($E199=INDEX(_xlfn.ANCHORARRAY(Sintesi!$C$14),1,$C199))*(INDEX(_xlfn.ANCHORARRAY(Sintesi!$C$15),1,$C199)&gt;0),0,IF(($E199=INDEX(_xlfn.ANCHORARRAY(Sintesi!$C$14),1,$C199))*(INDEX(_xlfn.ANCHORARRAY(Sintesi!$C$15),1,$C199)&lt;0)+($E199&gt;=$E198)*($E199&lt;=INDEX($E:$E,MATCH(TRUE,INDEX((ISNUMBER($E:$E)),0),0)))*($E199&gt;INDEX(_xlfn.ANCHORARRAY(Sintesi!$C$14),1,$C199))*($E199&lt;=INDEX(_xlfn.ANCHORARRAY(Sintesi!$C$15),1,$C199))*(INDEX(_xlfn.ANCHORARRAY(Sintesi!$C$15),1,$C199)&gt;0),1,IF(($E199&gt;=$E198)*($E199&lt;=INDEX($E:$E,MATCH(TRUE,INDEX((ISNUMBER($E:$E)),0),0)))*($E199&gt;INDEX(_xlfn.ANCHORARRAY(Sintesi!$C$14),1,$C199))*($E199&lt;INDEX(_xlfn.ANCHORARRAY(Sintesi!$C$16),1,$C199))*(INDEX(_xlfn.ANCHORARRAY(Sintesi!$C$15),1,$C199)&lt;0)+($E199&gt;=$E198)*($E199&lt;=INDEX($E:$E,MATCH(TRUE,INDEX((ISNUMBER($E:$E)),0),0)))*($E199&gt;INDEX(_xlfn.ANCHORARRAY(Sintesi!$C$15),1,$C199))*($E199&lt;INDEX(_xlfn.ANCHORARRAY(Sintesi!$C$16),1,$C199))*(INDEX(_xlfn.ANCHORARRAY(Sintesi!$C$15),1,$C199)&gt;0),2,IF($E199=(INDEX(_xlfn.ANCHORARRAY(Sintesi!$C$16),1,$C199)),3,4)))),0),IF($C199&gt;0,IF(($E199=INDEX(_xlfn.ANCHORARRAY(Sintesi!$C$14),1,$C199))*(INDEX(_xlfn.ANCHORARRAY(Sintesi!$C$15),1,$C199)&gt;0),0,IF(($E199=INDEX(_xlfn.ANCHORARRAY(Sintesi!$C$14),1,$C199))*(INDEX(_xlfn.ANCHORARRAY(Sintesi!$C$15),1,$C199)&lt;0)+($E199&gt;=LOOKUP(2,1/($E:$E&lt;&gt;""),$E:$E))*($E199&lt;=INDEX($E:$E,MATCH(TRUE,INDEX((ISNUMBER($E:$E)),0),0)))*($E199&gt;INDEX(_xlfn.ANCHORARRAY(Sintesi!$C$14),1,$C199))*($E199&lt;=INDEX(_xlfn.ANCHORARRAY(Sintesi!$C$15),1,$C199))*(INDEX(_xlfn.ANCHORARRAY(Sintesi!$C$15),1,$C199)&gt;0),1,IF(($E199&gt;=LOOKUP(2,1/($E:$E&lt;&gt;""),$E:$E))*($E199&lt;=INDEX($E:$E,MATCH(TRUE,INDEX((ISNUMBER($E:$E)),0),0)))*($E199&gt;INDEX(_xlfn.ANCHORARRAY(Sintesi!$C$14),1,$C199))*($E199&lt;INDEX(_xlfn.ANCHORARRAY(Sintesi!$C$16),1,$C199))*(INDEX(_xlfn.ANCHORARRAY(Sintesi!$C$15),1,$C199)&lt;0)+($E199&gt;=LOOKUP(2,1/($E:$E&lt;&gt;""),$E:$E))*($E199&lt;=INDEX($E:$E,MATCH(TRUE,INDEX((ISNUMBER($E:$E)),0),0)))*($E199&gt;INDEX(_xlfn.ANCHORARRAY(Sintesi!$C$15),1,$C199))*($E199&lt;INDEX(_xlfn.ANCHORARRAY(Sintesi!$C$16),1,$C199))*(INDEX(_xlfn.ANCHORARRAY(Sintesi!$C$15),1,$C199)&gt;0),2,IF($E199=(INDEX(_xlfn.ANCHORARRAY(Sintesi!$C$16),1,$C199)),3,4)))),0)),IF(ISNUMBER($E198),IF($C199&gt;0,IF(($E199=INDEX(_xlfn.ANCHORARRAY(Sintesi!$C$14),1,$C199))*(INDEX(_xlfn.ANCHORARRAY(Sintesi!$C$15),1,$C199)&gt;0),0,IF(($E199=INDEX(_xlfn.ANCHORARRAY(Sintesi!$C$14),1,$C199))*(INDEX(_xlfn.ANCHORARRAY(Sintesi!$C$15),1,$C199)&lt;0)+($E199&gt;=$E198)*($E199&lt;=$E200)*($E199&gt;INDEX(_xlfn.ANCHORARRAY(Sintesi!$C$14),1,$C199))*($E199&lt;=INDEX(_xlfn.ANCHORARRAY(Sintesi!$C$15),1,$C199))*(INDEX(_xlfn.ANCHORARRAY(Sintesi!$C$15),1,$C199)&gt;0),1,IF(($E199&gt;=$E198)*($E199&lt;=$E200)*($E199&gt;INDEX(_xlfn.ANCHORARRAY(Sintesi!$C$14),1,$C199))*($E199&lt;INDEX(_xlfn.ANCHORARRAY(Sintesi!$C$16),1,$C199))*(INDEX(_xlfn.ANCHORARRAY(Sintesi!$C$15),1,$C199)&lt;0)+($E199&gt;=$E198)*($E199&lt;=$E200)*($E199&gt;INDEX(_xlfn.ANCHORARRAY(Sintesi!$C$15),1,$C199))*($E199&lt;INDEX(_xlfn.ANCHORARRAY(Sintesi!$C$16),1,$C199))*(INDEX(_xlfn.ANCHORARRAY(Sintesi!$C$15),1,$C199)&gt;0),2,IF($E199=(INDEX(_xlfn.ANCHORARRAY(Sintesi!$C$16),1,$C199)),3,4)))),0),IF($C199&gt;0,IF(($E199=INDEX(_xlfn.ANCHORARRAY(Sintesi!$C$14),1,$C199))*(INDEX(_xlfn.ANCHORARRAY(Sintesi!$C$15),1,$C199)&gt;0),0,IF(($E199=INDEX(_xlfn.ANCHORARRAY(Sintesi!$C$14),1,$C199))*(INDEX(_xlfn.ANCHORARRAY(Sintesi!$C$15),1,$C199)&lt;0)+($E199&gt;=LOOKUP(2,1/($E:$E&lt;&gt;""),$E:$E))*($E199&lt;=$E200)*($E199&gt;INDEX(_xlfn.ANCHORARRAY(Sintesi!$C$14),1,$C199))*($E199&lt;=INDEX(_xlfn.ANCHORARRAY(Sintesi!$C$15),1,$C199))*(INDEX(_xlfn.ANCHORARRAY(Sintesi!$C$15),1,$C199)&gt;0),1,IF(($E199&gt;=LOOKUP(2,1/($E:$E&lt;&gt;""),$E:$E))*($E199&lt;=$E200)*($E199&gt;INDEX(_xlfn.ANCHORARRAY(Sintesi!$C$14),1,$C199))*($E199&lt;INDEX(_xlfn.ANCHORARRAY(Sintesi!$C$16),1,$C199))*(INDEX(_xlfn.ANCHORARRAY(Sintesi!$C$15),1,$C199)&lt;0)+($E199&gt;=LOOKUP(2,1/($E:$E&lt;&gt;""),$E:$E))*($E199&lt;=$E200)*($E199&gt;INDEX(_xlfn.ANCHORARRAY(Sintesi!$C$15),1,$C199))*($E199&lt;INDEX(_xlfn.ANCHORARRAY(Sintesi!$C$16),1,$C199))*(INDEX(_xlfn.ANCHORARRAY(Sintesi!$C$15),1,$C199)&gt;0),2,IF($E199=(INDEX(_xlfn.ANCHORARRAY(Sintesi!$C$16),1,$C199)),3,4)))),0)))</f>
        <v>3</v>
      </c>
      <c r="E199" s="1">
        <f>'Paste cell here'!F199</f>
        <v>1.0469999999999999</v>
      </c>
      <c r="F199" s="1">
        <f>'Paste cell here'!C199</f>
        <v>32.879999999999548</v>
      </c>
      <c r="G199" s="1">
        <f>'Paste cell here'!D199</f>
        <v>18.439999999999756</v>
      </c>
      <c r="H199" s="1">
        <f>'Paste cell here'!E199</f>
        <v>5.1843390930848985</v>
      </c>
      <c r="I199" s="1">
        <f>'Paste cell here'!X199</f>
        <v>5.427653194280885</v>
      </c>
      <c r="J199" s="1">
        <f>'Paste cell here'!Y199+'Paste cell here'!S199</f>
        <v>5.427653194280885</v>
      </c>
      <c r="K199" s="1">
        <f t="shared" si="6"/>
        <v>1.0469325205831019</v>
      </c>
      <c r="L199" s="1">
        <f t="shared" si="7"/>
        <v>28.192783467945723</v>
      </c>
      <c r="M199" s="1">
        <f t="array" ref="M199">IF(AND(A199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199&gt;=_xlfn.ANCHORARRAY(Sintesi!$C$9))+(_xlfn.ANCHORARRAY(Sintesi!$C$9)&gt;_xlfn.ANCHORARRAY(Sintesi!$C$10))*(A199&lt;=_xlfn.ANCHORARRAY(Sintesi!$C$10))+(_xlfn.ANCHORARRAY(Sintesi!$C$9)&lt;_xlfn.ANCHORARRAY(Sintesi!$C$10))*(A199&gt;=_xlfn.ANCHORARRAY(Sintesi!$C$9))*(A199&lt;=_xlfn.ANCHORARRAY(Sintesi!$C$10)),0)),0),A199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200&gt;=_xlfn.ANCHORARRAY(Sintesi!$C$9))+(_xlfn.ANCHORARRAY(Sintesi!$C$9)&gt;_xlfn.ANCHORARRAY(Sintesi!$C$10))*(A200&lt;=_xlfn.ANCHORARRAY(Sintesi!$C$10))+(_xlfn.ANCHORARRAY(Sintesi!$C$9)&lt;_xlfn.ANCHORARRAY(Sintesi!$C$10))*(A200&gt;=_xlfn.ANCHORARRAY(Sintesi!$C$9))*(A200&lt;=_xlfn.ANCHORARRAY(Sintesi!$C$10)),0)),0)),IF(L199&lt;_xlfn.IFNA(INDEX(_xlfn.ANCHORARRAY(Sintesi!$C$17),1,MATCH(1,(_xlfn.ANCHORARRAY(Sintesi!$C$9)&gt;_xlfn.ANCHORARRAY(Sintesi!$C$10))*(A198&gt;=_xlfn.ANCHORARRAY(Sintesi!$C$9))+(_xlfn.ANCHORARRAY(Sintesi!$C$9)&gt;_xlfn.ANCHORARRAY(Sintesi!$C$10))*(A198&lt;=_xlfn.ANCHORARRAY(Sintesi!$C$10))+(_xlfn.ANCHORARRAY(Sintesi!$C$9)&lt;_xlfn.ANCHORARRAY(Sintesi!$C$10))*(A198&gt;=_xlfn.ANCHORARRAY(Sintesi!$C$9))*(A198&lt;=_xlfn.ANCHORARRAY(Sintesi!$C$10)),0)),0),1,IF(L199&gt;=_xlfn.IFNA(INDEX(_xlfn.ANCHORARRAY(Sintesi!$C$18),1,MATCH(1,(_xlfn.ANCHORARRAY(Sintesi!$C$9)&gt;_xlfn.ANCHORARRAY(Sintesi!$C$10))*(A198&gt;=_xlfn.ANCHORARRAY(Sintesi!$C$9))+(_xlfn.ANCHORARRAY(Sintesi!$C$9)&gt;_xlfn.ANCHORARRAY(Sintesi!$C$10))*(A198&lt;=_xlfn.ANCHORARRAY(Sintesi!$C$10))+(_xlfn.ANCHORARRAY(Sintesi!$C$9)&lt;_xlfn.ANCHORARRAY(Sintesi!$C$10))*(A198&gt;=_xlfn.ANCHORARRAY(Sintesi!$C$9))*(A198&lt;=_xlfn.ANCHORARRAY(Sintesi!$C$10)),0)),0),0,1-(L199-_xlfn.IFNA(INDEX(_xlfn.ANCHORARRAY(Sintesi!$C$17),1,MATCH(1,(_xlfn.ANCHORARRAY(Sintesi!$C$9)&gt;_xlfn.ANCHORARRAY(Sintesi!$C$10))*(A198&gt;=_xlfn.ANCHORARRAY(Sintesi!$C$9))+(_xlfn.ANCHORARRAY(Sintesi!$C$9)&gt;_xlfn.ANCHORARRAY(Sintesi!$C$10))*(A198&lt;=_xlfn.ANCHORARRAY(Sintesi!$C$10))+(_xlfn.ANCHORARRAY(Sintesi!$C$9)&lt;_xlfn.ANCHORARRAY(Sintesi!$C$10))*(A198&gt;=_xlfn.ANCHORARRAY(Sintesi!$C$9))*(A198&lt;=_xlfn.ANCHORARRAY(Sintesi!$C$10)),0)),0))/(_xlfn.IFNA(INDEX(_xlfn.ANCHORARRAY(Sintesi!$C$18),1,MATCH(1,(_xlfn.ANCHORARRAY(Sintesi!$C$9)&gt;_xlfn.ANCHORARRAY(Sintesi!$C$10))*(A198&gt;=_xlfn.ANCHORARRAY(Sintesi!$C$9))+(_xlfn.ANCHORARRAY(Sintesi!$C$9)&gt;_xlfn.ANCHORARRAY(Sintesi!$C$10))*(A198&lt;=_xlfn.ANCHORARRAY(Sintesi!$C$10))+(_xlfn.ANCHORARRAY(Sintesi!$C$9)&lt;_xlfn.ANCHORARRAY(Sintesi!$C$10))*(A198&gt;=_xlfn.ANCHORARRAY(Sintesi!$C$9))*(A198&lt;=_xlfn.ANCHORARRAY(Sintesi!$C$10)),0)),0)-_xlfn.IFNA(INDEX(_xlfn.ANCHORARRAY(Sintesi!$C$17),1,MATCH(1,(_xlfn.ANCHORARRAY(Sintesi!$C$9)&gt;_xlfn.ANCHORARRAY(Sintesi!$C$10))*(A198&gt;=_xlfn.ANCHORARRAY(Sintesi!$C$9))+(_xlfn.ANCHORARRAY(Sintesi!$C$9)&gt;_xlfn.ANCHORARRAY(Sintesi!$C$10))*(A198&lt;=_xlfn.ANCHORARRAY(Sintesi!$C$10))+(_xlfn.ANCHORARRAY(Sintesi!$C$9)&lt;_xlfn.ANCHORARRAY(Sintesi!$C$10))*(A198&gt;=_xlfn.ANCHORARRAY(Sintesi!$C$9))*(A198&lt;=_xlfn.ANCHORARRAY(Sintesi!$C$10)),0)),0)))),0)</f>
        <v>1</v>
      </c>
    </row>
    <row r="200" spans="1:13">
      <c r="A200" s="1">
        <f>'Paste cell here'!A200</f>
        <v>199</v>
      </c>
      <c r="B200" s="2">
        <f>DATE(Sintesi!$C$4-1,12,31)+A200</f>
        <v>44395</v>
      </c>
      <c r="C200" s="34">
        <f t="array" ref="C200">_xlfn.IFNA(MATCH(1,((_xlfn.ANCHORARRAY(Sintesi!$C$9)&gt;_xlfn.ANCHORARRAY(Sintesi!$C$10))*(A200&gt;=_xlfn.ANCHORARRAY(Sintesi!$C$9))+(_xlfn.ANCHORARRAY(Sintesi!$C$9)&gt;_xlfn.ANCHORARRAY(Sintesi!$C$10))*(A200&lt;=_xlfn.ANCHORARRAY(Sintesi!$C$10))+(_xlfn.ANCHORARRAY(Sintesi!$C$9)&lt;_xlfn.ANCHORARRAY(Sintesi!$C$10))*(A200&gt;=_xlfn.ANCHORARRAY(Sintesi!$C$9))*(A200&lt;=_xlfn.ANCHORARRAY(Sintesi!$C$10)))*(_xlfn.ANCHORARRAY(Sintesi!$C$15)&gt;=0)+(_xlfn.ANCHORARRAY(Sintesi!$C$15)&lt;0),0),0)</f>
        <v>1</v>
      </c>
      <c r="D200" s="1">
        <f t="array" ref="D200">IF(ISBLANK($E201),IF(ISNUMBER($E199),IF($C200&gt;0,IF(($E200=INDEX(_xlfn.ANCHORARRAY(Sintesi!$C$14),1,$C200))*(INDEX(_xlfn.ANCHORARRAY(Sintesi!$C$15),1,$C200)&gt;0),0,IF(($E200=INDEX(_xlfn.ANCHORARRAY(Sintesi!$C$14),1,$C200))*(INDEX(_xlfn.ANCHORARRAY(Sintesi!$C$15),1,$C200)&lt;0)+($E200&gt;=$E199)*($E200&lt;=INDEX($E:$E,MATCH(TRUE,INDEX((ISNUMBER($E:$E)),0),0)))*($E200&gt;INDEX(_xlfn.ANCHORARRAY(Sintesi!$C$14),1,$C200))*($E200&lt;=INDEX(_xlfn.ANCHORARRAY(Sintesi!$C$15),1,$C200))*(INDEX(_xlfn.ANCHORARRAY(Sintesi!$C$15),1,$C200)&gt;0),1,IF(($E200&gt;=$E199)*($E200&lt;=INDEX($E:$E,MATCH(TRUE,INDEX((ISNUMBER($E:$E)),0),0)))*($E200&gt;INDEX(_xlfn.ANCHORARRAY(Sintesi!$C$14),1,$C200))*($E200&lt;INDEX(_xlfn.ANCHORARRAY(Sintesi!$C$16),1,$C200))*(INDEX(_xlfn.ANCHORARRAY(Sintesi!$C$15),1,$C200)&lt;0)+($E200&gt;=$E199)*($E200&lt;=INDEX($E:$E,MATCH(TRUE,INDEX((ISNUMBER($E:$E)),0),0)))*($E200&gt;INDEX(_xlfn.ANCHORARRAY(Sintesi!$C$15),1,$C200))*($E200&lt;INDEX(_xlfn.ANCHORARRAY(Sintesi!$C$16),1,$C200))*(INDEX(_xlfn.ANCHORARRAY(Sintesi!$C$15),1,$C200)&gt;0),2,IF($E200=(INDEX(_xlfn.ANCHORARRAY(Sintesi!$C$16),1,$C200)),3,4)))),0),IF($C200&gt;0,IF(($E200=INDEX(_xlfn.ANCHORARRAY(Sintesi!$C$14),1,$C200))*(INDEX(_xlfn.ANCHORARRAY(Sintesi!$C$15),1,$C200)&gt;0),0,IF(($E200=INDEX(_xlfn.ANCHORARRAY(Sintesi!$C$14),1,$C200))*(INDEX(_xlfn.ANCHORARRAY(Sintesi!$C$15),1,$C200)&lt;0)+($E200&gt;=LOOKUP(2,1/($E:$E&lt;&gt;""),$E:$E))*($E200&lt;=INDEX($E:$E,MATCH(TRUE,INDEX((ISNUMBER($E:$E)),0),0)))*($E200&gt;INDEX(_xlfn.ANCHORARRAY(Sintesi!$C$14),1,$C200))*($E200&lt;=INDEX(_xlfn.ANCHORARRAY(Sintesi!$C$15),1,$C200))*(INDEX(_xlfn.ANCHORARRAY(Sintesi!$C$15),1,$C200)&gt;0),1,IF(($E200&gt;=LOOKUP(2,1/($E:$E&lt;&gt;""),$E:$E))*($E200&lt;=INDEX($E:$E,MATCH(TRUE,INDEX((ISNUMBER($E:$E)),0),0)))*($E200&gt;INDEX(_xlfn.ANCHORARRAY(Sintesi!$C$14),1,$C200))*($E200&lt;INDEX(_xlfn.ANCHORARRAY(Sintesi!$C$16),1,$C200))*(INDEX(_xlfn.ANCHORARRAY(Sintesi!$C$15),1,$C200)&lt;0)+($E200&gt;=LOOKUP(2,1/($E:$E&lt;&gt;""),$E:$E))*($E200&lt;=INDEX($E:$E,MATCH(TRUE,INDEX((ISNUMBER($E:$E)),0),0)))*($E200&gt;INDEX(_xlfn.ANCHORARRAY(Sintesi!$C$15),1,$C200))*($E200&lt;INDEX(_xlfn.ANCHORARRAY(Sintesi!$C$16),1,$C200))*(INDEX(_xlfn.ANCHORARRAY(Sintesi!$C$15),1,$C200)&gt;0),2,IF($E200=(INDEX(_xlfn.ANCHORARRAY(Sintesi!$C$16),1,$C200)),3,4)))),0)),IF(ISNUMBER($E199),IF($C200&gt;0,IF(($E200=INDEX(_xlfn.ANCHORARRAY(Sintesi!$C$14),1,$C200))*(INDEX(_xlfn.ANCHORARRAY(Sintesi!$C$15),1,$C200)&gt;0),0,IF(($E200=INDEX(_xlfn.ANCHORARRAY(Sintesi!$C$14),1,$C200))*(INDEX(_xlfn.ANCHORARRAY(Sintesi!$C$15),1,$C200)&lt;0)+($E200&gt;=$E199)*($E200&lt;=$E201)*($E200&gt;INDEX(_xlfn.ANCHORARRAY(Sintesi!$C$14),1,$C200))*($E200&lt;=INDEX(_xlfn.ANCHORARRAY(Sintesi!$C$15),1,$C200))*(INDEX(_xlfn.ANCHORARRAY(Sintesi!$C$15),1,$C200)&gt;0),1,IF(($E200&gt;=$E199)*($E200&lt;=$E201)*($E200&gt;INDEX(_xlfn.ANCHORARRAY(Sintesi!$C$14),1,$C200))*($E200&lt;INDEX(_xlfn.ANCHORARRAY(Sintesi!$C$16),1,$C200))*(INDEX(_xlfn.ANCHORARRAY(Sintesi!$C$15),1,$C200)&lt;0)+($E200&gt;=$E199)*($E200&lt;=$E201)*($E200&gt;INDEX(_xlfn.ANCHORARRAY(Sintesi!$C$15),1,$C200))*($E200&lt;INDEX(_xlfn.ANCHORARRAY(Sintesi!$C$16),1,$C200))*(INDEX(_xlfn.ANCHORARRAY(Sintesi!$C$15),1,$C200)&gt;0),2,IF($E200=(INDEX(_xlfn.ANCHORARRAY(Sintesi!$C$16),1,$C200)),3,4)))),0),IF($C200&gt;0,IF(($E200=INDEX(_xlfn.ANCHORARRAY(Sintesi!$C$14),1,$C200))*(INDEX(_xlfn.ANCHORARRAY(Sintesi!$C$15),1,$C200)&gt;0),0,IF(($E200=INDEX(_xlfn.ANCHORARRAY(Sintesi!$C$14),1,$C200))*(INDEX(_xlfn.ANCHORARRAY(Sintesi!$C$15),1,$C200)&lt;0)+($E200&gt;=LOOKUP(2,1/($E:$E&lt;&gt;""),$E:$E))*($E200&lt;=$E201)*($E200&gt;INDEX(_xlfn.ANCHORARRAY(Sintesi!$C$14),1,$C200))*($E200&lt;=INDEX(_xlfn.ANCHORARRAY(Sintesi!$C$15),1,$C200))*(INDEX(_xlfn.ANCHORARRAY(Sintesi!$C$15),1,$C200)&gt;0),1,IF(($E200&gt;=LOOKUP(2,1/($E:$E&lt;&gt;""),$E:$E))*($E200&lt;=$E201)*($E200&gt;INDEX(_xlfn.ANCHORARRAY(Sintesi!$C$14),1,$C200))*($E200&lt;INDEX(_xlfn.ANCHORARRAY(Sintesi!$C$16),1,$C200))*(INDEX(_xlfn.ANCHORARRAY(Sintesi!$C$15),1,$C200)&lt;0)+($E200&gt;=LOOKUP(2,1/($E:$E&lt;&gt;""),$E:$E))*($E200&lt;=$E201)*($E200&gt;INDEX(_xlfn.ANCHORARRAY(Sintesi!$C$15),1,$C200))*($E200&lt;INDEX(_xlfn.ANCHORARRAY(Sintesi!$C$16),1,$C200))*(INDEX(_xlfn.ANCHORARRAY(Sintesi!$C$15),1,$C200)&gt;0),2,IF($E200=(INDEX(_xlfn.ANCHORARRAY(Sintesi!$C$16),1,$C200)),3,4)))),0)))</f>
        <v>3</v>
      </c>
      <c r="E200" s="1">
        <f>'Paste cell here'!F200</f>
        <v>1.0469999999999999</v>
      </c>
      <c r="F200" s="1">
        <f>'Paste cell here'!C200</f>
        <v>33.239999999999526</v>
      </c>
      <c r="G200" s="1">
        <f>'Paste cell here'!D200</f>
        <v>19.059999999999746</v>
      </c>
      <c r="H200" s="1">
        <f>'Paste cell here'!E200</f>
        <v>4.772766755824037</v>
      </c>
      <c r="I200" s="1">
        <f>'Paste cell here'!X200</f>
        <v>4.9967754930416328</v>
      </c>
      <c r="J200" s="1">
        <f>'Paste cell here'!Y200+'Paste cell here'!S200</f>
        <v>4.9967754930416328</v>
      </c>
      <c r="K200" s="1">
        <f t="shared" si="6"/>
        <v>1.0469347757135306</v>
      </c>
      <c r="L200" s="1">
        <f t="shared" si="7"/>
        <v>28.637179333481303</v>
      </c>
      <c r="M200" s="1">
        <f t="array" ref="M200">IF(AND(A200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200&gt;=_xlfn.ANCHORARRAY(Sintesi!$C$9))+(_xlfn.ANCHORARRAY(Sintesi!$C$9)&gt;_xlfn.ANCHORARRAY(Sintesi!$C$10))*(A200&lt;=_xlfn.ANCHORARRAY(Sintesi!$C$10))+(_xlfn.ANCHORARRAY(Sintesi!$C$9)&lt;_xlfn.ANCHORARRAY(Sintesi!$C$10))*(A200&gt;=_xlfn.ANCHORARRAY(Sintesi!$C$9))*(A200&lt;=_xlfn.ANCHORARRAY(Sintesi!$C$10)),0)),0),A200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201&gt;=_xlfn.ANCHORARRAY(Sintesi!$C$9))+(_xlfn.ANCHORARRAY(Sintesi!$C$9)&gt;_xlfn.ANCHORARRAY(Sintesi!$C$10))*(A201&lt;=_xlfn.ANCHORARRAY(Sintesi!$C$10))+(_xlfn.ANCHORARRAY(Sintesi!$C$9)&lt;_xlfn.ANCHORARRAY(Sintesi!$C$10))*(A201&gt;=_xlfn.ANCHORARRAY(Sintesi!$C$9))*(A201&lt;=_xlfn.ANCHORARRAY(Sintesi!$C$10)),0)),0)),IF(L200&lt;_xlfn.IFNA(INDEX(_xlfn.ANCHORARRAY(Sintesi!$C$17),1,MATCH(1,(_xlfn.ANCHORARRAY(Sintesi!$C$9)&gt;_xlfn.ANCHORARRAY(Sintesi!$C$10))*(A199&gt;=_xlfn.ANCHORARRAY(Sintesi!$C$9))+(_xlfn.ANCHORARRAY(Sintesi!$C$9)&gt;_xlfn.ANCHORARRAY(Sintesi!$C$10))*(A199&lt;=_xlfn.ANCHORARRAY(Sintesi!$C$10))+(_xlfn.ANCHORARRAY(Sintesi!$C$9)&lt;_xlfn.ANCHORARRAY(Sintesi!$C$10))*(A199&gt;=_xlfn.ANCHORARRAY(Sintesi!$C$9))*(A199&lt;=_xlfn.ANCHORARRAY(Sintesi!$C$10)),0)),0),1,IF(L200&gt;=_xlfn.IFNA(INDEX(_xlfn.ANCHORARRAY(Sintesi!$C$18),1,MATCH(1,(_xlfn.ANCHORARRAY(Sintesi!$C$9)&gt;_xlfn.ANCHORARRAY(Sintesi!$C$10))*(A199&gt;=_xlfn.ANCHORARRAY(Sintesi!$C$9))+(_xlfn.ANCHORARRAY(Sintesi!$C$9)&gt;_xlfn.ANCHORARRAY(Sintesi!$C$10))*(A199&lt;=_xlfn.ANCHORARRAY(Sintesi!$C$10))+(_xlfn.ANCHORARRAY(Sintesi!$C$9)&lt;_xlfn.ANCHORARRAY(Sintesi!$C$10))*(A199&gt;=_xlfn.ANCHORARRAY(Sintesi!$C$9))*(A199&lt;=_xlfn.ANCHORARRAY(Sintesi!$C$10)),0)),0),0,1-(L200-_xlfn.IFNA(INDEX(_xlfn.ANCHORARRAY(Sintesi!$C$17),1,MATCH(1,(_xlfn.ANCHORARRAY(Sintesi!$C$9)&gt;_xlfn.ANCHORARRAY(Sintesi!$C$10))*(A199&gt;=_xlfn.ANCHORARRAY(Sintesi!$C$9))+(_xlfn.ANCHORARRAY(Sintesi!$C$9)&gt;_xlfn.ANCHORARRAY(Sintesi!$C$10))*(A199&lt;=_xlfn.ANCHORARRAY(Sintesi!$C$10))+(_xlfn.ANCHORARRAY(Sintesi!$C$9)&lt;_xlfn.ANCHORARRAY(Sintesi!$C$10))*(A199&gt;=_xlfn.ANCHORARRAY(Sintesi!$C$9))*(A199&lt;=_xlfn.ANCHORARRAY(Sintesi!$C$10)),0)),0))/(_xlfn.IFNA(INDEX(_xlfn.ANCHORARRAY(Sintesi!$C$18),1,MATCH(1,(_xlfn.ANCHORARRAY(Sintesi!$C$9)&gt;_xlfn.ANCHORARRAY(Sintesi!$C$10))*(A199&gt;=_xlfn.ANCHORARRAY(Sintesi!$C$9))+(_xlfn.ANCHORARRAY(Sintesi!$C$9)&gt;_xlfn.ANCHORARRAY(Sintesi!$C$10))*(A199&lt;=_xlfn.ANCHORARRAY(Sintesi!$C$10))+(_xlfn.ANCHORARRAY(Sintesi!$C$9)&lt;_xlfn.ANCHORARRAY(Sintesi!$C$10))*(A199&gt;=_xlfn.ANCHORARRAY(Sintesi!$C$9))*(A199&lt;=_xlfn.ANCHORARRAY(Sintesi!$C$10)),0)),0)-_xlfn.IFNA(INDEX(_xlfn.ANCHORARRAY(Sintesi!$C$17),1,MATCH(1,(_xlfn.ANCHORARRAY(Sintesi!$C$9)&gt;_xlfn.ANCHORARRAY(Sintesi!$C$10))*(A199&gt;=_xlfn.ANCHORARRAY(Sintesi!$C$9))+(_xlfn.ANCHORARRAY(Sintesi!$C$9)&gt;_xlfn.ANCHORARRAY(Sintesi!$C$10))*(A199&lt;=_xlfn.ANCHORARRAY(Sintesi!$C$10))+(_xlfn.ANCHORARRAY(Sintesi!$C$9)&lt;_xlfn.ANCHORARRAY(Sintesi!$C$10))*(A199&gt;=_xlfn.ANCHORARRAY(Sintesi!$C$9))*(A199&lt;=_xlfn.ANCHORARRAY(Sintesi!$C$10)),0)),0)))),0)</f>
        <v>1</v>
      </c>
    </row>
    <row r="201" spans="1:13">
      <c r="A201" s="1">
        <f>'Paste cell here'!A201</f>
        <v>200</v>
      </c>
      <c r="B201" s="2">
        <f>DATE(Sintesi!$C$4-1,12,31)+A201</f>
        <v>44396</v>
      </c>
      <c r="C201" s="34">
        <f t="array" ref="C201">_xlfn.IFNA(MATCH(1,((_xlfn.ANCHORARRAY(Sintesi!$C$9)&gt;_xlfn.ANCHORARRAY(Sintesi!$C$10))*(A201&gt;=_xlfn.ANCHORARRAY(Sintesi!$C$9))+(_xlfn.ANCHORARRAY(Sintesi!$C$9)&gt;_xlfn.ANCHORARRAY(Sintesi!$C$10))*(A201&lt;=_xlfn.ANCHORARRAY(Sintesi!$C$10))+(_xlfn.ANCHORARRAY(Sintesi!$C$9)&lt;_xlfn.ANCHORARRAY(Sintesi!$C$10))*(A201&gt;=_xlfn.ANCHORARRAY(Sintesi!$C$9))*(A201&lt;=_xlfn.ANCHORARRAY(Sintesi!$C$10)))*(_xlfn.ANCHORARRAY(Sintesi!$C$15)&gt;=0)+(_xlfn.ANCHORARRAY(Sintesi!$C$15)&lt;0),0),0)</f>
        <v>1</v>
      </c>
      <c r="D201" s="1">
        <f t="array" ref="D201">IF(ISBLANK($E202),IF(ISNUMBER($E200),IF($C201&gt;0,IF(($E201=INDEX(_xlfn.ANCHORARRAY(Sintesi!$C$14),1,$C201))*(INDEX(_xlfn.ANCHORARRAY(Sintesi!$C$15),1,$C201)&gt;0),0,IF(($E201=INDEX(_xlfn.ANCHORARRAY(Sintesi!$C$14),1,$C201))*(INDEX(_xlfn.ANCHORARRAY(Sintesi!$C$15),1,$C201)&lt;0)+($E201&gt;=$E200)*($E201&lt;=INDEX($E:$E,MATCH(TRUE,INDEX((ISNUMBER($E:$E)),0),0)))*($E201&gt;INDEX(_xlfn.ANCHORARRAY(Sintesi!$C$14),1,$C201))*($E201&lt;=INDEX(_xlfn.ANCHORARRAY(Sintesi!$C$15),1,$C201))*(INDEX(_xlfn.ANCHORARRAY(Sintesi!$C$15),1,$C201)&gt;0),1,IF(($E201&gt;=$E200)*($E201&lt;=INDEX($E:$E,MATCH(TRUE,INDEX((ISNUMBER($E:$E)),0),0)))*($E201&gt;INDEX(_xlfn.ANCHORARRAY(Sintesi!$C$14),1,$C201))*($E201&lt;INDEX(_xlfn.ANCHORARRAY(Sintesi!$C$16),1,$C201))*(INDEX(_xlfn.ANCHORARRAY(Sintesi!$C$15),1,$C201)&lt;0)+($E201&gt;=$E200)*($E201&lt;=INDEX($E:$E,MATCH(TRUE,INDEX((ISNUMBER($E:$E)),0),0)))*($E201&gt;INDEX(_xlfn.ANCHORARRAY(Sintesi!$C$15),1,$C201))*($E201&lt;INDEX(_xlfn.ANCHORARRAY(Sintesi!$C$16),1,$C201))*(INDEX(_xlfn.ANCHORARRAY(Sintesi!$C$15),1,$C201)&gt;0),2,IF($E201=(INDEX(_xlfn.ANCHORARRAY(Sintesi!$C$16),1,$C201)),3,4)))),0),IF($C201&gt;0,IF(($E201=INDEX(_xlfn.ANCHORARRAY(Sintesi!$C$14),1,$C201))*(INDEX(_xlfn.ANCHORARRAY(Sintesi!$C$15),1,$C201)&gt;0),0,IF(($E201=INDEX(_xlfn.ANCHORARRAY(Sintesi!$C$14),1,$C201))*(INDEX(_xlfn.ANCHORARRAY(Sintesi!$C$15),1,$C201)&lt;0)+($E201&gt;=LOOKUP(2,1/($E:$E&lt;&gt;""),$E:$E))*($E201&lt;=INDEX($E:$E,MATCH(TRUE,INDEX((ISNUMBER($E:$E)),0),0)))*($E201&gt;INDEX(_xlfn.ANCHORARRAY(Sintesi!$C$14),1,$C201))*($E201&lt;=INDEX(_xlfn.ANCHORARRAY(Sintesi!$C$15),1,$C201))*(INDEX(_xlfn.ANCHORARRAY(Sintesi!$C$15),1,$C201)&gt;0),1,IF(($E201&gt;=LOOKUP(2,1/($E:$E&lt;&gt;""),$E:$E))*($E201&lt;=INDEX($E:$E,MATCH(TRUE,INDEX((ISNUMBER($E:$E)),0),0)))*($E201&gt;INDEX(_xlfn.ANCHORARRAY(Sintesi!$C$14),1,$C201))*($E201&lt;INDEX(_xlfn.ANCHORARRAY(Sintesi!$C$16),1,$C201))*(INDEX(_xlfn.ANCHORARRAY(Sintesi!$C$15),1,$C201)&lt;0)+($E201&gt;=LOOKUP(2,1/($E:$E&lt;&gt;""),$E:$E))*($E201&lt;=INDEX($E:$E,MATCH(TRUE,INDEX((ISNUMBER($E:$E)),0),0)))*($E201&gt;INDEX(_xlfn.ANCHORARRAY(Sintesi!$C$15),1,$C201))*($E201&lt;INDEX(_xlfn.ANCHORARRAY(Sintesi!$C$16),1,$C201))*(INDEX(_xlfn.ANCHORARRAY(Sintesi!$C$15),1,$C201)&gt;0),2,IF($E201=(INDEX(_xlfn.ANCHORARRAY(Sintesi!$C$16),1,$C201)),3,4)))),0)),IF(ISNUMBER($E200),IF($C201&gt;0,IF(($E201=INDEX(_xlfn.ANCHORARRAY(Sintesi!$C$14),1,$C201))*(INDEX(_xlfn.ANCHORARRAY(Sintesi!$C$15),1,$C201)&gt;0),0,IF(($E201=INDEX(_xlfn.ANCHORARRAY(Sintesi!$C$14),1,$C201))*(INDEX(_xlfn.ANCHORARRAY(Sintesi!$C$15),1,$C201)&lt;0)+($E201&gt;=$E200)*($E201&lt;=$E202)*($E201&gt;INDEX(_xlfn.ANCHORARRAY(Sintesi!$C$14),1,$C201))*($E201&lt;=INDEX(_xlfn.ANCHORARRAY(Sintesi!$C$15),1,$C201))*(INDEX(_xlfn.ANCHORARRAY(Sintesi!$C$15),1,$C201)&gt;0),1,IF(($E201&gt;=$E200)*($E201&lt;=$E202)*($E201&gt;INDEX(_xlfn.ANCHORARRAY(Sintesi!$C$14),1,$C201))*($E201&lt;INDEX(_xlfn.ANCHORARRAY(Sintesi!$C$16),1,$C201))*(INDEX(_xlfn.ANCHORARRAY(Sintesi!$C$15),1,$C201)&lt;0)+($E201&gt;=$E200)*($E201&lt;=$E202)*($E201&gt;INDEX(_xlfn.ANCHORARRAY(Sintesi!$C$15),1,$C201))*($E201&lt;INDEX(_xlfn.ANCHORARRAY(Sintesi!$C$16),1,$C201))*(INDEX(_xlfn.ANCHORARRAY(Sintesi!$C$15),1,$C201)&gt;0),2,IF($E201=(INDEX(_xlfn.ANCHORARRAY(Sintesi!$C$16),1,$C201)),3,4)))),0),IF($C201&gt;0,IF(($E201=INDEX(_xlfn.ANCHORARRAY(Sintesi!$C$14),1,$C201))*(INDEX(_xlfn.ANCHORARRAY(Sintesi!$C$15),1,$C201)&gt;0),0,IF(($E201=INDEX(_xlfn.ANCHORARRAY(Sintesi!$C$14),1,$C201))*(INDEX(_xlfn.ANCHORARRAY(Sintesi!$C$15),1,$C201)&lt;0)+($E201&gt;=LOOKUP(2,1/($E:$E&lt;&gt;""),$E:$E))*($E201&lt;=$E202)*($E201&gt;INDEX(_xlfn.ANCHORARRAY(Sintesi!$C$14),1,$C201))*($E201&lt;=INDEX(_xlfn.ANCHORARRAY(Sintesi!$C$15),1,$C201))*(INDEX(_xlfn.ANCHORARRAY(Sintesi!$C$15),1,$C201)&gt;0),1,IF(($E201&gt;=LOOKUP(2,1/($E:$E&lt;&gt;""),$E:$E))*($E201&lt;=$E202)*($E201&gt;INDEX(_xlfn.ANCHORARRAY(Sintesi!$C$14),1,$C201))*($E201&lt;INDEX(_xlfn.ANCHORARRAY(Sintesi!$C$16),1,$C201))*(INDEX(_xlfn.ANCHORARRAY(Sintesi!$C$15),1,$C201)&lt;0)+($E201&gt;=LOOKUP(2,1/($E:$E&lt;&gt;""),$E:$E))*($E201&lt;=$E202)*($E201&gt;INDEX(_xlfn.ANCHORARRAY(Sintesi!$C$15),1,$C201))*($E201&lt;INDEX(_xlfn.ANCHORARRAY(Sintesi!$C$16),1,$C201))*(INDEX(_xlfn.ANCHORARRAY(Sintesi!$C$15),1,$C201)&gt;0),2,IF($E201=(INDEX(_xlfn.ANCHORARRAY(Sintesi!$C$16),1,$C201)),3,4)))),0)))</f>
        <v>3</v>
      </c>
      <c r="E201" s="1">
        <f>'Paste cell here'!F201</f>
        <v>1.0469999999999999</v>
      </c>
      <c r="F201" s="1">
        <f>'Paste cell here'!C201</f>
        <v>33.959999999999511</v>
      </c>
      <c r="G201" s="1">
        <f>'Paste cell here'!D201</f>
        <v>21.739999999999714</v>
      </c>
      <c r="H201" s="1">
        <f>'Paste cell here'!E201</f>
        <v>6.107571024267556</v>
      </c>
      <c r="I201" s="1">
        <f>'Paste cell here'!X201</f>
        <v>6.3942422952764764</v>
      </c>
      <c r="J201" s="1">
        <f>'Paste cell here'!Y201+'Paste cell here'!S201</f>
        <v>6.3942422952764764</v>
      </c>
      <c r="K201" s="1">
        <f t="shared" si="6"/>
        <v>1.0469370343578279</v>
      </c>
      <c r="L201" s="1">
        <f t="shared" si="7"/>
        <v>29.993394319826542</v>
      </c>
      <c r="M201" s="1">
        <f t="array" ref="M201">IF(AND(A201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201&gt;=_xlfn.ANCHORARRAY(Sintesi!$C$9))+(_xlfn.ANCHORARRAY(Sintesi!$C$9)&gt;_xlfn.ANCHORARRAY(Sintesi!$C$10))*(A201&lt;=_xlfn.ANCHORARRAY(Sintesi!$C$10))+(_xlfn.ANCHORARRAY(Sintesi!$C$9)&lt;_xlfn.ANCHORARRAY(Sintesi!$C$10))*(A201&gt;=_xlfn.ANCHORARRAY(Sintesi!$C$9))*(A201&lt;=_xlfn.ANCHORARRAY(Sintesi!$C$10)),0)),0),A201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202&gt;=_xlfn.ANCHORARRAY(Sintesi!$C$9))+(_xlfn.ANCHORARRAY(Sintesi!$C$9)&gt;_xlfn.ANCHORARRAY(Sintesi!$C$10))*(A202&lt;=_xlfn.ANCHORARRAY(Sintesi!$C$10))+(_xlfn.ANCHORARRAY(Sintesi!$C$9)&lt;_xlfn.ANCHORARRAY(Sintesi!$C$10))*(A202&gt;=_xlfn.ANCHORARRAY(Sintesi!$C$9))*(A202&lt;=_xlfn.ANCHORARRAY(Sintesi!$C$10)),0)),0)),IF(L201&lt;_xlfn.IFNA(INDEX(_xlfn.ANCHORARRAY(Sintesi!$C$17),1,MATCH(1,(_xlfn.ANCHORARRAY(Sintesi!$C$9)&gt;_xlfn.ANCHORARRAY(Sintesi!$C$10))*(A200&gt;=_xlfn.ANCHORARRAY(Sintesi!$C$9))+(_xlfn.ANCHORARRAY(Sintesi!$C$9)&gt;_xlfn.ANCHORARRAY(Sintesi!$C$10))*(A200&lt;=_xlfn.ANCHORARRAY(Sintesi!$C$10))+(_xlfn.ANCHORARRAY(Sintesi!$C$9)&lt;_xlfn.ANCHORARRAY(Sintesi!$C$10))*(A200&gt;=_xlfn.ANCHORARRAY(Sintesi!$C$9))*(A200&lt;=_xlfn.ANCHORARRAY(Sintesi!$C$10)),0)),0),1,IF(L201&gt;=_xlfn.IFNA(INDEX(_xlfn.ANCHORARRAY(Sintesi!$C$18),1,MATCH(1,(_xlfn.ANCHORARRAY(Sintesi!$C$9)&gt;_xlfn.ANCHORARRAY(Sintesi!$C$10))*(A200&gt;=_xlfn.ANCHORARRAY(Sintesi!$C$9))+(_xlfn.ANCHORARRAY(Sintesi!$C$9)&gt;_xlfn.ANCHORARRAY(Sintesi!$C$10))*(A200&lt;=_xlfn.ANCHORARRAY(Sintesi!$C$10))+(_xlfn.ANCHORARRAY(Sintesi!$C$9)&lt;_xlfn.ANCHORARRAY(Sintesi!$C$10))*(A200&gt;=_xlfn.ANCHORARRAY(Sintesi!$C$9))*(A200&lt;=_xlfn.ANCHORARRAY(Sintesi!$C$10)),0)),0),0,1-(L201-_xlfn.IFNA(INDEX(_xlfn.ANCHORARRAY(Sintesi!$C$17),1,MATCH(1,(_xlfn.ANCHORARRAY(Sintesi!$C$9)&gt;_xlfn.ANCHORARRAY(Sintesi!$C$10))*(A200&gt;=_xlfn.ANCHORARRAY(Sintesi!$C$9))+(_xlfn.ANCHORARRAY(Sintesi!$C$9)&gt;_xlfn.ANCHORARRAY(Sintesi!$C$10))*(A200&lt;=_xlfn.ANCHORARRAY(Sintesi!$C$10))+(_xlfn.ANCHORARRAY(Sintesi!$C$9)&lt;_xlfn.ANCHORARRAY(Sintesi!$C$10))*(A200&gt;=_xlfn.ANCHORARRAY(Sintesi!$C$9))*(A200&lt;=_xlfn.ANCHORARRAY(Sintesi!$C$10)),0)),0))/(_xlfn.IFNA(INDEX(_xlfn.ANCHORARRAY(Sintesi!$C$18),1,MATCH(1,(_xlfn.ANCHORARRAY(Sintesi!$C$9)&gt;_xlfn.ANCHORARRAY(Sintesi!$C$10))*(A200&gt;=_xlfn.ANCHORARRAY(Sintesi!$C$9))+(_xlfn.ANCHORARRAY(Sintesi!$C$9)&gt;_xlfn.ANCHORARRAY(Sintesi!$C$10))*(A200&lt;=_xlfn.ANCHORARRAY(Sintesi!$C$10))+(_xlfn.ANCHORARRAY(Sintesi!$C$9)&lt;_xlfn.ANCHORARRAY(Sintesi!$C$10))*(A200&gt;=_xlfn.ANCHORARRAY(Sintesi!$C$9))*(A200&lt;=_xlfn.ANCHORARRAY(Sintesi!$C$10)),0)),0)-_xlfn.IFNA(INDEX(_xlfn.ANCHORARRAY(Sintesi!$C$17),1,MATCH(1,(_xlfn.ANCHORARRAY(Sintesi!$C$9)&gt;_xlfn.ANCHORARRAY(Sintesi!$C$10))*(A200&gt;=_xlfn.ANCHORARRAY(Sintesi!$C$9))+(_xlfn.ANCHORARRAY(Sintesi!$C$9)&gt;_xlfn.ANCHORARRAY(Sintesi!$C$10))*(A200&lt;=_xlfn.ANCHORARRAY(Sintesi!$C$10))+(_xlfn.ANCHORARRAY(Sintesi!$C$9)&lt;_xlfn.ANCHORARRAY(Sintesi!$C$10))*(A200&gt;=_xlfn.ANCHORARRAY(Sintesi!$C$9))*(A200&lt;=_xlfn.ANCHORARRAY(Sintesi!$C$10)),0)),0)))),0)</f>
        <v>1</v>
      </c>
    </row>
    <row r="202" spans="1:13">
      <c r="A202" s="1">
        <f>'Paste cell here'!A202</f>
        <v>201</v>
      </c>
      <c r="B202" s="2">
        <f>DATE(Sintesi!$C$4-1,12,31)+A202</f>
        <v>44397</v>
      </c>
      <c r="C202" s="34">
        <f t="array" ref="C202">_xlfn.IFNA(MATCH(1,((_xlfn.ANCHORARRAY(Sintesi!$C$9)&gt;_xlfn.ANCHORARRAY(Sintesi!$C$10))*(A202&gt;=_xlfn.ANCHORARRAY(Sintesi!$C$9))+(_xlfn.ANCHORARRAY(Sintesi!$C$9)&gt;_xlfn.ANCHORARRAY(Sintesi!$C$10))*(A202&lt;=_xlfn.ANCHORARRAY(Sintesi!$C$10))+(_xlfn.ANCHORARRAY(Sintesi!$C$9)&lt;_xlfn.ANCHORARRAY(Sintesi!$C$10))*(A202&gt;=_xlfn.ANCHORARRAY(Sintesi!$C$9))*(A202&lt;=_xlfn.ANCHORARRAY(Sintesi!$C$10)))*(_xlfn.ANCHORARRAY(Sintesi!$C$15)&gt;=0)+(_xlfn.ANCHORARRAY(Sintesi!$C$15)&lt;0),0),0)</f>
        <v>1</v>
      </c>
      <c r="D202" s="1">
        <f t="array" ref="D202">IF(ISBLANK($E203),IF(ISNUMBER($E201),IF($C202&gt;0,IF(($E202=INDEX(_xlfn.ANCHORARRAY(Sintesi!$C$14),1,$C202))*(INDEX(_xlfn.ANCHORARRAY(Sintesi!$C$15),1,$C202)&gt;0),0,IF(($E202=INDEX(_xlfn.ANCHORARRAY(Sintesi!$C$14),1,$C202))*(INDEX(_xlfn.ANCHORARRAY(Sintesi!$C$15),1,$C202)&lt;0)+($E202&gt;=$E201)*($E202&lt;=INDEX($E:$E,MATCH(TRUE,INDEX((ISNUMBER($E:$E)),0),0)))*($E202&gt;INDEX(_xlfn.ANCHORARRAY(Sintesi!$C$14),1,$C202))*($E202&lt;=INDEX(_xlfn.ANCHORARRAY(Sintesi!$C$15),1,$C202))*(INDEX(_xlfn.ANCHORARRAY(Sintesi!$C$15),1,$C202)&gt;0),1,IF(($E202&gt;=$E201)*($E202&lt;=INDEX($E:$E,MATCH(TRUE,INDEX((ISNUMBER($E:$E)),0),0)))*($E202&gt;INDEX(_xlfn.ANCHORARRAY(Sintesi!$C$14),1,$C202))*($E202&lt;INDEX(_xlfn.ANCHORARRAY(Sintesi!$C$16),1,$C202))*(INDEX(_xlfn.ANCHORARRAY(Sintesi!$C$15),1,$C202)&lt;0)+($E202&gt;=$E201)*($E202&lt;=INDEX($E:$E,MATCH(TRUE,INDEX((ISNUMBER($E:$E)),0),0)))*($E202&gt;INDEX(_xlfn.ANCHORARRAY(Sintesi!$C$15),1,$C202))*($E202&lt;INDEX(_xlfn.ANCHORARRAY(Sintesi!$C$16),1,$C202))*(INDEX(_xlfn.ANCHORARRAY(Sintesi!$C$15),1,$C202)&gt;0),2,IF($E202=(INDEX(_xlfn.ANCHORARRAY(Sintesi!$C$16),1,$C202)),3,4)))),0),IF($C202&gt;0,IF(($E202=INDEX(_xlfn.ANCHORARRAY(Sintesi!$C$14),1,$C202))*(INDEX(_xlfn.ANCHORARRAY(Sintesi!$C$15),1,$C202)&gt;0),0,IF(($E202=INDEX(_xlfn.ANCHORARRAY(Sintesi!$C$14),1,$C202))*(INDEX(_xlfn.ANCHORARRAY(Sintesi!$C$15),1,$C202)&lt;0)+($E202&gt;=LOOKUP(2,1/($E:$E&lt;&gt;""),$E:$E))*($E202&lt;=INDEX($E:$E,MATCH(TRUE,INDEX((ISNUMBER($E:$E)),0),0)))*($E202&gt;INDEX(_xlfn.ANCHORARRAY(Sintesi!$C$14),1,$C202))*($E202&lt;=INDEX(_xlfn.ANCHORARRAY(Sintesi!$C$15),1,$C202))*(INDEX(_xlfn.ANCHORARRAY(Sintesi!$C$15),1,$C202)&gt;0),1,IF(($E202&gt;=LOOKUP(2,1/($E:$E&lt;&gt;""),$E:$E))*($E202&lt;=INDEX($E:$E,MATCH(TRUE,INDEX((ISNUMBER($E:$E)),0),0)))*($E202&gt;INDEX(_xlfn.ANCHORARRAY(Sintesi!$C$14),1,$C202))*($E202&lt;INDEX(_xlfn.ANCHORARRAY(Sintesi!$C$16),1,$C202))*(INDEX(_xlfn.ANCHORARRAY(Sintesi!$C$15),1,$C202)&lt;0)+($E202&gt;=LOOKUP(2,1/($E:$E&lt;&gt;""),$E:$E))*($E202&lt;=INDEX($E:$E,MATCH(TRUE,INDEX((ISNUMBER($E:$E)),0),0)))*($E202&gt;INDEX(_xlfn.ANCHORARRAY(Sintesi!$C$15),1,$C202))*($E202&lt;INDEX(_xlfn.ANCHORARRAY(Sintesi!$C$16),1,$C202))*(INDEX(_xlfn.ANCHORARRAY(Sintesi!$C$15),1,$C202)&gt;0),2,IF($E202=(INDEX(_xlfn.ANCHORARRAY(Sintesi!$C$16),1,$C202)),3,4)))),0)),IF(ISNUMBER($E201),IF($C202&gt;0,IF(($E202=INDEX(_xlfn.ANCHORARRAY(Sintesi!$C$14),1,$C202))*(INDEX(_xlfn.ANCHORARRAY(Sintesi!$C$15),1,$C202)&gt;0),0,IF(($E202=INDEX(_xlfn.ANCHORARRAY(Sintesi!$C$14),1,$C202))*(INDEX(_xlfn.ANCHORARRAY(Sintesi!$C$15),1,$C202)&lt;0)+($E202&gt;=$E201)*($E202&lt;=$E203)*($E202&gt;INDEX(_xlfn.ANCHORARRAY(Sintesi!$C$14),1,$C202))*($E202&lt;=INDEX(_xlfn.ANCHORARRAY(Sintesi!$C$15),1,$C202))*(INDEX(_xlfn.ANCHORARRAY(Sintesi!$C$15),1,$C202)&gt;0),1,IF(($E202&gt;=$E201)*($E202&lt;=$E203)*($E202&gt;INDEX(_xlfn.ANCHORARRAY(Sintesi!$C$14),1,$C202))*($E202&lt;INDEX(_xlfn.ANCHORARRAY(Sintesi!$C$16),1,$C202))*(INDEX(_xlfn.ANCHORARRAY(Sintesi!$C$15),1,$C202)&lt;0)+($E202&gt;=$E201)*($E202&lt;=$E203)*($E202&gt;INDEX(_xlfn.ANCHORARRAY(Sintesi!$C$15),1,$C202))*($E202&lt;INDEX(_xlfn.ANCHORARRAY(Sintesi!$C$16),1,$C202))*(INDEX(_xlfn.ANCHORARRAY(Sintesi!$C$15),1,$C202)&gt;0),2,IF($E202=(INDEX(_xlfn.ANCHORARRAY(Sintesi!$C$16),1,$C202)),3,4)))),0),IF($C202&gt;0,IF(($E202=INDEX(_xlfn.ANCHORARRAY(Sintesi!$C$14),1,$C202))*(INDEX(_xlfn.ANCHORARRAY(Sintesi!$C$15),1,$C202)&gt;0),0,IF(($E202=INDEX(_xlfn.ANCHORARRAY(Sintesi!$C$14),1,$C202))*(INDEX(_xlfn.ANCHORARRAY(Sintesi!$C$15),1,$C202)&lt;0)+($E202&gt;=LOOKUP(2,1/($E:$E&lt;&gt;""),$E:$E))*($E202&lt;=$E203)*($E202&gt;INDEX(_xlfn.ANCHORARRAY(Sintesi!$C$14),1,$C202))*($E202&lt;=INDEX(_xlfn.ANCHORARRAY(Sintesi!$C$15),1,$C202))*(INDEX(_xlfn.ANCHORARRAY(Sintesi!$C$15),1,$C202)&gt;0),1,IF(($E202&gt;=LOOKUP(2,1/($E:$E&lt;&gt;""),$E:$E))*($E202&lt;=$E203)*($E202&gt;INDEX(_xlfn.ANCHORARRAY(Sintesi!$C$14),1,$C202))*($E202&lt;INDEX(_xlfn.ANCHORARRAY(Sintesi!$C$16),1,$C202))*(INDEX(_xlfn.ANCHORARRAY(Sintesi!$C$15),1,$C202)&lt;0)+($E202&gt;=LOOKUP(2,1/($E:$E&lt;&gt;""),$E:$E))*($E202&lt;=$E203)*($E202&gt;INDEX(_xlfn.ANCHORARRAY(Sintesi!$C$15),1,$C202))*($E202&lt;INDEX(_xlfn.ANCHORARRAY(Sintesi!$C$16),1,$C202))*(INDEX(_xlfn.ANCHORARRAY(Sintesi!$C$15),1,$C202)&gt;0),2,IF($E202=(INDEX(_xlfn.ANCHORARRAY(Sintesi!$C$16),1,$C202)),3,4)))),0)))</f>
        <v>3</v>
      </c>
      <c r="E202" s="1">
        <f>'Paste cell here'!F202</f>
        <v>1.0469999999999999</v>
      </c>
      <c r="F202" s="1">
        <f>'Paste cell here'!C202</f>
        <v>34.679999999999509</v>
      </c>
      <c r="G202" s="1">
        <f>'Paste cell here'!D202</f>
        <v>20.859999999999719</v>
      </c>
      <c r="H202" s="1">
        <f>'Paste cell here'!E202</f>
        <v>6.1500022762699462</v>
      </c>
      <c r="I202" s="1">
        <f>'Paste cell here'!X202</f>
        <v>6.4386790209379265</v>
      </c>
      <c r="J202" s="1">
        <f>'Paste cell here'!Y202+'Paste cell here'!S202</f>
        <v>6.4386790209379265</v>
      </c>
      <c r="K202" s="1">
        <f t="shared" si="6"/>
        <v>1.0469392907026802</v>
      </c>
      <c r="L202" s="1">
        <f t="shared" si="7"/>
        <v>30.194035147299797</v>
      </c>
      <c r="M202" s="1">
        <f t="array" ref="M202">IF(AND(A202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202&gt;=_xlfn.ANCHORARRAY(Sintesi!$C$9))+(_xlfn.ANCHORARRAY(Sintesi!$C$9)&gt;_xlfn.ANCHORARRAY(Sintesi!$C$10))*(A202&lt;=_xlfn.ANCHORARRAY(Sintesi!$C$10))+(_xlfn.ANCHORARRAY(Sintesi!$C$9)&lt;_xlfn.ANCHORARRAY(Sintesi!$C$10))*(A202&gt;=_xlfn.ANCHORARRAY(Sintesi!$C$9))*(A202&lt;=_xlfn.ANCHORARRAY(Sintesi!$C$10)),0)),0),A202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203&gt;=_xlfn.ANCHORARRAY(Sintesi!$C$9))+(_xlfn.ANCHORARRAY(Sintesi!$C$9)&gt;_xlfn.ANCHORARRAY(Sintesi!$C$10))*(A203&lt;=_xlfn.ANCHORARRAY(Sintesi!$C$10))+(_xlfn.ANCHORARRAY(Sintesi!$C$9)&lt;_xlfn.ANCHORARRAY(Sintesi!$C$10))*(A203&gt;=_xlfn.ANCHORARRAY(Sintesi!$C$9))*(A203&lt;=_xlfn.ANCHORARRAY(Sintesi!$C$10)),0)),0)),IF(L202&lt;_xlfn.IFNA(INDEX(_xlfn.ANCHORARRAY(Sintesi!$C$17),1,MATCH(1,(_xlfn.ANCHORARRAY(Sintesi!$C$9)&gt;_xlfn.ANCHORARRAY(Sintesi!$C$10))*(A201&gt;=_xlfn.ANCHORARRAY(Sintesi!$C$9))+(_xlfn.ANCHORARRAY(Sintesi!$C$9)&gt;_xlfn.ANCHORARRAY(Sintesi!$C$10))*(A201&lt;=_xlfn.ANCHORARRAY(Sintesi!$C$10))+(_xlfn.ANCHORARRAY(Sintesi!$C$9)&lt;_xlfn.ANCHORARRAY(Sintesi!$C$10))*(A201&gt;=_xlfn.ANCHORARRAY(Sintesi!$C$9))*(A201&lt;=_xlfn.ANCHORARRAY(Sintesi!$C$10)),0)),0),1,IF(L202&gt;=_xlfn.IFNA(INDEX(_xlfn.ANCHORARRAY(Sintesi!$C$18),1,MATCH(1,(_xlfn.ANCHORARRAY(Sintesi!$C$9)&gt;_xlfn.ANCHORARRAY(Sintesi!$C$10))*(A201&gt;=_xlfn.ANCHORARRAY(Sintesi!$C$9))+(_xlfn.ANCHORARRAY(Sintesi!$C$9)&gt;_xlfn.ANCHORARRAY(Sintesi!$C$10))*(A201&lt;=_xlfn.ANCHORARRAY(Sintesi!$C$10))+(_xlfn.ANCHORARRAY(Sintesi!$C$9)&lt;_xlfn.ANCHORARRAY(Sintesi!$C$10))*(A201&gt;=_xlfn.ANCHORARRAY(Sintesi!$C$9))*(A201&lt;=_xlfn.ANCHORARRAY(Sintesi!$C$10)),0)),0),0,1-(L202-_xlfn.IFNA(INDEX(_xlfn.ANCHORARRAY(Sintesi!$C$17),1,MATCH(1,(_xlfn.ANCHORARRAY(Sintesi!$C$9)&gt;_xlfn.ANCHORARRAY(Sintesi!$C$10))*(A201&gt;=_xlfn.ANCHORARRAY(Sintesi!$C$9))+(_xlfn.ANCHORARRAY(Sintesi!$C$9)&gt;_xlfn.ANCHORARRAY(Sintesi!$C$10))*(A201&lt;=_xlfn.ANCHORARRAY(Sintesi!$C$10))+(_xlfn.ANCHORARRAY(Sintesi!$C$9)&lt;_xlfn.ANCHORARRAY(Sintesi!$C$10))*(A201&gt;=_xlfn.ANCHORARRAY(Sintesi!$C$9))*(A201&lt;=_xlfn.ANCHORARRAY(Sintesi!$C$10)),0)),0))/(_xlfn.IFNA(INDEX(_xlfn.ANCHORARRAY(Sintesi!$C$18),1,MATCH(1,(_xlfn.ANCHORARRAY(Sintesi!$C$9)&gt;_xlfn.ANCHORARRAY(Sintesi!$C$10))*(A201&gt;=_xlfn.ANCHORARRAY(Sintesi!$C$9))+(_xlfn.ANCHORARRAY(Sintesi!$C$9)&gt;_xlfn.ANCHORARRAY(Sintesi!$C$10))*(A201&lt;=_xlfn.ANCHORARRAY(Sintesi!$C$10))+(_xlfn.ANCHORARRAY(Sintesi!$C$9)&lt;_xlfn.ANCHORARRAY(Sintesi!$C$10))*(A201&gt;=_xlfn.ANCHORARRAY(Sintesi!$C$9))*(A201&lt;=_xlfn.ANCHORARRAY(Sintesi!$C$10)),0)),0)-_xlfn.IFNA(INDEX(_xlfn.ANCHORARRAY(Sintesi!$C$17),1,MATCH(1,(_xlfn.ANCHORARRAY(Sintesi!$C$9)&gt;_xlfn.ANCHORARRAY(Sintesi!$C$10))*(A201&gt;=_xlfn.ANCHORARRAY(Sintesi!$C$9))+(_xlfn.ANCHORARRAY(Sintesi!$C$9)&gt;_xlfn.ANCHORARRAY(Sintesi!$C$10))*(A201&lt;=_xlfn.ANCHORARRAY(Sintesi!$C$10))+(_xlfn.ANCHORARRAY(Sintesi!$C$9)&lt;_xlfn.ANCHORARRAY(Sintesi!$C$10))*(A201&gt;=_xlfn.ANCHORARRAY(Sintesi!$C$9))*(A201&lt;=_xlfn.ANCHORARRAY(Sintesi!$C$10)),0)),0)))),0)</f>
        <v>1</v>
      </c>
    </row>
    <row r="203" spans="1:13">
      <c r="A203" s="1">
        <f>'Paste cell here'!A203</f>
        <v>202</v>
      </c>
      <c r="B203" s="2">
        <f>DATE(Sintesi!$C$4-1,12,31)+A203</f>
        <v>44398</v>
      </c>
      <c r="C203" s="34">
        <f t="array" ref="C203">_xlfn.IFNA(MATCH(1,((_xlfn.ANCHORARRAY(Sintesi!$C$9)&gt;_xlfn.ANCHORARRAY(Sintesi!$C$10))*(A203&gt;=_xlfn.ANCHORARRAY(Sintesi!$C$9))+(_xlfn.ANCHORARRAY(Sintesi!$C$9)&gt;_xlfn.ANCHORARRAY(Sintesi!$C$10))*(A203&lt;=_xlfn.ANCHORARRAY(Sintesi!$C$10))+(_xlfn.ANCHORARRAY(Sintesi!$C$9)&lt;_xlfn.ANCHORARRAY(Sintesi!$C$10))*(A203&gt;=_xlfn.ANCHORARRAY(Sintesi!$C$9))*(A203&lt;=_xlfn.ANCHORARRAY(Sintesi!$C$10)))*(_xlfn.ANCHORARRAY(Sintesi!$C$15)&gt;=0)+(_xlfn.ANCHORARRAY(Sintesi!$C$15)&lt;0),0),0)</f>
        <v>1</v>
      </c>
      <c r="D203" s="1">
        <f t="array" ref="D203">IF(ISBLANK($E204),IF(ISNUMBER($E202),IF($C203&gt;0,IF(($E203=INDEX(_xlfn.ANCHORARRAY(Sintesi!$C$14),1,$C203))*(INDEX(_xlfn.ANCHORARRAY(Sintesi!$C$15),1,$C203)&gt;0),0,IF(($E203=INDEX(_xlfn.ANCHORARRAY(Sintesi!$C$14),1,$C203))*(INDEX(_xlfn.ANCHORARRAY(Sintesi!$C$15),1,$C203)&lt;0)+($E203&gt;=$E202)*($E203&lt;=INDEX($E:$E,MATCH(TRUE,INDEX((ISNUMBER($E:$E)),0),0)))*($E203&gt;INDEX(_xlfn.ANCHORARRAY(Sintesi!$C$14),1,$C203))*($E203&lt;=INDEX(_xlfn.ANCHORARRAY(Sintesi!$C$15),1,$C203))*(INDEX(_xlfn.ANCHORARRAY(Sintesi!$C$15),1,$C203)&gt;0),1,IF(($E203&gt;=$E202)*($E203&lt;=INDEX($E:$E,MATCH(TRUE,INDEX((ISNUMBER($E:$E)),0),0)))*($E203&gt;INDEX(_xlfn.ANCHORARRAY(Sintesi!$C$14),1,$C203))*($E203&lt;INDEX(_xlfn.ANCHORARRAY(Sintesi!$C$16),1,$C203))*(INDEX(_xlfn.ANCHORARRAY(Sintesi!$C$15),1,$C203)&lt;0)+($E203&gt;=$E202)*($E203&lt;=INDEX($E:$E,MATCH(TRUE,INDEX((ISNUMBER($E:$E)),0),0)))*($E203&gt;INDEX(_xlfn.ANCHORARRAY(Sintesi!$C$15),1,$C203))*($E203&lt;INDEX(_xlfn.ANCHORARRAY(Sintesi!$C$16),1,$C203))*(INDEX(_xlfn.ANCHORARRAY(Sintesi!$C$15),1,$C203)&gt;0),2,IF($E203=(INDEX(_xlfn.ANCHORARRAY(Sintesi!$C$16),1,$C203)),3,4)))),0),IF($C203&gt;0,IF(($E203=INDEX(_xlfn.ANCHORARRAY(Sintesi!$C$14),1,$C203))*(INDEX(_xlfn.ANCHORARRAY(Sintesi!$C$15),1,$C203)&gt;0),0,IF(($E203=INDEX(_xlfn.ANCHORARRAY(Sintesi!$C$14),1,$C203))*(INDEX(_xlfn.ANCHORARRAY(Sintesi!$C$15),1,$C203)&lt;0)+($E203&gt;=LOOKUP(2,1/($E:$E&lt;&gt;""),$E:$E))*($E203&lt;=INDEX($E:$E,MATCH(TRUE,INDEX((ISNUMBER($E:$E)),0),0)))*($E203&gt;INDEX(_xlfn.ANCHORARRAY(Sintesi!$C$14),1,$C203))*($E203&lt;=INDEX(_xlfn.ANCHORARRAY(Sintesi!$C$15),1,$C203))*(INDEX(_xlfn.ANCHORARRAY(Sintesi!$C$15),1,$C203)&gt;0),1,IF(($E203&gt;=LOOKUP(2,1/($E:$E&lt;&gt;""),$E:$E))*($E203&lt;=INDEX($E:$E,MATCH(TRUE,INDEX((ISNUMBER($E:$E)),0),0)))*($E203&gt;INDEX(_xlfn.ANCHORARRAY(Sintesi!$C$14),1,$C203))*($E203&lt;INDEX(_xlfn.ANCHORARRAY(Sintesi!$C$16),1,$C203))*(INDEX(_xlfn.ANCHORARRAY(Sintesi!$C$15),1,$C203)&lt;0)+($E203&gt;=LOOKUP(2,1/($E:$E&lt;&gt;""),$E:$E))*($E203&lt;=INDEX($E:$E,MATCH(TRUE,INDEX((ISNUMBER($E:$E)),0),0)))*($E203&gt;INDEX(_xlfn.ANCHORARRAY(Sintesi!$C$15),1,$C203))*($E203&lt;INDEX(_xlfn.ANCHORARRAY(Sintesi!$C$16),1,$C203))*(INDEX(_xlfn.ANCHORARRAY(Sintesi!$C$15),1,$C203)&gt;0),2,IF($E203=(INDEX(_xlfn.ANCHORARRAY(Sintesi!$C$16),1,$C203)),3,4)))),0)),IF(ISNUMBER($E202),IF($C203&gt;0,IF(($E203=INDEX(_xlfn.ANCHORARRAY(Sintesi!$C$14),1,$C203))*(INDEX(_xlfn.ANCHORARRAY(Sintesi!$C$15),1,$C203)&gt;0),0,IF(($E203=INDEX(_xlfn.ANCHORARRAY(Sintesi!$C$14),1,$C203))*(INDEX(_xlfn.ANCHORARRAY(Sintesi!$C$15),1,$C203)&lt;0)+($E203&gt;=$E202)*($E203&lt;=$E204)*($E203&gt;INDEX(_xlfn.ANCHORARRAY(Sintesi!$C$14),1,$C203))*($E203&lt;=INDEX(_xlfn.ANCHORARRAY(Sintesi!$C$15),1,$C203))*(INDEX(_xlfn.ANCHORARRAY(Sintesi!$C$15),1,$C203)&gt;0),1,IF(($E203&gt;=$E202)*($E203&lt;=$E204)*($E203&gt;INDEX(_xlfn.ANCHORARRAY(Sintesi!$C$14),1,$C203))*($E203&lt;INDEX(_xlfn.ANCHORARRAY(Sintesi!$C$16),1,$C203))*(INDEX(_xlfn.ANCHORARRAY(Sintesi!$C$15),1,$C203)&lt;0)+($E203&gt;=$E202)*($E203&lt;=$E204)*($E203&gt;INDEX(_xlfn.ANCHORARRAY(Sintesi!$C$15),1,$C203))*($E203&lt;INDEX(_xlfn.ANCHORARRAY(Sintesi!$C$16),1,$C203))*(INDEX(_xlfn.ANCHORARRAY(Sintesi!$C$15),1,$C203)&gt;0),2,IF($E203=(INDEX(_xlfn.ANCHORARRAY(Sintesi!$C$16),1,$C203)),3,4)))),0),IF($C203&gt;0,IF(($E203=INDEX(_xlfn.ANCHORARRAY(Sintesi!$C$14),1,$C203))*(INDEX(_xlfn.ANCHORARRAY(Sintesi!$C$15),1,$C203)&gt;0),0,IF(($E203=INDEX(_xlfn.ANCHORARRAY(Sintesi!$C$14),1,$C203))*(INDEX(_xlfn.ANCHORARRAY(Sintesi!$C$15),1,$C203)&lt;0)+($E203&gt;=LOOKUP(2,1/($E:$E&lt;&gt;""),$E:$E))*($E203&lt;=$E204)*($E203&gt;INDEX(_xlfn.ANCHORARRAY(Sintesi!$C$14),1,$C203))*($E203&lt;=INDEX(_xlfn.ANCHORARRAY(Sintesi!$C$15),1,$C203))*(INDEX(_xlfn.ANCHORARRAY(Sintesi!$C$15),1,$C203)&gt;0),1,IF(($E203&gt;=LOOKUP(2,1/($E:$E&lt;&gt;""),$E:$E))*($E203&lt;=$E204)*($E203&gt;INDEX(_xlfn.ANCHORARRAY(Sintesi!$C$14),1,$C203))*($E203&lt;INDEX(_xlfn.ANCHORARRAY(Sintesi!$C$16),1,$C203))*(INDEX(_xlfn.ANCHORARRAY(Sintesi!$C$15),1,$C203)&lt;0)+($E203&gt;=LOOKUP(2,1/($E:$E&lt;&gt;""),$E:$E))*($E203&lt;=$E204)*($E203&gt;INDEX(_xlfn.ANCHORARRAY(Sintesi!$C$15),1,$C203))*($E203&lt;INDEX(_xlfn.ANCHORARRAY(Sintesi!$C$16),1,$C203))*(INDEX(_xlfn.ANCHORARRAY(Sintesi!$C$15),1,$C203)&gt;0),2,IF($E203=(INDEX(_xlfn.ANCHORARRAY(Sintesi!$C$16),1,$C203)),3,4)))),0)))</f>
        <v>3</v>
      </c>
      <c r="E203" s="1">
        <f>'Paste cell here'!F203</f>
        <v>1.0469999999999999</v>
      </c>
      <c r="F203" s="1">
        <f>'Paste cell here'!C203</f>
        <v>33.759999999999515</v>
      </c>
      <c r="G203" s="1">
        <f>'Paste cell here'!D203</f>
        <v>20.239999999999732</v>
      </c>
      <c r="H203" s="1">
        <f>'Paste cell here'!E203</f>
        <v>5.6381954659291296</v>
      </c>
      <c r="I203" s="1">
        <f>'Paste cell here'!X203</f>
        <v>5.9028610392345193</v>
      </c>
      <c r="J203" s="1">
        <f>'Paste cell here'!Y203+'Paste cell here'!S203</f>
        <v>5.9028610392345193</v>
      </c>
      <c r="K203" s="1">
        <f t="shared" si="6"/>
        <v>1.0469415391688226</v>
      </c>
      <c r="L203" s="1">
        <f t="shared" si="7"/>
        <v>29.371414992148573</v>
      </c>
      <c r="M203" s="1">
        <f t="array" ref="M203">IF(AND(A203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203&gt;=_xlfn.ANCHORARRAY(Sintesi!$C$9))+(_xlfn.ANCHORARRAY(Sintesi!$C$9)&gt;_xlfn.ANCHORARRAY(Sintesi!$C$10))*(A203&lt;=_xlfn.ANCHORARRAY(Sintesi!$C$10))+(_xlfn.ANCHORARRAY(Sintesi!$C$9)&lt;_xlfn.ANCHORARRAY(Sintesi!$C$10))*(A203&gt;=_xlfn.ANCHORARRAY(Sintesi!$C$9))*(A203&lt;=_xlfn.ANCHORARRAY(Sintesi!$C$10)),0)),0),A203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204&gt;=_xlfn.ANCHORARRAY(Sintesi!$C$9))+(_xlfn.ANCHORARRAY(Sintesi!$C$9)&gt;_xlfn.ANCHORARRAY(Sintesi!$C$10))*(A204&lt;=_xlfn.ANCHORARRAY(Sintesi!$C$10))+(_xlfn.ANCHORARRAY(Sintesi!$C$9)&lt;_xlfn.ANCHORARRAY(Sintesi!$C$10))*(A204&gt;=_xlfn.ANCHORARRAY(Sintesi!$C$9))*(A204&lt;=_xlfn.ANCHORARRAY(Sintesi!$C$10)),0)),0)),IF(L203&lt;_xlfn.IFNA(INDEX(_xlfn.ANCHORARRAY(Sintesi!$C$17),1,MATCH(1,(_xlfn.ANCHORARRAY(Sintesi!$C$9)&gt;_xlfn.ANCHORARRAY(Sintesi!$C$10))*(A202&gt;=_xlfn.ANCHORARRAY(Sintesi!$C$9))+(_xlfn.ANCHORARRAY(Sintesi!$C$9)&gt;_xlfn.ANCHORARRAY(Sintesi!$C$10))*(A202&lt;=_xlfn.ANCHORARRAY(Sintesi!$C$10))+(_xlfn.ANCHORARRAY(Sintesi!$C$9)&lt;_xlfn.ANCHORARRAY(Sintesi!$C$10))*(A202&gt;=_xlfn.ANCHORARRAY(Sintesi!$C$9))*(A202&lt;=_xlfn.ANCHORARRAY(Sintesi!$C$10)),0)),0),1,IF(L203&gt;=_xlfn.IFNA(INDEX(_xlfn.ANCHORARRAY(Sintesi!$C$18),1,MATCH(1,(_xlfn.ANCHORARRAY(Sintesi!$C$9)&gt;_xlfn.ANCHORARRAY(Sintesi!$C$10))*(A202&gt;=_xlfn.ANCHORARRAY(Sintesi!$C$9))+(_xlfn.ANCHORARRAY(Sintesi!$C$9)&gt;_xlfn.ANCHORARRAY(Sintesi!$C$10))*(A202&lt;=_xlfn.ANCHORARRAY(Sintesi!$C$10))+(_xlfn.ANCHORARRAY(Sintesi!$C$9)&lt;_xlfn.ANCHORARRAY(Sintesi!$C$10))*(A202&gt;=_xlfn.ANCHORARRAY(Sintesi!$C$9))*(A202&lt;=_xlfn.ANCHORARRAY(Sintesi!$C$10)),0)),0),0,1-(L203-_xlfn.IFNA(INDEX(_xlfn.ANCHORARRAY(Sintesi!$C$17),1,MATCH(1,(_xlfn.ANCHORARRAY(Sintesi!$C$9)&gt;_xlfn.ANCHORARRAY(Sintesi!$C$10))*(A202&gt;=_xlfn.ANCHORARRAY(Sintesi!$C$9))+(_xlfn.ANCHORARRAY(Sintesi!$C$9)&gt;_xlfn.ANCHORARRAY(Sintesi!$C$10))*(A202&lt;=_xlfn.ANCHORARRAY(Sintesi!$C$10))+(_xlfn.ANCHORARRAY(Sintesi!$C$9)&lt;_xlfn.ANCHORARRAY(Sintesi!$C$10))*(A202&gt;=_xlfn.ANCHORARRAY(Sintesi!$C$9))*(A202&lt;=_xlfn.ANCHORARRAY(Sintesi!$C$10)),0)),0))/(_xlfn.IFNA(INDEX(_xlfn.ANCHORARRAY(Sintesi!$C$18),1,MATCH(1,(_xlfn.ANCHORARRAY(Sintesi!$C$9)&gt;_xlfn.ANCHORARRAY(Sintesi!$C$10))*(A202&gt;=_xlfn.ANCHORARRAY(Sintesi!$C$9))+(_xlfn.ANCHORARRAY(Sintesi!$C$9)&gt;_xlfn.ANCHORARRAY(Sintesi!$C$10))*(A202&lt;=_xlfn.ANCHORARRAY(Sintesi!$C$10))+(_xlfn.ANCHORARRAY(Sintesi!$C$9)&lt;_xlfn.ANCHORARRAY(Sintesi!$C$10))*(A202&gt;=_xlfn.ANCHORARRAY(Sintesi!$C$9))*(A202&lt;=_xlfn.ANCHORARRAY(Sintesi!$C$10)),0)),0)-_xlfn.IFNA(INDEX(_xlfn.ANCHORARRAY(Sintesi!$C$17),1,MATCH(1,(_xlfn.ANCHORARRAY(Sintesi!$C$9)&gt;_xlfn.ANCHORARRAY(Sintesi!$C$10))*(A202&gt;=_xlfn.ANCHORARRAY(Sintesi!$C$9))+(_xlfn.ANCHORARRAY(Sintesi!$C$9)&gt;_xlfn.ANCHORARRAY(Sintesi!$C$10))*(A202&lt;=_xlfn.ANCHORARRAY(Sintesi!$C$10))+(_xlfn.ANCHORARRAY(Sintesi!$C$9)&lt;_xlfn.ANCHORARRAY(Sintesi!$C$10))*(A202&gt;=_xlfn.ANCHORARRAY(Sintesi!$C$9))*(A202&lt;=_xlfn.ANCHORARRAY(Sintesi!$C$10)),0)),0)))),0)</f>
        <v>1</v>
      </c>
    </row>
    <row r="204" spans="1:13">
      <c r="A204" s="1">
        <f>'Paste cell here'!A204</f>
        <v>203</v>
      </c>
      <c r="B204" s="2">
        <f>DATE(Sintesi!$C$4-1,12,31)+A204</f>
        <v>44399</v>
      </c>
      <c r="C204" s="34">
        <f t="array" ref="C204">_xlfn.IFNA(MATCH(1,((_xlfn.ANCHORARRAY(Sintesi!$C$9)&gt;_xlfn.ANCHORARRAY(Sintesi!$C$10))*(A204&gt;=_xlfn.ANCHORARRAY(Sintesi!$C$9))+(_xlfn.ANCHORARRAY(Sintesi!$C$9)&gt;_xlfn.ANCHORARRAY(Sintesi!$C$10))*(A204&lt;=_xlfn.ANCHORARRAY(Sintesi!$C$10))+(_xlfn.ANCHORARRAY(Sintesi!$C$9)&lt;_xlfn.ANCHORARRAY(Sintesi!$C$10))*(A204&gt;=_xlfn.ANCHORARRAY(Sintesi!$C$9))*(A204&lt;=_xlfn.ANCHORARRAY(Sintesi!$C$10)))*(_xlfn.ANCHORARRAY(Sintesi!$C$15)&gt;=0)+(_xlfn.ANCHORARRAY(Sintesi!$C$15)&lt;0),0),0)</f>
        <v>1</v>
      </c>
      <c r="D204" s="1">
        <f t="array" ref="D204">IF(ISBLANK($E205),IF(ISNUMBER($E203),IF($C204&gt;0,IF(($E204=INDEX(_xlfn.ANCHORARRAY(Sintesi!$C$14),1,$C204))*(INDEX(_xlfn.ANCHORARRAY(Sintesi!$C$15),1,$C204)&gt;0),0,IF(($E204=INDEX(_xlfn.ANCHORARRAY(Sintesi!$C$14),1,$C204))*(INDEX(_xlfn.ANCHORARRAY(Sintesi!$C$15),1,$C204)&lt;0)+($E204&gt;=$E203)*($E204&lt;=INDEX($E:$E,MATCH(TRUE,INDEX((ISNUMBER($E:$E)),0),0)))*($E204&gt;INDEX(_xlfn.ANCHORARRAY(Sintesi!$C$14),1,$C204))*($E204&lt;=INDEX(_xlfn.ANCHORARRAY(Sintesi!$C$15),1,$C204))*(INDEX(_xlfn.ANCHORARRAY(Sintesi!$C$15),1,$C204)&gt;0),1,IF(($E204&gt;=$E203)*($E204&lt;=INDEX($E:$E,MATCH(TRUE,INDEX((ISNUMBER($E:$E)),0),0)))*($E204&gt;INDEX(_xlfn.ANCHORARRAY(Sintesi!$C$14),1,$C204))*($E204&lt;INDEX(_xlfn.ANCHORARRAY(Sintesi!$C$16),1,$C204))*(INDEX(_xlfn.ANCHORARRAY(Sintesi!$C$15),1,$C204)&lt;0)+($E204&gt;=$E203)*($E204&lt;=INDEX($E:$E,MATCH(TRUE,INDEX((ISNUMBER($E:$E)),0),0)))*($E204&gt;INDEX(_xlfn.ANCHORARRAY(Sintesi!$C$15),1,$C204))*($E204&lt;INDEX(_xlfn.ANCHORARRAY(Sintesi!$C$16),1,$C204))*(INDEX(_xlfn.ANCHORARRAY(Sintesi!$C$15),1,$C204)&gt;0),2,IF($E204=(INDEX(_xlfn.ANCHORARRAY(Sintesi!$C$16),1,$C204)),3,4)))),0),IF($C204&gt;0,IF(($E204=INDEX(_xlfn.ANCHORARRAY(Sintesi!$C$14),1,$C204))*(INDEX(_xlfn.ANCHORARRAY(Sintesi!$C$15),1,$C204)&gt;0),0,IF(($E204=INDEX(_xlfn.ANCHORARRAY(Sintesi!$C$14),1,$C204))*(INDEX(_xlfn.ANCHORARRAY(Sintesi!$C$15),1,$C204)&lt;0)+($E204&gt;=LOOKUP(2,1/($E:$E&lt;&gt;""),$E:$E))*($E204&lt;=INDEX($E:$E,MATCH(TRUE,INDEX((ISNUMBER($E:$E)),0),0)))*($E204&gt;INDEX(_xlfn.ANCHORARRAY(Sintesi!$C$14),1,$C204))*($E204&lt;=INDEX(_xlfn.ANCHORARRAY(Sintesi!$C$15),1,$C204))*(INDEX(_xlfn.ANCHORARRAY(Sintesi!$C$15),1,$C204)&gt;0),1,IF(($E204&gt;=LOOKUP(2,1/($E:$E&lt;&gt;""),$E:$E))*($E204&lt;=INDEX($E:$E,MATCH(TRUE,INDEX((ISNUMBER($E:$E)),0),0)))*($E204&gt;INDEX(_xlfn.ANCHORARRAY(Sintesi!$C$14),1,$C204))*($E204&lt;INDEX(_xlfn.ANCHORARRAY(Sintesi!$C$16),1,$C204))*(INDEX(_xlfn.ANCHORARRAY(Sintesi!$C$15),1,$C204)&lt;0)+($E204&gt;=LOOKUP(2,1/($E:$E&lt;&gt;""),$E:$E))*($E204&lt;=INDEX($E:$E,MATCH(TRUE,INDEX((ISNUMBER($E:$E)),0),0)))*($E204&gt;INDEX(_xlfn.ANCHORARRAY(Sintesi!$C$15),1,$C204))*($E204&lt;INDEX(_xlfn.ANCHORARRAY(Sintesi!$C$16),1,$C204))*(INDEX(_xlfn.ANCHORARRAY(Sintesi!$C$15),1,$C204)&gt;0),2,IF($E204=(INDEX(_xlfn.ANCHORARRAY(Sintesi!$C$16),1,$C204)),3,4)))),0)),IF(ISNUMBER($E203),IF($C204&gt;0,IF(($E204=INDEX(_xlfn.ANCHORARRAY(Sintesi!$C$14),1,$C204))*(INDEX(_xlfn.ANCHORARRAY(Sintesi!$C$15),1,$C204)&gt;0),0,IF(($E204=INDEX(_xlfn.ANCHORARRAY(Sintesi!$C$14),1,$C204))*(INDEX(_xlfn.ANCHORARRAY(Sintesi!$C$15),1,$C204)&lt;0)+($E204&gt;=$E203)*($E204&lt;=$E205)*($E204&gt;INDEX(_xlfn.ANCHORARRAY(Sintesi!$C$14),1,$C204))*($E204&lt;=INDEX(_xlfn.ANCHORARRAY(Sintesi!$C$15),1,$C204))*(INDEX(_xlfn.ANCHORARRAY(Sintesi!$C$15),1,$C204)&gt;0),1,IF(($E204&gt;=$E203)*($E204&lt;=$E205)*($E204&gt;INDEX(_xlfn.ANCHORARRAY(Sintesi!$C$14),1,$C204))*($E204&lt;INDEX(_xlfn.ANCHORARRAY(Sintesi!$C$16),1,$C204))*(INDEX(_xlfn.ANCHORARRAY(Sintesi!$C$15),1,$C204)&lt;0)+($E204&gt;=$E203)*($E204&lt;=$E205)*($E204&gt;INDEX(_xlfn.ANCHORARRAY(Sintesi!$C$15),1,$C204))*($E204&lt;INDEX(_xlfn.ANCHORARRAY(Sintesi!$C$16),1,$C204))*(INDEX(_xlfn.ANCHORARRAY(Sintesi!$C$15),1,$C204)&gt;0),2,IF($E204=(INDEX(_xlfn.ANCHORARRAY(Sintesi!$C$16),1,$C204)),3,4)))),0),IF($C204&gt;0,IF(($E204=INDEX(_xlfn.ANCHORARRAY(Sintesi!$C$14),1,$C204))*(INDEX(_xlfn.ANCHORARRAY(Sintesi!$C$15),1,$C204)&gt;0),0,IF(($E204=INDEX(_xlfn.ANCHORARRAY(Sintesi!$C$14),1,$C204))*(INDEX(_xlfn.ANCHORARRAY(Sintesi!$C$15),1,$C204)&lt;0)+($E204&gt;=LOOKUP(2,1/($E:$E&lt;&gt;""),$E:$E))*($E204&lt;=$E205)*($E204&gt;INDEX(_xlfn.ANCHORARRAY(Sintesi!$C$14),1,$C204))*($E204&lt;=INDEX(_xlfn.ANCHORARRAY(Sintesi!$C$15),1,$C204))*(INDEX(_xlfn.ANCHORARRAY(Sintesi!$C$15),1,$C204)&gt;0),1,IF(($E204&gt;=LOOKUP(2,1/($E:$E&lt;&gt;""),$E:$E))*($E204&lt;=$E205)*($E204&gt;INDEX(_xlfn.ANCHORARRAY(Sintesi!$C$14),1,$C204))*($E204&lt;INDEX(_xlfn.ANCHORARRAY(Sintesi!$C$16),1,$C204))*(INDEX(_xlfn.ANCHORARRAY(Sintesi!$C$15),1,$C204)&lt;0)+($E204&gt;=LOOKUP(2,1/($E:$E&lt;&gt;""),$E:$E))*($E204&lt;=$E205)*($E204&gt;INDEX(_xlfn.ANCHORARRAY(Sintesi!$C$15),1,$C204))*($E204&lt;INDEX(_xlfn.ANCHORARRAY(Sintesi!$C$16),1,$C204))*(INDEX(_xlfn.ANCHORARRAY(Sintesi!$C$15),1,$C204)&gt;0),2,IF($E204=(INDEX(_xlfn.ANCHORARRAY(Sintesi!$C$16),1,$C204)),3,4)))),0)))</f>
        <v>3</v>
      </c>
      <c r="E204" s="1">
        <f>'Paste cell here'!F204</f>
        <v>1.0469999999999999</v>
      </c>
      <c r="F204" s="1">
        <f>'Paste cell here'!C204</f>
        <v>32.759999999999529</v>
      </c>
      <c r="G204" s="1">
        <f>'Paste cell here'!D204</f>
        <v>23.079999999999707</v>
      </c>
      <c r="H204" s="1">
        <f>'Paste cell here'!E204</f>
        <v>5.7715217900079727</v>
      </c>
      <c r="I204" s="1">
        <f>'Paste cell here'!X204</f>
        <v>6.0424588070350627</v>
      </c>
      <c r="J204" s="1">
        <f>'Paste cell here'!Y204+'Paste cell here'!S204</f>
        <v>6.0424588070350627</v>
      </c>
      <c r="K204" s="1">
        <f t="shared" si="6"/>
        <v>1.0469437744298487</v>
      </c>
      <c r="L204" s="1">
        <f t="shared" si="7"/>
        <v>29.617877006212769</v>
      </c>
      <c r="M204" s="1">
        <f t="array" ref="M204">IF(AND(A204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204&gt;=_xlfn.ANCHORARRAY(Sintesi!$C$9))+(_xlfn.ANCHORARRAY(Sintesi!$C$9)&gt;_xlfn.ANCHORARRAY(Sintesi!$C$10))*(A204&lt;=_xlfn.ANCHORARRAY(Sintesi!$C$10))+(_xlfn.ANCHORARRAY(Sintesi!$C$9)&lt;_xlfn.ANCHORARRAY(Sintesi!$C$10))*(A204&gt;=_xlfn.ANCHORARRAY(Sintesi!$C$9))*(A204&lt;=_xlfn.ANCHORARRAY(Sintesi!$C$10)),0)),0),A204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205&gt;=_xlfn.ANCHORARRAY(Sintesi!$C$9))+(_xlfn.ANCHORARRAY(Sintesi!$C$9)&gt;_xlfn.ANCHORARRAY(Sintesi!$C$10))*(A205&lt;=_xlfn.ANCHORARRAY(Sintesi!$C$10))+(_xlfn.ANCHORARRAY(Sintesi!$C$9)&lt;_xlfn.ANCHORARRAY(Sintesi!$C$10))*(A205&gt;=_xlfn.ANCHORARRAY(Sintesi!$C$9))*(A205&lt;=_xlfn.ANCHORARRAY(Sintesi!$C$10)),0)),0)),IF(L204&lt;_xlfn.IFNA(INDEX(_xlfn.ANCHORARRAY(Sintesi!$C$17),1,MATCH(1,(_xlfn.ANCHORARRAY(Sintesi!$C$9)&gt;_xlfn.ANCHORARRAY(Sintesi!$C$10))*(A203&gt;=_xlfn.ANCHORARRAY(Sintesi!$C$9))+(_xlfn.ANCHORARRAY(Sintesi!$C$9)&gt;_xlfn.ANCHORARRAY(Sintesi!$C$10))*(A203&lt;=_xlfn.ANCHORARRAY(Sintesi!$C$10))+(_xlfn.ANCHORARRAY(Sintesi!$C$9)&lt;_xlfn.ANCHORARRAY(Sintesi!$C$10))*(A203&gt;=_xlfn.ANCHORARRAY(Sintesi!$C$9))*(A203&lt;=_xlfn.ANCHORARRAY(Sintesi!$C$10)),0)),0),1,IF(L204&gt;=_xlfn.IFNA(INDEX(_xlfn.ANCHORARRAY(Sintesi!$C$18),1,MATCH(1,(_xlfn.ANCHORARRAY(Sintesi!$C$9)&gt;_xlfn.ANCHORARRAY(Sintesi!$C$10))*(A203&gt;=_xlfn.ANCHORARRAY(Sintesi!$C$9))+(_xlfn.ANCHORARRAY(Sintesi!$C$9)&gt;_xlfn.ANCHORARRAY(Sintesi!$C$10))*(A203&lt;=_xlfn.ANCHORARRAY(Sintesi!$C$10))+(_xlfn.ANCHORARRAY(Sintesi!$C$9)&lt;_xlfn.ANCHORARRAY(Sintesi!$C$10))*(A203&gt;=_xlfn.ANCHORARRAY(Sintesi!$C$9))*(A203&lt;=_xlfn.ANCHORARRAY(Sintesi!$C$10)),0)),0),0,1-(L204-_xlfn.IFNA(INDEX(_xlfn.ANCHORARRAY(Sintesi!$C$17),1,MATCH(1,(_xlfn.ANCHORARRAY(Sintesi!$C$9)&gt;_xlfn.ANCHORARRAY(Sintesi!$C$10))*(A203&gt;=_xlfn.ANCHORARRAY(Sintesi!$C$9))+(_xlfn.ANCHORARRAY(Sintesi!$C$9)&gt;_xlfn.ANCHORARRAY(Sintesi!$C$10))*(A203&lt;=_xlfn.ANCHORARRAY(Sintesi!$C$10))+(_xlfn.ANCHORARRAY(Sintesi!$C$9)&lt;_xlfn.ANCHORARRAY(Sintesi!$C$10))*(A203&gt;=_xlfn.ANCHORARRAY(Sintesi!$C$9))*(A203&lt;=_xlfn.ANCHORARRAY(Sintesi!$C$10)),0)),0))/(_xlfn.IFNA(INDEX(_xlfn.ANCHORARRAY(Sintesi!$C$18),1,MATCH(1,(_xlfn.ANCHORARRAY(Sintesi!$C$9)&gt;_xlfn.ANCHORARRAY(Sintesi!$C$10))*(A203&gt;=_xlfn.ANCHORARRAY(Sintesi!$C$9))+(_xlfn.ANCHORARRAY(Sintesi!$C$9)&gt;_xlfn.ANCHORARRAY(Sintesi!$C$10))*(A203&lt;=_xlfn.ANCHORARRAY(Sintesi!$C$10))+(_xlfn.ANCHORARRAY(Sintesi!$C$9)&lt;_xlfn.ANCHORARRAY(Sintesi!$C$10))*(A203&gt;=_xlfn.ANCHORARRAY(Sintesi!$C$9))*(A203&lt;=_xlfn.ANCHORARRAY(Sintesi!$C$10)),0)),0)-_xlfn.IFNA(INDEX(_xlfn.ANCHORARRAY(Sintesi!$C$17),1,MATCH(1,(_xlfn.ANCHORARRAY(Sintesi!$C$9)&gt;_xlfn.ANCHORARRAY(Sintesi!$C$10))*(A203&gt;=_xlfn.ANCHORARRAY(Sintesi!$C$9))+(_xlfn.ANCHORARRAY(Sintesi!$C$9)&gt;_xlfn.ANCHORARRAY(Sintesi!$C$10))*(A203&lt;=_xlfn.ANCHORARRAY(Sintesi!$C$10))+(_xlfn.ANCHORARRAY(Sintesi!$C$9)&lt;_xlfn.ANCHORARRAY(Sintesi!$C$10))*(A203&gt;=_xlfn.ANCHORARRAY(Sintesi!$C$9))*(A203&lt;=_xlfn.ANCHORARRAY(Sintesi!$C$10)),0)),0)))),0)</f>
        <v>1</v>
      </c>
    </row>
    <row r="205" spans="1:13">
      <c r="A205" s="1">
        <f>'Paste cell here'!A205</f>
        <v>204</v>
      </c>
      <c r="B205" s="2">
        <f>DATE(Sintesi!$C$4-1,12,31)+A205</f>
        <v>44400</v>
      </c>
      <c r="C205" s="34">
        <f t="array" ref="C205">_xlfn.IFNA(MATCH(1,((_xlfn.ANCHORARRAY(Sintesi!$C$9)&gt;_xlfn.ANCHORARRAY(Sintesi!$C$10))*(A205&gt;=_xlfn.ANCHORARRAY(Sintesi!$C$9))+(_xlfn.ANCHORARRAY(Sintesi!$C$9)&gt;_xlfn.ANCHORARRAY(Sintesi!$C$10))*(A205&lt;=_xlfn.ANCHORARRAY(Sintesi!$C$10))+(_xlfn.ANCHORARRAY(Sintesi!$C$9)&lt;_xlfn.ANCHORARRAY(Sintesi!$C$10))*(A205&gt;=_xlfn.ANCHORARRAY(Sintesi!$C$9))*(A205&lt;=_xlfn.ANCHORARRAY(Sintesi!$C$10)))*(_xlfn.ANCHORARRAY(Sintesi!$C$15)&gt;=0)+(_xlfn.ANCHORARRAY(Sintesi!$C$15)&lt;0),0),0)</f>
        <v>1</v>
      </c>
      <c r="D205" s="1">
        <f t="array" ref="D205">IF(ISBLANK($E206),IF(ISNUMBER($E204),IF($C205&gt;0,IF(($E205=INDEX(_xlfn.ANCHORARRAY(Sintesi!$C$14),1,$C205))*(INDEX(_xlfn.ANCHORARRAY(Sintesi!$C$15),1,$C205)&gt;0),0,IF(($E205=INDEX(_xlfn.ANCHORARRAY(Sintesi!$C$14),1,$C205))*(INDEX(_xlfn.ANCHORARRAY(Sintesi!$C$15),1,$C205)&lt;0)+($E205&gt;=$E204)*($E205&lt;=INDEX($E:$E,MATCH(TRUE,INDEX((ISNUMBER($E:$E)),0),0)))*($E205&gt;INDEX(_xlfn.ANCHORARRAY(Sintesi!$C$14),1,$C205))*($E205&lt;=INDEX(_xlfn.ANCHORARRAY(Sintesi!$C$15),1,$C205))*(INDEX(_xlfn.ANCHORARRAY(Sintesi!$C$15),1,$C205)&gt;0),1,IF(($E205&gt;=$E204)*($E205&lt;=INDEX($E:$E,MATCH(TRUE,INDEX((ISNUMBER($E:$E)),0),0)))*($E205&gt;INDEX(_xlfn.ANCHORARRAY(Sintesi!$C$14),1,$C205))*($E205&lt;INDEX(_xlfn.ANCHORARRAY(Sintesi!$C$16),1,$C205))*(INDEX(_xlfn.ANCHORARRAY(Sintesi!$C$15),1,$C205)&lt;0)+($E205&gt;=$E204)*($E205&lt;=INDEX($E:$E,MATCH(TRUE,INDEX((ISNUMBER($E:$E)),0),0)))*($E205&gt;INDEX(_xlfn.ANCHORARRAY(Sintesi!$C$15),1,$C205))*($E205&lt;INDEX(_xlfn.ANCHORARRAY(Sintesi!$C$16),1,$C205))*(INDEX(_xlfn.ANCHORARRAY(Sintesi!$C$15),1,$C205)&gt;0),2,IF($E205=(INDEX(_xlfn.ANCHORARRAY(Sintesi!$C$16),1,$C205)),3,4)))),0),IF($C205&gt;0,IF(($E205=INDEX(_xlfn.ANCHORARRAY(Sintesi!$C$14),1,$C205))*(INDEX(_xlfn.ANCHORARRAY(Sintesi!$C$15),1,$C205)&gt;0),0,IF(($E205=INDEX(_xlfn.ANCHORARRAY(Sintesi!$C$14),1,$C205))*(INDEX(_xlfn.ANCHORARRAY(Sintesi!$C$15),1,$C205)&lt;0)+($E205&gt;=LOOKUP(2,1/($E:$E&lt;&gt;""),$E:$E))*($E205&lt;=INDEX($E:$E,MATCH(TRUE,INDEX((ISNUMBER($E:$E)),0),0)))*($E205&gt;INDEX(_xlfn.ANCHORARRAY(Sintesi!$C$14),1,$C205))*($E205&lt;=INDEX(_xlfn.ANCHORARRAY(Sintesi!$C$15),1,$C205))*(INDEX(_xlfn.ANCHORARRAY(Sintesi!$C$15),1,$C205)&gt;0),1,IF(($E205&gt;=LOOKUP(2,1/($E:$E&lt;&gt;""),$E:$E))*($E205&lt;=INDEX($E:$E,MATCH(TRUE,INDEX((ISNUMBER($E:$E)),0),0)))*($E205&gt;INDEX(_xlfn.ANCHORARRAY(Sintesi!$C$14),1,$C205))*($E205&lt;INDEX(_xlfn.ANCHORARRAY(Sintesi!$C$16),1,$C205))*(INDEX(_xlfn.ANCHORARRAY(Sintesi!$C$15),1,$C205)&lt;0)+($E205&gt;=LOOKUP(2,1/($E:$E&lt;&gt;""),$E:$E))*($E205&lt;=INDEX($E:$E,MATCH(TRUE,INDEX((ISNUMBER($E:$E)),0),0)))*($E205&gt;INDEX(_xlfn.ANCHORARRAY(Sintesi!$C$15),1,$C205))*($E205&lt;INDEX(_xlfn.ANCHORARRAY(Sintesi!$C$16),1,$C205))*(INDEX(_xlfn.ANCHORARRAY(Sintesi!$C$15),1,$C205)&gt;0),2,IF($E205=(INDEX(_xlfn.ANCHORARRAY(Sintesi!$C$16),1,$C205)),3,4)))),0)),IF(ISNUMBER($E204),IF($C205&gt;0,IF(($E205=INDEX(_xlfn.ANCHORARRAY(Sintesi!$C$14),1,$C205))*(INDEX(_xlfn.ANCHORARRAY(Sintesi!$C$15),1,$C205)&gt;0),0,IF(($E205=INDEX(_xlfn.ANCHORARRAY(Sintesi!$C$14),1,$C205))*(INDEX(_xlfn.ANCHORARRAY(Sintesi!$C$15),1,$C205)&lt;0)+($E205&gt;=$E204)*($E205&lt;=$E206)*($E205&gt;INDEX(_xlfn.ANCHORARRAY(Sintesi!$C$14),1,$C205))*($E205&lt;=INDEX(_xlfn.ANCHORARRAY(Sintesi!$C$15),1,$C205))*(INDEX(_xlfn.ANCHORARRAY(Sintesi!$C$15),1,$C205)&gt;0),1,IF(($E205&gt;=$E204)*($E205&lt;=$E206)*($E205&gt;INDEX(_xlfn.ANCHORARRAY(Sintesi!$C$14),1,$C205))*($E205&lt;INDEX(_xlfn.ANCHORARRAY(Sintesi!$C$16),1,$C205))*(INDEX(_xlfn.ANCHORARRAY(Sintesi!$C$15),1,$C205)&lt;0)+($E205&gt;=$E204)*($E205&lt;=$E206)*($E205&gt;INDEX(_xlfn.ANCHORARRAY(Sintesi!$C$15),1,$C205))*($E205&lt;INDEX(_xlfn.ANCHORARRAY(Sintesi!$C$16),1,$C205))*(INDEX(_xlfn.ANCHORARRAY(Sintesi!$C$15),1,$C205)&gt;0),2,IF($E205=(INDEX(_xlfn.ANCHORARRAY(Sintesi!$C$16),1,$C205)),3,4)))),0),IF($C205&gt;0,IF(($E205=INDEX(_xlfn.ANCHORARRAY(Sintesi!$C$14),1,$C205))*(INDEX(_xlfn.ANCHORARRAY(Sintesi!$C$15),1,$C205)&gt;0),0,IF(($E205=INDEX(_xlfn.ANCHORARRAY(Sintesi!$C$14),1,$C205))*(INDEX(_xlfn.ANCHORARRAY(Sintesi!$C$15),1,$C205)&lt;0)+($E205&gt;=LOOKUP(2,1/($E:$E&lt;&gt;""),$E:$E))*($E205&lt;=$E206)*($E205&gt;INDEX(_xlfn.ANCHORARRAY(Sintesi!$C$14),1,$C205))*($E205&lt;=INDEX(_xlfn.ANCHORARRAY(Sintesi!$C$15),1,$C205))*(INDEX(_xlfn.ANCHORARRAY(Sintesi!$C$15),1,$C205)&gt;0),1,IF(($E205&gt;=LOOKUP(2,1/($E:$E&lt;&gt;""),$E:$E))*($E205&lt;=$E206)*($E205&gt;INDEX(_xlfn.ANCHORARRAY(Sintesi!$C$14),1,$C205))*($E205&lt;INDEX(_xlfn.ANCHORARRAY(Sintesi!$C$16),1,$C205))*(INDEX(_xlfn.ANCHORARRAY(Sintesi!$C$15),1,$C205)&lt;0)+($E205&gt;=LOOKUP(2,1/($E:$E&lt;&gt;""),$E:$E))*($E205&lt;=$E206)*($E205&gt;INDEX(_xlfn.ANCHORARRAY(Sintesi!$C$15),1,$C205))*($E205&lt;INDEX(_xlfn.ANCHORARRAY(Sintesi!$C$16),1,$C205))*(INDEX(_xlfn.ANCHORARRAY(Sintesi!$C$15),1,$C205)&gt;0),2,IF($E205=(INDEX(_xlfn.ANCHORARRAY(Sintesi!$C$16),1,$C205)),3,4)))),0)))</f>
        <v>3</v>
      </c>
      <c r="E205" s="1">
        <f>'Paste cell here'!F205</f>
        <v>1.0469999999999999</v>
      </c>
      <c r="F205" s="1">
        <f>'Paste cell here'!C205</f>
        <v>32.739999999999533</v>
      </c>
      <c r="G205" s="1">
        <f>'Paste cell here'!D205</f>
        <v>20.419999999999725</v>
      </c>
      <c r="H205" s="1">
        <f>'Paste cell here'!E205</f>
        <v>5.4247144379745382</v>
      </c>
      <c r="I205" s="1">
        <f>'Paste cell here'!X205</f>
        <v>5.6793830354818313</v>
      </c>
      <c r="J205" s="1">
        <f>'Paste cell here'!Y205+'Paste cell here'!S205</f>
        <v>5.6793830354818313</v>
      </c>
      <c r="K205" s="1">
        <f t="shared" si="6"/>
        <v>1.0469459914285149</v>
      </c>
      <c r="L205" s="1">
        <f t="shared" si="7"/>
        <v>28.740934371543641</v>
      </c>
      <c r="M205" s="1">
        <f t="array" ref="M205">IF(AND(A205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205&gt;=_xlfn.ANCHORARRAY(Sintesi!$C$9))+(_xlfn.ANCHORARRAY(Sintesi!$C$9)&gt;_xlfn.ANCHORARRAY(Sintesi!$C$10))*(A205&lt;=_xlfn.ANCHORARRAY(Sintesi!$C$10))+(_xlfn.ANCHORARRAY(Sintesi!$C$9)&lt;_xlfn.ANCHORARRAY(Sintesi!$C$10))*(A205&gt;=_xlfn.ANCHORARRAY(Sintesi!$C$9))*(A205&lt;=_xlfn.ANCHORARRAY(Sintesi!$C$10)),0)),0),A205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206&gt;=_xlfn.ANCHORARRAY(Sintesi!$C$9))+(_xlfn.ANCHORARRAY(Sintesi!$C$9)&gt;_xlfn.ANCHORARRAY(Sintesi!$C$10))*(A206&lt;=_xlfn.ANCHORARRAY(Sintesi!$C$10))+(_xlfn.ANCHORARRAY(Sintesi!$C$9)&lt;_xlfn.ANCHORARRAY(Sintesi!$C$10))*(A206&gt;=_xlfn.ANCHORARRAY(Sintesi!$C$9))*(A206&lt;=_xlfn.ANCHORARRAY(Sintesi!$C$10)),0)),0)),IF(L205&lt;_xlfn.IFNA(INDEX(_xlfn.ANCHORARRAY(Sintesi!$C$17),1,MATCH(1,(_xlfn.ANCHORARRAY(Sintesi!$C$9)&gt;_xlfn.ANCHORARRAY(Sintesi!$C$10))*(A204&gt;=_xlfn.ANCHORARRAY(Sintesi!$C$9))+(_xlfn.ANCHORARRAY(Sintesi!$C$9)&gt;_xlfn.ANCHORARRAY(Sintesi!$C$10))*(A204&lt;=_xlfn.ANCHORARRAY(Sintesi!$C$10))+(_xlfn.ANCHORARRAY(Sintesi!$C$9)&lt;_xlfn.ANCHORARRAY(Sintesi!$C$10))*(A204&gt;=_xlfn.ANCHORARRAY(Sintesi!$C$9))*(A204&lt;=_xlfn.ANCHORARRAY(Sintesi!$C$10)),0)),0),1,IF(L205&gt;=_xlfn.IFNA(INDEX(_xlfn.ANCHORARRAY(Sintesi!$C$18),1,MATCH(1,(_xlfn.ANCHORARRAY(Sintesi!$C$9)&gt;_xlfn.ANCHORARRAY(Sintesi!$C$10))*(A204&gt;=_xlfn.ANCHORARRAY(Sintesi!$C$9))+(_xlfn.ANCHORARRAY(Sintesi!$C$9)&gt;_xlfn.ANCHORARRAY(Sintesi!$C$10))*(A204&lt;=_xlfn.ANCHORARRAY(Sintesi!$C$10))+(_xlfn.ANCHORARRAY(Sintesi!$C$9)&lt;_xlfn.ANCHORARRAY(Sintesi!$C$10))*(A204&gt;=_xlfn.ANCHORARRAY(Sintesi!$C$9))*(A204&lt;=_xlfn.ANCHORARRAY(Sintesi!$C$10)),0)),0),0,1-(L205-_xlfn.IFNA(INDEX(_xlfn.ANCHORARRAY(Sintesi!$C$17),1,MATCH(1,(_xlfn.ANCHORARRAY(Sintesi!$C$9)&gt;_xlfn.ANCHORARRAY(Sintesi!$C$10))*(A204&gt;=_xlfn.ANCHORARRAY(Sintesi!$C$9))+(_xlfn.ANCHORARRAY(Sintesi!$C$9)&gt;_xlfn.ANCHORARRAY(Sintesi!$C$10))*(A204&lt;=_xlfn.ANCHORARRAY(Sintesi!$C$10))+(_xlfn.ANCHORARRAY(Sintesi!$C$9)&lt;_xlfn.ANCHORARRAY(Sintesi!$C$10))*(A204&gt;=_xlfn.ANCHORARRAY(Sintesi!$C$9))*(A204&lt;=_xlfn.ANCHORARRAY(Sintesi!$C$10)),0)),0))/(_xlfn.IFNA(INDEX(_xlfn.ANCHORARRAY(Sintesi!$C$18),1,MATCH(1,(_xlfn.ANCHORARRAY(Sintesi!$C$9)&gt;_xlfn.ANCHORARRAY(Sintesi!$C$10))*(A204&gt;=_xlfn.ANCHORARRAY(Sintesi!$C$9))+(_xlfn.ANCHORARRAY(Sintesi!$C$9)&gt;_xlfn.ANCHORARRAY(Sintesi!$C$10))*(A204&lt;=_xlfn.ANCHORARRAY(Sintesi!$C$10))+(_xlfn.ANCHORARRAY(Sintesi!$C$9)&lt;_xlfn.ANCHORARRAY(Sintesi!$C$10))*(A204&gt;=_xlfn.ANCHORARRAY(Sintesi!$C$9))*(A204&lt;=_xlfn.ANCHORARRAY(Sintesi!$C$10)),0)),0)-_xlfn.IFNA(INDEX(_xlfn.ANCHORARRAY(Sintesi!$C$17),1,MATCH(1,(_xlfn.ANCHORARRAY(Sintesi!$C$9)&gt;_xlfn.ANCHORARRAY(Sintesi!$C$10))*(A204&gt;=_xlfn.ANCHORARRAY(Sintesi!$C$9))+(_xlfn.ANCHORARRAY(Sintesi!$C$9)&gt;_xlfn.ANCHORARRAY(Sintesi!$C$10))*(A204&lt;=_xlfn.ANCHORARRAY(Sintesi!$C$10))+(_xlfn.ANCHORARRAY(Sintesi!$C$9)&lt;_xlfn.ANCHORARRAY(Sintesi!$C$10))*(A204&gt;=_xlfn.ANCHORARRAY(Sintesi!$C$9))*(A204&lt;=_xlfn.ANCHORARRAY(Sintesi!$C$10)),0)),0)))),0)</f>
        <v>1</v>
      </c>
    </row>
    <row r="206" spans="1:13">
      <c r="A206" s="1">
        <f>'Paste cell here'!A206</f>
        <v>205</v>
      </c>
      <c r="B206" s="2">
        <f>DATE(Sintesi!$C$4-1,12,31)+A206</f>
        <v>44401</v>
      </c>
      <c r="C206" s="34">
        <f t="array" ref="C206">_xlfn.IFNA(MATCH(1,((_xlfn.ANCHORARRAY(Sintesi!$C$9)&gt;_xlfn.ANCHORARRAY(Sintesi!$C$10))*(A206&gt;=_xlfn.ANCHORARRAY(Sintesi!$C$9))+(_xlfn.ANCHORARRAY(Sintesi!$C$9)&gt;_xlfn.ANCHORARRAY(Sintesi!$C$10))*(A206&lt;=_xlfn.ANCHORARRAY(Sintesi!$C$10))+(_xlfn.ANCHORARRAY(Sintesi!$C$9)&lt;_xlfn.ANCHORARRAY(Sintesi!$C$10))*(A206&gt;=_xlfn.ANCHORARRAY(Sintesi!$C$9))*(A206&lt;=_xlfn.ANCHORARRAY(Sintesi!$C$10)))*(_xlfn.ANCHORARRAY(Sintesi!$C$15)&gt;=0)+(_xlfn.ANCHORARRAY(Sintesi!$C$15)&lt;0),0),0)</f>
        <v>1</v>
      </c>
      <c r="D206" s="1">
        <f t="array" ref="D206">IF(ISBLANK($E207),IF(ISNUMBER($E205),IF($C206&gt;0,IF(($E206=INDEX(_xlfn.ANCHORARRAY(Sintesi!$C$14),1,$C206))*(INDEX(_xlfn.ANCHORARRAY(Sintesi!$C$15),1,$C206)&gt;0),0,IF(($E206=INDEX(_xlfn.ANCHORARRAY(Sintesi!$C$14),1,$C206))*(INDEX(_xlfn.ANCHORARRAY(Sintesi!$C$15),1,$C206)&lt;0)+($E206&gt;=$E205)*($E206&lt;=INDEX($E:$E,MATCH(TRUE,INDEX((ISNUMBER($E:$E)),0),0)))*($E206&gt;INDEX(_xlfn.ANCHORARRAY(Sintesi!$C$14),1,$C206))*($E206&lt;=INDEX(_xlfn.ANCHORARRAY(Sintesi!$C$15),1,$C206))*(INDEX(_xlfn.ANCHORARRAY(Sintesi!$C$15),1,$C206)&gt;0),1,IF(($E206&gt;=$E205)*($E206&lt;=INDEX($E:$E,MATCH(TRUE,INDEX((ISNUMBER($E:$E)),0),0)))*($E206&gt;INDEX(_xlfn.ANCHORARRAY(Sintesi!$C$14),1,$C206))*($E206&lt;INDEX(_xlfn.ANCHORARRAY(Sintesi!$C$16),1,$C206))*(INDEX(_xlfn.ANCHORARRAY(Sintesi!$C$15),1,$C206)&lt;0)+($E206&gt;=$E205)*($E206&lt;=INDEX($E:$E,MATCH(TRUE,INDEX((ISNUMBER($E:$E)),0),0)))*($E206&gt;INDEX(_xlfn.ANCHORARRAY(Sintesi!$C$15),1,$C206))*($E206&lt;INDEX(_xlfn.ANCHORARRAY(Sintesi!$C$16),1,$C206))*(INDEX(_xlfn.ANCHORARRAY(Sintesi!$C$15),1,$C206)&gt;0),2,IF($E206=(INDEX(_xlfn.ANCHORARRAY(Sintesi!$C$16),1,$C206)),3,4)))),0),IF($C206&gt;0,IF(($E206=INDEX(_xlfn.ANCHORARRAY(Sintesi!$C$14),1,$C206))*(INDEX(_xlfn.ANCHORARRAY(Sintesi!$C$15),1,$C206)&gt;0),0,IF(($E206=INDEX(_xlfn.ANCHORARRAY(Sintesi!$C$14),1,$C206))*(INDEX(_xlfn.ANCHORARRAY(Sintesi!$C$15),1,$C206)&lt;0)+($E206&gt;=LOOKUP(2,1/($E:$E&lt;&gt;""),$E:$E))*($E206&lt;=INDEX($E:$E,MATCH(TRUE,INDEX((ISNUMBER($E:$E)),0),0)))*($E206&gt;INDEX(_xlfn.ANCHORARRAY(Sintesi!$C$14),1,$C206))*($E206&lt;=INDEX(_xlfn.ANCHORARRAY(Sintesi!$C$15),1,$C206))*(INDEX(_xlfn.ANCHORARRAY(Sintesi!$C$15),1,$C206)&gt;0),1,IF(($E206&gt;=LOOKUP(2,1/($E:$E&lt;&gt;""),$E:$E))*($E206&lt;=INDEX($E:$E,MATCH(TRUE,INDEX((ISNUMBER($E:$E)),0),0)))*($E206&gt;INDEX(_xlfn.ANCHORARRAY(Sintesi!$C$14),1,$C206))*($E206&lt;INDEX(_xlfn.ANCHORARRAY(Sintesi!$C$16),1,$C206))*(INDEX(_xlfn.ANCHORARRAY(Sintesi!$C$15),1,$C206)&lt;0)+($E206&gt;=LOOKUP(2,1/($E:$E&lt;&gt;""),$E:$E))*($E206&lt;=INDEX($E:$E,MATCH(TRUE,INDEX((ISNUMBER($E:$E)),0),0)))*($E206&gt;INDEX(_xlfn.ANCHORARRAY(Sintesi!$C$15),1,$C206))*($E206&lt;INDEX(_xlfn.ANCHORARRAY(Sintesi!$C$16),1,$C206))*(INDEX(_xlfn.ANCHORARRAY(Sintesi!$C$15),1,$C206)&gt;0),2,IF($E206=(INDEX(_xlfn.ANCHORARRAY(Sintesi!$C$16),1,$C206)),3,4)))),0)),IF(ISNUMBER($E205),IF($C206&gt;0,IF(($E206=INDEX(_xlfn.ANCHORARRAY(Sintesi!$C$14),1,$C206))*(INDEX(_xlfn.ANCHORARRAY(Sintesi!$C$15),1,$C206)&gt;0),0,IF(($E206=INDEX(_xlfn.ANCHORARRAY(Sintesi!$C$14),1,$C206))*(INDEX(_xlfn.ANCHORARRAY(Sintesi!$C$15),1,$C206)&lt;0)+($E206&gt;=$E205)*($E206&lt;=$E207)*($E206&gt;INDEX(_xlfn.ANCHORARRAY(Sintesi!$C$14),1,$C206))*($E206&lt;=INDEX(_xlfn.ANCHORARRAY(Sintesi!$C$15),1,$C206))*(INDEX(_xlfn.ANCHORARRAY(Sintesi!$C$15),1,$C206)&gt;0),1,IF(($E206&gt;=$E205)*($E206&lt;=$E207)*($E206&gt;INDEX(_xlfn.ANCHORARRAY(Sintesi!$C$14),1,$C206))*($E206&lt;INDEX(_xlfn.ANCHORARRAY(Sintesi!$C$16),1,$C206))*(INDEX(_xlfn.ANCHORARRAY(Sintesi!$C$15),1,$C206)&lt;0)+($E206&gt;=$E205)*($E206&lt;=$E207)*($E206&gt;INDEX(_xlfn.ANCHORARRAY(Sintesi!$C$15),1,$C206))*($E206&lt;INDEX(_xlfn.ANCHORARRAY(Sintesi!$C$16),1,$C206))*(INDEX(_xlfn.ANCHORARRAY(Sintesi!$C$15),1,$C206)&gt;0),2,IF($E206=(INDEX(_xlfn.ANCHORARRAY(Sintesi!$C$16),1,$C206)),3,4)))),0),IF($C206&gt;0,IF(($E206=INDEX(_xlfn.ANCHORARRAY(Sintesi!$C$14),1,$C206))*(INDEX(_xlfn.ANCHORARRAY(Sintesi!$C$15),1,$C206)&gt;0),0,IF(($E206=INDEX(_xlfn.ANCHORARRAY(Sintesi!$C$14),1,$C206))*(INDEX(_xlfn.ANCHORARRAY(Sintesi!$C$15),1,$C206)&lt;0)+($E206&gt;=LOOKUP(2,1/($E:$E&lt;&gt;""),$E:$E))*($E206&lt;=$E207)*($E206&gt;INDEX(_xlfn.ANCHORARRAY(Sintesi!$C$14),1,$C206))*($E206&lt;=INDEX(_xlfn.ANCHORARRAY(Sintesi!$C$15),1,$C206))*(INDEX(_xlfn.ANCHORARRAY(Sintesi!$C$15),1,$C206)&gt;0),1,IF(($E206&gt;=LOOKUP(2,1/($E:$E&lt;&gt;""),$E:$E))*($E206&lt;=$E207)*($E206&gt;INDEX(_xlfn.ANCHORARRAY(Sintesi!$C$14),1,$C206))*($E206&lt;INDEX(_xlfn.ANCHORARRAY(Sintesi!$C$16),1,$C206))*(INDEX(_xlfn.ANCHORARRAY(Sintesi!$C$15),1,$C206)&lt;0)+($E206&gt;=LOOKUP(2,1/($E:$E&lt;&gt;""),$E:$E))*($E206&lt;=$E207)*($E206&gt;INDEX(_xlfn.ANCHORARRAY(Sintesi!$C$15),1,$C206))*($E206&lt;INDEX(_xlfn.ANCHORARRAY(Sintesi!$C$16),1,$C206))*(INDEX(_xlfn.ANCHORARRAY(Sintesi!$C$15),1,$C206)&gt;0),2,IF($E206=(INDEX(_xlfn.ANCHORARRAY(Sintesi!$C$16),1,$C206)),3,4)))),0)))</f>
        <v>3</v>
      </c>
      <c r="E206" s="1">
        <f>'Paste cell here'!F206</f>
        <v>1.0469999999999999</v>
      </c>
      <c r="F206" s="1">
        <f>'Paste cell here'!C206</f>
        <v>32.319999999999538</v>
      </c>
      <c r="G206" s="1">
        <f>'Paste cell here'!D206</f>
        <v>22.999999999999687</v>
      </c>
      <c r="H206" s="1">
        <f>'Paste cell here'!E206</f>
        <v>4.9948087609776151</v>
      </c>
      <c r="I206" s="1">
        <f>'Paste cell here'!X206</f>
        <v>5.2293059686782897</v>
      </c>
      <c r="J206" s="1">
        <f>'Paste cell here'!Y206+'Paste cell here'!S206</f>
        <v>5.2293059686782897</v>
      </c>
      <c r="K206" s="1">
        <f t="shared" si="6"/>
        <v>1.0469481853905409</v>
      </c>
      <c r="L206" s="1">
        <f t="shared" si="7"/>
        <v>29.294732820031289</v>
      </c>
      <c r="M206" s="1">
        <f t="array" ref="M206">IF(AND(A206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206&gt;=_xlfn.ANCHORARRAY(Sintesi!$C$9))+(_xlfn.ANCHORARRAY(Sintesi!$C$9)&gt;_xlfn.ANCHORARRAY(Sintesi!$C$10))*(A206&lt;=_xlfn.ANCHORARRAY(Sintesi!$C$10))+(_xlfn.ANCHORARRAY(Sintesi!$C$9)&lt;_xlfn.ANCHORARRAY(Sintesi!$C$10))*(A206&gt;=_xlfn.ANCHORARRAY(Sintesi!$C$9))*(A206&lt;=_xlfn.ANCHORARRAY(Sintesi!$C$10)),0)),0),A206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207&gt;=_xlfn.ANCHORARRAY(Sintesi!$C$9))+(_xlfn.ANCHORARRAY(Sintesi!$C$9)&gt;_xlfn.ANCHORARRAY(Sintesi!$C$10))*(A207&lt;=_xlfn.ANCHORARRAY(Sintesi!$C$10))+(_xlfn.ANCHORARRAY(Sintesi!$C$9)&lt;_xlfn.ANCHORARRAY(Sintesi!$C$10))*(A207&gt;=_xlfn.ANCHORARRAY(Sintesi!$C$9))*(A207&lt;=_xlfn.ANCHORARRAY(Sintesi!$C$10)),0)),0)),IF(L206&lt;_xlfn.IFNA(INDEX(_xlfn.ANCHORARRAY(Sintesi!$C$17),1,MATCH(1,(_xlfn.ANCHORARRAY(Sintesi!$C$9)&gt;_xlfn.ANCHORARRAY(Sintesi!$C$10))*(A205&gt;=_xlfn.ANCHORARRAY(Sintesi!$C$9))+(_xlfn.ANCHORARRAY(Sintesi!$C$9)&gt;_xlfn.ANCHORARRAY(Sintesi!$C$10))*(A205&lt;=_xlfn.ANCHORARRAY(Sintesi!$C$10))+(_xlfn.ANCHORARRAY(Sintesi!$C$9)&lt;_xlfn.ANCHORARRAY(Sintesi!$C$10))*(A205&gt;=_xlfn.ANCHORARRAY(Sintesi!$C$9))*(A205&lt;=_xlfn.ANCHORARRAY(Sintesi!$C$10)),0)),0),1,IF(L206&gt;=_xlfn.IFNA(INDEX(_xlfn.ANCHORARRAY(Sintesi!$C$18),1,MATCH(1,(_xlfn.ANCHORARRAY(Sintesi!$C$9)&gt;_xlfn.ANCHORARRAY(Sintesi!$C$10))*(A205&gt;=_xlfn.ANCHORARRAY(Sintesi!$C$9))+(_xlfn.ANCHORARRAY(Sintesi!$C$9)&gt;_xlfn.ANCHORARRAY(Sintesi!$C$10))*(A205&lt;=_xlfn.ANCHORARRAY(Sintesi!$C$10))+(_xlfn.ANCHORARRAY(Sintesi!$C$9)&lt;_xlfn.ANCHORARRAY(Sintesi!$C$10))*(A205&gt;=_xlfn.ANCHORARRAY(Sintesi!$C$9))*(A205&lt;=_xlfn.ANCHORARRAY(Sintesi!$C$10)),0)),0),0,1-(L206-_xlfn.IFNA(INDEX(_xlfn.ANCHORARRAY(Sintesi!$C$17),1,MATCH(1,(_xlfn.ANCHORARRAY(Sintesi!$C$9)&gt;_xlfn.ANCHORARRAY(Sintesi!$C$10))*(A205&gt;=_xlfn.ANCHORARRAY(Sintesi!$C$9))+(_xlfn.ANCHORARRAY(Sintesi!$C$9)&gt;_xlfn.ANCHORARRAY(Sintesi!$C$10))*(A205&lt;=_xlfn.ANCHORARRAY(Sintesi!$C$10))+(_xlfn.ANCHORARRAY(Sintesi!$C$9)&lt;_xlfn.ANCHORARRAY(Sintesi!$C$10))*(A205&gt;=_xlfn.ANCHORARRAY(Sintesi!$C$9))*(A205&lt;=_xlfn.ANCHORARRAY(Sintesi!$C$10)),0)),0))/(_xlfn.IFNA(INDEX(_xlfn.ANCHORARRAY(Sintesi!$C$18),1,MATCH(1,(_xlfn.ANCHORARRAY(Sintesi!$C$9)&gt;_xlfn.ANCHORARRAY(Sintesi!$C$10))*(A205&gt;=_xlfn.ANCHORARRAY(Sintesi!$C$9))+(_xlfn.ANCHORARRAY(Sintesi!$C$9)&gt;_xlfn.ANCHORARRAY(Sintesi!$C$10))*(A205&lt;=_xlfn.ANCHORARRAY(Sintesi!$C$10))+(_xlfn.ANCHORARRAY(Sintesi!$C$9)&lt;_xlfn.ANCHORARRAY(Sintesi!$C$10))*(A205&gt;=_xlfn.ANCHORARRAY(Sintesi!$C$9))*(A205&lt;=_xlfn.ANCHORARRAY(Sintesi!$C$10)),0)),0)-_xlfn.IFNA(INDEX(_xlfn.ANCHORARRAY(Sintesi!$C$17),1,MATCH(1,(_xlfn.ANCHORARRAY(Sintesi!$C$9)&gt;_xlfn.ANCHORARRAY(Sintesi!$C$10))*(A205&gt;=_xlfn.ANCHORARRAY(Sintesi!$C$9))+(_xlfn.ANCHORARRAY(Sintesi!$C$9)&gt;_xlfn.ANCHORARRAY(Sintesi!$C$10))*(A205&lt;=_xlfn.ANCHORARRAY(Sintesi!$C$10))+(_xlfn.ANCHORARRAY(Sintesi!$C$9)&lt;_xlfn.ANCHORARRAY(Sintesi!$C$10))*(A205&gt;=_xlfn.ANCHORARRAY(Sintesi!$C$9))*(A205&lt;=_xlfn.ANCHORARRAY(Sintesi!$C$10)),0)),0)))),0)</f>
        <v>1</v>
      </c>
    </row>
    <row r="207" spans="1:13">
      <c r="A207" s="1">
        <f>'Paste cell here'!A207</f>
        <v>206</v>
      </c>
      <c r="B207" s="2">
        <f>DATE(Sintesi!$C$4-1,12,31)+A207</f>
        <v>44402</v>
      </c>
      <c r="C207" s="34">
        <f t="array" ref="C207">_xlfn.IFNA(MATCH(1,((_xlfn.ANCHORARRAY(Sintesi!$C$9)&gt;_xlfn.ANCHORARRAY(Sintesi!$C$10))*(A207&gt;=_xlfn.ANCHORARRAY(Sintesi!$C$9))+(_xlfn.ANCHORARRAY(Sintesi!$C$9)&gt;_xlfn.ANCHORARRAY(Sintesi!$C$10))*(A207&lt;=_xlfn.ANCHORARRAY(Sintesi!$C$10))+(_xlfn.ANCHORARRAY(Sintesi!$C$9)&lt;_xlfn.ANCHORARRAY(Sintesi!$C$10))*(A207&gt;=_xlfn.ANCHORARRAY(Sintesi!$C$9))*(A207&lt;=_xlfn.ANCHORARRAY(Sintesi!$C$10)))*(_xlfn.ANCHORARRAY(Sintesi!$C$15)&gt;=0)+(_xlfn.ANCHORARRAY(Sintesi!$C$15)&lt;0),0),0)</f>
        <v>1</v>
      </c>
      <c r="D207" s="1">
        <f t="array" ref="D207">IF(ISBLANK($E208),IF(ISNUMBER($E206),IF($C207&gt;0,IF(($E207=INDEX(_xlfn.ANCHORARRAY(Sintesi!$C$14),1,$C207))*(INDEX(_xlfn.ANCHORARRAY(Sintesi!$C$15),1,$C207)&gt;0),0,IF(($E207=INDEX(_xlfn.ANCHORARRAY(Sintesi!$C$14),1,$C207))*(INDEX(_xlfn.ANCHORARRAY(Sintesi!$C$15),1,$C207)&lt;0)+($E207&gt;=$E206)*($E207&lt;=INDEX($E:$E,MATCH(TRUE,INDEX((ISNUMBER($E:$E)),0),0)))*($E207&gt;INDEX(_xlfn.ANCHORARRAY(Sintesi!$C$14),1,$C207))*($E207&lt;=INDEX(_xlfn.ANCHORARRAY(Sintesi!$C$15),1,$C207))*(INDEX(_xlfn.ANCHORARRAY(Sintesi!$C$15),1,$C207)&gt;0),1,IF(($E207&gt;=$E206)*($E207&lt;=INDEX($E:$E,MATCH(TRUE,INDEX((ISNUMBER($E:$E)),0),0)))*($E207&gt;INDEX(_xlfn.ANCHORARRAY(Sintesi!$C$14),1,$C207))*($E207&lt;INDEX(_xlfn.ANCHORARRAY(Sintesi!$C$16),1,$C207))*(INDEX(_xlfn.ANCHORARRAY(Sintesi!$C$15),1,$C207)&lt;0)+($E207&gt;=$E206)*($E207&lt;=INDEX($E:$E,MATCH(TRUE,INDEX((ISNUMBER($E:$E)),0),0)))*($E207&gt;INDEX(_xlfn.ANCHORARRAY(Sintesi!$C$15),1,$C207))*($E207&lt;INDEX(_xlfn.ANCHORARRAY(Sintesi!$C$16),1,$C207))*(INDEX(_xlfn.ANCHORARRAY(Sintesi!$C$15),1,$C207)&gt;0),2,IF($E207=(INDEX(_xlfn.ANCHORARRAY(Sintesi!$C$16),1,$C207)),3,4)))),0),IF($C207&gt;0,IF(($E207=INDEX(_xlfn.ANCHORARRAY(Sintesi!$C$14),1,$C207))*(INDEX(_xlfn.ANCHORARRAY(Sintesi!$C$15),1,$C207)&gt;0),0,IF(($E207=INDEX(_xlfn.ANCHORARRAY(Sintesi!$C$14),1,$C207))*(INDEX(_xlfn.ANCHORARRAY(Sintesi!$C$15),1,$C207)&lt;0)+($E207&gt;=LOOKUP(2,1/($E:$E&lt;&gt;""),$E:$E))*($E207&lt;=INDEX($E:$E,MATCH(TRUE,INDEX((ISNUMBER($E:$E)),0),0)))*($E207&gt;INDEX(_xlfn.ANCHORARRAY(Sintesi!$C$14),1,$C207))*($E207&lt;=INDEX(_xlfn.ANCHORARRAY(Sintesi!$C$15),1,$C207))*(INDEX(_xlfn.ANCHORARRAY(Sintesi!$C$15),1,$C207)&gt;0),1,IF(($E207&gt;=LOOKUP(2,1/($E:$E&lt;&gt;""),$E:$E))*($E207&lt;=INDEX($E:$E,MATCH(TRUE,INDEX((ISNUMBER($E:$E)),0),0)))*($E207&gt;INDEX(_xlfn.ANCHORARRAY(Sintesi!$C$14),1,$C207))*($E207&lt;INDEX(_xlfn.ANCHORARRAY(Sintesi!$C$16),1,$C207))*(INDEX(_xlfn.ANCHORARRAY(Sintesi!$C$15),1,$C207)&lt;0)+($E207&gt;=LOOKUP(2,1/($E:$E&lt;&gt;""),$E:$E))*($E207&lt;=INDEX($E:$E,MATCH(TRUE,INDEX((ISNUMBER($E:$E)),0),0)))*($E207&gt;INDEX(_xlfn.ANCHORARRAY(Sintesi!$C$15),1,$C207))*($E207&lt;INDEX(_xlfn.ANCHORARRAY(Sintesi!$C$16),1,$C207))*(INDEX(_xlfn.ANCHORARRAY(Sintesi!$C$15),1,$C207)&gt;0),2,IF($E207=(INDEX(_xlfn.ANCHORARRAY(Sintesi!$C$16),1,$C207)),3,4)))),0)),IF(ISNUMBER($E206),IF($C207&gt;0,IF(($E207=INDEX(_xlfn.ANCHORARRAY(Sintesi!$C$14),1,$C207))*(INDEX(_xlfn.ANCHORARRAY(Sintesi!$C$15),1,$C207)&gt;0),0,IF(($E207=INDEX(_xlfn.ANCHORARRAY(Sintesi!$C$14),1,$C207))*(INDEX(_xlfn.ANCHORARRAY(Sintesi!$C$15),1,$C207)&lt;0)+($E207&gt;=$E206)*($E207&lt;=$E208)*($E207&gt;INDEX(_xlfn.ANCHORARRAY(Sintesi!$C$14),1,$C207))*($E207&lt;=INDEX(_xlfn.ANCHORARRAY(Sintesi!$C$15),1,$C207))*(INDEX(_xlfn.ANCHORARRAY(Sintesi!$C$15),1,$C207)&gt;0),1,IF(($E207&gt;=$E206)*($E207&lt;=$E208)*($E207&gt;INDEX(_xlfn.ANCHORARRAY(Sintesi!$C$14),1,$C207))*($E207&lt;INDEX(_xlfn.ANCHORARRAY(Sintesi!$C$16),1,$C207))*(INDEX(_xlfn.ANCHORARRAY(Sintesi!$C$15),1,$C207)&lt;0)+($E207&gt;=$E206)*($E207&lt;=$E208)*($E207&gt;INDEX(_xlfn.ANCHORARRAY(Sintesi!$C$15),1,$C207))*($E207&lt;INDEX(_xlfn.ANCHORARRAY(Sintesi!$C$16),1,$C207))*(INDEX(_xlfn.ANCHORARRAY(Sintesi!$C$15),1,$C207)&gt;0),2,IF($E207=(INDEX(_xlfn.ANCHORARRAY(Sintesi!$C$16),1,$C207)),3,4)))),0),IF($C207&gt;0,IF(($E207=INDEX(_xlfn.ANCHORARRAY(Sintesi!$C$14),1,$C207))*(INDEX(_xlfn.ANCHORARRAY(Sintesi!$C$15),1,$C207)&gt;0),0,IF(($E207=INDEX(_xlfn.ANCHORARRAY(Sintesi!$C$14),1,$C207))*(INDEX(_xlfn.ANCHORARRAY(Sintesi!$C$15),1,$C207)&lt;0)+($E207&gt;=LOOKUP(2,1/($E:$E&lt;&gt;""),$E:$E))*($E207&lt;=$E208)*($E207&gt;INDEX(_xlfn.ANCHORARRAY(Sintesi!$C$14),1,$C207))*($E207&lt;=INDEX(_xlfn.ANCHORARRAY(Sintesi!$C$15),1,$C207))*(INDEX(_xlfn.ANCHORARRAY(Sintesi!$C$15),1,$C207)&gt;0),1,IF(($E207&gt;=LOOKUP(2,1/($E:$E&lt;&gt;""),$E:$E))*($E207&lt;=$E208)*($E207&gt;INDEX(_xlfn.ANCHORARRAY(Sintesi!$C$14),1,$C207))*($E207&lt;INDEX(_xlfn.ANCHORARRAY(Sintesi!$C$16),1,$C207))*(INDEX(_xlfn.ANCHORARRAY(Sintesi!$C$15),1,$C207)&lt;0)+($E207&gt;=LOOKUP(2,1/($E:$E&lt;&gt;""),$E:$E))*($E207&lt;=$E208)*($E207&gt;INDEX(_xlfn.ANCHORARRAY(Sintesi!$C$15),1,$C207))*($E207&lt;INDEX(_xlfn.ANCHORARRAY(Sintesi!$C$16),1,$C207))*(INDEX(_xlfn.ANCHORARRAY(Sintesi!$C$15),1,$C207)&gt;0),2,IF($E207=(INDEX(_xlfn.ANCHORARRAY(Sintesi!$C$16),1,$C207)),3,4)))),0)))</f>
        <v>3</v>
      </c>
      <c r="E207" s="1">
        <f>'Paste cell here'!F207</f>
        <v>1.0469999999999999</v>
      </c>
      <c r="F207" s="1">
        <f>'Paste cell here'!C207</f>
        <v>30.859999999999552</v>
      </c>
      <c r="G207" s="1">
        <f>'Paste cell here'!D207</f>
        <v>21.419999999999703</v>
      </c>
      <c r="H207" s="1">
        <f>'Paste cell here'!E207</f>
        <v>4.439842415231527</v>
      </c>
      <c r="I207" s="1">
        <f>'Paste cell here'!X207</f>
        <v>4.6482945787226901</v>
      </c>
      <c r="J207" s="1">
        <f>'Paste cell here'!Y207+'Paste cell here'!S207</f>
        <v>4.6482945787226901</v>
      </c>
      <c r="K207" s="1">
        <f t="shared" si="6"/>
        <v>1.0469503518359204</v>
      </c>
      <c r="L207" s="1">
        <f t="shared" si="7"/>
        <v>27.795780882091794</v>
      </c>
      <c r="M207" s="1">
        <f t="array" ref="M207">IF(AND(A207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207&gt;=_xlfn.ANCHORARRAY(Sintesi!$C$9))+(_xlfn.ANCHORARRAY(Sintesi!$C$9)&gt;_xlfn.ANCHORARRAY(Sintesi!$C$10))*(A207&lt;=_xlfn.ANCHORARRAY(Sintesi!$C$10))+(_xlfn.ANCHORARRAY(Sintesi!$C$9)&lt;_xlfn.ANCHORARRAY(Sintesi!$C$10))*(A207&gt;=_xlfn.ANCHORARRAY(Sintesi!$C$9))*(A207&lt;=_xlfn.ANCHORARRAY(Sintesi!$C$10)),0)),0),A207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208&gt;=_xlfn.ANCHORARRAY(Sintesi!$C$9))+(_xlfn.ANCHORARRAY(Sintesi!$C$9)&gt;_xlfn.ANCHORARRAY(Sintesi!$C$10))*(A208&lt;=_xlfn.ANCHORARRAY(Sintesi!$C$10))+(_xlfn.ANCHORARRAY(Sintesi!$C$9)&lt;_xlfn.ANCHORARRAY(Sintesi!$C$10))*(A208&gt;=_xlfn.ANCHORARRAY(Sintesi!$C$9))*(A208&lt;=_xlfn.ANCHORARRAY(Sintesi!$C$10)),0)),0)),IF(L207&lt;_xlfn.IFNA(INDEX(_xlfn.ANCHORARRAY(Sintesi!$C$17),1,MATCH(1,(_xlfn.ANCHORARRAY(Sintesi!$C$9)&gt;_xlfn.ANCHORARRAY(Sintesi!$C$10))*(A206&gt;=_xlfn.ANCHORARRAY(Sintesi!$C$9))+(_xlfn.ANCHORARRAY(Sintesi!$C$9)&gt;_xlfn.ANCHORARRAY(Sintesi!$C$10))*(A206&lt;=_xlfn.ANCHORARRAY(Sintesi!$C$10))+(_xlfn.ANCHORARRAY(Sintesi!$C$9)&lt;_xlfn.ANCHORARRAY(Sintesi!$C$10))*(A206&gt;=_xlfn.ANCHORARRAY(Sintesi!$C$9))*(A206&lt;=_xlfn.ANCHORARRAY(Sintesi!$C$10)),0)),0),1,IF(L207&gt;=_xlfn.IFNA(INDEX(_xlfn.ANCHORARRAY(Sintesi!$C$18),1,MATCH(1,(_xlfn.ANCHORARRAY(Sintesi!$C$9)&gt;_xlfn.ANCHORARRAY(Sintesi!$C$10))*(A206&gt;=_xlfn.ANCHORARRAY(Sintesi!$C$9))+(_xlfn.ANCHORARRAY(Sintesi!$C$9)&gt;_xlfn.ANCHORARRAY(Sintesi!$C$10))*(A206&lt;=_xlfn.ANCHORARRAY(Sintesi!$C$10))+(_xlfn.ANCHORARRAY(Sintesi!$C$9)&lt;_xlfn.ANCHORARRAY(Sintesi!$C$10))*(A206&gt;=_xlfn.ANCHORARRAY(Sintesi!$C$9))*(A206&lt;=_xlfn.ANCHORARRAY(Sintesi!$C$10)),0)),0),0,1-(L207-_xlfn.IFNA(INDEX(_xlfn.ANCHORARRAY(Sintesi!$C$17),1,MATCH(1,(_xlfn.ANCHORARRAY(Sintesi!$C$9)&gt;_xlfn.ANCHORARRAY(Sintesi!$C$10))*(A206&gt;=_xlfn.ANCHORARRAY(Sintesi!$C$9))+(_xlfn.ANCHORARRAY(Sintesi!$C$9)&gt;_xlfn.ANCHORARRAY(Sintesi!$C$10))*(A206&lt;=_xlfn.ANCHORARRAY(Sintesi!$C$10))+(_xlfn.ANCHORARRAY(Sintesi!$C$9)&lt;_xlfn.ANCHORARRAY(Sintesi!$C$10))*(A206&gt;=_xlfn.ANCHORARRAY(Sintesi!$C$9))*(A206&lt;=_xlfn.ANCHORARRAY(Sintesi!$C$10)),0)),0))/(_xlfn.IFNA(INDEX(_xlfn.ANCHORARRAY(Sintesi!$C$18),1,MATCH(1,(_xlfn.ANCHORARRAY(Sintesi!$C$9)&gt;_xlfn.ANCHORARRAY(Sintesi!$C$10))*(A206&gt;=_xlfn.ANCHORARRAY(Sintesi!$C$9))+(_xlfn.ANCHORARRAY(Sintesi!$C$9)&gt;_xlfn.ANCHORARRAY(Sintesi!$C$10))*(A206&lt;=_xlfn.ANCHORARRAY(Sintesi!$C$10))+(_xlfn.ANCHORARRAY(Sintesi!$C$9)&lt;_xlfn.ANCHORARRAY(Sintesi!$C$10))*(A206&gt;=_xlfn.ANCHORARRAY(Sintesi!$C$9))*(A206&lt;=_xlfn.ANCHORARRAY(Sintesi!$C$10)),0)),0)-_xlfn.IFNA(INDEX(_xlfn.ANCHORARRAY(Sintesi!$C$17),1,MATCH(1,(_xlfn.ANCHORARRAY(Sintesi!$C$9)&gt;_xlfn.ANCHORARRAY(Sintesi!$C$10))*(A206&gt;=_xlfn.ANCHORARRAY(Sintesi!$C$9))+(_xlfn.ANCHORARRAY(Sintesi!$C$9)&gt;_xlfn.ANCHORARRAY(Sintesi!$C$10))*(A206&lt;=_xlfn.ANCHORARRAY(Sintesi!$C$10))+(_xlfn.ANCHORARRAY(Sintesi!$C$9)&lt;_xlfn.ANCHORARRAY(Sintesi!$C$10))*(A206&gt;=_xlfn.ANCHORARRAY(Sintesi!$C$9))*(A206&lt;=_xlfn.ANCHORARRAY(Sintesi!$C$10)),0)),0)))),0)</f>
        <v>1</v>
      </c>
    </row>
    <row r="208" spans="1:13">
      <c r="A208" s="1">
        <f>'Paste cell here'!A208</f>
        <v>207</v>
      </c>
      <c r="B208" s="2">
        <f>DATE(Sintesi!$C$4-1,12,31)+A208</f>
        <v>44403</v>
      </c>
      <c r="C208" s="34">
        <f t="array" ref="C208">_xlfn.IFNA(MATCH(1,((_xlfn.ANCHORARRAY(Sintesi!$C$9)&gt;_xlfn.ANCHORARRAY(Sintesi!$C$10))*(A208&gt;=_xlfn.ANCHORARRAY(Sintesi!$C$9))+(_xlfn.ANCHORARRAY(Sintesi!$C$9)&gt;_xlfn.ANCHORARRAY(Sintesi!$C$10))*(A208&lt;=_xlfn.ANCHORARRAY(Sintesi!$C$10))+(_xlfn.ANCHORARRAY(Sintesi!$C$9)&lt;_xlfn.ANCHORARRAY(Sintesi!$C$10))*(A208&gt;=_xlfn.ANCHORARRAY(Sintesi!$C$9))*(A208&lt;=_xlfn.ANCHORARRAY(Sintesi!$C$10)))*(_xlfn.ANCHORARRAY(Sintesi!$C$15)&gt;=0)+(_xlfn.ANCHORARRAY(Sintesi!$C$15)&lt;0),0),0)</f>
        <v>1</v>
      </c>
      <c r="D208" s="1">
        <f t="array" ref="D208">IF(ISBLANK($E209),IF(ISNUMBER($E207),IF($C208&gt;0,IF(($E208=INDEX(_xlfn.ANCHORARRAY(Sintesi!$C$14),1,$C208))*(INDEX(_xlfn.ANCHORARRAY(Sintesi!$C$15),1,$C208)&gt;0),0,IF(($E208=INDEX(_xlfn.ANCHORARRAY(Sintesi!$C$14),1,$C208))*(INDEX(_xlfn.ANCHORARRAY(Sintesi!$C$15),1,$C208)&lt;0)+($E208&gt;=$E207)*($E208&lt;=INDEX($E:$E,MATCH(TRUE,INDEX((ISNUMBER($E:$E)),0),0)))*($E208&gt;INDEX(_xlfn.ANCHORARRAY(Sintesi!$C$14),1,$C208))*($E208&lt;=INDEX(_xlfn.ANCHORARRAY(Sintesi!$C$15),1,$C208))*(INDEX(_xlfn.ANCHORARRAY(Sintesi!$C$15),1,$C208)&gt;0),1,IF(($E208&gt;=$E207)*($E208&lt;=INDEX($E:$E,MATCH(TRUE,INDEX((ISNUMBER($E:$E)),0),0)))*($E208&gt;INDEX(_xlfn.ANCHORARRAY(Sintesi!$C$14),1,$C208))*($E208&lt;INDEX(_xlfn.ANCHORARRAY(Sintesi!$C$16),1,$C208))*(INDEX(_xlfn.ANCHORARRAY(Sintesi!$C$15),1,$C208)&lt;0)+($E208&gt;=$E207)*($E208&lt;=INDEX($E:$E,MATCH(TRUE,INDEX((ISNUMBER($E:$E)),0),0)))*($E208&gt;INDEX(_xlfn.ANCHORARRAY(Sintesi!$C$15),1,$C208))*($E208&lt;INDEX(_xlfn.ANCHORARRAY(Sintesi!$C$16),1,$C208))*(INDEX(_xlfn.ANCHORARRAY(Sintesi!$C$15),1,$C208)&gt;0),2,IF($E208=(INDEX(_xlfn.ANCHORARRAY(Sintesi!$C$16),1,$C208)),3,4)))),0),IF($C208&gt;0,IF(($E208=INDEX(_xlfn.ANCHORARRAY(Sintesi!$C$14),1,$C208))*(INDEX(_xlfn.ANCHORARRAY(Sintesi!$C$15),1,$C208)&gt;0),0,IF(($E208=INDEX(_xlfn.ANCHORARRAY(Sintesi!$C$14),1,$C208))*(INDEX(_xlfn.ANCHORARRAY(Sintesi!$C$15),1,$C208)&lt;0)+($E208&gt;=LOOKUP(2,1/($E:$E&lt;&gt;""),$E:$E))*($E208&lt;=INDEX($E:$E,MATCH(TRUE,INDEX((ISNUMBER($E:$E)),0),0)))*($E208&gt;INDEX(_xlfn.ANCHORARRAY(Sintesi!$C$14),1,$C208))*($E208&lt;=INDEX(_xlfn.ANCHORARRAY(Sintesi!$C$15),1,$C208))*(INDEX(_xlfn.ANCHORARRAY(Sintesi!$C$15),1,$C208)&gt;0),1,IF(($E208&gt;=LOOKUP(2,1/($E:$E&lt;&gt;""),$E:$E))*($E208&lt;=INDEX($E:$E,MATCH(TRUE,INDEX((ISNUMBER($E:$E)),0),0)))*($E208&gt;INDEX(_xlfn.ANCHORARRAY(Sintesi!$C$14),1,$C208))*($E208&lt;INDEX(_xlfn.ANCHORARRAY(Sintesi!$C$16),1,$C208))*(INDEX(_xlfn.ANCHORARRAY(Sintesi!$C$15),1,$C208)&lt;0)+($E208&gt;=LOOKUP(2,1/($E:$E&lt;&gt;""),$E:$E))*($E208&lt;=INDEX($E:$E,MATCH(TRUE,INDEX((ISNUMBER($E:$E)),0),0)))*($E208&gt;INDEX(_xlfn.ANCHORARRAY(Sintesi!$C$15),1,$C208))*($E208&lt;INDEX(_xlfn.ANCHORARRAY(Sintesi!$C$16),1,$C208))*(INDEX(_xlfn.ANCHORARRAY(Sintesi!$C$15),1,$C208)&gt;0),2,IF($E208=(INDEX(_xlfn.ANCHORARRAY(Sintesi!$C$16),1,$C208)),3,4)))),0)),IF(ISNUMBER($E207),IF($C208&gt;0,IF(($E208=INDEX(_xlfn.ANCHORARRAY(Sintesi!$C$14),1,$C208))*(INDEX(_xlfn.ANCHORARRAY(Sintesi!$C$15),1,$C208)&gt;0),0,IF(($E208=INDEX(_xlfn.ANCHORARRAY(Sintesi!$C$14),1,$C208))*(INDEX(_xlfn.ANCHORARRAY(Sintesi!$C$15),1,$C208)&lt;0)+($E208&gt;=$E207)*($E208&lt;=$E209)*($E208&gt;INDEX(_xlfn.ANCHORARRAY(Sintesi!$C$14),1,$C208))*($E208&lt;=INDEX(_xlfn.ANCHORARRAY(Sintesi!$C$15),1,$C208))*(INDEX(_xlfn.ANCHORARRAY(Sintesi!$C$15),1,$C208)&gt;0),1,IF(($E208&gt;=$E207)*($E208&lt;=$E209)*($E208&gt;INDEX(_xlfn.ANCHORARRAY(Sintesi!$C$14),1,$C208))*($E208&lt;INDEX(_xlfn.ANCHORARRAY(Sintesi!$C$16),1,$C208))*(INDEX(_xlfn.ANCHORARRAY(Sintesi!$C$15),1,$C208)&lt;0)+($E208&gt;=$E207)*($E208&lt;=$E209)*($E208&gt;INDEX(_xlfn.ANCHORARRAY(Sintesi!$C$15),1,$C208))*($E208&lt;INDEX(_xlfn.ANCHORARRAY(Sintesi!$C$16),1,$C208))*(INDEX(_xlfn.ANCHORARRAY(Sintesi!$C$15),1,$C208)&gt;0),2,IF($E208=(INDEX(_xlfn.ANCHORARRAY(Sintesi!$C$16),1,$C208)),3,4)))),0),IF($C208&gt;0,IF(($E208=INDEX(_xlfn.ANCHORARRAY(Sintesi!$C$14),1,$C208))*(INDEX(_xlfn.ANCHORARRAY(Sintesi!$C$15),1,$C208)&gt;0),0,IF(($E208=INDEX(_xlfn.ANCHORARRAY(Sintesi!$C$14),1,$C208))*(INDEX(_xlfn.ANCHORARRAY(Sintesi!$C$15),1,$C208)&lt;0)+($E208&gt;=LOOKUP(2,1/($E:$E&lt;&gt;""),$E:$E))*($E208&lt;=$E209)*($E208&gt;INDEX(_xlfn.ANCHORARRAY(Sintesi!$C$14),1,$C208))*($E208&lt;=INDEX(_xlfn.ANCHORARRAY(Sintesi!$C$15),1,$C208))*(INDEX(_xlfn.ANCHORARRAY(Sintesi!$C$15),1,$C208)&gt;0),1,IF(($E208&gt;=LOOKUP(2,1/($E:$E&lt;&gt;""),$E:$E))*($E208&lt;=$E209)*($E208&gt;INDEX(_xlfn.ANCHORARRAY(Sintesi!$C$14),1,$C208))*($E208&lt;INDEX(_xlfn.ANCHORARRAY(Sintesi!$C$16),1,$C208))*(INDEX(_xlfn.ANCHORARRAY(Sintesi!$C$15),1,$C208)&lt;0)+($E208&gt;=LOOKUP(2,1/($E:$E&lt;&gt;""),$E:$E))*($E208&lt;=$E209)*($E208&gt;INDEX(_xlfn.ANCHORARRAY(Sintesi!$C$15),1,$C208))*($E208&lt;INDEX(_xlfn.ANCHORARRAY(Sintesi!$C$16),1,$C208))*(INDEX(_xlfn.ANCHORARRAY(Sintesi!$C$15),1,$C208)&gt;0),2,IF($E208=(INDEX(_xlfn.ANCHORARRAY(Sintesi!$C$16),1,$C208)),3,4)))),0)))</f>
        <v>3</v>
      </c>
      <c r="E208" s="1">
        <f>'Paste cell here'!F208</f>
        <v>1.0469999999999999</v>
      </c>
      <c r="F208" s="1">
        <f>'Paste cell here'!C208</f>
        <v>29.459999999999575</v>
      </c>
      <c r="G208" s="1">
        <f>'Paste cell here'!D208</f>
        <v>18.459999999999734</v>
      </c>
      <c r="H208" s="1">
        <f>'Paste cell here'!E208</f>
        <v>3.4762733477458503</v>
      </c>
      <c r="I208" s="1">
        <f>'Paste cell here'!X208</f>
        <v>3.6394930254813782</v>
      </c>
      <c r="J208" s="1">
        <f>'Paste cell here'!Y208+'Paste cell here'!S208</f>
        <v>3.6394930254813782</v>
      </c>
      <c r="K208" s="1">
        <f t="shared" si="6"/>
        <v>1.0469524865877897</v>
      </c>
      <c r="L208" s="1">
        <f t="shared" si="7"/>
        <v>25.889405688878242</v>
      </c>
      <c r="M208" s="1">
        <f t="array" ref="M208">IF(AND(A208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208&gt;=_xlfn.ANCHORARRAY(Sintesi!$C$9))+(_xlfn.ANCHORARRAY(Sintesi!$C$9)&gt;_xlfn.ANCHORARRAY(Sintesi!$C$10))*(A208&lt;=_xlfn.ANCHORARRAY(Sintesi!$C$10))+(_xlfn.ANCHORARRAY(Sintesi!$C$9)&lt;_xlfn.ANCHORARRAY(Sintesi!$C$10))*(A208&gt;=_xlfn.ANCHORARRAY(Sintesi!$C$9))*(A208&lt;=_xlfn.ANCHORARRAY(Sintesi!$C$10)),0)),0),A208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209&gt;=_xlfn.ANCHORARRAY(Sintesi!$C$9))+(_xlfn.ANCHORARRAY(Sintesi!$C$9)&gt;_xlfn.ANCHORARRAY(Sintesi!$C$10))*(A209&lt;=_xlfn.ANCHORARRAY(Sintesi!$C$10))+(_xlfn.ANCHORARRAY(Sintesi!$C$9)&lt;_xlfn.ANCHORARRAY(Sintesi!$C$10))*(A209&gt;=_xlfn.ANCHORARRAY(Sintesi!$C$9))*(A209&lt;=_xlfn.ANCHORARRAY(Sintesi!$C$10)),0)),0)),IF(L208&lt;_xlfn.IFNA(INDEX(_xlfn.ANCHORARRAY(Sintesi!$C$17),1,MATCH(1,(_xlfn.ANCHORARRAY(Sintesi!$C$9)&gt;_xlfn.ANCHORARRAY(Sintesi!$C$10))*(A207&gt;=_xlfn.ANCHORARRAY(Sintesi!$C$9))+(_xlfn.ANCHORARRAY(Sintesi!$C$9)&gt;_xlfn.ANCHORARRAY(Sintesi!$C$10))*(A207&lt;=_xlfn.ANCHORARRAY(Sintesi!$C$10))+(_xlfn.ANCHORARRAY(Sintesi!$C$9)&lt;_xlfn.ANCHORARRAY(Sintesi!$C$10))*(A207&gt;=_xlfn.ANCHORARRAY(Sintesi!$C$9))*(A207&lt;=_xlfn.ANCHORARRAY(Sintesi!$C$10)),0)),0),1,IF(L208&gt;=_xlfn.IFNA(INDEX(_xlfn.ANCHORARRAY(Sintesi!$C$18),1,MATCH(1,(_xlfn.ANCHORARRAY(Sintesi!$C$9)&gt;_xlfn.ANCHORARRAY(Sintesi!$C$10))*(A207&gt;=_xlfn.ANCHORARRAY(Sintesi!$C$9))+(_xlfn.ANCHORARRAY(Sintesi!$C$9)&gt;_xlfn.ANCHORARRAY(Sintesi!$C$10))*(A207&lt;=_xlfn.ANCHORARRAY(Sintesi!$C$10))+(_xlfn.ANCHORARRAY(Sintesi!$C$9)&lt;_xlfn.ANCHORARRAY(Sintesi!$C$10))*(A207&gt;=_xlfn.ANCHORARRAY(Sintesi!$C$9))*(A207&lt;=_xlfn.ANCHORARRAY(Sintesi!$C$10)),0)),0),0,1-(L208-_xlfn.IFNA(INDEX(_xlfn.ANCHORARRAY(Sintesi!$C$17),1,MATCH(1,(_xlfn.ANCHORARRAY(Sintesi!$C$9)&gt;_xlfn.ANCHORARRAY(Sintesi!$C$10))*(A207&gt;=_xlfn.ANCHORARRAY(Sintesi!$C$9))+(_xlfn.ANCHORARRAY(Sintesi!$C$9)&gt;_xlfn.ANCHORARRAY(Sintesi!$C$10))*(A207&lt;=_xlfn.ANCHORARRAY(Sintesi!$C$10))+(_xlfn.ANCHORARRAY(Sintesi!$C$9)&lt;_xlfn.ANCHORARRAY(Sintesi!$C$10))*(A207&gt;=_xlfn.ANCHORARRAY(Sintesi!$C$9))*(A207&lt;=_xlfn.ANCHORARRAY(Sintesi!$C$10)),0)),0))/(_xlfn.IFNA(INDEX(_xlfn.ANCHORARRAY(Sintesi!$C$18),1,MATCH(1,(_xlfn.ANCHORARRAY(Sintesi!$C$9)&gt;_xlfn.ANCHORARRAY(Sintesi!$C$10))*(A207&gt;=_xlfn.ANCHORARRAY(Sintesi!$C$9))+(_xlfn.ANCHORARRAY(Sintesi!$C$9)&gt;_xlfn.ANCHORARRAY(Sintesi!$C$10))*(A207&lt;=_xlfn.ANCHORARRAY(Sintesi!$C$10))+(_xlfn.ANCHORARRAY(Sintesi!$C$9)&lt;_xlfn.ANCHORARRAY(Sintesi!$C$10))*(A207&gt;=_xlfn.ANCHORARRAY(Sintesi!$C$9))*(A207&lt;=_xlfn.ANCHORARRAY(Sintesi!$C$10)),0)),0)-_xlfn.IFNA(INDEX(_xlfn.ANCHORARRAY(Sintesi!$C$17),1,MATCH(1,(_xlfn.ANCHORARRAY(Sintesi!$C$9)&gt;_xlfn.ANCHORARRAY(Sintesi!$C$10))*(A207&gt;=_xlfn.ANCHORARRAY(Sintesi!$C$9))+(_xlfn.ANCHORARRAY(Sintesi!$C$9)&gt;_xlfn.ANCHORARRAY(Sintesi!$C$10))*(A207&lt;=_xlfn.ANCHORARRAY(Sintesi!$C$10))+(_xlfn.ANCHORARRAY(Sintesi!$C$9)&lt;_xlfn.ANCHORARRAY(Sintesi!$C$10))*(A207&gt;=_xlfn.ANCHORARRAY(Sintesi!$C$9))*(A207&lt;=_xlfn.ANCHORARRAY(Sintesi!$C$10)),0)),0)))),0)</f>
        <v>1</v>
      </c>
    </row>
    <row r="209" spans="1:13">
      <c r="A209" s="1">
        <f>'Paste cell here'!A209</f>
        <v>208</v>
      </c>
      <c r="B209" s="2">
        <f>DATE(Sintesi!$C$4-1,12,31)+A209</f>
        <v>44404</v>
      </c>
      <c r="C209" s="34">
        <f t="array" ref="C209">_xlfn.IFNA(MATCH(1,((_xlfn.ANCHORARRAY(Sintesi!$C$9)&gt;_xlfn.ANCHORARRAY(Sintesi!$C$10))*(A209&gt;=_xlfn.ANCHORARRAY(Sintesi!$C$9))+(_xlfn.ANCHORARRAY(Sintesi!$C$9)&gt;_xlfn.ANCHORARRAY(Sintesi!$C$10))*(A209&lt;=_xlfn.ANCHORARRAY(Sintesi!$C$10))+(_xlfn.ANCHORARRAY(Sintesi!$C$9)&lt;_xlfn.ANCHORARRAY(Sintesi!$C$10))*(A209&gt;=_xlfn.ANCHORARRAY(Sintesi!$C$9))*(A209&lt;=_xlfn.ANCHORARRAY(Sintesi!$C$10)))*(_xlfn.ANCHORARRAY(Sintesi!$C$15)&gt;=0)+(_xlfn.ANCHORARRAY(Sintesi!$C$15)&lt;0),0),0)</f>
        <v>1</v>
      </c>
      <c r="D209" s="1">
        <f t="array" ref="D209">IF(ISBLANK($E210),IF(ISNUMBER($E208),IF($C209&gt;0,IF(($E209=INDEX(_xlfn.ANCHORARRAY(Sintesi!$C$14),1,$C209))*(INDEX(_xlfn.ANCHORARRAY(Sintesi!$C$15),1,$C209)&gt;0),0,IF(($E209=INDEX(_xlfn.ANCHORARRAY(Sintesi!$C$14),1,$C209))*(INDEX(_xlfn.ANCHORARRAY(Sintesi!$C$15),1,$C209)&lt;0)+($E209&gt;=$E208)*($E209&lt;=INDEX($E:$E,MATCH(TRUE,INDEX((ISNUMBER($E:$E)),0),0)))*($E209&gt;INDEX(_xlfn.ANCHORARRAY(Sintesi!$C$14),1,$C209))*($E209&lt;=INDEX(_xlfn.ANCHORARRAY(Sintesi!$C$15),1,$C209))*(INDEX(_xlfn.ANCHORARRAY(Sintesi!$C$15),1,$C209)&gt;0),1,IF(($E209&gt;=$E208)*($E209&lt;=INDEX($E:$E,MATCH(TRUE,INDEX((ISNUMBER($E:$E)),0),0)))*($E209&gt;INDEX(_xlfn.ANCHORARRAY(Sintesi!$C$14),1,$C209))*($E209&lt;INDEX(_xlfn.ANCHORARRAY(Sintesi!$C$16),1,$C209))*(INDEX(_xlfn.ANCHORARRAY(Sintesi!$C$15),1,$C209)&lt;0)+($E209&gt;=$E208)*($E209&lt;=INDEX($E:$E,MATCH(TRUE,INDEX((ISNUMBER($E:$E)),0),0)))*($E209&gt;INDEX(_xlfn.ANCHORARRAY(Sintesi!$C$15),1,$C209))*($E209&lt;INDEX(_xlfn.ANCHORARRAY(Sintesi!$C$16),1,$C209))*(INDEX(_xlfn.ANCHORARRAY(Sintesi!$C$15),1,$C209)&gt;0),2,IF($E209=(INDEX(_xlfn.ANCHORARRAY(Sintesi!$C$16),1,$C209)),3,4)))),0),IF($C209&gt;0,IF(($E209=INDEX(_xlfn.ANCHORARRAY(Sintesi!$C$14),1,$C209))*(INDEX(_xlfn.ANCHORARRAY(Sintesi!$C$15),1,$C209)&gt;0),0,IF(($E209=INDEX(_xlfn.ANCHORARRAY(Sintesi!$C$14),1,$C209))*(INDEX(_xlfn.ANCHORARRAY(Sintesi!$C$15),1,$C209)&lt;0)+($E209&gt;=LOOKUP(2,1/($E:$E&lt;&gt;""),$E:$E))*($E209&lt;=INDEX($E:$E,MATCH(TRUE,INDEX((ISNUMBER($E:$E)),0),0)))*($E209&gt;INDEX(_xlfn.ANCHORARRAY(Sintesi!$C$14),1,$C209))*($E209&lt;=INDEX(_xlfn.ANCHORARRAY(Sintesi!$C$15),1,$C209))*(INDEX(_xlfn.ANCHORARRAY(Sintesi!$C$15),1,$C209)&gt;0),1,IF(($E209&gt;=LOOKUP(2,1/($E:$E&lt;&gt;""),$E:$E))*($E209&lt;=INDEX($E:$E,MATCH(TRUE,INDEX((ISNUMBER($E:$E)),0),0)))*($E209&gt;INDEX(_xlfn.ANCHORARRAY(Sintesi!$C$14),1,$C209))*($E209&lt;INDEX(_xlfn.ANCHORARRAY(Sintesi!$C$16),1,$C209))*(INDEX(_xlfn.ANCHORARRAY(Sintesi!$C$15),1,$C209)&lt;0)+($E209&gt;=LOOKUP(2,1/($E:$E&lt;&gt;""),$E:$E))*($E209&lt;=INDEX($E:$E,MATCH(TRUE,INDEX((ISNUMBER($E:$E)),0),0)))*($E209&gt;INDEX(_xlfn.ANCHORARRAY(Sintesi!$C$15),1,$C209))*($E209&lt;INDEX(_xlfn.ANCHORARRAY(Sintesi!$C$16),1,$C209))*(INDEX(_xlfn.ANCHORARRAY(Sintesi!$C$15),1,$C209)&gt;0),2,IF($E209=(INDEX(_xlfn.ANCHORARRAY(Sintesi!$C$16),1,$C209)),3,4)))),0)),IF(ISNUMBER($E208),IF($C209&gt;0,IF(($E209=INDEX(_xlfn.ANCHORARRAY(Sintesi!$C$14),1,$C209))*(INDEX(_xlfn.ANCHORARRAY(Sintesi!$C$15),1,$C209)&gt;0),0,IF(($E209=INDEX(_xlfn.ANCHORARRAY(Sintesi!$C$14),1,$C209))*(INDEX(_xlfn.ANCHORARRAY(Sintesi!$C$15),1,$C209)&lt;0)+($E209&gt;=$E208)*($E209&lt;=$E210)*($E209&gt;INDEX(_xlfn.ANCHORARRAY(Sintesi!$C$14),1,$C209))*($E209&lt;=INDEX(_xlfn.ANCHORARRAY(Sintesi!$C$15),1,$C209))*(INDEX(_xlfn.ANCHORARRAY(Sintesi!$C$15),1,$C209)&gt;0),1,IF(($E209&gt;=$E208)*($E209&lt;=$E210)*($E209&gt;INDEX(_xlfn.ANCHORARRAY(Sintesi!$C$14),1,$C209))*($E209&lt;INDEX(_xlfn.ANCHORARRAY(Sintesi!$C$16),1,$C209))*(INDEX(_xlfn.ANCHORARRAY(Sintesi!$C$15),1,$C209)&lt;0)+($E209&gt;=$E208)*($E209&lt;=$E210)*($E209&gt;INDEX(_xlfn.ANCHORARRAY(Sintesi!$C$15),1,$C209))*($E209&lt;INDEX(_xlfn.ANCHORARRAY(Sintesi!$C$16),1,$C209))*(INDEX(_xlfn.ANCHORARRAY(Sintesi!$C$15),1,$C209)&gt;0),2,IF($E209=(INDEX(_xlfn.ANCHORARRAY(Sintesi!$C$16),1,$C209)),3,4)))),0),IF($C209&gt;0,IF(($E209=INDEX(_xlfn.ANCHORARRAY(Sintesi!$C$14),1,$C209))*(INDEX(_xlfn.ANCHORARRAY(Sintesi!$C$15),1,$C209)&gt;0),0,IF(($E209=INDEX(_xlfn.ANCHORARRAY(Sintesi!$C$14),1,$C209))*(INDEX(_xlfn.ANCHORARRAY(Sintesi!$C$15),1,$C209)&lt;0)+($E209&gt;=LOOKUP(2,1/($E:$E&lt;&gt;""),$E:$E))*($E209&lt;=$E210)*($E209&gt;INDEX(_xlfn.ANCHORARRAY(Sintesi!$C$14),1,$C209))*($E209&lt;=INDEX(_xlfn.ANCHORARRAY(Sintesi!$C$15),1,$C209))*(INDEX(_xlfn.ANCHORARRAY(Sintesi!$C$15),1,$C209)&gt;0),1,IF(($E209&gt;=LOOKUP(2,1/($E:$E&lt;&gt;""),$E:$E))*($E209&lt;=$E210)*($E209&gt;INDEX(_xlfn.ANCHORARRAY(Sintesi!$C$14),1,$C209))*($E209&lt;INDEX(_xlfn.ANCHORARRAY(Sintesi!$C$16),1,$C209))*(INDEX(_xlfn.ANCHORARRAY(Sintesi!$C$15),1,$C209)&lt;0)+($E209&gt;=LOOKUP(2,1/($E:$E&lt;&gt;""),$E:$E))*($E209&lt;=$E210)*($E209&gt;INDEX(_xlfn.ANCHORARRAY(Sintesi!$C$15),1,$C209))*($E209&lt;INDEX(_xlfn.ANCHORARRAY(Sintesi!$C$16),1,$C209))*(INDEX(_xlfn.ANCHORARRAY(Sintesi!$C$15),1,$C209)&gt;0),2,IF($E209=(INDEX(_xlfn.ANCHORARRAY(Sintesi!$C$16),1,$C209)),3,4)))),0)))</f>
        <v>3</v>
      </c>
      <c r="E209" s="1">
        <f>'Paste cell here'!F209</f>
        <v>1.0469999999999999</v>
      </c>
      <c r="F209" s="1">
        <f>'Paste cell here'!C209</f>
        <v>29.259999999999565</v>
      </c>
      <c r="G209" s="1">
        <f>'Paste cell here'!D209</f>
        <v>20.579999999999714</v>
      </c>
      <c r="H209" s="1">
        <f>'Paste cell here'!E209</f>
        <v>3.387578589872414</v>
      </c>
      <c r="I209" s="1">
        <f>'Paste cell here'!X209</f>
        <v>3.5466409393534128</v>
      </c>
      <c r="J209" s="1">
        <f>'Paste cell here'!Y209+'Paste cell here'!S209</f>
        <v>3.5466409393534128</v>
      </c>
      <c r="K209" s="1">
        <f t="shared" si="6"/>
        <v>1.0469545857789204</v>
      </c>
      <c r="L209" s="1">
        <f t="shared" si="7"/>
        <v>26.442476489042008</v>
      </c>
      <c r="M209" s="1">
        <f t="array" ref="M209">IF(AND(A209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209&gt;=_xlfn.ANCHORARRAY(Sintesi!$C$9))+(_xlfn.ANCHORARRAY(Sintesi!$C$9)&gt;_xlfn.ANCHORARRAY(Sintesi!$C$10))*(A209&lt;=_xlfn.ANCHORARRAY(Sintesi!$C$10))+(_xlfn.ANCHORARRAY(Sintesi!$C$9)&lt;_xlfn.ANCHORARRAY(Sintesi!$C$10))*(A209&gt;=_xlfn.ANCHORARRAY(Sintesi!$C$9))*(A209&lt;=_xlfn.ANCHORARRAY(Sintesi!$C$10)),0)),0),A209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210&gt;=_xlfn.ANCHORARRAY(Sintesi!$C$9))+(_xlfn.ANCHORARRAY(Sintesi!$C$9)&gt;_xlfn.ANCHORARRAY(Sintesi!$C$10))*(A210&lt;=_xlfn.ANCHORARRAY(Sintesi!$C$10))+(_xlfn.ANCHORARRAY(Sintesi!$C$9)&lt;_xlfn.ANCHORARRAY(Sintesi!$C$10))*(A210&gt;=_xlfn.ANCHORARRAY(Sintesi!$C$9))*(A210&lt;=_xlfn.ANCHORARRAY(Sintesi!$C$10)),0)),0)),IF(L209&lt;_xlfn.IFNA(INDEX(_xlfn.ANCHORARRAY(Sintesi!$C$17),1,MATCH(1,(_xlfn.ANCHORARRAY(Sintesi!$C$9)&gt;_xlfn.ANCHORARRAY(Sintesi!$C$10))*(A208&gt;=_xlfn.ANCHORARRAY(Sintesi!$C$9))+(_xlfn.ANCHORARRAY(Sintesi!$C$9)&gt;_xlfn.ANCHORARRAY(Sintesi!$C$10))*(A208&lt;=_xlfn.ANCHORARRAY(Sintesi!$C$10))+(_xlfn.ANCHORARRAY(Sintesi!$C$9)&lt;_xlfn.ANCHORARRAY(Sintesi!$C$10))*(A208&gt;=_xlfn.ANCHORARRAY(Sintesi!$C$9))*(A208&lt;=_xlfn.ANCHORARRAY(Sintesi!$C$10)),0)),0),1,IF(L209&gt;=_xlfn.IFNA(INDEX(_xlfn.ANCHORARRAY(Sintesi!$C$18),1,MATCH(1,(_xlfn.ANCHORARRAY(Sintesi!$C$9)&gt;_xlfn.ANCHORARRAY(Sintesi!$C$10))*(A208&gt;=_xlfn.ANCHORARRAY(Sintesi!$C$9))+(_xlfn.ANCHORARRAY(Sintesi!$C$9)&gt;_xlfn.ANCHORARRAY(Sintesi!$C$10))*(A208&lt;=_xlfn.ANCHORARRAY(Sintesi!$C$10))+(_xlfn.ANCHORARRAY(Sintesi!$C$9)&lt;_xlfn.ANCHORARRAY(Sintesi!$C$10))*(A208&gt;=_xlfn.ANCHORARRAY(Sintesi!$C$9))*(A208&lt;=_xlfn.ANCHORARRAY(Sintesi!$C$10)),0)),0),0,1-(L209-_xlfn.IFNA(INDEX(_xlfn.ANCHORARRAY(Sintesi!$C$17),1,MATCH(1,(_xlfn.ANCHORARRAY(Sintesi!$C$9)&gt;_xlfn.ANCHORARRAY(Sintesi!$C$10))*(A208&gt;=_xlfn.ANCHORARRAY(Sintesi!$C$9))+(_xlfn.ANCHORARRAY(Sintesi!$C$9)&gt;_xlfn.ANCHORARRAY(Sintesi!$C$10))*(A208&lt;=_xlfn.ANCHORARRAY(Sintesi!$C$10))+(_xlfn.ANCHORARRAY(Sintesi!$C$9)&lt;_xlfn.ANCHORARRAY(Sintesi!$C$10))*(A208&gt;=_xlfn.ANCHORARRAY(Sintesi!$C$9))*(A208&lt;=_xlfn.ANCHORARRAY(Sintesi!$C$10)),0)),0))/(_xlfn.IFNA(INDEX(_xlfn.ANCHORARRAY(Sintesi!$C$18),1,MATCH(1,(_xlfn.ANCHORARRAY(Sintesi!$C$9)&gt;_xlfn.ANCHORARRAY(Sintesi!$C$10))*(A208&gt;=_xlfn.ANCHORARRAY(Sintesi!$C$9))+(_xlfn.ANCHORARRAY(Sintesi!$C$9)&gt;_xlfn.ANCHORARRAY(Sintesi!$C$10))*(A208&lt;=_xlfn.ANCHORARRAY(Sintesi!$C$10))+(_xlfn.ANCHORARRAY(Sintesi!$C$9)&lt;_xlfn.ANCHORARRAY(Sintesi!$C$10))*(A208&gt;=_xlfn.ANCHORARRAY(Sintesi!$C$9))*(A208&lt;=_xlfn.ANCHORARRAY(Sintesi!$C$10)),0)),0)-_xlfn.IFNA(INDEX(_xlfn.ANCHORARRAY(Sintesi!$C$17),1,MATCH(1,(_xlfn.ANCHORARRAY(Sintesi!$C$9)&gt;_xlfn.ANCHORARRAY(Sintesi!$C$10))*(A208&gt;=_xlfn.ANCHORARRAY(Sintesi!$C$9))+(_xlfn.ANCHORARRAY(Sintesi!$C$9)&gt;_xlfn.ANCHORARRAY(Sintesi!$C$10))*(A208&lt;=_xlfn.ANCHORARRAY(Sintesi!$C$10))+(_xlfn.ANCHORARRAY(Sintesi!$C$9)&lt;_xlfn.ANCHORARRAY(Sintesi!$C$10))*(A208&gt;=_xlfn.ANCHORARRAY(Sintesi!$C$9))*(A208&lt;=_xlfn.ANCHORARRAY(Sintesi!$C$10)),0)),0)))),0)</f>
        <v>1</v>
      </c>
    </row>
    <row r="210" spans="1:13">
      <c r="A210" s="1">
        <f>'Paste cell here'!A210</f>
        <v>209</v>
      </c>
      <c r="B210" s="2">
        <f>DATE(Sintesi!$C$4-1,12,31)+A210</f>
        <v>44405</v>
      </c>
      <c r="C210" s="34">
        <f t="array" ref="C210">_xlfn.IFNA(MATCH(1,((_xlfn.ANCHORARRAY(Sintesi!$C$9)&gt;_xlfn.ANCHORARRAY(Sintesi!$C$10))*(A210&gt;=_xlfn.ANCHORARRAY(Sintesi!$C$9))+(_xlfn.ANCHORARRAY(Sintesi!$C$9)&gt;_xlfn.ANCHORARRAY(Sintesi!$C$10))*(A210&lt;=_xlfn.ANCHORARRAY(Sintesi!$C$10))+(_xlfn.ANCHORARRAY(Sintesi!$C$9)&lt;_xlfn.ANCHORARRAY(Sintesi!$C$10))*(A210&gt;=_xlfn.ANCHORARRAY(Sintesi!$C$9))*(A210&lt;=_xlfn.ANCHORARRAY(Sintesi!$C$10)))*(_xlfn.ANCHORARRAY(Sintesi!$C$15)&gt;=0)+(_xlfn.ANCHORARRAY(Sintesi!$C$15)&lt;0),0),0)</f>
        <v>1</v>
      </c>
      <c r="D210" s="1">
        <f t="array" ref="D210">IF(ISBLANK($E211),IF(ISNUMBER($E209),IF($C210&gt;0,IF(($E210=INDEX(_xlfn.ANCHORARRAY(Sintesi!$C$14),1,$C210))*(INDEX(_xlfn.ANCHORARRAY(Sintesi!$C$15),1,$C210)&gt;0),0,IF(($E210=INDEX(_xlfn.ANCHORARRAY(Sintesi!$C$14),1,$C210))*(INDEX(_xlfn.ANCHORARRAY(Sintesi!$C$15),1,$C210)&lt;0)+($E210&gt;=$E209)*($E210&lt;=INDEX($E:$E,MATCH(TRUE,INDEX((ISNUMBER($E:$E)),0),0)))*($E210&gt;INDEX(_xlfn.ANCHORARRAY(Sintesi!$C$14),1,$C210))*($E210&lt;=INDEX(_xlfn.ANCHORARRAY(Sintesi!$C$15),1,$C210))*(INDEX(_xlfn.ANCHORARRAY(Sintesi!$C$15),1,$C210)&gt;0),1,IF(($E210&gt;=$E209)*($E210&lt;=INDEX($E:$E,MATCH(TRUE,INDEX((ISNUMBER($E:$E)),0),0)))*($E210&gt;INDEX(_xlfn.ANCHORARRAY(Sintesi!$C$14),1,$C210))*($E210&lt;INDEX(_xlfn.ANCHORARRAY(Sintesi!$C$16),1,$C210))*(INDEX(_xlfn.ANCHORARRAY(Sintesi!$C$15),1,$C210)&lt;0)+($E210&gt;=$E209)*($E210&lt;=INDEX($E:$E,MATCH(TRUE,INDEX((ISNUMBER($E:$E)),0),0)))*($E210&gt;INDEX(_xlfn.ANCHORARRAY(Sintesi!$C$15),1,$C210))*($E210&lt;INDEX(_xlfn.ANCHORARRAY(Sintesi!$C$16),1,$C210))*(INDEX(_xlfn.ANCHORARRAY(Sintesi!$C$15),1,$C210)&gt;0),2,IF($E210=(INDEX(_xlfn.ANCHORARRAY(Sintesi!$C$16),1,$C210)),3,4)))),0),IF($C210&gt;0,IF(($E210=INDEX(_xlfn.ANCHORARRAY(Sintesi!$C$14),1,$C210))*(INDEX(_xlfn.ANCHORARRAY(Sintesi!$C$15),1,$C210)&gt;0),0,IF(($E210=INDEX(_xlfn.ANCHORARRAY(Sintesi!$C$14),1,$C210))*(INDEX(_xlfn.ANCHORARRAY(Sintesi!$C$15),1,$C210)&lt;0)+($E210&gt;=LOOKUP(2,1/($E:$E&lt;&gt;""),$E:$E))*($E210&lt;=INDEX($E:$E,MATCH(TRUE,INDEX((ISNUMBER($E:$E)),0),0)))*($E210&gt;INDEX(_xlfn.ANCHORARRAY(Sintesi!$C$14),1,$C210))*($E210&lt;=INDEX(_xlfn.ANCHORARRAY(Sintesi!$C$15),1,$C210))*(INDEX(_xlfn.ANCHORARRAY(Sintesi!$C$15),1,$C210)&gt;0),1,IF(($E210&gt;=LOOKUP(2,1/($E:$E&lt;&gt;""),$E:$E))*($E210&lt;=INDEX($E:$E,MATCH(TRUE,INDEX((ISNUMBER($E:$E)),0),0)))*($E210&gt;INDEX(_xlfn.ANCHORARRAY(Sintesi!$C$14),1,$C210))*($E210&lt;INDEX(_xlfn.ANCHORARRAY(Sintesi!$C$16),1,$C210))*(INDEX(_xlfn.ANCHORARRAY(Sintesi!$C$15),1,$C210)&lt;0)+($E210&gt;=LOOKUP(2,1/($E:$E&lt;&gt;""),$E:$E))*($E210&lt;=INDEX($E:$E,MATCH(TRUE,INDEX((ISNUMBER($E:$E)),0),0)))*($E210&gt;INDEX(_xlfn.ANCHORARRAY(Sintesi!$C$15),1,$C210))*($E210&lt;INDEX(_xlfn.ANCHORARRAY(Sintesi!$C$16),1,$C210))*(INDEX(_xlfn.ANCHORARRAY(Sintesi!$C$15),1,$C210)&gt;0),2,IF($E210=(INDEX(_xlfn.ANCHORARRAY(Sintesi!$C$16),1,$C210)),3,4)))),0)),IF(ISNUMBER($E209),IF($C210&gt;0,IF(($E210=INDEX(_xlfn.ANCHORARRAY(Sintesi!$C$14),1,$C210))*(INDEX(_xlfn.ANCHORARRAY(Sintesi!$C$15),1,$C210)&gt;0),0,IF(($E210=INDEX(_xlfn.ANCHORARRAY(Sintesi!$C$14),1,$C210))*(INDEX(_xlfn.ANCHORARRAY(Sintesi!$C$15),1,$C210)&lt;0)+($E210&gt;=$E209)*($E210&lt;=$E211)*($E210&gt;INDEX(_xlfn.ANCHORARRAY(Sintesi!$C$14),1,$C210))*($E210&lt;=INDEX(_xlfn.ANCHORARRAY(Sintesi!$C$15),1,$C210))*(INDEX(_xlfn.ANCHORARRAY(Sintesi!$C$15),1,$C210)&gt;0),1,IF(($E210&gt;=$E209)*($E210&lt;=$E211)*($E210&gt;INDEX(_xlfn.ANCHORARRAY(Sintesi!$C$14),1,$C210))*($E210&lt;INDEX(_xlfn.ANCHORARRAY(Sintesi!$C$16),1,$C210))*(INDEX(_xlfn.ANCHORARRAY(Sintesi!$C$15),1,$C210)&lt;0)+($E210&gt;=$E209)*($E210&lt;=$E211)*($E210&gt;INDEX(_xlfn.ANCHORARRAY(Sintesi!$C$15),1,$C210))*($E210&lt;INDEX(_xlfn.ANCHORARRAY(Sintesi!$C$16),1,$C210))*(INDEX(_xlfn.ANCHORARRAY(Sintesi!$C$15),1,$C210)&gt;0),2,IF($E210=(INDEX(_xlfn.ANCHORARRAY(Sintesi!$C$16),1,$C210)),3,4)))),0),IF($C210&gt;0,IF(($E210=INDEX(_xlfn.ANCHORARRAY(Sintesi!$C$14),1,$C210))*(INDEX(_xlfn.ANCHORARRAY(Sintesi!$C$15),1,$C210)&gt;0),0,IF(($E210=INDEX(_xlfn.ANCHORARRAY(Sintesi!$C$14),1,$C210))*(INDEX(_xlfn.ANCHORARRAY(Sintesi!$C$15),1,$C210)&lt;0)+($E210&gt;=LOOKUP(2,1/($E:$E&lt;&gt;""),$E:$E))*($E210&lt;=$E211)*($E210&gt;INDEX(_xlfn.ANCHORARRAY(Sintesi!$C$14),1,$C210))*($E210&lt;=INDEX(_xlfn.ANCHORARRAY(Sintesi!$C$15),1,$C210))*(INDEX(_xlfn.ANCHORARRAY(Sintesi!$C$15),1,$C210)&gt;0),1,IF(($E210&gt;=LOOKUP(2,1/($E:$E&lt;&gt;""),$E:$E))*($E210&lt;=$E211)*($E210&gt;INDEX(_xlfn.ANCHORARRAY(Sintesi!$C$14),1,$C210))*($E210&lt;INDEX(_xlfn.ANCHORARRAY(Sintesi!$C$16),1,$C210))*(INDEX(_xlfn.ANCHORARRAY(Sintesi!$C$15),1,$C210)&lt;0)+($E210&gt;=LOOKUP(2,1/($E:$E&lt;&gt;""),$E:$E))*($E210&lt;=$E211)*($E210&gt;INDEX(_xlfn.ANCHORARRAY(Sintesi!$C$15),1,$C210))*($E210&lt;INDEX(_xlfn.ANCHORARRAY(Sintesi!$C$16),1,$C210))*(INDEX(_xlfn.ANCHORARRAY(Sintesi!$C$15),1,$C210)&gt;0),2,IF($E210=(INDEX(_xlfn.ANCHORARRAY(Sintesi!$C$16),1,$C210)),3,4)))),0)))</f>
        <v>3</v>
      </c>
      <c r="E210" s="1">
        <f>'Paste cell here'!F210</f>
        <v>1.0469999999999999</v>
      </c>
      <c r="F210" s="1">
        <f>'Paste cell here'!C210</f>
        <v>29.559999999999565</v>
      </c>
      <c r="G210" s="1">
        <f>'Paste cell here'!D210</f>
        <v>19.639999999999731</v>
      </c>
      <c r="H210" s="1">
        <f>'Paste cell here'!E210</f>
        <v>3.6100465516574158</v>
      </c>
      <c r="I210" s="1">
        <f>'Paste cell here'!X210</f>
        <v>3.7795622291069364</v>
      </c>
      <c r="J210" s="1">
        <f>'Paste cell here'!Y210+'Paste cell here'!S210</f>
        <v>3.7795622291069364</v>
      </c>
      <c r="K210" s="1">
        <f t="shared" si="6"/>
        <v>1.0469566458559083</v>
      </c>
      <c r="L210" s="1">
        <f t="shared" si="7"/>
        <v>26.339973130333785</v>
      </c>
      <c r="M210" s="1">
        <f t="array" ref="M210">IF(AND(A210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210&gt;=_xlfn.ANCHORARRAY(Sintesi!$C$9))+(_xlfn.ANCHORARRAY(Sintesi!$C$9)&gt;_xlfn.ANCHORARRAY(Sintesi!$C$10))*(A210&lt;=_xlfn.ANCHORARRAY(Sintesi!$C$10))+(_xlfn.ANCHORARRAY(Sintesi!$C$9)&lt;_xlfn.ANCHORARRAY(Sintesi!$C$10))*(A210&gt;=_xlfn.ANCHORARRAY(Sintesi!$C$9))*(A210&lt;=_xlfn.ANCHORARRAY(Sintesi!$C$10)),0)),0),A210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211&gt;=_xlfn.ANCHORARRAY(Sintesi!$C$9))+(_xlfn.ANCHORARRAY(Sintesi!$C$9)&gt;_xlfn.ANCHORARRAY(Sintesi!$C$10))*(A211&lt;=_xlfn.ANCHORARRAY(Sintesi!$C$10))+(_xlfn.ANCHORARRAY(Sintesi!$C$9)&lt;_xlfn.ANCHORARRAY(Sintesi!$C$10))*(A211&gt;=_xlfn.ANCHORARRAY(Sintesi!$C$9))*(A211&lt;=_xlfn.ANCHORARRAY(Sintesi!$C$10)),0)),0)),IF(L210&lt;_xlfn.IFNA(INDEX(_xlfn.ANCHORARRAY(Sintesi!$C$17),1,MATCH(1,(_xlfn.ANCHORARRAY(Sintesi!$C$9)&gt;_xlfn.ANCHORARRAY(Sintesi!$C$10))*(A209&gt;=_xlfn.ANCHORARRAY(Sintesi!$C$9))+(_xlfn.ANCHORARRAY(Sintesi!$C$9)&gt;_xlfn.ANCHORARRAY(Sintesi!$C$10))*(A209&lt;=_xlfn.ANCHORARRAY(Sintesi!$C$10))+(_xlfn.ANCHORARRAY(Sintesi!$C$9)&lt;_xlfn.ANCHORARRAY(Sintesi!$C$10))*(A209&gt;=_xlfn.ANCHORARRAY(Sintesi!$C$9))*(A209&lt;=_xlfn.ANCHORARRAY(Sintesi!$C$10)),0)),0),1,IF(L210&gt;=_xlfn.IFNA(INDEX(_xlfn.ANCHORARRAY(Sintesi!$C$18),1,MATCH(1,(_xlfn.ANCHORARRAY(Sintesi!$C$9)&gt;_xlfn.ANCHORARRAY(Sintesi!$C$10))*(A209&gt;=_xlfn.ANCHORARRAY(Sintesi!$C$9))+(_xlfn.ANCHORARRAY(Sintesi!$C$9)&gt;_xlfn.ANCHORARRAY(Sintesi!$C$10))*(A209&lt;=_xlfn.ANCHORARRAY(Sintesi!$C$10))+(_xlfn.ANCHORARRAY(Sintesi!$C$9)&lt;_xlfn.ANCHORARRAY(Sintesi!$C$10))*(A209&gt;=_xlfn.ANCHORARRAY(Sintesi!$C$9))*(A209&lt;=_xlfn.ANCHORARRAY(Sintesi!$C$10)),0)),0),0,1-(L210-_xlfn.IFNA(INDEX(_xlfn.ANCHORARRAY(Sintesi!$C$17),1,MATCH(1,(_xlfn.ANCHORARRAY(Sintesi!$C$9)&gt;_xlfn.ANCHORARRAY(Sintesi!$C$10))*(A209&gt;=_xlfn.ANCHORARRAY(Sintesi!$C$9))+(_xlfn.ANCHORARRAY(Sintesi!$C$9)&gt;_xlfn.ANCHORARRAY(Sintesi!$C$10))*(A209&lt;=_xlfn.ANCHORARRAY(Sintesi!$C$10))+(_xlfn.ANCHORARRAY(Sintesi!$C$9)&lt;_xlfn.ANCHORARRAY(Sintesi!$C$10))*(A209&gt;=_xlfn.ANCHORARRAY(Sintesi!$C$9))*(A209&lt;=_xlfn.ANCHORARRAY(Sintesi!$C$10)),0)),0))/(_xlfn.IFNA(INDEX(_xlfn.ANCHORARRAY(Sintesi!$C$18),1,MATCH(1,(_xlfn.ANCHORARRAY(Sintesi!$C$9)&gt;_xlfn.ANCHORARRAY(Sintesi!$C$10))*(A209&gt;=_xlfn.ANCHORARRAY(Sintesi!$C$9))+(_xlfn.ANCHORARRAY(Sintesi!$C$9)&gt;_xlfn.ANCHORARRAY(Sintesi!$C$10))*(A209&lt;=_xlfn.ANCHORARRAY(Sintesi!$C$10))+(_xlfn.ANCHORARRAY(Sintesi!$C$9)&lt;_xlfn.ANCHORARRAY(Sintesi!$C$10))*(A209&gt;=_xlfn.ANCHORARRAY(Sintesi!$C$9))*(A209&lt;=_xlfn.ANCHORARRAY(Sintesi!$C$10)),0)),0)-_xlfn.IFNA(INDEX(_xlfn.ANCHORARRAY(Sintesi!$C$17),1,MATCH(1,(_xlfn.ANCHORARRAY(Sintesi!$C$9)&gt;_xlfn.ANCHORARRAY(Sintesi!$C$10))*(A209&gt;=_xlfn.ANCHORARRAY(Sintesi!$C$9))+(_xlfn.ANCHORARRAY(Sintesi!$C$9)&gt;_xlfn.ANCHORARRAY(Sintesi!$C$10))*(A209&lt;=_xlfn.ANCHORARRAY(Sintesi!$C$10))+(_xlfn.ANCHORARRAY(Sintesi!$C$9)&lt;_xlfn.ANCHORARRAY(Sintesi!$C$10))*(A209&gt;=_xlfn.ANCHORARRAY(Sintesi!$C$9))*(A209&lt;=_xlfn.ANCHORARRAY(Sintesi!$C$10)),0)),0)))),0)</f>
        <v>1</v>
      </c>
    </row>
    <row r="211" spans="1:13">
      <c r="A211" s="1">
        <f>'Paste cell here'!A211</f>
        <v>210</v>
      </c>
      <c r="B211" s="2">
        <f>DATE(Sintesi!$C$4-1,12,31)+A211</f>
        <v>44406</v>
      </c>
      <c r="C211" s="34">
        <f t="array" ref="C211">_xlfn.IFNA(MATCH(1,((_xlfn.ANCHORARRAY(Sintesi!$C$9)&gt;_xlfn.ANCHORARRAY(Sintesi!$C$10))*(A211&gt;=_xlfn.ANCHORARRAY(Sintesi!$C$9))+(_xlfn.ANCHORARRAY(Sintesi!$C$9)&gt;_xlfn.ANCHORARRAY(Sintesi!$C$10))*(A211&lt;=_xlfn.ANCHORARRAY(Sintesi!$C$10))+(_xlfn.ANCHORARRAY(Sintesi!$C$9)&lt;_xlfn.ANCHORARRAY(Sintesi!$C$10))*(A211&gt;=_xlfn.ANCHORARRAY(Sintesi!$C$9))*(A211&lt;=_xlfn.ANCHORARRAY(Sintesi!$C$10)))*(_xlfn.ANCHORARRAY(Sintesi!$C$15)&gt;=0)+(_xlfn.ANCHORARRAY(Sintesi!$C$15)&lt;0),0),0)</f>
        <v>1</v>
      </c>
      <c r="D211" s="1">
        <f t="array" ref="D211">IF(ISBLANK($E212),IF(ISNUMBER($E210),IF($C211&gt;0,IF(($E211=INDEX(_xlfn.ANCHORARRAY(Sintesi!$C$14),1,$C211))*(INDEX(_xlfn.ANCHORARRAY(Sintesi!$C$15),1,$C211)&gt;0),0,IF(($E211=INDEX(_xlfn.ANCHORARRAY(Sintesi!$C$14),1,$C211))*(INDEX(_xlfn.ANCHORARRAY(Sintesi!$C$15),1,$C211)&lt;0)+($E211&gt;=$E210)*($E211&lt;=INDEX($E:$E,MATCH(TRUE,INDEX((ISNUMBER($E:$E)),0),0)))*($E211&gt;INDEX(_xlfn.ANCHORARRAY(Sintesi!$C$14),1,$C211))*($E211&lt;=INDEX(_xlfn.ANCHORARRAY(Sintesi!$C$15),1,$C211))*(INDEX(_xlfn.ANCHORARRAY(Sintesi!$C$15),1,$C211)&gt;0),1,IF(($E211&gt;=$E210)*($E211&lt;=INDEX($E:$E,MATCH(TRUE,INDEX((ISNUMBER($E:$E)),0),0)))*($E211&gt;INDEX(_xlfn.ANCHORARRAY(Sintesi!$C$14),1,$C211))*($E211&lt;INDEX(_xlfn.ANCHORARRAY(Sintesi!$C$16),1,$C211))*(INDEX(_xlfn.ANCHORARRAY(Sintesi!$C$15),1,$C211)&lt;0)+($E211&gt;=$E210)*($E211&lt;=INDEX($E:$E,MATCH(TRUE,INDEX((ISNUMBER($E:$E)),0),0)))*($E211&gt;INDEX(_xlfn.ANCHORARRAY(Sintesi!$C$15),1,$C211))*($E211&lt;INDEX(_xlfn.ANCHORARRAY(Sintesi!$C$16),1,$C211))*(INDEX(_xlfn.ANCHORARRAY(Sintesi!$C$15),1,$C211)&gt;0),2,IF($E211=(INDEX(_xlfn.ANCHORARRAY(Sintesi!$C$16),1,$C211)),3,4)))),0),IF($C211&gt;0,IF(($E211=INDEX(_xlfn.ANCHORARRAY(Sintesi!$C$14),1,$C211))*(INDEX(_xlfn.ANCHORARRAY(Sintesi!$C$15),1,$C211)&gt;0),0,IF(($E211=INDEX(_xlfn.ANCHORARRAY(Sintesi!$C$14),1,$C211))*(INDEX(_xlfn.ANCHORARRAY(Sintesi!$C$15),1,$C211)&lt;0)+($E211&gt;=LOOKUP(2,1/($E:$E&lt;&gt;""),$E:$E))*($E211&lt;=INDEX($E:$E,MATCH(TRUE,INDEX((ISNUMBER($E:$E)),0),0)))*($E211&gt;INDEX(_xlfn.ANCHORARRAY(Sintesi!$C$14),1,$C211))*($E211&lt;=INDEX(_xlfn.ANCHORARRAY(Sintesi!$C$15),1,$C211))*(INDEX(_xlfn.ANCHORARRAY(Sintesi!$C$15),1,$C211)&gt;0),1,IF(($E211&gt;=LOOKUP(2,1/($E:$E&lt;&gt;""),$E:$E))*($E211&lt;=INDEX($E:$E,MATCH(TRUE,INDEX((ISNUMBER($E:$E)),0),0)))*($E211&gt;INDEX(_xlfn.ANCHORARRAY(Sintesi!$C$14),1,$C211))*($E211&lt;INDEX(_xlfn.ANCHORARRAY(Sintesi!$C$16),1,$C211))*(INDEX(_xlfn.ANCHORARRAY(Sintesi!$C$15),1,$C211)&lt;0)+($E211&gt;=LOOKUP(2,1/($E:$E&lt;&gt;""),$E:$E))*($E211&lt;=INDEX($E:$E,MATCH(TRUE,INDEX((ISNUMBER($E:$E)),0),0)))*($E211&gt;INDEX(_xlfn.ANCHORARRAY(Sintesi!$C$15),1,$C211))*($E211&lt;INDEX(_xlfn.ANCHORARRAY(Sintesi!$C$16),1,$C211))*(INDEX(_xlfn.ANCHORARRAY(Sintesi!$C$15),1,$C211)&gt;0),2,IF($E211=(INDEX(_xlfn.ANCHORARRAY(Sintesi!$C$16),1,$C211)),3,4)))),0)),IF(ISNUMBER($E210),IF($C211&gt;0,IF(($E211=INDEX(_xlfn.ANCHORARRAY(Sintesi!$C$14),1,$C211))*(INDEX(_xlfn.ANCHORARRAY(Sintesi!$C$15),1,$C211)&gt;0),0,IF(($E211=INDEX(_xlfn.ANCHORARRAY(Sintesi!$C$14),1,$C211))*(INDEX(_xlfn.ANCHORARRAY(Sintesi!$C$15),1,$C211)&lt;0)+($E211&gt;=$E210)*($E211&lt;=$E212)*($E211&gt;INDEX(_xlfn.ANCHORARRAY(Sintesi!$C$14),1,$C211))*($E211&lt;=INDEX(_xlfn.ANCHORARRAY(Sintesi!$C$15),1,$C211))*(INDEX(_xlfn.ANCHORARRAY(Sintesi!$C$15),1,$C211)&gt;0),1,IF(($E211&gt;=$E210)*($E211&lt;=$E212)*($E211&gt;INDEX(_xlfn.ANCHORARRAY(Sintesi!$C$14),1,$C211))*($E211&lt;INDEX(_xlfn.ANCHORARRAY(Sintesi!$C$16),1,$C211))*(INDEX(_xlfn.ANCHORARRAY(Sintesi!$C$15),1,$C211)&lt;0)+($E211&gt;=$E210)*($E211&lt;=$E212)*($E211&gt;INDEX(_xlfn.ANCHORARRAY(Sintesi!$C$15),1,$C211))*($E211&lt;INDEX(_xlfn.ANCHORARRAY(Sintesi!$C$16),1,$C211))*(INDEX(_xlfn.ANCHORARRAY(Sintesi!$C$15),1,$C211)&gt;0),2,IF($E211=(INDEX(_xlfn.ANCHORARRAY(Sintesi!$C$16),1,$C211)),3,4)))),0),IF($C211&gt;0,IF(($E211=INDEX(_xlfn.ANCHORARRAY(Sintesi!$C$14),1,$C211))*(INDEX(_xlfn.ANCHORARRAY(Sintesi!$C$15),1,$C211)&gt;0),0,IF(($E211=INDEX(_xlfn.ANCHORARRAY(Sintesi!$C$14),1,$C211))*(INDEX(_xlfn.ANCHORARRAY(Sintesi!$C$15),1,$C211)&lt;0)+($E211&gt;=LOOKUP(2,1/($E:$E&lt;&gt;""),$E:$E))*($E211&lt;=$E212)*($E211&gt;INDEX(_xlfn.ANCHORARRAY(Sintesi!$C$14),1,$C211))*($E211&lt;=INDEX(_xlfn.ANCHORARRAY(Sintesi!$C$15),1,$C211))*(INDEX(_xlfn.ANCHORARRAY(Sintesi!$C$15),1,$C211)&gt;0),1,IF(($E211&gt;=LOOKUP(2,1/($E:$E&lt;&gt;""),$E:$E))*($E211&lt;=$E212)*($E211&gt;INDEX(_xlfn.ANCHORARRAY(Sintesi!$C$14),1,$C211))*($E211&lt;INDEX(_xlfn.ANCHORARRAY(Sintesi!$C$16),1,$C211))*(INDEX(_xlfn.ANCHORARRAY(Sintesi!$C$15),1,$C211)&lt;0)+($E211&gt;=LOOKUP(2,1/($E:$E&lt;&gt;""),$E:$E))*($E211&lt;=$E212)*($E211&gt;INDEX(_xlfn.ANCHORARRAY(Sintesi!$C$15),1,$C211))*($E211&lt;INDEX(_xlfn.ANCHORARRAY(Sintesi!$C$16),1,$C211))*(INDEX(_xlfn.ANCHORARRAY(Sintesi!$C$15),1,$C211)&gt;0),2,IF($E211=(INDEX(_xlfn.ANCHORARRAY(Sintesi!$C$16),1,$C211)),3,4)))),0)))</f>
        <v>3</v>
      </c>
      <c r="E211" s="1">
        <f>'Paste cell here'!F211</f>
        <v>1.0469999999999999</v>
      </c>
      <c r="F211" s="1">
        <f>'Paste cell here'!C211</f>
        <v>32.559999999999519</v>
      </c>
      <c r="G211" s="1">
        <f>'Paste cell here'!D211</f>
        <v>18.279999999999749</v>
      </c>
      <c r="H211" s="1">
        <f>'Paste cell here'!E211</f>
        <v>5.1117993751683821</v>
      </c>
      <c r="I211" s="1">
        <f>'Paste cell here'!X211</f>
        <v>5.3518426423213246</v>
      </c>
      <c r="J211" s="1">
        <f>'Paste cell here'!Y211+'Paste cell here'!S211</f>
        <v>5.3518426423213246</v>
      </c>
      <c r="K211" s="1">
        <f t="shared" si="6"/>
        <v>1.0469586635811652</v>
      </c>
      <c r="L211" s="1">
        <f t="shared" si="7"/>
        <v>27.924719385198376</v>
      </c>
      <c r="M211" s="1">
        <f t="array" ref="M211">IF(AND(A211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211&gt;=_xlfn.ANCHORARRAY(Sintesi!$C$9))+(_xlfn.ANCHORARRAY(Sintesi!$C$9)&gt;_xlfn.ANCHORARRAY(Sintesi!$C$10))*(A211&lt;=_xlfn.ANCHORARRAY(Sintesi!$C$10))+(_xlfn.ANCHORARRAY(Sintesi!$C$9)&lt;_xlfn.ANCHORARRAY(Sintesi!$C$10))*(A211&gt;=_xlfn.ANCHORARRAY(Sintesi!$C$9))*(A211&lt;=_xlfn.ANCHORARRAY(Sintesi!$C$10)),0)),0),A211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212&gt;=_xlfn.ANCHORARRAY(Sintesi!$C$9))+(_xlfn.ANCHORARRAY(Sintesi!$C$9)&gt;_xlfn.ANCHORARRAY(Sintesi!$C$10))*(A212&lt;=_xlfn.ANCHORARRAY(Sintesi!$C$10))+(_xlfn.ANCHORARRAY(Sintesi!$C$9)&lt;_xlfn.ANCHORARRAY(Sintesi!$C$10))*(A212&gt;=_xlfn.ANCHORARRAY(Sintesi!$C$9))*(A212&lt;=_xlfn.ANCHORARRAY(Sintesi!$C$10)),0)),0)),IF(L211&lt;_xlfn.IFNA(INDEX(_xlfn.ANCHORARRAY(Sintesi!$C$17),1,MATCH(1,(_xlfn.ANCHORARRAY(Sintesi!$C$9)&gt;_xlfn.ANCHORARRAY(Sintesi!$C$10))*(A210&gt;=_xlfn.ANCHORARRAY(Sintesi!$C$9))+(_xlfn.ANCHORARRAY(Sintesi!$C$9)&gt;_xlfn.ANCHORARRAY(Sintesi!$C$10))*(A210&lt;=_xlfn.ANCHORARRAY(Sintesi!$C$10))+(_xlfn.ANCHORARRAY(Sintesi!$C$9)&lt;_xlfn.ANCHORARRAY(Sintesi!$C$10))*(A210&gt;=_xlfn.ANCHORARRAY(Sintesi!$C$9))*(A210&lt;=_xlfn.ANCHORARRAY(Sintesi!$C$10)),0)),0),1,IF(L211&gt;=_xlfn.IFNA(INDEX(_xlfn.ANCHORARRAY(Sintesi!$C$18),1,MATCH(1,(_xlfn.ANCHORARRAY(Sintesi!$C$9)&gt;_xlfn.ANCHORARRAY(Sintesi!$C$10))*(A210&gt;=_xlfn.ANCHORARRAY(Sintesi!$C$9))+(_xlfn.ANCHORARRAY(Sintesi!$C$9)&gt;_xlfn.ANCHORARRAY(Sintesi!$C$10))*(A210&lt;=_xlfn.ANCHORARRAY(Sintesi!$C$10))+(_xlfn.ANCHORARRAY(Sintesi!$C$9)&lt;_xlfn.ANCHORARRAY(Sintesi!$C$10))*(A210&gt;=_xlfn.ANCHORARRAY(Sintesi!$C$9))*(A210&lt;=_xlfn.ANCHORARRAY(Sintesi!$C$10)),0)),0),0,1-(L211-_xlfn.IFNA(INDEX(_xlfn.ANCHORARRAY(Sintesi!$C$17),1,MATCH(1,(_xlfn.ANCHORARRAY(Sintesi!$C$9)&gt;_xlfn.ANCHORARRAY(Sintesi!$C$10))*(A210&gt;=_xlfn.ANCHORARRAY(Sintesi!$C$9))+(_xlfn.ANCHORARRAY(Sintesi!$C$9)&gt;_xlfn.ANCHORARRAY(Sintesi!$C$10))*(A210&lt;=_xlfn.ANCHORARRAY(Sintesi!$C$10))+(_xlfn.ANCHORARRAY(Sintesi!$C$9)&lt;_xlfn.ANCHORARRAY(Sintesi!$C$10))*(A210&gt;=_xlfn.ANCHORARRAY(Sintesi!$C$9))*(A210&lt;=_xlfn.ANCHORARRAY(Sintesi!$C$10)),0)),0))/(_xlfn.IFNA(INDEX(_xlfn.ANCHORARRAY(Sintesi!$C$18),1,MATCH(1,(_xlfn.ANCHORARRAY(Sintesi!$C$9)&gt;_xlfn.ANCHORARRAY(Sintesi!$C$10))*(A210&gt;=_xlfn.ANCHORARRAY(Sintesi!$C$9))+(_xlfn.ANCHORARRAY(Sintesi!$C$9)&gt;_xlfn.ANCHORARRAY(Sintesi!$C$10))*(A210&lt;=_xlfn.ANCHORARRAY(Sintesi!$C$10))+(_xlfn.ANCHORARRAY(Sintesi!$C$9)&lt;_xlfn.ANCHORARRAY(Sintesi!$C$10))*(A210&gt;=_xlfn.ANCHORARRAY(Sintesi!$C$9))*(A210&lt;=_xlfn.ANCHORARRAY(Sintesi!$C$10)),0)),0)-_xlfn.IFNA(INDEX(_xlfn.ANCHORARRAY(Sintesi!$C$17),1,MATCH(1,(_xlfn.ANCHORARRAY(Sintesi!$C$9)&gt;_xlfn.ANCHORARRAY(Sintesi!$C$10))*(A210&gt;=_xlfn.ANCHORARRAY(Sintesi!$C$9))+(_xlfn.ANCHORARRAY(Sintesi!$C$9)&gt;_xlfn.ANCHORARRAY(Sintesi!$C$10))*(A210&lt;=_xlfn.ANCHORARRAY(Sintesi!$C$10))+(_xlfn.ANCHORARRAY(Sintesi!$C$9)&lt;_xlfn.ANCHORARRAY(Sintesi!$C$10))*(A210&gt;=_xlfn.ANCHORARRAY(Sintesi!$C$9))*(A210&lt;=_xlfn.ANCHORARRAY(Sintesi!$C$10)),0)),0)))),0)</f>
        <v>1</v>
      </c>
    </row>
    <row r="212" spans="1:13">
      <c r="A212" s="1">
        <f>'Paste cell here'!A212</f>
        <v>211</v>
      </c>
      <c r="B212" s="2">
        <f>DATE(Sintesi!$C$4-1,12,31)+A212</f>
        <v>44407</v>
      </c>
      <c r="C212" s="34">
        <f t="array" ref="C212">_xlfn.IFNA(MATCH(1,((_xlfn.ANCHORARRAY(Sintesi!$C$9)&gt;_xlfn.ANCHORARRAY(Sintesi!$C$10))*(A212&gt;=_xlfn.ANCHORARRAY(Sintesi!$C$9))+(_xlfn.ANCHORARRAY(Sintesi!$C$9)&gt;_xlfn.ANCHORARRAY(Sintesi!$C$10))*(A212&lt;=_xlfn.ANCHORARRAY(Sintesi!$C$10))+(_xlfn.ANCHORARRAY(Sintesi!$C$9)&lt;_xlfn.ANCHORARRAY(Sintesi!$C$10))*(A212&gt;=_xlfn.ANCHORARRAY(Sintesi!$C$9))*(A212&lt;=_xlfn.ANCHORARRAY(Sintesi!$C$10)))*(_xlfn.ANCHORARRAY(Sintesi!$C$15)&gt;=0)+(_xlfn.ANCHORARRAY(Sintesi!$C$15)&lt;0),0),0)</f>
        <v>1</v>
      </c>
      <c r="D212" s="1">
        <f t="array" ref="D212">IF(ISBLANK($E213),IF(ISNUMBER($E211),IF($C212&gt;0,IF(($E212=INDEX(_xlfn.ANCHORARRAY(Sintesi!$C$14),1,$C212))*(INDEX(_xlfn.ANCHORARRAY(Sintesi!$C$15),1,$C212)&gt;0),0,IF(($E212=INDEX(_xlfn.ANCHORARRAY(Sintesi!$C$14),1,$C212))*(INDEX(_xlfn.ANCHORARRAY(Sintesi!$C$15),1,$C212)&lt;0)+($E212&gt;=$E211)*($E212&lt;=INDEX($E:$E,MATCH(TRUE,INDEX((ISNUMBER($E:$E)),0),0)))*($E212&gt;INDEX(_xlfn.ANCHORARRAY(Sintesi!$C$14),1,$C212))*($E212&lt;=INDEX(_xlfn.ANCHORARRAY(Sintesi!$C$15),1,$C212))*(INDEX(_xlfn.ANCHORARRAY(Sintesi!$C$15),1,$C212)&gt;0),1,IF(($E212&gt;=$E211)*($E212&lt;=INDEX($E:$E,MATCH(TRUE,INDEX((ISNUMBER($E:$E)),0),0)))*($E212&gt;INDEX(_xlfn.ANCHORARRAY(Sintesi!$C$14),1,$C212))*($E212&lt;INDEX(_xlfn.ANCHORARRAY(Sintesi!$C$16),1,$C212))*(INDEX(_xlfn.ANCHORARRAY(Sintesi!$C$15),1,$C212)&lt;0)+($E212&gt;=$E211)*($E212&lt;=INDEX($E:$E,MATCH(TRUE,INDEX((ISNUMBER($E:$E)),0),0)))*($E212&gt;INDEX(_xlfn.ANCHORARRAY(Sintesi!$C$15),1,$C212))*($E212&lt;INDEX(_xlfn.ANCHORARRAY(Sintesi!$C$16),1,$C212))*(INDEX(_xlfn.ANCHORARRAY(Sintesi!$C$15),1,$C212)&gt;0),2,IF($E212=(INDEX(_xlfn.ANCHORARRAY(Sintesi!$C$16),1,$C212)),3,4)))),0),IF($C212&gt;0,IF(($E212=INDEX(_xlfn.ANCHORARRAY(Sintesi!$C$14),1,$C212))*(INDEX(_xlfn.ANCHORARRAY(Sintesi!$C$15),1,$C212)&gt;0),0,IF(($E212=INDEX(_xlfn.ANCHORARRAY(Sintesi!$C$14),1,$C212))*(INDEX(_xlfn.ANCHORARRAY(Sintesi!$C$15),1,$C212)&lt;0)+($E212&gt;=LOOKUP(2,1/($E:$E&lt;&gt;""),$E:$E))*($E212&lt;=INDEX($E:$E,MATCH(TRUE,INDEX((ISNUMBER($E:$E)),0),0)))*($E212&gt;INDEX(_xlfn.ANCHORARRAY(Sintesi!$C$14),1,$C212))*($E212&lt;=INDEX(_xlfn.ANCHORARRAY(Sintesi!$C$15),1,$C212))*(INDEX(_xlfn.ANCHORARRAY(Sintesi!$C$15),1,$C212)&gt;0),1,IF(($E212&gt;=LOOKUP(2,1/($E:$E&lt;&gt;""),$E:$E))*($E212&lt;=INDEX($E:$E,MATCH(TRUE,INDEX((ISNUMBER($E:$E)),0),0)))*($E212&gt;INDEX(_xlfn.ANCHORARRAY(Sintesi!$C$14),1,$C212))*($E212&lt;INDEX(_xlfn.ANCHORARRAY(Sintesi!$C$16),1,$C212))*(INDEX(_xlfn.ANCHORARRAY(Sintesi!$C$15),1,$C212)&lt;0)+($E212&gt;=LOOKUP(2,1/($E:$E&lt;&gt;""),$E:$E))*($E212&lt;=INDEX($E:$E,MATCH(TRUE,INDEX((ISNUMBER($E:$E)),0),0)))*($E212&gt;INDEX(_xlfn.ANCHORARRAY(Sintesi!$C$15),1,$C212))*($E212&lt;INDEX(_xlfn.ANCHORARRAY(Sintesi!$C$16),1,$C212))*(INDEX(_xlfn.ANCHORARRAY(Sintesi!$C$15),1,$C212)&gt;0),2,IF($E212=(INDEX(_xlfn.ANCHORARRAY(Sintesi!$C$16),1,$C212)),3,4)))),0)),IF(ISNUMBER($E211),IF($C212&gt;0,IF(($E212=INDEX(_xlfn.ANCHORARRAY(Sintesi!$C$14),1,$C212))*(INDEX(_xlfn.ANCHORARRAY(Sintesi!$C$15),1,$C212)&gt;0),0,IF(($E212=INDEX(_xlfn.ANCHORARRAY(Sintesi!$C$14),1,$C212))*(INDEX(_xlfn.ANCHORARRAY(Sintesi!$C$15),1,$C212)&lt;0)+($E212&gt;=$E211)*($E212&lt;=$E213)*($E212&gt;INDEX(_xlfn.ANCHORARRAY(Sintesi!$C$14),1,$C212))*($E212&lt;=INDEX(_xlfn.ANCHORARRAY(Sintesi!$C$15),1,$C212))*(INDEX(_xlfn.ANCHORARRAY(Sintesi!$C$15),1,$C212)&gt;0),1,IF(($E212&gt;=$E211)*($E212&lt;=$E213)*($E212&gt;INDEX(_xlfn.ANCHORARRAY(Sintesi!$C$14),1,$C212))*($E212&lt;INDEX(_xlfn.ANCHORARRAY(Sintesi!$C$16),1,$C212))*(INDEX(_xlfn.ANCHORARRAY(Sintesi!$C$15),1,$C212)&lt;0)+($E212&gt;=$E211)*($E212&lt;=$E213)*($E212&gt;INDEX(_xlfn.ANCHORARRAY(Sintesi!$C$15),1,$C212))*($E212&lt;INDEX(_xlfn.ANCHORARRAY(Sintesi!$C$16),1,$C212))*(INDEX(_xlfn.ANCHORARRAY(Sintesi!$C$15),1,$C212)&gt;0),2,IF($E212=(INDEX(_xlfn.ANCHORARRAY(Sintesi!$C$16),1,$C212)),3,4)))),0),IF($C212&gt;0,IF(($E212=INDEX(_xlfn.ANCHORARRAY(Sintesi!$C$14),1,$C212))*(INDEX(_xlfn.ANCHORARRAY(Sintesi!$C$15),1,$C212)&gt;0),0,IF(($E212=INDEX(_xlfn.ANCHORARRAY(Sintesi!$C$14),1,$C212))*(INDEX(_xlfn.ANCHORARRAY(Sintesi!$C$15),1,$C212)&lt;0)+($E212&gt;=LOOKUP(2,1/($E:$E&lt;&gt;""),$E:$E))*($E212&lt;=$E213)*($E212&gt;INDEX(_xlfn.ANCHORARRAY(Sintesi!$C$14),1,$C212))*($E212&lt;=INDEX(_xlfn.ANCHORARRAY(Sintesi!$C$15),1,$C212))*(INDEX(_xlfn.ANCHORARRAY(Sintesi!$C$15),1,$C212)&gt;0),1,IF(($E212&gt;=LOOKUP(2,1/($E:$E&lt;&gt;""),$E:$E))*($E212&lt;=$E213)*($E212&gt;INDEX(_xlfn.ANCHORARRAY(Sintesi!$C$14),1,$C212))*($E212&lt;INDEX(_xlfn.ANCHORARRAY(Sintesi!$C$16),1,$C212))*(INDEX(_xlfn.ANCHORARRAY(Sintesi!$C$15),1,$C212)&lt;0)+($E212&gt;=LOOKUP(2,1/($E:$E&lt;&gt;""),$E:$E))*($E212&lt;=$E213)*($E212&gt;INDEX(_xlfn.ANCHORARRAY(Sintesi!$C$15),1,$C212))*($E212&lt;INDEX(_xlfn.ANCHORARRAY(Sintesi!$C$16),1,$C212))*(INDEX(_xlfn.ANCHORARRAY(Sintesi!$C$15),1,$C212)&gt;0),2,IF($E212=(INDEX(_xlfn.ANCHORARRAY(Sintesi!$C$16),1,$C212)),3,4)))),0)))</f>
        <v>3</v>
      </c>
      <c r="E212" s="1">
        <f>'Paste cell here'!F212</f>
        <v>1.0469999999999999</v>
      </c>
      <c r="F212" s="1">
        <f>'Paste cell here'!C212</f>
        <v>31.379999999999544</v>
      </c>
      <c r="G212" s="1">
        <f>'Paste cell here'!D212</f>
        <v>19.939999999999728</v>
      </c>
      <c r="H212" s="1">
        <f>'Paste cell here'!E212</f>
        <v>4.4796209148210462</v>
      </c>
      <c r="I212" s="1">
        <f>'Paste cell here'!X212</f>
        <v>4.6899867621669831</v>
      </c>
      <c r="J212" s="1">
        <f>'Paste cell here'!Y212+'Paste cell here'!S212</f>
        <v>4.6899867621669831</v>
      </c>
      <c r="K212" s="1">
        <f t="shared" si="6"/>
        <v>1.0469606360328239</v>
      </c>
      <c r="L212" s="1">
        <f t="shared" si="7"/>
        <v>27.666581916433358</v>
      </c>
      <c r="M212" s="1">
        <f t="array" ref="M212">IF(AND(A212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212&gt;=_xlfn.ANCHORARRAY(Sintesi!$C$9))+(_xlfn.ANCHORARRAY(Sintesi!$C$9)&gt;_xlfn.ANCHORARRAY(Sintesi!$C$10))*(A212&lt;=_xlfn.ANCHORARRAY(Sintesi!$C$10))+(_xlfn.ANCHORARRAY(Sintesi!$C$9)&lt;_xlfn.ANCHORARRAY(Sintesi!$C$10))*(A212&gt;=_xlfn.ANCHORARRAY(Sintesi!$C$9))*(A212&lt;=_xlfn.ANCHORARRAY(Sintesi!$C$10)),0)),0),A212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213&gt;=_xlfn.ANCHORARRAY(Sintesi!$C$9))+(_xlfn.ANCHORARRAY(Sintesi!$C$9)&gt;_xlfn.ANCHORARRAY(Sintesi!$C$10))*(A213&lt;=_xlfn.ANCHORARRAY(Sintesi!$C$10))+(_xlfn.ANCHORARRAY(Sintesi!$C$9)&lt;_xlfn.ANCHORARRAY(Sintesi!$C$10))*(A213&gt;=_xlfn.ANCHORARRAY(Sintesi!$C$9))*(A213&lt;=_xlfn.ANCHORARRAY(Sintesi!$C$10)),0)),0)),IF(L212&lt;_xlfn.IFNA(INDEX(_xlfn.ANCHORARRAY(Sintesi!$C$17),1,MATCH(1,(_xlfn.ANCHORARRAY(Sintesi!$C$9)&gt;_xlfn.ANCHORARRAY(Sintesi!$C$10))*(A211&gt;=_xlfn.ANCHORARRAY(Sintesi!$C$9))+(_xlfn.ANCHORARRAY(Sintesi!$C$9)&gt;_xlfn.ANCHORARRAY(Sintesi!$C$10))*(A211&lt;=_xlfn.ANCHORARRAY(Sintesi!$C$10))+(_xlfn.ANCHORARRAY(Sintesi!$C$9)&lt;_xlfn.ANCHORARRAY(Sintesi!$C$10))*(A211&gt;=_xlfn.ANCHORARRAY(Sintesi!$C$9))*(A211&lt;=_xlfn.ANCHORARRAY(Sintesi!$C$10)),0)),0),1,IF(L212&gt;=_xlfn.IFNA(INDEX(_xlfn.ANCHORARRAY(Sintesi!$C$18),1,MATCH(1,(_xlfn.ANCHORARRAY(Sintesi!$C$9)&gt;_xlfn.ANCHORARRAY(Sintesi!$C$10))*(A211&gt;=_xlfn.ANCHORARRAY(Sintesi!$C$9))+(_xlfn.ANCHORARRAY(Sintesi!$C$9)&gt;_xlfn.ANCHORARRAY(Sintesi!$C$10))*(A211&lt;=_xlfn.ANCHORARRAY(Sintesi!$C$10))+(_xlfn.ANCHORARRAY(Sintesi!$C$9)&lt;_xlfn.ANCHORARRAY(Sintesi!$C$10))*(A211&gt;=_xlfn.ANCHORARRAY(Sintesi!$C$9))*(A211&lt;=_xlfn.ANCHORARRAY(Sintesi!$C$10)),0)),0),0,1-(L212-_xlfn.IFNA(INDEX(_xlfn.ANCHORARRAY(Sintesi!$C$17),1,MATCH(1,(_xlfn.ANCHORARRAY(Sintesi!$C$9)&gt;_xlfn.ANCHORARRAY(Sintesi!$C$10))*(A211&gt;=_xlfn.ANCHORARRAY(Sintesi!$C$9))+(_xlfn.ANCHORARRAY(Sintesi!$C$9)&gt;_xlfn.ANCHORARRAY(Sintesi!$C$10))*(A211&lt;=_xlfn.ANCHORARRAY(Sintesi!$C$10))+(_xlfn.ANCHORARRAY(Sintesi!$C$9)&lt;_xlfn.ANCHORARRAY(Sintesi!$C$10))*(A211&gt;=_xlfn.ANCHORARRAY(Sintesi!$C$9))*(A211&lt;=_xlfn.ANCHORARRAY(Sintesi!$C$10)),0)),0))/(_xlfn.IFNA(INDEX(_xlfn.ANCHORARRAY(Sintesi!$C$18),1,MATCH(1,(_xlfn.ANCHORARRAY(Sintesi!$C$9)&gt;_xlfn.ANCHORARRAY(Sintesi!$C$10))*(A211&gt;=_xlfn.ANCHORARRAY(Sintesi!$C$9))+(_xlfn.ANCHORARRAY(Sintesi!$C$9)&gt;_xlfn.ANCHORARRAY(Sintesi!$C$10))*(A211&lt;=_xlfn.ANCHORARRAY(Sintesi!$C$10))+(_xlfn.ANCHORARRAY(Sintesi!$C$9)&lt;_xlfn.ANCHORARRAY(Sintesi!$C$10))*(A211&gt;=_xlfn.ANCHORARRAY(Sintesi!$C$9))*(A211&lt;=_xlfn.ANCHORARRAY(Sintesi!$C$10)),0)),0)-_xlfn.IFNA(INDEX(_xlfn.ANCHORARRAY(Sintesi!$C$17),1,MATCH(1,(_xlfn.ANCHORARRAY(Sintesi!$C$9)&gt;_xlfn.ANCHORARRAY(Sintesi!$C$10))*(A211&gt;=_xlfn.ANCHORARRAY(Sintesi!$C$9))+(_xlfn.ANCHORARRAY(Sintesi!$C$9)&gt;_xlfn.ANCHORARRAY(Sintesi!$C$10))*(A211&lt;=_xlfn.ANCHORARRAY(Sintesi!$C$10))+(_xlfn.ANCHORARRAY(Sintesi!$C$9)&lt;_xlfn.ANCHORARRAY(Sintesi!$C$10))*(A211&gt;=_xlfn.ANCHORARRAY(Sintesi!$C$9))*(A211&lt;=_xlfn.ANCHORARRAY(Sintesi!$C$10)),0)),0)))),0)</f>
        <v>1</v>
      </c>
    </row>
    <row r="213" spans="1:13">
      <c r="A213" s="1">
        <f>'Paste cell here'!A213</f>
        <v>212</v>
      </c>
      <c r="B213" s="2">
        <f>DATE(Sintesi!$C$4-1,12,31)+A213</f>
        <v>44408</v>
      </c>
      <c r="C213" s="34">
        <f t="array" ref="C213">_xlfn.IFNA(MATCH(1,((_xlfn.ANCHORARRAY(Sintesi!$C$9)&gt;_xlfn.ANCHORARRAY(Sintesi!$C$10))*(A213&gt;=_xlfn.ANCHORARRAY(Sintesi!$C$9))+(_xlfn.ANCHORARRAY(Sintesi!$C$9)&gt;_xlfn.ANCHORARRAY(Sintesi!$C$10))*(A213&lt;=_xlfn.ANCHORARRAY(Sintesi!$C$10))+(_xlfn.ANCHORARRAY(Sintesi!$C$9)&lt;_xlfn.ANCHORARRAY(Sintesi!$C$10))*(A213&gt;=_xlfn.ANCHORARRAY(Sintesi!$C$9))*(A213&lt;=_xlfn.ANCHORARRAY(Sintesi!$C$10)))*(_xlfn.ANCHORARRAY(Sintesi!$C$15)&gt;=0)+(_xlfn.ANCHORARRAY(Sintesi!$C$15)&lt;0),0),0)</f>
        <v>1</v>
      </c>
      <c r="D213" s="1">
        <f t="array" ref="D213">IF(ISBLANK($E214),IF(ISNUMBER($E212),IF($C213&gt;0,IF(($E213=INDEX(_xlfn.ANCHORARRAY(Sintesi!$C$14),1,$C213))*(INDEX(_xlfn.ANCHORARRAY(Sintesi!$C$15),1,$C213)&gt;0),0,IF(($E213=INDEX(_xlfn.ANCHORARRAY(Sintesi!$C$14),1,$C213))*(INDEX(_xlfn.ANCHORARRAY(Sintesi!$C$15),1,$C213)&lt;0)+($E213&gt;=$E212)*($E213&lt;=INDEX($E:$E,MATCH(TRUE,INDEX((ISNUMBER($E:$E)),0),0)))*($E213&gt;INDEX(_xlfn.ANCHORARRAY(Sintesi!$C$14),1,$C213))*($E213&lt;=INDEX(_xlfn.ANCHORARRAY(Sintesi!$C$15),1,$C213))*(INDEX(_xlfn.ANCHORARRAY(Sintesi!$C$15),1,$C213)&gt;0),1,IF(($E213&gt;=$E212)*($E213&lt;=INDEX($E:$E,MATCH(TRUE,INDEX((ISNUMBER($E:$E)),0),0)))*($E213&gt;INDEX(_xlfn.ANCHORARRAY(Sintesi!$C$14),1,$C213))*($E213&lt;INDEX(_xlfn.ANCHORARRAY(Sintesi!$C$16),1,$C213))*(INDEX(_xlfn.ANCHORARRAY(Sintesi!$C$15),1,$C213)&lt;0)+($E213&gt;=$E212)*($E213&lt;=INDEX($E:$E,MATCH(TRUE,INDEX((ISNUMBER($E:$E)),0),0)))*($E213&gt;INDEX(_xlfn.ANCHORARRAY(Sintesi!$C$15),1,$C213))*($E213&lt;INDEX(_xlfn.ANCHORARRAY(Sintesi!$C$16),1,$C213))*(INDEX(_xlfn.ANCHORARRAY(Sintesi!$C$15),1,$C213)&gt;0),2,IF($E213=(INDEX(_xlfn.ANCHORARRAY(Sintesi!$C$16),1,$C213)),3,4)))),0),IF($C213&gt;0,IF(($E213=INDEX(_xlfn.ANCHORARRAY(Sintesi!$C$14),1,$C213))*(INDEX(_xlfn.ANCHORARRAY(Sintesi!$C$15),1,$C213)&gt;0),0,IF(($E213=INDEX(_xlfn.ANCHORARRAY(Sintesi!$C$14),1,$C213))*(INDEX(_xlfn.ANCHORARRAY(Sintesi!$C$15),1,$C213)&lt;0)+($E213&gt;=LOOKUP(2,1/($E:$E&lt;&gt;""),$E:$E))*($E213&lt;=INDEX($E:$E,MATCH(TRUE,INDEX((ISNUMBER($E:$E)),0),0)))*($E213&gt;INDEX(_xlfn.ANCHORARRAY(Sintesi!$C$14),1,$C213))*($E213&lt;=INDEX(_xlfn.ANCHORARRAY(Sintesi!$C$15),1,$C213))*(INDEX(_xlfn.ANCHORARRAY(Sintesi!$C$15),1,$C213)&gt;0),1,IF(($E213&gt;=LOOKUP(2,1/($E:$E&lt;&gt;""),$E:$E))*($E213&lt;=INDEX($E:$E,MATCH(TRUE,INDEX((ISNUMBER($E:$E)),0),0)))*($E213&gt;INDEX(_xlfn.ANCHORARRAY(Sintesi!$C$14),1,$C213))*($E213&lt;INDEX(_xlfn.ANCHORARRAY(Sintesi!$C$16),1,$C213))*(INDEX(_xlfn.ANCHORARRAY(Sintesi!$C$15),1,$C213)&lt;0)+($E213&gt;=LOOKUP(2,1/($E:$E&lt;&gt;""),$E:$E))*($E213&lt;=INDEX($E:$E,MATCH(TRUE,INDEX((ISNUMBER($E:$E)),0),0)))*($E213&gt;INDEX(_xlfn.ANCHORARRAY(Sintesi!$C$15),1,$C213))*($E213&lt;INDEX(_xlfn.ANCHORARRAY(Sintesi!$C$16),1,$C213))*(INDEX(_xlfn.ANCHORARRAY(Sintesi!$C$15),1,$C213)&gt;0),2,IF($E213=(INDEX(_xlfn.ANCHORARRAY(Sintesi!$C$16),1,$C213)),3,4)))),0)),IF(ISNUMBER($E212),IF($C213&gt;0,IF(($E213=INDEX(_xlfn.ANCHORARRAY(Sintesi!$C$14),1,$C213))*(INDEX(_xlfn.ANCHORARRAY(Sintesi!$C$15),1,$C213)&gt;0),0,IF(($E213=INDEX(_xlfn.ANCHORARRAY(Sintesi!$C$14),1,$C213))*(INDEX(_xlfn.ANCHORARRAY(Sintesi!$C$15),1,$C213)&lt;0)+($E213&gt;=$E212)*($E213&lt;=$E214)*($E213&gt;INDEX(_xlfn.ANCHORARRAY(Sintesi!$C$14),1,$C213))*($E213&lt;=INDEX(_xlfn.ANCHORARRAY(Sintesi!$C$15),1,$C213))*(INDEX(_xlfn.ANCHORARRAY(Sintesi!$C$15),1,$C213)&gt;0),1,IF(($E213&gt;=$E212)*($E213&lt;=$E214)*($E213&gt;INDEX(_xlfn.ANCHORARRAY(Sintesi!$C$14),1,$C213))*($E213&lt;INDEX(_xlfn.ANCHORARRAY(Sintesi!$C$16),1,$C213))*(INDEX(_xlfn.ANCHORARRAY(Sintesi!$C$15),1,$C213)&lt;0)+($E213&gt;=$E212)*($E213&lt;=$E214)*($E213&gt;INDEX(_xlfn.ANCHORARRAY(Sintesi!$C$15),1,$C213))*($E213&lt;INDEX(_xlfn.ANCHORARRAY(Sintesi!$C$16),1,$C213))*(INDEX(_xlfn.ANCHORARRAY(Sintesi!$C$15),1,$C213)&gt;0),2,IF($E213=(INDEX(_xlfn.ANCHORARRAY(Sintesi!$C$16),1,$C213)),3,4)))),0),IF($C213&gt;0,IF(($E213=INDEX(_xlfn.ANCHORARRAY(Sintesi!$C$14),1,$C213))*(INDEX(_xlfn.ANCHORARRAY(Sintesi!$C$15),1,$C213)&gt;0),0,IF(($E213=INDEX(_xlfn.ANCHORARRAY(Sintesi!$C$14),1,$C213))*(INDEX(_xlfn.ANCHORARRAY(Sintesi!$C$15),1,$C213)&lt;0)+($E213&gt;=LOOKUP(2,1/($E:$E&lt;&gt;""),$E:$E))*($E213&lt;=$E214)*($E213&gt;INDEX(_xlfn.ANCHORARRAY(Sintesi!$C$14),1,$C213))*($E213&lt;=INDEX(_xlfn.ANCHORARRAY(Sintesi!$C$15),1,$C213))*(INDEX(_xlfn.ANCHORARRAY(Sintesi!$C$15),1,$C213)&gt;0),1,IF(($E213&gt;=LOOKUP(2,1/($E:$E&lt;&gt;""),$E:$E))*($E213&lt;=$E214)*($E213&gt;INDEX(_xlfn.ANCHORARRAY(Sintesi!$C$14),1,$C213))*($E213&lt;INDEX(_xlfn.ANCHORARRAY(Sintesi!$C$16),1,$C213))*(INDEX(_xlfn.ANCHORARRAY(Sintesi!$C$15),1,$C213)&lt;0)+($E213&gt;=LOOKUP(2,1/($E:$E&lt;&gt;""),$E:$E))*($E213&lt;=$E214)*($E213&gt;INDEX(_xlfn.ANCHORARRAY(Sintesi!$C$15),1,$C213))*($E213&lt;INDEX(_xlfn.ANCHORARRAY(Sintesi!$C$16),1,$C213))*(INDEX(_xlfn.ANCHORARRAY(Sintesi!$C$15),1,$C213)&gt;0),2,IF($E213=(INDEX(_xlfn.ANCHORARRAY(Sintesi!$C$16),1,$C213)),3,4)))),0)))</f>
        <v>3</v>
      </c>
      <c r="E213" s="1">
        <f>'Paste cell here'!F213</f>
        <v>1.0469999999999999</v>
      </c>
      <c r="F213" s="1">
        <f>'Paste cell here'!C213</f>
        <v>32.099999999999532</v>
      </c>
      <c r="G213" s="1">
        <f>'Paste cell here'!D213</f>
        <v>20.999999999999709</v>
      </c>
      <c r="H213" s="1">
        <f>'Paste cell here'!E213</f>
        <v>4.5050390851891455</v>
      </c>
      <c r="I213" s="1">
        <f>'Paste cell here'!X213</f>
        <v>4.7166072562447496</v>
      </c>
      <c r="J213" s="1">
        <f>'Paste cell here'!Y213+'Paste cell here'!S213</f>
        <v>4.7166072562447496</v>
      </c>
      <c r="K213" s="1">
        <f t="shared" si="6"/>
        <v>1.0469625606026727</v>
      </c>
      <c r="L213" s="1">
        <f t="shared" si="7"/>
        <v>28.496945740595276</v>
      </c>
      <c r="M213" s="1">
        <f t="array" ref="M213">IF(AND(A213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213&gt;=_xlfn.ANCHORARRAY(Sintesi!$C$9))+(_xlfn.ANCHORARRAY(Sintesi!$C$9)&gt;_xlfn.ANCHORARRAY(Sintesi!$C$10))*(A213&lt;=_xlfn.ANCHORARRAY(Sintesi!$C$10))+(_xlfn.ANCHORARRAY(Sintesi!$C$9)&lt;_xlfn.ANCHORARRAY(Sintesi!$C$10))*(A213&gt;=_xlfn.ANCHORARRAY(Sintesi!$C$9))*(A213&lt;=_xlfn.ANCHORARRAY(Sintesi!$C$10)),0)),0),A213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214&gt;=_xlfn.ANCHORARRAY(Sintesi!$C$9))+(_xlfn.ANCHORARRAY(Sintesi!$C$9)&gt;_xlfn.ANCHORARRAY(Sintesi!$C$10))*(A214&lt;=_xlfn.ANCHORARRAY(Sintesi!$C$10))+(_xlfn.ANCHORARRAY(Sintesi!$C$9)&lt;_xlfn.ANCHORARRAY(Sintesi!$C$10))*(A214&gt;=_xlfn.ANCHORARRAY(Sintesi!$C$9))*(A214&lt;=_xlfn.ANCHORARRAY(Sintesi!$C$10)),0)),0)),IF(L213&lt;_xlfn.IFNA(INDEX(_xlfn.ANCHORARRAY(Sintesi!$C$17),1,MATCH(1,(_xlfn.ANCHORARRAY(Sintesi!$C$9)&gt;_xlfn.ANCHORARRAY(Sintesi!$C$10))*(A212&gt;=_xlfn.ANCHORARRAY(Sintesi!$C$9))+(_xlfn.ANCHORARRAY(Sintesi!$C$9)&gt;_xlfn.ANCHORARRAY(Sintesi!$C$10))*(A212&lt;=_xlfn.ANCHORARRAY(Sintesi!$C$10))+(_xlfn.ANCHORARRAY(Sintesi!$C$9)&lt;_xlfn.ANCHORARRAY(Sintesi!$C$10))*(A212&gt;=_xlfn.ANCHORARRAY(Sintesi!$C$9))*(A212&lt;=_xlfn.ANCHORARRAY(Sintesi!$C$10)),0)),0),1,IF(L213&gt;=_xlfn.IFNA(INDEX(_xlfn.ANCHORARRAY(Sintesi!$C$18),1,MATCH(1,(_xlfn.ANCHORARRAY(Sintesi!$C$9)&gt;_xlfn.ANCHORARRAY(Sintesi!$C$10))*(A212&gt;=_xlfn.ANCHORARRAY(Sintesi!$C$9))+(_xlfn.ANCHORARRAY(Sintesi!$C$9)&gt;_xlfn.ANCHORARRAY(Sintesi!$C$10))*(A212&lt;=_xlfn.ANCHORARRAY(Sintesi!$C$10))+(_xlfn.ANCHORARRAY(Sintesi!$C$9)&lt;_xlfn.ANCHORARRAY(Sintesi!$C$10))*(A212&gt;=_xlfn.ANCHORARRAY(Sintesi!$C$9))*(A212&lt;=_xlfn.ANCHORARRAY(Sintesi!$C$10)),0)),0),0,1-(L213-_xlfn.IFNA(INDEX(_xlfn.ANCHORARRAY(Sintesi!$C$17),1,MATCH(1,(_xlfn.ANCHORARRAY(Sintesi!$C$9)&gt;_xlfn.ANCHORARRAY(Sintesi!$C$10))*(A212&gt;=_xlfn.ANCHORARRAY(Sintesi!$C$9))+(_xlfn.ANCHORARRAY(Sintesi!$C$9)&gt;_xlfn.ANCHORARRAY(Sintesi!$C$10))*(A212&lt;=_xlfn.ANCHORARRAY(Sintesi!$C$10))+(_xlfn.ANCHORARRAY(Sintesi!$C$9)&lt;_xlfn.ANCHORARRAY(Sintesi!$C$10))*(A212&gt;=_xlfn.ANCHORARRAY(Sintesi!$C$9))*(A212&lt;=_xlfn.ANCHORARRAY(Sintesi!$C$10)),0)),0))/(_xlfn.IFNA(INDEX(_xlfn.ANCHORARRAY(Sintesi!$C$18),1,MATCH(1,(_xlfn.ANCHORARRAY(Sintesi!$C$9)&gt;_xlfn.ANCHORARRAY(Sintesi!$C$10))*(A212&gt;=_xlfn.ANCHORARRAY(Sintesi!$C$9))+(_xlfn.ANCHORARRAY(Sintesi!$C$9)&gt;_xlfn.ANCHORARRAY(Sintesi!$C$10))*(A212&lt;=_xlfn.ANCHORARRAY(Sintesi!$C$10))+(_xlfn.ANCHORARRAY(Sintesi!$C$9)&lt;_xlfn.ANCHORARRAY(Sintesi!$C$10))*(A212&gt;=_xlfn.ANCHORARRAY(Sintesi!$C$9))*(A212&lt;=_xlfn.ANCHORARRAY(Sintesi!$C$10)),0)),0)-_xlfn.IFNA(INDEX(_xlfn.ANCHORARRAY(Sintesi!$C$17),1,MATCH(1,(_xlfn.ANCHORARRAY(Sintesi!$C$9)&gt;_xlfn.ANCHORARRAY(Sintesi!$C$10))*(A212&gt;=_xlfn.ANCHORARRAY(Sintesi!$C$9))+(_xlfn.ANCHORARRAY(Sintesi!$C$9)&gt;_xlfn.ANCHORARRAY(Sintesi!$C$10))*(A212&lt;=_xlfn.ANCHORARRAY(Sintesi!$C$10))+(_xlfn.ANCHORARRAY(Sintesi!$C$9)&lt;_xlfn.ANCHORARRAY(Sintesi!$C$10))*(A212&gt;=_xlfn.ANCHORARRAY(Sintesi!$C$9))*(A212&lt;=_xlfn.ANCHORARRAY(Sintesi!$C$10)),0)),0)))),0)</f>
        <v>0</v>
      </c>
    </row>
    <row r="214" spans="1:13">
      <c r="A214" s="1">
        <f>'Paste cell here'!A214</f>
        <v>213</v>
      </c>
      <c r="B214" s="2">
        <f>DATE(Sintesi!$C$4-1,12,31)+A214</f>
        <v>44409</v>
      </c>
      <c r="C214" s="34">
        <f t="array" ref="C214">_xlfn.IFNA(MATCH(1,((_xlfn.ANCHORARRAY(Sintesi!$C$9)&gt;_xlfn.ANCHORARRAY(Sintesi!$C$10))*(A214&gt;=_xlfn.ANCHORARRAY(Sintesi!$C$9))+(_xlfn.ANCHORARRAY(Sintesi!$C$9)&gt;_xlfn.ANCHORARRAY(Sintesi!$C$10))*(A214&lt;=_xlfn.ANCHORARRAY(Sintesi!$C$10))+(_xlfn.ANCHORARRAY(Sintesi!$C$9)&lt;_xlfn.ANCHORARRAY(Sintesi!$C$10))*(A214&gt;=_xlfn.ANCHORARRAY(Sintesi!$C$9))*(A214&lt;=_xlfn.ANCHORARRAY(Sintesi!$C$10)))*(_xlfn.ANCHORARRAY(Sintesi!$C$15)&gt;=0)+(_xlfn.ANCHORARRAY(Sintesi!$C$15)&lt;0),0),0)</f>
        <v>1</v>
      </c>
      <c r="D214" s="1">
        <f t="array" ref="D214">IF(ISBLANK($E215),IF(ISNUMBER($E213),IF($C214&gt;0,IF(($E214=INDEX(_xlfn.ANCHORARRAY(Sintesi!$C$14),1,$C214))*(INDEX(_xlfn.ANCHORARRAY(Sintesi!$C$15),1,$C214)&gt;0),0,IF(($E214=INDEX(_xlfn.ANCHORARRAY(Sintesi!$C$14),1,$C214))*(INDEX(_xlfn.ANCHORARRAY(Sintesi!$C$15),1,$C214)&lt;0)+($E214&gt;=$E213)*($E214&lt;=INDEX($E:$E,MATCH(TRUE,INDEX((ISNUMBER($E:$E)),0),0)))*($E214&gt;INDEX(_xlfn.ANCHORARRAY(Sintesi!$C$14),1,$C214))*($E214&lt;=INDEX(_xlfn.ANCHORARRAY(Sintesi!$C$15),1,$C214))*(INDEX(_xlfn.ANCHORARRAY(Sintesi!$C$15),1,$C214)&gt;0),1,IF(($E214&gt;=$E213)*($E214&lt;=INDEX($E:$E,MATCH(TRUE,INDEX((ISNUMBER($E:$E)),0),0)))*($E214&gt;INDEX(_xlfn.ANCHORARRAY(Sintesi!$C$14),1,$C214))*($E214&lt;INDEX(_xlfn.ANCHORARRAY(Sintesi!$C$16),1,$C214))*(INDEX(_xlfn.ANCHORARRAY(Sintesi!$C$15),1,$C214)&lt;0)+($E214&gt;=$E213)*($E214&lt;=INDEX($E:$E,MATCH(TRUE,INDEX((ISNUMBER($E:$E)),0),0)))*($E214&gt;INDEX(_xlfn.ANCHORARRAY(Sintesi!$C$15),1,$C214))*($E214&lt;INDEX(_xlfn.ANCHORARRAY(Sintesi!$C$16),1,$C214))*(INDEX(_xlfn.ANCHORARRAY(Sintesi!$C$15),1,$C214)&gt;0),2,IF($E214=(INDEX(_xlfn.ANCHORARRAY(Sintesi!$C$16),1,$C214)),3,4)))),0),IF($C214&gt;0,IF(($E214=INDEX(_xlfn.ANCHORARRAY(Sintesi!$C$14),1,$C214))*(INDEX(_xlfn.ANCHORARRAY(Sintesi!$C$15),1,$C214)&gt;0),0,IF(($E214=INDEX(_xlfn.ANCHORARRAY(Sintesi!$C$14),1,$C214))*(INDEX(_xlfn.ANCHORARRAY(Sintesi!$C$15),1,$C214)&lt;0)+($E214&gt;=LOOKUP(2,1/($E:$E&lt;&gt;""),$E:$E))*($E214&lt;=INDEX($E:$E,MATCH(TRUE,INDEX((ISNUMBER($E:$E)),0),0)))*($E214&gt;INDEX(_xlfn.ANCHORARRAY(Sintesi!$C$14),1,$C214))*($E214&lt;=INDEX(_xlfn.ANCHORARRAY(Sintesi!$C$15),1,$C214))*(INDEX(_xlfn.ANCHORARRAY(Sintesi!$C$15),1,$C214)&gt;0),1,IF(($E214&gt;=LOOKUP(2,1/($E:$E&lt;&gt;""),$E:$E))*($E214&lt;=INDEX($E:$E,MATCH(TRUE,INDEX((ISNUMBER($E:$E)),0),0)))*($E214&gt;INDEX(_xlfn.ANCHORARRAY(Sintesi!$C$14),1,$C214))*($E214&lt;INDEX(_xlfn.ANCHORARRAY(Sintesi!$C$16),1,$C214))*(INDEX(_xlfn.ANCHORARRAY(Sintesi!$C$15),1,$C214)&lt;0)+($E214&gt;=LOOKUP(2,1/($E:$E&lt;&gt;""),$E:$E))*($E214&lt;=INDEX($E:$E,MATCH(TRUE,INDEX((ISNUMBER($E:$E)),0),0)))*($E214&gt;INDEX(_xlfn.ANCHORARRAY(Sintesi!$C$15),1,$C214))*($E214&lt;INDEX(_xlfn.ANCHORARRAY(Sintesi!$C$16),1,$C214))*(INDEX(_xlfn.ANCHORARRAY(Sintesi!$C$15),1,$C214)&gt;0),2,IF($E214=(INDEX(_xlfn.ANCHORARRAY(Sintesi!$C$16),1,$C214)),3,4)))),0)),IF(ISNUMBER($E213),IF($C214&gt;0,IF(($E214=INDEX(_xlfn.ANCHORARRAY(Sintesi!$C$14),1,$C214))*(INDEX(_xlfn.ANCHORARRAY(Sintesi!$C$15),1,$C214)&gt;0),0,IF(($E214=INDEX(_xlfn.ANCHORARRAY(Sintesi!$C$14),1,$C214))*(INDEX(_xlfn.ANCHORARRAY(Sintesi!$C$15),1,$C214)&lt;0)+($E214&gt;=$E213)*($E214&lt;=$E215)*($E214&gt;INDEX(_xlfn.ANCHORARRAY(Sintesi!$C$14),1,$C214))*($E214&lt;=INDEX(_xlfn.ANCHORARRAY(Sintesi!$C$15),1,$C214))*(INDEX(_xlfn.ANCHORARRAY(Sintesi!$C$15),1,$C214)&gt;0),1,IF(($E214&gt;=$E213)*($E214&lt;=$E215)*($E214&gt;INDEX(_xlfn.ANCHORARRAY(Sintesi!$C$14),1,$C214))*($E214&lt;INDEX(_xlfn.ANCHORARRAY(Sintesi!$C$16),1,$C214))*(INDEX(_xlfn.ANCHORARRAY(Sintesi!$C$15),1,$C214)&lt;0)+($E214&gt;=$E213)*($E214&lt;=$E215)*($E214&gt;INDEX(_xlfn.ANCHORARRAY(Sintesi!$C$15),1,$C214))*($E214&lt;INDEX(_xlfn.ANCHORARRAY(Sintesi!$C$16),1,$C214))*(INDEX(_xlfn.ANCHORARRAY(Sintesi!$C$15),1,$C214)&gt;0),2,IF($E214=(INDEX(_xlfn.ANCHORARRAY(Sintesi!$C$16),1,$C214)),3,4)))),0),IF($C214&gt;0,IF(($E214=INDEX(_xlfn.ANCHORARRAY(Sintesi!$C$14),1,$C214))*(INDEX(_xlfn.ANCHORARRAY(Sintesi!$C$15),1,$C214)&gt;0),0,IF(($E214=INDEX(_xlfn.ANCHORARRAY(Sintesi!$C$14),1,$C214))*(INDEX(_xlfn.ANCHORARRAY(Sintesi!$C$15),1,$C214)&lt;0)+($E214&gt;=LOOKUP(2,1/($E:$E&lt;&gt;""),$E:$E))*($E214&lt;=$E215)*($E214&gt;INDEX(_xlfn.ANCHORARRAY(Sintesi!$C$14),1,$C214))*($E214&lt;=INDEX(_xlfn.ANCHORARRAY(Sintesi!$C$15),1,$C214))*(INDEX(_xlfn.ANCHORARRAY(Sintesi!$C$15),1,$C214)&gt;0),1,IF(($E214&gt;=LOOKUP(2,1/($E:$E&lt;&gt;""),$E:$E))*($E214&lt;=$E215)*($E214&gt;INDEX(_xlfn.ANCHORARRAY(Sintesi!$C$14),1,$C214))*($E214&lt;INDEX(_xlfn.ANCHORARRAY(Sintesi!$C$16),1,$C214))*(INDEX(_xlfn.ANCHORARRAY(Sintesi!$C$15),1,$C214)&lt;0)+($E214&gt;=LOOKUP(2,1/($E:$E&lt;&gt;""),$E:$E))*($E214&lt;=$E215)*($E214&gt;INDEX(_xlfn.ANCHORARRAY(Sintesi!$C$15),1,$C214))*($E214&lt;INDEX(_xlfn.ANCHORARRAY(Sintesi!$C$16),1,$C214))*(INDEX(_xlfn.ANCHORARRAY(Sintesi!$C$15),1,$C214)&gt;0),2,IF($E214=(INDEX(_xlfn.ANCHORARRAY(Sintesi!$C$16),1,$C214)),3,4)))),0)))</f>
        <v>3</v>
      </c>
      <c r="E214" s="1">
        <f>'Paste cell here'!F214</f>
        <v>1.0469999999999999</v>
      </c>
      <c r="F214" s="1">
        <f>'Paste cell here'!C214</f>
        <v>28.239999999999583</v>
      </c>
      <c r="G214" s="1">
        <f>'Paste cell here'!D214</f>
        <v>17.039999999999765</v>
      </c>
      <c r="H214" s="1">
        <f>'Paste cell here'!E214</f>
        <v>2.9801605130781663</v>
      </c>
      <c r="I214" s="1">
        <f>'Paste cell here'!X214</f>
        <v>3.1201220677611516</v>
      </c>
      <c r="J214" s="1">
        <f>'Paste cell here'!Y214+'Paste cell here'!S214</f>
        <v>3.1201220677611516</v>
      </c>
      <c r="K214" s="1">
        <f t="shared" si="6"/>
        <v>1.0469644349922687</v>
      </c>
      <c r="L214" s="1">
        <f t="shared" si="7"/>
        <v>24.048058808535732</v>
      </c>
      <c r="M214" s="1">
        <f t="array" ref="M214">IF(AND(A214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214&gt;=_xlfn.ANCHORARRAY(Sintesi!$C$9))+(_xlfn.ANCHORARRAY(Sintesi!$C$9)&gt;_xlfn.ANCHORARRAY(Sintesi!$C$10))*(A214&lt;=_xlfn.ANCHORARRAY(Sintesi!$C$10))+(_xlfn.ANCHORARRAY(Sintesi!$C$9)&lt;_xlfn.ANCHORARRAY(Sintesi!$C$10))*(A214&gt;=_xlfn.ANCHORARRAY(Sintesi!$C$9))*(A214&lt;=_xlfn.ANCHORARRAY(Sintesi!$C$10)),0)),0),A214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215&gt;=_xlfn.ANCHORARRAY(Sintesi!$C$9))+(_xlfn.ANCHORARRAY(Sintesi!$C$9)&gt;_xlfn.ANCHORARRAY(Sintesi!$C$10))*(A215&lt;=_xlfn.ANCHORARRAY(Sintesi!$C$10))+(_xlfn.ANCHORARRAY(Sintesi!$C$9)&lt;_xlfn.ANCHORARRAY(Sintesi!$C$10))*(A215&gt;=_xlfn.ANCHORARRAY(Sintesi!$C$9))*(A215&lt;=_xlfn.ANCHORARRAY(Sintesi!$C$10)),0)),0)),IF(L214&lt;_xlfn.IFNA(INDEX(_xlfn.ANCHORARRAY(Sintesi!$C$17),1,MATCH(1,(_xlfn.ANCHORARRAY(Sintesi!$C$9)&gt;_xlfn.ANCHORARRAY(Sintesi!$C$10))*(A213&gt;=_xlfn.ANCHORARRAY(Sintesi!$C$9))+(_xlfn.ANCHORARRAY(Sintesi!$C$9)&gt;_xlfn.ANCHORARRAY(Sintesi!$C$10))*(A213&lt;=_xlfn.ANCHORARRAY(Sintesi!$C$10))+(_xlfn.ANCHORARRAY(Sintesi!$C$9)&lt;_xlfn.ANCHORARRAY(Sintesi!$C$10))*(A213&gt;=_xlfn.ANCHORARRAY(Sintesi!$C$9))*(A213&lt;=_xlfn.ANCHORARRAY(Sintesi!$C$10)),0)),0),1,IF(L214&gt;=_xlfn.IFNA(INDEX(_xlfn.ANCHORARRAY(Sintesi!$C$18),1,MATCH(1,(_xlfn.ANCHORARRAY(Sintesi!$C$9)&gt;_xlfn.ANCHORARRAY(Sintesi!$C$10))*(A213&gt;=_xlfn.ANCHORARRAY(Sintesi!$C$9))+(_xlfn.ANCHORARRAY(Sintesi!$C$9)&gt;_xlfn.ANCHORARRAY(Sintesi!$C$10))*(A213&lt;=_xlfn.ANCHORARRAY(Sintesi!$C$10))+(_xlfn.ANCHORARRAY(Sintesi!$C$9)&lt;_xlfn.ANCHORARRAY(Sintesi!$C$10))*(A213&gt;=_xlfn.ANCHORARRAY(Sintesi!$C$9))*(A213&lt;=_xlfn.ANCHORARRAY(Sintesi!$C$10)),0)),0),0,1-(L214-_xlfn.IFNA(INDEX(_xlfn.ANCHORARRAY(Sintesi!$C$17),1,MATCH(1,(_xlfn.ANCHORARRAY(Sintesi!$C$9)&gt;_xlfn.ANCHORARRAY(Sintesi!$C$10))*(A213&gt;=_xlfn.ANCHORARRAY(Sintesi!$C$9))+(_xlfn.ANCHORARRAY(Sintesi!$C$9)&gt;_xlfn.ANCHORARRAY(Sintesi!$C$10))*(A213&lt;=_xlfn.ANCHORARRAY(Sintesi!$C$10))+(_xlfn.ANCHORARRAY(Sintesi!$C$9)&lt;_xlfn.ANCHORARRAY(Sintesi!$C$10))*(A213&gt;=_xlfn.ANCHORARRAY(Sintesi!$C$9))*(A213&lt;=_xlfn.ANCHORARRAY(Sintesi!$C$10)),0)),0))/(_xlfn.IFNA(INDEX(_xlfn.ANCHORARRAY(Sintesi!$C$18),1,MATCH(1,(_xlfn.ANCHORARRAY(Sintesi!$C$9)&gt;_xlfn.ANCHORARRAY(Sintesi!$C$10))*(A213&gt;=_xlfn.ANCHORARRAY(Sintesi!$C$9))+(_xlfn.ANCHORARRAY(Sintesi!$C$9)&gt;_xlfn.ANCHORARRAY(Sintesi!$C$10))*(A213&lt;=_xlfn.ANCHORARRAY(Sintesi!$C$10))+(_xlfn.ANCHORARRAY(Sintesi!$C$9)&lt;_xlfn.ANCHORARRAY(Sintesi!$C$10))*(A213&gt;=_xlfn.ANCHORARRAY(Sintesi!$C$9))*(A213&lt;=_xlfn.ANCHORARRAY(Sintesi!$C$10)),0)),0)-_xlfn.IFNA(INDEX(_xlfn.ANCHORARRAY(Sintesi!$C$17),1,MATCH(1,(_xlfn.ANCHORARRAY(Sintesi!$C$9)&gt;_xlfn.ANCHORARRAY(Sintesi!$C$10))*(A213&gt;=_xlfn.ANCHORARRAY(Sintesi!$C$9))+(_xlfn.ANCHORARRAY(Sintesi!$C$9)&gt;_xlfn.ANCHORARRAY(Sintesi!$C$10))*(A213&lt;=_xlfn.ANCHORARRAY(Sintesi!$C$10))+(_xlfn.ANCHORARRAY(Sintesi!$C$9)&lt;_xlfn.ANCHORARRAY(Sintesi!$C$10))*(A213&gt;=_xlfn.ANCHORARRAY(Sintesi!$C$9))*(A213&lt;=_xlfn.ANCHORARRAY(Sintesi!$C$10)),0)),0)))),0)</f>
        <v>0</v>
      </c>
    </row>
    <row r="215" spans="1:13">
      <c r="A215" s="1">
        <f>'Paste cell here'!A215</f>
        <v>214</v>
      </c>
      <c r="B215" s="2">
        <f>DATE(Sintesi!$C$4-1,12,31)+A215</f>
        <v>44410</v>
      </c>
      <c r="C215" s="34">
        <f t="array" ref="C215">_xlfn.IFNA(MATCH(1,((_xlfn.ANCHORARRAY(Sintesi!$C$9)&gt;_xlfn.ANCHORARRAY(Sintesi!$C$10))*(A215&gt;=_xlfn.ANCHORARRAY(Sintesi!$C$9))+(_xlfn.ANCHORARRAY(Sintesi!$C$9)&gt;_xlfn.ANCHORARRAY(Sintesi!$C$10))*(A215&lt;=_xlfn.ANCHORARRAY(Sintesi!$C$10))+(_xlfn.ANCHORARRAY(Sintesi!$C$9)&lt;_xlfn.ANCHORARRAY(Sintesi!$C$10))*(A215&gt;=_xlfn.ANCHORARRAY(Sintesi!$C$9))*(A215&lt;=_xlfn.ANCHORARRAY(Sintesi!$C$10)))*(_xlfn.ANCHORARRAY(Sintesi!$C$15)&gt;=0)+(_xlfn.ANCHORARRAY(Sintesi!$C$15)&lt;0),0),0)</f>
        <v>1</v>
      </c>
      <c r="D215" s="1">
        <f t="array" ref="D215">IF(ISBLANK($E216),IF(ISNUMBER($E214),IF($C215&gt;0,IF(($E215=INDEX(_xlfn.ANCHORARRAY(Sintesi!$C$14),1,$C215))*(INDEX(_xlfn.ANCHORARRAY(Sintesi!$C$15),1,$C215)&gt;0),0,IF(($E215=INDEX(_xlfn.ANCHORARRAY(Sintesi!$C$14),1,$C215))*(INDEX(_xlfn.ANCHORARRAY(Sintesi!$C$15),1,$C215)&lt;0)+($E215&gt;=$E214)*($E215&lt;=INDEX($E:$E,MATCH(TRUE,INDEX((ISNUMBER($E:$E)),0),0)))*($E215&gt;INDEX(_xlfn.ANCHORARRAY(Sintesi!$C$14),1,$C215))*($E215&lt;=INDEX(_xlfn.ANCHORARRAY(Sintesi!$C$15),1,$C215))*(INDEX(_xlfn.ANCHORARRAY(Sintesi!$C$15),1,$C215)&gt;0),1,IF(($E215&gt;=$E214)*($E215&lt;=INDEX($E:$E,MATCH(TRUE,INDEX((ISNUMBER($E:$E)),0),0)))*($E215&gt;INDEX(_xlfn.ANCHORARRAY(Sintesi!$C$14),1,$C215))*($E215&lt;INDEX(_xlfn.ANCHORARRAY(Sintesi!$C$16),1,$C215))*(INDEX(_xlfn.ANCHORARRAY(Sintesi!$C$15),1,$C215)&lt;0)+($E215&gt;=$E214)*($E215&lt;=INDEX($E:$E,MATCH(TRUE,INDEX((ISNUMBER($E:$E)),0),0)))*($E215&gt;INDEX(_xlfn.ANCHORARRAY(Sintesi!$C$15),1,$C215))*($E215&lt;INDEX(_xlfn.ANCHORARRAY(Sintesi!$C$16),1,$C215))*(INDEX(_xlfn.ANCHORARRAY(Sintesi!$C$15),1,$C215)&gt;0),2,IF($E215=(INDEX(_xlfn.ANCHORARRAY(Sintesi!$C$16),1,$C215)),3,4)))),0),IF($C215&gt;0,IF(($E215=INDEX(_xlfn.ANCHORARRAY(Sintesi!$C$14),1,$C215))*(INDEX(_xlfn.ANCHORARRAY(Sintesi!$C$15),1,$C215)&gt;0),0,IF(($E215=INDEX(_xlfn.ANCHORARRAY(Sintesi!$C$14),1,$C215))*(INDEX(_xlfn.ANCHORARRAY(Sintesi!$C$15),1,$C215)&lt;0)+($E215&gt;=LOOKUP(2,1/($E:$E&lt;&gt;""),$E:$E))*($E215&lt;=INDEX($E:$E,MATCH(TRUE,INDEX((ISNUMBER($E:$E)),0),0)))*($E215&gt;INDEX(_xlfn.ANCHORARRAY(Sintesi!$C$14),1,$C215))*($E215&lt;=INDEX(_xlfn.ANCHORARRAY(Sintesi!$C$15),1,$C215))*(INDEX(_xlfn.ANCHORARRAY(Sintesi!$C$15),1,$C215)&gt;0),1,IF(($E215&gt;=LOOKUP(2,1/($E:$E&lt;&gt;""),$E:$E))*($E215&lt;=INDEX($E:$E,MATCH(TRUE,INDEX((ISNUMBER($E:$E)),0),0)))*($E215&gt;INDEX(_xlfn.ANCHORARRAY(Sintesi!$C$14),1,$C215))*($E215&lt;INDEX(_xlfn.ANCHORARRAY(Sintesi!$C$16),1,$C215))*(INDEX(_xlfn.ANCHORARRAY(Sintesi!$C$15),1,$C215)&lt;0)+($E215&gt;=LOOKUP(2,1/($E:$E&lt;&gt;""),$E:$E))*($E215&lt;=INDEX($E:$E,MATCH(TRUE,INDEX((ISNUMBER($E:$E)),0),0)))*($E215&gt;INDEX(_xlfn.ANCHORARRAY(Sintesi!$C$15),1,$C215))*($E215&lt;INDEX(_xlfn.ANCHORARRAY(Sintesi!$C$16),1,$C215))*(INDEX(_xlfn.ANCHORARRAY(Sintesi!$C$15),1,$C215)&gt;0),2,IF($E215=(INDEX(_xlfn.ANCHORARRAY(Sintesi!$C$16),1,$C215)),3,4)))),0)),IF(ISNUMBER($E214),IF($C215&gt;0,IF(($E215=INDEX(_xlfn.ANCHORARRAY(Sintesi!$C$14),1,$C215))*(INDEX(_xlfn.ANCHORARRAY(Sintesi!$C$15),1,$C215)&gt;0),0,IF(($E215=INDEX(_xlfn.ANCHORARRAY(Sintesi!$C$14),1,$C215))*(INDEX(_xlfn.ANCHORARRAY(Sintesi!$C$15),1,$C215)&lt;0)+($E215&gt;=$E214)*($E215&lt;=$E216)*($E215&gt;INDEX(_xlfn.ANCHORARRAY(Sintesi!$C$14),1,$C215))*($E215&lt;=INDEX(_xlfn.ANCHORARRAY(Sintesi!$C$15),1,$C215))*(INDEX(_xlfn.ANCHORARRAY(Sintesi!$C$15),1,$C215)&gt;0),1,IF(($E215&gt;=$E214)*($E215&lt;=$E216)*($E215&gt;INDEX(_xlfn.ANCHORARRAY(Sintesi!$C$14),1,$C215))*($E215&lt;INDEX(_xlfn.ANCHORARRAY(Sintesi!$C$16),1,$C215))*(INDEX(_xlfn.ANCHORARRAY(Sintesi!$C$15),1,$C215)&lt;0)+($E215&gt;=$E214)*($E215&lt;=$E216)*($E215&gt;INDEX(_xlfn.ANCHORARRAY(Sintesi!$C$15),1,$C215))*($E215&lt;INDEX(_xlfn.ANCHORARRAY(Sintesi!$C$16),1,$C215))*(INDEX(_xlfn.ANCHORARRAY(Sintesi!$C$15),1,$C215)&gt;0),2,IF($E215=(INDEX(_xlfn.ANCHORARRAY(Sintesi!$C$16),1,$C215)),3,4)))),0),IF($C215&gt;0,IF(($E215=INDEX(_xlfn.ANCHORARRAY(Sintesi!$C$14),1,$C215))*(INDEX(_xlfn.ANCHORARRAY(Sintesi!$C$15),1,$C215)&gt;0),0,IF(($E215=INDEX(_xlfn.ANCHORARRAY(Sintesi!$C$14),1,$C215))*(INDEX(_xlfn.ANCHORARRAY(Sintesi!$C$15),1,$C215)&lt;0)+($E215&gt;=LOOKUP(2,1/($E:$E&lt;&gt;""),$E:$E))*($E215&lt;=$E216)*($E215&gt;INDEX(_xlfn.ANCHORARRAY(Sintesi!$C$14),1,$C215))*($E215&lt;=INDEX(_xlfn.ANCHORARRAY(Sintesi!$C$15),1,$C215))*(INDEX(_xlfn.ANCHORARRAY(Sintesi!$C$15),1,$C215)&gt;0),1,IF(($E215&gt;=LOOKUP(2,1/($E:$E&lt;&gt;""),$E:$E))*($E215&lt;=$E216)*($E215&gt;INDEX(_xlfn.ANCHORARRAY(Sintesi!$C$14),1,$C215))*($E215&lt;INDEX(_xlfn.ANCHORARRAY(Sintesi!$C$16),1,$C215))*(INDEX(_xlfn.ANCHORARRAY(Sintesi!$C$15),1,$C215)&lt;0)+($E215&gt;=LOOKUP(2,1/($E:$E&lt;&gt;""),$E:$E))*($E215&lt;=$E216)*($E215&gt;INDEX(_xlfn.ANCHORARRAY(Sintesi!$C$15),1,$C215))*($E215&lt;INDEX(_xlfn.ANCHORARRAY(Sintesi!$C$16),1,$C215))*(INDEX(_xlfn.ANCHORARRAY(Sintesi!$C$15),1,$C215)&gt;0),2,IF($E215=(INDEX(_xlfn.ANCHORARRAY(Sintesi!$C$16),1,$C215)),3,4)))),0)))</f>
        <v>3</v>
      </c>
      <c r="E215" s="1">
        <f>'Paste cell here'!F215</f>
        <v>1.0469999999999999</v>
      </c>
      <c r="F215" s="1">
        <f>'Paste cell here'!C215</f>
        <v>28.079999999999583</v>
      </c>
      <c r="G215" s="1">
        <f>'Paste cell here'!D215</f>
        <v>16.519999999999772</v>
      </c>
      <c r="H215" s="1">
        <f>'Paste cell here'!E215</f>
        <v>4.1367583307627571</v>
      </c>
      <c r="I215" s="1">
        <f>'Paste cell here'!X215</f>
        <v>4.3310463865300202</v>
      </c>
      <c r="J215" s="1">
        <f>'Paste cell here'!Y215+'Paste cell here'!S215</f>
        <v>4.3310463865300202</v>
      </c>
      <c r="K215" s="1">
        <f t="shared" si="6"/>
        <v>1.0469662572073528</v>
      </c>
      <c r="L215" s="1">
        <f t="shared" si="7"/>
        <v>23.753317841667251</v>
      </c>
      <c r="M215" s="1">
        <f t="array" ref="M215">IF(AND(A215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215&gt;=_xlfn.ANCHORARRAY(Sintesi!$C$9))+(_xlfn.ANCHORARRAY(Sintesi!$C$9)&gt;_xlfn.ANCHORARRAY(Sintesi!$C$10))*(A215&lt;=_xlfn.ANCHORARRAY(Sintesi!$C$10))+(_xlfn.ANCHORARRAY(Sintesi!$C$9)&lt;_xlfn.ANCHORARRAY(Sintesi!$C$10))*(A215&gt;=_xlfn.ANCHORARRAY(Sintesi!$C$9))*(A215&lt;=_xlfn.ANCHORARRAY(Sintesi!$C$10)),0)),0),A215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216&gt;=_xlfn.ANCHORARRAY(Sintesi!$C$9))+(_xlfn.ANCHORARRAY(Sintesi!$C$9)&gt;_xlfn.ANCHORARRAY(Sintesi!$C$10))*(A216&lt;=_xlfn.ANCHORARRAY(Sintesi!$C$10))+(_xlfn.ANCHORARRAY(Sintesi!$C$9)&lt;_xlfn.ANCHORARRAY(Sintesi!$C$10))*(A216&gt;=_xlfn.ANCHORARRAY(Sintesi!$C$9))*(A216&lt;=_xlfn.ANCHORARRAY(Sintesi!$C$10)),0)),0)),IF(L215&lt;_xlfn.IFNA(INDEX(_xlfn.ANCHORARRAY(Sintesi!$C$17),1,MATCH(1,(_xlfn.ANCHORARRAY(Sintesi!$C$9)&gt;_xlfn.ANCHORARRAY(Sintesi!$C$10))*(A214&gt;=_xlfn.ANCHORARRAY(Sintesi!$C$9))+(_xlfn.ANCHORARRAY(Sintesi!$C$9)&gt;_xlfn.ANCHORARRAY(Sintesi!$C$10))*(A214&lt;=_xlfn.ANCHORARRAY(Sintesi!$C$10))+(_xlfn.ANCHORARRAY(Sintesi!$C$9)&lt;_xlfn.ANCHORARRAY(Sintesi!$C$10))*(A214&gt;=_xlfn.ANCHORARRAY(Sintesi!$C$9))*(A214&lt;=_xlfn.ANCHORARRAY(Sintesi!$C$10)),0)),0),1,IF(L215&gt;=_xlfn.IFNA(INDEX(_xlfn.ANCHORARRAY(Sintesi!$C$18),1,MATCH(1,(_xlfn.ANCHORARRAY(Sintesi!$C$9)&gt;_xlfn.ANCHORARRAY(Sintesi!$C$10))*(A214&gt;=_xlfn.ANCHORARRAY(Sintesi!$C$9))+(_xlfn.ANCHORARRAY(Sintesi!$C$9)&gt;_xlfn.ANCHORARRAY(Sintesi!$C$10))*(A214&lt;=_xlfn.ANCHORARRAY(Sintesi!$C$10))+(_xlfn.ANCHORARRAY(Sintesi!$C$9)&lt;_xlfn.ANCHORARRAY(Sintesi!$C$10))*(A214&gt;=_xlfn.ANCHORARRAY(Sintesi!$C$9))*(A214&lt;=_xlfn.ANCHORARRAY(Sintesi!$C$10)),0)),0),0,1-(L215-_xlfn.IFNA(INDEX(_xlfn.ANCHORARRAY(Sintesi!$C$17),1,MATCH(1,(_xlfn.ANCHORARRAY(Sintesi!$C$9)&gt;_xlfn.ANCHORARRAY(Sintesi!$C$10))*(A214&gt;=_xlfn.ANCHORARRAY(Sintesi!$C$9))+(_xlfn.ANCHORARRAY(Sintesi!$C$9)&gt;_xlfn.ANCHORARRAY(Sintesi!$C$10))*(A214&lt;=_xlfn.ANCHORARRAY(Sintesi!$C$10))+(_xlfn.ANCHORARRAY(Sintesi!$C$9)&lt;_xlfn.ANCHORARRAY(Sintesi!$C$10))*(A214&gt;=_xlfn.ANCHORARRAY(Sintesi!$C$9))*(A214&lt;=_xlfn.ANCHORARRAY(Sintesi!$C$10)),0)),0))/(_xlfn.IFNA(INDEX(_xlfn.ANCHORARRAY(Sintesi!$C$18),1,MATCH(1,(_xlfn.ANCHORARRAY(Sintesi!$C$9)&gt;_xlfn.ANCHORARRAY(Sintesi!$C$10))*(A214&gt;=_xlfn.ANCHORARRAY(Sintesi!$C$9))+(_xlfn.ANCHORARRAY(Sintesi!$C$9)&gt;_xlfn.ANCHORARRAY(Sintesi!$C$10))*(A214&lt;=_xlfn.ANCHORARRAY(Sintesi!$C$10))+(_xlfn.ANCHORARRAY(Sintesi!$C$9)&lt;_xlfn.ANCHORARRAY(Sintesi!$C$10))*(A214&gt;=_xlfn.ANCHORARRAY(Sintesi!$C$9))*(A214&lt;=_xlfn.ANCHORARRAY(Sintesi!$C$10)),0)),0)-_xlfn.IFNA(INDEX(_xlfn.ANCHORARRAY(Sintesi!$C$17),1,MATCH(1,(_xlfn.ANCHORARRAY(Sintesi!$C$9)&gt;_xlfn.ANCHORARRAY(Sintesi!$C$10))*(A214&gt;=_xlfn.ANCHORARRAY(Sintesi!$C$9))+(_xlfn.ANCHORARRAY(Sintesi!$C$9)&gt;_xlfn.ANCHORARRAY(Sintesi!$C$10))*(A214&lt;=_xlfn.ANCHORARRAY(Sintesi!$C$10))+(_xlfn.ANCHORARRAY(Sintesi!$C$9)&lt;_xlfn.ANCHORARRAY(Sintesi!$C$10))*(A214&gt;=_xlfn.ANCHORARRAY(Sintesi!$C$9))*(A214&lt;=_xlfn.ANCHORARRAY(Sintesi!$C$10)),0)),0)))),0)</f>
        <v>0</v>
      </c>
    </row>
    <row r="216" spans="1:13">
      <c r="A216" s="1">
        <f>'Paste cell here'!A216</f>
        <v>215</v>
      </c>
      <c r="B216" s="2">
        <f>DATE(Sintesi!$C$4-1,12,31)+A216</f>
        <v>44411</v>
      </c>
      <c r="C216" s="34">
        <f t="array" ref="C216">_xlfn.IFNA(MATCH(1,((_xlfn.ANCHORARRAY(Sintesi!$C$9)&gt;_xlfn.ANCHORARRAY(Sintesi!$C$10))*(A216&gt;=_xlfn.ANCHORARRAY(Sintesi!$C$9))+(_xlfn.ANCHORARRAY(Sintesi!$C$9)&gt;_xlfn.ANCHORARRAY(Sintesi!$C$10))*(A216&lt;=_xlfn.ANCHORARRAY(Sintesi!$C$10))+(_xlfn.ANCHORARRAY(Sintesi!$C$9)&lt;_xlfn.ANCHORARRAY(Sintesi!$C$10))*(A216&gt;=_xlfn.ANCHORARRAY(Sintesi!$C$9))*(A216&lt;=_xlfn.ANCHORARRAY(Sintesi!$C$10)))*(_xlfn.ANCHORARRAY(Sintesi!$C$15)&gt;=0)+(_xlfn.ANCHORARRAY(Sintesi!$C$15)&lt;0),0),0)</f>
        <v>1</v>
      </c>
      <c r="D216" s="1">
        <f t="array" ref="D216">IF(ISBLANK($E217),IF(ISNUMBER($E215),IF($C216&gt;0,IF(($E216=INDEX(_xlfn.ANCHORARRAY(Sintesi!$C$14),1,$C216))*(INDEX(_xlfn.ANCHORARRAY(Sintesi!$C$15),1,$C216)&gt;0),0,IF(($E216=INDEX(_xlfn.ANCHORARRAY(Sintesi!$C$14),1,$C216))*(INDEX(_xlfn.ANCHORARRAY(Sintesi!$C$15),1,$C216)&lt;0)+($E216&gt;=$E215)*($E216&lt;=INDEX($E:$E,MATCH(TRUE,INDEX((ISNUMBER($E:$E)),0),0)))*($E216&gt;INDEX(_xlfn.ANCHORARRAY(Sintesi!$C$14),1,$C216))*($E216&lt;=INDEX(_xlfn.ANCHORARRAY(Sintesi!$C$15),1,$C216))*(INDEX(_xlfn.ANCHORARRAY(Sintesi!$C$15),1,$C216)&gt;0),1,IF(($E216&gt;=$E215)*($E216&lt;=INDEX($E:$E,MATCH(TRUE,INDEX((ISNUMBER($E:$E)),0),0)))*($E216&gt;INDEX(_xlfn.ANCHORARRAY(Sintesi!$C$14),1,$C216))*($E216&lt;INDEX(_xlfn.ANCHORARRAY(Sintesi!$C$16),1,$C216))*(INDEX(_xlfn.ANCHORARRAY(Sintesi!$C$15),1,$C216)&lt;0)+($E216&gt;=$E215)*($E216&lt;=INDEX($E:$E,MATCH(TRUE,INDEX((ISNUMBER($E:$E)),0),0)))*($E216&gt;INDEX(_xlfn.ANCHORARRAY(Sintesi!$C$15),1,$C216))*($E216&lt;INDEX(_xlfn.ANCHORARRAY(Sintesi!$C$16),1,$C216))*(INDEX(_xlfn.ANCHORARRAY(Sintesi!$C$15),1,$C216)&gt;0),2,IF($E216=(INDEX(_xlfn.ANCHORARRAY(Sintesi!$C$16),1,$C216)),3,4)))),0),IF($C216&gt;0,IF(($E216=INDEX(_xlfn.ANCHORARRAY(Sintesi!$C$14),1,$C216))*(INDEX(_xlfn.ANCHORARRAY(Sintesi!$C$15),1,$C216)&gt;0),0,IF(($E216=INDEX(_xlfn.ANCHORARRAY(Sintesi!$C$14),1,$C216))*(INDEX(_xlfn.ANCHORARRAY(Sintesi!$C$15),1,$C216)&lt;0)+($E216&gt;=LOOKUP(2,1/($E:$E&lt;&gt;""),$E:$E))*($E216&lt;=INDEX($E:$E,MATCH(TRUE,INDEX((ISNUMBER($E:$E)),0),0)))*($E216&gt;INDEX(_xlfn.ANCHORARRAY(Sintesi!$C$14),1,$C216))*($E216&lt;=INDEX(_xlfn.ANCHORARRAY(Sintesi!$C$15),1,$C216))*(INDEX(_xlfn.ANCHORARRAY(Sintesi!$C$15),1,$C216)&gt;0),1,IF(($E216&gt;=LOOKUP(2,1/($E:$E&lt;&gt;""),$E:$E))*($E216&lt;=INDEX($E:$E,MATCH(TRUE,INDEX((ISNUMBER($E:$E)),0),0)))*($E216&gt;INDEX(_xlfn.ANCHORARRAY(Sintesi!$C$14),1,$C216))*($E216&lt;INDEX(_xlfn.ANCHORARRAY(Sintesi!$C$16),1,$C216))*(INDEX(_xlfn.ANCHORARRAY(Sintesi!$C$15),1,$C216)&lt;0)+($E216&gt;=LOOKUP(2,1/($E:$E&lt;&gt;""),$E:$E))*($E216&lt;=INDEX($E:$E,MATCH(TRUE,INDEX((ISNUMBER($E:$E)),0),0)))*($E216&gt;INDEX(_xlfn.ANCHORARRAY(Sintesi!$C$15),1,$C216))*($E216&lt;INDEX(_xlfn.ANCHORARRAY(Sintesi!$C$16),1,$C216))*(INDEX(_xlfn.ANCHORARRAY(Sintesi!$C$15),1,$C216)&gt;0),2,IF($E216=(INDEX(_xlfn.ANCHORARRAY(Sintesi!$C$16),1,$C216)),3,4)))),0)),IF(ISNUMBER($E215),IF($C216&gt;0,IF(($E216=INDEX(_xlfn.ANCHORARRAY(Sintesi!$C$14),1,$C216))*(INDEX(_xlfn.ANCHORARRAY(Sintesi!$C$15),1,$C216)&gt;0),0,IF(($E216=INDEX(_xlfn.ANCHORARRAY(Sintesi!$C$14),1,$C216))*(INDEX(_xlfn.ANCHORARRAY(Sintesi!$C$15),1,$C216)&lt;0)+($E216&gt;=$E215)*($E216&lt;=$E217)*($E216&gt;INDEX(_xlfn.ANCHORARRAY(Sintesi!$C$14),1,$C216))*($E216&lt;=INDEX(_xlfn.ANCHORARRAY(Sintesi!$C$15),1,$C216))*(INDEX(_xlfn.ANCHORARRAY(Sintesi!$C$15),1,$C216)&gt;0),1,IF(($E216&gt;=$E215)*($E216&lt;=$E217)*($E216&gt;INDEX(_xlfn.ANCHORARRAY(Sintesi!$C$14),1,$C216))*($E216&lt;INDEX(_xlfn.ANCHORARRAY(Sintesi!$C$16),1,$C216))*(INDEX(_xlfn.ANCHORARRAY(Sintesi!$C$15),1,$C216)&lt;0)+($E216&gt;=$E215)*($E216&lt;=$E217)*($E216&gt;INDEX(_xlfn.ANCHORARRAY(Sintesi!$C$15),1,$C216))*($E216&lt;INDEX(_xlfn.ANCHORARRAY(Sintesi!$C$16),1,$C216))*(INDEX(_xlfn.ANCHORARRAY(Sintesi!$C$15),1,$C216)&gt;0),2,IF($E216=(INDEX(_xlfn.ANCHORARRAY(Sintesi!$C$16),1,$C216)),3,4)))),0),IF($C216&gt;0,IF(($E216=INDEX(_xlfn.ANCHORARRAY(Sintesi!$C$14),1,$C216))*(INDEX(_xlfn.ANCHORARRAY(Sintesi!$C$15),1,$C216)&gt;0),0,IF(($E216=INDEX(_xlfn.ANCHORARRAY(Sintesi!$C$14),1,$C216))*(INDEX(_xlfn.ANCHORARRAY(Sintesi!$C$15),1,$C216)&lt;0)+($E216&gt;=LOOKUP(2,1/($E:$E&lt;&gt;""),$E:$E))*($E216&lt;=$E217)*($E216&gt;INDEX(_xlfn.ANCHORARRAY(Sintesi!$C$14),1,$C216))*($E216&lt;=INDEX(_xlfn.ANCHORARRAY(Sintesi!$C$15),1,$C216))*(INDEX(_xlfn.ANCHORARRAY(Sintesi!$C$15),1,$C216)&gt;0),1,IF(($E216&gt;=LOOKUP(2,1/($E:$E&lt;&gt;""),$E:$E))*($E216&lt;=$E217)*($E216&gt;INDEX(_xlfn.ANCHORARRAY(Sintesi!$C$14),1,$C216))*($E216&lt;INDEX(_xlfn.ANCHORARRAY(Sintesi!$C$16),1,$C216))*(INDEX(_xlfn.ANCHORARRAY(Sintesi!$C$15),1,$C216)&lt;0)+($E216&gt;=LOOKUP(2,1/($E:$E&lt;&gt;""),$E:$E))*($E216&lt;=$E217)*($E216&gt;INDEX(_xlfn.ANCHORARRAY(Sintesi!$C$15),1,$C216))*($E216&lt;INDEX(_xlfn.ANCHORARRAY(Sintesi!$C$16),1,$C216))*(INDEX(_xlfn.ANCHORARRAY(Sintesi!$C$15),1,$C216)&gt;0),2,IF($E216=(INDEX(_xlfn.ANCHORARRAY(Sintesi!$C$16),1,$C216)),3,4)))),0)))</f>
        <v>3</v>
      </c>
      <c r="E216" s="1">
        <f>'Paste cell here'!F216</f>
        <v>1.0469999999999999</v>
      </c>
      <c r="F216" s="1">
        <f>'Paste cell here'!C216</f>
        <v>27.979999999999581</v>
      </c>
      <c r="G216" s="1">
        <f>'Paste cell here'!D216</f>
        <v>16.439999999999774</v>
      </c>
      <c r="H216" s="1">
        <f>'Paste cell here'!E216</f>
        <v>3.6500241846649142</v>
      </c>
      <c r="I216" s="1">
        <f>'Paste cell here'!X216</f>
        <v>3.8214586138310231</v>
      </c>
      <c r="J216" s="1">
        <f>'Paste cell here'!Y216+'Paste cell here'!S216</f>
        <v>3.8214586138310231</v>
      </c>
      <c r="K216" s="1">
        <f t="shared" si="6"/>
        <v>1.0469680255507259</v>
      </c>
      <c r="L216" s="1">
        <f t="shared" si="7"/>
        <v>23.660803450937724</v>
      </c>
      <c r="M216" s="1">
        <f t="array" ref="M216">IF(AND(A216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216&gt;=_xlfn.ANCHORARRAY(Sintesi!$C$9))+(_xlfn.ANCHORARRAY(Sintesi!$C$9)&gt;_xlfn.ANCHORARRAY(Sintesi!$C$10))*(A216&lt;=_xlfn.ANCHORARRAY(Sintesi!$C$10))+(_xlfn.ANCHORARRAY(Sintesi!$C$9)&lt;_xlfn.ANCHORARRAY(Sintesi!$C$10))*(A216&gt;=_xlfn.ANCHORARRAY(Sintesi!$C$9))*(A216&lt;=_xlfn.ANCHORARRAY(Sintesi!$C$10)),0)),0),A216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217&gt;=_xlfn.ANCHORARRAY(Sintesi!$C$9))+(_xlfn.ANCHORARRAY(Sintesi!$C$9)&gt;_xlfn.ANCHORARRAY(Sintesi!$C$10))*(A217&lt;=_xlfn.ANCHORARRAY(Sintesi!$C$10))+(_xlfn.ANCHORARRAY(Sintesi!$C$9)&lt;_xlfn.ANCHORARRAY(Sintesi!$C$10))*(A217&gt;=_xlfn.ANCHORARRAY(Sintesi!$C$9))*(A217&lt;=_xlfn.ANCHORARRAY(Sintesi!$C$10)),0)),0)),IF(L216&lt;_xlfn.IFNA(INDEX(_xlfn.ANCHORARRAY(Sintesi!$C$17),1,MATCH(1,(_xlfn.ANCHORARRAY(Sintesi!$C$9)&gt;_xlfn.ANCHORARRAY(Sintesi!$C$10))*(A215&gt;=_xlfn.ANCHORARRAY(Sintesi!$C$9))+(_xlfn.ANCHORARRAY(Sintesi!$C$9)&gt;_xlfn.ANCHORARRAY(Sintesi!$C$10))*(A215&lt;=_xlfn.ANCHORARRAY(Sintesi!$C$10))+(_xlfn.ANCHORARRAY(Sintesi!$C$9)&lt;_xlfn.ANCHORARRAY(Sintesi!$C$10))*(A215&gt;=_xlfn.ANCHORARRAY(Sintesi!$C$9))*(A215&lt;=_xlfn.ANCHORARRAY(Sintesi!$C$10)),0)),0),1,IF(L216&gt;=_xlfn.IFNA(INDEX(_xlfn.ANCHORARRAY(Sintesi!$C$18),1,MATCH(1,(_xlfn.ANCHORARRAY(Sintesi!$C$9)&gt;_xlfn.ANCHORARRAY(Sintesi!$C$10))*(A215&gt;=_xlfn.ANCHORARRAY(Sintesi!$C$9))+(_xlfn.ANCHORARRAY(Sintesi!$C$9)&gt;_xlfn.ANCHORARRAY(Sintesi!$C$10))*(A215&lt;=_xlfn.ANCHORARRAY(Sintesi!$C$10))+(_xlfn.ANCHORARRAY(Sintesi!$C$9)&lt;_xlfn.ANCHORARRAY(Sintesi!$C$10))*(A215&gt;=_xlfn.ANCHORARRAY(Sintesi!$C$9))*(A215&lt;=_xlfn.ANCHORARRAY(Sintesi!$C$10)),0)),0),0,1-(L216-_xlfn.IFNA(INDEX(_xlfn.ANCHORARRAY(Sintesi!$C$17),1,MATCH(1,(_xlfn.ANCHORARRAY(Sintesi!$C$9)&gt;_xlfn.ANCHORARRAY(Sintesi!$C$10))*(A215&gt;=_xlfn.ANCHORARRAY(Sintesi!$C$9))+(_xlfn.ANCHORARRAY(Sintesi!$C$9)&gt;_xlfn.ANCHORARRAY(Sintesi!$C$10))*(A215&lt;=_xlfn.ANCHORARRAY(Sintesi!$C$10))+(_xlfn.ANCHORARRAY(Sintesi!$C$9)&lt;_xlfn.ANCHORARRAY(Sintesi!$C$10))*(A215&gt;=_xlfn.ANCHORARRAY(Sintesi!$C$9))*(A215&lt;=_xlfn.ANCHORARRAY(Sintesi!$C$10)),0)),0))/(_xlfn.IFNA(INDEX(_xlfn.ANCHORARRAY(Sintesi!$C$18),1,MATCH(1,(_xlfn.ANCHORARRAY(Sintesi!$C$9)&gt;_xlfn.ANCHORARRAY(Sintesi!$C$10))*(A215&gt;=_xlfn.ANCHORARRAY(Sintesi!$C$9))+(_xlfn.ANCHORARRAY(Sintesi!$C$9)&gt;_xlfn.ANCHORARRAY(Sintesi!$C$10))*(A215&lt;=_xlfn.ANCHORARRAY(Sintesi!$C$10))+(_xlfn.ANCHORARRAY(Sintesi!$C$9)&lt;_xlfn.ANCHORARRAY(Sintesi!$C$10))*(A215&gt;=_xlfn.ANCHORARRAY(Sintesi!$C$9))*(A215&lt;=_xlfn.ANCHORARRAY(Sintesi!$C$10)),0)),0)-_xlfn.IFNA(INDEX(_xlfn.ANCHORARRAY(Sintesi!$C$17),1,MATCH(1,(_xlfn.ANCHORARRAY(Sintesi!$C$9)&gt;_xlfn.ANCHORARRAY(Sintesi!$C$10))*(A215&gt;=_xlfn.ANCHORARRAY(Sintesi!$C$9))+(_xlfn.ANCHORARRAY(Sintesi!$C$9)&gt;_xlfn.ANCHORARRAY(Sintesi!$C$10))*(A215&lt;=_xlfn.ANCHORARRAY(Sintesi!$C$10))+(_xlfn.ANCHORARRAY(Sintesi!$C$9)&lt;_xlfn.ANCHORARRAY(Sintesi!$C$10))*(A215&gt;=_xlfn.ANCHORARRAY(Sintesi!$C$9))*(A215&lt;=_xlfn.ANCHORARRAY(Sintesi!$C$10)),0)),0)))),0)</f>
        <v>0</v>
      </c>
    </row>
    <row r="217" spans="1:13">
      <c r="A217" s="1">
        <f>'Paste cell here'!A217</f>
        <v>216</v>
      </c>
      <c r="B217" s="2">
        <f>DATE(Sintesi!$C$4-1,12,31)+A217</f>
        <v>44412</v>
      </c>
      <c r="C217" s="34">
        <f t="array" ref="C217">_xlfn.IFNA(MATCH(1,((_xlfn.ANCHORARRAY(Sintesi!$C$9)&gt;_xlfn.ANCHORARRAY(Sintesi!$C$10))*(A217&gt;=_xlfn.ANCHORARRAY(Sintesi!$C$9))+(_xlfn.ANCHORARRAY(Sintesi!$C$9)&gt;_xlfn.ANCHORARRAY(Sintesi!$C$10))*(A217&lt;=_xlfn.ANCHORARRAY(Sintesi!$C$10))+(_xlfn.ANCHORARRAY(Sintesi!$C$9)&lt;_xlfn.ANCHORARRAY(Sintesi!$C$10))*(A217&gt;=_xlfn.ANCHORARRAY(Sintesi!$C$9))*(A217&lt;=_xlfn.ANCHORARRAY(Sintesi!$C$10)))*(_xlfn.ANCHORARRAY(Sintesi!$C$15)&gt;=0)+(_xlfn.ANCHORARRAY(Sintesi!$C$15)&lt;0),0),0)</f>
        <v>1</v>
      </c>
      <c r="D217" s="1">
        <f t="array" ref="D217">IF(ISBLANK($E218),IF(ISNUMBER($E216),IF($C217&gt;0,IF(($E217=INDEX(_xlfn.ANCHORARRAY(Sintesi!$C$14),1,$C217))*(INDEX(_xlfn.ANCHORARRAY(Sintesi!$C$15),1,$C217)&gt;0),0,IF(($E217=INDEX(_xlfn.ANCHORARRAY(Sintesi!$C$14),1,$C217))*(INDEX(_xlfn.ANCHORARRAY(Sintesi!$C$15),1,$C217)&lt;0)+($E217&gt;=$E216)*($E217&lt;=INDEX($E:$E,MATCH(TRUE,INDEX((ISNUMBER($E:$E)),0),0)))*($E217&gt;INDEX(_xlfn.ANCHORARRAY(Sintesi!$C$14),1,$C217))*($E217&lt;=INDEX(_xlfn.ANCHORARRAY(Sintesi!$C$15),1,$C217))*(INDEX(_xlfn.ANCHORARRAY(Sintesi!$C$15),1,$C217)&gt;0),1,IF(($E217&gt;=$E216)*($E217&lt;=INDEX($E:$E,MATCH(TRUE,INDEX((ISNUMBER($E:$E)),0),0)))*($E217&gt;INDEX(_xlfn.ANCHORARRAY(Sintesi!$C$14),1,$C217))*($E217&lt;INDEX(_xlfn.ANCHORARRAY(Sintesi!$C$16),1,$C217))*(INDEX(_xlfn.ANCHORARRAY(Sintesi!$C$15),1,$C217)&lt;0)+($E217&gt;=$E216)*($E217&lt;=INDEX($E:$E,MATCH(TRUE,INDEX((ISNUMBER($E:$E)),0),0)))*($E217&gt;INDEX(_xlfn.ANCHORARRAY(Sintesi!$C$15),1,$C217))*($E217&lt;INDEX(_xlfn.ANCHORARRAY(Sintesi!$C$16),1,$C217))*(INDEX(_xlfn.ANCHORARRAY(Sintesi!$C$15),1,$C217)&gt;0),2,IF($E217=(INDEX(_xlfn.ANCHORARRAY(Sintesi!$C$16),1,$C217)),3,4)))),0),IF($C217&gt;0,IF(($E217=INDEX(_xlfn.ANCHORARRAY(Sintesi!$C$14),1,$C217))*(INDEX(_xlfn.ANCHORARRAY(Sintesi!$C$15),1,$C217)&gt;0),0,IF(($E217=INDEX(_xlfn.ANCHORARRAY(Sintesi!$C$14),1,$C217))*(INDEX(_xlfn.ANCHORARRAY(Sintesi!$C$15),1,$C217)&lt;0)+($E217&gt;=LOOKUP(2,1/($E:$E&lt;&gt;""),$E:$E))*($E217&lt;=INDEX($E:$E,MATCH(TRUE,INDEX((ISNUMBER($E:$E)),0),0)))*($E217&gt;INDEX(_xlfn.ANCHORARRAY(Sintesi!$C$14),1,$C217))*($E217&lt;=INDEX(_xlfn.ANCHORARRAY(Sintesi!$C$15),1,$C217))*(INDEX(_xlfn.ANCHORARRAY(Sintesi!$C$15),1,$C217)&gt;0),1,IF(($E217&gt;=LOOKUP(2,1/($E:$E&lt;&gt;""),$E:$E))*($E217&lt;=INDEX($E:$E,MATCH(TRUE,INDEX((ISNUMBER($E:$E)),0),0)))*($E217&gt;INDEX(_xlfn.ANCHORARRAY(Sintesi!$C$14),1,$C217))*($E217&lt;INDEX(_xlfn.ANCHORARRAY(Sintesi!$C$16),1,$C217))*(INDEX(_xlfn.ANCHORARRAY(Sintesi!$C$15),1,$C217)&lt;0)+($E217&gt;=LOOKUP(2,1/($E:$E&lt;&gt;""),$E:$E))*($E217&lt;=INDEX($E:$E,MATCH(TRUE,INDEX((ISNUMBER($E:$E)),0),0)))*($E217&gt;INDEX(_xlfn.ANCHORARRAY(Sintesi!$C$15),1,$C217))*($E217&lt;INDEX(_xlfn.ANCHORARRAY(Sintesi!$C$16),1,$C217))*(INDEX(_xlfn.ANCHORARRAY(Sintesi!$C$15),1,$C217)&gt;0),2,IF($E217=(INDEX(_xlfn.ANCHORARRAY(Sintesi!$C$16),1,$C217)),3,4)))),0)),IF(ISNUMBER($E216),IF($C217&gt;0,IF(($E217=INDEX(_xlfn.ANCHORARRAY(Sintesi!$C$14),1,$C217))*(INDEX(_xlfn.ANCHORARRAY(Sintesi!$C$15),1,$C217)&gt;0),0,IF(($E217=INDEX(_xlfn.ANCHORARRAY(Sintesi!$C$14),1,$C217))*(INDEX(_xlfn.ANCHORARRAY(Sintesi!$C$15),1,$C217)&lt;0)+($E217&gt;=$E216)*($E217&lt;=$E218)*($E217&gt;INDEX(_xlfn.ANCHORARRAY(Sintesi!$C$14),1,$C217))*($E217&lt;=INDEX(_xlfn.ANCHORARRAY(Sintesi!$C$15),1,$C217))*(INDEX(_xlfn.ANCHORARRAY(Sintesi!$C$15),1,$C217)&gt;0),1,IF(($E217&gt;=$E216)*($E217&lt;=$E218)*($E217&gt;INDEX(_xlfn.ANCHORARRAY(Sintesi!$C$14),1,$C217))*($E217&lt;INDEX(_xlfn.ANCHORARRAY(Sintesi!$C$16),1,$C217))*(INDEX(_xlfn.ANCHORARRAY(Sintesi!$C$15),1,$C217)&lt;0)+($E217&gt;=$E216)*($E217&lt;=$E218)*($E217&gt;INDEX(_xlfn.ANCHORARRAY(Sintesi!$C$15),1,$C217))*($E217&lt;INDEX(_xlfn.ANCHORARRAY(Sintesi!$C$16),1,$C217))*(INDEX(_xlfn.ANCHORARRAY(Sintesi!$C$15),1,$C217)&gt;0),2,IF($E217=(INDEX(_xlfn.ANCHORARRAY(Sintesi!$C$16),1,$C217)),3,4)))),0),IF($C217&gt;0,IF(($E217=INDEX(_xlfn.ANCHORARRAY(Sintesi!$C$14),1,$C217))*(INDEX(_xlfn.ANCHORARRAY(Sintesi!$C$15),1,$C217)&gt;0),0,IF(($E217=INDEX(_xlfn.ANCHORARRAY(Sintesi!$C$14),1,$C217))*(INDEX(_xlfn.ANCHORARRAY(Sintesi!$C$15),1,$C217)&lt;0)+($E217&gt;=LOOKUP(2,1/($E:$E&lt;&gt;""),$E:$E))*($E217&lt;=$E218)*($E217&gt;INDEX(_xlfn.ANCHORARRAY(Sintesi!$C$14),1,$C217))*($E217&lt;=INDEX(_xlfn.ANCHORARRAY(Sintesi!$C$15),1,$C217))*(INDEX(_xlfn.ANCHORARRAY(Sintesi!$C$15),1,$C217)&gt;0),1,IF(($E217&gt;=LOOKUP(2,1/($E:$E&lt;&gt;""),$E:$E))*($E217&lt;=$E218)*($E217&gt;INDEX(_xlfn.ANCHORARRAY(Sintesi!$C$14),1,$C217))*($E217&lt;INDEX(_xlfn.ANCHORARRAY(Sintesi!$C$16),1,$C217))*(INDEX(_xlfn.ANCHORARRAY(Sintesi!$C$15),1,$C217)&lt;0)+($E217&gt;=LOOKUP(2,1/($E:$E&lt;&gt;""),$E:$E))*($E217&lt;=$E218)*($E217&gt;INDEX(_xlfn.ANCHORARRAY(Sintesi!$C$15),1,$C217))*($E217&lt;INDEX(_xlfn.ANCHORARRAY(Sintesi!$C$16),1,$C217))*(INDEX(_xlfn.ANCHORARRAY(Sintesi!$C$15),1,$C217)&gt;0),2,IF($E217=(INDEX(_xlfn.ANCHORARRAY(Sintesi!$C$16),1,$C217)),3,4)))),0)))</f>
        <v>3</v>
      </c>
      <c r="E217" s="1">
        <f>'Paste cell here'!F217</f>
        <v>1.0469999999999999</v>
      </c>
      <c r="F217" s="1">
        <f>'Paste cell here'!C217</f>
        <v>24.459999999999646</v>
      </c>
      <c r="G217" s="1">
        <f>'Paste cell here'!D217</f>
        <v>18.719999999999732</v>
      </c>
      <c r="H217" s="1">
        <f>'Paste cell here'!E217</f>
        <v>1.9508187694684371</v>
      </c>
      <c r="I217" s="1">
        <f>'Paste cell here'!X217</f>
        <v>2.0424482171531326</v>
      </c>
      <c r="J217" s="1">
        <f>'Paste cell here'!Y217+'Paste cell here'!S217</f>
        <v>2.0424482171531326</v>
      </c>
      <c r="K217" s="1">
        <f t="shared" si="6"/>
        <v>1.0469697386137324</v>
      </c>
      <c r="L217" s="1">
        <f t="shared" si="7"/>
        <v>22.311630139374422</v>
      </c>
      <c r="M217" s="1">
        <f t="array" ref="M217">IF(AND(A217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217&gt;=_xlfn.ANCHORARRAY(Sintesi!$C$9))+(_xlfn.ANCHORARRAY(Sintesi!$C$9)&gt;_xlfn.ANCHORARRAY(Sintesi!$C$10))*(A217&lt;=_xlfn.ANCHORARRAY(Sintesi!$C$10))+(_xlfn.ANCHORARRAY(Sintesi!$C$9)&lt;_xlfn.ANCHORARRAY(Sintesi!$C$10))*(A217&gt;=_xlfn.ANCHORARRAY(Sintesi!$C$9))*(A217&lt;=_xlfn.ANCHORARRAY(Sintesi!$C$10)),0)),0),A217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218&gt;=_xlfn.ANCHORARRAY(Sintesi!$C$9))+(_xlfn.ANCHORARRAY(Sintesi!$C$9)&gt;_xlfn.ANCHORARRAY(Sintesi!$C$10))*(A218&lt;=_xlfn.ANCHORARRAY(Sintesi!$C$10))+(_xlfn.ANCHORARRAY(Sintesi!$C$9)&lt;_xlfn.ANCHORARRAY(Sintesi!$C$10))*(A218&gt;=_xlfn.ANCHORARRAY(Sintesi!$C$9))*(A218&lt;=_xlfn.ANCHORARRAY(Sintesi!$C$10)),0)),0)),IF(L217&lt;_xlfn.IFNA(INDEX(_xlfn.ANCHORARRAY(Sintesi!$C$17),1,MATCH(1,(_xlfn.ANCHORARRAY(Sintesi!$C$9)&gt;_xlfn.ANCHORARRAY(Sintesi!$C$10))*(A216&gt;=_xlfn.ANCHORARRAY(Sintesi!$C$9))+(_xlfn.ANCHORARRAY(Sintesi!$C$9)&gt;_xlfn.ANCHORARRAY(Sintesi!$C$10))*(A216&lt;=_xlfn.ANCHORARRAY(Sintesi!$C$10))+(_xlfn.ANCHORARRAY(Sintesi!$C$9)&lt;_xlfn.ANCHORARRAY(Sintesi!$C$10))*(A216&gt;=_xlfn.ANCHORARRAY(Sintesi!$C$9))*(A216&lt;=_xlfn.ANCHORARRAY(Sintesi!$C$10)),0)),0),1,IF(L217&gt;=_xlfn.IFNA(INDEX(_xlfn.ANCHORARRAY(Sintesi!$C$18),1,MATCH(1,(_xlfn.ANCHORARRAY(Sintesi!$C$9)&gt;_xlfn.ANCHORARRAY(Sintesi!$C$10))*(A216&gt;=_xlfn.ANCHORARRAY(Sintesi!$C$9))+(_xlfn.ANCHORARRAY(Sintesi!$C$9)&gt;_xlfn.ANCHORARRAY(Sintesi!$C$10))*(A216&lt;=_xlfn.ANCHORARRAY(Sintesi!$C$10))+(_xlfn.ANCHORARRAY(Sintesi!$C$9)&lt;_xlfn.ANCHORARRAY(Sintesi!$C$10))*(A216&gt;=_xlfn.ANCHORARRAY(Sintesi!$C$9))*(A216&lt;=_xlfn.ANCHORARRAY(Sintesi!$C$10)),0)),0),0,1-(L217-_xlfn.IFNA(INDEX(_xlfn.ANCHORARRAY(Sintesi!$C$17),1,MATCH(1,(_xlfn.ANCHORARRAY(Sintesi!$C$9)&gt;_xlfn.ANCHORARRAY(Sintesi!$C$10))*(A216&gt;=_xlfn.ANCHORARRAY(Sintesi!$C$9))+(_xlfn.ANCHORARRAY(Sintesi!$C$9)&gt;_xlfn.ANCHORARRAY(Sintesi!$C$10))*(A216&lt;=_xlfn.ANCHORARRAY(Sintesi!$C$10))+(_xlfn.ANCHORARRAY(Sintesi!$C$9)&lt;_xlfn.ANCHORARRAY(Sintesi!$C$10))*(A216&gt;=_xlfn.ANCHORARRAY(Sintesi!$C$9))*(A216&lt;=_xlfn.ANCHORARRAY(Sintesi!$C$10)),0)),0))/(_xlfn.IFNA(INDEX(_xlfn.ANCHORARRAY(Sintesi!$C$18),1,MATCH(1,(_xlfn.ANCHORARRAY(Sintesi!$C$9)&gt;_xlfn.ANCHORARRAY(Sintesi!$C$10))*(A216&gt;=_xlfn.ANCHORARRAY(Sintesi!$C$9))+(_xlfn.ANCHORARRAY(Sintesi!$C$9)&gt;_xlfn.ANCHORARRAY(Sintesi!$C$10))*(A216&lt;=_xlfn.ANCHORARRAY(Sintesi!$C$10))+(_xlfn.ANCHORARRAY(Sintesi!$C$9)&lt;_xlfn.ANCHORARRAY(Sintesi!$C$10))*(A216&gt;=_xlfn.ANCHORARRAY(Sintesi!$C$9))*(A216&lt;=_xlfn.ANCHORARRAY(Sintesi!$C$10)),0)),0)-_xlfn.IFNA(INDEX(_xlfn.ANCHORARRAY(Sintesi!$C$17),1,MATCH(1,(_xlfn.ANCHORARRAY(Sintesi!$C$9)&gt;_xlfn.ANCHORARRAY(Sintesi!$C$10))*(A216&gt;=_xlfn.ANCHORARRAY(Sintesi!$C$9))+(_xlfn.ANCHORARRAY(Sintesi!$C$9)&gt;_xlfn.ANCHORARRAY(Sintesi!$C$10))*(A216&lt;=_xlfn.ANCHORARRAY(Sintesi!$C$10))+(_xlfn.ANCHORARRAY(Sintesi!$C$9)&lt;_xlfn.ANCHORARRAY(Sintesi!$C$10))*(A216&gt;=_xlfn.ANCHORARRAY(Sintesi!$C$9))*(A216&lt;=_xlfn.ANCHORARRAY(Sintesi!$C$10)),0)),0)))),0)</f>
        <v>0</v>
      </c>
    </row>
    <row r="218" spans="1:13">
      <c r="A218" s="1">
        <f>'Paste cell here'!A218</f>
        <v>217</v>
      </c>
      <c r="B218" s="2">
        <f>DATE(Sintesi!$C$4-1,12,31)+A218</f>
        <v>44413</v>
      </c>
      <c r="C218" s="34">
        <f t="array" ref="C218">_xlfn.IFNA(MATCH(1,((_xlfn.ANCHORARRAY(Sintesi!$C$9)&gt;_xlfn.ANCHORARRAY(Sintesi!$C$10))*(A218&gt;=_xlfn.ANCHORARRAY(Sintesi!$C$9))+(_xlfn.ANCHORARRAY(Sintesi!$C$9)&gt;_xlfn.ANCHORARRAY(Sintesi!$C$10))*(A218&lt;=_xlfn.ANCHORARRAY(Sintesi!$C$10))+(_xlfn.ANCHORARRAY(Sintesi!$C$9)&lt;_xlfn.ANCHORARRAY(Sintesi!$C$10))*(A218&gt;=_xlfn.ANCHORARRAY(Sintesi!$C$9))*(A218&lt;=_xlfn.ANCHORARRAY(Sintesi!$C$10)))*(_xlfn.ANCHORARRAY(Sintesi!$C$15)&gt;=0)+(_xlfn.ANCHORARRAY(Sintesi!$C$15)&lt;0),0),0)</f>
        <v>1</v>
      </c>
      <c r="D218" s="1">
        <f t="array" ref="D218">IF(ISBLANK($E219),IF(ISNUMBER($E217),IF($C218&gt;0,IF(($E218=INDEX(_xlfn.ANCHORARRAY(Sintesi!$C$14),1,$C218))*(INDEX(_xlfn.ANCHORARRAY(Sintesi!$C$15),1,$C218)&gt;0),0,IF(($E218=INDEX(_xlfn.ANCHORARRAY(Sintesi!$C$14),1,$C218))*(INDEX(_xlfn.ANCHORARRAY(Sintesi!$C$15),1,$C218)&lt;0)+($E218&gt;=$E217)*($E218&lt;=INDEX($E:$E,MATCH(TRUE,INDEX((ISNUMBER($E:$E)),0),0)))*($E218&gt;INDEX(_xlfn.ANCHORARRAY(Sintesi!$C$14),1,$C218))*($E218&lt;=INDEX(_xlfn.ANCHORARRAY(Sintesi!$C$15),1,$C218))*(INDEX(_xlfn.ANCHORARRAY(Sintesi!$C$15),1,$C218)&gt;0),1,IF(($E218&gt;=$E217)*($E218&lt;=INDEX($E:$E,MATCH(TRUE,INDEX((ISNUMBER($E:$E)),0),0)))*($E218&gt;INDEX(_xlfn.ANCHORARRAY(Sintesi!$C$14),1,$C218))*($E218&lt;INDEX(_xlfn.ANCHORARRAY(Sintesi!$C$16),1,$C218))*(INDEX(_xlfn.ANCHORARRAY(Sintesi!$C$15),1,$C218)&lt;0)+($E218&gt;=$E217)*($E218&lt;=INDEX($E:$E,MATCH(TRUE,INDEX((ISNUMBER($E:$E)),0),0)))*($E218&gt;INDEX(_xlfn.ANCHORARRAY(Sintesi!$C$15),1,$C218))*($E218&lt;INDEX(_xlfn.ANCHORARRAY(Sintesi!$C$16),1,$C218))*(INDEX(_xlfn.ANCHORARRAY(Sintesi!$C$15),1,$C218)&gt;0),2,IF($E218=(INDEX(_xlfn.ANCHORARRAY(Sintesi!$C$16),1,$C218)),3,4)))),0),IF($C218&gt;0,IF(($E218=INDEX(_xlfn.ANCHORARRAY(Sintesi!$C$14),1,$C218))*(INDEX(_xlfn.ANCHORARRAY(Sintesi!$C$15),1,$C218)&gt;0),0,IF(($E218=INDEX(_xlfn.ANCHORARRAY(Sintesi!$C$14),1,$C218))*(INDEX(_xlfn.ANCHORARRAY(Sintesi!$C$15),1,$C218)&lt;0)+($E218&gt;=LOOKUP(2,1/($E:$E&lt;&gt;""),$E:$E))*($E218&lt;=INDEX($E:$E,MATCH(TRUE,INDEX((ISNUMBER($E:$E)),0),0)))*($E218&gt;INDEX(_xlfn.ANCHORARRAY(Sintesi!$C$14),1,$C218))*($E218&lt;=INDEX(_xlfn.ANCHORARRAY(Sintesi!$C$15),1,$C218))*(INDEX(_xlfn.ANCHORARRAY(Sintesi!$C$15),1,$C218)&gt;0),1,IF(($E218&gt;=LOOKUP(2,1/($E:$E&lt;&gt;""),$E:$E))*($E218&lt;=INDEX($E:$E,MATCH(TRUE,INDEX((ISNUMBER($E:$E)),0),0)))*($E218&gt;INDEX(_xlfn.ANCHORARRAY(Sintesi!$C$14),1,$C218))*($E218&lt;INDEX(_xlfn.ANCHORARRAY(Sintesi!$C$16),1,$C218))*(INDEX(_xlfn.ANCHORARRAY(Sintesi!$C$15),1,$C218)&lt;0)+($E218&gt;=LOOKUP(2,1/($E:$E&lt;&gt;""),$E:$E))*($E218&lt;=INDEX($E:$E,MATCH(TRUE,INDEX((ISNUMBER($E:$E)),0),0)))*($E218&gt;INDEX(_xlfn.ANCHORARRAY(Sintesi!$C$15),1,$C218))*($E218&lt;INDEX(_xlfn.ANCHORARRAY(Sintesi!$C$16),1,$C218))*(INDEX(_xlfn.ANCHORARRAY(Sintesi!$C$15),1,$C218)&gt;0),2,IF($E218=(INDEX(_xlfn.ANCHORARRAY(Sintesi!$C$16),1,$C218)),3,4)))),0)),IF(ISNUMBER($E217),IF($C218&gt;0,IF(($E218=INDEX(_xlfn.ANCHORARRAY(Sintesi!$C$14),1,$C218))*(INDEX(_xlfn.ANCHORARRAY(Sintesi!$C$15),1,$C218)&gt;0),0,IF(($E218=INDEX(_xlfn.ANCHORARRAY(Sintesi!$C$14),1,$C218))*(INDEX(_xlfn.ANCHORARRAY(Sintesi!$C$15),1,$C218)&lt;0)+($E218&gt;=$E217)*($E218&lt;=$E219)*($E218&gt;INDEX(_xlfn.ANCHORARRAY(Sintesi!$C$14),1,$C218))*($E218&lt;=INDEX(_xlfn.ANCHORARRAY(Sintesi!$C$15),1,$C218))*(INDEX(_xlfn.ANCHORARRAY(Sintesi!$C$15),1,$C218)&gt;0),1,IF(($E218&gt;=$E217)*($E218&lt;=$E219)*($E218&gt;INDEX(_xlfn.ANCHORARRAY(Sintesi!$C$14),1,$C218))*($E218&lt;INDEX(_xlfn.ANCHORARRAY(Sintesi!$C$16),1,$C218))*(INDEX(_xlfn.ANCHORARRAY(Sintesi!$C$15),1,$C218)&lt;0)+($E218&gt;=$E217)*($E218&lt;=$E219)*($E218&gt;INDEX(_xlfn.ANCHORARRAY(Sintesi!$C$15),1,$C218))*($E218&lt;INDEX(_xlfn.ANCHORARRAY(Sintesi!$C$16),1,$C218))*(INDEX(_xlfn.ANCHORARRAY(Sintesi!$C$15),1,$C218)&gt;0),2,IF($E218=(INDEX(_xlfn.ANCHORARRAY(Sintesi!$C$16),1,$C218)),3,4)))),0),IF($C218&gt;0,IF(($E218=INDEX(_xlfn.ANCHORARRAY(Sintesi!$C$14),1,$C218))*(INDEX(_xlfn.ANCHORARRAY(Sintesi!$C$15),1,$C218)&gt;0),0,IF(($E218=INDEX(_xlfn.ANCHORARRAY(Sintesi!$C$14),1,$C218))*(INDEX(_xlfn.ANCHORARRAY(Sintesi!$C$15),1,$C218)&lt;0)+($E218&gt;=LOOKUP(2,1/($E:$E&lt;&gt;""),$E:$E))*($E218&lt;=$E219)*($E218&gt;INDEX(_xlfn.ANCHORARRAY(Sintesi!$C$14),1,$C218))*($E218&lt;=INDEX(_xlfn.ANCHORARRAY(Sintesi!$C$15),1,$C218))*(INDEX(_xlfn.ANCHORARRAY(Sintesi!$C$15),1,$C218)&gt;0),1,IF(($E218&gt;=LOOKUP(2,1/($E:$E&lt;&gt;""),$E:$E))*($E218&lt;=$E219)*($E218&gt;INDEX(_xlfn.ANCHORARRAY(Sintesi!$C$14),1,$C218))*($E218&lt;INDEX(_xlfn.ANCHORARRAY(Sintesi!$C$16),1,$C218))*(INDEX(_xlfn.ANCHORARRAY(Sintesi!$C$15),1,$C218)&lt;0)+($E218&gt;=LOOKUP(2,1/($E:$E&lt;&gt;""),$E:$E))*($E218&lt;=$E219)*($E218&gt;INDEX(_xlfn.ANCHORARRAY(Sintesi!$C$15),1,$C218))*($E218&lt;INDEX(_xlfn.ANCHORARRAY(Sintesi!$C$16),1,$C218))*(INDEX(_xlfn.ANCHORARRAY(Sintesi!$C$15),1,$C218)&gt;0),2,IF($E218=(INDEX(_xlfn.ANCHORARRAY(Sintesi!$C$16),1,$C218)),3,4)))),0)))</f>
        <v>3</v>
      </c>
      <c r="E218" s="1">
        <f>'Paste cell here'!F218</f>
        <v>1.0469999999999999</v>
      </c>
      <c r="F218" s="1">
        <f>'Paste cell here'!C218</f>
        <v>30.619999999999553</v>
      </c>
      <c r="G218" s="1">
        <f>'Paste cell here'!D218</f>
        <v>15.859999999999776</v>
      </c>
      <c r="H218" s="1">
        <f>'Paste cell here'!E218</f>
        <v>5.4667151379687935</v>
      </c>
      <c r="I218" s="1">
        <f>'Paste cell here'!X218</f>
        <v>5.72349437552369</v>
      </c>
      <c r="J218" s="1">
        <f>'Paste cell here'!Y218+'Paste cell here'!S218</f>
        <v>5.72349437552369</v>
      </c>
      <c r="K218" s="1">
        <f t="shared" si="6"/>
        <v>1.046971395266501</v>
      </c>
      <c r="L218" s="1">
        <f t="shared" si="7"/>
        <v>25.095620358391823</v>
      </c>
      <c r="M218" s="1">
        <f t="array" ref="M218">IF(AND(A218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218&gt;=_xlfn.ANCHORARRAY(Sintesi!$C$9))+(_xlfn.ANCHORARRAY(Sintesi!$C$9)&gt;_xlfn.ANCHORARRAY(Sintesi!$C$10))*(A218&lt;=_xlfn.ANCHORARRAY(Sintesi!$C$10))+(_xlfn.ANCHORARRAY(Sintesi!$C$9)&lt;_xlfn.ANCHORARRAY(Sintesi!$C$10))*(A218&gt;=_xlfn.ANCHORARRAY(Sintesi!$C$9))*(A218&lt;=_xlfn.ANCHORARRAY(Sintesi!$C$10)),0)),0),A218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219&gt;=_xlfn.ANCHORARRAY(Sintesi!$C$9))+(_xlfn.ANCHORARRAY(Sintesi!$C$9)&gt;_xlfn.ANCHORARRAY(Sintesi!$C$10))*(A219&lt;=_xlfn.ANCHORARRAY(Sintesi!$C$10))+(_xlfn.ANCHORARRAY(Sintesi!$C$9)&lt;_xlfn.ANCHORARRAY(Sintesi!$C$10))*(A219&gt;=_xlfn.ANCHORARRAY(Sintesi!$C$9))*(A219&lt;=_xlfn.ANCHORARRAY(Sintesi!$C$10)),0)),0)),IF(L218&lt;_xlfn.IFNA(INDEX(_xlfn.ANCHORARRAY(Sintesi!$C$17),1,MATCH(1,(_xlfn.ANCHORARRAY(Sintesi!$C$9)&gt;_xlfn.ANCHORARRAY(Sintesi!$C$10))*(A217&gt;=_xlfn.ANCHORARRAY(Sintesi!$C$9))+(_xlfn.ANCHORARRAY(Sintesi!$C$9)&gt;_xlfn.ANCHORARRAY(Sintesi!$C$10))*(A217&lt;=_xlfn.ANCHORARRAY(Sintesi!$C$10))+(_xlfn.ANCHORARRAY(Sintesi!$C$9)&lt;_xlfn.ANCHORARRAY(Sintesi!$C$10))*(A217&gt;=_xlfn.ANCHORARRAY(Sintesi!$C$9))*(A217&lt;=_xlfn.ANCHORARRAY(Sintesi!$C$10)),0)),0),1,IF(L218&gt;=_xlfn.IFNA(INDEX(_xlfn.ANCHORARRAY(Sintesi!$C$18),1,MATCH(1,(_xlfn.ANCHORARRAY(Sintesi!$C$9)&gt;_xlfn.ANCHORARRAY(Sintesi!$C$10))*(A217&gt;=_xlfn.ANCHORARRAY(Sintesi!$C$9))+(_xlfn.ANCHORARRAY(Sintesi!$C$9)&gt;_xlfn.ANCHORARRAY(Sintesi!$C$10))*(A217&lt;=_xlfn.ANCHORARRAY(Sintesi!$C$10))+(_xlfn.ANCHORARRAY(Sintesi!$C$9)&lt;_xlfn.ANCHORARRAY(Sintesi!$C$10))*(A217&gt;=_xlfn.ANCHORARRAY(Sintesi!$C$9))*(A217&lt;=_xlfn.ANCHORARRAY(Sintesi!$C$10)),0)),0),0,1-(L218-_xlfn.IFNA(INDEX(_xlfn.ANCHORARRAY(Sintesi!$C$17),1,MATCH(1,(_xlfn.ANCHORARRAY(Sintesi!$C$9)&gt;_xlfn.ANCHORARRAY(Sintesi!$C$10))*(A217&gt;=_xlfn.ANCHORARRAY(Sintesi!$C$9))+(_xlfn.ANCHORARRAY(Sintesi!$C$9)&gt;_xlfn.ANCHORARRAY(Sintesi!$C$10))*(A217&lt;=_xlfn.ANCHORARRAY(Sintesi!$C$10))+(_xlfn.ANCHORARRAY(Sintesi!$C$9)&lt;_xlfn.ANCHORARRAY(Sintesi!$C$10))*(A217&gt;=_xlfn.ANCHORARRAY(Sintesi!$C$9))*(A217&lt;=_xlfn.ANCHORARRAY(Sintesi!$C$10)),0)),0))/(_xlfn.IFNA(INDEX(_xlfn.ANCHORARRAY(Sintesi!$C$18),1,MATCH(1,(_xlfn.ANCHORARRAY(Sintesi!$C$9)&gt;_xlfn.ANCHORARRAY(Sintesi!$C$10))*(A217&gt;=_xlfn.ANCHORARRAY(Sintesi!$C$9))+(_xlfn.ANCHORARRAY(Sintesi!$C$9)&gt;_xlfn.ANCHORARRAY(Sintesi!$C$10))*(A217&lt;=_xlfn.ANCHORARRAY(Sintesi!$C$10))+(_xlfn.ANCHORARRAY(Sintesi!$C$9)&lt;_xlfn.ANCHORARRAY(Sintesi!$C$10))*(A217&gt;=_xlfn.ANCHORARRAY(Sintesi!$C$9))*(A217&lt;=_xlfn.ANCHORARRAY(Sintesi!$C$10)),0)),0)-_xlfn.IFNA(INDEX(_xlfn.ANCHORARRAY(Sintesi!$C$17),1,MATCH(1,(_xlfn.ANCHORARRAY(Sintesi!$C$9)&gt;_xlfn.ANCHORARRAY(Sintesi!$C$10))*(A217&gt;=_xlfn.ANCHORARRAY(Sintesi!$C$9))+(_xlfn.ANCHORARRAY(Sintesi!$C$9)&gt;_xlfn.ANCHORARRAY(Sintesi!$C$10))*(A217&lt;=_xlfn.ANCHORARRAY(Sintesi!$C$10))+(_xlfn.ANCHORARRAY(Sintesi!$C$9)&lt;_xlfn.ANCHORARRAY(Sintesi!$C$10))*(A217&gt;=_xlfn.ANCHORARRAY(Sintesi!$C$9))*(A217&lt;=_xlfn.ANCHORARRAY(Sintesi!$C$10)),0)),0)))),0)</f>
        <v>0</v>
      </c>
    </row>
    <row r="219" spans="1:13">
      <c r="A219" s="1">
        <f>'Paste cell here'!A219</f>
        <v>218</v>
      </c>
      <c r="B219" s="2">
        <f>DATE(Sintesi!$C$4-1,12,31)+A219</f>
        <v>44414</v>
      </c>
      <c r="C219" s="34">
        <f t="array" ref="C219">_xlfn.IFNA(MATCH(1,((_xlfn.ANCHORARRAY(Sintesi!$C$9)&gt;_xlfn.ANCHORARRAY(Sintesi!$C$10))*(A219&gt;=_xlfn.ANCHORARRAY(Sintesi!$C$9))+(_xlfn.ANCHORARRAY(Sintesi!$C$9)&gt;_xlfn.ANCHORARRAY(Sintesi!$C$10))*(A219&lt;=_xlfn.ANCHORARRAY(Sintesi!$C$10))+(_xlfn.ANCHORARRAY(Sintesi!$C$9)&lt;_xlfn.ANCHORARRAY(Sintesi!$C$10))*(A219&gt;=_xlfn.ANCHORARRAY(Sintesi!$C$9))*(A219&lt;=_xlfn.ANCHORARRAY(Sintesi!$C$10)))*(_xlfn.ANCHORARRAY(Sintesi!$C$15)&gt;=0)+(_xlfn.ANCHORARRAY(Sintesi!$C$15)&lt;0),0),0)</f>
        <v>1</v>
      </c>
      <c r="D219" s="1">
        <f t="array" ref="D219">IF(ISBLANK($E220),IF(ISNUMBER($E218),IF($C219&gt;0,IF(($E219=INDEX(_xlfn.ANCHORARRAY(Sintesi!$C$14),1,$C219))*(INDEX(_xlfn.ANCHORARRAY(Sintesi!$C$15),1,$C219)&gt;0),0,IF(($E219=INDEX(_xlfn.ANCHORARRAY(Sintesi!$C$14),1,$C219))*(INDEX(_xlfn.ANCHORARRAY(Sintesi!$C$15),1,$C219)&lt;0)+($E219&gt;=$E218)*($E219&lt;=INDEX($E:$E,MATCH(TRUE,INDEX((ISNUMBER($E:$E)),0),0)))*($E219&gt;INDEX(_xlfn.ANCHORARRAY(Sintesi!$C$14),1,$C219))*($E219&lt;=INDEX(_xlfn.ANCHORARRAY(Sintesi!$C$15),1,$C219))*(INDEX(_xlfn.ANCHORARRAY(Sintesi!$C$15),1,$C219)&gt;0),1,IF(($E219&gt;=$E218)*($E219&lt;=INDEX($E:$E,MATCH(TRUE,INDEX((ISNUMBER($E:$E)),0),0)))*($E219&gt;INDEX(_xlfn.ANCHORARRAY(Sintesi!$C$14),1,$C219))*($E219&lt;INDEX(_xlfn.ANCHORARRAY(Sintesi!$C$16),1,$C219))*(INDEX(_xlfn.ANCHORARRAY(Sintesi!$C$15),1,$C219)&lt;0)+($E219&gt;=$E218)*($E219&lt;=INDEX($E:$E,MATCH(TRUE,INDEX((ISNUMBER($E:$E)),0),0)))*($E219&gt;INDEX(_xlfn.ANCHORARRAY(Sintesi!$C$15),1,$C219))*($E219&lt;INDEX(_xlfn.ANCHORARRAY(Sintesi!$C$16),1,$C219))*(INDEX(_xlfn.ANCHORARRAY(Sintesi!$C$15),1,$C219)&gt;0),2,IF($E219=(INDEX(_xlfn.ANCHORARRAY(Sintesi!$C$16),1,$C219)),3,4)))),0),IF($C219&gt;0,IF(($E219=INDEX(_xlfn.ANCHORARRAY(Sintesi!$C$14),1,$C219))*(INDEX(_xlfn.ANCHORARRAY(Sintesi!$C$15),1,$C219)&gt;0),0,IF(($E219=INDEX(_xlfn.ANCHORARRAY(Sintesi!$C$14),1,$C219))*(INDEX(_xlfn.ANCHORARRAY(Sintesi!$C$15),1,$C219)&lt;0)+($E219&gt;=LOOKUP(2,1/($E:$E&lt;&gt;""),$E:$E))*($E219&lt;=INDEX($E:$E,MATCH(TRUE,INDEX((ISNUMBER($E:$E)),0),0)))*($E219&gt;INDEX(_xlfn.ANCHORARRAY(Sintesi!$C$14),1,$C219))*($E219&lt;=INDEX(_xlfn.ANCHORARRAY(Sintesi!$C$15),1,$C219))*(INDEX(_xlfn.ANCHORARRAY(Sintesi!$C$15),1,$C219)&gt;0),1,IF(($E219&gt;=LOOKUP(2,1/($E:$E&lt;&gt;""),$E:$E))*($E219&lt;=INDEX($E:$E,MATCH(TRUE,INDEX((ISNUMBER($E:$E)),0),0)))*($E219&gt;INDEX(_xlfn.ANCHORARRAY(Sintesi!$C$14),1,$C219))*($E219&lt;INDEX(_xlfn.ANCHORARRAY(Sintesi!$C$16),1,$C219))*(INDEX(_xlfn.ANCHORARRAY(Sintesi!$C$15),1,$C219)&lt;0)+($E219&gt;=LOOKUP(2,1/($E:$E&lt;&gt;""),$E:$E))*($E219&lt;=INDEX($E:$E,MATCH(TRUE,INDEX((ISNUMBER($E:$E)),0),0)))*($E219&gt;INDEX(_xlfn.ANCHORARRAY(Sintesi!$C$15),1,$C219))*($E219&lt;INDEX(_xlfn.ANCHORARRAY(Sintesi!$C$16),1,$C219))*(INDEX(_xlfn.ANCHORARRAY(Sintesi!$C$15),1,$C219)&gt;0),2,IF($E219=(INDEX(_xlfn.ANCHORARRAY(Sintesi!$C$16),1,$C219)),3,4)))),0)),IF(ISNUMBER($E218),IF($C219&gt;0,IF(($E219=INDEX(_xlfn.ANCHORARRAY(Sintesi!$C$14),1,$C219))*(INDEX(_xlfn.ANCHORARRAY(Sintesi!$C$15),1,$C219)&gt;0),0,IF(($E219=INDEX(_xlfn.ANCHORARRAY(Sintesi!$C$14),1,$C219))*(INDEX(_xlfn.ANCHORARRAY(Sintesi!$C$15),1,$C219)&lt;0)+($E219&gt;=$E218)*($E219&lt;=$E220)*($E219&gt;INDEX(_xlfn.ANCHORARRAY(Sintesi!$C$14),1,$C219))*($E219&lt;=INDEX(_xlfn.ANCHORARRAY(Sintesi!$C$15),1,$C219))*(INDEX(_xlfn.ANCHORARRAY(Sintesi!$C$15),1,$C219)&gt;0),1,IF(($E219&gt;=$E218)*($E219&lt;=$E220)*($E219&gt;INDEX(_xlfn.ANCHORARRAY(Sintesi!$C$14),1,$C219))*($E219&lt;INDEX(_xlfn.ANCHORARRAY(Sintesi!$C$16),1,$C219))*(INDEX(_xlfn.ANCHORARRAY(Sintesi!$C$15),1,$C219)&lt;0)+($E219&gt;=$E218)*($E219&lt;=$E220)*($E219&gt;INDEX(_xlfn.ANCHORARRAY(Sintesi!$C$15),1,$C219))*($E219&lt;INDEX(_xlfn.ANCHORARRAY(Sintesi!$C$16),1,$C219))*(INDEX(_xlfn.ANCHORARRAY(Sintesi!$C$15),1,$C219)&gt;0),2,IF($E219=(INDEX(_xlfn.ANCHORARRAY(Sintesi!$C$16),1,$C219)),3,4)))),0),IF($C219&gt;0,IF(($E219=INDEX(_xlfn.ANCHORARRAY(Sintesi!$C$14),1,$C219))*(INDEX(_xlfn.ANCHORARRAY(Sintesi!$C$15),1,$C219)&gt;0),0,IF(($E219=INDEX(_xlfn.ANCHORARRAY(Sintesi!$C$14),1,$C219))*(INDEX(_xlfn.ANCHORARRAY(Sintesi!$C$15),1,$C219)&lt;0)+($E219&gt;=LOOKUP(2,1/($E:$E&lt;&gt;""),$E:$E))*($E219&lt;=$E220)*($E219&gt;INDEX(_xlfn.ANCHORARRAY(Sintesi!$C$14),1,$C219))*($E219&lt;=INDEX(_xlfn.ANCHORARRAY(Sintesi!$C$15),1,$C219))*(INDEX(_xlfn.ANCHORARRAY(Sintesi!$C$15),1,$C219)&gt;0),1,IF(($E219&gt;=LOOKUP(2,1/($E:$E&lt;&gt;""),$E:$E))*($E219&lt;=$E220)*($E219&gt;INDEX(_xlfn.ANCHORARRAY(Sintesi!$C$14),1,$C219))*($E219&lt;INDEX(_xlfn.ANCHORARRAY(Sintesi!$C$16),1,$C219))*(INDEX(_xlfn.ANCHORARRAY(Sintesi!$C$15),1,$C219)&lt;0)+($E219&gt;=LOOKUP(2,1/($E:$E&lt;&gt;""),$E:$E))*($E219&lt;=$E220)*($E219&gt;INDEX(_xlfn.ANCHORARRAY(Sintesi!$C$15),1,$C219))*($E219&lt;INDEX(_xlfn.ANCHORARRAY(Sintesi!$C$16),1,$C219))*(INDEX(_xlfn.ANCHORARRAY(Sintesi!$C$15),1,$C219)&gt;0),2,IF($E219=(INDEX(_xlfn.ANCHORARRAY(Sintesi!$C$16),1,$C219)),3,4)))),0)))</f>
        <v>3</v>
      </c>
      <c r="E219" s="1">
        <f>'Paste cell here'!F219</f>
        <v>1.0469999999999999</v>
      </c>
      <c r="F219" s="1">
        <f>'Paste cell here'!C219</f>
        <v>31.019999999999548</v>
      </c>
      <c r="G219" s="1">
        <f>'Paste cell here'!D219</f>
        <v>17.739999999999768</v>
      </c>
      <c r="H219" s="1">
        <f>'Paste cell here'!E219</f>
        <v>5.1889269411305641</v>
      </c>
      <c r="I219" s="1">
        <f>'Paste cell here'!X219</f>
        <v>5.432666378560489</v>
      </c>
      <c r="J219" s="1">
        <f>'Paste cell here'!Y219+'Paste cell here'!S219</f>
        <v>5.432666378560489</v>
      </c>
      <c r="K219" s="1">
        <f t="shared" si="6"/>
        <v>1.0469729946471011</v>
      </c>
      <c r="L219" s="1">
        <f t="shared" si="7"/>
        <v>26.049555444406696</v>
      </c>
      <c r="M219" s="1">
        <f t="array" ref="M219">IF(AND(A219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219&gt;=_xlfn.ANCHORARRAY(Sintesi!$C$9))+(_xlfn.ANCHORARRAY(Sintesi!$C$9)&gt;_xlfn.ANCHORARRAY(Sintesi!$C$10))*(A219&lt;=_xlfn.ANCHORARRAY(Sintesi!$C$10))+(_xlfn.ANCHORARRAY(Sintesi!$C$9)&lt;_xlfn.ANCHORARRAY(Sintesi!$C$10))*(A219&gt;=_xlfn.ANCHORARRAY(Sintesi!$C$9))*(A219&lt;=_xlfn.ANCHORARRAY(Sintesi!$C$10)),0)),0),A219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220&gt;=_xlfn.ANCHORARRAY(Sintesi!$C$9))+(_xlfn.ANCHORARRAY(Sintesi!$C$9)&gt;_xlfn.ANCHORARRAY(Sintesi!$C$10))*(A220&lt;=_xlfn.ANCHORARRAY(Sintesi!$C$10))+(_xlfn.ANCHORARRAY(Sintesi!$C$9)&lt;_xlfn.ANCHORARRAY(Sintesi!$C$10))*(A220&gt;=_xlfn.ANCHORARRAY(Sintesi!$C$9))*(A220&lt;=_xlfn.ANCHORARRAY(Sintesi!$C$10)),0)),0)),IF(L219&lt;_xlfn.IFNA(INDEX(_xlfn.ANCHORARRAY(Sintesi!$C$17),1,MATCH(1,(_xlfn.ANCHORARRAY(Sintesi!$C$9)&gt;_xlfn.ANCHORARRAY(Sintesi!$C$10))*(A218&gt;=_xlfn.ANCHORARRAY(Sintesi!$C$9))+(_xlfn.ANCHORARRAY(Sintesi!$C$9)&gt;_xlfn.ANCHORARRAY(Sintesi!$C$10))*(A218&lt;=_xlfn.ANCHORARRAY(Sintesi!$C$10))+(_xlfn.ANCHORARRAY(Sintesi!$C$9)&lt;_xlfn.ANCHORARRAY(Sintesi!$C$10))*(A218&gt;=_xlfn.ANCHORARRAY(Sintesi!$C$9))*(A218&lt;=_xlfn.ANCHORARRAY(Sintesi!$C$10)),0)),0),1,IF(L219&gt;=_xlfn.IFNA(INDEX(_xlfn.ANCHORARRAY(Sintesi!$C$18),1,MATCH(1,(_xlfn.ANCHORARRAY(Sintesi!$C$9)&gt;_xlfn.ANCHORARRAY(Sintesi!$C$10))*(A218&gt;=_xlfn.ANCHORARRAY(Sintesi!$C$9))+(_xlfn.ANCHORARRAY(Sintesi!$C$9)&gt;_xlfn.ANCHORARRAY(Sintesi!$C$10))*(A218&lt;=_xlfn.ANCHORARRAY(Sintesi!$C$10))+(_xlfn.ANCHORARRAY(Sintesi!$C$9)&lt;_xlfn.ANCHORARRAY(Sintesi!$C$10))*(A218&gt;=_xlfn.ANCHORARRAY(Sintesi!$C$9))*(A218&lt;=_xlfn.ANCHORARRAY(Sintesi!$C$10)),0)),0),0,1-(L219-_xlfn.IFNA(INDEX(_xlfn.ANCHORARRAY(Sintesi!$C$17),1,MATCH(1,(_xlfn.ANCHORARRAY(Sintesi!$C$9)&gt;_xlfn.ANCHORARRAY(Sintesi!$C$10))*(A218&gt;=_xlfn.ANCHORARRAY(Sintesi!$C$9))+(_xlfn.ANCHORARRAY(Sintesi!$C$9)&gt;_xlfn.ANCHORARRAY(Sintesi!$C$10))*(A218&lt;=_xlfn.ANCHORARRAY(Sintesi!$C$10))+(_xlfn.ANCHORARRAY(Sintesi!$C$9)&lt;_xlfn.ANCHORARRAY(Sintesi!$C$10))*(A218&gt;=_xlfn.ANCHORARRAY(Sintesi!$C$9))*(A218&lt;=_xlfn.ANCHORARRAY(Sintesi!$C$10)),0)),0))/(_xlfn.IFNA(INDEX(_xlfn.ANCHORARRAY(Sintesi!$C$18),1,MATCH(1,(_xlfn.ANCHORARRAY(Sintesi!$C$9)&gt;_xlfn.ANCHORARRAY(Sintesi!$C$10))*(A218&gt;=_xlfn.ANCHORARRAY(Sintesi!$C$9))+(_xlfn.ANCHORARRAY(Sintesi!$C$9)&gt;_xlfn.ANCHORARRAY(Sintesi!$C$10))*(A218&lt;=_xlfn.ANCHORARRAY(Sintesi!$C$10))+(_xlfn.ANCHORARRAY(Sintesi!$C$9)&lt;_xlfn.ANCHORARRAY(Sintesi!$C$10))*(A218&gt;=_xlfn.ANCHORARRAY(Sintesi!$C$9))*(A218&lt;=_xlfn.ANCHORARRAY(Sintesi!$C$10)),0)),0)-_xlfn.IFNA(INDEX(_xlfn.ANCHORARRAY(Sintesi!$C$17),1,MATCH(1,(_xlfn.ANCHORARRAY(Sintesi!$C$9)&gt;_xlfn.ANCHORARRAY(Sintesi!$C$10))*(A218&gt;=_xlfn.ANCHORARRAY(Sintesi!$C$9))+(_xlfn.ANCHORARRAY(Sintesi!$C$9)&gt;_xlfn.ANCHORARRAY(Sintesi!$C$10))*(A218&lt;=_xlfn.ANCHORARRAY(Sintesi!$C$10))+(_xlfn.ANCHORARRAY(Sintesi!$C$9)&lt;_xlfn.ANCHORARRAY(Sintesi!$C$10))*(A218&gt;=_xlfn.ANCHORARRAY(Sintesi!$C$9))*(A218&lt;=_xlfn.ANCHORARRAY(Sintesi!$C$10)),0)),0)))),0)</f>
        <v>0</v>
      </c>
    </row>
    <row r="220" spans="1:13">
      <c r="A220" s="1">
        <f>'Paste cell here'!A220</f>
        <v>219</v>
      </c>
      <c r="B220" s="2">
        <f>DATE(Sintesi!$C$4-1,12,31)+A220</f>
        <v>44415</v>
      </c>
      <c r="C220" s="34">
        <f t="array" ref="C220">_xlfn.IFNA(MATCH(1,((_xlfn.ANCHORARRAY(Sintesi!$C$9)&gt;_xlfn.ANCHORARRAY(Sintesi!$C$10))*(A220&gt;=_xlfn.ANCHORARRAY(Sintesi!$C$9))+(_xlfn.ANCHORARRAY(Sintesi!$C$9)&gt;_xlfn.ANCHORARRAY(Sintesi!$C$10))*(A220&lt;=_xlfn.ANCHORARRAY(Sintesi!$C$10))+(_xlfn.ANCHORARRAY(Sintesi!$C$9)&lt;_xlfn.ANCHORARRAY(Sintesi!$C$10))*(A220&gt;=_xlfn.ANCHORARRAY(Sintesi!$C$9))*(A220&lt;=_xlfn.ANCHORARRAY(Sintesi!$C$10)))*(_xlfn.ANCHORARRAY(Sintesi!$C$15)&gt;=0)+(_xlfn.ANCHORARRAY(Sintesi!$C$15)&lt;0),0),0)</f>
        <v>1</v>
      </c>
      <c r="D220" s="1">
        <f t="array" ref="D220">IF(ISBLANK($E221),IF(ISNUMBER($E219),IF($C220&gt;0,IF(($E220=INDEX(_xlfn.ANCHORARRAY(Sintesi!$C$14),1,$C220))*(INDEX(_xlfn.ANCHORARRAY(Sintesi!$C$15),1,$C220)&gt;0),0,IF(($E220=INDEX(_xlfn.ANCHORARRAY(Sintesi!$C$14),1,$C220))*(INDEX(_xlfn.ANCHORARRAY(Sintesi!$C$15),1,$C220)&lt;0)+($E220&gt;=$E219)*($E220&lt;=INDEX($E:$E,MATCH(TRUE,INDEX((ISNUMBER($E:$E)),0),0)))*($E220&gt;INDEX(_xlfn.ANCHORARRAY(Sintesi!$C$14),1,$C220))*($E220&lt;=INDEX(_xlfn.ANCHORARRAY(Sintesi!$C$15),1,$C220))*(INDEX(_xlfn.ANCHORARRAY(Sintesi!$C$15),1,$C220)&gt;0),1,IF(($E220&gt;=$E219)*($E220&lt;=INDEX($E:$E,MATCH(TRUE,INDEX((ISNUMBER($E:$E)),0),0)))*($E220&gt;INDEX(_xlfn.ANCHORARRAY(Sintesi!$C$14),1,$C220))*($E220&lt;INDEX(_xlfn.ANCHORARRAY(Sintesi!$C$16),1,$C220))*(INDEX(_xlfn.ANCHORARRAY(Sintesi!$C$15),1,$C220)&lt;0)+($E220&gt;=$E219)*($E220&lt;=INDEX($E:$E,MATCH(TRUE,INDEX((ISNUMBER($E:$E)),0),0)))*($E220&gt;INDEX(_xlfn.ANCHORARRAY(Sintesi!$C$15),1,$C220))*($E220&lt;INDEX(_xlfn.ANCHORARRAY(Sintesi!$C$16),1,$C220))*(INDEX(_xlfn.ANCHORARRAY(Sintesi!$C$15),1,$C220)&gt;0),2,IF($E220=(INDEX(_xlfn.ANCHORARRAY(Sintesi!$C$16),1,$C220)),3,4)))),0),IF($C220&gt;0,IF(($E220=INDEX(_xlfn.ANCHORARRAY(Sintesi!$C$14),1,$C220))*(INDEX(_xlfn.ANCHORARRAY(Sintesi!$C$15),1,$C220)&gt;0),0,IF(($E220=INDEX(_xlfn.ANCHORARRAY(Sintesi!$C$14),1,$C220))*(INDEX(_xlfn.ANCHORARRAY(Sintesi!$C$15),1,$C220)&lt;0)+($E220&gt;=LOOKUP(2,1/($E:$E&lt;&gt;""),$E:$E))*($E220&lt;=INDEX($E:$E,MATCH(TRUE,INDEX((ISNUMBER($E:$E)),0),0)))*($E220&gt;INDEX(_xlfn.ANCHORARRAY(Sintesi!$C$14),1,$C220))*($E220&lt;=INDEX(_xlfn.ANCHORARRAY(Sintesi!$C$15),1,$C220))*(INDEX(_xlfn.ANCHORARRAY(Sintesi!$C$15),1,$C220)&gt;0),1,IF(($E220&gt;=LOOKUP(2,1/($E:$E&lt;&gt;""),$E:$E))*($E220&lt;=INDEX($E:$E,MATCH(TRUE,INDEX((ISNUMBER($E:$E)),0),0)))*($E220&gt;INDEX(_xlfn.ANCHORARRAY(Sintesi!$C$14),1,$C220))*($E220&lt;INDEX(_xlfn.ANCHORARRAY(Sintesi!$C$16),1,$C220))*(INDEX(_xlfn.ANCHORARRAY(Sintesi!$C$15),1,$C220)&lt;0)+($E220&gt;=LOOKUP(2,1/($E:$E&lt;&gt;""),$E:$E))*($E220&lt;=INDEX($E:$E,MATCH(TRUE,INDEX((ISNUMBER($E:$E)),0),0)))*($E220&gt;INDEX(_xlfn.ANCHORARRAY(Sintesi!$C$15),1,$C220))*($E220&lt;INDEX(_xlfn.ANCHORARRAY(Sintesi!$C$16),1,$C220))*(INDEX(_xlfn.ANCHORARRAY(Sintesi!$C$15),1,$C220)&gt;0),2,IF($E220=(INDEX(_xlfn.ANCHORARRAY(Sintesi!$C$16),1,$C220)),3,4)))),0)),IF(ISNUMBER($E219),IF($C220&gt;0,IF(($E220=INDEX(_xlfn.ANCHORARRAY(Sintesi!$C$14),1,$C220))*(INDEX(_xlfn.ANCHORARRAY(Sintesi!$C$15),1,$C220)&gt;0),0,IF(($E220=INDEX(_xlfn.ANCHORARRAY(Sintesi!$C$14),1,$C220))*(INDEX(_xlfn.ANCHORARRAY(Sintesi!$C$15),1,$C220)&lt;0)+($E220&gt;=$E219)*($E220&lt;=$E221)*($E220&gt;INDEX(_xlfn.ANCHORARRAY(Sintesi!$C$14),1,$C220))*($E220&lt;=INDEX(_xlfn.ANCHORARRAY(Sintesi!$C$15),1,$C220))*(INDEX(_xlfn.ANCHORARRAY(Sintesi!$C$15),1,$C220)&gt;0),1,IF(($E220&gt;=$E219)*($E220&lt;=$E221)*($E220&gt;INDEX(_xlfn.ANCHORARRAY(Sintesi!$C$14),1,$C220))*($E220&lt;INDEX(_xlfn.ANCHORARRAY(Sintesi!$C$16),1,$C220))*(INDEX(_xlfn.ANCHORARRAY(Sintesi!$C$15),1,$C220)&lt;0)+($E220&gt;=$E219)*($E220&lt;=$E221)*($E220&gt;INDEX(_xlfn.ANCHORARRAY(Sintesi!$C$15),1,$C220))*($E220&lt;INDEX(_xlfn.ANCHORARRAY(Sintesi!$C$16),1,$C220))*(INDEX(_xlfn.ANCHORARRAY(Sintesi!$C$15),1,$C220)&gt;0),2,IF($E220=(INDEX(_xlfn.ANCHORARRAY(Sintesi!$C$16),1,$C220)),3,4)))),0),IF($C220&gt;0,IF(($E220=INDEX(_xlfn.ANCHORARRAY(Sintesi!$C$14),1,$C220))*(INDEX(_xlfn.ANCHORARRAY(Sintesi!$C$15),1,$C220)&gt;0),0,IF(($E220=INDEX(_xlfn.ANCHORARRAY(Sintesi!$C$14),1,$C220))*(INDEX(_xlfn.ANCHORARRAY(Sintesi!$C$15),1,$C220)&lt;0)+($E220&gt;=LOOKUP(2,1/($E:$E&lt;&gt;""),$E:$E))*($E220&lt;=$E221)*($E220&gt;INDEX(_xlfn.ANCHORARRAY(Sintesi!$C$14),1,$C220))*($E220&lt;=INDEX(_xlfn.ANCHORARRAY(Sintesi!$C$15),1,$C220))*(INDEX(_xlfn.ANCHORARRAY(Sintesi!$C$15),1,$C220)&gt;0),1,IF(($E220&gt;=LOOKUP(2,1/($E:$E&lt;&gt;""),$E:$E))*($E220&lt;=$E221)*($E220&gt;INDEX(_xlfn.ANCHORARRAY(Sintesi!$C$14),1,$C220))*($E220&lt;INDEX(_xlfn.ANCHORARRAY(Sintesi!$C$16),1,$C220))*(INDEX(_xlfn.ANCHORARRAY(Sintesi!$C$15),1,$C220)&lt;0)+($E220&gt;=LOOKUP(2,1/($E:$E&lt;&gt;""),$E:$E))*($E220&lt;=$E221)*($E220&gt;INDEX(_xlfn.ANCHORARRAY(Sintesi!$C$15),1,$C220))*($E220&lt;INDEX(_xlfn.ANCHORARRAY(Sintesi!$C$16),1,$C220))*(INDEX(_xlfn.ANCHORARRAY(Sintesi!$C$15),1,$C220)&gt;0),2,IF($E220=(INDEX(_xlfn.ANCHORARRAY(Sintesi!$C$16),1,$C220)),3,4)))),0)))</f>
        <v>3</v>
      </c>
      <c r="E220" s="1">
        <f>'Paste cell here'!F220</f>
        <v>1.0469999999999999</v>
      </c>
      <c r="F220" s="1">
        <f>'Paste cell here'!C220</f>
        <v>28.839999999999577</v>
      </c>
      <c r="G220" s="1">
        <f>'Paste cell here'!D220</f>
        <v>19.699999999999733</v>
      </c>
      <c r="H220" s="1">
        <f>'Paste cell here'!E220</f>
        <v>3.3170792423542212</v>
      </c>
      <c r="I220" s="1">
        <f>'Paste cell here'!X220</f>
        <v>3.4728975011357965</v>
      </c>
      <c r="J220" s="1">
        <f>'Paste cell here'!Y220+'Paste cell here'!S220</f>
        <v>3.4728975011357965</v>
      </c>
      <c r="K220" s="1">
        <f t="shared" si="6"/>
        <v>1.0469745361497564</v>
      </c>
      <c r="L220" s="1">
        <f t="shared" si="7"/>
        <v>25.41907656339426</v>
      </c>
      <c r="M220" s="1">
        <f t="array" ref="M220">IF(AND(A220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220&gt;=_xlfn.ANCHORARRAY(Sintesi!$C$9))+(_xlfn.ANCHORARRAY(Sintesi!$C$9)&gt;_xlfn.ANCHORARRAY(Sintesi!$C$10))*(A220&lt;=_xlfn.ANCHORARRAY(Sintesi!$C$10))+(_xlfn.ANCHORARRAY(Sintesi!$C$9)&lt;_xlfn.ANCHORARRAY(Sintesi!$C$10))*(A220&gt;=_xlfn.ANCHORARRAY(Sintesi!$C$9))*(A220&lt;=_xlfn.ANCHORARRAY(Sintesi!$C$10)),0)),0),A220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221&gt;=_xlfn.ANCHORARRAY(Sintesi!$C$9))+(_xlfn.ANCHORARRAY(Sintesi!$C$9)&gt;_xlfn.ANCHORARRAY(Sintesi!$C$10))*(A221&lt;=_xlfn.ANCHORARRAY(Sintesi!$C$10))+(_xlfn.ANCHORARRAY(Sintesi!$C$9)&lt;_xlfn.ANCHORARRAY(Sintesi!$C$10))*(A221&gt;=_xlfn.ANCHORARRAY(Sintesi!$C$9))*(A221&lt;=_xlfn.ANCHORARRAY(Sintesi!$C$10)),0)),0)),IF(L220&lt;_xlfn.IFNA(INDEX(_xlfn.ANCHORARRAY(Sintesi!$C$17),1,MATCH(1,(_xlfn.ANCHORARRAY(Sintesi!$C$9)&gt;_xlfn.ANCHORARRAY(Sintesi!$C$10))*(A219&gt;=_xlfn.ANCHORARRAY(Sintesi!$C$9))+(_xlfn.ANCHORARRAY(Sintesi!$C$9)&gt;_xlfn.ANCHORARRAY(Sintesi!$C$10))*(A219&lt;=_xlfn.ANCHORARRAY(Sintesi!$C$10))+(_xlfn.ANCHORARRAY(Sintesi!$C$9)&lt;_xlfn.ANCHORARRAY(Sintesi!$C$10))*(A219&gt;=_xlfn.ANCHORARRAY(Sintesi!$C$9))*(A219&lt;=_xlfn.ANCHORARRAY(Sintesi!$C$10)),0)),0),1,IF(L220&gt;=_xlfn.IFNA(INDEX(_xlfn.ANCHORARRAY(Sintesi!$C$18),1,MATCH(1,(_xlfn.ANCHORARRAY(Sintesi!$C$9)&gt;_xlfn.ANCHORARRAY(Sintesi!$C$10))*(A219&gt;=_xlfn.ANCHORARRAY(Sintesi!$C$9))+(_xlfn.ANCHORARRAY(Sintesi!$C$9)&gt;_xlfn.ANCHORARRAY(Sintesi!$C$10))*(A219&lt;=_xlfn.ANCHORARRAY(Sintesi!$C$10))+(_xlfn.ANCHORARRAY(Sintesi!$C$9)&lt;_xlfn.ANCHORARRAY(Sintesi!$C$10))*(A219&gt;=_xlfn.ANCHORARRAY(Sintesi!$C$9))*(A219&lt;=_xlfn.ANCHORARRAY(Sintesi!$C$10)),0)),0),0,1-(L220-_xlfn.IFNA(INDEX(_xlfn.ANCHORARRAY(Sintesi!$C$17),1,MATCH(1,(_xlfn.ANCHORARRAY(Sintesi!$C$9)&gt;_xlfn.ANCHORARRAY(Sintesi!$C$10))*(A219&gt;=_xlfn.ANCHORARRAY(Sintesi!$C$9))+(_xlfn.ANCHORARRAY(Sintesi!$C$9)&gt;_xlfn.ANCHORARRAY(Sintesi!$C$10))*(A219&lt;=_xlfn.ANCHORARRAY(Sintesi!$C$10))+(_xlfn.ANCHORARRAY(Sintesi!$C$9)&lt;_xlfn.ANCHORARRAY(Sintesi!$C$10))*(A219&gt;=_xlfn.ANCHORARRAY(Sintesi!$C$9))*(A219&lt;=_xlfn.ANCHORARRAY(Sintesi!$C$10)),0)),0))/(_xlfn.IFNA(INDEX(_xlfn.ANCHORARRAY(Sintesi!$C$18),1,MATCH(1,(_xlfn.ANCHORARRAY(Sintesi!$C$9)&gt;_xlfn.ANCHORARRAY(Sintesi!$C$10))*(A219&gt;=_xlfn.ANCHORARRAY(Sintesi!$C$9))+(_xlfn.ANCHORARRAY(Sintesi!$C$9)&gt;_xlfn.ANCHORARRAY(Sintesi!$C$10))*(A219&lt;=_xlfn.ANCHORARRAY(Sintesi!$C$10))+(_xlfn.ANCHORARRAY(Sintesi!$C$9)&lt;_xlfn.ANCHORARRAY(Sintesi!$C$10))*(A219&gt;=_xlfn.ANCHORARRAY(Sintesi!$C$9))*(A219&lt;=_xlfn.ANCHORARRAY(Sintesi!$C$10)),0)),0)-_xlfn.IFNA(INDEX(_xlfn.ANCHORARRAY(Sintesi!$C$17),1,MATCH(1,(_xlfn.ANCHORARRAY(Sintesi!$C$9)&gt;_xlfn.ANCHORARRAY(Sintesi!$C$10))*(A219&gt;=_xlfn.ANCHORARRAY(Sintesi!$C$9))+(_xlfn.ANCHORARRAY(Sintesi!$C$9)&gt;_xlfn.ANCHORARRAY(Sintesi!$C$10))*(A219&lt;=_xlfn.ANCHORARRAY(Sintesi!$C$10))+(_xlfn.ANCHORARRAY(Sintesi!$C$9)&lt;_xlfn.ANCHORARRAY(Sintesi!$C$10))*(A219&gt;=_xlfn.ANCHORARRAY(Sintesi!$C$9))*(A219&lt;=_xlfn.ANCHORARRAY(Sintesi!$C$10)),0)),0)))),0)</f>
        <v>0</v>
      </c>
    </row>
    <row r="221" spans="1:13">
      <c r="A221" s="1">
        <f>'Paste cell here'!A221</f>
        <v>220</v>
      </c>
      <c r="B221" s="2">
        <f>DATE(Sintesi!$C$4-1,12,31)+A221</f>
        <v>44416</v>
      </c>
      <c r="C221" s="34">
        <f t="array" ref="C221">_xlfn.IFNA(MATCH(1,((_xlfn.ANCHORARRAY(Sintesi!$C$9)&gt;_xlfn.ANCHORARRAY(Sintesi!$C$10))*(A221&gt;=_xlfn.ANCHORARRAY(Sintesi!$C$9))+(_xlfn.ANCHORARRAY(Sintesi!$C$9)&gt;_xlfn.ANCHORARRAY(Sintesi!$C$10))*(A221&lt;=_xlfn.ANCHORARRAY(Sintesi!$C$10))+(_xlfn.ANCHORARRAY(Sintesi!$C$9)&lt;_xlfn.ANCHORARRAY(Sintesi!$C$10))*(A221&gt;=_xlfn.ANCHORARRAY(Sintesi!$C$9))*(A221&lt;=_xlfn.ANCHORARRAY(Sintesi!$C$10)))*(_xlfn.ANCHORARRAY(Sintesi!$C$15)&gt;=0)+(_xlfn.ANCHORARRAY(Sintesi!$C$15)&lt;0),0),0)</f>
        <v>1</v>
      </c>
      <c r="D221" s="1">
        <f t="array" ref="D221">IF(ISBLANK($E222),IF(ISNUMBER($E220),IF($C221&gt;0,IF(($E221=INDEX(_xlfn.ANCHORARRAY(Sintesi!$C$14),1,$C221))*(INDEX(_xlfn.ANCHORARRAY(Sintesi!$C$15),1,$C221)&gt;0),0,IF(($E221=INDEX(_xlfn.ANCHORARRAY(Sintesi!$C$14),1,$C221))*(INDEX(_xlfn.ANCHORARRAY(Sintesi!$C$15),1,$C221)&lt;0)+($E221&gt;=$E220)*($E221&lt;=INDEX($E:$E,MATCH(TRUE,INDEX((ISNUMBER($E:$E)),0),0)))*($E221&gt;INDEX(_xlfn.ANCHORARRAY(Sintesi!$C$14),1,$C221))*($E221&lt;=INDEX(_xlfn.ANCHORARRAY(Sintesi!$C$15),1,$C221))*(INDEX(_xlfn.ANCHORARRAY(Sintesi!$C$15),1,$C221)&gt;0),1,IF(($E221&gt;=$E220)*($E221&lt;=INDEX($E:$E,MATCH(TRUE,INDEX((ISNUMBER($E:$E)),0),0)))*($E221&gt;INDEX(_xlfn.ANCHORARRAY(Sintesi!$C$14),1,$C221))*($E221&lt;INDEX(_xlfn.ANCHORARRAY(Sintesi!$C$16),1,$C221))*(INDEX(_xlfn.ANCHORARRAY(Sintesi!$C$15),1,$C221)&lt;0)+($E221&gt;=$E220)*($E221&lt;=INDEX($E:$E,MATCH(TRUE,INDEX((ISNUMBER($E:$E)),0),0)))*($E221&gt;INDEX(_xlfn.ANCHORARRAY(Sintesi!$C$15),1,$C221))*($E221&lt;INDEX(_xlfn.ANCHORARRAY(Sintesi!$C$16),1,$C221))*(INDEX(_xlfn.ANCHORARRAY(Sintesi!$C$15),1,$C221)&gt;0),2,IF($E221=(INDEX(_xlfn.ANCHORARRAY(Sintesi!$C$16),1,$C221)),3,4)))),0),IF($C221&gt;0,IF(($E221=INDEX(_xlfn.ANCHORARRAY(Sintesi!$C$14),1,$C221))*(INDEX(_xlfn.ANCHORARRAY(Sintesi!$C$15),1,$C221)&gt;0),0,IF(($E221=INDEX(_xlfn.ANCHORARRAY(Sintesi!$C$14),1,$C221))*(INDEX(_xlfn.ANCHORARRAY(Sintesi!$C$15),1,$C221)&lt;0)+($E221&gt;=LOOKUP(2,1/($E:$E&lt;&gt;""),$E:$E))*($E221&lt;=INDEX($E:$E,MATCH(TRUE,INDEX((ISNUMBER($E:$E)),0),0)))*($E221&gt;INDEX(_xlfn.ANCHORARRAY(Sintesi!$C$14),1,$C221))*($E221&lt;=INDEX(_xlfn.ANCHORARRAY(Sintesi!$C$15),1,$C221))*(INDEX(_xlfn.ANCHORARRAY(Sintesi!$C$15),1,$C221)&gt;0),1,IF(($E221&gt;=LOOKUP(2,1/($E:$E&lt;&gt;""),$E:$E))*($E221&lt;=INDEX($E:$E,MATCH(TRUE,INDEX((ISNUMBER($E:$E)),0),0)))*($E221&gt;INDEX(_xlfn.ANCHORARRAY(Sintesi!$C$14),1,$C221))*($E221&lt;INDEX(_xlfn.ANCHORARRAY(Sintesi!$C$16),1,$C221))*(INDEX(_xlfn.ANCHORARRAY(Sintesi!$C$15),1,$C221)&lt;0)+($E221&gt;=LOOKUP(2,1/($E:$E&lt;&gt;""),$E:$E))*($E221&lt;=INDEX($E:$E,MATCH(TRUE,INDEX((ISNUMBER($E:$E)),0),0)))*($E221&gt;INDEX(_xlfn.ANCHORARRAY(Sintesi!$C$15),1,$C221))*($E221&lt;INDEX(_xlfn.ANCHORARRAY(Sintesi!$C$16),1,$C221))*(INDEX(_xlfn.ANCHORARRAY(Sintesi!$C$15),1,$C221)&gt;0),2,IF($E221=(INDEX(_xlfn.ANCHORARRAY(Sintesi!$C$16),1,$C221)),3,4)))),0)),IF(ISNUMBER($E220),IF($C221&gt;0,IF(($E221=INDEX(_xlfn.ANCHORARRAY(Sintesi!$C$14),1,$C221))*(INDEX(_xlfn.ANCHORARRAY(Sintesi!$C$15),1,$C221)&gt;0),0,IF(($E221=INDEX(_xlfn.ANCHORARRAY(Sintesi!$C$14),1,$C221))*(INDEX(_xlfn.ANCHORARRAY(Sintesi!$C$15),1,$C221)&lt;0)+($E221&gt;=$E220)*($E221&lt;=$E222)*($E221&gt;INDEX(_xlfn.ANCHORARRAY(Sintesi!$C$14),1,$C221))*($E221&lt;=INDEX(_xlfn.ANCHORARRAY(Sintesi!$C$15),1,$C221))*(INDEX(_xlfn.ANCHORARRAY(Sintesi!$C$15),1,$C221)&gt;0),1,IF(($E221&gt;=$E220)*($E221&lt;=$E222)*($E221&gt;INDEX(_xlfn.ANCHORARRAY(Sintesi!$C$14),1,$C221))*($E221&lt;INDEX(_xlfn.ANCHORARRAY(Sintesi!$C$16),1,$C221))*(INDEX(_xlfn.ANCHORARRAY(Sintesi!$C$15),1,$C221)&lt;0)+($E221&gt;=$E220)*($E221&lt;=$E222)*($E221&gt;INDEX(_xlfn.ANCHORARRAY(Sintesi!$C$15),1,$C221))*($E221&lt;INDEX(_xlfn.ANCHORARRAY(Sintesi!$C$16),1,$C221))*(INDEX(_xlfn.ANCHORARRAY(Sintesi!$C$15),1,$C221)&gt;0),2,IF($E221=(INDEX(_xlfn.ANCHORARRAY(Sintesi!$C$16),1,$C221)),3,4)))),0),IF($C221&gt;0,IF(($E221=INDEX(_xlfn.ANCHORARRAY(Sintesi!$C$14),1,$C221))*(INDEX(_xlfn.ANCHORARRAY(Sintesi!$C$15),1,$C221)&gt;0),0,IF(($E221=INDEX(_xlfn.ANCHORARRAY(Sintesi!$C$14),1,$C221))*(INDEX(_xlfn.ANCHORARRAY(Sintesi!$C$15),1,$C221)&lt;0)+($E221&gt;=LOOKUP(2,1/($E:$E&lt;&gt;""),$E:$E))*($E221&lt;=$E222)*($E221&gt;INDEX(_xlfn.ANCHORARRAY(Sintesi!$C$14),1,$C221))*($E221&lt;=INDEX(_xlfn.ANCHORARRAY(Sintesi!$C$15),1,$C221))*(INDEX(_xlfn.ANCHORARRAY(Sintesi!$C$15),1,$C221)&gt;0),1,IF(($E221&gt;=LOOKUP(2,1/($E:$E&lt;&gt;""),$E:$E))*($E221&lt;=$E222)*($E221&gt;INDEX(_xlfn.ANCHORARRAY(Sintesi!$C$14),1,$C221))*($E221&lt;INDEX(_xlfn.ANCHORARRAY(Sintesi!$C$16),1,$C221))*(INDEX(_xlfn.ANCHORARRAY(Sintesi!$C$15),1,$C221)&lt;0)+($E221&gt;=LOOKUP(2,1/($E:$E&lt;&gt;""),$E:$E))*($E221&lt;=$E222)*($E221&gt;INDEX(_xlfn.ANCHORARRAY(Sintesi!$C$15),1,$C221))*($E221&lt;INDEX(_xlfn.ANCHORARRAY(Sintesi!$C$16),1,$C221))*(INDEX(_xlfn.ANCHORARRAY(Sintesi!$C$15),1,$C221)&gt;0),2,IF($E221=(INDEX(_xlfn.ANCHORARRAY(Sintesi!$C$16),1,$C221)),3,4)))),0)))</f>
        <v>3</v>
      </c>
      <c r="E221" s="1">
        <f>'Paste cell here'!F221</f>
        <v>1.0469999999999999</v>
      </c>
      <c r="F221" s="1">
        <f>'Paste cell here'!C221</f>
        <v>31.579999999999536</v>
      </c>
      <c r="G221" s="1">
        <f>'Paste cell here'!D221</f>
        <v>19.459999999999738</v>
      </c>
      <c r="H221" s="1">
        <f>'Paste cell here'!E221</f>
        <v>4.2646810062591181</v>
      </c>
      <c r="I221" s="1">
        <f>'Paste cell here'!X221</f>
        <v>4.4650187439963105</v>
      </c>
      <c r="J221" s="1">
        <f>'Paste cell here'!Y221+'Paste cell here'!S221</f>
        <v>4.4650187439963105</v>
      </c>
      <c r="K221" s="1">
        <f t="shared" si="6"/>
        <v>1.0469760194122759</v>
      </c>
      <c r="L221" s="1">
        <f t="shared" si="7"/>
        <v>27.043720782094017</v>
      </c>
      <c r="M221" s="1">
        <f t="array" ref="M221">IF(AND(A221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221&gt;=_xlfn.ANCHORARRAY(Sintesi!$C$9))+(_xlfn.ANCHORARRAY(Sintesi!$C$9)&gt;_xlfn.ANCHORARRAY(Sintesi!$C$10))*(A221&lt;=_xlfn.ANCHORARRAY(Sintesi!$C$10))+(_xlfn.ANCHORARRAY(Sintesi!$C$9)&lt;_xlfn.ANCHORARRAY(Sintesi!$C$10))*(A221&gt;=_xlfn.ANCHORARRAY(Sintesi!$C$9))*(A221&lt;=_xlfn.ANCHORARRAY(Sintesi!$C$10)),0)),0),A221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222&gt;=_xlfn.ANCHORARRAY(Sintesi!$C$9))+(_xlfn.ANCHORARRAY(Sintesi!$C$9)&gt;_xlfn.ANCHORARRAY(Sintesi!$C$10))*(A222&lt;=_xlfn.ANCHORARRAY(Sintesi!$C$10))+(_xlfn.ANCHORARRAY(Sintesi!$C$9)&lt;_xlfn.ANCHORARRAY(Sintesi!$C$10))*(A222&gt;=_xlfn.ANCHORARRAY(Sintesi!$C$9))*(A222&lt;=_xlfn.ANCHORARRAY(Sintesi!$C$10)),0)),0)),IF(L221&lt;_xlfn.IFNA(INDEX(_xlfn.ANCHORARRAY(Sintesi!$C$17),1,MATCH(1,(_xlfn.ANCHORARRAY(Sintesi!$C$9)&gt;_xlfn.ANCHORARRAY(Sintesi!$C$10))*(A220&gt;=_xlfn.ANCHORARRAY(Sintesi!$C$9))+(_xlfn.ANCHORARRAY(Sintesi!$C$9)&gt;_xlfn.ANCHORARRAY(Sintesi!$C$10))*(A220&lt;=_xlfn.ANCHORARRAY(Sintesi!$C$10))+(_xlfn.ANCHORARRAY(Sintesi!$C$9)&lt;_xlfn.ANCHORARRAY(Sintesi!$C$10))*(A220&gt;=_xlfn.ANCHORARRAY(Sintesi!$C$9))*(A220&lt;=_xlfn.ANCHORARRAY(Sintesi!$C$10)),0)),0),1,IF(L221&gt;=_xlfn.IFNA(INDEX(_xlfn.ANCHORARRAY(Sintesi!$C$18),1,MATCH(1,(_xlfn.ANCHORARRAY(Sintesi!$C$9)&gt;_xlfn.ANCHORARRAY(Sintesi!$C$10))*(A220&gt;=_xlfn.ANCHORARRAY(Sintesi!$C$9))+(_xlfn.ANCHORARRAY(Sintesi!$C$9)&gt;_xlfn.ANCHORARRAY(Sintesi!$C$10))*(A220&lt;=_xlfn.ANCHORARRAY(Sintesi!$C$10))+(_xlfn.ANCHORARRAY(Sintesi!$C$9)&lt;_xlfn.ANCHORARRAY(Sintesi!$C$10))*(A220&gt;=_xlfn.ANCHORARRAY(Sintesi!$C$9))*(A220&lt;=_xlfn.ANCHORARRAY(Sintesi!$C$10)),0)),0),0,1-(L221-_xlfn.IFNA(INDEX(_xlfn.ANCHORARRAY(Sintesi!$C$17),1,MATCH(1,(_xlfn.ANCHORARRAY(Sintesi!$C$9)&gt;_xlfn.ANCHORARRAY(Sintesi!$C$10))*(A220&gt;=_xlfn.ANCHORARRAY(Sintesi!$C$9))+(_xlfn.ANCHORARRAY(Sintesi!$C$9)&gt;_xlfn.ANCHORARRAY(Sintesi!$C$10))*(A220&lt;=_xlfn.ANCHORARRAY(Sintesi!$C$10))+(_xlfn.ANCHORARRAY(Sintesi!$C$9)&lt;_xlfn.ANCHORARRAY(Sintesi!$C$10))*(A220&gt;=_xlfn.ANCHORARRAY(Sintesi!$C$9))*(A220&lt;=_xlfn.ANCHORARRAY(Sintesi!$C$10)),0)),0))/(_xlfn.IFNA(INDEX(_xlfn.ANCHORARRAY(Sintesi!$C$18),1,MATCH(1,(_xlfn.ANCHORARRAY(Sintesi!$C$9)&gt;_xlfn.ANCHORARRAY(Sintesi!$C$10))*(A220&gt;=_xlfn.ANCHORARRAY(Sintesi!$C$9))+(_xlfn.ANCHORARRAY(Sintesi!$C$9)&gt;_xlfn.ANCHORARRAY(Sintesi!$C$10))*(A220&lt;=_xlfn.ANCHORARRAY(Sintesi!$C$10))+(_xlfn.ANCHORARRAY(Sintesi!$C$9)&lt;_xlfn.ANCHORARRAY(Sintesi!$C$10))*(A220&gt;=_xlfn.ANCHORARRAY(Sintesi!$C$9))*(A220&lt;=_xlfn.ANCHORARRAY(Sintesi!$C$10)),0)),0)-_xlfn.IFNA(INDEX(_xlfn.ANCHORARRAY(Sintesi!$C$17),1,MATCH(1,(_xlfn.ANCHORARRAY(Sintesi!$C$9)&gt;_xlfn.ANCHORARRAY(Sintesi!$C$10))*(A220&gt;=_xlfn.ANCHORARRAY(Sintesi!$C$9))+(_xlfn.ANCHORARRAY(Sintesi!$C$9)&gt;_xlfn.ANCHORARRAY(Sintesi!$C$10))*(A220&lt;=_xlfn.ANCHORARRAY(Sintesi!$C$10))+(_xlfn.ANCHORARRAY(Sintesi!$C$9)&lt;_xlfn.ANCHORARRAY(Sintesi!$C$10))*(A220&gt;=_xlfn.ANCHORARRAY(Sintesi!$C$9))*(A220&lt;=_xlfn.ANCHORARRAY(Sintesi!$C$10)),0)),0)))),0)</f>
        <v>0</v>
      </c>
    </row>
    <row r="222" spans="1:13">
      <c r="A222" s="1">
        <f>'Paste cell here'!A222</f>
        <v>221</v>
      </c>
      <c r="B222" s="2">
        <f>DATE(Sintesi!$C$4-1,12,31)+A222</f>
        <v>44417</v>
      </c>
      <c r="C222" s="34">
        <f t="array" ref="C222">_xlfn.IFNA(MATCH(1,((_xlfn.ANCHORARRAY(Sintesi!$C$9)&gt;_xlfn.ANCHORARRAY(Sintesi!$C$10))*(A222&gt;=_xlfn.ANCHORARRAY(Sintesi!$C$9))+(_xlfn.ANCHORARRAY(Sintesi!$C$9)&gt;_xlfn.ANCHORARRAY(Sintesi!$C$10))*(A222&lt;=_xlfn.ANCHORARRAY(Sintesi!$C$10))+(_xlfn.ANCHORARRAY(Sintesi!$C$9)&lt;_xlfn.ANCHORARRAY(Sintesi!$C$10))*(A222&gt;=_xlfn.ANCHORARRAY(Sintesi!$C$9))*(A222&lt;=_xlfn.ANCHORARRAY(Sintesi!$C$10)))*(_xlfn.ANCHORARRAY(Sintesi!$C$15)&gt;=0)+(_xlfn.ANCHORARRAY(Sintesi!$C$15)&lt;0),0),0)</f>
        <v>1</v>
      </c>
      <c r="D222" s="1">
        <f t="array" ref="D222">IF(ISBLANK($E223),IF(ISNUMBER($E221),IF($C222&gt;0,IF(($E222=INDEX(_xlfn.ANCHORARRAY(Sintesi!$C$14),1,$C222))*(INDEX(_xlfn.ANCHORARRAY(Sintesi!$C$15),1,$C222)&gt;0),0,IF(($E222=INDEX(_xlfn.ANCHORARRAY(Sintesi!$C$14),1,$C222))*(INDEX(_xlfn.ANCHORARRAY(Sintesi!$C$15),1,$C222)&lt;0)+($E222&gt;=$E221)*($E222&lt;=INDEX($E:$E,MATCH(TRUE,INDEX((ISNUMBER($E:$E)),0),0)))*($E222&gt;INDEX(_xlfn.ANCHORARRAY(Sintesi!$C$14),1,$C222))*($E222&lt;=INDEX(_xlfn.ANCHORARRAY(Sintesi!$C$15),1,$C222))*(INDEX(_xlfn.ANCHORARRAY(Sintesi!$C$15),1,$C222)&gt;0),1,IF(($E222&gt;=$E221)*($E222&lt;=INDEX($E:$E,MATCH(TRUE,INDEX((ISNUMBER($E:$E)),0),0)))*($E222&gt;INDEX(_xlfn.ANCHORARRAY(Sintesi!$C$14),1,$C222))*($E222&lt;INDEX(_xlfn.ANCHORARRAY(Sintesi!$C$16),1,$C222))*(INDEX(_xlfn.ANCHORARRAY(Sintesi!$C$15),1,$C222)&lt;0)+($E222&gt;=$E221)*($E222&lt;=INDEX($E:$E,MATCH(TRUE,INDEX((ISNUMBER($E:$E)),0),0)))*($E222&gt;INDEX(_xlfn.ANCHORARRAY(Sintesi!$C$15),1,$C222))*($E222&lt;INDEX(_xlfn.ANCHORARRAY(Sintesi!$C$16),1,$C222))*(INDEX(_xlfn.ANCHORARRAY(Sintesi!$C$15),1,$C222)&gt;0),2,IF($E222=(INDEX(_xlfn.ANCHORARRAY(Sintesi!$C$16),1,$C222)),3,4)))),0),IF($C222&gt;0,IF(($E222=INDEX(_xlfn.ANCHORARRAY(Sintesi!$C$14),1,$C222))*(INDEX(_xlfn.ANCHORARRAY(Sintesi!$C$15),1,$C222)&gt;0),0,IF(($E222=INDEX(_xlfn.ANCHORARRAY(Sintesi!$C$14),1,$C222))*(INDEX(_xlfn.ANCHORARRAY(Sintesi!$C$15),1,$C222)&lt;0)+($E222&gt;=LOOKUP(2,1/($E:$E&lt;&gt;""),$E:$E))*($E222&lt;=INDEX($E:$E,MATCH(TRUE,INDEX((ISNUMBER($E:$E)),0),0)))*($E222&gt;INDEX(_xlfn.ANCHORARRAY(Sintesi!$C$14),1,$C222))*($E222&lt;=INDEX(_xlfn.ANCHORARRAY(Sintesi!$C$15),1,$C222))*(INDEX(_xlfn.ANCHORARRAY(Sintesi!$C$15),1,$C222)&gt;0),1,IF(($E222&gt;=LOOKUP(2,1/($E:$E&lt;&gt;""),$E:$E))*($E222&lt;=INDEX($E:$E,MATCH(TRUE,INDEX((ISNUMBER($E:$E)),0),0)))*($E222&gt;INDEX(_xlfn.ANCHORARRAY(Sintesi!$C$14),1,$C222))*($E222&lt;INDEX(_xlfn.ANCHORARRAY(Sintesi!$C$16),1,$C222))*(INDEX(_xlfn.ANCHORARRAY(Sintesi!$C$15),1,$C222)&lt;0)+($E222&gt;=LOOKUP(2,1/($E:$E&lt;&gt;""),$E:$E))*($E222&lt;=INDEX($E:$E,MATCH(TRUE,INDEX((ISNUMBER($E:$E)),0),0)))*($E222&gt;INDEX(_xlfn.ANCHORARRAY(Sintesi!$C$15),1,$C222))*($E222&lt;INDEX(_xlfn.ANCHORARRAY(Sintesi!$C$16),1,$C222))*(INDEX(_xlfn.ANCHORARRAY(Sintesi!$C$15),1,$C222)&gt;0),2,IF($E222=(INDEX(_xlfn.ANCHORARRAY(Sintesi!$C$16),1,$C222)),3,4)))),0)),IF(ISNUMBER($E221),IF($C222&gt;0,IF(($E222=INDEX(_xlfn.ANCHORARRAY(Sintesi!$C$14),1,$C222))*(INDEX(_xlfn.ANCHORARRAY(Sintesi!$C$15),1,$C222)&gt;0),0,IF(($E222=INDEX(_xlfn.ANCHORARRAY(Sintesi!$C$14),1,$C222))*(INDEX(_xlfn.ANCHORARRAY(Sintesi!$C$15),1,$C222)&lt;0)+($E222&gt;=$E221)*($E222&lt;=$E223)*($E222&gt;INDEX(_xlfn.ANCHORARRAY(Sintesi!$C$14),1,$C222))*($E222&lt;=INDEX(_xlfn.ANCHORARRAY(Sintesi!$C$15),1,$C222))*(INDEX(_xlfn.ANCHORARRAY(Sintesi!$C$15),1,$C222)&gt;0),1,IF(($E222&gt;=$E221)*($E222&lt;=$E223)*($E222&gt;INDEX(_xlfn.ANCHORARRAY(Sintesi!$C$14),1,$C222))*($E222&lt;INDEX(_xlfn.ANCHORARRAY(Sintesi!$C$16),1,$C222))*(INDEX(_xlfn.ANCHORARRAY(Sintesi!$C$15),1,$C222)&lt;0)+($E222&gt;=$E221)*($E222&lt;=$E223)*($E222&gt;INDEX(_xlfn.ANCHORARRAY(Sintesi!$C$15),1,$C222))*($E222&lt;INDEX(_xlfn.ANCHORARRAY(Sintesi!$C$16),1,$C222))*(INDEX(_xlfn.ANCHORARRAY(Sintesi!$C$15),1,$C222)&gt;0),2,IF($E222=(INDEX(_xlfn.ANCHORARRAY(Sintesi!$C$16),1,$C222)),3,4)))),0),IF($C222&gt;0,IF(($E222=INDEX(_xlfn.ANCHORARRAY(Sintesi!$C$14),1,$C222))*(INDEX(_xlfn.ANCHORARRAY(Sintesi!$C$15),1,$C222)&gt;0),0,IF(($E222=INDEX(_xlfn.ANCHORARRAY(Sintesi!$C$14),1,$C222))*(INDEX(_xlfn.ANCHORARRAY(Sintesi!$C$15),1,$C222)&lt;0)+($E222&gt;=LOOKUP(2,1/($E:$E&lt;&gt;""),$E:$E))*($E222&lt;=$E223)*($E222&gt;INDEX(_xlfn.ANCHORARRAY(Sintesi!$C$14),1,$C222))*($E222&lt;=INDEX(_xlfn.ANCHORARRAY(Sintesi!$C$15),1,$C222))*(INDEX(_xlfn.ANCHORARRAY(Sintesi!$C$15),1,$C222)&gt;0),1,IF(($E222&gt;=LOOKUP(2,1/($E:$E&lt;&gt;""),$E:$E))*($E222&lt;=$E223)*($E222&gt;INDEX(_xlfn.ANCHORARRAY(Sintesi!$C$14),1,$C222))*($E222&lt;INDEX(_xlfn.ANCHORARRAY(Sintesi!$C$16),1,$C222))*(INDEX(_xlfn.ANCHORARRAY(Sintesi!$C$15),1,$C222)&lt;0)+($E222&gt;=LOOKUP(2,1/($E:$E&lt;&gt;""),$E:$E))*($E222&lt;=$E223)*($E222&gt;INDEX(_xlfn.ANCHORARRAY(Sintesi!$C$15),1,$C222))*($E222&lt;INDEX(_xlfn.ANCHORARRAY(Sintesi!$C$16),1,$C222))*(INDEX(_xlfn.ANCHORARRAY(Sintesi!$C$15),1,$C222)&gt;0),2,IF($E222=(INDEX(_xlfn.ANCHORARRAY(Sintesi!$C$16),1,$C222)),3,4)))),0)))</f>
        <v>3</v>
      </c>
      <c r="E222" s="1">
        <f>'Paste cell here'!F222</f>
        <v>1.0469999999999999</v>
      </c>
      <c r="F222" s="1">
        <f>'Paste cell here'!C222</f>
        <v>31.859999999999538</v>
      </c>
      <c r="G222" s="1">
        <f>'Paste cell here'!D222</f>
        <v>18.119999999999756</v>
      </c>
      <c r="H222" s="1">
        <f>'Paste cell here'!E222</f>
        <v>4.8922116033712317</v>
      </c>
      <c r="I222" s="1">
        <f>'Paste cell here'!X222</f>
        <v>5.122035201486276</v>
      </c>
      <c r="J222" s="1">
        <f>'Paste cell here'!Y222+'Paste cell here'!S222</f>
        <v>5.122035201486276</v>
      </c>
      <c r="K222" s="1">
        <f t="shared" si="6"/>
        <v>1.0469774443028328</v>
      </c>
      <c r="L222" s="1">
        <f t="shared" si="7"/>
        <v>26.717386431185847</v>
      </c>
      <c r="M222" s="1">
        <f t="array" ref="M222">IF(AND(A222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222&gt;=_xlfn.ANCHORARRAY(Sintesi!$C$9))+(_xlfn.ANCHORARRAY(Sintesi!$C$9)&gt;_xlfn.ANCHORARRAY(Sintesi!$C$10))*(A222&lt;=_xlfn.ANCHORARRAY(Sintesi!$C$10))+(_xlfn.ANCHORARRAY(Sintesi!$C$9)&lt;_xlfn.ANCHORARRAY(Sintesi!$C$10))*(A222&gt;=_xlfn.ANCHORARRAY(Sintesi!$C$9))*(A222&lt;=_xlfn.ANCHORARRAY(Sintesi!$C$10)),0)),0),A222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223&gt;=_xlfn.ANCHORARRAY(Sintesi!$C$9))+(_xlfn.ANCHORARRAY(Sintesi!$C$9)&gt;_xlfn.ANCHORARRAY(Sintesi!$C$10))*(A223&lt;=_xlfn.ANCHORARRAY(Sintesi!$C$10))+(_xlfn.ANCHORARRAY(Sintesi!$C$9)&lt;_xlfn.ANCHORARRAY(Sintesi!$C$10))*(A223&gt;=_xlfn.ANCHORARRAY(Sintesi!$C$9))*(A223&lt;=_xlfn.ANCHORARRAY(Sintesi!$C$10)),0)),0)),IF(L222&lt;_xlfn.IFNA(INDEX(_xlfn.ANCHORARRAY(Sintesi!$C$17),1,MATCH(1,(_xlfn.ANCHORARRAY(Sintesi!$C$9)&gt;_xlfn.ANCHORARRAY(Sintesi!$C$10))*(A221&gt;=_xlfn.ANCHORARRAY(Sintesi!$C$9))+(_xlfn.ANCHORARRAY(Sintesi!$C$9)&gt;_xlfn.ANCHORARRAY(Sintesi!$C$10))*(A221&lt;=_xlfn.ANCHORARRAY(Sintesi!$C$10))+(_xlfn.ANCHORARRAY(Sintesi!$C$9)&lt;_xlfn.ANCHORARRAY(Sintesi!$C$10))*(A221&gt;=_xlfn.ANCHORARRAY(Sintesi!$C$9))*(A221&lt;=_xlfn.ANCHORARRAY(Sintesi!$C$10)),0)),0),1,IF(L222&gt;=_xlfn.IFNA(INDEX(_xlfn.ANCHORARRAY(Sintesi!$C$18),1,MATCH(1,(_xlfn.ANCHORARRAY(Sintesi!$C$9)&gt;_xlfn.ANCHORARRAY(Sintesi!$C$10))*(A221&gt;=_xlfn.ANCHORARRAY(Sintesi!$C$9))+(_xlfn.ANCHORARRAY(Sintesi!$C$9)&gt;_xlfn.ANCHORARRAY(Sintesi!$C$10))*(A221&lt;=_xlfn.ANCHORARRAY(Sintesi!$C$10))+(_xlfn.ANCHORARRAY(Sintesi!$C$9)&lt;_xlfn.ANCHORARRAY(Sintesi!$C$10))*(A221&gt;=_xlfn.ANCHORARRAY(Sintesi!$C$9))*(A221&lt;=_xlfn.ANCHORARRAY(Sintesi!$C$10)),0)),0),0,1-(L222-_xlfn.IFNA(INDEX(_xlfn.ANCHORARRAY(Sintesi!$C$17),1,MATCH(1,(_xlfn.ANCHORARRAY(Sintesi!$C$9)&gt;_xlfn.ANCHORARRAY(Sintesi!$C$10))*(A221&gt;=_xlfn.ANCHORARRAY(Sintesi!$C$9))+(_xlfn.ANCHORARRAY(Sintesi!$C$9)&gt;_xlfn.ANCHORARRAY(Sintesi!$C$10))*(A221&lt;=_xlfn.ANCHORARRAY(Sintesi!$C$10))+(_xlfn.ANCHORARRAY(Sintesi!$C$9)&lt;_xlfn.ANCHORARRAY(Sintesi!$C$10))*(A221&gt;=_xlfn.ANCHORARRAY(Sintesi!$C$9))*(A221&lt;=_xlfn.ANCHORARRAY(Sintesi!$C$10)),0)),0))/(_xlfn.IFNA(INDEX(_xlfn.ANCHORARRAY(Sintesi!$C$18),1,MATCH(1,(_xlfn.ANCHORARRAY(Sintesi!$C$9)&gt;_xlfn.ANCHORARRAY(Sintesi!$C$10))*(A221&gt;=_xlfn.ANCHORARRAY(Sintesi!$C$9))+(_xlfn.ANCHORARRAY(Sintesi!$C$9)&gt;_xlfn.ANCHORARRAY(Sintesi!$C$10))*(A221&lt;=_xlfn.ANCHORARRAY(Sintesi!$C$10))+(_xlfn.ANCHORARRAY(Sintesi!$C$9)&lt;_xlfn.ANCHORARRAY(Sintesi!$C$10))*(A221&gt;=_xlfn.ANCHORARRAY(Sintesi!$C$9))*(A221&lt;=_xlfn.ANCHORARRAY(Sintesi!$C$10)),0)),0)-_xlfn.IFNA(INDEX(_xlfn.ANCHORARRAY(Sintesi!$C$17),1,MATCH(1,(_xlfn.ANCHORARRAY(Sintesi!$C$9)&gt;_xlfn.ANCHORARRAY(Sintesi!$C$10))*(A221&gt;=_xlfn.ANCHORARRAY(Sintesi!$C$9))+(_xlfn.ANCHORARRAY(Sintesi!$C$9)&gt;_xlfn.ANCHORARRAY(Sintesi!$C$10))*(A221&lt;=_xlfn.ANCHORARRAY(Sintesi!$C$10))+(_xlfn.ANCHORARRAY(Sintesi!$C$9)&lt;_xlfn.ANCHORARRAY(Sintesi!$C$10))*(A221&gt;=_xlfn.ANCHORARRAY(Sintesi!$C$9))*(A221&lt;=_xlfn.ANCHORARRAY(Sintesi!$C$10)),0)),0)))),0)</f>
        <v>0</v>
      </c>
    </row>
    <row r="223" spans="1:13">
      <c r="A223" s="1">
        <f>'Paste cell here'!A223</f>
        <v>222</v>
      </c>
      <c r="B223" s="2">
        <f>DATE(Sintesi!$C$4-1,12,31)+A223</f>
        <v>44418</v>
      </c>
      <c r="C223" s="34">
        <f t="array" ref="C223">_xlfn.IFNA(MATCH(1,((_xlfn.ANCHORARRAY(Sintesi!$C$9)&gt;_xlfn.ANCHORARRAY(Sintesi!$C$10))*(A223&gt;=_xlfn.ANCHORARRAY(Sintesi!$C$9))+(_xlfn.ANCHORARRAY(Sintesi!$C$9)&gt;_xlfn.ANCHORARRAY(Sintesi!$C$10))*(A223&lt;=_xlfn.ANCHORARRAY(Sintesi!$C$10))+(_xlfn.ANCHORARRAY(Sintesi!$C$9)&lt;_xlfn.ANCHORARRAY(Sintesi!$C$10))*(A223&gt;=_xlfn.ANCHORARRAY(Sintesi!$C$9))*(A223&lt;=_xlfn.ANCHORARRAY(Sintesi!$C$10)))*(_xlfn.ANCHORARRAY(Sintesi!$C$15)&gt;=0)+(_xlfn.ANCHORARRAY(Sintesi!$C$15)&lt;0),0),0)</f>
        <v>1</v>
      </c>
      <c r="D223" s="1">
        <f t="array" ref="D223">IF(ISBLANK($E224),IF(ISNUMBER($E222),IF($C223&gt;0,IF(($E223=INDEX(_xlfn.ANCHORARRAY(Sintesi!$C$14),1,$C223))*(INDEX(_xlfn.ANCHORARRAY(Sintesi!$C$15),1,$C223)&gt;0),0,IF(($E223=INDEX(_xlfn.ANCHORARRAY(Sintesi!$C$14),1,$C223))*(INDEX(_xlfn.ANCHORARRAY(Sintesi!$C$15),1,$C223)&lt;0)+($E223&gt;=$E222)*($E223&lt;=INDEX($E:$E,MATCH(TRUE,INDEX((ISNUMBER($E:$E)),0),0)))*($E223&gt;INDEX(_xlfn.ANCHORARRAY(Sintesi!$C$14),1,$C223))*($E223&lt;=INDEX(_xlfn.ANCHORARRAY(Sintesi!$C$15),1,$C223))*(INDEX(_xlfn.ANCHORARRAY(Sintesi!$C$15),1,$C223)&gt;0),1,IF(($E223&gt;=$E222)*($E223&lt;=INDEX($E:$E,MATCH(TRUE,INDEX((ISNUMBER($E:$E)),0),0)))*($E223&gt;INDEX(_xlfn.ANCHORARRAY(Sintesi!$C$14),1,$C223))*($E223&lt;INDEX(_xlfn.ANCHORARRAY(Sintesi!$C$16),1,$C223))*(INDEX(_xlfn.ANCHORARRAY(Sintesi!$C$15),1,$C223)&lt;0)+($E223&gt;=$E222)*($E223&lt;=INDEX($E:$E,MATCH(TRUE,INDEX((ISNUMBER($E:$E)),0),0)))*($E223&gt;INDEX(_xlfn.ANCHORARRAY(Sintesi!$C$15),1,$C223))*($E223&lt;INDEX(_xlfn.ANCHORARRAY(Sintesi!$C$16),1,$C223))*(INDEX(_xlfn.ANCHORARRAY(Sintesi!$C$15),1,$C223)&gt;0),2,IF($E223=(INDEX(_xlfn.ANCHORARRAY(Sintesi!$C$16),1,$C223)),3,4)))),0),IF($C223&gt;0,IF(($E223=INDEX(_xlfn.ANCHORARRAY(Sintesi!$C$14),1,$C223))*(INDEX(_xlfn.ANCHORARRAY(Sintesi!$C$15),1,$C223)&gt;0),0,IF(($E223=INDEX(_xlfn.ANCHORARRAY(Sintesi!$C$14),1,$C223))*(INDEX(_xlfn.ANCHORARRAY(Sintesi!$C$15),1,$C223)&lt;0)+($E223&gt;=LOOKUP(2,1/($E:$E&lt;&gt;""),$E:$E))*($E223&lt;=INDEX($E:$E,MATCH(TRUE,INDEX((ISNUMBER($E:$E)),0),0)))*($E223&gt;INDEX(_xlfn.ANCHORARRAY(Sintesi!$C$14),1,$C223))*($E223&lt;=INDEX(_xlfn.ANCHORARRAY(Sintesi!$C$15),1,$C223))*(INDEX(_xlfn.ANCHORARRAY(Sintesi!$C$15),1,$C223)&gt;0),1,IF(($E223&gt;=LOOKUP(2,1/($E:$E&lt;&gt;""),$E:$E))*($E223&lt;=INDEX($E:$E,MATCH(TRUE,INDEX((ISNUMBER($E:$E)),0),0)))*($E223&gt;INDEX(_xlfn.ANCHORARRAY(Sintesi!$C$14),1,$C223))*($E223&lt;INDEX(_xlfn.ANCHORARRAY(Sintesi!$C$16),1,$C223))*(INDEX(_xlfn.ANCHORARRAY(Sintesi!$C$15),1,$C223)&lt;0)+($E223&gt;=LOOKUP(2,1/($E:$E&lt;&gt;""),$E:$E))*($E223&lt;=INDEX($E:$E,MATCH(TRUE,INDEX((ISNUMBER($E:$E)),0),0)))*($E223&gt;INDEX(_xlfn.ANCHORARRAY(Sintesi!$C$15),1,$C223))*($E223&lt;INDEX(_xlfn.ANCHORARRAY(Sintesi!$C$16),1,$C223))*(INDEX(_xlfn.ANCHORARRAY(Sintesi!$C$15),1,$C223)&gt;0),2,IF($E223=(INDEX(_xlfn.ANCHORARRAY(Sintesi!$C$16),1,$C223)),3,4)))),0)),IF(ISNUMBER($E222),IF($C223&gt;0,IF(($E223=INDEX(_xlfn.ANCHORARRAY(Sintesi!$C$14),1,$C223))*(INDEX(_xlfn.ANCHORARRAY(Sintesi!$C$15),1,$C223)&gt;0),0,IF(($E223=INDEX(_xlfn.ANCHORARRAY(Sintesi!$C$14),1,$C223))*(INDEX(_xlfn.ANCHORARRAY(Sintesi!$C$15),1,$C223)&lt;0)+($E223&gt;=$E222)*($E223&lt;=$E224)*($E223&gt;INDEX(_xlfn.ANCHORARRAY(Sintesi!$C$14),1,$C223))*($E223&lt;=INDEX(_xlfn.ANCHORARRAY(Sintesi!$C$15),1,$C223))*(INDEX(_xlfn.ANCHORARRAY(Sintesi!$C$15),1,$C223)&gt;0),1,IF(($E223&gt;=$E222)*($E223&lt;=$E224)*($E223&gt;INDEX(_xlfn.ANCHORARRAY(Sintesi!$C$14),1,$C223))*($E223&lt;INDEX(_xlfn.ANCHORARRAY(Sintesi!$C$16),1,$C223))*(INDEX(_xlfn.ANCHORARRAY(Sintesi!$C$15),1,$C223)&lt;0)+($E223&gt;=$E222)*($E223&lt;=$E224)*($E223&gt;INDEX(_xlfn.ANCHORARRAY(Sintesi!$C$15),1,$C223))*($E223&lt;INDEX(_xlfn.ANCHORARRAY(Sintesi!$C$16),1,$C223))*(INDEX(_xlfn.ANCHORARRAY(Sintesi!$C$15),1,$C223)&gt;0),2,IF($E223=(INDEX(_xlfn.ANCHORARRAY(Sintesi!$C$16),1,$C223)),3,4)))),0),IF($C223&gt;0,IF(($E223=INDEX(_xlfn.ANCHORARRAY(Sintesi!$C$14),1,$C223))*(INDEX(_xlfn.ANCHORARRAY(Sintesi!$C$15),1,$C223)&gt;0),0,IF(($E223=INDEX(_xlfn.ANCHORARRAY(Sintesi!$C$14),1,$C223))*(INDEX(_xlfn.ANCHORARRAY(Sintesi!$C$15),1,$C223)&lt;0)+($E223&gt;=LOOKUP(2,1/($E:$E&lt;&gt;""),$E:$E))*($E223&lt;=$E224)*($E223&gt;INDEX(_xlfn.ANCHORARRAY(Sintesi!$C$14),1,$C223))*($E223&lt;=INDEX(_xlfn.ANCHORARRAY(Sintesi!$C$15),1,$C223))*(INDEX(_xlfn.ANCHORARRAY(Sintesi!$C$15),1,$C223)&gt;0),1,IF(($E223&gt;=LOOKUP(2,1/($E:$E&lt;&gt;""),$E:$E))*($E223&lt;=$E224)*($E223&gt;INDEX(_xlfn.ANCHORARRAY(Sintesi!$C$14),1,$C223))*($E223&lt;INDEX(_xlfn.ANCHORARRAY(Sintesi!$C$16),1,$C223))*(INDEX(_xlfn.ANCHORARRAY(Sintesi!$C$15),1,$C223)&lt;0)+($E223&gt;=LOOKUP(2,1/($E:$E&lt;&gt;""),$E:$E))*($E223&lt;=$E224)*($E223&gt;INDEX(_xlfn.ANCHORARRAY(Sintesi!$C$15),1,$C223))*($E223&lt;INDEX(_xlfn.ANCHORARRAY(Sintesi!$C$16),1,$C223))*(INDEX(_xlfn.ANCHORARRAY(Sintesi!$C$15),1,$C223)&gt;0),2,IF($E223=(INDEX(_xlfn.ANCHORARRAY(Sintesi!$C$16),1,$C223)),3,4)))),0)))</f>
        <v>3</v>
      </c>
      <c r="E223" s="1">
        <f>'Paste cell here'!F223</f>
        <v>1.0469999999999999</v>
      </c>
      <c r="F223" s="1">
        <f>'Paste cell here'!C223</f>
        <v>32.479999999999528</v>
      </c>
      <c r="G223" s="1">
        <f>'Paste cell here'!D223</f>
        <v>18.37999999999975</v>
      </c>
      <c r="H223" s="1">
        <f>'Paste cell here'!E223</f>
        <v>4.8449491054350267</v>
      </c>
      <c r="I223" s="1">
        <f>'Paste cell here'!X223</f>
        <v>5.0725590533096128</v>
      </c>
      <c r="J223" s="1">
        <f>'Paste cell here'!Y223+'Paste cell here'!S223</f>
        <v>5.0725590533096128</v>
      </c>
      <c r="K223" s="1">
        <f t="shared" si="6"/>
        <v>1.0469788109062395</v>
      </c>
      <c r="L223" s="1">
        <f t="shared" si="7"/>
        <v>27.202645464317353</v>
      </c>
      <c r="M223" s="1">
        <f t="array" ref="M223">IF(AND(A223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223&gt;=_xlfn.ANCHORARRAY(Sintesi!$C$9))+(_xlfn.ANCHORARRAY(Sintesi!$C$9)&gt;_xlfn.ANCHORARRAY(Sintesi!$C$10))*(A223&lt;=_xlfn.ANCHORARRAY(Sintesi!$C$10))+(_xlfn.ANCHORARRAY(Sintesi!$C$9)&lt;_xlfn.ANCHORARRAY(Sintesi!$C$10))*(A223&gt;=_xlfn.ANCHORARRAY(Sintesi!$C$9))*(A223&lt;=_xlfn.ANCHORARRAY(Sintesi!$C$10)),0)),0),A223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224&gt;=_xlfn.ANCHORARRAY(Sintesi!$C$9))+(_xlfn.ANCHORARRAY(Sintesi!$C$9)&gt;_xlfn.ANCHORARRAY(Sintesi!$C$10))*(A224&lt;=_xlfn.ANCHORARRAY(Sintesi!$C$10))+(_xlfn.ANCHORARRAY(Sintesi!$C$9)&lt;_xlfn.ANCHORARRAY(Sintesi!$C$10))*(A224&gt;=_xlfn.ANCHORARRAY(Sintesi!$C$9))*(A224&lt;=_xlfn.ANCHORARRAY(Sintesi!$C$10)),0)),0)),IF(L223&lt;_xlfn.IFNA(INDEX(_xlfn.ANCHORARRAY(Sintesi!$C$17),1,MATCH(1,(_xlfn.ANCHORARRAY(Sintesi!$C$9)&gt;_xlfn.ANCHORARRAY(Sintesi!$C$10))*(A222&gt;=_xlfn.ANCHORARRAY(Sintesi!$C$9))+(_xlfn.ANCHORARRAY(Sintesi!$C$9)&gt;_xlfn.ANCHORARRAY(Sintesi!$C$10))*(A222&lt;=_xlfn.ANCHORARRAY(Sintesi!$C$10))+(_xlfn.ANCHORARRAY(Sintesi!$C$9)&lt;_xlfn.ANCHORARRAY(Sintesi!$C$10))*(A222&gt;=_xlfn.ANCHORARRAY(Sintesi!$C$9))*(A222&lt;=_xlfn.ANCHORARRAY(Sintesi!$C$10)),0)),0),1,IF(L223&gt;=_xlfn.IFNA(INDEX(_xlfn.ANCHORARRAY(Sintesi!$C$18),1,MATCH(1,(_xlfn.ANCHORARRAY(Sintesi!$C$9)&gt;_xlfn.ANCHORARRAY(Sintesi!$C$10))*(A222&gt;=_xlfn.ANCHORARRAY(Sintesi!$C$9))+(_xlfn.ANCHORARRAY(Sintesi!$C$9)&gt;_xlfn.ANCHORARRAY(Sintesi!$C$10))*(A222&lt;=_xlfn.ANCHORARRAY(Sintesi!$C$10))+(_xlfn.ANCHORARRAY(Sintesi!$C$9)&lt;_xlfn.ANCHORARRAY(Sintesi!$C$10))*(A222&gt;=_xlfn.ANCHORARRAY(Sintesi!$C$9))*(A222&lt;=_xlfn.ANCHORARRAY(Sintesi!$C$10)),0)),0),0,1-(L223-_xlfn.IFNA(INDEX(_xlfn.ANCHORARRAY(Sintesi!$C$17),1,MATCH(1,(_xlfn.ANCHORARRAY(Sintesi!$C$9)&gt;_xlfn.ANCHORARRAY(Sintesi!$C$10))*(A222&gt;=_xlfn.ANCHORARRAY(Sintesi!$C$9))+(_xlfn.ANCHORARRAY(Sintesi!$C$9)&gt;_xlfn.ANCHORARRAY(Sintesi!$C$10))*(A222&lt;=_xlfn.ANCHORARRAY(Sintesi!$C$10))+(_xlfn.ANCHORARRAY(Sintesi!$C$9)&lt;_xlfn.ANCHORARRAY(Sintesi!$C$10))*(A222&gt;=_xlfn.ANCHORARRAY(Sintesi!$C$9))*(A222&lt;=_xlfn.ANCHORARRAY(Sintesi!$C$10)),0)),0))/(_xlfn.IFNA(INDEX(_xlfn.ANCHORARRAY(Sintesi!$C$18),1,MATCH(1,(_xlfn.ANCHORARRAY(Sintesi!$C$9)&gt;_xlfn.ANCHORARRAY(Sintesi!$C$10))*(A222&gt;=_xlfn.ANCHORARRAY(Sintesi!$C$9))+(_xlfn.ANCHORARRAY(Sintesi!$C$9)&gt;_xlfn.ANCHORARRAY(Sintesi!$C$10))*(A222&lt;=_xlfn.ANCHORARRAY(Sintesi!$C$10))+(_xlfn.ANCHORARRAY(Sintesi!$C$9)&lt;_xlfn.ANCHORARRAY(Sintesi!$C$10))*(A222&gt;=_xlfn.ANCHORARRAY(Sintesi!$C$9))*(A222&lt;=_xlfn.ANCHORARRAY(Sintesi!$C$10)),0)),0)-_xlfn.IFNA(INDEX(_xlfn.ANCHORARRAY(Sintesi!$C$17),1,MATCH(1,(_xlfn.ANCHORARRAY(Sintesi!$C$9)&gt;_xlfn.ANCHORARRAY(Sintesi!$C$10))*(A222&gt;=_xlfn.ANCHORARRAY(Sintesi!$C$9))+(_xlfn.ANCHORARRAY(Sintesi!$C$9)&gt;_xlfn.ANCHORARRAY(Sintesi!$C$10))*(A222&lt;=_xlfn.ANCHORARRAY(Sintesi!$C$10))+(_xlfn.ANCHORARRAY(Sintesi!$C$9)&lt;_xlfn.ANCHORARRAY(Sintesi!$C$10))*(A222&gt;=_xlfn.ANCHORARRAY(Sintesi!$C$9))*(A222&lt;=_xlfn.ANCHORARRAY(Sintesi!$C$10)),0)),0)))),0)</f>
        <v>0</v>
      </c>
    </row>
    <row r="224" spans="1:13">
      <c r="A224" s="1">
        <f>'Paste cell here'!A224</f>
        <v>223</v>
      </c>
      <c r="B224" s="2">
        <f>DATE(Sintesi!$C$4-1,12,31)+A224</f>
        <v>44419</v>
      </c>
      <c r="C224" s="34">
        <f t="array" ref="C224">_xlfn.IFNA(MATCH(1,((_xlfn.ANCHORARRAY(Sintesi!$C$9)&gt;_xlfn.ANCHORARRAY(Sintesi!$C$10))*(A224&gt;=_xlfn.ANCHORARRAY(Sintesi!$C$9))+(_xlfn.ANCHORARRAY(Sintesi!$C$9)&gt;_xlfn.ANCHORARRAY(Sintesi!$C$10))*(A224&lt;=_xlfn.ANCHORARRAY(Sintesi!$C$10))+(_xlfn.ANCHORARRAY(Sintesi!$C$9)&lt;_xlfn.ANCHORARRAY(Sintesi!$C$10))*(A224&gt;=_xlfn.ANCHORARRAY(Sintesi!$C$9))*(A224&lt;=_xlfn.ANCHORARRAY(Sintesi!$C$10)))*(_xlfn.ANCHORARRAY(Sintesi!$C$15)&gt;=0)+(_xlfn.ANCHORARRAY(Sintesi!$C$15)&lt;0),0),0)</f>
        <v>1</v>
      </c>
      <c r="D224" s="1">
        <f t="array" ref="D224">IF(ISBLANK($E225),IF(ISNUMBER($E223),IF($C224&gt;0,IF(($E224=INDEX(_xlfn.ANCHORARRAY(Sintesi!$C$14),1,$C224))*(INDEX(_xlfn.ANCHORARRAY(Sintesi!$C$15),1,$C224)&gt;0),0,IF(($E224=INDEX(_xlfn.ANCHORARRAY(Sintesi!$C$14),1,$C224))*(INDEX(_xlfn.ANCHORARRAY(Sintesi!$C$15),1,$C224)&lt;0)+($E224&gt;=$E223)*($E224&lt;=INDEX($E:$E,MATCH(TRUE,INDEX((ISNUMBER($E:$E)),0),0)))*($E224&gt;INDEX(_xlfn.ANCHORARRAY(Sintesi!$C$14),1,$C224))*($E224&lt;=INDEX(_xlfn.ANCHORARRAY(Sintesi!$C$15),1,$C224))*(INDEX(_xlfn.ANCHORARRAY(Sintesi!$C$15),1,$C224)&gt;0),1,IF(($E224&gt;=$E223)*($E224&lt;=INDEX($E:$E,MATCH(TRUE,INDEX((ISNUMBER($E:$E)),0),0)))*($E224&gt;INDEX(_xlfn.ANCHORARRAY(Sintesi!$C$14),1,$C224))*($E224&lt;INDEX(_xlfn.ANCHORARRAY(Sintesi!$C$16),1,$C224))*(INDEX(_xlfn.ANCHORARRAY(Sintesi!$C$15),1,$C224)&lt;0)+($E224&gt;=$E223)*($E224&lt;=INDEX($E:$E,MATCH(TRUE,INDEX((ISNUMBER($E:$E)),0),0)))*($E224&gt;INDEX(_xlfn.ANCHORARRAY(Sintesi!$C$15),1,$C224))*($E224&lt;INDEX(_xlfn.ANCHORARRAY(Sintesi!$C$16),1,$C224))*(INDEX(_xlfn.ANCHORARRAY(Sintesi!$C$15),1,$C224)&gt;0),2,IF($E224=(INDEX(_xlfn.ANCHORARRAY(Sintesi!$C$16),1,$C224)),3,4)))),0),IF($C224&gt;0,IF(($E224=INDEX(_xlfn.ANCHORARRAY(Sintesi!$C$14),1,$C224))*(INDEX(_xlfn.ANCHORARRAY(Sintesi!$C$15),1,$C224)&gt;0),0,IF(($E224=INDEX(_xlfn.ANCHORARRAY(Sintesi!$C$14),1,$C224))*(INDEX(_xlfn.ANCHORARRAY(Sintesi!$C$15),1,$C224)&lt;0)+($E224&gt;=LOOKUP(2,1/($E:$E&lt;&gt;""),$E:$E))*($E224&lt;=INDEX($E:$E,MATCH(TRUE,INDEX((ISNUMBER($E:$E)),0),0)))*($E224&gt;INDEX(_xlfn.ANCHORARRAY(Sintesi!$C$14),1,$C224))*($E224&lt;=INDEX(_xlfn.ANCHORARRAY(Sintesi!$C$15),1,$C224))*(INDEX(_xlfn.ANCHORARRAY(Sintesi!$C$15),1,$C224)&gt;0),1,IF(($E224&gt;=LOOKUP(2,1/($E:$E&lt;&gt;""),$E:$E))*($E224&lt;=INDEX($E:$E,MATCH(TRUE,INDEX((ISNUMBER($E:$E)),0),0)))*($E224&gt;INDEX(_xlfn.ANCHORARRAY(Sintesi!$C$14),1,$C224))*($E224&lt;INDEX(_xlfn.ANCHORARRAY(Sintesi!$C$16),1,$C224))*(INDEX(_xlfn.ANCHORARRAY(Sintesi!$C$15),1,$C224)&lt;0)+($E224&gt;=LOOKUP(2,1/($E:$E&lt;&gt;""),$E:$E))*($E224&lt;=INDEX($E:$E,MATCH(TRUE,INDEX((ISNUMBER($E:$E)),0),0)))*($E224&gt;INDEX(_xlfn.ANCHORARRAY(Sintesi!$C$15),1,$C224))*($E224&lt;INDEX(_xlfn.ANCHORARRAY(Sintesi!$C$16),1,$C224))*(INDEX(_xlfn.ANCHORARRAY(Sintesi!$C$15),1,$C224)&gt;0),2,IF($E224=(INDEX(_xlfn.ANCHORARRAY(Sintesi!$C$16),1,$C224)),3,4)))),0)),IF(ISNUMBER($E223),IF($C224&gt;0,IF(($E224=INDEX(_xlfn.ANCHORARRAY(Sintesi!$C$14),1,$C224))*(INDEX(_xlfn.ANCHORARRAY(Sintesi!$C$15),1,$C224)&gt;0),0,IF(($E224=INDEX(_xlfn.ANCHORARRAY(Sintesi!$C$14),1,$C224))*(INDEX(_xlfn.ANCHORARRAY(Sintesi!$C$15),1,$C224)&lt;0)+($E224&gt;=$E223)*($E224&lt;=$E225)*($E224&gt;INDEX(_xlfn.ANCHORARRAY(Sintesi!$C$14),1,$C224))*($E224&lt;=INDEX(_xlfn.ANCHORARRAY(Sintesi!$C$15),1,$C224))*(INDEX(_xlfn.ANCHORARRAY(Sintesi!$C$15),1,$C224)&gt;0),1,IF(($E224&gt;=$E223)*($E224&lt;=$E225)*($E224&gt;INDEX(_xlfn.ANCHORARRAY(Sintesi!$C$14),1,$C224))*($E224&lt;INDEX(_xlfn.ANCHORARRAY(Sintesi!$C$16),1,$C224))*(INDEX(_xlfn.ANCHORARRAY(Sintesi!$C$15),1,$C224)&lt;0)+($E224&gt;=$E223)*($E224&lt;=$E225)*($E224&gt;INDEX(_xlfn.ANCHORARRAY(Sintesi!$C$15),1,$C224))*($E224&lt;INDEX(_xlfn.ANCHORARRAY(Sintesi!$C$16),1,$C224))*(INDEX(_xlfn.ANCHORARRAY(Sintesi!$C$15),1,$C224)&gt;0),2,IF($E224=(INDEX(_xlfn.ANCHORARRAY(Sintesi!$C$16),1,$C224)),3,4)))),0),IF($C224&gt;0,IF(($E224=INDEX(_xlfn.ANCHORARRAY(Sintesi!$C$14),1,$C224))*(INDEX(_xlfn.ANCHORARRAY(Sintesi!$C$15),1,$C224)&gt;0),0,IF(($E224=INDEX(_xlfn.ANCHORARRAY(Sintesi!$C$14),1,$C224))*(INDEX(_xlfn.ANCHORARRAY(Sintesi!$C$15),1,$C224)&lt;0)+($E224&gt;=LOOKUP(2,1/($E:$E&lt;&gt;""),$E:$E))*($E224&lt;=$E225)*($E224&gt;INDEX(_xlfn.ANCHORARRAY(Sintesi!$C$14),1,$C224))*($E224&lt;=INDEX(_xlfn.ANCHORARRAY(Sintesi!$C$15),1,$C224))*(INDEX(_xlfn.ANCHORARRAY(Sintesi!$C$15),1,$C224)&gt;0),1,IF(($E224&gt;=LOOKUP(2,1/($E:$E&lt;&gt;""),$E:$E))*($E224&lt;=$E225)*($E224&gt;INDEX(_xlfn.ANCHORARRAY(Sintesi!$C$14),1,$C224))*($E224&lt;INDEX(_xlfn.ANCHORARRAY(Sintesi!$C$16),1,$C224))*(INDEX(_xlfn.ANCHORARRAY(Sintesi!$C$15),1,$C224)&lt;0)+($E224&gt;=LOOKUP(2,1/($E:$E&lt;&gt;""),$E:$E))*($E224&lt;=$E225)*($E224&gt;INDEX(_xlfn.ANCHORARRAY(Sintesi!$C$15),1,$C224))*($E224&lt;INDEX(_xlfn.ANCHORARRAY(Sintesi!$C$16),1,$C224))*(INDEX(_xlfn.ANCHORARRAY(Sintesi!$C$15),1,$C224)&gt;0),2,IF($E224=(INDEX(_xlfn.ANCHORARRAY(Sintesi!$C$16),1,$C224)),3,4)))),0)))</f>
        <v>3</v>
      </c>
      <c r="E224" s="1">
        <f>'Paste cell here'!F224</f>
        <v>1.0469999999999999</v>
      </c>
      <c r="F224" s="1">
        <f>'Paste cell here'!C224</f>
        <v>34.699999999999498</v>
      </c>
      <c r="G224" s="1">
        <f>'Paste cell here'!D224</f>
        <v>18.599999999999749</v>
      </c>
      <c r="H224" s="1">
        <f>'Paste cell here'!E224</f>
        <v>5.0669030961562953</v>
      </c>
      <c r="I224" s="1">
        <f>'Paste cell here'!X224</f>
        <v>5.3049468091585501</v>
      </c>
      <c r="J224" s="1">
        <f>'Paste cell here'!Y224+'Paste cell here'!S224</f>
        <v>5.3049468091585501</v>
      </c>
      <c r="K224" s="1">
        <f t="shared" si="6"/>
        <v>1.0469801195098507</v>
      </c>
      <c r="L224" s="1">
        <f t="shared" si="7"/>
        <v>28.674084537270208</v>
      </c>
      <c r="M224" s="1">
        <f t="array" ref="M224">IF(AND(A224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224&gt;=_xlfn.ANCHORARRAY(Sintesi!$C$9))+(_xlfn.ANCHORARRAY(Sintesi!$C$9)&gt;_xlfn.ANCHORARRAY(Sintesi!$C$10))*(A224&lt;=_xlfn.ANCHORARRAY(Sintesi!$C$10))+(_xlfn.ANCHORARRAY(Sintesi!$C$9)&lt;_xlfn.ANCHORARRAY(Sintesi!$C$10))*(A224&gt;=_xlfn.ANCHORARRAY(Sintesi!$C$9))*(A224&lt;=_xlfn.ANCHORARRAY(Sintesi!$C$10)),0)),0),A224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225&gt;=_xlfn.ANCHORARRAY(Sintesi!$C$9))+(_xlfn.ANCHORARRAY(Sintesi!$C$9)&gt;_xlfn.ANCHORARRAY(Sintesi!$C$10))*(A225&lt;=_xlfn.ANCHORARRAY(Sintesi!$C$10))+(_xlfn.ANCHORARRAY(Sintesi!$C$9)&lt;_xlfn.ANCHORARRAY(Sintesi!$C$10))*(A225&gt;=_xlfn.ANCHORARRAY(Sintesi!$C$9))*(A225&lt;=_xlfn.ANCHORARRAY(Sintesi!$C$10)),0)),0)),IF(L224&lt;_xlfn.IFNA(INDEX(_xlfn.ANCHORARRAY(Sintesi!$C$17),1,MATCH(1,(_xlfn.ANCHORARRAY(Sintesi!$C$9)&gt;_xlfn.ANCHORARRAY(Sintesi!$C$10))*(A223&gt;=_xlfn.ANCHORARRAY(Sintesi!$C$9))+(_xlfn.ANCHORARRAY(Sintesi!$C$9)&gt;_xlfn.ANCHORARRAY(Sintesi!$C$10))*(A223&lt;=_xlfn.ANCHORARRAY(Sintesi!$C$10))+(_xlfn.ANCHORARRAY(Sintesi!$C$9)&lt;_xlfn.ANCHORARRAY(Sintesi!$C$10))*(A223&gt;=_xlfn.ANCHORARRAY(Sintesi!$C$9))*(A223&lt;=_xlfn.ANCHORARRAY(Sintesi!$C$10)),0)),0),1,IF(L224&gt;=_xlfn.IFNA(INDEX(_xlfn.ANCHORARRAY(Sintesi!$C$18),1,MATCH(1,(_xlfn.ANCHORARRAY(Sintesi!$C$9)&gt;_xlfn.ANCHORARRAY(Sintesi!$C$10))*(A223&gt;=_xlfn.ANCHORARRAY(Sintesi!$C$9))+(_xlfn.ANCHORARRAY(Sintesi!$C$9)&gt;_xlfn.ANCHORARRAY(Sintesi!$C$10))*(A223&lt;=_xlfn.ANCHORARRAY(Sintesi!$C$10))+(_xlfn.ANCHORARRAY(Sintesi!$C$9)&lt;_xlfn.ANCHORARRAY(Sintesi!$C$10))*(A223&gt;=_xlfn.ANCHORARRAY(Sintesi!$C$9))*(A223&lt;=_xlfn.ANCHORARRAY(Sintesi!$C$10)),0)),0),0,1-(L224-_xlfn.IFNA(INDEX(_xlfn.ANCHORARRAY(Sintesi!$C$17),1,MATCH(1,(_xlfn.ANCHORARRAY(Sintesi!$C$9)&gt;_xlfn.ANCHORARRAY(Sintesi!$C$10))*(A223&gt;=_xlfn.ANCHORARRAY(Sintesi!$C$9))+(_xlfn.ANCHORARRAY(Sintesi!$C$9)&gt;_xlfn.ANCHORARRAY(Sintesi!$C$10))*(A223&lt;=_xlfn.ANCHORARRAY(Sintesi!$C$10))+(_xlfn.ANCHORARRAY(Sintesi!$C$9)&lt;_xlfn.ANCHORARRAY(Sintesi!$C$10))*(A223&gt;=_xlfn.ANCHORARRAY(Sintesi!$C$9))*(A223&lt;=_xlfn.ANCHORARRAY(Sintesi!$C$10)),0)),0))/(_xlfn.IFNA(INDEX(_xlfn.ANCHORARRAY(Sintesi!$C$18),1,MATCH(1,(_xlfn.ANCHORARRAY(Sintesi!$C$9)&gt;_xlfn.ANCHORARRAY(Sintesi!$C$10))*(A223&gt;=_xlfn.ANCHORARRAY(Sintesi!$C$9))+(_xlfn.ANCHORARRAY(Sintesi!$C$9)&gt;_xlfn.ANCHORARRAY(Sintesi!$C$10))*(A223&lt;=_xlfn.ANCHORARRAY(Sintesi!$C$10))+(_xlfn.ANCHORARRAY(Sintesi!$C$9)&lt;_xlfn.ANCHORARRAY(Sintesi!$C$10))*(A223&gt;=_xlfn.ANCHORARRAY(Sintesi!$C$9))*(A223&lt;=_xlfn.ANCHORARRAY(Sintesi!$C$10)),0)),0)-_xlfn.IFNA(INDEX(_xlfn.ANCHORARRAY(Sintesi!$C$17),1,MATCH(1,(_xlfn.ANCHORARRAY(Sintesi!$C$9)&gt;_xlfn.ANCHORARRAY(Sintesi!$C$10))*(A223&gt;=_xlfn.ANCHORARRAY(Sintesi!$C$9))+(_xlfn.ANCHORARRAY(Sintesi!$C$9)&gt;_xlfn.ANCHORARRAY(Sintesi!$C$10))*(A223&lt;=_xlfn.ANCHORARRAY(Sintesi!$C$10))+(_xlfn.ANCHORARRAY(Sintesi!$C$9)&lt;_xlfn.ANCHORARRAY(Sintesi!$C$10))*(A223&gt;=_xlfn.ANCHORARRAY(Sintesi!$C$9))*(A223&lt;=_xlfn.ANCHORARRAY(Sintesi!$C$10)),0)),0)))),0)</f>
        <v>0</v>
      </c>
    </row>
    <row r="225" spans="1:13">
      <c r="A225" s="1">
        <f>'Paste cell here'!A225</f>
        <v>224</v>
      </c>
      <c r="B225" s="2">
        <f>DATE(Sintesi!$C$4-1,12,31)+A225</f>
        <v>44420</v>
      </c>
      <c r="C225" s="34">
        <f t="array" ref="C225">_xlfn.IFNA(MATCH(1,((_xlfn.ANCHORARRAY(Sintesi!$C$9)&gt;_xlfn.ANCHORARRAY(Sintesi!$C$10))*(A225&gt;=_xlfn.ANCHORARRAY(Sintesi!$C$9))+(_xlfn.ANCHORARRAY(Sintesi!$C$9)&gt;_xlfn.ANCHORARRAY(Sintesi!$C$10))*(A225&lt;=_xlfn.ANCHORARRAY(Sintesi!$C$10))+(_xlfn.ANCHORARRAY(Sintesi!$C$9)&lt;_xlfn.ANCHORARRAY(Sintesi!$C$10))*(A225&gt;=_xlfn.ANCHORARRAY(Sintesi!$C$9))*(A225&lt;=_xlfn.ANCHORARRAY(Sintesi!$C$10)))*(_xlfn.ANCHORARRAY(Sintesi!$C$15)&gt;=0)+(_xlfn.ANCHORARRAY(Sintesi!$C$15)&lt;0),0),0)</f>
        <v>1</v>
      </c>
      <c r="D225" s="1">
        <f t="array" ref="D225">IF(ISBLANK($E226),IF(ISNUMBER($E224),IF($C225&gt;0,IF(($E225=INDEX(_xlfn.ANCHORARRAY(Sintesi!$C$14),1,$C225))*(INDEX(_xlfn.ANCHORARRAY(Sintesi!$C$15),1,$C225)&gt;0),0,IF(($E225=INDEX(_xlfn.ANCHORARRAY(Sintesi!$C$14),1,$C225))*(INDEX(_xlfn.ANCHORARRAY(Sintesi!$C$15),1,$C225)&lt;0)+($E225&gt;=$E224)*($E225&lt;=INDEX($E:$E,MATCH(TRUE,INDEX((ISNUMBER($E:$E)),0),0)))*($E225&gt;INDEX(_xlfn.ANCHORARRAY(Sintesi!$C$14),1,$C225))*($E225&lt;=INDEX(_xlfn.ANCHORARRAY(Sintesi!$C$15),1,$C225))*(INDEX(_xlfn.ANCHORARRAY(Sintesi!$C$15),1,$C225)&gt;0),1,IF(($E225&gt;=$E224)*($E225&lt;=INDEX($E:$E,MATCH(TRUE,INDEX((ISNUMBER($E:$E)),0),0)))*($E225&gt;INDEX(_xlfn.ANCHORARRAY(Sintesi!$C$14),1,$C225))*($E225&lt;INDEX(_xlfn.ANCHORARRAY(Sintesi!$C$16),1,$C225))*(INDEX(_xlfn.ANCHORARRAY(Sintesi!$C$15),1,$C225)&lt;0)+($E225&gt;=$E224)*($E225&lt;=INDEX($E:$E,MATCH(TRUE,INDEX((ISNUMBER($E:$E)),0),0)))*($E225&gt;INDEX(_xlfn.ANCHORARRAY(Sintesi!$C$15),1,$C225))*($E225&lt;INDEX(_xlfn.ANCHORARRAY(Sintesi!$C$16),1,$C225))*(INDEX(_xlfn.ANCHORARRAY(Sintesi!$C$15),1,$C225)&gt;0),2,IF($E225=(INDEX(_xlfn.ANCHORARRAY(Sintesi!$C$16),1,$C225)),3,4)))),0),IF($C225&gt;0,IF(($E225=INDEX(_xlfn.ANCHORARRAY(Sintesi!$C$14),1,$C225))*(INDEX(_xlfn.ANCHORARRAY(Sintesi!$C$15),1,$C225)&gt;0),0,IF(($E225=INDEX(_xlfn.ANCHORARRAY(Sintesi!$C$14),1,$C225))*(INDEX(_xlfn.ANCHORARRAY(Sintesi!$C$15),1,$C225)&lt;0)+($E225&gt;=LOOKUP(2,1/($E:$E&lt;&gt;""),$E:$E))*($E225&lt;=INDEX($E:$E,MATCH(TRUE,INDEX((ISNUMBER($E:$E)),0),0)))*($E225&gt;INDEX(_xlfn.ANCHORARRAY(Sintesi!$C$14),1,$C225))*($E225&lt;=INDEX(_xlfn.ANCHORARRAY(Sintesi!$C$15),1,$C225))*(INDEX(_xlfn.ANCHORARRAY(Sintesi!$C$15),1,$C225)&gt;0),1,IF(($E225&gt;=LOOKUP(2,1/($E:$E&lt;&gt;""),$E:$E))*($E225&lt;=INDEX($E:$E,MATCH(TRUE,INDEX((ISNUMBER($E:$E)),0),0)))*($E225&gt;INDEX(_xlfn.ANCHORARRAY(Sintesi!$C$14),1,$C225))*($E225&lt;INDEX(_xlfn.ANCHORARRAY(Sintesi!$C$16),1,$C225))*(INDEX(_xlfn.ANCHORARRAY(Sintesi!$C$15),1,$C225)&lt;0)+($E225&gt;=LOOKUP(2,1/($E:$E&lt;&gt;""),$E:$E))*($E225&lt;=INDEX($E:$E,MATCH(TRUE,INDEX((ISNUMBER($E:$E)),0),0)))*($E225&gt;INDEX(_xlfn.ANCHORARRAY(Sintesi!$C$15),1,$C225))*($E225&lt;INDEX(_xlfn.ANCHORARRAY(Sintesi!$C$16),1,$C225))*(INDEX(_xlfn.ANCHORARRAY(Sintesi!$C$15),1,$C225)&gt;0),2,IF($E225=(INDEX(_xlfn.ANCHORARRAY(Sintesi!$C$16),1,$C225)),3,4)))),0)),IF(ISNUMBER($E224),IF($C225&gt;0,IF(($E225=INDEX(_xlfn.ANCHORARRAY(Sintesi!$C$14),1,$C225))*(INDEX(_xlfn.ANCHORARRAY(Sintesi!$C$15),1,$C225)&gt;0),0,IF(($E225=INDEX(_xlfn.ANCHORARRAY(Sintesi!$C$14),1,$C225))*(INDEX(_xlfn.ANCHORARRAY(Sintesi!$C$15),1,$C225)&lt;0)+($E225&gt;=$E224)*($E225&lt;=$E226)*($E225&gt;INDEX(_xlfn.ANCHORARRAY(Sintesi!$C$14),1,$C225))*($E225&lt;=INDEX(_xlfn.ANCHORARRAY(Sintesi!$C$15),1,$C225))*(INDEX(_xlfn.ANCHORARRAY(Sintesi!$C$15),1,$C225)&gt;0),1,IF(($E225&gt;=$E224)*($E225&lt;=$E226)*($E225&gt;INDEX(_xlfn.ANCHORARRAY(Sintesi!$C$14),1,$C225))*($E225&lt;INDEX(_xlfn.ANCHORARRAY(Sintesi!$C$16),1,$C225))*(INDEX(_xlfn.ANCHORARRAY(Sintesi!$C$15),1,$C225)&lt;0)+($E225&gt;=$E224)*($E225&lt;=$E226)*($E225&gt;INDEX(_xlfn.ANCHORARRAY(Sintesi!$C$15),1,$C225))*($E225&lt;INDEX(_xlfn.ANCHORARRAY(Sintesi!$C$16),1,$C225))*(INDEX(_xlfn.ANCHORARRAY(Sintesi!$C$15),1,$C225)&gt;0),2,IF($E225=(INDEX(_xlfn.ANCHORARRAY(Sintesi!$C$16),1,$C225)),3,4)))),0),IF($C225&gt;0,IF(($E225=INDEX(_xlfn.ANCHORARRAY(Sintesi!$C$14),1,$C225))*(INDEX(_xlfn.ANCHORARRAY(Sintesi!$C$15),1,$C225)&gt;0),0,IF(($E225=INDEX(_xlfn.ANCHORARRAY(Sintesi!$C$14),1,$C225))*(INDEX(_xlfn.ANCHORARRAY(Sintesi!$C$15),1,$C225)&lt;0)+($E225&gt;=LOOKUP(2,1/($E:$E&lt;&gt;""),$E:$E))*($E225&lt;=$E226)*($E225&gt;INDEX(_xlfn.ANCHORARRAY(Sintesi!$C$14),1,$C225))*($E225&lt;=INDEX(_xlfn.ANCHORARRAY(Sintesi!$C$15),1,$C225))*(INDEX(_xlfn.ANCHORARRAY(Sintesi!$C$15),1,$C225)&gt;0),1,IF(($E225&gt;=LOOKUP(2,1/($E:$E&lt;&gt;""),$E:$E))*($E225&lt;=$E226)*($E225&gt;INDEX(_xlfn.ANCHORARRAY(Sintesi!$C$14),1,$C225))*($E225&lt;INDEX(_xlfn.ANCHORARRAY(Sintesi!$C$16),1,$C225))*(INDEX(_xlfn.ANCHORARRAY(Sintesi!$C$15),1,$C225)&lt;0)+($E225&gt;=LOOKUP(2,1/($E:$E&lt;&gt;""),$E:$E))*($E225&lt;=$E226)*($E225&gt;INDEX(_xlfn.ANCHORARRAY(Sintesi!$C$15),1,$C225))*($E225&lt;INDEX(_xlfn.ANCHORARRAY(Sintesi!$C$16),1,$C225))*(INDEX(_xlfn.ANCHORARRAY(Sintesi!$C$15),1,$C225)&gt;0),2,IF($E225=(INDEX(_xlfn.ANCHORARRAY(Sintesi!$C$16),1,$C225)),3,4)))),0)))</f>
        <v>3</v>
      </c>
      <c r="E225" s="1">
        <f>'Paste cell here'!F225</f>
        <v>1.0469999999999999</v>
      </c>
      <c r="F225" s="1">
        <f>'Paste cell here'!C225</f>
        <v>35.499999999999488</v>
      </c>
      <c r="G225" s="1">
        <f>'Paste cell here'!D225</f>
        <v>20.599999999999724</v>
      </c>
      <c r="H225" s="1">
        <f>'Paste cell here'!E225</f>
        <v>5.3090346091224294</v>
      </c>
      <c r="I225" s="1">
        <f>'Paste cell here'!X225</f>
        <v>5.5584603315645733</v>
      </c>
      <c r="J225" s="1">
        <f>'Paste cell here'!Y225+'Paste cell here'!S225</f>
        <v>5.5584603315645733</v>
      </c>
      <c r="K225" s="1">
        <f t="shared" si="6"/>
        <v>1.0469813705892139</v>
      </c>
      <c r="L225" s="1">
        <f t="shared" si="7"/>
        <v>29.923221093498473</v>
      </c>
      <c r="M225" s="1">
        <f t="array" ref="M225">IF(AND(A225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225&gt;=_xlfn.ANCHORARRAY(Sintesi!$C$9))+(_xlfn.ANCHORARRAY(Sintesi!$C$9)&gt;_xlfn.ANCHORARRAY(Sintesi!$C$10))*(A225&lt;=_xlfn.ANCHORARRAY(Sintesi!$C$10))+(_xlfn.ANCHORARRAY(Sintesi!$C$9)&lt;_xlfn.ANCHORARRAY(Sintesi!$C$10))*(A225&gt;=_xlfn.ANCHORARRAY(Sintesi!$C$9))*(A225&lt;=_xlfn.ANCHORARRAY(Sintesi!$C$10)),0)),0),A225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226&gt;=_xlfn.ANCHORARRAY(Sintesi!$C$9))+(_xlfn.ANCHORARRAY(Sintesi!$C$9)&gt;_xlfn.ANCHORARRAY(Sintesi!$C$10))*(A226&lt;=_xlfn.ANCHORARRAY(Sintesi!$C$10))+(_xlfn.ANCHORARRAY(Sintesi!$C$9)&lt;_xlfn.ANCHORARRAY(Sintesi!$C$10))*(A226&gt;=_xlfn.ANCHORARRAY(Sintesi!$C$9))*(A226&lt;=_xlfn.ANCHORARRAY(Sintesi!$C$10)),0)),0)),IF(L225&lt;_xlfn.IFNA(INDEX(_xlfn.ANCHORARRAY(Sintesi!$C$17),1,MATCH(1,(_xlfn.ANCHORARRAY(Sintesi!$C$9)&gt;_xlfn.ANCHORARRAY(Sintesi!$C$10))*(A224&gt;=_xlfn.ANCHORARRAY(Sintesi!$C$9))+(_xlfn.ANCHORARRAY(Sintesi!$C$9)&gt;_xlfn.ANCHORARRAY(Sintesi!$C$10))*(A224&lt;=_xlfn.ANCHORARRAY(Sintesi!$C$10))+(_xlfn.ANCHORARRAY(Sintesi!$C$9)&lt;_xlfn.ANCHORARRAY(Sintesi!$C$10))*(A224&gt;=_xlfn.ANCHORARRAY(Sintesi!$C$9))*(A224&lt;=_xlfn.ANCHORARRAY(Sintesi!$C$10)),0)),0),1,IF(L225&gt;=_xlfn.IFNA(INDEX(_xlfn.ANCHORARRAY(Sintesi!$C$18),1,MATCH(1,(_xlfn.ANCHORARRAY(Sintesi!$C$9)&gt;_xlfn.ANCHORARRAY(Sintesi!$C$10))*(A224&gt;=_xlfn.ANCHORARRAY(Sintesi!$C$9))+(_xlfn.ANCHORARRAY(Sintesi!$C$9)&gt;_xlfn.ANCHORARRAY(Sintesi!$C$10))*(A224&lt;=_xlfn.ANCHORARRAY(Sintesi!$C$10))+(_xlfn.ANCHORARRAY(Sintesi!$C$9)&lt;_xlfn.ANCHORARRAY(Sintesi!$C$10))*(A224&gt;=_xlfn.ANCHORARRAY(Sintesi!$C$9))*(A224&lt;=_xlfn.ANCHORARRAY(Sintesi!$C$10)),0)),0),0,1-(L225-_xlfn.IFNA(INDEX(_xlfn.ANCHORARRAY(Sintesi!$C$17),1,MATCH(1,(_xlfn.ANCHORARRAY(Sintesi!$C$9)&gt;_xlfn.ANCHORARRAY(Sintesi!$C$10))*(A224&gt;=_xlfn.ANCHORARRAY(Sintesi!$C$9))+(_xlfn.ANCHORARRAY(Sintesi!$C$9)&gt;_xlfn.ANCHORARRAY(Sintesi!$C$10))*(A224&lt;=_xlfn.ANCHORARRAY(Sintesi!$C$10))+(_xlfn.ANCHORARRAY(Sintesi!$C$9)&lt;_xlfn.ANCHORARRAY(Sintesi!$C$10))*(A224&gt;=_xlfn.ANCHORARRAY(Sintesi!$C$9))*(A224&lt;=_xlfn.ANCHORARRAY(Sintesi!$C$10)),0)),0))/(_xlfn.IFNA(INDEX(_xlfn.ANCHORARRAY(Sintesi!$C$18),1,MATCH(1,(_xlfn.ANCHORARRAY(Sintesi!$C$9)&gt;_xlfn.ANCHORARRAY(Sintesi!$C$10))*(A224&gt;=_xlfn.ANCHORARRAY(Sintesi!$C$9))+(_xlfn.ANCHORARRAY(Sintesi!$C$9)&gt;_xlfn.ANCHORARRAY(Sintesi!$C$10))*(A224&lt;=_xlfn.ANCHORARRAY(Sintesi!$C$10))+(_xlfn.ANCHORARRAY(Sintesi!$C$9)&lt;_xlfn.ANCHORARRAY(Sintesi!$C$10))*(A224&gt;=_xlfn.ANCHORARRAY(Sintesi!$C$9))*(A224&lt;=_xlfn.ANCHORARRAY(Sintesi!$C$10)),0)),0)-_xlfn.IFNA(INDEX(_xlfn.ANCHORARRAY(Sintesi!$C$17),1,MATCH(1,(_xlfn.ANCHORARRAY(Sintesi!$C$9)&gt;_xlfn.ANCHORARRAY(Sintesi!$C$10))*(A224&gt;=_xlfn.ANCHORARRAY(Sintesi!$C$9))+(_xlfn.ANCHORARRAY(Sintesi!$C$9)&gt;_xlfn.ANCHORARRAY(Sintesi!$C$10))*(A224&lt;=_xlfn.ANCHORARRAY(Sintesi!$C$10))+(_xlfn.ANCHORARRAY(Sintesi!$C$9)&lt;_xlfn.ANCHORARRAY(Sintesi!$C$10))*(A224&gt;=_xlfn.ANCHORARRAY(Sintesi!$C$9))*(A224&lt;=_xlfn.ANCHORARRAY(Sintesi!$C$10)),0)),0)))),0)</f>
        <v>0</v>
      </c>
    </row>
    <row r="226" spans="1:13">
      <c r="A226" s="1">
        <f>'Paste cell here'!A226</f>
        <v>225</v>
      </c>
      <c r="B226" s="2">
        <f>DATE(Sintesi!$C$4-1,12,31)+A226</f>
        <v>44421</v>
      </c>
      <c r="C226" s="34">
        <f t="array" ref="C226">_xlfn.IFNA(MATCH(1,((_xlfn.ANCHORARRAY(Sintesi!$C$9)&gt;_xlfn.ANCHORARRAY(Sintesi!$C$10))*(A226&gt;=_xlfn.ANCHORARRAY(Sintesi!$C$9))+(_xlfn.ANCHORARRAY(Sintesi!$C$9)&gt;_xlfn.ANCHORARRAY(Sintesi!$C$10))*(A226&lt;=_xlfn.ANCHORARRAY(Sintesi!$C$10))+(_xlfn.ANCHORARRAY(Sintesi!$C$9)&lt;_xlfn.ANCHORARRAY(Sintesi!$C$10))*(A226&gt;=_xlfn.ANCHORARRAY(Sintesi!$C$9))*(A226&lt;=_xlfn.ANCHORARRAY(Sintesi!$C$10)))*(_xlfn.ANCHORARRAY(Sintesi!$C$15)&gt;=0)+(_xlfn.ANCHORARRAY(Sintesi!$C$15)&lt;0),0),0)</f>
        <v>1</v>
      </c>
      <c r="D226" s="1">
        <f t="array" ref="D226">IF(ISBLANK($E227),IF(ISNUMBER($E225),IF($C226&gt;0,IF(($E226=INDEX(_xlfn.ANCHORARRAY(Sintesi!$C$14),1,$C226))*(INDEX(_xlfn.ANCHORARRAY(Sintesi!$C$15),1,$C226)&gt;0),0,IF(($E226=INDEX(_xlfn.ANCHORARRAY(Sintesi!$C$14),1,$C226))*(INDEX(_xlfn.ANCHORARRAY(Sintesi!$C$15),1,$C226)&lt;0)+($E226&gt;=$E225)*($E226&lt;=INDEX($E:$E,MATCH(TRUE,INDEX((ISNUMBER($E:$E)),0),0)))*($E226&gt;INDEX(_xlfn.ANCHORARRAY(Sintesi!$C$14),1,$C226))*($E226&lt;=INDEX(_xlfn.ANCHORARRAY(Sintesi!$C$15),1,$C226))*(INDEX(_xlfn.ANCHORARRAY(Sintesi!$C$15),1,$C226)&gt;0),1,IF(($E226&gt;=$E225)*($E226&lt;=INDEX($E:$E,MATCH(TRUE,INDEX((ISNUMBER($E:$E)),0),0)))*($E226&gt;INDEX(_xlfn.ANCHORARRAY(Sintesi!$C$14),1,$C226))*($E226&lt;INDEX(_xlfn.ANCHORARRAY(Sintesi!$C$16),1,$C226))*(INDEX(_xlfn.ANCHORARRAY(Sintesi!$C$15),1,$C226)&lt;0)+($E226&gt;=$E225)*($E226&lt;=INDEX($E:$E,MATCH(TRUE,INDEX((ISNUMBER($E:$E)),0),0)))*($E226&gt;INDEX(_xlfn.ANCHORARRAY(Sintesi!$C$15),1,$C226))*($E226&lt;INDEX(_xlfn.ANCHORARRAY(Sintesi!$C$16),1,$C226))*(INDEX(_xlfn.ANCHORARRAY(Sintesi!$C$15),1,$C226)&gt;0),2,IF($E226=(INDEX(_xlfn.ANCHORARRAY(Sintesi!$C$16),1,$C226)),3,4)))),0),IF($C226&gt;0,IF(($E226=INDEX(_xlfn.ANCHORARRAY(Sintesi!$C$14),1,$C226))*(INDEX(_xlfn.ANCHORARRAY(Sintesi!$C$15),1,$C226)&gt;0),0,IF(($E226=INDEX(_xlfn.ANCHORARRAY(Sintesi!$C$14),1,$C226))*(INDEX(_xlfn.ANCHORARRAY(Sintesi!$C$15),1,$C226)&lt;0)+($E226&gt;=LOOKUP(2,1/($E:$E&lt;&gt;""),$E:$E))*($E226&lt;=INDEX($E:$E,MATCH(TRUE,INDEX((ISNUMBER($E:$E)),0),0)))*($E226&gt;INDEX(_xlfn.ANCHORARRAY(Sintesi!$C$14),1,$C226))*($E226&lt;=INDEX(_xlfn.ANCHORARRAY(Sintesi!$C$15),1,$C226))*(INDEX(_xlfn.ANCHORARRAY(Sintesi!$C$15),1,$C226)&gt;0),1,IF(($E226&gt;=LOOKUP(2,1/($E:$E&lt;&gt;""),$E:$E))*($E226&lt;=INDEX($E:$E,MATCH(TRUE,INDEX((ISNUMBER($E:$E)),0),0)))*($E226&gt;INDEX(_xlfn.ANCHORARRAY(Sintesi!$C$14),1,$C226))*($E226&lt;INDEX(_xlfn.ANCHORARRAY(Sintesi!$C$16),1,$C226))*(INDEX(_xlfn.ANCHORARRAY(Sintesi!$C$15),1,$C226)&lt;0)+($E226&gt;=LOOKUP(2,1/($E:$E&lt;&gt;""),$E:$E))*($E226&lt;=INDEX($E:$E,MATCH(TRUE,INDEX((ISNUMBER($E:$E)),0),0)))*($E226&gt;INDEX(_xlfn.ANCHORARRAY(Sintesi!$C$15),1,$C226))*($E226&lt;INDEX(_xlfn.ANCHORARRAY(Sintesi!$C$16),1,$C226))*(INDEX(_xlfn.ANCHORARRAY(Sintesi!$C$15),1,$C226)&gt;0),2,IF($E226=(INDEX(_xlfn.ANCHORARRAY(Sintesi!$C$16),1,$C226)),3,4)))),0)),IF(ISNUMBER($E225),IF($C226&gt;0,IF(($E226=INDEX(_xlfn.ANCHORARRAY(Sintesi!$C$14),1,$C226))*(INDEX(_xlfn.ANCHORARRAY(Sintesi!$C$15),1,$C226)&gt;0),0,IF(($E226=INDEX(_xlfn.ANCHORARRAY(Sintesi!$C$14),1,$C226))*(INDEX(_xlfn.ANCHORARRAY(Sintesi!$C$15),1,$C226)&lt;0)+($E226&gt;=$E225)*($E226&lt;=$E227)*($E226&gt;INDEX(_xlfn.ANCHORARRAY(Sintesi!$C$14),1,$C226))*($E226&lt;=INDEX(_xlfn.ANCHORARRAY(Sintesi!$C$15),1,$C226))*(INDEX(_xlfn.ANCHORARRAY(Sintesi!$C$15),1,$C226)&gt;0),1,IF(($E226&gt;=$E225)*($E226&lt;=$E227)*($E226&gt;INDEX(_xlfn.ANCHORARRAY(Sintesi!$C$14),1,$C226))*($E226&lt;INDEX(_xlfn.ANCHORARRAY(Sintesi!$C$16),1,$C226))*(INDEX(_xlfn.ANCHORARRAY(Sintesi!$C$15),1,$C226)&lt;0)+($E226&gt;=$E225)*($E226&lt;=$E227)*($E226&gt;INDEX(_xlfn.ANCHORARRAY(Sintesi!$C$15),1,$C226))*($E226&lt;INDEX(_xlfn.ANCHORARRAY(Sintesi!$C$16),1,$C226))*(INDEX(_xlfn.ANCHORARRAY(Sintesi!$C$15),1,$C226)&gt;0),2,IF($E226=(INDEX(_xlfn.ANCHORARRAY(Sintesi!$C$16),1,$C226)),3,4)))),0),IF($C226&gt;0,IF(($E226=INDEX(_xlfn.ANCHORARRAY(Sintesi!$C$14),1,$C226))*(INDEX(_xlfn.ANCHORARRAY(Sintesi!$C$15),1,$C226)&gt;0),0,IF(($E226=INDEX(_xlfn.ANCHORARRAY(Sintesi!$C$14),1,$C226))*(INDEX(_xlfn.ANCHORARRAY(Sintesi!$C$15),1,$C226)&lt;0)+($E226&gt;=LOOKUP(2,1/($E:$E&lt;&gt;""),$E:$E))*($E226&lt;=$E227)*($E226&gt;INDEX(_xlfn.ANCHORARRAY(Sintesi!$C$14),1,$C226))*($E226&lt;=INDEX(_xlfn.ANCHORARRAY(Sintesi!$C$15),1,$C226))*(INDEX(_xlfn.ANCHORARRAY(Sintesi!$C$15),1,$C226)&gt;0),1,IF(($E226&gt;=LOOKUP(2,1/($E:$E&lt;&gt;""),$E:$E))*($E226&lt;=$E227)*($E226&gt;INDEX(_xlfn.ANCHORARRAY(Sintesi!$C$14),1,$C226))*($E226&lt;INDEX(_xlfn.ANCHORARRAY(Sintesi!$C$16),1,$C226))*(INDEX(_xlfn.ANCHORARRAY(Sintesi!$C$15),1,$C226)&lt;0)+($E226&gt;=LOOKUP(2,1/($E:$E&lt;&gt;""),$E:$E))*($E226&lt;=$E227)*($E226&gt;INDEX(_xlfn.ANCHORARRAY(Sintesi!$C$15),1,$C226))*($E226&lt;INDEX(_xlfn.ANCHORARRAY(Sintesi!$C$16),1,$C226))*(INDEX(_xlfn.ANCHORARRAY(Sintesi!$C$15),1,$C226)&gt;0),2,IF($E226=(INDEX(_xlfn.ANCHORARRAY(Sintesi!$C$16),1,$C226)),3,4)))),0)))</f>
        <v>3</v>
      </c>
      <c r="E226" s="1">
        <f>'Paste cell here'!F226</f>
        <v>1.0469999999999999</v>
      </c>
      <c r="F226" s="1">
        <f>'Paste cell here'!C226</f>
        <v>35.819999999999482</v>
      </c>
      <c r="G226" s="1">
        <f>'Paste cell here'!D226</f>
        <v>23.639999999999681</v>
      </c>
      <c r="H226" s="1">
        <f>'Paste cell here'!E226</f>
        <v>5.2474879425819276</v>
      </c>
      <c r="I226" s="1">
        <f>'Paste cell here'!X226</f>
        <v>5.4940283848478781</v>
      </c>
      <c r="J226" s="1">
        <f>'Paste cell here'!Y226+'Paste cell here'!S226</f>
        <v>5.4940283848478781</v>
      </c>
      <c r="K226" s="1">
        <f t="shared" si="6"/>
        <v>1.0469825647935924</v>
      </c>
      <c r="L226" s="1">
        <f t="shared" si="7"/>
        <v>31.261263954282544</v>
      </c>
      <c r="M226" s="1">
        <f t="array" ref="M226">IF(AND(A226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226&gt;=_xlfn.ANCHORARRAY(Sintesi!$C$9))+(_xlfn.ANCHORARRAY(Sintesi!$C$9)&gt;_xlfn.ANCHORARRAY(Sintesi!$C$10))*(A226&lt;=_xlfn.ANCHORARRAY(Sintesi!$C$10))+(_xlfn.ANCHORARRAY(Sintesi!$C$9)&lt;_xlfn.ANCHORARRAY(Sintesi!$C$10))*(A226&gt;=_xlfn.ANCHORARRAY(Sintesi!$C$9))*(A226&lt;=_xlfn.ANCHORARRAY(Sintesi!$C$10)),0)),0),A226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227&gt;=_xlfn.ANCHORARRAY(Sintesi!$C$9))+(_xlfn.ANCHORARRAY(Sintesi!$C$9)&gt;_xlfn.ANCHORARRAY(Sintesi!$C$10))*(A227&lt;=_xlfn.ANCHORARRAY(Sintesi!$C$10))+(_xlfn.ANCHORARRAY(Sintesi!$C$9)&lt;_xlfn.ANCHORARRAY(Sintesi!$C$10))*(A227&gt;=_xlfn.ANCHORARRAY(Sintesi!$C$9))*(A227&lt;=_xlfn.ANCHORARRAY(Sintesi!$C$10)),0)),0)),IF(L226&lt;_xlfn.IFNA(INDEX(_xlfn.ANCHORARRAY(Sintesi!$C$17),1,MATCH(1,(_xlfn.ANCHORARRAY(Sintesi!$C$9)&gt;_xlfn.ANCHORARRAY(Sintesi!$C$10))*(A225&gt;=_xlfn.ANCHORARRAY(Sintesi!$C$9))+(_xlfn.ANCHORARRAY(Sintesi!$C$9)&gt;_xlfn.ANCHORARRAY(Sintesi!$C$10))*(A225&lt;=_xlfn.ANCHORARRAY(Sintesi!$C$10))+(_xlfn.ANCHORARRAY(Sintesi!$C$9)&lt;_xlfn.ANCHORARRAY(Sintesi!$C$10))*(A225&gt;=_xlfn.ANCHORARRAY(Sintesi!$C$9))*(A225&lt;=_xlfn.ANCHORARRAY(Sintesi!$C$10)),0)),0),1,IF(L226&gt;=_xlfn.IFNA(INDEX(_xlfn.ANCHORARRAY(Sintesi!$C$18),1,MATCH(1,(_xlfn.ANCHORARRAY(Sintesi!$C$9)&gt;_xlfn.ANCHORARRAY(Sintesi!$C$10))*(A225&gt;=_xlfn.ANCHORARRAY(Sintesi!$C$9))+(_xlfn.ANCHORARRAY(Sintesi!$C$9)&gt;_xlfn.ANCHORARRAY(Sintesi!$C$10))*(A225&lt;=_xlfn.ANCHORARRAY(Sintesi!$C$10))+(_xlfn.ANCHORARRAY(Sintesi!$C$9)&lt;_xlfn.ANCHORARRAY(Sintesi!$C$10))*(A225&gt;=_xlfn.ANCHORARRAY(Sintesi!$C$9))*(A225&lt;=_xlfn.ANCHORARRAY(Sintesi!$C$10)),0)),0),0,1-(L226-_xlfn.IFNA(INDEX(_xlfn.ANCHORARRAY(Sintesi!$C$17),1,MATCH(1,(_xlfn.ANCHORARRAY(Sintesi!$C$9)&gt;_xlfn.ANCHORARRAY(Sintesi!$C$10))*(A225&gt;=_xlfn.ANCHORARRAY(Sintesi!$C$9))+(_xlfn.ANCHORARRAY(Sintesi!$C$9)&gt;_xlfn.ANCHORARRAY(Sintesi!$C$10))*(A225&lt;=_xlfn.ANCHORARRAY(Sintesi!$C$10))+(_xlfn.ANCHORARRAY(Sintesi!$C$9)&lt;_xlfn.ANCHORARRAY(Sintesi!$C$10))*(A225&gt;=_xlfn.ANCHORARRAY(Sintesi!$C$9))*(A225&lt;=_xlfn.ANCHORARRAY(Sintesi!$C$10)),0)),0))/(_xlfn.IFNA(INDEX(_xlfn.ANCHORARRAY(Sintesi!$C$18),1,MATCH(1,(_xlfn.ANCHORARRAY(Sintesi!$C$9)&gt;_xlfn.ANCHORARRAY(Sintesi!$C$10))*(A225&gt;=_xlfn.ANCHORARRAY(Sintesi!$C$9))+(_xlfn.ANCHORARRAY(Sintesi!$C$9)&gt;_xlfn.ANCHORARRAY(Sintesi!$C$10))*(A225&lt;=_xlfn.ANCHORARRAY(Sintesi!$C$10))+(_xlfn.ANCHORARRAY(Sintesi!$C$9)&lt;_xlfn.ANCHORARRAY(Sintesi!$C$10))*(A225&gt;=_xlfn.ANCHORARRAY(Sintesi!$C$9))*(A225&lt;=_xlfn.ANCHORARRAY(Sintesi!$C$10)),0)),0)-_xlfn.IFNA(INDEX(_xlfn.ANCHORARRAY(Sintesi!$C$17),1,MATCH(1,(_xlfn.ANCHORARRAY(Sintesi!$C$9)&gt;_xlfn.ANCHORARRAY(Sintesi!$C$10))*(A225&gt;=_xlfn.ANCHORARRAY(Sintesi!$C$9))+(_xlfn.ANCHORARRAY(Sintesi!$C$9)&gt;_xlfn.ANCHORARRAY(Sintesi!$C$10))*(A225&lt;=_xlfn.ANCHORARRAY(Sintesi!$C$10))+(_xlfn.ANCHORARRAY(Sintesi!$C$9)&lt;_xlfn.ANCHORARRAY(Sintesi!$C$10))*(A225&gt;=_xlfn.ANCHORARRAY(Sintesi!$C$9))*(A225&lt;=_xlfn.ANCHORARRAY(Sintesi!$C$10)),0)),0)))),0)</f>
        <v>0</v>
      </c>
    </row>
    <row r="227" spans="1:13">
      <c r="A227" s="1">
        <f>'Paste cell here'!A227</f>
        <v>226</v>
      </c>
      <c r="B227" s="2">
        <f>DATE(Sintesi!$C$4-1,12,31)+A227</f>
        <v>44422</v>
      </c>
      <c r="C227" s="34">
        <f t="array" ref="C227">_xlfn.IFNA(MATCH(1,((_xlfn.ANCHORARRAY(Sintesi!$C$9)&gt;_xlfn.ANCHORARRAY(Sintesi!$C$10))*(A227&gt;=_xlfn.ANCHORARRAY(Sintesi!$C$9))+(_xlfn.ANCHORARRAY(Sintesi!$C$9)&gt;_xlfn.ANCHORARRAY(Sintesi!$C$10))*(A227&lt;=_xlfn.ANCHORARRAY(Sintesi!$C$10))+(_xlfn.ANCHORARRAY(Sintesi!$C$9)&lt;_xlfn.ANCHORARRAY(Sintesi!$C$10))*(A227&gt;=_xlfn.ANCHORARRAY(Sintesi!$C$9))*(A227&lt;=_xlfn.ANCHORARRAY(Sintesi!$C$10)))*(_xlfn.ANCHORARRAY(Sintesi!$C$15)&gt;=0)+(_xlfn.ANCHORARRAY(Sintesi!$C$15)&lt;0),0),0)</f>
        <v>1</v>
      </c>
      <c r="D227" s="1">
        <f t="array" ref="D227">IF(ISBLANK($E228),IF(ISNUMBER($E226),IF($C227&gt;0,IF(($E227=INDEX(_xlfn.ANCHORARRAY(Sintesi!$C$14),1,$C227))*(INDEX(_xlfn.ANCHORARRAY(Sintesi!$C$15),1,$C227)&gt;0),0,IF(($E227=INDEX(_xlfn.ANCHORARRAY(Sintesi!$C$14),1,$C227))*(INDEX(_xlfn.ANCHORARRAY(Sintesi!$C$15),1,$C227)&lt;0)+($E227&gt;=$E226)*($E227&lt;=INDEX($E:$E,MATCH(TRUE,INDEX((ISNUMBER($E:$E)),0),0)))*($E227&gt;INDEX(_xlfn.ANCHORARRAY(Sintesi!$C$14),1,$C227))*($E227&lt;=INDEX(_xlfn.ANCHORARRAY(Sintesi!$C$15),1,$C227))*(INDEX(_xlfn.ANCHORARRAY(Sintesi!$C$15),1,$C227)&gt;0),1,IF(($E227&gt;=$E226)*($E227&lt;=INDEX($E:$E,MATCH(TRUE,INDEX((ISNUMBER($E:$E)),0),0)))*($E227&gt;INDEX(_xlfn.ANCHORARRAY(Sintesi!$C$14),1,$C227))*($E227&lt;INDEX(_xlfn.ANCHORARRAY(Sintesi!$C$16),1,$C227))*(INDEX(_xlfn.ANCHORARRAY(Sintesi!$C$15),1,$C227)&lt;0)+($E227&gt;=$E226)*($E227&lt;=INDEX($E:$E,MATCH(TRUE,INDEX((ISNUMBER($E:$E)),0),0)))*($E227&gt;INDEX(_xlfn.ANCHORARRAY(Sintesi!$C$15),1,$C227))*($E227&lt;INDEX(_xlfn.ANCHORARRAY(Sintesi!$C$16),1,$C227))*(INDEX(_xlfn.ANCHORARRAY(Sintesi!$C$15),1,$C227)&gt;0),2,IF($E227=(INDEX(_xlfn.ANCHORARRAY(Sintesi!$C$16),1,$C227)),3,4)))),0),IF($C227&gt;0,IF(($E227=INDEX(_xlfn.ANCHORARRAY(Sintesi!$C$14),1,$C227))*(INDEX(_xlfn.ANCHORARRAY(Sintesi!$C$15),1,$C227)&gt;0),0,IF(($E227=INDEX(_xlfn.ANCHORARRAY(Sintesi!$C$14),1,$C227))*(INDEX(_xlfn.ANCHORARRAY(Sintesi!$C$15),1,$C227)&lt;0)+($E227&gt;=LOOKUP(2,1/($E:$E&lt;&gt;""),$E:$E))*($E227&lt;=INDEX($E:$E,MATCH(TRUE,INDEX((ISNUMBER($E:$E)),0),0)))*($E227&gt;INDEX(_xlfn.ANCHORARRAY(Sintesi!$C$14),1,$C227))*($E227&lt;=INDEX(_xlfn.ANCHORARRAY(Sintesi!$C$15),1,$C227))*(INDEX(_xlfn.ANCHORARRAY(Sintesi!$C$15),1,$C227)&gt;0),1,IF(($E227&gt;=LOOKUP(2,1/($E:$E&lt;&gt;""),$E:$E))*($E227&lt;=INDEX($E:$E,MATCH(TRUE,INDEX((ISNUMBER($E:$E)),0),0)))*($E227&gt;INDEX(_xlfn.ANCHORARRAY(Sintesi!$C$14),1,$C227))*($E227&lt;INDEX(_xlfn.ANCHORARRAY(Sintesi!$C$16),1,$C227))*(INDEX(_xlfn.ANCHORARRAY(Sintesi!$C$15),1,$C227)&lt;0)+($E227&gt;=LOOKUP(2,1/($E:$E&lt;&gt;""),$E:$E))*($E227&lt;=INDEX($E:$E,MATCH(TRUE,INDEX((ISNUMBER($E:$E)),0),0)))*($E227&gt;INDEX(_xlfn.ANCHORARRAY(Sintesi!$C$15),1,$C227))*($E227&lt;INDEX(_xlfn.ANCHORARRAY(Sintesi!$C$16),1,$C227))*(INDEX(_xlfn.ANCHORARRAY(Sintesi!$C$15),1,$C227)&gt;0),2,IF($E227=(INDEX(_xlfn.ANCHORARRAY(Sintesi!$C$16),1,$C227)),3,4)))),0)),IF(ISNUMBER($E226),IF($C227&gt;0,IF(($E227=INDEX(_xlfn.ANCHORARRAY(Sintesi!$C$14),1,$C227))*(INDEX(_xlfn.ANCHORARRAY(Sintesi!$C$15),1,$C227)&gt;0),0,IF(($E227=INDEX(_xlfn.ANCHORARRAY(Sintesi!$C$14),1,$C227))*(INDEX(_xlfn.ANCHORARRAY(Sintesi!$C$15),1,$C227)&lt;0)+($E227&gt;=$E226)*($E227&lt;=$E228)*($E227&gt;INDEX(_xlfn.ANCHORARRAY(Sintesi!$C$14),1,$C227))*($E227&lt;=INDEX(_xlfn.ANCHORARRAY(Sintesi!$C$15),1,$C227))*(INDEX(_xlfn.ANCHORARRAY(Sintesi!$C$15),1,$C227)&gt;0),1,IF(($E227&gt;=$E226)*($E227&lt;=$E228)*($E227&gt;INDEX(_xlfn.ANCHORARRAY(Sintesi!$C$14),1,$C227))*($E227&lt;INDEX(_xlfn.ANCHORARRAY(Sintesi!$C$16),1,$C227))*(INDEX(_xlfn.ANCHORARRAY(Sintesi!$C$15),1,$C227)&lt;0)+($E227&gt;=$E226)*($E227&lt;=$E228)*($E227&gt;INDEX(_xlfn.ANCHORARRAY(Sintesi!$C$15),1,$C227))*($E227&lt;INDEX(_xlfn.ANCHORARRAY(Sintesi!$C$16),1,$C227))*(INDEX(_xlfn.ANCHORARRAY(Sintesi!$C$15),1,$C227)&gt;0),2,IF($E227=(INDEX(_xlfn.ANCHORARRAY(Sintesi!$C$16),1,$C227)),3,4)))),0),IF($C227&gt;0,IF(($E227=INDEX(_xlfn.ANCHORARRAY(Sintesi!$C$14),1,$C227))*(INDEX(_xlfn.ANCHORARRAY(Sintesi!$C$15),1,$C227)&gt;0),0,IF(($E227=INDEX(_xlfn.ANCHORARRAY(Sintesi!$C$14),1,$C227))*(INDEX(_xlfn.ANCHORARRAY(Sintesi!$C$15),1,$C227)&lt;0)+($E227&gt;=LOOKUP(2,1/($E:$E&lt;&gt;""),$E:$E))*($E227&lt;=$E228)*($E227&gt;INDEX(_xlfn.ANCHORARRAY(Sintesi!$C$14),1,$C227))*($E227&lt;=INDEX(_xlfn.ANCHORARRAY(Sintesi!$C$15),1,$C227))*(INDEX(_xlfn.ANCHORARRAY(Sintesi!$C$15),1,$C227)&gt;0),1,IF(($E227&gt;=LOOKUP(2,1/($E:$E&lt;&gt;""),$E:$E))*($E227&lt;=$E228)*($E227&gt;INDEX(_xlfn.ANCHORARRAY(Sintesi!$C$14),1,$C227))*($E227&lt;INDEX(_xlfn.ANCHORARRAY(Sintesi!$C$16),1,$C227))*(INDEX(_xlfn.ANCHORARRAY(Sintesi!$C$15),1,$C227)&lt;0)+($E227&gt;=LOOKUP(2,1/($E:$E&lt;&gt;""),$E:$E))*($E227&lt;=$E228)*($E227&gt;INDEX(_xlfn.ANCHORARRAY(Sintesi!$C$15),1,$C227))*($E227&lt;INDEX(_xlfn.ANCHORARRAY(Sintesi!$C$16),1,$C227))*(INDEX(_xlfn.ANCHORARRAY(Sintesi!$C$15),1,$C227)&gt;0),2,IF($E227=(INDEX(_xlfn.ANCHORARRAY(Sintesi!$C$16),1,$C227)),3,4)))),0)))</f>
        <v>3</v>
      </c>
      <c r="E227" s="1">
        <f>'Paste cell here'!F227</f>
        <v>1.0469999999999999</v>
      </c>
      <c r="F227" s="1">
        <f>'Paste cell here'!C227</f>
        <v>36.419999999999469</v>
      </c>
      <c r="G227" s="1">
        <f>'Paste cell here'!D227</f>
        <v>21.659999999999705</v>
      </c>
      <c r="H227" s="1">
        <f>'Paste cell here'!E227</f>
        <v>5.1784628695633534</v>
      </c>
      <c r="I227" s="1">
        <f>'Paste cell here'!X227</f>
        <v>5.4217662306685517</v>
      </c>
      <c r="J227" s="1">
        <f>'Paste cell here'!Y227+'Paste cell here'!S227</f>
        <v>5.4217662306685517</v>
      </c>
      <c r="K227" s="1">
        <f t="shared" si="6"/>
        <v>1.0469837029314673</v>
      </c>
      <c r="L227" s="1">
        <f t="shared" si="7"/>
        <v>30.895620358391749</v>
      </c>
      <c r="M227" s="1">
        <f t="array" ref="M227">IF(AND(A227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227&gt;=_xlfn.ANCHORARRAY(Sintesi!$C$9))+(_xlfn.ANCHORARRAY(Sintesi!$C$9)&gt;_xlfn.ANCHORARRAY(Sintesi!$C$10))*(A227&lt;=_xlfn.ANCHORARRAY(Sintesi!$C$10))+(_xlfn.ANCHORARRAY(Sintesi!$C$9)&lt;_xlfn.ANCHORARRAY(Sintesi!$C$10))*(A227&gt;=_xlfn.ANCHORARRAY(Sintesi!$C$9))*(A227&lt;=_xlfn.ANCHORARRAY(Sintesi!$C$10)),0)),0),A227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228&gt;=_xlfn.ANCHORARRAY(Sintesi!$C$9))+(_xlfn.ANCHORARRAY(Sintesi!$C$9)&gt;_xlfn.ANCHORARRAY(Sintesi!$C$10))*(A228&lt;=_xlfn.ANCHORARRAY(Sintesi!$C$10))+(_xlfn.ANCHORARRAY(Sintesi!$C$9)&lt;_xlfn.ANCHORARRAY(Sintesi!$C$10))*(A228&gt;=_xlfn.ANCHORARRAY(Sintesi!$C$9))*(A228&lt;=_xlfn.ANCHORARRAY(Sintesi!$C$10)),0)),0)),IF(L227&lt;_xlfn.IFNA(INDEX(_xlfn.ANCHORARRAY(Sintesi!$C$17),1,MATCH(1,(_xlfn.ANCHORARRAY(Sintesi!$C$9)&gt;_xlfn.ANCHORARRAY(Sintesi!$C$10))*(A226&gt;=_xlfn.ANCHORARRAY(Sintesi!$C$9))+(_xlfn.ANCHORARRAY(Sintesi!$C$9)&gt;_xlfn.ANCHORARRAY(Sintesi!$C$10))*(A226&lt;=_xlfn.ANCHORARRAY(Sintesi!$C$10))+(_xlfn.ANCHORARRAY(Sintesi!$C$9)&lt;_xlfn.ANCHORARRAY(Sintesi!$C$10))*(A226&gt;=_xlfn.ANCHORARRAY(Sintesi!$C$9))*(A226&lt;=_xlfn.ANCHORARRAY(Sintesi!$C$10)),0)),0),1,IF(L227&gt;=_xlfn.IFNA(INDEX(_xlfn.ANCHORARRAY(Sintesi!$C$18),1,MATCH(1,(_xlfn.ANCHORARRAY(Sintesi!$C$9)&gt;_xlfn.ANCHORARRAY(Sintesi!$C$10))*(A226&gt;=_xlfn.ANCHORARRAY(Sintesi!$C$9))+(_xlfn.ANCHORARRAY(Sintesi!$C$9)&gt;_xlfn.ANCHORARRAY(Sintesi!$C$10))*(A226&lt;=_xlfn.ANCHORARRAY(Sintesi!$C$10))+(_xlfn.ANCHORARRAY(Sintesi!$C$9)&lt;_xlfn.ANCHORARRAY(Sintesi!$C$10))*(A226&gt;=_xlfn.ANCHORARRAY(Sintesi!$C$9))*(A226&lt;=_xlfn.ANCHORARRAY(Sintesi!$C$10)),0)),0),0,1-(L227-_xlfn.IFNA(INDEX(_xlfn.ANCHORARRAY(Sintesi!$C$17),1,MATCH(1,(_xlfn.ANCHORARRAY(Sintesi!$C$9)&gt;_xlfn.ANCHORARRAY(Sintesi!$C$10))*(A226&gt;=_xlfn.ANCHORARRAY(Sintesi!$C$9))+(_xlfn.ANCHORARRAY(Sintesi!$C$9)&gt;_xlfn.ANCHORARRAY(Sintesi!$C$10))*(A226&lt;=_xlfn.ANCHORARRAY(Sintesi!$C$10))+(_xlfn.ANCHORARRAY(Sintesi!$C$9)&lt;_xlfn.ANCHORARRAY(Sintesi!$C$10))*(A226&gt;=_xlfn.ANCHORARRAY(Sintesi!$C$9))*(A226&lt;=_xlfn.ANCHORARRAY(Sintesi!$C$10)),0)),0))/(_xlfn.IFNA(INDEX(_xlfn.ANCHORARRAY(Sintesi!$C$18),1,MATCH(1,(_xlfn.ANCHORARRAY(Sintesi!$C$9)&gt;_xlfn.ANCHORARRAY(Sintesi!$C$10))*(A226&gt;=_xlfn.ANCHORARRAY(Sintesi!$C$9))+(_xlfn.ANCHORARRAY(Sintesi!$C$9)&gt;_xlfn.ANCHORARRAY(Sintesi!$C$10))*(A226&lt;=_xlfn.ANCHORARRAY(Sintesi!$C$10))+(_xlfn.ANCHORARRAY(Sintesi!$C$9)&lt;_xlfn.ANCHORARRAY(Sintesi!$C$10))*(A226&gt;=_xlfn.ANCHORARRAY(Sintesi!$C$9))*(A226&lt;=_xlfn.ANCHORARRAY(Sintesi!$C$10)),0)),0)-_xlfn.IFNA(INDEX(_xlfn.ANCHORARRAY(Sintesi!$C$17),1,MATCH(1,(_xlfn.ANCHORARRAY(Sintesi!$C$9)&gt;_xlfn.ANCHORARRAY(Sintesi!$C$10))*(A226&gt;=_xlfn.ANCHORARRAY(Sintesi!$C$9))+(_xlfn.ANCHORARRAY(Sintesi!$C$9)&gt;_xlfn.ANCHORARRAY(Sintesi!$C$10))*(A226&lt;=_xlfn.ANCHORARRAY(Sintesi!$C$10))+(_xlfn.ANCHORARRAY(Sintesi!$C$9)&lt;_xlfn.ANCHORARRAY(Sintesi!$C$10))*(A226&gt;=_xlfn.ANCHORARRAY(Sintesi!$C$9))*(A226&lt;=_xlfn.ANCHORARRAY(Sintesi!$C$10)),0)),0)))),0)</f>
        <v>0</v>
      </c>
    </row>
    <row r="228" spans="1:13">
      <c r="A228" s="1">
        <f>'Paste cell here'!A228</f>
        <v>227</v>
      </c>
      <c r="B228" s="2">
        <f>DATE(Sintesi!$C$4-1,12,31)+A228</f>
        <v>44423</v>
      </c>
      <c r="C228" s="34">
        <f t="array" ref="C228">_xlfn.IFNA(MATCH(1,((_xlfn.ANCHORARRAY(Sintesi!$C$9)&gt;_xlfn.ANCHORARRAY(Sintesi!$C$10))*(A228&gt;=_xlfn.ANCHORARRAY(Sintesi!$C$9))+(_xlfn.ANCHORARRAY(Sintesi!$C$9)&gt;_xlfn.ANCHORARRAY(Sintesi!$C$10))*(A228&lt;=_xlfn.ANCHORARRAY(Sintesi!$C$10))+(_xlfn.ANCHORARRAY(Sintesi!$C$9)&lt;_xlfn.ANCHORARRAY(Sintesi!$C$10))*(A228&gt;=_xlfn.ANCHORARRAY(Sintesi!$C$9))*(A228&lt;=_xlfn.ANCHORARRAY(Sintesi!$C$10)))*(_xlfn.ANCHORARRAY(Sintesi!$C$15)&gt;=0)+(_xlfn.ANCHORARRAY(Sintesi!$C$15)&lt;0),0),0)</f>
        <v>1</v>
      </c>
      <c r="D228" s="1">
        <f t="array" ref="D228">IF(ISBLANK($E229),IF(ISNUMBER($E227),IF($C228&gt;0,IF(($E228=INDEX(_xlfn.ANCHORARRAY(Sintesi!$C$14),1,$C228))*(INDEX(_xlfn.ANCHORARRAY(Sintesi!$C$15),1,$C228)&gt;0),0,IF(($E228=INDEX(_xlfn.ANCHORARRAY(Sintesi!$C$14),1,$C228))*(INDEX(_xlfn.ANCHORARRAY(Sintesi!$C$15),1,$C228)&lt;0)+($E228&gt;=$E227)*($E228&lt;=INDEX($E:$E,MATCH(TRUE,INDEX((ISNUMBER($E:$E)),0),0)))*($E228&gt;INDEX(_xlfn.ANCHORARRAY(Sintesi!$C$14),1,$C228))*($E228&lt;=INDEX(_xlfn.ANCHORARRAY(Sintesi!$C$15),1,$C228))*(INDEX(_xlfn.ANCHORARRAY(Sintesi!$C$15),1,$C228)&gt;0),1,IF(($E228&gt;=$E227)*($E228&lt;=INDEX($E:$E,MATCH(TRUE,INDEX((ISNUMBER($E:$E)),0),0)))*($E228&gt;INDEX(_xlfn.ANCHORARRAY(Sintesi!$C$14),1,$C228))*($E228&lt;INDEX(_xlfn.ANCHORARRAY(Sintesi!$C$16),1,$C228))*(INDEX(_xlfn.ANCHORARRAY(Sintesi!$C$15),1,$C228)&lt;0)+($E228&gt;=$E227)*($E228&lt;=INDEX($E:$E,MATCH(TRUE,INDEX((ISNUMBER($E:$E)),0),0)))*($E228&gt;INDEX(_xlfn.ANCHORARRAY(Sintesi!$C$15),1,$C228))*($E228&lt;INDEX(_xlfn.ANCHORARRAY(Sintesi!$C$16),1,$C228))*(INDEX(_xlfn.ANCHORARRAY(Sintesi!$C$15),1,$C228)&gt;0),2,IF($E228=(INDEX(_xlfn.ANCHORARRAY(Sintesi!$C$16),1,$C228)),3,4)))),0),IF($C228&gt;0,IF(($E228=INDEX(_xlfn.ANCHORARRAY(Sintesi!$C$14),1,$C228))*(INDEX(_xlfn.ANCHORARRAY(Sintesi!$C$15),1,$C228)&gt;0),0,IF(($E228=INDEX(_xlfn.ANCHORARRAY(Sintesi!$C$14),1,$C228))*(INDEX(_xlfn.ANCHORARRAY(Sintesi!$C$15),1,$C228)&lt;0)+($E228&gt;=LOOKUP(2,1/($E:$E&lt;&gt;""),$E:$E))*($E228&lt;=INDEX($E:$E,MATCH(TRUE,INDEX((ISNUMBER($E:$E)),0),0)))*($E228&gt;INDEX(_xlfn.ANCHORARRAY(Sintesi!$C$14),1,$C228))*($E228&lt;=INDEX(_xlfn.ANCHORARRAY(Sintesi!$C$15),1,$C228))*(INDEX(_xlfn.ANCHORARRAY(Sintesi!$C$15),1,$C228)&gt;0),1,IF(($E228&gt;=LOOKUP(2,1/($E:$E&lt;&gt;""),$E:$E))*($E228&lt;=INDEX($E:$E,MATCH(TRUE,INDEX((ISNUMBER($E:$E)),0),0)))*($E228&gt;INDEX(_xlfn.ANCHORARRAY(Sintesi!$C$14),1,$C228))*($E228&lt;INDEX(_xlfn.ANCHORARRAY(Sintesi!$C$16),1,$C228))*(INDEX(_xlfn.ANCHORARRAY(Sintesi!$C$15),1,$C228)&lt;0)+($E228&gt;=LOOKUP(2,1/($E:$E&lt;&gt;""),$E:$E))*($E228&lt;=INDEX($E:$E,MATCH(TRUE,INDEX((ISNUMBER($E:$E)),0),0)))*($E228&gt;INDEX(_xlfn.ANCHORARRAY(Sintesi!$C$15),1,$C228))*($E228&lt;INDEX(_xlfn.ANCHORARRAY(Sintesi!$C$16),1,$C228))*(INDEX(_xlfn.ANCHORARRAY(Sintesi!$C$15),1,$C228)&gt;0),2,IF($E228=(INDEX(_xlfn.ANCHORARRAY(Sintesi!$C$16),1,$C228)),3,4)))),0)),IF(ISNUMBER($E227),IF($C228&gt;0,IF(($E228=INDEX(_xlfn.ANCHORARRAY(Sintesi!$C$14),1,$C228))*(INDEX(_xlfn.ANCHORARRAY(Sintesi!$C$15),1,$C228)&gt;0),0,IF(($E228=INDEX(_xlfn.ANCHORARRAY(Sintesi!$C$14),1,$C228))*(INDEX(_xlfn.ANCHORARRAY(Sintesi!$C$15),1,$C228)&lt;0)+($E228&gt;=$E227)*($E228&lt;=$E229)*($E228&gt;INDEX(_xlfn.ANCHORARRAY(Sintesi!$C$14),1,$C228))*($E228&lt;=INDEX(_xlfn.ANCHORARRAY(Sintesi!$C$15),1,$C228))*(INDEX(_xlfn.ANCHORARRAY(Sintesi!$C$15),1,$C228)&gt;0),1,IF(($E228&gt;=$E227)*($E228&lt;=$E229)*($E228&gt;INDEX(_xlfn.ANCHORARRAY(Sintesi!$C$14),1,$C228))*($E228&lt;INDEX(_xlfn.ANCHORARRAY(Sintesi!$C$16),1,$C228))*(INDEX(_xlfn.ANCHORARRAY(Sintesi!$C$15),1,$C228)&lt;0)+($E228&gt;=$E227)*($E228&lt;=$E229)*($E228&gt;INDEX(_xlfn.ANCHORARRAY(Sintesi!$C$15),1,$C228))*($E228&lt;INDEX(_xlfn.ANCHORARRAY(Sintesi!$C$16),1,$C228))*(INDEX(_xlfn.ANCHORARRAY(Sintesi!$C$15),1,$C228)&gt;0),2,IF($E228=(INDEX(_xlfn.ANCHORARRAY(Sintesi!$C$16),1,$C228)),3,4)))),0),IF($C228&gt;0,IF(($E228=INDEX(_xlfn.ANCHORARRAY(Sintesi!$C$14),1,$C228))*(INDEX(_xlfn.ANCHORARRAY(Sintesi!$C$15),1,$C228)&gt;0),0,IF(($E228=INDEX(_xlfn.ANCHORARRAY(Sintesi!$C$14),1,$C228))*(INDEX(_xlfn.ANCHORARRAY(Sintesi!$C$15),1,$C228)&lt;0)+($E228&gt;=LOOKUP(2,1/($E:$E&lt;&gt;""),$E:$E))*($E228&lt;=$E229)*($E228&gt;INDEX(_xlfn.ANCHORARRAY(Sintesi!$C$14),1,$C228))*($E228&lt;=INDEX(_xlfn.ANCHORARRAY(Sintesi!$C$15),1,$C228))*(INDEX(_xlfn.ANCHORARRAY(Sintesi!$C$15),1,$C228)&gt;0),1,IF(($E228&gt;=LOOKUP(2,1/($E:$E&lt;&gt;""),$E:$E))*($E228&lt;=$E229)*($E228&gt;INDEX(_xlfn.ANCHORARRAY(Sintesi!$C$14),1,$C228))*($E228&lt;INDEX(_xlfn.ANCHORARRAY(Sintesi!$C$16),1,$C228))*(INDEX(_xlfn.ANCHORARRAY(Sintesi!$C$15),1,$C228)&lt;0)+($E228&gt;=LOOKUP(2,1/($E:$E&lt;&gt;""),$E:$E))*($E228&lt;=$E229)*($E228&gt;INDEX(_xlfn.ANCHORARRAY(Sintesi!$C$15),1,$C228))*($E228&lt;INDEX(_xlfn.ANCHORARRAY(Sintesi!$C$16),1,$C228))*(INDEX(_xlfn.ANCHORARRAY(Sintesi!$C$15),1,$C228)&gt;0),2,IF($E228=(INDEX(_xlfn.ANCHORARRAY(Sintesi!$C$16),1,$C228)),3,4)))),0)))</f>
        <v>3</v>
      </c>
      <c r="E228" s="1">
        <f>'Paste cell here'!F228</f>
        <v>1.0469999999999999</v>
      </c>
      <c r="F228" s="1">
        <f>'Paste cell here'!C228</f>
        <v>36.559999999999469</v>
      </c>
      <c r="G228" s="1">
        <f>'Paste cell here'!D228</f>
        <v>22.179999999999694</v>
      </c>
      <c r="H228" s="1">
        <f>'Paste cell here'!E228</f>
        <v>5.3600328709583414</v>
      </c>
      <c r="I228" s="1">
        <f>'Paste cell here'!X228</f>
        <v>5.6118728681181027</v>
      </c>
      <c r="J228" s="1">
        <f>'Paste cell here'!Y228+'Paste cell here'!S228</f>
        <v>5.6118728681181027</v>
      </c>
      <c r="K228" s="1">
        <f t="shared" si="6"/>
        <v>1.046984785956123</v>
      </c>
      <c r="L228" s="1">
        <f t="shared" si="7"/>
        <v>31.177846934530699</v>
      </c>
      <c r="M228" s="1">
        <f t="array" ref="M228">IF(AND(A228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228&gt;=_xlfn.ANCHORARRAY(Sintesi!$C$9))+(_xlfn.ANCHORARRAY(Sintesi!$C$9)&gt;_xlfn.ANCHORARRAY(Sintesi!$C$10))*(A228&lt;=_xlfn.ANCHORARRAY(Sintesi!$C$10))+(_xlfn.ANCHORARRAY(Sintesi!$C$9)&lt;_xlfn.ANCHORARRAY(Sintesi!$C$10))*(A228&gt;=_xlfn.ANCHORARRAY(Sintesi!$C$9))*(A228&lt;=_xlfn.ANCHORARRAY(Sintesi!$C$10)),0)),0),A228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229&gt;=_xlfn.ANCHORARRAY(Sintesi!$C$9))+(_xlfn.ANCHORARRAY(Sintesi!$C$9)&gt;_xlfn.ANCHORARRAY(Sintesi!$C$10))*(A229&lt;=_xlfn.ANCHORARRAY(Sintesi!$C$10))+(_xlfn.ANCHORARRAY(Sintesi!$C$9)&lt;_xlfn.ANCHORARRAY(Sintesi!$C$10))*(A229&gt;=_xlfn.ANCHORARRAY(Sintesi!$C$9))*(A229&lt;=_xlfn.ANCHORARRAY(Sintesi!$C$10)),0)),0)),IF(L228&lt;_xlfn.IFNA(INDEX(_xlfn.ANCHORARRAY(Sintesi!$C$17),1,MATCH(1,(_xlfn.ANCHORARRAY(Sintesi!$C$9)&gt;_xlfn.ANCHORARRAY(Sintesi!$C$10))*(A227&gt;=_xlfn.ANCHORARRAY(Sintesi!$C$9))+(_xlfn.ANCHORARRAY(Sintesi!$C$9)&gt;_xlfn.ANCHORARRAY(Sintesi!$C$10))*(A227&lt;=_xlfn.ANCHORARRAY(Sintesi!$C$10))+(_xlfn.ANCHORARRAY(Sintesi!$C$9)&lt;_xlfn.ANCHORARRAY(Sintesi!$C$10))*(A227&gt;=_xlfn.ANCHORARRAY(Sintesi!$C$9))*(A227&lt;=_xlfn.ANCHORARRAY(Sintesi!$C$10)),0)),0),1,IF(L228&gt;=_xlfn.IFNA(INDEX(_xlfn.ANCHORARRAY(Sintesi!$C$18),1,MATCH(1,(_xlfn.ANCHORARRAY(Sintesi!$C$9)&gt;_xlfn.ANCHORARRAY(Sintesi!$C$10))*(A227&gt;=_xlfn.ANCHORARRAY(Sintesi!$C$9))+(_xlfn.ANCHORARRAY(Sintesi!$C$9)&gt;_xlfn.ANCHORARRAY(Sintesi!$C$10))*(A227&lt;=_xlfn.ANCHORARRAY(Sintesi!$C$10))+(_xlfn.ANCHORARRAY(Sintesi!$C$9)&lt;_xlfn.ANCHORARRAY(Sintesi!$C$10))*(A227&gt;=_xlfn.ANCHORARRAY(Sintesi!$C$9))*(A227&lt;=_xlfn.ANCHORARRAY(Sintesi!$C$10)),0)),0),0,1-(L228-_xlfn.IFNA(INDEX(_xlfn.ANCHORARRAY(Sintesi!$C$17),1,MATCH(1,(_xlfn.ANCHORARRAY(Sintesi!$C$9)&gt;_xlfn.ANCHORARRAY(Sintesi!$C$10))*(A227&gt;=_xlfn.ANCHORARRAY(Sintesi!$C$9))+(_xlfn.ANCHORARRAY(Sintesi!$C$9)&gt;_xlfn.ANCHORARRAY(Sintesi!$C$10))*(A227&lt;=_xlfn.ANCHORARRAY(Sintesi!$C$10))+(_xlfn.ANCHORARRAY(Sintesi!$C$9)&lt;_xlfn.ANCHORARRAY(Sintesi!$C$10))*(A227&gt;=_xlfn.ANCHORARRAY(Sintesi!$C$9))*(A227&lt;=_xlfn.ANCHORARRAY(Sintesi!$C$10)),0)),0))/(_xlfn.IFNA(INDEX(_xlfn.ANCHORARRAY(Sintesi!$C$18),1,MATCH(1,(_xlfn.ANCHORARRAY(Sintesi!$C$9)&gt;_xlfn.ANCHORARRAY(Sintesi!$C$10))*(A227&gt;=_xlfn.ANCHORARRAY(Sintesi!$C$9))+(_xlfn.ANCHORARRAY(Sintesi!$C$9)&gt;_xlfn.ANCHORARRAY(Sintesi!$C$10))*(A227&lt;=_xlfn.ANCHORARRAY(Sintesi!$C$10))+(_xlfn.ANCHORARRAY(Sintesi!$C$9)&lt;_xlfn.ANCHORARRAY(Sintesi!$C$10))*(A227&gt;=_xlfn.ANCHORARRAY(Sintesi!$C$9))*(A227&lt;=_xlfn.ANCHORARRAY(Sintesi!$C$10)),0)),0)-_xlfn.IFNA(INDEX(_xlfn.ANCHORARRAY(Sintesi!$C$17),1,MATCH(1,(_xlfn.ANCHORARRAY(Sintesi!$C$9)&gt;_xlfn.ANCHORARRAY(Sintesi!$C$10))*(A227&gt;=_xlfn.ANCHORARRAY(Sintesi!$C$9))+(_xlfn.ANCHORARRAY(Sintesi!$C$9)&gt;_xlfn.ANCHORARRAY(Sintesi!$C$10))*(A227&lt;=_xlfn.ANCHORARRAY(Sintesi!$C$10))+(_xlfn.ANCHORARRAY(Sintesi!$C$9)&lt;_xlfn.ANCHORARRAY(Sintesi!$C$10))*(A227&gt;=_xlfn.ANCHORARRAY(Sintesi!$C$9))*(A227&lt;=_xlfn.ANCHORARRAY(Sintesi!$C$10)),0)),0)))),0)</f>
        <v>0</v>
      </c>
    </row>
    <row r="229" spans="1:13">
      <c r="A229" s="1">
        <f>'Paste cell here'!A229</f>
        <v>228</v>
      </c>
      <c r="B229" s="2">
        <f>DATE(Sintesi!$C$4-1,12,31)+A229</f>
        <v>44424</v>
      </c>
      <c r="C229" s="34">
        <f t="array" ref="C229">_xlfn.IFNA(MATCH(1,((_xlfn.ANCHORARRAY(Sintesi!$C$9)&gt;_xlfn.ANCHORARRAY(Sintesi!$C$10))*(A229&gt;=_xlfn.ANCHORARRAY(Sintesi!$C$9))+(_xlfn.ANCHORARRAY(Sintesi!$C$9)&gt;_xlfn.ANCHORARRAY(Sintesi!$C$10))*(A229&lt;=_xlfn.ANCHORARRAY(Sintesi!$C$10))+(_xlfn.ANCHORARRAY(Sintesi!$C$9)&lt;_xlfn.ANCHORARRAY(Sintesi!$C$10))*(A229&gt;=_xlfn.ANCHORARRAY(Sintesi!$C$9))*(A229&lt;=_xlfn.ANCHORARRAY(Sintesi!$C$10)))*(_xlfn.ANCHORARRAY(Sintesi!$C$15)&gt;=0)+(_xlfn.ANCHORARRAY(Sintesi!$C$15)&lt;0),0),0)</f>
        <v>1</v>
      </c>
      <c r="D229" s="1">
        <f t="array" ref="D229">IF(ISBLANK($E230),IF(ISNUMBER($E228),IF($C229&gt;0,IF(($E229=INDEX(_xlfn.ANCHORARRAY(Sintesi!$C$14),1,$C229))*(INDEX(_xlfn.ANCHORARRAY(Sintesi!$C$15),1,$C229)&gt;0),0,IF(($E229=INDEX(_xlfn.ANCHORARRAY(Sintesi!$C$14),1,$C229))*(INDEX(_xlfn.ANCHORARRAY(Sintesi!$C$15),1,$C229)&lt;0)+($E229&gt;=$E228)*($E229&lt;=INDEX($E:$E,MATCH(TRUE,INDEX((ISNUMBER($E:$E)),0),0)))*($E229&gt;INDEX(_xlfn.ANCHORARRAY(Sintesi!$C$14),1,$C229))*($E229&lt;=INDEX(_xlfn.ANCHORARRAY(Sintesi!$C$15),1,$C229))*(INDEX(_xlfn.ANCHORARRAY(Sintesi!$C$15),1,$C229)&gt;0),1,IF(($E229&gt;=$E228)*($E229&lt;=INDEX($E:$E,MATCH(TRUE,INDEX((ISNUMBER($E:$E)),0),0)))*($E229&gt;INDEX(_xlfn.ANCHORARRAY(Sintesi!$C$14),1,$C229))*($E229&lt;INDEX(_xlfn.ANCHORARRAY(Sintesi!$C$16),1,$C229))*(INDEX(_xlfn.ANCHORARRAY(Sintesi!$C$15),1,$C229)&lt;0)+($E229&gt;=$E228)*($E229&lt;=INDEX($E:$E,MATCH(TRUE,INDEX((ISNUMBER($E:$E)),0),0)))*($E229&gt;INDEX(_xlfn.ANCHORARRAY(Sintesi!$C$15),1,$C229))*($E229&lt;INDEX(_xlfn.ANCHORARRAY(Sintesi!$C$16),1,$C229))*(INDEX(_xlfn.ANCHORARRAY(Sintesi!$C$15),1,$C229)&gt;0),2,IF($E229=(INDEX(_xlfn.ANCHORARRAY(Sintesi!$C$16),1,$C229)),3,4)))),0),IF($C229&gt;0,IF(($E229=INDEX(_xlfn.ANCHORARRAY(Sintesi!$C$14),1,$C229))*(INDEX(_xlfn.ANCHORARRAY(Sintesi!$C$15),1,$C229)&gt;0),0,IF(($E229=INDEX(_xlfn.ANCHORARRAY(Sintesi!$C$14),1,$C229))*(INDEX(_xlfn.ANCHORARRAY(Sintesi!$C$15),1,$C229)&lt;0)+($E229&gt;=LOOKUP(2,1/($E:$E&lt;&gt;""),$E:$E))*($E229&lt;=INDEX($E:$E,MATCH(TRUE,INDEX((ISNUMBER($E:$E)),0),0)))*($E229&gt;INDEX(_xlfn.ANCHORARRAY(Sintesi!$C$14),1,$C229))*($E229&lt;=INDEX(_xlfn.ANCHORARRAY(Sintesi!$C$15),1,$C229))*(INDEX(_xlfn.ANCHORARRAY(Sintesi!$C$15),1,$C229)&gt;0),1,IF(($E229&gt;=LOOKUP(2,1/($E:$E&lt;&gt;""),$E:$E))*($E229&lt;=INDEX($E:$E,MATCH(TRUE,INDEX((ISNUMBER($E:$E)),0),0)))*($E229&gt;INDEX(_xlfn.ANCHORARRAY(Sintesi!$C$14),1,$C229))*($E229&lt;INDEX(_xlfn.ANCHORARRAY(Sintesi!$C$16),1,$C229))*(INDEX(_xlfn.ANCHORARRAY(Sintesi!$C$15),1,$C229)&lt;0)+($E229&gt;=LOOKUP(2,1/($E:$E&lt;&gt;""),$E:$E))*($E229&lt;=INDEX($E:$E,MATCH(TRUE,INDEX((ISNUMBER($E:$E)),0),0)))*($E229&gt;INDEX(_xlfn.ANCHORARRAY(Sintesi!$C$15),1,$C229))*($E229&lt;INDEX(_xlfn.ANCHORARRAY(Sintesi!$C$16),1,$C229))*(INDEX(_xlfn.ANCHORARRAY(Sintesi!$C$15),1,$C229)&gt;0),2,IF($E229=(INDEX(_xlfn.ANCHORARRAY(Sintesi!$C$16),1,$C229)),3,4)))),0)),IF(ISNUMBER($E228),IF($C229&gt;0,IF(($E229=INDEX(_xlfn.ANCHORARRAY(Sintesi!$C$14),1,$C229))*(INDEX(_xlfn.ANCHORARRAY(Sintesi!$C$15),1,$C229)&gt;0),0,IF(($E229=INDEX(_xlfn.ANCHORARRAY(Sintesi!$C$14),1,$C229))*(INDEX(_xlfn.ANCHORARRAY(Sintesi!$C$15),1,$C229)&lt;0)+($E229&gt;=$E228)*($E229&lt;=$E230)*($E229&gt;INDEX(_xlfn.ANCHORARRAY(Sintesi!$C$14),1,$C229))*($E229&lt;=INDEX(_xlfn.ANCHORARRAY(Sintesi!$C$15),1,$C229))*(INDEX(_xlfn.ANCHORARRAY(Sintesi!$C$15),1,$C229)&gt;0),1,IF(($E229&gt;=$E228)*($E229&lt;=$E230)*($E229&gt;INDEX(_xlfn.ANCHORARRAY(Sintesi!$C$14),1,$C229))*($E229&lt;INDEX(_xlfn.ANCHORARRAY(Sintesi!$C$16),1,$C229))*(INDEX(_xlfn.ANCHORARRAY(Sintesi!$C$15),1,$C229)&lt;0)+($E229&gt;=$E228)*($E229&lt;=$E230)*($E229&gt;INDEX(_xlfn.ANCHORARRAY(Sintesi!$C$15),1,$C229))*($E229&lt;INDEX(_xlfn.ANCHORARRAY(Sintesi!$C$16),1,$C229))*(INDEX(_xlfn.ANCHORARRAY(Sintesi!$C$15),1,$C229)&gt;0),2,IF($E229=(INDEX(_xlfn.ANCHORARRAY(Sintesi!$C$16),1,$C229)),3,4)))),0),IF($C229&gt;0,IF(($E229=INDEX(_xlfn.ANCHORARRAY(Sintesi!$C$14),1,$C229))*(INDEX(_xlfn.ANCHORARRAY(Sintesi!$C$15),1,$C229)&gt;0),0,IF(($E229=INDEX(_xlfn.ANCHORARRAY(Sintesi!$C$14),1,$C229))*(INDEX(_xlfn.ANCHORARRAY(Sintesi!$C$15),1,$C229)&lt;0)+($E229&gt;=LOOKUP(2,1/($E:$E&lt;&gt;""),$E:$E))*($E229&lt;=$E230)*($E229&gt;INDEX(_xlfn.ANCHORARRAY(Sintesi!$C$14),1,$C229))*($E229&lt;=INDEX(_xlfn.ANCHORARRAY(Sintesi!$C$15),1,$C229))*(INDEX(_xlfn.ANCHORARRAY(Sintesi!$C$15),1,$C229)&gt;0),1,IF(($E229&gt;=LOOKUP(2,1/($E:$E&lt;&gt;""),$E:$E))*($E229&lt;=$E230)*($E229&gt;INDEX(_xlfn.ANCHORARRAY(Sintesi!$C$14),1,$C229))*($E229&lt;INDEX(_xlfn.ANCHORARRAY(Sintesi!$C$16),1,$C229))*(INDEX(_xlfn.ANCHORARRAY(Sintesi!$C$15),1,$C229)&lt;0)+($E229&gt;=LOOKUP(2,1/($E:$E&lt;&gt;""),$E:$E))*($E229&lt;=$E230)*($E229&gt;INDEX(_xlfn.ANCHORARRAY(Sintesi!$C$15),1,$C229))*($E229&lt;INDEX(_xlfn.ANCHORARRAY(Sintesi!$C$16),1,$C229))*(INDEX(_xlfn.ANCHORARRAY(Sintesi!$C$15),1,$C229)&gt;0),2,IF($E229=(INDEX(_xlfn.ANCHORARRAY(Sintesi!$C$16),1,$C229)),3,4)))),0)))</f>
        <v>4</v>
      </c>
      <c r="E229" s="1">
        <f>'Paste cell here'!F229</f>
        <v>1.008</v>
      </c>
      <c r="F229" s="1">
        <f>'Paste cell here'!C229</f>
        <v>33.839999999999506</v>
      </c>
      <c r="G229" s="1">
        <f>'Paste cell here'!D229</f>
        <v>19.479999999999752</v>
      </c>
      <c r="H229" s="1">
        <f>'Paste cell here'!E229</f>
        <v>5.1603727291750792</v>
      </c>
      <c r="I229" s="1">
        <f>'Paste cell here'!X229</f>
        <v>5.2015852375232461</v>
      </c>
      <c r="J229" s="1">
        <f>'Paste cell here'!Y229+'Paste cell here'!S229</f>
        <v>5.2015852375232461</v>
      </c>
      <c r="K229" s="1">
        <f t="shared" si="6"/>
        <v>1.007986343334303</v>
      </c>
      <c r="L229" s="1">
        <f t="shared" si="7"/>
        <v>28.465332543801214</v>
      </c>
      <c r="M229" s="1">
        <f t="array" ref="M229">IF(AND(A229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229&gt;=_xlfn.ANCHORARRAY(Sintesi!$C$9))+(_xlfn.ANCHORARRAY(Sintesi!$C$9)&gt;_xlfn.ANCHORARRAY(Sintesi!$C$10))*(A229&lt;=_xlfn.ANCHORARRAY(Sintesi!$C$10))+(_xlfn.ANCHORARRAY(Sintesi!$C$9)&lt;_xlfn.ANCHORARRAY(Sintesi!$C$10))*(A229&gt;=_xlfn.ANCHORARRAY(Sintesi!$C$9))*(A229&lt;=_xlfn.ANCHORARRAY(Sintesi!$C$10)),0)),0),A229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230&gt;=_xlfn.ANCHORARRAY(Sintesi!$C$9))+(_xlfn.ANCHORARRAY(Sintesi!$C$9)&gt;_xlfn.ANCHORARRAY(Sintesi!$C$10))*(A230&lt;=_xlfn.ANCHORARRAY(Sintesi!$C$10))+(_xlfn.ANCHORARRAY(Sintesi!$C$9)&lt;_xlfn.ANCHORARRAY(Sintesi!$C$10))*(A230&gt;=_xlfn.ANCHORARRAY(Sintesi!$C$9))*(A230&lt;=_xlfn.ANCHORARRAY(Sintesi!$C$10)),0)),0)),IF(L229&lt;_xlfn.IFNA(INDEX(_xlfn.ANCHORARRAY(Sintesi!$C$17),1,MATCH(1,(_xlfn.ANCHORARRAY(Sintesi!$C$9)&gt;_xlfn.ANCHORARRAY(Sintesi!$C$10))*(A228&gt;=_xlfn.ANCHORARRAY(Sintesi!$C$9))+(_xlfn.ANCHORARRAY(Sintesi!$C$9)&gt;_xlfn.ANCHORARRAY(Sintesi!$C$10))*(A228&lt;=_xlfn.ANCHORARRAY(Sintesi!$C$10))+(_xlfn.ANCHORARRAY(Sintesi!$C$9)&lt;_xlfn.ANCHORARRAY(Sintesi!$C$10))*(A228&gt;=_xlfn.ANCHORARRAY(Sintesi!$C$9))*(A228&lt;=_xlfn.ANCHORARRAY(Sintesi!$C$10)),0)),0),1,IF(L229&gt;=_xlfn.IFNA(INDEX(_xlfn.ANCHORARRAY(Sintesi!$C$18),1,MATCH(1,(_xlfn.ANCHORARRAY(Sintesi!$C$9)&gt;_xlfn.ANCHORARRAY(Sintesi!$C$10))*(A228&gt;=_xlfn.ANCHORARRAY(Sintesi!$C$9))+(_xlfn.ANCHORARRAY(Sintesi!$C$9)&gt;_xlfn.ANCHORARRAY(Sintesi!$C$10))*(A228&lt;=_xlfn.ANCHORARRAY(Sintesi!$C$10))+(_xlfn.ANCHORARRAY(Sintesi!$C$9)&lt;_xlfn.ANCHORARRAY(Sintesi!$C$10))*(A228&gt;=_xlfn.ANCHORARRAY(Sintesi!$C$9))*(A228&lt;=_xlfn.ANCHORARRAY(Sintesi!$C$10)),0)),0),0,1-(L229-_xlfn.IFNA(INDEX(_xlfn.ANCHORARRAY(Sintesi!$C$17),1,MATCH(1,(_xlfn.ANCHORARRAY(Sintesi!$C$9)&gt;_xlfn.ANCHORARRAY(Sintesi!$C$10))*(A228&gt;=_xlfn.ANCHORARRAY(Sintesi!$C$9))+(_xlfn.ANCHORARRAY(Sintesi!$C$9)&gt;_xlfn.ANCHORARRAY(Sintesi!$C$10))*(A228&lt;=_xlfn.ANCHORARRAY(Sintesi!$C$10))+(_xlfn.ANCHORARRAY(Sintesi!$C$9)&lt;_xlfn.ANCHORARRAY(Sintesi!$C$10))*(A228&gt;=_xlfn.ANCHORARRAY(Sintesi!$C$9))*(A228&lt;=_xlfn.ANCHORARRAY(Sintesi!$C$10)),0)),0))/(_xlfn.IFNA(INDEX(_xlfn.ANCHORARRAY(Sintesi!$C$18),1,MATCH(1,(_xlfn.ANCHORARRAY(Sintesi!$C$9)&gt;_xlfn.ANCHORARRAY(Sintesi!$C$10))*(A228&gt;=_xlfn.ANCHORARRAY(Sintesi!$C$9))+(_xlfn.ANCHORARRAY(Sintesi!$C$9)&gt;_xlfn.ANCHORARRAY(Sintesi!$C$10))*(A228&lt;=_xlfn.ANCHORARRAY(Sintesi!$C$10))+(_xlfn.ANCHORARRAY(Sintesi!$C$9)&lt;_xlfn.ANCHORARRAY(Sintesi!$C$10))*(A228&gt;=_xlfn.ANCHORARRAY(Sintesi!$C$9))*(A228&lt;=_xlfn.ANCHORARRAY(Sintesi!$C$10)),0)),0)-_xlfn.IFNA(INDEX(_xlfn.ANCHORARRAY(Sintesi!$C$17),1,MATCH(1,(_xlfn.ANCHORARRAY(Sintesi!$C$9)&gt;_xlfn.ANCHORARRAY(Sintesi!$C$10))*(A228&gt;=_xlfn.ANCHORARRAY(Sintesi!$C$9))+(_xlfn.ANCHORARRAY(Sintesi!$C$9)&gt;_xlfn.ANCHORARRAY(Sintesi!$C$10))*(A228&lt;=_xlfn.ANCHORARRAY(Sintesi!$C$10))+(_xlfn.ANCHORARRAY(Sintesi!$C$9)&lt;_xlfn.ANCHORARRAY(Sintesi!$C$10))*(A228&gt;=_xlfn.ANCHORARRAY(Sintesi!$C$9))*(A228&lt;=_xlfn.ANCHORARRAY(Sintesi!$C$10)),0)),0)))),0)</f>
        <v>0</v>
      </c>
    </row>
    <row r="230" spans="1:13">
      <c r="A230" s="1">
        <f>'Paste cell here'!A230</f>
        <v>229</v>
      </c>
      <c r="B230" s="2">
        <f>DATE(Sintesi!$C$4-1,12,31)+A230</f>
        <v>44425</v>
      </c>
      <c r="C230" s="34">
        <f t="array" ref="C230">_xlfn.IFNA(MATCH(1,((_xlfn.ANCHORARRAY(Sintesi!$C$9)&gt;_xlfn.ANCHORARRAY(Sintesi!$C$10))*(A230&gt;=_xlfn.ANCHORARRAY(Sintesi!$C$9))+(_xlfn.ANCHORARRAY(Sintesi!$C$9)&gt;_xlfn.ANCHORARRAY(Sintesi!$C$10))*(A230&lt;=_xlfn.ANCHORARRAY(Sintesi!$C$10))+(_xlfn.ANCHORARRAY(Sintesi!$C$9)&lt;_xlfn.ANCHORARRAY(Sintesi!$C$10))*(A230&gt;=_xlfn.ANCHORARRAY(Sintesi!$C$9))*(A230&lt;=_xlfn.ANCHORARRAY(Sintesi!$C$10)))*(_xlfn.ANCHORARRAY(Sintesi!$C$15)&gt;=0)+(_xlfn.ANCHORARRAY(Sintesi!$C$15)&lt;0),0),0)</f>
        <v>1</v>
      </c>
      <c r="D230" s="1">
        <f t="array" ref="D230">IF(ISBLANK($E231),IF(ISNUMBER($E229),IF($C230&gt;0,IF(($E230=INDEX(_xlfn.ANCHORARRAY(Sintesi!$C$14),1,$C230))*(INDEX(_xlfn.ANCHORARRAY(Sintesi!$C$15),1,$C230)&gt;0),0,IF(($E230=INDEX(_xlfn.ANCHORARRAY(Sintesi!$C$14),1,$C230))*(INDEX(_xlfn.ANCHORARRAY(Sintesi!$C$15),1,$C230)&lt;0)+($E230&gt;=$E229)*($E230&lt;=INDEX($E:$E,MATCH(TRUE,INDEX((ISNUMBER($E:$E)),0),0)))*($E230&gt;INDEX(_xlfn.ANCHORARRAY(Sintesi!$C$14),1,$C230))*($E230&lt;=INDEX(_xlfn.ANCHORARRAY(Sintesi!$C$15),1,$C230))*(INDEX(_xlfn.ANCHORARRAY(Sintesi!$C$15),1,$C230)&gt;0),1,IF(($E230&gt;=$E229)*($E230&lt;=INDEX($E:$E,MATCH(TRUE,INDEX((ISNUMBER($E:$E)),0),0)))*($E230&gt;INDEX(_xlfn.ANCHORARRAY(Sintesi!$C$14),1,$C230))*($E230&lt;INDEX(_xlfn.ANCHORARRAY(Sintesi!$C$16),1,$C230))*(INDEX(_xlfn.ANCHORARRAY(Sintesi!$C$15),1,$C230)&lt;0)+($E230&gt;=$E229)*($E230&lt;=INDEX($E:$E,MATCH(TRUE,INDEX((ISNUMBER($E:$E)),0),0)))*($E230&gt;INDEX(_xlfn.ANCHORARRAY(Sintesi!$C$15),1,$C230))*($E230&lt;INDEX(_xlfn.ANCHORARRAY(Sintesi!$C$16),1,$C230))*(INDEX(_xlfn.ANCHORARRAY(Sintesi!$C$15),1,$C230)&gt;0),2,IF($E230=(INDEX(_xlfn.ANCHORARRAY(Sintesi!$C$16),1,$C230)),3,4)))),0),IF($C230&gt;0,IF(($E230=INDEX(_xlfn.ANCHORARRAY(Sintesi!$C$14),1,$C230))*(INDEX(_xlfn.ANCHORARRAY(Sintesi!$C$15),1,$C230)&gt;0),0,IF(($E230=INDEX(_xlfn.ANCHORARRAY(Sintesi!$C$14),1,$C230))*(INDEX(_xlfn.ANCHORARRAY(Sintesi!$C$15),1,$C230)&lt;0)+($E230&gt;=LOOKUP(2,1/($E:$E&lt;&gt;""),$E:$E))*($E230&lt;=INDEX($E:$E,MATCH(TRUE,INDEX((ISNUMBER($E:$E)),0),0)))*($E230&gt;INDEX(_xlfn.ANCHORARRAY(Sintesi!$C$14),1,$C230))*($E230&lt;=INDEX(_xlfn.ANCHORARRAY(Sintesi!$C$15),1,$C230))*(INDEX(_xlfn.ANCHORARRAY(Sintesi!$C$15),1,$C230)&gt;0),1,IF(($E230&gt;=LOOKUP(2,1/($E:$E&lt;&gt;""),$E:$E))*($E230&lt;=INDEX($E:$E,MATCH(TRUE,INDEX((ISNUMBER($E:$E)),0),0)))*($E230&gt;INDEX(_xlfn.ANCHORARRAY(Sintesi!$C$14),1,$C230))*($E230&lt;INDEX(_xlfn.ANCHORARRAY(Sintesi!$C$16),1,$C230))*(INDEX(_xlfn.ANCHORARRAY(Sintesi!$C$15),1,$C230)&lt;0)+($E230&gt;=LOOKUP(2,1/($E:$E&lt;&gt;""),$E:$E))*($E230&lt;=INDEX($E:$E,MATCH(TRUE,INDEX((ISNUMBER($E:$E)),0),0)))*($E230&gt;INDEX(_xlfn.ANCHORARRAY(Sintesi!$C$15),1,$C230))*($E230&lt;INDEX(_xlfn.ANCHORARRAY(Sintesi!$C$16),1,$C230))*(INDEX(_xlfn.ANCHORARRAY(Sintesi!$C$15),1,$C230)&gt;0),2,IF($E230=(INDEX(_xlfn.ANCHORARRAY(Sintesi!$C$16),1,$C230)),3,4)))),0)),IF(ISNUMBER($E229),IF($C230&gt;0,IF(($E230=INDEX(_xlfn.ANCHORARRAY(Sintesi!$C$14),1,$C230))*(INDEX(_xlfn.ANCHORARRAY(Sintesi!$C$15),1,$C230)&gt;0),0,IF(($E230=INDEX(_xlfn.ANCHORARRAY(Sintesi!$C$14),1,$C230))*(INDEX(_xlfn.ANCHORARRAY(Sintesi!$C$15),1,$C230)&lt;0)+($E230&gt;=$E229)*($E230&lt;=$E231)*($E230&gt;INDEX(_xlfn.ANCHORARRAY(Sintesi!$C$14),1,$C230))*($E230&lt;=INDEX(_xlfn.ANCHORARRAY(Sintesi!$C$15),1,$C230))*(INDEX(_xlfn.ANCHORARRAY(Sintesi!$C$15),1,$C230)&gt;0),1,IF(($E230&gt;=$E229)*($E230&lt;=$E231)*($E230&gt;INDEX(_xlfn.ANCHORARRAY(Sintesi!$C$14),1,$C230))*($E230&lt;INDEX(_xlfn.ANCHORARRAY(Sintesi!$C$16),1,$C230))*(INDEX(_xlfn.ANCHORARRAY(Sintesi!$C$15),1,$C230)&lt;0)+($E230&gt;=$E229)*($E230&lt;=$E231)*($E230&gt;INDEX(_xlfn.ANCHORARRAY(Sintesi!$C$15),1,$C230))*($E230&lt;INDEX(_xlfn.ANCHORARRAY(Sintesi!$C$16),1,$C230))*(INDEX(_xlfn.ANCHORARRAY(Sintesi!$C$15),1,$C230)&gt;0),2,IF($E230=(INDEX(_xlfn.ANCHORARRAY(Sintesi!$C$16),1,$C230)),3,4)))),0),IF($C230&gt;0,IF(($E230=INDEX(_xlfn.ANCHORARRAY(Sintesi!$C$14),1,$C230))*(INDEX(_xlfn.ANCHORARRAY(Sintesi!$C$15),1,$C230)&gt;0),0,IF(($E230=INDEX(_xlfn.ANCHORARRAY(Sintesi!$C$14),1,$C230))*(INDEX(_xlfn.ANCHORARRAY(Sintesi!$C$15),1,$C230)&lt;0)+($E230&gt;=LOOKUP(2,1/($E:$E&lt;&gt;""),$E:$E))*($E230&lt;=$E231)*($E230&gt;INDEX(_xlfn.ANCHORARRAY(Sintesi!$C$14),1,$C230))*($E230&lt;=INDEX(_xlfn.ANCHORARRAY(Sintesi!$C$15),1,$C230))*(INDEX(_xlfn.ANCHORARRAY(Sintesi!$C$15),1,$C230)&gt;0),1,IF(($E230&gt;=LOOKUP(2,1/($E:$E&lt;&gt;""),$E:$E))*($E230&lt;=$E231)*($E230&gt;INDEX(_xlfn.ANCHORARRAY(Sintesi!$C$14),1,$C230))*($E230&lt;INDEX(_xlfn.ANCHORARRAY(Sintesi!$C$16),1,$C230))*(INDEX(_xlfn.ANCHORARRAY(Sintesi!$C$15),1,$C230)&lt;0)+($E230&gt;=LOOKUP(2,1/($E:$E&lt;&gt;""),$E:$E))*($E230&lt;=$E231)*($E230&gt;INDEX(_xlfn.ANCHORARRAY(Sintesi!$C$15),1,$C230))*($E230&lt;INDEX(_xlfn.ANCHORARRAY(Sintesi!$C$16),1,$C230))*(INDEX(_xlfn.ANCHORARRAY(Sintesi!$C$15),1,$C230)&gt;0),2,IF($E230=(INDEX(_xlfn.ANCHORARRAY(Sintesi!$C$16),1,$C230)),3,4)))),0)))</f>
        <v>4</v>
      </c>
      <c r="E230" s="1">
        <f>'Paste cell here'!F230</f>
        <v>0.96899999999999997</v>
      </c>
      <c r="F230" s="1">
        <f>'Paste cell here'!C230</f>
        <v>30.979999999999549</v>
      </c>
      <c r="G230" s="1">
        <f>'Paste cell here'!D230</f>
        <v>18.419999999999771</v>
      </c>
      <c r="H230" s="1">
        <f>'Paste cell here'!E230</f>
        <v>5.1987329977742958</v>
      </c>
      <c r="I230" s="1">
        <f>'Paste cell here'!X230</f>
        <v>5.0375087211670042</v>
      </c>
      <c r="J230" s="1">
        <f>'Paste cell here'!Y230+'Paste cell here'!S230</f>
        <v>5.0375087211670042</v>
      </c>
      <c r="K230" s="1">
        <f t="shared" si="6"/>
        <v>0.96898777516054091</v>
      </c>
      <c r="L230" s="1">
        <f t="shared" si="7"/>
        <v>26.279037378143666</v>
      </c>
      <c r="M230" s="1">
        <f t="array" ref="M230">IF(AND(A230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230&gt;=_xlfn.ANCHORARRAY(Sintesi!$C$9))+(_xlfn.ANCHORARRAY(Sintesi!$C$9)&gt;_xlfn.ANCHORARRAY(Sintesi!$C$10))*(A230&lt;=_xlfn.ANCHORARRAY(Sintesi!$C$10))+(_xlfn.ANCHORARRAY(Sintesi!$C$9)&lt;_xlfn.ANCHORARRAY(Sintesi!$C$10))*(A230&gt;=_xlfn.ANCHORARRAY(Sintesi!$C$9))*(A230&lt;=_xlfn.ANCHORARRAY(Sintesi!$C$10)),0)),0),A230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231&gt;=_xlfn.ANCHORARRAY(Sintesi!$C$9))+(_xlfn.ANCHORARRAY(Sintesi!$C$9)&gt;_xlfn.ANCHORARRAY(Sintesi!$C$10))*(A231&lt;=_xlfn.ANCHORARRAY(Sintesi!$C$10))+(_xlfn.ANCHORARRAY(Sintesi!$C$9)&lt;_xlfn.ANCHORARRAY(Sintesi!$C$10))*(A231&gt;=_xlfn.ANCHORARRAY(Sintesi!$C$9))*(A231&lt;=_xlfn.ANCHORARRAY(Sintesi!$C$10)),0)),0)),IF(L230&lt;_xlfn.IFNA(INDEX(_xlfn.ANCHORARRAY(Sintesi!$C$17),1,MATCH(1,(_xlfn.ANCHORARRAY(Sintesi!$C$9)&gt;_xlfn.ANCHORARRAY(Sintesi!$C$10))*(A229&gt;=_xlfn.ANCHORARRAY(Sintesi!$C$9))+(_xlfn.ANCHORARRAY(Sintesi!$C$9)&gt;_xlfn.ANCHORARRAY(Sintesi!$C$10))*(A229&lt;=_xlfn.ANCHORARRAY(Sintesi!$C$10))+(_xlfn.ANCHORARRAY(Sintesi!$C$9)&lt;_xlfn.ANCHORARRAY(Sintesi!$C$10))*(A229&gt;=_xlfn.ANCHORARRAY(Sintesi!$C$9))*(A229&lt;=_xlfn.ANCHORARRAY(Sintesi!$C$10)),0)),0),1,IF(L230&gt;=_xlfn.IFNA(INDEX(_xlfn.ANCHORARRAY(Sintesi!$C$18),1,MATCH(1,(_xlfn.ANCHORARRAY(Sintesi!$C$9)&gt;_xlfn.ANCHORARRAY(Sintesi!$C$10))*(A229&gt;=_xlfn.ANCHORARRAY(Sintesi!$C$9))+(_xlfn.ANCHORARRAY(Sintesi!$C$9)&gt;_xlfn.ANCHORARRAY(Sintesi!$C$10))*(A229&lt;=_xlfn.ANCHORARRAY(Sintesi!$C$10))+(_xlfn.ANCHORARRAY(Sintesi!$C$9)&lt;_xlfn.ANCHORARRAY(Sintesi!$C$10))*(A229&gt;=_xlfn.ANCHORARRAY(Sintesi!$C$9))*(A229&lt;=_xlfn.ANCHORARRAY(Sintesi!$C$10)),0)),0),0,1-(L230-_xlfn.IFNA(INDEX(_xlfn.ANCHORARRAY(Sintesi!$C$17),1,MATCH(1,(_xlfn.ANCHORARRAY(Sintesi!$C$9)&gt;_xlfn.ANCHORARRAY(Sintesi!$C$10))*(A229&gt;=_xlfn.ANCHORARRAY(Sintesi!$C$9))+(_xlfn.ANCHORARRAY(Sintesi!$C$9)&gt;_xlfn.ANCHORARRAY(Sintesi!$C$10))*(A229&lt;=_xlfn.ANCHORARRAY(Sintesi!$C$10))+(_xlfn.ANCHORARRAY(Sintesi!$C$9)&lt;_xlfn.ANCHORARRAY(Sintesi!$C$10))*(A229&gt;=_xlfn.ANCHORARRAY(Sintesi!$C$9))*(A229&lt;=_xlfn.ANCHORARRAY(Sintesi!$C$10)),0)),0))/(_xlfn.IFNA(INDEX(_xlfn.ANCHORARRAY(Sintesi!$C$18),1,MATCH(1,(_xlfn.ANCHORARRAY(Sintesi!$C$9)&gt;_xlfn.ANCHORARRAY(Sintesi!$C$10))*(A229&gt;=_xlfn.ANCHORARRAY(Sintesi!$C$9))+(_xlfn.ANCHORARRAY(Sintesi!$C$9)&gt;_xlfn.ANCHORARRAY(Sintesi!$C$10))*(A229&lt;=_xlfn.ANCHORARRAY(Sintesi!$C$10))+(_xlfn.ANCHORARRAY(Sintesi!$C$9)&lt;_xlfn.ANCHORARRAY(Sintesi!$C$10))*(A229&gt;=_xlfn.ANCHORARRAY(Sintesi!$C$9))*(A229&lt;=_xlfn.ANCHORARRAY(Sintesi!$C$10)),0)),0)-_xlfn.IFNA(INDEX(_xlfn.ANCHORARRAY(Sintesi!$C$17),1,MATCH(1,(_xlfn.ANCHORARRAY(Sintesi!$C$9)&gt;_xlfn.ANCHORARRAY(Sintesi!$C$10))*(A229&gt;=_xlfn.ANCHORARRAY(Sintesi!$C$9))+(_xlfn.ANCHORARRAY(Sintesi!$C$9)&gt;_xlfn.ANCHORARRAY(Sintesi!$C$10))*(A229&lt;=_xlfn.ANCHORARRAY(Sintesi!$C$10))+(_xlfn.ANCHORARRAY(Sintesi!$C$9)&lt;_xlfn.ANCHORARRAY(Sintesi!$C$10))*(A229&gt;=_xlfn.ANCHORARRAY(Sintesi!$C$9))*(A229&lt;=_xlfn.ANCHORARRAY(Sintesi!$C$10)),0)),0)))),0)</f>
        <v>0</v>
      </c>
    </row>
    <row r="231" spans="1:13">
      <c r="A231" s="1">
        <f>'Paste cell here'!A231</f>
        <v>230</v>
      </c>
      <c r="B231" s="2">
        <f>DATE(Sintesi!$C$4-1,12,31)+A231</f>
        <v>44426</v>
      </c>
      <c r="C231" s="34">
        <f t="array" ref="C231">_xlfn.IFNA(MATCH(1,((_xlfn.ANCHORARRAY(Sintesi!$C$9)&gt;_xlfn.ANCHORARRAY(Sintesi!$C$10))*(A231&gt;=_xlfn.ANCHORARRAY(Sintesi!$C$9))+(_xlfn.ANCHORARRAY(Sintesi!$C$9)&gt;_xlfn.ANCHORARRAY(Sintesi!$C$10))*(A231&lt;=_xlfn.ANCHORARRAY(Sintesi!$C$10))+(_xlfn.ANCHORARRAY(Sintesi!$C$9)&lt;_xlfn.ANCHORARRAY(Sintesi!$C$10))*(A231&gt;=_xlfn.ANCHORARRAY(Sintesi!$C$9))*(A231&lt;=_xlfn.ANCHORARRAY(Sintesi!$C$10)))*(_xlfn.ANCHORARRAY(Sintesi!$C$15)&gt;=0)+(_xlfn.ANCHORARRAY(Sintesi!$C$15)&lt;0),0),0)</f>
        <v>1</v>
      </c>
      <c r="D231" s="1">
        <f t="array" ref="D231">IF(ISBLANK($E232),IF(ISNUMBER($E230),IF($C231&gt;0,IF(($E231=INDEX(_xlfn.ANCHORARRAY(Sintesi!$C$14),1,$C231))*(INDEX(_xlfn.ANCHORARRAY(Sintesi!$C$15),1,$C231)&gt;0),0,IF(($E231=INDEX(_xlfn.ANCHORARRAY(Sintesi!$C$14),1,$C231))*(INDEX(_xlfn.ANCHORARRAY(Sintesi!$C$15),1,$C231)&lt;0)+($E231&gt;=$E230)*($E231&lt;=INDEX($E:$E,MATCH(TRUE,INDEX((ISNUMBER($E:$E)),0),0)))*($E231&gt;INDEX(_xlfn.ANCHORARRAY(Sintesi!$C$14),1,$C231))*($E231&lt;=INDEX(_xlfn.ANCHORARRAY(Sintesi!$C$15),1,$C231))*(INDEX(_xlfn.ANCHORARRAY(Sintesi!$C$15),1,$C231)&gt;0),1,IF(($E231&gt;=$E230)*($E231&lt;=INDEX($E:$E,MATCH(TRUE,INDEX((ISNUMBER($E:$E)),0),0)))*($E231&gt;INDEX(_xlfn.ANCHORARRAY(Sintesi!$C$14),1,$C231))*($E231&lt;INDEX(_xlfn.ANCHORARRAY(Sintesi!$C$16),1,$C231))*(INDEX(_xlfn.ANCHORARRAY(Sintesi!$C$15),1,$C231)&lt;0)+($E231&gt;=$E230)*($E231&lt;=INDEX($E:$E,MATCH(TRUE,INDEX((ISNUMBER($E:$E)),0),0)))*($E231&gt;INDEX(_xlfn.ANCHORARRAY(Sintesi!$C$15),1,$C231))*($E231&lt;INDEX(_xlfn.ANCHORARRAY(Sintesi!$C$16),1,$C231))*(INDEX(_xlfn.ANCHORARRAY(Sintesi!$C$15),1,$C231)&gt;0),2,IF($E231=(INDEX(_xlfn.ANCHORARRAY(Sintesi!$C$16),1,$C231)),3,4)))),0),IF($C231&gt;0,IF(($E231=INDEX(_xlfn.ANCHORARRAY(Sintesi!$C$14),1,$C231))*(INDEX(_xlfn.ANCHORARRAY(Sintesi!$C$15),1,$C231)&gt;0),0,IF(($E231=INDEX(_xlfn.ANCHORARRAY(Sintesi!$C$14),1,$C231))*(INDEX(_xlfn.ANCHORARRAY(Sintesi!$C$15),1,$C231)&lt;0)+($E231&gt;=LOOKUP(2,1/($E:$E&lt;&gt;""),$E:$E))*($E231&lt;=INDEX($E:$E,MATCH(TRUE,INDEX((ISNUMBER($E:$E)),0),0)))*($E231&gt;INDEX(_xlfn.ANCHORARRAY(Sintesi!$C$14),1,$C231))*($E231&lt;=INDEX(_xlfn.ANCHORARRAY(Sintesi!$C$15),1,$C231))*(INDEX(_xlfn.ANCHORARRAY(Sintesi!$C$15),1,$C231)&gt;0),1,IF(($E231&gt;=LOOKUP(2,1/($E:$E&lt;&gt;""),$E:$E))*($E231&lt;=INDEX($E:$E,MATCH(TRUE,INDEX((ISNUMBER($E:$E)),0),0)))*($E231&gt;INDEX(_xlfn.ANCHORARRAY(Sintesi!$C$14),1,$C231))*($E231&lt;INDEX(_xlfn.ANCHORARRAY(Sintesi!$C$16),1,$C231))*(INDEX(_xlfn.ANCHORARRAY(Sintesi!$C$15),1,$C231)&lt;0)+($E231&gt;=LOOKUP(2,1/($E:$E&lt;&gt;""),$E:$E))*($E231&lt;=INDEX($E:$E,MATCH(TRUE,INDEX((ISNUMBER($E:$E)),0),0)))*($E231&gt;INDEX(_xlfn.ANCHORARRAY(Sintesi!$C$15),1,$C231))*($E231&lt;INDEX(_xlfn.ANCHORARRAY(Sintesi!$C$16),1,$C231))*(INDEX(_xlfn.ANCHORARRAY(Sintesi!$C$15),1,$C231)&gt;0),2,IF($E231=(INDEX(_xlfn.ANCHORARRAY(Sintesi!$C$16),1,$C231)),3,4)))),0)),IF(ISNUMBER($E230),IF($C231&gt;0,IF(($E231=INDEX(_xlfn.ANCHORARRAY(Sintesi!$C$14),1,$C231))*(INDEX(_xlfn.ANCHORARRAY(Sintesi!$C$15),1,$C231)&gt;0),0,IF(($E231=INDEX(_xlfn.ANCHORARRAY(Sintesi!$C$14),1,$C231))*(INDEX(_xlfn.ANCHORARRAY(Sintesi!$C$15),1,$C231)&lt;0)+($E231&gt;=$E230)*($E231&lt;=$E232)*($E231&gt;INDEX(_xlfn.ANCHORARRAY(Sintesi!$C$14),1,$C231))*($E231&lt;=INDEX(_xlfn.ANCHORARRAY(Sintesi!$C$15),1,$C231))*(INDEX(_xlfn.ANCHORARRAY(Sintesi!$C$15),1,$C231)&gt;0),1,IF(($E231&gt;=$E230)*($E231&lt;=$E232)*($E231&gt;INDEX(_xlfn.ANCHORARRAY(Sintesi!$C$14),1,$C231))*($E231&lt;INDEX(_xlfn.ANCHORARRAY(Sintesi!$C$16),1,$C231))*(INDEX(_xlfn.ANCHORARRAY(Sintesi!$C$15),1,$C231)&lt;0)+($E231&gt;=$E230)*($E231&lt;=$E232)*($E231&gt;INDEX(_xlfn.ANCHORARRAY(Sintesi!$C$15),1,$C231))*($E231&lt;INDEX(_xlfn.ANCHORARRAY(Sintesi!$C$16),1,$C231))*(INDEX(_xlfn.ANCHORARRAY(Sintesi!$C$15),1,$C231)&gt;0),2,IF($E231=(INDEX(_xlfn.ANCHORARRAY(Sintesi!$C$16),1,$C231)),3,4)))),0),IF($C231&gt;0,IF(($E231=INDEX(_xlfn.ANCHORARRAY(Sintesi!$C$14),1,$C231))*(INDEX(_xlfn.ANCHORARRAY(Sintesi!$C$15),1,$C231)&gt;0),0,IF(($E231=INDEX(_xlfn.ANCHORARRAY(Sintesi!$C$14),1,$C231))*(INDEX(_xlfn.ANCHORARRAY(Sintesi!$C$15),1,$C231)&lt;0)+($E231&gt;=LOOKUP(2,1/($E:$E&lt;&gt;""),$E:$E))*($E231&lt;=$E232)*($E231&gt;INDEX(_xlfn.ANCHORARRAY(Sintesi!$C$14),1,$C231))*($E231&lt;=INDEX(_xlfn.ANCHORARRAY(Sintesi!$C$15),1,$C231))*(INDEX(_xlfn.ANCHORARRAY(Sintesi!$C$15),1,$C231)&gt;0),1,IF(($E231&gt;=LOOKUP(2,1/($E:$E&lt;&gt;""),$E:$E))*($E231&lt;=$E232)*($E231&gt;INDEX(_xlfn.ANCHORARRAY(Sintesi!$C$14),1,$C231))*($E231&lt;INDEX(_xlfn.ANCHORARRAY(Sintesi!$C$16),1,$C231))*(INDEX(_xlfn.ANCHORARRAY(Sintesi!$C$15),1,$C231)&lt;0)+($E231&gt;=LOOKUP(2,1/($E:$E&lt;&gt;""),$E:$E))*($E231&lt;=$E232)*($E231&gt;INDEX(_xlfn.ANCHORARRAY(Sintesi!$C$15),1,$C231))*($E231&lt;INDEX(_xlfn.ANCHORARRAY(Sintesi!$C$16),1,$C231))*(INDEX(_xlfn.ANCHORARRAY(Sintesi!$C$15),1,$C231)&gt;0),2,IF($E231=(INDEX(_xlfn.ANCHORARRAY(Sintesi!$C$16),1,$C231)),3,4)))),0)))</f>
        <v>4</v>
      </c>
      <c r="E231" s="1">
        <f>'Paste cell here'!F231</f>
        <v>0.93</v>
      </c>
      <c r="F231" s="1">
        <f>'Paste cell here'!C231</f>
        <v>29.239999999999583</v>
      </c>
      <c r="G231" s="1">
        <f>'Paste cell here'!D231</f>
        <v>19.499999999999758</v>
      </c>
      <c r="H231" s="1">
        <f>'Paste cell here'!E231</f>
        <v>5.0229523846003232</v>
      </c>
      <c r="I231" s="1">
        <f>'Paste cell here'!X231</f>
        <v>4.6712909097136217</v>
      </c>
      <c r="J231" s="1">
        <f>'Paste cell here'!Y231+'Paste cell here'!S231</f>
        <v>4.6712909097136217</v>
      </c>
      <c r="K231" s="1">
        <f t="shared" si="6"/>
        <v>0.9299890884960712</v>
      </c>
      <c r="L231" s="1">
        <f t="shared" si="7"/>
        <v>25.594508285280135</v>
      </c>
      <c r="M231" s="1">
        <f t="array" ref="M231">IF(AND(A231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231&gt;=_xlfn.ANCHORARRAY(Sintesi!$C$9))+(_xlfn.ANCHORARRAY(Sintesi!$C$9)&gt;_xlfn.ANCHORARRAY(Sintesi!$C$10))*(A231&lt;=_xlfn.ANCHORARRAY(Sintesi!$C$10))+(_xlfn.ANCHORARRAY(Sintesi!$C$9)&lt;_xlfn.ANCHORARRAY(Sintesi!$C$10))*(A231&gt;=_xlfn.ANCHORARRAY(Sintesi!$C$9))*(A231&lt;=_xlfn.ANCHORARRAY(Sintesi!$C$10)),0)),0),A231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232&gt;=_xlfn.ANCHORARRAY(Sintesi!$C$9))+(_xlfn.ANCHORARRAY(Sintesi!$C$9)&gt;_xlfn.ANCHORARRAY(Sintesi!$C$10))*(A232&lt;=_xlfn.ANCHORARRAY(Sintesi!$C$10))+(_xlfn.ANCHORARRAY(Sintesi!$C$9)&lt;_xlfn.ANCHORARRAY(Sintesi!$C$10))*(A232&gt;=_xlfn.ANCHORARRAY(Sintesi!$C$9))*(A232&lt;=_xlfn.ANCHORARRAY(Sintesi!$C$10)),0)),0)),IF(L231&lt;_xlfn.IFNA(INDEX(_xlfn.ANCHORARRAY(Sintesi!$C$17),1,MATCH(1,(_xlfn.ANCHORARRAY(Sintesi!$C$9)&gt;_xlfn.ANCHORARRAY(Sintesi!$C$10))*(A230&gt;=_xlfn.ANCHORARRAY(Sintesi!$C$9))+(_xlfn.ANCHORARRAY(Sintesi!$C$9)&gt;_xlfn.ANCHORARRAY(Sintesi!$C$10))*(A230&lt;=_xlfn.ANCHORARRAY(Sintesi!$C$10))+(_xlfn.ANCHORARRAY(Sintesi!$C$9)&lt;_xlfn.ANCHORARRAY(Sintesi!$C$10))*(A230&gt;=_xlfn.ANCHORARRAY(Sintesi!$C$9))*(A230&lt;=_xlfn.ANCHORARRAY(Sintesi!$C$10)),0)),0),1,IF(L231&gt;=_xlfn.IFNA(INDEX(_xlfn.ANCHORARRAY(Sintesi!$C$18),1,MATCH(1,(_xlfn.ANCHORARRAY(Sintesi!$C$9)&gt;_xlfn.ANCHORARRAY(Sintesi!$C$10))*(A230&gt;=_xlfn.ANCHORARRAY(Sintesi!$C$9))+(_xlfn.ANCHORARRAY(Sintesi!$C$9)&gt;_xlfn.ANCHORARRAY(Sintesi!$C$10))*(A230&lt;=_xlfn.ANCHORARRAY(Sintesi!$C$10))+(_xlfn.ANCHORARRAY(Sintesi!$C$9)&lt;_xlfn.ANCHORARRAY(Sintesi!$C$10))*(A230&gt;=_xlfn.ANCHORARRAY(Sintesi!$C$9))*(A230&lt;=_xlfn.ANCHORARRAY(Sintesi!$C$10)),0)),0),0,1-(L231-_xlfn.IFNA(INDEX(_xlfn.ANCHORARRAY(Sintesi!$C$17),1,MATCH(1,(_xlfn.ANCHORARRAY(Sintesi!$C$9)&gt;_xlfn.ANCHORARRAY(Sintesi!$C$10))*(A230&gt;=_xlfn.ANCHORARRAY(Sintesi!$C$9))+(_xlfn.ANCHORARRAY(Sintesi!$C$9)&gt;_xlfn.ANCHORARRAY(Sintesi!$C$10))*(A230&lt;=_xlfn.ANCHORARRAY(Sintesi!$C$10))+(_xlfn.ANCHORARRAY(Sintesi!$C$9)&lt;_xlfn.ANCHORARRAY(Sintesi!$C$10))*(A230&gt;=_xlfn.ANCHORARRAY(Sintesi!$C$9))*(A230&lt;=_xlfn.ANCHORARRAY(Sintesi!$C$10)),0)),0))/(_xlfn.IFNA(INDEX(_xlfn.ANCHORARRAY(Sintesi!$C$18),1,MATCH(1,(_xlfn.ANCHORARRAY(Sintesi!$C$9)&gt;_xlfn.ANCHORARRAY(Sintesi!$C$10))*(A230&gt;=_xlfn.ANCHORARRAY(Sintesi!$C$9))+(_xlfn.ANCHORARRAY(Sintesi!$C$9)&gt;_xlfn.ANCHORARRAY(Sintesi!$C$10))*(A230&lt;=_xlfn.ANCHORARRAY(Sintesi!$C$10))+(_xlfn.ANCHORARRAY(Sintesi!$C$9)&lt;_xlfn.ANCHORARRAY(Sintesi!$C$10))*(A230&gt;=_xlfn.ANCHORARRAY(Sintesi!$C$9))*(A230&lt;=_xlfn.ANCHORARRAY(Sintesi!$C$10)),0)),0)-_xlfn.IFNA(INDEX(_xlfn.ANCHORARRAY(Sintesi!$C$17),1,MATCH(1,(_xlfn.ANCHORARRAY(Sintesi!$C$9)&gt;_xlfn.ANCHORARRAY(Sintesi!$C$10))*(A230&gt;=_xlfn.ANCHORARRAY(Sintesi!$C$9))+(_xlfn.ANCHORARRAY(Sintesi!$C$9)&gt;_xlfn.ANCHORARRAY(Sintesi!$C$10))*(A230&lt;=_xlfn.ANCHORARRAY(Sintesi!$C$10))+(_xlfn.ANCHORARRAY(Sintesi!$C$9)&lt;_xlfn.ANCHORARRAY(Sintesi!$C$10))*(A230&gt;=_xlfn.ANCHORARRAY(Sintesi!$C$9))*(A230&lt;=_xlfn.ANCHORARRAY(Sintesi!$C$10)),0)),0)))),0)</f>
        <v>0</v>
      </c>
    </row>
    <row r="232" spans="1:13">
      <c r="A232" s="1">
        <f>'Paste cell here'!A232</f>
        <v>231</v>
      </c>
      <c r="B232" s="2">
        <f>DATE(Sintesi!$C$4-1,12,31)+A232</f>
        <v>44427</v>
      </c>
      <c r="C232" s="34">
        <f t="array" ref="C232">_xlfn.IFNA(MATCH(1,((_xlfn.ANCHORARRAY(Sintesi!$C$9)&gt;_xlfn.ANCHORARRAY(Sintesi!$C$10))*(A232&gt;=_xlfn.ANCHORARRAY(Sintesi!$C$9))+(_xlfn.ANCHORARRAY(Sintesi!$C$9)&gt;_xlfn.ANCHORARRAY(Sintesi!$C$10))*(A232&lt;=_xlfn.ANCHORARRAY(Sintesi!$C$10))+(_xlfn.ANCHORARRAY(Sintesi!$C$9)&lt;_xlfn.ANCHORARRAY(Sintesi!$C$10))*(A232&gt;=_xlfn.ANCHORARRAY(Sintesi!$C$9))*(A232&lt;=_xlfn.ANCHORARRAY(Sintesi!$C$10)))*(_xlfn.ANCHORARRAY(Sintesi!$C$15)&gt;=0)+(_xlfn.ANCHORARRAY(Sintesi!$C$15)&lt;0),0),0)</f>
        <v>1</v>
      </c>
      <c r="D232" s="1">
        <f t="array" ref="D232">IF(ISBLANK($E233),IF(ISNUMBER($E231),IF($C232&gt;0,IF(($E232=INDEX(_xlfn.ANCHORARRAY(Sintesi!$C$14),1,$C232))*(INDEX(_xlfn.ANCHORARRAY(Sintesi!$C$15),1,$C232)&gt;0),0,IF(($E232=INDEX(_xlfn.ANCHORARRAY(Sintesi!$C$14),1,$C232))*(INDEX(_xlfn.ANCHORARRAY(Sintesi!$C$15),1,$C232)&lt;0)+($E232&gt;=$E231)*($E232&lt;=INDEX($E:$E,MATCH(TRUE,INDEX((ISNUMBER($E:$E)),0),0)))*($E232&gt;INDEX(_xlfn.ANCHORARRAY(Sintesi!$C$14),1,$C232))*($E232&lt;=INDEX(_xlfn.ANCHORARRAY(Sintesi!$C$15),1,$C232))*(INDEX(_xlfn.ANCHORARRAY(Sintesi!$C$15),1,$C232)&gt;0),1,IF(($E232&gt;=$E231)*($E232&lt;=INDEX($E:$E,MATCH(TRUE,INDEX((ISNUMBER($E:$E)),0),0)))*($E232&gt;INDEX(_xlfn.ANCHORARRAY(Sintesi!$C$14),1,$C232))*($E232&lt;INDEX(_xlfn.ANCHORARRAY(Sintesi!$C$16),1,$C232))*(INDEX(_xlfn.ANCHORARRAY(Sintesi!$C$15),1,$C232)&lt;0)+($E232&gt;=$E231)*($E232&lt;=INDEX($E:$E,MATCH(TRUE,INDEX((ISNUMBER($E:$E)),0),0)))*($E232&gt;INDEX(_xlfn.ANCHORARRAY(Sintesi!$C$15),1,$C232))*($E232&lt;INDEX(_xlfn.ANCHORARRAY(Sintesi!$C$16),1,$C232))*(INDEX(_xlfn.ANCHORARRAY(Sintesi!$C$15),1,$C232)&gt;0),2,IF($E232=(INDEX(_xlfn.ANCHORARRAY(Sintesi!$C$16),1,$C232)),3,4)))),0),IF($C232&gt;0,IF(($E232=INDEX(_xlfn.ANCHORARRAY(Sintesi!$C$14),1,$C232))*(INDEX(_xlfn.ANCHORARRAY(Sintesi!$C$15),1,$C232)&gt;0),0,IF(($E232=INDEX(_xlfn.ANCHORARRAY(Sintesi!$C$14),1,$C232))*(INDEX(_xlfn.ANCHORARRAY(Sintesi!$C$15),1,$C232)&lt;0)+($E232&gt;=LOOKUP(2,1/($E:$E&lt;&gt;""),$E:$E))*($E232&lt;=INDEX($E:$E,MATCH(TRUE,INDEX((ISNUMBER($E:$E)),0),0)))*($E232&gt;INDEX(_xlfn.ANCHORARRAY(Sintesi!$C$14),1,$C232))*($E232&lt;=INDEX(_xlfn.ANCHORARRAY(Sintesi!$C$15),1,$C232))*(INDEX(_xlfn.ANCHORARRAY(Sintesi!$C$15),1,$C232)&gt;0),1,IF(($E232&gt;=LOOKUP(2,1/($E:$E&lt;&gt;""),$E:$E))*($E232&lt;=INDEX($E:$E,MATCH(TRUE,INDEX((ISNUMBER($E:$E)),0),0)))*($E232&gt;INDEX(_xlfn.ANCHORARRAY(Sintesi!$C$14),1,$C232))*($E232&lt;INDEX(_xlfn.ANCHORARRAY(Sintesi!$C$16),1,$C232))*(INDEX(_xlfn.ANCHORARRAY(Sintesi!$C$15),1,$C232)&lt;0)+($E232&gt;=LOOKUP(2,1/($E:$E&lt;&gt;""),$E:$E))*($E232&lt;=INDEX($E:$E,MATCH(TRUE,INDEX((ISNUMBER($E:$E)),0),0)))*($E232&gt;INDEX(_xlfn.ANCHORARRAY(Sintesi!$C$15),1,$C232))*($E232&lt;INDEX(_xlfn.ANCHORARRAY(Sintesi!$C$16),1,$C232))*(INDEX(_xlfn.ANCHORARRAY(Sintesi!$C$15),1,$C232)&gt;0),2,IF($E232=(INDEX(_xlfn.ANCHORARRAY(Sintesi!$C$16),1,$C232)),3,4)))),0)),IF(ISNUMBER($E231),IF($C232&gt;0,IF(($E232=INDEX(_xlfn.ANCHORARRAY(Sintesi!$C$14),1,$C232))*(INDEX(_xlfn.ANCHORARRAY(Sintesi!$C$15),1,$C232)&gt;0),0,IF(($E232=INDEX(_xlfn.ANCHORARRAY(Sintesi!$C$14),1,$C232))*(INDEX(_xlfn.ANCHORARRAY(Sintesi!$C$15),1,$C232)&lt;0)+($E232&gt;=$E231)*($E232&lt;=$E233)*($E232&gt;INDEX(_xlfn.ANCHORARRAY(Sintesi!$C$14),1,$C232))*($E232&lt;=INDEX(_xlfn.ANCHORARRAY(Sintesi!$C$15),1,$C232))*(INDEX(_xlfn.ANCHORARRAY(Sintesi!$C$15),1,$C232)&gt;0),1,IF(($E232&gt;=$E231)*($E232&lt;=$E233)*($E232&gt;INDEX(_xlfn.ANCHORARRAY(Sintesi!$C$14),1,$C232))*($E232&lt;INDEX(_xlfn.ANCHORARRAY(Sintesi!$C$16),1,$C232))*(INDEX(_xlfn.ANCHORARRAY(Sintesi!$C$15),1,$C232)&lt;0)+($E232&gt;=$E231)*($E232&lt;=$E233)*($E232&gt;INDEX(_xlfn.ANCHORARRAY(Sintesi!$C$15),1,$C232))*($E232&lt;INDEX(_xlfn.ANCHORARRAY(Sintesi!$C$16),1,$C232))*(INDEX(_xlfn.ANCHORARRAY(Sintesi!$C$15),1,$C232)&gt;0),2,IF($E232=(INDEX(_xlfn.ANCHORARRAY(Sintesi!$C$16),1,$C232)),3,4)))),0),IF($C232&gt;0,IF(($E232=INDEX(_xlfn.ANCHORARRAY(Sintesi!$C$14),1,$C232))*(INDEX(_xlfn.ANCHORARRAY(Sintesi!$C$15),1,$C232)&gt;0),0,IF(($E232=INDEX(_xlfn.ANCHORARRAY(Sintesi!$C$14),1,$C232))*(INDEX(_xlfn.ANCHORARRAY(Sintesi!$C$15),1,$C232)&lt;0)+($E232&gt;=LOOKUP(2,1/($E:$E&lt;&gt;""),$E:$E))*($E232&lt;=$E233)*($E232&gt;INDEX(_xlfn.ANCHORARRAY(Sintesi!$C$14),1,$C232))*($E232&lt;=INDEX(_xlfn.ANCHORARRAY(Sintesi!$C$15),1,$C232))*(INDEX(_xlfn.ANCHORARRAY(Sintesi!$C$15),1,$C232)&gt;0),1,IF(($E232&gt;=LOOKUP(2,1/($E:$E&lt;&gt;""),$E:$E))*($E232&lt;=$E233)*($E232&gt;INDEX(_xlfn.ANCHORARRAY(Sintesi!$C$14),1,$C232))*($E232&lt;INDEX(_xlfn.ANCHORARRAY(Sintesi!$C$16),1,$C232))*(INDEX(_xlfn.ANCHORARRAY(Sintesi!$C$15),1,$C232)&lt;0)+($E232&gt;=LOOKUP(2,1/($E:$E&lt;&gt;""),$E:$E))*($E232&lt;=$E233)*($E232&gt;INDEX(_xlfn.ANCHORARRAY(Sintesi!$C$15),1,$C232))*($E232&lt;INDEX(_xlfn.ANCHORARRAY(Sintesi!$C$16),1,$C232))*(INDEX(_xlfn.ANCHORARRAY(Sintesi!$C$15),1,$C232)&gt;0),2,IF($E232=(INDEX(_xlfn.ANCHORARRAY(Sintesi!$C$16),1,$C232)),3,4)))),0)))</f>
        <v>4</v>
      </c>
      <c r="E232" s="1">
        <f>'Paste cell here'!F232</f>
        <v>0.89100000000000001</v>
      </c>
      <c r="F232" s="1">
        <f>'Paste cell here'!C232</f>
        <v>29.67999999999957</v>
      </c>
      <c r="G232" s="1">
        <f>'Paste cell here'!D232</f>
        <v>18.219999999999768</v>
      </c>
      <c r="H232" s="1">
        <f>'Paste cell here'!E232</f>
        <v>4.4337447087361888</v>
      </c>
      <c r="I232" s="1">
        <f>'Paste cell here'!X232</f>
        <v>3.9504234850831468</v>
      </c>
      <c r="J232" s="1">
        <f>'Paste cell here'!Y232+'Paste cell here'!S232</f>
        <v>3.9504234850831468</v>
      </c>
      <c r="K232" s="1">
        <f t="shared" si="6"/>
        <v>0.89099029028425736</v>
      </c>
      <c r="L232" s="1">
        <f t="shared" si="7"/>
        <v>25.390745888019598</v>
      </c>
      <c r="M232" s="1">
        <f t="array" ref="M232">IF(AND(A232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232&gt;=_xlfn.ANCHORARRAY(Sintesi!$C$9))+(_xlfn.ANCHORARRAY(Sintesi!$C$9)&gt;_xlfn.ANCHORARRAY(Sintesi!$C$10))*(A232&lt;=_xlfn.ANCHORARRAY(Sintesi!$C$10))+(_xlfn.ANCHORARRAY(Sintesi!$C$9)&lt;_xlfn.ANCHORARRAY(Sintesi!$C$10))*(A232&gt;=_xlfn.ANCHORARRAY(Sintesi!$C$9))*(A232&lt;=_xlfn.ANCHORARRAY(Sintesi!$C$10)),0)),0),A232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233&gt;=_xlfn.ANCHORARRAY(Sintesi!$C$9))+(_xlfn.ANCHORARRAY(Sintesi!$C$9)&gt;_xlfn.ANCHORARRAY(Sintesi!$C$10))*(A233&lt;=_xlfn.ANCHORARRAY(Sintesi!$C$10))+(_xlfn.ANCHORARRAY(Sintesi!$C$9)&lt;_xlfn.ANCHORARRAY(Sintesi!$C$10))*(A233&gt;=_xlfn.ANCHORARRAY(Sintesi!$C$9))*(A233&lt;=_xlfn.ANCHORARRAY(Sintesi!$C$10)),0)),0)),IF(L232&lt;_xlfn.IFNA(INDEX(_xlfn.ANCHORARRAY(Sintesi!$C$17),1,MATCH(1,(_xlfn.ANCHORARRAY(Sintesi!$C$9)&gt;_xlfn.ANCHORARRAY(Sintesi!$C$10))*(A231&gt;=_xlfn.ANCHORARRAY(Sintesi!$C$9))+(_xlfn.ANCHORARRAY(Sintesi!$C$9)&gt;_xlfn.ANCHORARRAY(Sintesi!$C$10))*(A231&lt;=_xlfn.ANCHORARRAY(Sintesi!$C$10))+(_xlfn.ANCHORARRAY(Sintesi!$C$9)&lt;_xlfn.ANCHORARRAY(Sintesi!$C$10))*(A231&gt;=_xlfn.ANCHORARRAY(Sintesi!$C$9))*(A231&lt;=_xlfn.ANCHORARRAY(Sintesi!$C$10)),0)),0),1,IF(L232&gt;=_xlfn.IFNA(INDEX(_xlfn.ANCHORARRAY(Sintesi!$C$18),1,MATCH(1,(_xlfn.ANCHORARRAY(Sintesi!$C$9)&gt;_xlfn.ANCHORARRAY(Sintesi!$C$10))*(A231&gt;=_xlfn.ANCHORARRAY(Sintesi!$C$9))+(_xlfn.ANCHORARRAY(Sintesi!$C$9)&gt;_xlfn.ANCHORARRAY(Sintesi!$C$10))*(A231&lt;=_xlfn.ANCHORARRAY(Sintesi!$C$10))+(_xlfn.ANCHORARRAY(Sintesi!$C$9)&lt;_xlfn.ANCHORARRAY(Sintesi!$C$10))*(A231&gt;=_xlfn.ANCHORARRAY(Sintesi!$C$9))*(A231&lt;=_xlfn.ANCHORARRAY(Sintesi!$C$10)),0)),0),0,1-(L232-_xlfn.IFNA(INDEX(_xlfn.ANCHORARRAY(Sintesi!$C$17),1,MATCH(1,(_xlfn.ANCHORARRAY(Sintesi!$C$9)&gt;_xlfn.ANCHORARRAY(Sintesi!$C$10))*(A231&gt;=_xlfn.ANCHORARRAY(Sintesi!$C$9))+(_xlfn.ANCHORARRAY(Sintesi!$C$9)&gt;_xlfn.ANCHORARRAY(Sintesi!$C$10))*(A231&lt;=_xlfn.ANCHORARRAY(Sintesi!$C$10))+(_xlfn.ANCHORARRAY(Sintesi!$C$9)&lt;_xlfn.ANCHORARRAY(Sintesi!$C$10))*(A231&gt;=_xlfn.ANCHORARRAY(Sintesi!$C$9))*(A231&lt;=_xlfn.ANCHORARRAY(Sintesi!$C$10)),0)),0))/(_xlfn.IFNA(INDEX(_xlfn.ANCHORARRAY(Sintesi!$C$18),1,MATCH(1,(_xlfn.ANCHORARRAY(Sintesi!$C$9)&gt;_xlfn.ANCHORARRAY(Sintesi!$C$10))*(A231&gt;=_xlfn.ANCHORARRAY(Sintesi!$C$9))+(_xlfn.ANCHORARRAY(Sintesi!$C$9)&gt;_xlfn.ANCHORARRAY(Sintesi!$C$10))*(A231&lt;=_xlfn.ANCHORARRAY(Sintesi!$C$10))+(_xlfn.ANCHORARRAY(Sintesi!$C$9)&lt;_xlfn.ANCHORARRAY(Sintesi!$C$10))*(A231&gt;=_xlfn.ANCHORARRAY(Sintesi!$C$9))*(A231&lt;=_xlfn.ANCHORARRAY(Sintesi!$C$10)),0)),0)-_xlfn.IFNA(INDEX(_xlfn.ANCHORARRAY(Sintesi!$C$17),1,MATCH(1,(_xlfn.ANCHORARRAY(Sintesi!$C$9)&gt;_xlfn.ANCHORARRAY(Sintesi!$C$10))*(A231&gt;=_xlfn.ANCHORARRAY(Sintesi!$C$9))+(_xlfn.ANCHORARRAY(Sintesi!$C$9)&gt;_xlfn.ANCHORARRAY(Sintesi!$C$10))*(A231&lt;=_xlfn.ANCHORARRAY(Sintesi!$C$10))+(_xlfn.ANCHORARRAY(Sintesi!$C$9)&lt;_xlfn.ANCHORARRAY(Sintesi!$C$10))*(A231&gt;=_xlfn.ANCHORARRAY(Sintesi!$C$9))*(A231&lt;=_xlfn.ANCHORARRAY(Sintesi!$C$10)),0)),0)))),0)</f>
        <v>0</v>
      </c>
    </row>
    <row r="233" spans="1:13">
      <c r="A233" s="1">
        <f>'Paste cell here'!A233</f>
        <v>232</v>
      </c>
      <c r="B233" s="2">
        <f>DATE(Sintesi!$C$4-1,12,31)+A233</f>
        <v>44428</v>
      </c>
      <c r="C233" s="34">
        <f t="array" ref="C233">_xlfn.IFNA(MATCH(1,((_xlfn.ANCHORARRAY(Sintesi!$C$9)&gt;_xlfn.ANCHORARRAY(Sintesi!$C$10))*(A233&gt;=_xlfn.ANCHORARRAY(Sintesi!$C$9))+(_xlfn.ANCHORARRAY(Sintesi!$C$9)&gt;_xlfn.ANCHORARRAY(Sintesi!$C$10))*(A233&lt;=_xlfn.ANCHORARRAY(Sintesi!$C$10))+(_xlfn.ANCHORARRAY(Sintesi!$C$9)&lt;_xlfn.ANCHORARRAY(Sintesi!$C$10))*(A233&gt;=_xlfn.ANCHORARRAY(Sintesi!$C$9))*(A233&lt;=_xlfn.ANCHORARRAY(Sintesi!$C$10)))*(_xlfn.ANCHORARRAY(Sintesi!$C$15)&gt;=0)+(_xlfn.ANCHORARRAY(Sintesi!$C$15)&lt;0),0),0)</f>
        <v>1</v>
      </c>
      <c r="D233" s="1">
        <f t="array" ref="D233">IF(ISBLANK($E234),IF(ISNUMBER($E232),IF($C233&gt;0,IF(($E233=INDEX(_xlfn.ANCHORARRAY(Sintesi!$C$14),1,$C233))*(INDEX(_xlfn.ANCHORARRAY(Sintesi!$C$15),1,$C233)&gt;0),0,IF(($E233=INDEX(_xlfn.ANCHORARRAY(Sintesi!$C$14),1,$C233))*(INDEX(_xlfn.ANCHORARRAY(Sintesi!$C$15),1,$C233)&lt;0)+($E233&gt;=$E232)*($E233&lt;=INDEX($E:$E,MATCH(TRUE,INDEX((ISNUMBER($E:$E)),0),0)))*($E233&gt;INDEX(_xlfn.ANCHORARRAY(Sintesi!$C$14),1,$C233))*($E233&lt;=INDEX(_xlfn.ANCHORARRAY(Sintesi!$C$15),1,$C233))*(INDEX(_xlfn.ANCHORARRAY(Sintesi!$C$15),1,$C233)&gt;0),1,IF(($E233&gt;=$E232)*($E233&lt;=INDEX($E:$E,MATCH(TRUE,INDEX((ISNUMBER($E:$E)),0),0)))*($E233&gt;INDEX(_xlfn.ANCHORARRAY(Sintesi!$C$14),1,$C233))*($E233&lt;INDEX(_xlfn.ANCHORARRAY(Sintesi!$C$16),1,$C233))*(INDEX(_xlfn.ANCHORARRAY(Sintesi!$C$15),1,$C233)&lt;0)+($E233&gt;=$E232)*($E233&lt;=INDEX($E:$E,MATCH(TRUE,INDEX((ISNUMBER($E:$E)),0),0)))*($E233&gt;INDEX(_xlfn.ANCHORARRAY(Sintesi!$C$15),1,$C233))*($E233&lt;INDEX(_xlfn.ANCHORARRAY(Sintesi!$C$16),1,$C233))*(INDEX(_xlfn.ANCHORARRAY(Sintesi!$C$15),1,$C233)&gt;0),2,IF($E233=(INDEX(_xlfn.ANCHORARRAY(Sintesi!$C$16),1,$C233)),3,4)))),0),IF($C233&gt;0,IF(($E233=INDEX(_xlfn.ANCHORARRAY(Sintesi!$C$14),1,$C233))*(INDEX(_xlfn.ANCHORARRAY(Sintesi!$C$15),1,$C233)&gt;0),0,IF(($E233=INDEX(_xlfn.ANCHORARRAY(Sintesi!$C$14),1,$C233))*(INDEX(_xlfn.ANCHORARRAY(Sintesi!$C$15),1,$C233)&lt;0)+($E233&gt;=LOOKUP(2,1/($E:$E&lt;&gt;""),$E:$E))*($E233&lt;=INDEX($E:$E,MATCH(TRUE,INDEX((ISNUMBER($E:$E)),0),0)))*($E233&gt;INDEX(_xlfn.ANCHORARRAY(Sintesi!$C$14),1,$C233))*($E233&lt;=INDEX(_xlfn.ANCHORARRAY(Sintesi!$C$15),1,$C233))*(INDEX(_xlfn.ANCHORARRAY(Sintesi!$C$15),1,$C233)&gt;0),1,IF(($E233&gt;=LOOKUP(2,1/($E:$E&lt;&gt;""),$E:$E))*($E233&lt;=INDEX($E:$E,MATCH(TRUE,INDEX((ISNUMBER($E:$E)),0),0)))*($E233&gt;INDEX(_xlfn.ANCHORARRAY(Sintesi!$C$14),1,$C233))*($E233&lt;INDEX(_xlfn.ANCHORARRAY(Sintesi!$C$16),1,$C233))*(INDEX(_xlfn.ANCHORARRAY(Sintesi!$C$15),1,$C233)&lt;0)+($E233&gt;=LOOKUP(2,1/($E:$E&lt;&gt;""),$E:$E))*($E233&lt;=INDEX($E:$E,MATCH(TRUE,INDEX((ISNUMBER($E:$E)),0),0)))*($E233&gt;INDEX(_xlfn.ANCHORARRAY(Sintesi!$C$15),1,$C233))*($E233&lt;INDEX(_xlfn.ANCHORARRAY(Sintesi!$C$16),1,$C233))*(INDEX(_xlfn.ANCHORARRAY(Sintesi!$C$15),1,$C233)&gt;0),2,IF($E233=(INDEX(_xlfn.ANCHORARRAY(Sintesi!$C$16),1,$C233)),3,4)))),0)),IF(ISNUMBER($E232),IF($C233&gt;0,IF(($E233=INDEX(_xlfn.ANCHORARRAY(Sintesi!$C$14),1,$C233))*(INDEX(_xlfn.ANCHORARRAY(Sintesi!$C$15),1,$C233)&gt;0),0,IF(($E233=INDEX(_xlfn.ANCHORARRAY(Sintesi!$C$14),1,$C233))*(INDEX(_xlfn.ANCHORARRAY(Sintesi!$C$15),1,$C233)&lt;0)+($E233&gt;=$E232)*($E233&lt;=$E234)*($E233&gt;INDEX(_xlfn.ANCHORARRAY(Sintesi!$C$14),1,$C233))*($E233&lt;=INDEX(_xlfn.ANCHORARRAY(Sintesi!$C$15),1,$C233))*(INDEX(_xlfn.ANCHORARRAY(Sintesi!$C$15),1,$C233)&gt;0),1,IF(($E233&gt;=$E232)*($E233&lt;=$E234)*($E233&gt;INDEX(_xlfn.ANCHORARRAY(Sintesi!$C$14),1,$C233))*($E233&lt;INDEX(_xlfn.ANCHORARRAY(Sintesi!$C$16),1,$C233))*(INDEX(_xlfn.ANCHORARRAY(Sintesi!$C$15),1,$C233)&lt;0)+($E233&gt;=$E232)*($E233&lt;=$E234)*($E233&gt;INDEX(_xlfn.ANCHORARRAY(Sintesi!$C$15),1,$C233))*($E233&lt;INDEX(_xlfn.ANCHORARRAY(Sintesi!$C$16),1,$C233))*(INDEX(_xlfn.ANCHORARRAY(Sintesi!$C$15),1,$C233)&gt;0),2,IF($E233=(INDEX(_xlfn.ANCHORARRAY(Sintesi!$C$16),1,$C233)),3,4)))),0),IF($C233&gt;0,IF(($E233=INDEX(_xlfn.ANCHORARRAY(Sintesi!$C$14),1,$C233))*(INDEX(_xlfn.ANCHORARRAY(Sintesi!$C$15),1,$C233)&gt;0),0,IF(($E233=INDEX(_xlfn.ANCHORARRAY(Sintesi!$C$14),1,$C233))*(INDEX(_xlfn.ANCHORARRAY(Sintesi!$C$15),1,$C233)&lt;0)+($E233&gt;=LOOKUP(2,1/($E:$E&lt;&gt;""),$E:$E))*($E233&lt;=$E234)*($E233&gt;INDEX(_xlfn.ANCHORARRAY(Sintesi!$C$14),1,$C233))*($E233&lt;=INDEX(_xlfn.ANCHORARRAY(Sintesi!$C$15),1,$C233))*(INDEX(_xlfn.ANCHORARRAY(Sintesi!$C$15),1,$C233)&gt;0),1,IF(($E233&gt;=LOOKUP(2,1/($E:$E&lt;&gt;""),$E:$E))*($E233&lt;=$E234)*($E233&gt;INDEX(_xlfn.ANCHORARRAY(Sintesi!$C$14),1,$C233))*($E233&lt;INDEX(_xlfn.ANCHORARRAY(Sintesi!$C$16),1,$C233))*(INDEX(_xlfn.ANCHORARRAY(Sintesi!$C$15),1,$C233)&lt;0)+($E233&gt;=LOOKUP(2,1/($E:$E&lt;&gt;""),$E:$E))*($E233&lt;=$E234)*($E233&gt;INDEX(_xlfn.ANCHORARRAY(Sintesi!$C$15),1,$C233))*($E233&lt;INDEX(_xlfn.ANCHORARRAY(Sintesi!$C$16),1,$C233))*(INDEX(_xlfn.ANCHORARRAY(Sintesi!$C$15),1,$C233)&gt;0),2,IF($E233=(INDEX(_xlfn.ANCHORARRAY(Sintesi!$C$16),1,$C233)),3,4)))),0)))</f>
        <v>4</v>
      </c>
      <c r="E233" s="1">
        <f>'Paste cell here'!F233</f>
        <v>0.85199999999999998</v>
      </c>
      <c r="F233" s="1">
        <f>'Paste cell here'!C233</f>
        <v>31.499999999999542</v>
      </c>
      <c r="G233" s="1">
        <f>'Paste cell here'!D233</f>
        <v>19.739999999999739</v>
      </c>
      <c r="H233" s="1">
        <f>'Paste cell here'!E233</f>
        <v>4.4067127218873035</v>
      </c>
      <c r="I233" s="1">
        <f>'Paste cell here'!X233</f>
        <v>3.754481285456817</v>
      </c>
      <c r="J233" s="1">
        <f>'Paste cell here'!Y233+'Paste cell here'!S233</f>
        <v>3.754481285456817</v>
      </c>
      <c r="K233" s="1">
        <f t="shared" si="6"/>
        <v>0.85199138732348556</v>
      </c>
      <c r="L233" s="1">
        <f t="shared" si="7"/>
        <v>27.098461748962499</v>
      </c>
      <c r="M233" s="1">
        <f t="array" ref="M233">IF(AND(A233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233&gt;=_xlfn.ANCHORARRAY(Sintesi!$C$9))+(_xlfn.ANCHORARRAY(Sintesi!$C$9)&gt;_xlfn.ANCHORARRAY(Sintesi!$C$10))*(A233&lt;=_xlfn.ANCHORARRAY(Sintesi!$C$10))+(_xlfn.ANCHORARRAY(Sintesi!$C$9)&lt;_xlfn.ANCHORARRAY(Sintesi!$C$10))*(A233&gt;=_xlfn.ANCHORARRAY(Sintesi!$C$9))*(A233&lt;=_xlfn.ANCHORARRAY(Sintesi!$C$10)),0)),0),A233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234&gt;=_xlfn.ANCHORARRAY(Sintesi!$C$9))+(_xlfn.ANCHORARRAY(Sintesi!$C$9)&gt;_xlfn.ANCHORARRAY(Sintesi!$C$10))*(A234&lt;=_xlfn.ANCHORARRAY(Sintesi!$C$10))+(_xlfn.ANCHORARRAY(Sintesi!$C$9)&lt;_xlfn.ANCHORARRAY(Sintesi!$C$10))*(A234&gt;=_xlfn.ANCHORARRAY(Sintesi!$C$9))*(A234&lt;=_xlfn.ANCHORARRAY(Sintesi!$C$10)),0)),0)),IF(L233&lt;_xlfn.IFNA(INDEX(_xlfn.ANCHORARRAY(Sintesi!$C$17),1,MATCH(1,(_xlfn.ANCHORARRAY(Sintesi!$C$9)&gt;_xlfn.ANCHORARRAY(Sintesi!$C$10))*(A232&gt;=_xlfn.ANCHORARRAY(Sintesi!$C$9))+(_xlfn.ANCHORARRAY(Sintesi!$C$9)&gt;_xlfn.ANCHORARRAY(Sintesi!$C$10))*(A232&lt;=_xlfn.ANCHORARRAY(Sintesi!$C$10))+(_xlfn.ANCHORARRAY(Sintesi!$C$9)&lt;_xlfn.ANCHORARRAY(Sintesi!$C$10))*(A232&gt;=_xlfn.ANCHORARRAY(Sintesi!$C$9))*(A232&lt;=_xlfn.ANCHORARRAY(Sintesi!$C$10)),0)),0),1,IF(L233&gt;=_xlfn.IFNA(INDEX(_xlfn.ANCHORARRAY(Sintesi!$C$18),1,MATCH(1,(_xlfn.ANCHORARRAY(Sintesi!$C$9)&gt;_xlfn.ANCHORARRAY(Sintesi!$C$10))*(A232&gt;=_xlfn.ANCHORARRAY(Sintesi!$C$9))+(_xlfn.ANCHORARRAY(Sintesi!$C$9)&gt;_xlfn.ANCHORARRAY(Sintesi!$C$10))*(A232&lt;=_xlfn.ANCHORARRAY(Sintesi!$C$10))+(_xlfn.ANCHORARRAY(Sintesi!$C$9)&lt;_xlfn.ANCHORARRAY(Sintesi!$C$10))*(A232&gt;=_xlfn.ANCHORARRAY(Sintesi!$C$9))*(A232&lt;=_xlfn.ANCHORARRAY(Sintesi!$C$10)),0)),0),0,1-(L233-_xlfn.IFNA(INDEX(_xlfn.ANCHORARRAY(Sintesi!$C$17),1,MATCH(1,(_xlfn.ANCHORARRAY(Sintesi!$C$9)&gt;_xlfn.ANCHORARRAY(Sintesi!$C$10))*(A232&gt;=_xlfn.ANCHORARRAY(Sintesi!$C$9))+(_xlfn.ANCHORARRAY(Sintesi!$C$9)&gt;_xlfn.ANCHORARRAY(Sintesi!$C$10))*(A232&lt;=_xlfn.ANCHORARRAY(Sintesi!$C$10))+(_xlfn.ANCHORARRAY(Sintesi!$C$9)&lt;_xlfn.ANCHORARRAY(Sintesi!$C$10))*(A232&gt;=_xlfn.ANCHORARRAY(Sintesi!$C$9))*(A232&lt;=_xlfn.ANCHORARRAY(Sintesi!$C$10)),0)),0))/(_xlfn.IFNA(INDEX(_xlfn.ANCHORARRAY(Sintesi!$C$18),1,MATCH(1,(_xlfn.ANCHORARRAY(Sintesi!$C$9)&gt;_xlfn.ANCHORARRAY(Sintesi!$C$10))*(A232&gt;=_xlfn.ANCHORARRAY(Sintesi!$C$9))+(_xlfn.ANCHORARRAY(Sintesi!$C$9)&gt;_xlfn.ANCHORARRAY(Sintesi!$C$10))*(A232&lt;=_xlfn.ANCHORARRAY(Sintesi!$C$10))+(_xlfn.ANCHORARRAY(Sintesi!$C$9)&lt;_xlfn.ANCHORARRAY(Sintesi!$C$10))*(A232&gt;=_xlfn.ANCHORARRAY(Sintesi!$C$9))*(A232&lt;=_xlfn.ANCHORARRAY(Sintesi!$C$10)),0)),0)-_xlfn.IFNA(INDEX(_xlfn.ANCHORARRAY(Sintesi!$C$17),1,MATCH(1,(_xlfn.ANCHORARRAY(Sintesi!$C$9)&gt;_xlfn.ANCHORARRAY(Sintesi!$C$10))*(A232&gt;=_xlfn.ANCHORARRAY(Sintesi!$C$9))+(_xlfn.ANCHORARRAY(Sintesi!$C$9)&gt;_xlfn.ANCHORARRAY(Sintesi!$C$10))*(A232&lt;=_xlfn.ANCHORARRAY(Sintesi!$C$10))+(_xlfn.ANCHORARRAY(Sintesi!$C$9)&lt;_xlfn.ANCHORARRAY(Sintesi!$C$10))*(A232&gt;=_xlfn.ANCHORARRAY(Sintesi!$C$9))*(A232&lt;=_xlfn.ANCHORARRAY(Sintesi!$C$10)),0)),0)))),0)</f>
        <v>0</v>
      </c>
    </row>
    <row r="234" spans="1:13">
      <c r="A234" s="1">
        <f>'Paste cell here'!A234</f>
        <v>233</v>
      </c>
      <c r="B234" s="2">
        <f>DATE(Sintesi!$C$4-1,12,31)+A234</f>
        <v>44429</v>
      </c>
      <c r="C234" s="34">
        <f t="array" ref="C234">_xlfn.IFNA(MATCH(1,((_xlfn.ANCHORARRAY(Sintesi!$C$9)&gt;_xlfn.ANCHORARRAY(Sintesi!$C$10))*(A234&gt;=_xlfn.ANCHORARRAY(Sintesi!$C$9))+(_xlfn.ANCHORARRAY(Sintesi!$C$9)&gt;_xlfn.ANCHORARRAY(Sintesi!$C$10))*(A234&lt;=_xlfn.ANCHORARRAY(Sintesi!$C$10))+(_xlfn.ANCHORARRAY(Sintesi!$C$9)&lt;_xlfn.ANCHORARRAY(Sintesi!$C$10))*(A234&gt;=_xlfn.ANCHORARRAY(Sintesi!$C$9))*(A234&lt;=_xlfn.ANCHORARRAY(Sintesi!$C$10)))*(_xlfn.ANCHORARRAY(Sintesi!$C$15)&gt;=0)+(_xlfn.ANCHORARRAY(Sintesi!$C$15)&lt;0),0),0)</f>
        <v>1</v>
      </c>
      <c r="D234" s="1">
        <f t="array" ref="D234">IF(ISBLANK($E235),IF(ISNUMBER($E233),IF($C234&gt;0,IF(($E234=INDEX(_xlfn.ANCHORARRAY(Sintesi!$C$14),1,$C234))*(INDEX(_xlfn.ANCHORARRAY(Sintesi!$C$15),1,$C234)&gt;0),0,IF(($E234=INDEX(_xlfn.ANCHORARRAY(Sintesi!$C$14),1,$C234))*(INDEX(_xlfn.ANCHORARRAY(Sintesi!$C$15),1,$C234)&lt;0)+($E234&gt;=$E233)*($E234&lt;=INDEX($E:$E,MATCH(TRUE,INDEX((ISNUMBER($E:$E)),0),0)))*($E234&gt;INDEX(_xlfn.ANCHORARRAY(Sintesi!$C$14),1,$C234))*($E234&lt;=INDEX(_xlfn.ANCHORARRAY(Sintesi!$C$15),1,$C234))*(INDEX(_xlfn.ANCHORARRAY(Sintesi!$C$15),1,$C234)&gt;0),1,IF(($E234&gt;=$E233)*($E234&lt;=INDEX($E:$E,MATCH(TRUE,INDEX((ISNUMBER($E:$E)),0),0)))*($E234&gt;INDEX(_xlfn.ANCHORARRAY(Sintesi!$C$14),1,$C234))*($E234&lt;INDEX(_xlfn.ANCHORARRAY(Sintesi!$C$16),1,$C234))*(INDEX(_xlfn.ANCHORARRAY(Sintesi!$C$15),1,$C234)&lt;0)+($E234&gt;=$E233)*($E234&lt;=INDEX($E:$E,MATCH(TRUE,INDEX((ISNUMBER($E:$E)),0),0)))*($E234&gt;INDEX(_xlfn.ANCHORARRAY(Sintesi!$C$15),1,$C234))*($E234&lt;INDEX(_xlfn.ANCHORARRAY(Sintesi!$C$16),1,$C234))*(INDEX(_xlfn.ANCHORARRAY(Sintesi!$C$15),1,$C234)&gt;0),2,IF($E234=(INDEX(_xlfn.ANCHORARRAY(Sintesi!$C$16),1,$C234)),3,4)))),0),IF($C234&gt;0,IF(($E234=INDEX(_xlfn.ANCHORARRAY(Sintesi!$C$14),1,$C234))*(INDEX(_xlfn.ANCHORARRAY(Sintesi!$C$15),1,$C234)&gt;0),0,IF(($E234=INDEX(_xlfn.ANCHORARRAY(Sintesi!$C$14),1,$C234))*(INDEX(_xlfn.ANCHORARRAY(Sintesi!$C$15),1,$C234)&lt;0)+($E234&gt;=LOOKUP(2,1/($E:$E&lt;&gt;""),$E:$E))*($E234&lt;=INDEX($E:$E,MATCH(TRUE,INDEX((ISNUMBER($E:$E)),0),0)))*($E234&gt;INDEX(_xlfn.ANCHORARRAY(Sintesi!$C$14),1,$C234))*($E234&lt;=INDEX(_xlfn.ANCHORARRAY(Sintesi!$C$15),1,$C234))*(INDEX(_xlfn.ANCHORARRAY(Sintesi!$C$15),1,$C234)&gt;0),1,IF(($E234&gt;=LOOKUP(2,1/($E:$E&lt;&gt;""),$E:$E))*($E234&lt;=INDEX($E:$E,MATCH(TRUE,INDEX((ISNUMBER($E:$E)),0),0)))*($E234&gt;INDEX(_xlfn.ANCHORARRAY(Sintesi!$C$14),1,$C234))*($E234&lt;INDEX(_xlfn.ANCHORARRAY(Sintesi!$C$16),1,$C234))*(INDEX(_xlfn.ANCHORARRAY(Sintesi!$C$15),1,$C234)&lt;0)+($E234&gt;=LOOKUP(2,1/($E:$E&lt;&gt;""),$E:$E))*($E234&lt;=INDEX($E:$E,MATCH(TRUE,INDEX((ISNUMBER($E:$E)),0),0)))*($E234&gt;INDEX(_xlfn.ANCHORARRAY(Sintesi!$C$15),1,$C234))*($E234&lt;INDEX(_xlfn.ANCHORARRAY(Sintesi!$C$16),1,$C234))*(INDEX(_xlfn.ANCHORARRAY(Sintesi!$C$15),1,$C234)&gt;0),2,IF($E234=(INDEX(_xlfn.ANCHORARRAY(Sintesi!$C$16),1,$C234)),3,4)))),0)),IF(ISNUMBER($E233),IF($C234&gt;0,IF(($E234=INDEX(_xlfn.ANCHORARRAY(Sintesi!$C$14),1,$C234))*(INDEX(_xlfn.ANCHORARRAY(Sintesi!$C$15),1,$C234)&gt;0),0,IF(($E234=INDEX(_xlfn.ANCHORARRAY(Sintesi!$C$14),1,$C234))*(INDEX(_xlfn.ANCHORARRAY(Sintesi!$C$15),1,$C234)&lt;0)+($E234&gt;=$E233)*($E234&lt;=$E235)*($E234&gt;INDEX(_xlfn.ANCHORARRAY(Sintesi!$C$14),1,$C234))*($E234&lt;=INDEX(_xlfn.ANCHORARRAY(Sintesi!$C$15),1,$C234))*(INDEX(_xlfn.ANCHORARRAY(Sintesi!$C$15),1,$C234)&gt;0),1,IF(($E234&gt;=$E233)*($E234&lt;=$E235)*($E234&gt;INDEX(_xlfn.ANCHORARRAY(Sintesi!$C$14),1,$C234))*($E234&lt;INDEX(_xlfn.ANCHORARRAY(Sintesi!$C$16),1,$C234))*(INDEX(_xlfn.ANCHORARRAY(Sintesi!$C$15),1,$C234)&lt;0)+($E234&gt;=$E233)*($E234&lt;=$E235)*($E234&gt;INDEX(_xlfn.ANCHORARRAY(Sintesi!$C$15),1,$C234))*($E234&lt;INDEX(_xlfn.ANCHORARRAY(Sintesi!$C$16),1,$C234))*(INDEX(_xlfn.ANCHORARRAY(Sintesi!$C$15),1,$C234)&gt;0),2,IF($E234=(INDEX(_xlfn.ANCHORARRAY(Sintesi!$C$16),1,$C234)),3,4)))),0),IF($C234&gt;0,IF(($E234=INDEX(_xlfn.ANCHORARRAY(Sintesi!$C$14),1,$C234))*(INDEX(_xlfn.ANCHORARRAY(Sintesi!$C$15),1,$C234)&gt;0),0,IF(($E234=INDEX(_xlfn.ANCHORARRAY(Sintesi!$C$14),1,$C234))*(INDEX(_xlfn.ANCHORARRAY(Sintesi!$C$15),1,$C234)&lt;0)+($E234&gt;=LOOKUP(2,1/($E:$E&lt;&gt;""),$E:$E))*($E234&lt;=$E235)*($E234&gt;INDEX(_xlfn.ANCHORARRAY(Sintesi!$C$14),1,$C234))*($E234&lt;=INDEX(_xlfn.ANCHORARRAY(Sintesi!$C$15),1,$C234))*(INDEX(_xlfn.ANCHORARRAY(Sintesi!$C$15),1,$C234)&gt;0),1,IF(($E234&gt;=LOOKUP(2,1/($E:$E&lt;&gt;""),$E:$E))*($E234&lt;=$E235)*($E234&gt;INDEX(_xlfn.ANCHORARRAY(Sintesi!$C$14),1,$C234))*($E234&lt;INDEX(_xlfn.ANCHORARRAY(Sintesi!$C$16),1,$C234))*(INDEX(_xlfn.ANCHORARRAY(Sintesi!$C$15),1,$C234)&lt;0)+($E234&gt;=LOOKUP(2,1/($E:$E&lt;&gt;""),$E:$E))*($E234&lt;=$E235)*($E234&gt;INDEX(_xlfn.ANCHORARRAY(Sintesi!$C$15),1,$C234))*($E234&lt;INDEX(_xlfn.ANCHORARRAY(Sintesi!$C$16),1,$C234))*(INDEX(_xlfn.ANCHORARRAY(Sintesi!$C$15),1,$C234)&gt;0),2,IF($E234=(INDEX(_xlfn.ANCHORARRAY(Sintesi!$C$16),1,$C234)),3,4)))),0)))</f>
        <v>4</v>
      </c>
      <c r="E234" s="1">
        <f>'Paste cell here'!F234</f>
        <v>0.81299999999999994</v>
      </c>
      <c r="F234" s="1">
        <f>'Paste cell here'!C234</f>
        <v>33.299999999999521</v>
      </c>
      <c r="G234" s="1">
        <f>'Paste cell here'!D234</f>
        <v>18.87999999999975</v>
      </c>
      <c r="H234" s="1">
        <f>'Paste cell here'!E234</f>
        <v>4.6348924186943039</v>
      </c>
      <c r="I234" s="1">
        <f>'Paste cell here'!X234</f>
        <v>3.7681322474553181</v>
      </c>
      <c r="J234" s="1">
        <f>'Paste cell here'!Y234+'Paste cell here'!S234</f>
        <v>3.7681322474553181</v>
      </c>
      <c r="K234" s="1">
        <f t="shared" si="6"/>
        <v>0.81299238624331205</v>
      </c>
      <c r="L234" s="1">
        <f t="shared" si="7"/>
        <v>27.902875715989808</v>
      </c>
      <c r="M234" s="1">
        <f t="array" ref="M234">IF(AND(A234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234&gt;=_xlfn.ANCHORARRAY(Sintesi!$C$9))+(_xlfn.ANCHORARRAY(Sintesi!$C$9)&gt;_xlfn.ANCHORARRAY(Sintesi!$C$10))*(A234&lt;=_xlfn.ANCHORARRAY(Sintesi!$C$10))+(_xlfn.ANCHORARRAY(Sintesi!$C$9)&lt;_xlfn.ANCHORARRAY(Sintesi!$C$10))*(A234&gt;=_xlfn.ANCHORARRAY(Sintesi!$C$9))*(A234&lt;=_xlfn.ANCHORARRAY(Sintesi!$C$10)),0)),0),A234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235&gt;=_xlfn.ANCHORARRAY(Sintesi!$C$9))+(_xlfn.ANCHORARRAY(Sintesi!$C$9)&gt;_xlfn.ANCHORARRAY(Sintesi!$C$10))*(A235&lt;=_xlfn.ANCHORARRAY(Sintesi!$C$10))+(_xlfn.ANCHORARRAY(Sintesi!$C$9)&lt;_xlfn.ANCHORARRAY(Sintesi!$C$10))*(A235&gt;=_xlfn.ANCHORARRAY(Sintesi!$C$9))*(A235&lt;=_xlfn.ANCHORARRAY(Sintesi!$C$10)),0)),0)),IF(L234&lt;_xlfn.IFNA(INDEX(_xlfn.ANCHORARRAY(Sintesi!$C$17),1,MATCH(1,(_xlfn.ANCHORARRAY(Sintesi!$C$9)&gt;_xlfn.ANCHORARRAY(Sintesi!$C$10))*(A233&gt;=_xlfn.ANCHORARRAY(Sintesi!$C$9))+(_xlfn.ANCHORARRAY(Sintesi!$C$9)&gt;_xlfn.ANCHORARRAY(Sintesi!$C$10))*(A233&lt;=_xlfn.ANCHORARRAY(Sintesi!$C$10))+(_xlfn.ANCHORARRAY(Sintesi!$C$9)&lt;_xlfn.ANCHORARRAY(Sintesi!$C$10))*(A233&gt;=_xlfn.ANCHORARRAY(Sintesi!$C$9))*(A233&lt;=_xlfn.ANCHORARRAY(Sintesi!$C$10)),0)),0),1,IF(L234&gt;=_xlfn.IFNA(INDEX(_xlfn.ANCHORARRAY(Sintesi!$C$18),1,MATCH(1,(_xlfn.ANCHORARRAY(Sintesi!$C$9)&gt;_xlfn.ANCHORARRAY(Sintesi!$C$10))*(A233&gt;=_xlfn.ANCHORARRAY(Sintesi!$C$9))+(_xlfn.ANCHORARRAY(Sintesi!$C$9)&gt;_xlfn.ANCHORARRAY(Sintesi!$C$10))*(A233&lt;=_xlfn.ANCHORARRAY(Sintesi!$C$10))+(_xlfn.ANCHORARRAY(Sintesi!$C$9)&lt;_xlfn.ANCHORARRAY(Sintesi!$C$10))*(A233&gt;=_xlfn.ANCHORARRAY(Sintesi!$C$9))*(A233&lt;=_xlfn.ANCHORARRAY(Sintesi!$C$10)),0)),0),0,1-(L234-_xlfn.IFNA(INDEX(_xlfn.ANCHORARRAY(Sintesi!$C$17),1,MATCH(1,(_xlfn.ANCHORARRAY(Sintesi!$C$9)&gt;_xlfn.ANCHORARRAY(Sintesi!$C$10))*(A233&gt;=_xlfn.ANCHORARRAY(Sintesi!$C$9))+(_xlfn.ANCHORARRAY(Sintesi!$C$9)&gt;_xlfn.ANCHORARRAY(Sintesi!$C$10))*(A233&lt;=_xlfn.ANCHORARRAY(Sintesi!$C$10))+(_xlfn.ANCHORARRAY(Sintesi!$C$9)&lt;_xlfn.ANCHORARRAY(Sintesi!$C$10))*(A233&gt;=_xlfn.ANCHORARRAY(Sintesi!$C$9))*(A233&lt;=_xlfn.ANCHORARRAY(Sintesi!$C$10)),0)),0))/(_xlfn.IFNA(INDEX(_xlfn.ANCHORARRAY(Sintesi!$C$18),1,MATCH(1,(_xlfn.ANCHORARRAY(Sintesi!$C$9)&gt;_xlfn.ANCHORARRAY(Sintesi!$C$10))*(A233&gt;=_xlfn.ANCHORARRAY(Sintesi!$C$9))+(_xlfn.ANCHORARRAY(Sintesi!$C$9)&gt;_xlfn.ANCHORARRAY(Sintesi!$C$10))*(A233&lt;=_xlfn.ANCHORARRAY(Sintesi!$C$10))+(_xlfn.ANCHORARRAY(Sintesi!$C$9)&lt;_xlfn.ANCHORARRAY(Sintesi!$C$10))*(A233&gt;=_xlfn.ANCHORARRAY(Sintesi!$C$9))*(A233&lt;=_xlfn.ANCHORARRAY(Sintesi!$C$10)),0)),0)-_xlfn.IFNA(INDEX(_xlfn.ANCHORARRAY(Sintesi!$C$17),1,MATCH(1,(_xlfn.ANCHORARRAY(Sintesi!$C$9)&gt;_xlfn.ANCHORARRAY(Sintesi!$C$10))*(A233&gt;=_xlfn.ANCHORARRAY(Sintesi!$C$9))+(_xlfn.ANCHORARRAY(Sintesi!$C$9)&gt;_xlfn.ANCHORARRAY(Sintesi!$C$10))*(A233&lt;=_xlfn.ANCHORARRAY(Sintesi!$C$10))+(_xlfn.ANCHORARRAY(Sintesi!$C$9)&lt;_xlfn.ANCHORARRAY(Sintesi!$C$10))*(A233&gt;=_xlfn.ANCHORARRAY(Sintesi!$C$9))*(A233&lt;=_xlfn.ANCHORARRAY(Sintesi!$C$10)),0)),0)))),0)</f>
        <v>0</v>
      </c>
    </row>
    <row r="235" spans="1:13">
      <c r="A235" s="1">
        <f>'Paste cell here'!A235</f>
        <v>234</v>
      </c>
      <c r="B235" s="2">
        <f>DATE(Sintesi!$C$4-1,12,31)+A235</f>
        <v>44430</v>
      </c>
      <c r="C235" s="34">
        <f t="array" ref="C235">_xlfn.IFNA(MATCH(1,((_xlfn.ANCHORARRAY(Sintesi!$C$9)&gt;_xlfn.ANCHORARRAY(Sintesi!$C$10))*(A235&gt;=_xlfn.ANCHORARRAY(Sintesi!$C$9))+(_xlfn.ANCHORARRAY(Sintesi!$C$9)&gt;_xlfn.ANCHORARRAY(Sintesi!$C$10))*(A235&lt;=_xlfn.ANCHORARRAY(Sintesi!$C$10))+(_xlfn.ANCHORARRAY(Sintesi!$C$9)&lt;_xlfn.ANCHORARRAY(Sintesi!$C$10))*(A235&gt;=_xlfn.ANCHORARRAY(Sintesi!$C$9))*(A235&lt;=_xlfn.ANCHORARRAY(Sintesi!$C$10)))*(_xlfn.ANCHORARRAY(Sintesi!$C$15)&gt;=0)+(_xlfn.ANCHORARRAY(Sintesi!$C$15)&lt;0),0),0)</f>
        <v>1</v>
      </c>
      <c r="D235" s="1">
        <f t="array" ref="D235">IF(ISBLANK($E236),IF(ISNUMBER($E234),IF($C235&gt;0,IF(($E235=INDEX(_xlfn.ANCHORARRAY(Sintesi!$C$14),1,$C235))*(INDEX(_xlfn.ANCHORARRAY(Sintesi!$C$15),1,$C235)&gt;0),0,IF(($E235=INDEX(_xlfn.ANCHORARRAY(Sintesi!$C$14),1,$C235))*(INDEX(_xlfn.ANCHORARRAY(Sintesi!$C$15),1,$C235)&lt;0)+($E235&gt;=$E234)*($E235&lt;=INDEX($E:$E,MATCH(TRUE,INDEX((ISNUMBER($E:$E)),0),0)))*($E235&gt;INDEX(_xlfn.ANCHORARRAY(Sintesi!$C$14),1,$C235))*($E235&lt;=INDEX(_xlfn.ANCHORARRAY(Sintesi!$C$15),1,$C235))*(INDEX(_xlfn.ANCHORARRAY(Sintesi!$C$15),1,$C235)&gt;0),1,IF(($E235&gt;=$E234)*($E235&lt;=INDEX($E:$E,MATCH(TRUE,INDEX((ISNUMBER($E:$E)),0),0)))*($E235&gt;INDEX(_xlfn.ANCHORARRAY(Sintesi!$C$14),1,$C235))*($E235&lt;INDEX(_xlfn.ANCHORARRAY(Sintesi!$C$16),1,$C235))*(INDEX(_xlfn.ANCHORARRAY(Sintesi!$C$15),1,$C235)&lt;0)+($E235&gt;=$E234)*($E235&lt;=INDEX($E:$E,MATCH(TRUE,INDEX((ISNUMBER($E:$E)),0),0)))*($E235&gt;INDEX(_xlfn.ANCHORARRAY(Sintesi!$C$15),1,$C235))*($E235&lt;INDEX(_xlfn.ANCHORARRAY(Sintesi!$C$16),1,$C235))*(INDEX(_xlfn.ANCHORARRAY(Sintesi!$C$15),1,$C235)&gt;0),2,IF($E235=(INDEX(_xlfn.ANCHORARRAY(Sintesi!$C$16),1,$C235)),3,4)))),0),IF($C235&gt;0,IF(($E235=INDEX(_xlfn.ANCHORARRAY(Sintesi!$C$14),1,$C235))*(INDEX(_xlfn.ANCHORARRAY(Sintesi!$C$15),1,$C235)&gt;0),0,IF(($E235=INDEX(_xlfn.ANCHORARRAY(Sintesi!$C$14),1,$C235))*(INDEX(_xlfn.ANCHORARRAY(Sintesi!$C$15),1,$C235)&lt;0)+($E235&gt;=LOOKUP(2,1/($E:$E&lt;&gt;""),$E:$E))*($E235&lt;=INDEX($E:$E,MATCH(TRUE,INDEX((ISNUMBER($E:$E)),0),0)))*($E235&gt;INDEX(_xlfn.ANCHORARRAY(Sintesi!$C$14),1,$C235))*($E235&lt;=INDEX(_xlfn.ANCHORARRAY(Sintesi!$C$15),1,$C235))*(INDEX(_xlfn.ANCHORARRAY(Sintesi!$C$15),1,$C235)&gt;0),1,IF(($E235&gt;=LOOKUP(2,1/($E:$E&lt;&gt;""),$E:$E))*($E235&lt;=INDEX($E:$E,MATCH(TRUE,INDEX((ISNUMBER($E:$E)),0),0)))*($E235&gt;INDEX(_xlfn.ANCHORARRAY(Sintesi!$C$14),1,$C235))*($E235&lt;INDEX(_xlfn.ANCHORARRAY(Sintesi!$C$16),1,$C235))*(INDEX(_xlfn.ANCHORARRAY(Sintesi!$C$15),1,$C235)&lt;0)+($E235&gt;=LOOKUP(2,1/($E:$E&lt;&gt;""),$E:$E))*($E235&lt;=INDEX($E:$E,MATCH(TRUE,INDEX((ISNUMBER($E:$E)),0),0)))*($E235&gt;INDEX(_xlfn.ANCHORARRAY(Sintesi!$C$15),1,$C235))*($E235&lt;INDEX(_xlfn.ANCHORARRAY(Sintesi!$C$16),1,$C235))*(INDEX(_xlfn.ANCHORARRAY(Sintesi!$C$15),1,$C235)&gt;0),2,IF($E235=(INDEX(_xlfn.ANCHORARRAY(Sintesi!$C$16),1,$C235)),3,4)))),0)),IF(ISNUMBER($E234),IF($C235&gt;0,IF(($E235=INDEX(_xlfn.ANCHORARRAY(Sintesi!$C$14),1,$C235))*(INDEX(_xlfn.ANCHORARRAY(Sintesi!$C$15),1,$C235)&gt;0),0,IF(($E235=INDEX(_xlfn.ANCHORARRAY(Sintesi!$C$14),1,$C235))*(INDEX(_xlfn.ANCHORARRAY(Sintesi!$C$15),1,$C235)&lt;0)+($E235&gt;=$E234)*($E235&lt;=$E236)*($E235&gt;INDEX(_xlfn.ANCHORARRAY(Sintesi!$C$14),1,$C235))*($E235&lt;=INDEX(_xlfn.ANCHORARRAY(Sintesi!$C$15),1,$C235))*(INDEX(_xlfn.ANCHORARRAY(Sintesi!$C$15),1,$C235)&gt;0),1,IF(($E235&gt;=$E234)*($E235&lt;=$E236)*($E235&gt;INDEX(_xlfn.ANCHORARRAY(Sintesi!$C$14),1,$C235))*($E235&lt;INDEX(_xlfn.ANCHORARRAY(Sintesi!$C$16),1,$C235))*(INDEX(_xlfn.ANCHORARRAY(Sintesi!$C$15),1,$C235)&lt;0)+($E235&gt;=$E234)*($E235&lt;=$E236)*($E235&gt;INDEX(_xlfn.ANCHORARRAY(Sintesi!$C$15),1,$C235))*($E235&lt;INDEX(_xlfn.ANCHORARRAY(Sintesi!$C$16),1,$C235))*(INDEX(_xlfn.ANCHORARRAY(Sintesi!$C$15),1,$C235)&gt;0),2,IF($E235=(INDEX(_xlfn.ANCHORARRAY(Sintesi!$C$16),1,$C235)),3,4)))),0),IF($C235&gt;0,IF(($E235=INDEX(_xlfn.ANCHORARRAY(Sintesi!$C$14),1,$C235))*(INDEX(_xlfn.ANCHORARRAY(Sintesi!$C$15),1,$C235)&gt;0),0,IF(($E235=INDEX(_xlfn.ANCHORARRAY(Sintesi!$C$14),1,$C235))*(INDEX(_xlfn.ANCHORARRAY(Sintesi!$C$15),1,$C235)&lt;0)+($E235&gt;=LOOKUP(2,1/($E:$E&lt;&gt;""),$E:$E))*($E235&lt;=$E236)*($E235&gt;INDEX(_xlfn.ANCHORARRAY(Sintesi!$C$14),1,$C235))*($E235&lt;=INDEX(_xlfn.ANCHORARRAY(Sintesi!$C$15),1,$C235))*(INDEX(_xlfn.ANCHORARRAY(Sintesi!$C$15),1,$C235)&gt;0),1,IF(($E235&gt;=LOOKUP(2,1/($E:$E&lt;&gt;""),$E:$E))*($E235&lt;=$E236)*($E235&gt;INDEX(_xlfn.ANCHORARRAY(Sintesi!$C$14),1,$C235))*($E235&lt;INDEX(_xlfn.ANCHORARRAY(Sintesi!$C$16),1,$C235))*(INDEX(_xlfn.ANCHORARRAY(Sintesi!$C$15),1,$C235)&lt;0)+($E235&gt;=LOOKUP(2,1/($E:$E&lt;&gt;""),$E:$E))*($E235&lt;=$E236)*($E235&gt;INDEX(_xlfn.ANCHORARRAY(Sintesi!$C$15),1,$C235))*($E235&lt;INDEX(_xlfn.ANCHORARRAY(Sintesi!$C$16),1,$C235))*(INDEX(_xlfn.ANCHORARRAY(Sintesi!$C$15),1,$C235)&gt;0),2,IF($E235=(INDEX(_xlfn.ANCHORARRAY(Sintesi!$C$16),1,$C235)),3,4)))),0)))</f>
        <v>4</v>
      </c>
      <c r="E235" s="1">
        <f>'Paste cell here'!F235</f>
        <v>0.77400000000000002</v>
      </c>
      <c r="F235" s="1">
        <f>'Paste cell here'!C235</f>
        <v>32.639999999999532</v>
      </c>
      <c r="G235" s="1">
        <f>'Paste cell here'!D235</f>
        <v>19.47999999999973</v>
      </c>
      <c r="H235" s="1">
        <f>'Paste cell here'!E235</f>
        <v>4.412774227187291</v>
      </c>
      <c r="I235" s="1">
        <f>'Paste cell here'!X235</f>
        <v>3.4154576575009421</v>
      </c>
      <c r="J235" s="1">
        <f>'Paste cell here'!Y235+'Paste cell here'!S235</f>
        <v>3.4154576575009421</v>
      </c>
      <c r="K235" s="1">
        <f t="shared" si="6"/>
        <v>0.77399329348375934</v>
      </c>
      <c r="L235" s="1">
        <f t="shared" si="7"/>
        <v>27.714469100029504</v>
      </c>
      <c r="M235" s="1">
        <f t="array" ref="M235">IF(AND(A235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235&gt;=_xlfn.ANCHORARRAY(Sintesi!$C$9))+(_xlfn.ANCHORARRAY(Sintesi!$C$9)&gt;_xlfn.ANCHORARRAY(Sintesi!$C$10))*(A235&lt;=_xlfn.ANCHORARRAY(Sintesi!$C$10))+(_xlfn.ANCHORARRAY(Sintesi!$C$9)&lt;_xlfn.ANCHORARRAY(Sintesi!$C$10))*(A235&gt;=_xlfn.ANCHORARRAY(Sintesi!$C$9))*(A235&lt;=_xlfn.ANCHORARRAY(Sintesi!$C$10)),0)),0),A235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236&gt;=_xlfn.ANCHORARRAY(Sintesi!$C$9))+(_xlfn.ANCHORARRAY(Sintesi!$C$9)&gt;_xlfn.ANCHORARRAY(Sintesi!$C$10))*(A236&lt;=_xlfn.ANCHORARRAY(Sintesi!$C$10))+(_xlfn.ANCHORARRAY(Sintesi!$C$9)&lt;_xlfn.ANCHORARRAY(Sintesi!$C$10))*(A236&gt;=_xlfn.ANCHORARRAY(Sintesi!$C$9))*(A236&lt;=_xlfn.ANCHORARRAY(Sintesi!$C$10)),0)),0)),IF(L235&lt;_xlfn.IFNA(INDEX(_xlfn.ANCHORARRAY(Sintesi!$C$17),1,MATCH(1,(_xlfn.ANCHORARRAY(Sintesi!$C$9)&gt;_xlfn.ANCHORARRAY(Sintesi!$C$10))*(A234&gt;=_xlfn.ANCHORARRAY(Sintesi!$C$9))+(_xlfn.ANCHORARRAY(Sintesi!$C$9)&gt;_xlfn.ANCHORARRAY(Sintesi!$C$10))*(A234&lt;=_xlfn.ANCHORARRAY(Sintesi!$C$10))+(_xlfn.ANCHORARRAY(Sintesi!$C$9)&lt;_xlfn.ANCHORARRAY(Sintesi!$C$10))*(A234&gt;=_xlfn.ANCHORARRAY(Sintesi!$C$9))*(A234&lt;=_xlfn.ANCHORARRAY(Sintesi!$C$10)),0)),0),1,IF(L235&gt;=_xlfn.IFNA(INDEX(_xlfn.ANCHORARRAY(Sintesi!$C$18),1,MATCH(1,(_xlfn.ANCHORARRAY(Sintesi!$C$9)&gt;_xlfn.ANCHORARRAY(Sintesi!$C$10))*(A234&gt;=_xlfn.ANCHORARRAY(Sintesi!$C$9))+(_xlfn.ANCHORARRAY(Sintesi!$C$9)&gt;_xlfn.ANCHORARRAY(Sintesi!$C$10))*(A234&lt;=_xlfn.ANCHORARRAY(Sintesi!$C$10))+(_xlfn.ANCHORARRAY(Sintesi!$C$9)&lt;_xlfn.ANCHORARRAY(Sintesi!$C$10))*(A234&gt;=_xlfn.ANCHORARRAY(Sintesi!$C$9))*(A234&lt;=_xlfn.ANCHORARRAY(Sintesi!$C$10)),0)),0),0,1-(L235-_xlfn.IFNA(INDEX(_xlfn.ANCHORARRAY(Sintesi!$C$17),1,MATCH(1,(_xlfn.ANCHORARRAY(Sintesi!$C$9)&gt;_xlfn.ANCHORARRAY(Sintesi!$C$10))*(A234&gt;=_xlfn.ANCHORARRAY(Sintesi!$C$9))+(_xlfn.ANCHORARRAY(Sintesi!$C$9)&gt;_xlfn.ANCHORARRAY(Sintesi!$C$10))*(A234&lt;=_xlfn.ANCHORARRAY(Sintesi!$C$10))+(_xlfn.ANCHORARRAY(Sintesi!$C$9)&lt;_xlfn.ANCHORARRAY(Sintesi!$C$10))*(A234&gt;=_xlfn.ANCHORARRAY(Sintesi!$C$9))*(A234&lt;=_xlfn.ANCHORARRAY(Sintesi!$C$10)),0)),0))/(_xlfn.IFNA(INDEX(_xlfn.ANCHORARRAY(Sintesi!$C$18),1,MATCH(1,(_xlfn.ANCHORARRAY(Sintesi!$C$9)&gt;_xlfn.ANCHORARRAY(Sintesi!$C$10))*(A234&gt;=_xlfn.ANCHORARRAY(Sintesi!$C$9))+(_xlfn.ANCHORARRAY(Sintesi!$C$9)&gt;_xlfn.ANCHORARRAY(Sintesi!$C$10))*(A234&lt;=_xlfn.ANCHORARRAY(Sintesi!$C$10))+(_xlfn.ANCHORARRAY(Sintesi!$C$9)&lt;_xlfn.ANCHORARRAY(Sintesi!$C$10))*(A234&gt;=_xlfn.ANCHORARRAY(Sintesi!$C$9))*(A234&lt;=_xlfn.ANCHORARRAY(Sintesi!$C$10)),0)),0)-_xlfn.IFNA(INDEX(_xlfn.ANCHORARRAY(Sintesi!$C$17),1,MATCH(1,(_xlfn.ANCHORARRAY(Sintesi!$C$9)&gt;_xlfn.ANCHORARRAY(Sintesi!$C$10))*(A234&gt;=_xlfn.ANCHORARRAY(Sintesi!$C$9))+(_xlfn.ANCHORARRAY(Sintesi!$C$9)&gt;_xlfn.ANCHORARRAY(Sintesi!$C$10))*(A234&lt;=_xlfn.ANCHORARRAY(Sintesi!$C$10))+(_xlfn.ANCHORARRAY(Sintesi!$C$9)&lt;_xlfn.ANCHORARRAY(Sintesi!$C$10))*(A234&gt;=_xlfn.ANCHORARRAY(Sintesi!$C$9))*(A234&lt;=_xlfn.ANCHORARRAY(Sintesi!$C$10)),0)),0)))),0)</f>
        <v>0</v>
      </c>
    </row>
    <row r="236" spans="1:13">
      <c r="A236" s="1">
        <f>'Paste cell here'!A236</f>
        <v>235</v>
      </c>
      <c r="B236" s="2">
        <f>DATE(Sintesi!$C$4-1,12,31)+A236</f>
        <v>44431</v>
      </c>
      <c r="C236" s="34">
        <f t="array" ref="C236">_xlfn.IFNA(MATCH(1,((_xlfn.ANCHORARRAY(Sintesi!$C$9)&gt;_xlfn.ANCHORARRAY(Sintesi!$C$10))*(A236&gt;=_xlfn.ANCHORARRAY(Sintesi!$C$9))+(_xlfn.ANCHORARRAY(Sintesi!$C$9)&gt;_xlfn.ANCHORARRAY(Sintesi!$C$10))*(A236&lt;=_xlfn.ANCHORARRAY(Sintesi!$C$10))+(_xlfn.ANCHORARRAY(Sintesi!$C$9)&lt;_xlfn.ANCHORARRAY(Sintesi!$C$10))*(A236&gt;=_xlfn.ANCHORARRAY(Sintesi!$C$9))*(A236&lt;=_xlfn.ANCHORARRAY(Sintesi!$C$10)))*(_xlfn.ANCHORARRAY(Sintesi!$C$15)&gt;=0)+(_xlfn.ANCHORARRAY(Sintesi!$C$15)&lt;0),0),0)</f>
        <v>1</v>
      </c>
      <c r="D236" s="1">
        <f t="array" ref="D236">IF(ISBLANK($E237),IF(ISNUMBER($E235),IF($C236&gt;0,IF(($E236=INDEX(_xlfn.ANCHORARRAY(Sintesi!$C$14),1,$C236))*(INDEX(_xlfn.ANCHORARRAY(Sintesi!$C$15),1,$C236)&gt;0),0,IF(($E236=INDEX(_xlfn.ANCHORARRAY(Sintesi!$C$14),1,$C236))*(INDEX(_xlfn.ANCHORARRAY(Sintesi!$C$15),1,$C236)&lt;0)+($E236&gt;=$E235)*($E236&lt;=INDEX($E:$E,MATCH(TRUE,INDEX((ISNUMBER($E:$E)),0),0)))*($E236&gt;INDEX(_xlfn.ANCHORARRAY(Sintesi!$C$14),1,$C236))*($E236&lt;=INDEX(_xlfn.ANCHORARRAY(Sintesi!$C$15),1,$C236))*(INDEX(_xlfn.ANCHORARRAY(Sintesi!$C$15),1,$C236)&gt;0),1,IF(($E236&gt;=$E235)*($E236&lt;=INDEX($E:$E,MATCH(TRUE,INDEX((ISNUMBER($E:$E)),0),0)))*($E236&gt;INDEX(_xlfn.ANCHORARRAY(Sintesi!$C$14),1,$C236))*($E236&lt;INDEX(_xlfn.ANCHORARRAY(Sintesi!$C$16),1,$C236))*(INDEX(_xlfn.ANCHORARRAY(Sintesi!$C$15),1,$C236)&lt;0)+($E236&gt;=$E235)*($E236&lt;=INDEX($E:$E,MATCH(TRUE,INDEX((ISNUMBER($E:$E)),0),0)))*($E236&gt;INDEX(_xlfn.ANCHORARRAY(Sintesi!$C$15),1,$C236))*($E236&lt;INDEX(_xlfn.ANCHORARRAY(Sintesi!$C$16),1,$C236))*(INDEX(_xlfn.ANCHORARRAY(Sintesi!$C$15),1,$C236)&gt;0),2,IF($E236=(INDEX(_xlfn.ANCHORARRAY(Sintesi!$C$16),1,$C236)),3,4)))),0),IF($C236&gt;0,IF(($E236=INDEX(_xlfn.ANCHORARRAY(Sintesi!$C$14),1,$C236))*(INDEX(_xlfn.ANCHORARRAY(Sintesi!$C$15),1,$C236)&gt;0),0,IF(($E236=INDEX(_xlfn.ANCHORARRAY(Sintesi!$C$14),1,$C236))*(INDEX(_xlfn.ANCHORARRAY(Sintesi!$C$15),1,$C236)&lt;0)+($E236&gt;=LOOKUP(2,1/($E:$E&lt;&gt;""),$E:$E))*($E236&lt;=INDEX($E:$E,MATCH(TRUE,INDEX((ISNUMBER($E:$E)),0),0)))*($E236&gt;INDEX(_xlfn.ANCHORARRAY(Sintesi!$C$14),1,$C236))*($E236&lt;=INDEX(_xlfn.ANCHORARRAY(Sintesi!$C$15),1,$C236))*(INDEX(_xlfn.ANCHORARRAY(Sintesi!$C$15),1,$C236)&gt;0),1,IF(($E236&gt;=LOOKUP(2,1/($E:$E&lt;&gt;""),$E:$E))*($E236&lt;=INDEX($E:$E,MATCH(TRUE,INDEX((ISNUMBER($E:$E)),0),0)))*($E236&gt;INDEX(_xlfn.ANCHORARRAY(Sintesi!$C$14),1,$C236))*($E236&lt;INDEX(_xlfn.ANCHORARRAY(Sintesi!$C$16),1,$C236))*(INDEX(_xlfn.ANCHORARRAY(Sintesi!$C$15),1,$C236)&lt;0)+($E236&gt;=LOOKUP(2,1/($E:$E&lt;&gt;""),$E:$E))*($E236&lt;=INDEX($E:$E,MATCH(TRUE,INDEX((ISNUMBER($E:$E)),0),0)))*($E236&gt;INDEX(_xlfn.ANCHORARRAY(Sintesi!$C$15),1,$C236))*($E236&lt;INDEX(_xlfn.ANCHORARRAY(Sintesi!$C$16),1,$C236))*(INDEX(_xlfn.ANCHORARRAY(Sintesi!$C$15),1,$C236)&gt;0),2,IF($E236=(INDEX(_xlfn.ANCHORARRAY(Sintesi!$C$16),1,$C236)),3,4)))),0)),IF(ISNUMBER($E235),IF($C236&gt;0,IF(($E236=INDEX(_xlfn.ANCHORARRAY(Sintesi!$C$14),1,$C236))*(INDEX(_xlfn.ANCHORARRAY(Sintesi!$C$15),1,$C236)&gt;0),0,IF(($E236=INDEX(_xlfn.ANCHORARRAY(Sintesi!$C$14),1,$C236))*(INDEX(_xlfn.ANCHORARRAY(Sintesi!$C$15),1,$C236)&lt;0)+($E236&gt;=$E235)*($E236&lt;=$E237)*($E236&gt;INDEX(_xlfn.ANCHORARRAY(Sintesi!$C$14),1,$C236))*($E236&lt;=INDEX(_xlfn.ANCHORARRAY(Sintesi!$C$15),1,$C236))*(INDEX(_xlfn.ANCHORARRAY(Sintesi!$C$15),1,$C236)&gt;0),1,IF(($E236&gt;=$E235)*($E236&lt;=$E237)*($E236&gt;INDEX(_xlfn.ANCHORARRAY(Sintesi!$C$14),1,$C236))*($E236&lt;INDEX(_xlfn.ANCHORARRAY(Sintesi!$C$16),1,$C236))*(INDEX(_xlfn.ANCHORARRAY(Sintesi!$C$15),1,$C236)&lt;0)+($E236&gt;=$E235)*($E236&lt;=$E237)*($E236&gt;INDEX(_xlfn.ANCHORARRAY(Sintesi!$C$15),1,$C236))*($E236&lt;INDEX(_xlfn.ANCHORARRAY(Sintesi!$C$16),1,$C236))*(INDEX(_xlfn.ANCHORARRAY(Sintesi!$C$15),1,$C236)&gt;0),2,IF($E236=(INDEX(_xlfn.ANCHORARRAY(Sintesi!$C$16),1,$C236)),3,4)))),0),IF($C236&gt;0,IF(($E236=INDEX(_xlfn.ANCHORARRAY(Sintesi!$C$14),1,$C236))*(INDEX(_xlfn.ANCHORARRAY(Sintesi!$C$15),1,$C236)&gt;0),0,IF(($E236=INDEX(_xlfn.ANCHORARRAY(Sintesi!$C$14),1,$C236))*(INDEX(_xlfn.ANCHORARRAY(Sintesi!$C$15),1,$C236)&lt;0)+($E236&gt;=LOOKUP(2,1/($E:$E&lt;&gt;""),$E:$E))*($E236&lt;=$E237)*($E236&gt;INDEX(_xlfn.ANCHORARRAY(Sintesi!$C$14),1,$C236))*($E236&lt;=INDEX(_xlfn.ANCHORARRAY(Sintesi!$C$15),1,$C236))*(INDEX(_xlfn.ANCHORARRAY(Sintesi!$C$15),1,$C236)&gt;0),1,IF(($E236&gt;=LOOKUP(2,1/($E:$E&lt;&gt;""),$E:$E))*($E236&lt;=$E237)*($E236&gt;INDEX(_xlfn.ANCHORARRAY(Sintesi!$C$14),1,$C236))*($E236&lt;INDEX(_xlfn.ANCHORARRAY(Sintesi!$C$16),1,$C236))*(INDEX(_xlfn.ANCHORARRAY(Sintesi!$C$15),1,$C236)&lt;0)+($E236&gt;=LOOKUP(2,1/($E:$E&lt;&gt;""),$E:$E))*($E236&lt;=$E237)*($E236&gt;INDEX(_xlfn.ANCHORARRAY(Sintesi!$C$15),1,$C236))*($E236&lt;INDEX(_xlfn.ANCHORARRAY(Sintesi!$C$16),1,$C236))*(INDEX(_xlfn.ANCHORARRAY(Sintesi!$C$15),1,$C236)&gt;0),2,IF($E236=(INDEX(_xlfn.ANCHORARRAY(Sintesi!$C$16),1,$C236)),3,4)))),0)))</f>
        <v>4</v>
      </c>
      <c r="E236" s="1">
        <f>'Paste cell here'!F236</f>
        <v>0.73499999999999999</v>
      </c>
      <c r="F236" s="1">
        <f>'Paste cell here'!C236</f>
        <v>29.519999999999573</v>
      </c>
      <c r="G236" s="1">
        <f>'Paste cell here'!D236</f>
        <v>18.739999999999732</v>
      </c>
      <c r="H236" s="1">
        <f>'Paste cell here'!E236</f>
        <v>4.5339607249267448</v>
      </c>
      <c r="I236" s="1">
        <f>'Paste cell here'!X236</f>
        <v>3.3324344517211313</v>
      </c>
      <c r="J236" s="1">
        <f>'Paste cell here'!Y236+'Paste cell here'!S236</f>
        <v>3.3324344517211313</v>
      </c>
      <c r="K236" s="1">
        <f t="shared" si="6"/>
        <v>0.73499411527764691</v>
      </c>
      <c r="L236" s="1">
        <f t="shared" si="7"/>
        <v>25.485256603215614</v>
      </c>
      <c r="M236" s="1">
        <f t="array" ref="M236">IF(AND(A236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236&gt;=_xlfn.ANCHORARRAY(Sintesi!$C$9))+(_xlfn.ANCHORARRAY(Sintesi!$C$9)&gt;_xlfn.ANCHORARRAY(Sintesi!$C$10))*(A236&lt;=_xlfn.ANCHORARRAY(Sintesi!$C$10))+(_xlfn.ANCHORARRAY(Sintesi!$C$9)&lt;_xlfn.ANCHORARRAY(Sintesi!$C$10))*(A236&gt;=_xlfn.ANCHORARRAY(Sintesi!$C$9))*(A236&lt;=_xlfn.ANCHORARRAY(Sintesi!$C$10)),0)),0),A236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237&gt;=_xlfn.ANCHORARRAY(Sintesi!$C$9))+(_xlfn.ANCHORARRAY(Sintesi!$C$9)&gt;_xlfn.ANCHORARRAY(Sintesi!$C$10))*(A237&lt;=_xlfn.ANCHORARRAY(Sintesi!$C$10))+(_xlfn.ANCHORARRAY(Sintesi!$C$9)&lt;_xlfn.ANCHORARRAY(Sintesi!$C$10))*(A237&gt;=_xlfn.ANCHORARRAY(Sintesi!$C$9))*(A237&lt;=_xlfn.ANCHORARRAY(Sintesi!$C$10)),0)),0)),IF(L236&lt;_xlfn.IFNA(INDEX(_xlfn.ANCHORARRAY(Sintesi!$C$17),1,MATCH(1,(_xlfn.ANCHORARRAY(Sintesi!$C$9)&gt;_xlfn.ANCHORARRAY(Sintesi!$C$10))*(A235&gt;=_xlfn.ANCHORARRAY(Sintesi!$C$9))+(_xlfn.ANCHORARRAY(Sintesi!$C$9)&gt;_xlfn.ANCHORARRAY(Sintesi!$C$10))*(A235&lt;=_xlfn.ANCHORARRAY(Sintesi!$C$10))+(_xlfn.ANCHORARRAY(Sintesi!$C$9)&lt;_xlfn.ANCHORARRAY(Sintesi!$C$10))*(A235&gt;=_xlfn.ANCHORARRAY(Sintesi!$C$9))*(A235&lt;=_xlfn.ANCHORARRAY(Sintesi!$C$10)),0)),0),1,IF(L236&gt;=_xlfn.IFNA(INDEX(_xlfn.ANCHORARRAY(Sintesi!$C$18),1,MATCH(1,(_xlfn.ANCHORARRAY(Sintesi!$C$9)&gt;_xlfn.ANCHORARRAY(Sintesi!$C$10))*(A235&gt;=_xlfn.ANCHORARRAY(Sintesi!$C$9))+(_xlfn.ANCHORARRAY(Sintesi!$C$9)&gt;_xlfn.ANCHORARRAY(Sintesi!$C$10))*(A235&lt;=_xlfn.ANCHORARRAY(Sintesi!$C$10))+(_xlfn.ANCHORARRAY(Sintesi!$C$9)&lt;_xlfn.ANCHORARRAY(Sintesi!$C$10))*(A235&gt;=_xlfn.ANCHORARRAY(Sintesi!$C$9))*(A235&lt;=_xlfn.ANCHORARRAY(Sintesi!$C$10)),0)),0),0,1-(L236-_xlfn.IFNA(INDEX(_xlfn.ANCHORARRAY(Sintesi!$C$17),1,MATCH(1,(_xlfn.ANCHORARRAY(Sintesi!$C$9)&gt;_xlfn.ANCHORARRAY(Sintesi!$C$10))*(A235&gt;=_xlfn.ANCHORARRAY(Sintesi!$C$9))+(_xlfn.ANCHORARRAY(Sintesi!$C$9)&gt;_xlfn.ANCHORARRAY(Sintesi!$C$10))*(A235&lt;=_xlfn.ANCHORARRAY(Sintesi!$C$10))+(_xlfn.ANCHORARRAY(Sintesi!$C$9)&lt;_xlfn.ANCHORARRAY(Sintesi!$C$10))*(A235&gt;=_xlfn.ANCHORARRAY(Sintesi!$C$9))*(A235&lt;=_xlfn.ANCHORARRAY(Sintesi!$C$10)),0)),0))/(_xlfn.IFNA(INDEX(_xlfn.ANCHORARRAY(Sintesi!$C$18),1,MATCH(1,(_xlfn.ANCHORARRAY(Sintesi!$C$9)&gt;_xlfn.ANCHORARRAY(Sintesi!$C$10))*(A235&gt;=_xlfn.ANCHORARRAY(Sintesi!$C$9))+(_xlfn.ANCHORARRAY(Sintesi!$C$9)&gt;_xlfn.ANCHORARRAY(Sintesi!$C$10))*(A235&lt;=_xlfn.ANCHORARRAY(Sintesi!$C$10))+(_xlfn.ANCHORARRAY(Sintesi!$C$9)&lt;_xlfn.ANCHORARRAY(Sintesi!$C$10))*(A235&gt;=_xlfn.ANCHORARRAY(Sintesi!$C$9))*(A235&lt;=_xlfn.ANCHORARRAY(Sintesi!$C$10)),0)),0)-_xlfn.IFNA(INDEX(_xlfn.ANCHORARRAY(Sintesi!$C$17),1,MATCH(1,(_xlfn.ANCHORARRAY(Sintesi!$C$9)&gt;_xlfn.ANCHORARRAY(Sintesi!$C$10))*(A235&gt;=_xlfn.ANCHORARRAY(Sintesi!$C$9))+(_xlfn.ANCHORARRAY(Sintesi!$C$9)&gt;_xlfn.ANCHORARRAY(Sintesi!$C$10))*(A235&lt;=_xlfn.ANCHORARRAY(Sintesi!$C$10))+(_xlfn.ANCHORARRAY(Sintesi!$C$9)&lt;_xlfn.ANCHORARRAY(Sintesi!$C$10))*(A235&gt;=_xlfn.ANCHORARRAY(Sintesi!$C$9))*(A235&lt;=_xlfn.ANCHORARRAY(Sintesi!$C$10)),0)),0)))),0)</f>
        <v>0</v>
      </c>
    </row>
    <row r="237" spans="1:13">
      <c r="A237" s="1">
        <f>'Paste cell here'!A237</f>
        <v>236</v>
      </c>
      <c r="B237" s="2">
        <f>DATE(Sintesi!$C$4-1,12,31)+A237</f>
        <v>44432</v>
      </c>
      <c r="C237" s="34">
        <f t="array" ref="C237">_xlfn.IFNA(MATCH(1,((_xlfn.ANCHORARRAY(Sintesi!$C$9)&gt;_xlfn.ANCHORARRAY(Sintesi!$C$10))*(A237&gt;=_xlfn.ANCHORARRAY(Sintesi!$C$9))+(_xlfn.ANCHORARRAY(Sintesi!$C$9)&gt;_xlfn.ANCHORARRAY(Sintesi!$C$10))*(A237&lt;=_xlfn.ANCHORARRAY(Sintesi!$C$10))+(_xlfn.ANCHORARRAY(Sintesi!$C$9)&lt;_xlfn.ANCHORARRAY(Sintesi!$C$10))*(A237&gt;=_xlfn.ANCHORARRAY(Sintesi!$C$9))*(A237&lt;=_xlfn.ANCHORARRAY(Sintesi!$C$10)))*(_xlfn.ANCHORARRAY(Sintesi!$C$15)&gt;=0)+(_xlfn.ANCHORARRAY(Sintesi!$C$15)&lt;0),0),0)</f>
        <v>1</v>
      </c>
      <c r="D237" s="1">
        <f t="array" ref="D237">IF(ISBLANK($E238),IF(ISNUMBER($E236),IF($C237&gt;0,IF(($E237=INDEX(_xlfn.ANCHORARRAY(Sintesi!$C$14),1,$C237))*(INDEX(_xlfn.ANCHORARRAY(Sintesi!$C$15),1,$C237)&gt;0),0,IF(($E237=INDEX(_xlfn.ANCHORARRAY(Sintesi!$C$14),1,$C237))*(INDEX(_xlfn.ANCHORARRAY(Sintesi!$C$15),1,$C237)&lt;0)+($E237&gt;=$E236)*($E237&lt;=INDEX($E:$E,MATCH(TRUE,INDEX((ISNUMBER($E:$E)),0),0)))*($E237&gt;INDEX(_xlfn.ANCHORARRAY(Sintesi!$C$14),1,$C237))*($E237&lt;=INDEX(_xlfn.ANCHORARRAY(Sintesi!$C$15),1,$C237))*(INDEX(_xlfn.ANCHORARRAY(Sintesi!$C$15),1,$C237)&gt;0),1,IF(($E237&gt;=$E236)*($E237&lt;=INDEX($E:$E,MATCH(TRUE,INDEX((ISNUMBER($E:$E)),0),0)))*($E237&gt;INDEX(_xlfn.ANCHORARRAY(Sintesi!$C$14),1,$C237))*($E237&lt;INDEX(_xlfn.ANCHORARRAY(Sintesi!$C$16),1,$C237))*(INDEX(_xlfn.ANCHORARRAY(Sintesi!$C$15),1,$C237)&lt;0)+($E237&gt;=$E236)*($E237&lt;=INDEX($E:$E,MATCH(TRUE,INDEX((ISNUMBER($E:$E)),0),0)))*($E237&gt;INDEX(_xlfn.ANCHORARRAY(Sintesi!$C$15),1,$C237))*($E237&lt;INDEX(_xlfn.ANCHORARRAY(Sintesi!$C$16),1,$C237))*(INDEX(_xlfn.ANCHORARRAY(Sintesi!$C$15),1,$C237)&gt;0),2,IF($E237=(INDEX(_xlfn.ANCHORARRAY(Sintesi!$C$16),1,$C237)),3,4)))),0),IF($C237&gt;0,IF(($E237=INDEX(_xlfn.ANCHORARRAY(Sintesi!$C$14),1,$C237))*(INDEX(_xlfn.ANCHORARRAY(Sintesi!$C$15),1,$C237)&gt;0),0,IF(($E237=INDEX(_xlfn.ANCHORARRAY(Sintesi!$C$14),1,$C237))*(INDEX(_xlfn.ANCHORARRAY(Sintesi!$C$15),1,$C237)&lt;0)+($E237&gt;=LOOKUP(2,1/($E:$E&lt;&gt;""),$E:$E))*($E237&lt;=INDEX($E:$E,MATCH(TRUE,INDEX((ISNUMBER($E:$E)),0),0)))*($E237&gt;INDEX(_xlfn.ANCHORARRAY(Sintesi!$C$14),1,$C237))*($E237&lt;=INDEX(_xlfn.ANCHORARRAY(Sintesi!$C$15),1,$C237))*(INDEX(_xlfn.ANCHORARRAY(Sintesi!$C$15),1,$C237)&gt;0),1,IF(($E237&gt;=LOOKUP(2,1/($E:$E&lt;&gt;""),$E:$E))*($E237&lt;=INDEX($E:$E,MATCH(TRUE,INDEX((ISNUMBER($E:$E)),0),0)))*($E237&gt;INDEX(_xlfn.ANCHORARRAY(Sintesi!$C$14),1,$C237))*($E237&lt;INDEX(_xlfn.ANCHORARRAY(Sintesi!$C$16),1,$C237))*(INDEX(_xlfn.ANCHORARRAY(Sintesi!$C$15),1,$C237)&lt;0)+($E237&gt;=LOOKUP(2,1/($E:$E&lt;&gt;""),$E:$E))*($E237&lt;=INDEX($E:$E,MATCH(TRUE,INDEX((ISNUMBER($E:$E)),0),0)))*($E237&gt;INDEX(_xlfn.ANCHORARRAY(Sintesi!$C$15),1,$C237))*($E237&lt;INDEX(_xlfn.ANCHORARRAY(Sintesi!$C$16),1,$C237))*(INDEX(_xlfn.ANCHORARRAY(Sintesi!$C$15),1,$C237)&gt;0),2,IF($E237=(INDEX(_xlfn.ANCHORARRAY(Sintesi!$C$16),1,$C237)),3,4)))),0)),IF(ISNUMBER($E236),IF($C237&gt;0,IF(($E237=INDEX(_xlfn.ANCHORARRAY(Sintesi!$C$14),1,$C237))*(INDEX(_xlfn.ANCHORARRAY(Sintesi!$C$15),1,$C237)&gt;0),0,IF(($E237=INDEX(_xlfn.ANCHORARRAY(Sintesi!$C$14),1,$C237))*(INDEX(_xlfn.ANCHORARRAY(Sintesi!$C$15),1,$C237)&lt;0)+($E237&gt;=$E236)*($E237&lt;=$E238)*($E237&gt;INDEX(_xlfn.ANCHORARRAY(Sintesi!$C$14),1,$C237))*($E237&lt;=INDEX(_xlfn.ANCHORARRAY(Sintesi!$C$15),1,$C237))*(INDEX(_xlfn.ANCHORARRAY(Sintesi!$C$15),1,$C237)&gt;0),1,IF(($E237&gt;=$E236)*($E237&lt;=$E238)*($E237&gt;INDEX(_xlfn.ANCHORARRAY(Sintesi!$C$14),1,$C237))*($E237&lt;INDEX(_xlfn.ANCHORARRAY(Sintesi!$C$16),1,$C237))*(INDEX(_xlfn.ANCHORARRAY(Sintesi!$C$15),1,$C237)&lt;0)+($E237&gt;=$E236)*($E237&lt;=$E238)*($E237&gt;INDEX(_xlfn.ANCHORARRAY(Sintesi!$C$15),1,$C237))*($E237&lt;INDEX(_xlfn.ANCHORARRAY(Sintesi!$C$16),1,$C237))*(INDEX(_xlfn.ANCHORARRAY(Sintesi!$C$15),1,$C237)&gt;0),2,IF($E237=(INDEX(_xlfn.ANCHORARRAY(Sintesi!$C$16),1,$C237)),3,4)))),0),IF($C237&gt;0,IF(($E237=INDEX(_xlfn.ANCHORARRAY(Sintesi!$C$14),1,$C237))*(INDEX(_xlfn.ANCHORARRAY(Sintesi!$C$15),1,$C237)&gt;0),0,IF(($E237=INDEX(_xlfn.ANCHORARRAY(Sintesi!$C$14),1,$C237))*(INDEX(_xlfn.ANCHORARRAY(Sintesi!$C$15),1,$C237)&lt;0)+($E237&gt;=LOOKUP(2,1/($E:$E&lt;&gt;""),$E:$E))*($E237&lt;=$E238)*($E237&gt;INDEX(_xlfn.ANCHORARRAY(Sintesi!$C$14),1,$C237))*($E237&lt;=INDEX(_xlfn.ANCHORARRAY(Sintesi!$C$15),1,$C237))*(INDEX(_xlfn.ANCHORARRAY(Sintesi!$C$15),1,$C237)&gt;0),1,IF(($E237&gt;=LOOKUP(2,1/($E:$E&lt;&gt;""),$E:$E))*($E237&lt;=$E238)*($E237&gt;INDEX(_xlfn.ANCHORARRAY(Sintesi!$C$14),1,$C237))*($E237&lt;INDEX(_xlfn.ANCHORARRAY(Sintesi!$C$16),1,$C237))*(INDEX(_xlfn.ANCHORARRAY(Sintesi!$C$15),1,$C237)&lt;0)+($E237&gt;=LOOKUP(2,1/($E:$E&lt;&gt;""),$E:$E))*($E237&lt;=$E238)*($E237&gt;INDEX(_xlfn.ANCHORARRAY(Sintesi!$C$15),1,$C237))*($E237&lt;INDEX(_xlfn.ANCHORARRAY(Sintesi!$C$16),1,$C237))*(INDEX(_xlfn.ANCHORARRAY(Sintesi!$C$15),1,$C237)&gt;0),2,IF($E237=(INDEX(_xlfn.ANCHORARRAY(Sintesi!$C$16),1,$C237)),3,4)))),0)))</f>
        <v>4</v>
      </c>
      <c r="E237" s="1">
        <f>'Paste cell here'!F237</f>
        <v>0.69599999999999995</v>
      </c>
      <c r="F237" s="1">
        <f>'Paste cell here'!C237</f>
        <v>29.239999999999583</v>
      </c>
      <c r="G237" s="1">
        <f>'Paste cell here'!D237</f>
        <v>17.41999999999976</v>
      </c>
      <c r="H237" s="1">
        <f>'Paste cell here'!E237</f>
        <v>3.8974856756943033</v>
      </c>
      <c r="I237" s="1">
        <f>'Paste cell here'!X237</f>
        <v>2.7126299879924867</v>
      </c>
      <c r="J237" s="1">
        <f>'Paste cell here'!Y237+'Paste cell here'!S237</f>
        <v>2.7126299879924867</v>
      </c>
      <c r="K237" s="1">
        <f t="shared" si="6"/>
        <v>0.69599485763581548</v>
      </c>
      <c r="L237" s="1">
        <f t="shared" si="7"/>
        <v>24.816004921151119</v>
      </c>
      <c r="M237" s="1">
        <f t="array" ref="M237">IF(AND(A237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237&gt;=_xlfn.ANCHORARRAY(Sintesi!$C$9))+(_xlfn.ANCHORARRAY(Sintesi!$C$9)&gt;_xlfn.ANCHORARRAY(Sintesi!$C$10))*(A237&lt;=_xlfn.ANCHORARRAY(Sintesi!$C$10))+(_xlfn.ANCHORARRAY(Sintesi!$C$9)&lt;_xlfn.ANCHORARRAY(Sintesi!$C$10))*(A237&gt;=_xlfn.ANCHORARRAY(Sintesi!$C$9))*(A237&lt;=_xlfn.ANCHORARRAY(Sintesi!$C$10)),0)),0),A237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238&gt;=_xlfn.ANCHORARRAY(Sintesi!$C$9))+(_xlfn.ANCHORARRAY(Sintesi!$C$9)&gt;_xlfn.ANCHORARRAY(Sintesi!$C$10))*(A238&lt;=_xlfn.ANCHORARRAY(Sintesi!$C$10))+(_xlfn.ANCHORARRAY(Sintesi!$C$9)&lt;_xlfn.ANCHORARRAY(Sintesi!$C$10))*(A238&gt;=_xlfn.ANCHORARRAY(Sintesi!$C$9))*(A238&lt;=_xlfn.ANCHORARRAY(Sintesi!$C$10)),0)),0)),IF(L237&lt;_xlfn.IFNA(INDEX(_xlfn.ANCHORARRAY(Sintesi!$C$17),1,MATCH(1,(_xlfn.ANCHORARRAY(Sintesi!$C$9)&gt;_xlfn.ANCHORARRAY(Sintesi!$C$10))*(A236&gt;=_xlfn.ANCHORARRAY(Sintesi!$C$9))+(_xlfn.ANCHORARRAY(Sintesi!$C$9)&gt;_xlfn.ANCHORARRAY(Sintesi!$C$10))*(A236&lt;=_xlfn.ANCHORARRAY(Sintesi!$C$10))+(_xlfn.ANCHORARRAY(Sintesi!$C$9)&lt;_xlfn.ANCHORARRAY(Sintesi!$C$10))*(A236&gt;=_xlfn.ANCHORARRAY(Sintesi!$C$9))*(A236&lt;=_xlfn.ANCHORARRAY(Sintesi!$C$10)),0)),0),1,IF(L237&gt;=_xlfn.IFNA(INDEX(_xlfn.ANCHORARRAY(Sintesi!$C$18),1,MATCH(1,(_xlfn.ANCHORARRAY(Sintesi!$C$9)&gt;_xlfn.ANCHORARRAY(Sintesi!$C$10))*(A236&gt;=_xlfn.ANCHORARRAY(Sintesi!$C$9))+(_xlfn.ANCHORARRAY(Sintesi!$C$9)&gt;_xlfn.ANCHORARRAY(Sintesi!$C$10))*(A236&lt;=_xlfn.ANCHORARRAY(Sintesi!$C$10))+(_xlfn.ANCHORARRAY(Sintesi!$C$9)&lt;_xlfn.ANCHORARRAY(Sintesi!$C$10))*(A236&gt;=_xlfn.ANCHORARRAY(Sintesi!$C$9))*(A236&lt;=_xlfn.ANCHORARRAY(Sintesi!$C$10)),0)),0),0,1-(L237-_xlfn.IFNA(INDEX(_xlfn.ANCHORARRAY(Sintesi!$C$17),1,MATCH(1,(_xlfn.ANCHORARRAY(Sintesi!$C$9)&gt;_xlfn.ANCHORARRAY(Sintesi!$C$10))*(A236&gt;=_xlfn.ANCHORARRAY(Sintesi!$C$9))+(_xlfn.ANCHORARRAY(Sintesi!$C$9)&gt;_xlfn.ANCHORARRAY(Sintesi!$C$10))*(A236&lt;=_xlfn.ANCHORARRAY(Sintesi!$C$10))+(_xlfn.ANCHORARRAY(Sintesi!$C$9)&lt;_xlfn.ANCHORARRAY(Sintesi!$C$10))*(A236&gt;=_xlfn.ANCHORARRAY(Sintesi!$C$9))*(A236&lt;=_xlfn.ANCHORARRAY(Sintesi!$C$10)),0)),0))/(_xlfn.IFNA(INDEX(_xlfn.ANCHORARRAY(Sintesi!$C$18),1,MATCH(1,(_xlfn.ANCHORARRAY(Sintesi!$C$9)&gt;_xlfn.ANCHORARRAY(Sintesi!$C$10))*(A236&gt;=_xlfn.ANCHORARRAY(Sintesi!$C$9))+(_xlfn.ANCHORARRAY(Sintesi!$C$9)&gt;_xlfn.ANCHORARRAY(Sintesi!$C$10))*(A236&lt;=_xlfn.ANCHORARRAY(Sintesi!$C$10))+(_xlfn.ANCHORARRAY(Sintesi!$C$9)&lt;_xlfn.ANCHORARRAY(Sintesi!$C$10))*(A236&gt;=_xlfn.ANCHORARRAY(Sintesi!$C$9))*(A236&lt;=_xlfn.ANCHORARRAY(Sintesi!$C$10)),0)),0)-_xlfn.IFNA(INDEX(_xlfn.ANCHORARRAY(Sintesi!$C$17),1,MATCH(1,(_xlfn.ANCHORARRAY(Sintesi!$C$9)&gt;_xlfn.ANCHORARRAY(Sintesi!$C$10))*(A236&gt;=_xlfn.ANCHORARRAY(Sintesi!$C$9))+(_xlfn.ANCHORARRAY(Sintesi!$C$9)&gt;_xlfn.ANCHORARRAY(Sintesi!$C$10))*(A236&lt;=_xlfn.ANCHORARRAY(Sintesi!$C$10))+(_xlfn.ANCHORARRAY(Sintesi!$C$9)&lt;_xlfn.ANCHORARRAY(Sintesi!$C$10))*(A236&gt;=_xlfn.ANCHORARRAY(Sintesi!$C$9))*(A236&lt;=_xlfn.ANCHORARRAY(Sintesi!$C$10)),0)),0)))),0)</f>
        <v>0</v>
      </c>
    </row>
    <row r="238" spans="1:13">
      <c r="A238" s="1">
        <f>'Paste cell here'!A238</f>
        <v>237</v>
      </c>
      <c r="B238" s="2">
        <f>DATE(Sintesi!$C$4-1,12,31)+A238</f>
        <v>44433</v>
      </c>
      <c r="C238" s="34">
        <f t="array" ref="C238">_xlfn.IFNA(MATCH(1,((_xlfn.ANCHORARRAY(Sintesi!$C$9)&gt;_xlfn.ANCHORARRAY(Sintesi!$C$10))*(A238&gt;=_xlfn.ANCHORARRAY(Sintesi!$C$9))+(_xlfn.ANCHORARRAY(Sintesi!$C$9)&gt;_xlfn.ANCHORARRAY(Sintesi!$C$10))*(A238&lt;=_xlfn.ANCHORARRAY(Sintesi!$C$10))+(_xlfn.ANCHORARRAY(Sintesi!$C$9)&lt;_xlfn.ANCHORARRAY(Sintesi!$C$10))*(A238&gt;=_xlfn.ANCHORARRAY(Sintesi!$C$9))*(A238&lt;=_xlfn.ANCHORARRAY(Sintesi!$C$10)))*(_xlfn.ANCHORARRAY(Sintesi!$C$15)&gt;=0)+(_xlfn.ANCHORARRAY(Sintesi!$C$15)&lt;0),0),0)</f>
        <v>1</v>
      </c>
      <c r="D238" s="1">
        <f t="array" ref="D238">IF(ISBLANK($E239),IF(ISNUMBER($E237),IF($C238&gt;0,IF(($E238=INDEX(_xlfn.ANCHORARRAY(Sintesi!$C$14),1,$C238))*(INDEX(_xlfn.ANCHORARRAY(Sintesi!$C$15),1,$C238)&gt;0),0,IF(($E238=INDEX(_xlfn.ANCHORARRAY(Sintesi!$C$14),1,$C238))*(INDEX(_xlfn.ANCHORARRAY(Sintesi!$C$15),1,$C238)&lt;0)+($E238&gt;=$E237)*($E238&lt;=INDEX($E:$E,MATCH(TRUE,INDEX((ISNUMBER($E:$E)),0),0)))*($E238&gt;INDEX(_xlfn.ANCHORARRAY(Sintesi!$C$14),1,$C238))*($E238&lt;=INDEX(_xlfn.ANCHORARRAY(Sintesi!$C$15),1,$C238))*(INDEX(_xlfn.ANCHORARRAY(Sintesi!$C$15),1,$C238)&gt;0),1,IF(($E238&gt;=$E237)*($E238&lt;=INDEX($E:$E,MATCH(TRUE,INDEX((ISNUMBER($E:$E)),0),0)))*($E238&gt;INDEX(_xlfn.ANCHORARRAY(Sintesi!$C$14),1,$C238))*($E238&lt;INDEX(_xlfn.ANCHORARRAY(Sintesi!$C$16),1,$C238))*(INDEX(_xlfn.ANCHORARRAY(Sintesi!$C$15),1,$C238)&lt;0)+($E238&gt;=$E237)*($E238&lt;=INDEX($E:$E,MATCH(TRUE,INDEX((ISNUMBER($E:$E)),0),0)))*($E238&gt;INDEX(_xlfn.ANCHORARRAY(Sintesi!$C$15),1,$C238))*($E238&lt;INDEX(_xlfn.ANCHORARRAY(Sintesi!$C$16),1,$C238))*(INDEX(_xlfn.ANCHORARRAY(Sintesi!$C$15),1,$C238)&gt;0),2,IF($E238=(INDEX(_xlfn.ANCHORARRAY(Sintesi!$C$16),1,$C238)),3,4)))),0),IF($C238&gt;0,IF(($E238=INDEX(_xlfn.ANCHORARRAY(Sintesi!$C$14),1,$C238))*(INDEX(_xlfn.ANCHORARRAY(Sintesi!$C$15),1,$C238)&gt;0),0,IF(($E238=INDEX(_xlfn.ANCHORARRAY(Sintesi!$C$14),1,$C238))*(INDEX(_xlfn.ANCHORARRAY(Sintesi!$C$15),1,$C238)&lt;0)+($E238&gt;=LOOKUP(2,1/($E:$E&lt;&gt;""),$E:$E))*($E238&lt;=INDEX($E:$E,MATCH(TRUE,INDEX((ISNUMBER($E:$E)),0),0)))*($E238&gt;INDEX(_xlfn.ANCHORARRAY(Sintesi!$C$14),1,$C238))*($E238&lt;=INDEX(_xlfn.ANCHORARRAY(Sintesi!$C$15),1,$C238))*(INDEX(_xlfn.ANCHORARRAY(Sintesi!$C$15),1,$C238)&gt;0),1,IF(($E238&gt;=LOOKUP(2,1/($E:$E&lt;&gt;""),$E:$E))*($E238&lt;=INDEX($E:$E,MATCH(TRUE,INDEX((ISNUMBER($E:$E)),0),0)))*($E238&gt;INDEX(_xlfn.ANCHORARRAY(Sintesi!$C$14),1,$C238))*($E238&lt;INDEX(_xlfn.ANCHORARRAY(Sintesi!$C$16),1,$C238))*(INDEX(_xlfn.ANCHORARRAY(Sintesi!$C$15),1,$C238)&lt;0)+($E238&gt;=LOOKUP(2,1/($E:$E&lt;&gt;""),$E:$E))*($E238&lt;=INDEX($E:$E,MATCH(TRUE,INDEX((ISNUMBER($E:$E)),0),0)))*($E238&gt;INDEX(_xlfn.ANCHORARRAY(Sintesi!$C$15),1,$C238))*($E238&lt;INDEX(_xlfn.ANCHORARRAY(Sintesi!$C$16),1,$C238))*(INDEX(_xlfn.ANCHORARRAY(Sintesi!$C$15),1,$C238)&gt;0),2,IF($E238=(INDEX(_xlfn.ANCHORARRAY(Sintesi!$C$16),1,$C238)),3,4)))),0)),IF(ISNUMBER($E237),IF($C238&gt;0,IF(($E238=INDEX(_xlfn.ANCHORARRAY(Sintesi!$C$14),1,$C238))*(INDEX(_xlfn.ANCHORARRAY(Sintesi!$C$15),1,$C238)&gt;0),0,IF(($E238=INDEX(_xlfn.ANCHORARRAY(Sintesi!$C$14),1,$C238))*(INDEX(_xlfn.ANCHORARRAY(Sintesi!$C$15),1,$C238)&lt;0)+($E238&gt;=$E237)*($E238&lt;=$E239)*($E238&gt;INDEX(_xlfn.ANCHORARRAY(Sintesi!$C$14),1,$C238))*($E238&lt;=INDEX(_xlfn.ANCHORARRAY(Sintesi!$C$15),1,$C238))*(INDEX(_xlfn.ANCHORARRAY(Sintesi!$C$15),1,$C238)&gt;0),1,IF(($E238&gt;=$E237)*($E238&lt;=$E239)*($E238&gt;INDEX(_xlfn.ANCHORARRAY(Sintesi!$C$14),1,$C238))*($E238&lt;INDEX(_xlfn.ANCHORARRAY(Sintesi!$C$16),1,$C238))*(INDEX(_xlfn.ANCHORARRAY(Sintesi!$C$15),1,$C238)&lt;0)+($E238&gt;=$E237)*($E238&lt;=$E239)*($E238&gt;INDEX(_xlfn.ANCHORARRAY(Sintesi!$C$15),1,$C238))*($E238&lt;INDEX(_xlfn.ANCHORARRAY(Sintesi!$C$16),1,$C238))*(INDEX(_xlfn.ANCHORARRAY(Sintesi!$C$15),1,$C238)&gt;0),2,IF($E238=(INDEX(_xlfn.ANCHORARRAY(Sintesi!$C$16),1,$C238)),3,4)))),0),IF($C238&gt;0,IF(($E238=INDEX(_xlfn.ANCHORARRAY(Sintesi!$C$14),1,$C238))*(INDEX(_xlfn.ANCHORARRAY(Sintesi!$C$15),1,$C238)&gt;0),0,IF(($E238=INDEX(_xlfn.ANCHORARRAY(Sintesi!$C$14),1,$C238))*(INDEX(_xlfn.ANCHORARRAY(Sintesi!$C$15),1,$C238)&lt;0)+($E238&gt;=LOOKUP(2,1/($E:$E&lt;&gt;""),$E:$E))*($E238&lt;=$E239)*($E238&gt;INDEX(_xlfn.ANCHORARRAY(Sintesi!$C$14),1,$C238))*($E238&lt;=INDEX(_xlfn.ANCHORARRAY(Sintesi!$C$15),1,$C238))*(INDEX(_xlfn.ANCHORARRAY(Sintesi!$C$15),1,$C238)&gt;0),1,IF(($E238&gt;=LOOKUP(2,1/($E:$E&lt;&gt;""),$E:$E))*($E238&lt;=$E239)*($E238&gt;INDEX(_xlfn.ANCHORARRAY(Sintesi!$C$14),1,$C238))*($E238&lt;INDEX(_xlfn.ANCHORARRAY(Sintesi!$C$16),1,$C238))*(INDEX(_xlfn.ANCHORARRAY(Sintesi!$C$15),1,$C238)&lt;0)+($E238&gt;=LOOKUP(2,1/($E:$E&lt;&gt;""),$E:$E))*($E238&lt;=$E239)*($E238&gt;INDEX(_xlfn.ANCHORARRAY(Sintesi!$C$15),1,$C238))*($E238&lt;INDEX(_xlfn.ANCHORARRAY(Sintesi!$C$16),1,$C238))*(INDEX(_xlfn.ANCHORARRAY(Sintesi!$C$15),1,$C238)&gt;0),2,IF($E238=(INDEX(_xlfn.ANCHORARRAY(Sintesi!$C$16),1,$C238)),3,4)))),0)))</f>
        <v>4</v>
      </c>
      <c r="E238" s="1">
        <f>'Paste cell here'!F238</f>
        <v>0.65700000000000003</v>
      </c>
      <c r="F238" s="1">
        <f>'Paste cell here'!C238</f>
        <v>28.979999999999578</v>
      </c>
      <c r="G238" s="1">
        <f>'Paste cell here'!D238</f>
        <v>17.639999999999759</v>
      </c>
      <c r="H238" s="1">
        <f>'Paste cell here'!E238</f>
        <v>3.9639931544702751</v>
      </c>
      <c r="I238" s="1">
        <f>'Paste cell here'!X238</f>
        <v>2.6043257689099479</v>
      </c>
      <c r="J238" s="1">
        <f>'Paste cell here'!Y238+'Paste cell here'!S238</f>
        <v>2.6043257689099479</v>
      </c>
      <c r="K238" s="1">
        <f t="shared" si="6"/>
        <v>0.65699552633510405</v>
      </c>
      <c r="L238" s="1">
        <f t="shared" si="7"/>
        <v>24.735659543642424</v>
      </c>
      <c r="M238" s="1">
        <f t="array" ref="M238">IF(AND(A238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238&gt;=_xlfn.ANCHORARRAY(Sintesi!$C$9))+(_xlfn.ANCHORARRAY(Sintesi!$C$9)&gt;_xlfn.ANCHORARRAY(Sintesi!$C$10))*(A238&lt;=_xlfn.ANCHORARRAY(Sintesi!$C$10))+(_xlfn.ANCHORARRAY(Sintesi!$C$9)&lt;_xlfn.ANCHORARRAY(Sintesi!$C$10))*(A238&gt;=_xlfn.ANCHORARRAY(Sintesi!$C$9))*(A238&lt;=_xlfn.ANCHORARRAY(Sintesi!$C$10)),0)),0),A238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239&gt;=_xlfn.ANCHORARRAY(Sintesi!$C$9))+(_xlfn.ANCHORARRAY(Sintesi!$C$9)&gt;_xlfn.ANCHORARRAY(Sintesi!$C$10))*(A239&lt;=_xlfn.ANCHORARRAY(Sintesi!$C$10))+(_xlfn.ANCHORARRAY(Sintesi!$C$9)&lt;_xlfn.ANCHORARRAY(Sintesi!$C$10))*(A239&gt;=_xlfn.ANCHORARRAY(Sintesi!$C$9))*(A239&lt;=_xlfn.ANCHORARRAY(Sintesi!$C$10)),0)),0)),IF(L238&lt;_xlfn.IFNA(INDEX(_xlfn.ANCHORARRAY(Sintesi!$C$17),1,MATCH(1,(_xlfn.ANCHORARRAY(Sintesi!$C$9)&gt;_xlfn.ANCHORARRAY(Sintesi!$C$10))*(A237&gt;=_xlfn.ANCHORARRAY(Sintesi!$C$9))+(_xlfn.ANCHORARRAY(Sintesi!$C$9)&gt;_xlfn.ANCHORARRAY(Sintesi!$C$10))*(A237&lt;=_xlfn.ANCHORARRAY(Sintesi!$C$10))+(_xlfn.ANCHORARRAY(Sintesi!$C$9)&lt;_xlfn.ANCHORARRAY(Sintesi!$C$10))*(A237&gt;=_xlfn.ANCHORARRAY(Sintesi!$C$9))*(A237&lt;=_xlfn.ANCHORARRAY(Sintesi!$C$10)),0)),0),1,IF(L238&gt;=_xlfn.IFNA(INDEX(_xlfn.ANCHORARRAY(Sintesi!$C$18),1,MATCH(1,(_xlfn.ANCHORARRAY(Sintesi!$C$9)&gt;_xlfn.ANCHORARRAY(Sintesi!$C$10))*(A237&gt;=_xlfn.ANCHORARRAY(Sintesi!$C$9))+(_xlfn.ANCHORARRAY(Sintesi!$C$9)&gt;_xlfn.ANCHORARRAY(Sintesi!$C$10))*(A237&lt;=_xlfn.ANCHORARRAY(Sintesi!$C$10))+(_xlfn.ANCHORARRAY(Sintesi!$C$9)&lt;_xlfn.ANCHORARRAY(Sintesi!$C$10))*(A237&gt;=_xlfn.ANCHORARRAY(Sintesi!$C$9))*(A237&lt;=_xlfn.ANCHORARRAY(Sintesi!$C$10)),0)),0),0,1-(L238-_xlfn.IFNA(INDEX(_xlfn.ANCHORARRAY(Sintesi!$C$17),1,MATCH(1,(_xlfn.ANCHORARRAY(Sintesi!$C$9)&gt;_xlfn.ANCHORARRAY(Sintesi!$C$10))*(A237&gt;=_xlfn.ANCHORARRAY(Sintesi!$C$9))+(_xlfn.ANCHORARRAY(Sintesi!$C$9)&gt;_xlfn.ANCHORARRAY(Sintesi!$C$10))*(A237&lt;=_xlfn.ANCHORARRAY(Sintesi!$C$10))+(_xlfn.ANCHORARRAY(Sintesi!$C$9)&lt;_xlfn.ANCHORARRAY(Sintesi!$C$10))*(A237&gt;=_xlfn.ANCHORARRAY(Sintesi!$C$9))*(A237&lt;=_xlfn.ANCHORARRAY(Sintesi!$C$10)),0)),0))/(_xlfn.IFNA(INDEX(_xlfn.ANCHORARRAY(Sintesi!$C$18),1,MATCH(1,(_xlfn.ANCHORARRAY(Sintesi!$C$9)&gt;_xlfn.ANCHORARRAY(Sintesi!$C$10))*(A237&gt;=_xlfn.ANCHORARRAY(Sintesi!$C$9))+(_xlfn.ANCHORARRAY(Sintesi!$C$9)&gt;_xlfn.ANCHORARRAY(Sintesi!$C$10))*(A237&lt;=_xlfn.ANCHORARRAY(Sintesi!$C$10))+(_xlfn.ANCHORARRAY(Sintesi!$C$9)&lt;_xlfn.ANCHORARRAY(Sintesi!$C$10))*(A237&gt;=_xlfn.ANCHORARRAY(Sintesi!$C$9))*(A237&lt;=_xlfn.ANCHORARRAY(Sintesi!$C$10)),0)),0)-_xlfn.IFNA(INDEX(_xlfn.ANCHORARRAY(Sintesi!$C$17),1,MATCH(1,(_xlfn.ANCHORARRAY(Sintesi!$C$9)&gt;_xlfn.ANCHORARRAY(Sintesi!$C$10))*(A237&gt;=_xlfn.ANCHORARRAY(Sintesi!$C$9))+(_xlfn.ANCHORARRAY(Sintesi!$C$9)&gt;_xlfn.ANCHORARRAY(Sintesi!$C$10))*(A237&lt;=_xlfn.ANCHORARRAY(Sintesi!$C$10))+(_xlfn.ANCHORARRAY(Sintesi!$C$9)&lt;_xlfn.ANCHORARRAY(Sintesi!$C$10))*(A237&gt;=_xlfn.ANCHORARRAY(Sintesi!$C$9))*(A237&lt;=_xlfn.ANCHORARRAY(Sintesi!$C$10)),0)),0)))),0)</f>
        <v>0</v>
      </c>
    </row>
    <row r="239" spans="1:13">
      <c r="A239" s="1">
        <f>'Paste cell here'!A239</f>
        <v>238</v>
      </c>
      <c r="B239" s="2">
        <f>DATE(Sintesi!$C$4-1,12,31)+A239</f>
        <v>44434</v>
      </c>
      <c r="C239" s="34">
        <f t="array" ref="C239">_xlfn.IFNA(MATCH(1,((_xlfn.ANCHORARRAY(Sintesi!$C$9)&gt;_xlfn.ANCHORARRAY(Sintesi!$C$10))*(A239&gt;=_xlfn.ANCHORARRAY(Sintesi!$C$9))+(_xlfn.ANCHORARRAY(Sintesi!$C$9)&gt;_xlfn.ANCHORARRAY(Sintesi!$C$10))*(A239&lt;=_xlfn.ANCHORARRAY(Sintesi!$C$10))+(_xlfn.ANCHORARRAY(Sintesi!$C$9)&lt;_xlfn.ANCHORARRAY(Sintesi!$C$10))*(A239&gt;=_xlfn.ANCHORARRAY(Sintesi!$C$9))*(A239&lt;=_xlfn.ANCHORARRAY(Sintesi!$C$10)))*(_xlfn.ANCHORARRAY(Sintesi!$C$15)&gt;=0)+(_xlfn.ANCHORARRAY(Sintesi!$C$15)&lt;0),0),0)</f>
        <v>1</v>
      </c>
      <c r="D239" s="1">
        <f t="array" ref="D239">IF(ISBLANK($E240),IF(ISNUMBER($E238),IF($C239&gt;0,IF(($E239=INDEX(_xlfn.ANCHORARRAY(Sintesi!$C$14),1,$C239))*(INDEX(_xlfn.ANCHORARRAY(Sintesi!$C$15),1,$C239)&gt;0),0,IF(($E239=INDEX(_xlfn.ANCHORARRAY(Sintesi!$C$14),1,$C239))*(INDEX(_xlfn.ANCHORARRAY(Sintesi!$C$15),1,$C239)&lt;0)+($E239&gt;=$E238)*($E239&lt;=INDEX($E:$E,MATCH(TRUE,INDEX((ISNUMBER($E:$E)),0),0)))*($E239&gt;INDEX(_xlfn.ANCHORARRAY(Sintesi!$C$14),1,$C239))*($E239&lt;=INDEX(_xlfn.ANCHORARRAY(Sintesi!$C$15),1,$C239))*(INDEX(_xlfn.ANCHORARRAY(Sintesi!$C$15),1,$C239)&gt;0),1,IF(($E239&gt;=$E238)*($E239&lt;=INDEX($E:$E,MATCH(TRUE,INDEX((ISNUMBER($E:$E)),0),0)))*($E239&gt;INDEX(_xlfn.ANCHORARRAY(Sintesi!$C$14),1,$C239))*($E239&lt;INDEX(_xlfn.ANCHORARRAY(Sintesi!$C$16),1,$C239))*(INDEX(_xlfn.ANCHORARRAY(Sintesi!$C$15),1,$C239)&lt;0)+($E239&gt;=$E238)*($E239&lt;=INDEX($E:$E,MATCH(TRUE,INDEX((ISNUMBER($E:$E)),0),0)))*($E239&gt;INDEX(_xlfn.ANCHORARRAY(Sintesi!$C$15),1,$C239))*($E239&lt;INDEX(_xlfn.ANCHORARRAY(Sintesi!$C$16),1,$C239))*(INDEX(_xlfn.ANCHORARRAY(Sintesi!$C$15),1,$C239)&gt;0),2,IF($E239=(INDEX(_xlfn.ANCHORARRAY(Sintesi!$C$16),1,$C239)),3,4)))),0),IF($C239&gt;0,IF(($E239=INDEX(_xlfn.ANCHORARRAY(Sintesi!$C$14),1,$C239))*(INDEX(_xlfn.ANCHORARRAY(Sintesi!$C$15),1,$C239)&gt;0),0,IF(($E239=INDEX(_xlfn.ANCHORARRAY(Sintesi!$C$14),1,$C239))*(INDEX(_xlfn.ANCHORARRAY(Sintesi!$C$15),1,$C239)&lt;0)+($E239&gt;=LOOKUP(2,1/($E:$E&lt;&gt;""),$E:$E))*($E239&lt;=INDEX($E:$E,MATCH(TRUE,INDEX((ISNUMBER($E:$E)),0),0)))*($E239&gt;INDEX(_xlfn.ANCHORARRAY(Sintesi!$C$14),1,$C239))*($E239&lt;=INDEX(_xlfn.ANCHORARRAY(Sintesi!$C$15),1,$C239))*(INDEX(_xlfn.ANCHORARRAY(Sintesi!$C$15),1,$C239)&gt;0),1,IF(($E239&gt;=LOOKUP(2,1/($E:$E&lt;&gt;""),$E:$E))*($E239&lt;=INDEX($E:$E,MATCH(TRUE,INDEX((ISNUMBER($E:$E)),0),0)))*($E239&gt;INDEX(_xlfn.ANCHORARRAY(Sintesi!$C$14),1,$C239))*($E239&lt;INDEX(_xlfn.ANCHORARRAY(Sintesi!$C$16),1,$C239))*(INDEX(_xlfn.ANCHORARRAY(Sintesi!$C$15),1,$C239)&lt;0)+($E239&gt;=LOOKUP(2,1/($E:$E&lt;&gt;""),$E:$E))*($E239&lt;=INDEX($E:$E,MATCH(TRUE,INDEX((ISNUMBER($E:$E)),0),0)))*($E239&gt;INDEX(_xlfn.ANCHORARRAY(Sintesi!$C$15),1,$C239))*($E239&lt;INDEX(_xlfn.ANCHORARRAY(Sintesi!$C$16),1,$C239))*(INDEX(_xlfn.ANCHORARRAY(Sintesi!$C$15),1,$C239)&gt;0),2,IF($E239=(INDEX(_xlfn.ANCHORARRAY(Sintesi!$C$16),1,$C239)),3,4)))),0)),IF(ISNUMBER($E238),IF($C239&gt;0,IF(($E239=INDEX(_xlfn.ANCHORARRAY(Sintesi!$C$14),1,$C239))*(INDEX(_xlfn.ANCHORARRAY(Sintesi!$C$15),1,$C239)&gt;0),0,IF(($E239=INDEX(_xlfn.ANCHORARRAY(Sintesi!$C$14),1,$C239))*(INDEX(_xlfn.ANCHORARRAY(Sintesi!$C$15),1,$C239)&lt;0)+($E239&gt;=$E238)*($E239&lt;=$E240)*($E239&gt;INDEX(_xlfn.ANCHORARRAY(Sintesi!$C$14),1,$C239))*($E239&lt;=INDEX(_xlfn.ANCHORARRAY(Sintesi!$C$15),1,$C239))*(INDEX(_xlfn.ANCHORARRAY(Sintesi!$C$15),1,$C239)&gt;0),1,IF(($E239&gt;=$E238)*($E239&lt;=$E240)*($E239&gt;INDEX(_xlfn.ANCHORARRAY(Sintesi!$C$14),1,$C239))*($E239&lt;INDEX(_xlfn.ANCHORARRAY(Sintesi!$C$16),1,$C239))*(INDEX(_xlfn.ANCHORARRAY(Sintesi!$C$15),1,$C239)&lt;0)+($E239&gt;=$E238)*($E239&lt;=$E240)*($E239&gt;INDEX(_xlfn.ANCHORARRAY(Sintesi!$C$15),1,$C239))*($E239&lt;INDEX(_xlfn.ANCHORARRAY(Sintesi!$C$16),1,$C239))*(INDEX(_xlfn.ANCHORARRAY(Sintesi!$C$15),1,$C239)&gt;0),2,IF($E239=(INDEX(_xlfn.ANCHORARRAY(Sintesi!$C$16),1,$C239)),3,4)))),0),IF($C239&gt;0,IF(($E239=INDEX(_xlfn.ANCHORARRAY(Sintesi!$C$14),1,$C239))*(INDEX(_xlfn.ANCHORARRAY(Sintesi!$C$15),1,$C239)&gt;0),0,IF(($E239=INDEX(_xlfn.ANCHORARRAY(Sintesi!$C$14),1,$C239))*(INDEX(_xlfn.ANCHORARRAY(Sintesi!$C$15),1,$C239)&lt;0)+($E239&gt;=LOOKUP(2,1/($E:$E&lt;&gt;""),$E:$E))*($E239&lt;=$E240)*($E239&gt;INDEX(_xlfn.ANCHORARRAY(Sintesi!$C$14),1,$C239))*($E239&lt;=INDEX(_xlfn.ANCHORARRAY(Sintesi!$C$15),1,$C239))*(INDEX(_xlfn.ANCHORARRAY(Sintesi!$C$15),1,$C239)&gt;0),1,IF(($E239&gt;=LOOKUP(2,1/($E:$E&lt;&gt;""),$E:$E))*($E239&lt;=$E240)*($E239&gt;INDEX(_xlfn.ANCHORARRAY(Sintesi!$C$14),1,$C239))*($E239&lt;INDEX(_xlfn.ANCHORARRAY(Sintesi!$C$16),1,$C239))*(INDEX(_xlfn.ANCHORARRAY(Sintesi!$C$15),1,$C239)&lt;0)+($E239&gt;=LOOKUP(2,1/($E:$E&lt;&gt;""),$E:$E))*($E239&lt;=$E240)*($E239&gt;INDEX(_xlfn.ANCHORARRAY(Sintesi!$C$15),1,$C239))*($E239&lt;INDEX(_xlfn.ANCHORARRAY(Sintesi!$C$16),1,$C239))*(INDEX(_xlfn.ANCHORARRAY(Sintesi!$C$15),1,$C239)&gt;0),2,IF($E239=(INDEX(_xlfn.ANCHORARRAY(Sintesi!$C$16),1,$C239)),3,4)))),0)))</f>
        <v>4</v>
      </c>
      <c r="E239" s="1">
        <f>'Paste cell here'!F239</f>
        <v>0.61799999999999999</v>
      </c>
      <c r="F239" s="1">
        <f>'Paste cell here'!C239</f>
        <v>30.079999999999568</v>
      </c>
      <c r="G239" s="1">
        <f>'Paste cell here'!D239</f>
        <v>16.079999999999782</v>
      </c>
      <c r="H239" s="1">
        <f>'Paste cell here'!E239</f>
        <v>4.5060645143158942</v>
      </c>
      <c r="I239" s="1">
        <f>'Paste cell here'!X239</f>
        <v>2.7847304174489222</v>
      </c>
      <c r="J239" s="1">
        <f>'Paste cell here'!Y239+'Paste cell here'!S239</f>
        <v>2.7847304174489222</v>
      </c>
      <c r="K239" s="1">
        <f t="shared" si="6"/>
        <v>0.6179961269089147</v>
      </c>
      <c r="L239" s="1">
        <f t="shared" si="7"/>
        <v>24.840073510669747</v>
      </c>
      <c r="M239" s="1">
        <f t="array" ref="M239">IF(AND(A239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239&gt;=_xlfn.ANCHORARRAY(Sintesi!$C$9))+(_xlfn.ANCHORARRAY(Sintesi!$C$9)&gt;_xlfn.ANCHORARRAY(Sintesi!$C$10))*(A239&lt;=_xlfn.ANCHORARRAY(Sintesi!$C$10))+(_xlfn.ANCHORARRAY(Sintesi!$C$9)&lt;_xlfn.ANCHORARRAY(Sintesi!$C$10))*(A239&gt;=_xlfn.ANCHORARRAY(Sintesi!$C$9))*(A239&lt;=_xlfn.ANCHORARRAY(Sintesi!$C$10)),0)),0),A239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240&gt;=_xlfn.ANCHORARRAY(Sintesi!$C$9))+(_xlfn.ANCHORARRAY(Sintesi!$C$9)&gt;_xlfn.ANCHORARRAY(Sintesi!$C$10))*(A240&lt;=_xlfn.ANCHORARRAY(Sintesi!$C$10))+(_xlfn.ANCHORARRAY(Sintesi!$C$9)&lt;_xlfn.ANCHORARRAY(Sintesi!$C$10))*(A240&gt;=_xlfn.ANCHORARRAY(Sintesi!$C$9))*(A240&lt;=_xlfn.ANCHORARRAY(Sintesi!$C$10)),0)),0)),IF(L239&lt;_xlfn.IFNA(INDEX(_xlfn.ANCHORARRAY(Sintesi!$C$17),1,MATCH(1,(_xlfn.ANCHORARRAY(Sintesi!$C$9)&gt;_xlfn.ANCHORARRAY(Sintesi!$C$10))*(A238&gt;=_xlfn.ANCHORARRAY(Sintesi!$C$9))+(_xlfn.ANCHORARRAY(Sintesi!$C$9)&gt;_xlfn.ANCHORARRAY(Sintesi!$C$10))*(A238&lt;=_xlfn.ANCHORARRAY(Sintesi!$C$10))+(_xlfn.ANCHORARRAY(Sintesi!$C$9)&lt;_xlfn.ANCHORARRAY(Sintesi!$C$10))*(A238&gt;=_xlfn.ANCHORARRAY(Sintesi!$C$9))*(A238&lt;=_xlfn.ANCHORARRAY(Sintesi!$C$10)),0)),0),1,IF(L239&gt;=_xlfn.IFNA(INDEX(_xlfn.ANCHORARRAY(Sintesi!$C$18),1,MATCH(1,(_xlfn.ANCHORARRAY(Sintesi!$C$9)&gt;_xlfn.ANCHORARRAY(Sintesi!$C$10))*(A238&gt;=_xlfn.ANCHORARRAY(Sintesi!$C$9))+(_xlfn.ANCHORARRAY(Sintesi!$C$9)&gt;_xlfn.ANCHORARRAY(Sintesi!$C$10))*(A238&lt;=_xlfn.ANCHORARRAY(Sintesi!$C$10))+(_xlfn.ANCHORARRAY(Sintesi!$C$9)&lt;_xlfn.ANCHORARRAY(Sintesi!$C$10))*(A238&gt;=_xlfn.ANCHORARRAY(Sintesi!$C$9))*(A238&lt;=_xlfn.ANCHORARRAY(Sintesi!$C$10)),0)),0),0,1-(L239-_xlfn.IFNA(INDEX(_xlfn.ANCHORARRAY(Sintesi!$C$17),1,MATCH(1,(_xlfn.ANCHORARRAY(Sintesi!$C$9)&gt;_xlfn.ANCHORARRAY(Sintesi!$C$10))*(A238&gt;=_xlfn.ANCHORARRAY(Sintesi!$C$9))+(_xlfn.ANCHORARRAY(Sintesi!$C$9)&gt;_xlfn.ANCHORARRAY(Sintesi!$C$10))*(A238&lt;=_xlfn.ANCHORARRAY(Sintesi!$C$10))+(_xlfn.ANCHORARRAY(Sintesi!$C$9)&lt;_xlfn.ANCHORARRAY(Sintesi!$C$10))*(A238&gt;=_xlfn.ANCHORARRAY(Sintesi!$C$9))*(A238&lt;=_xlfn.ANCHORARRAY(Sintesi!$C$10)),0)),0))/(_xlfn.IFNA(INDEX(_xlfn.ANCHORARRAY(Sintesi!$C$18),1,MATCH(1,(_xlfn.ANCHORARRAY(Sintesi!$C$9)&gt;_xlfn.ANCHORARRAY(Sintesi!$C$10))*(A238&gt;=_xlfn.ANCHORARRAY(Sintesi!$C$9))+(_xlfn.ANCHORARRAY(Sintesi!$C$9)&gt;_xlfn.ANCHORARRAY(Sintesi!$C$10))*(A238&lt;=_xlfn.ANCHORARRAY(Sintesi!$C$10))+(_xlfn.ANCHORARRAY(Sintesi!$C$9)&lt;_xlfn.ANCHORARRAY(Sintesi!$C$10))*(A238&gt;=_xlfn.ANCHORARRAY(Sintesi!$C$9))*(A238&lt;=_xlfn.ANCHORARRAY(Sintesi!$C$10)),0)),0)-_xlfn.IFNA(INDEX(_xlfn.ANCHORARRAY(Sintesi!$C$17),1,MATCH(1,(_xlfn.ANCHORARRAY(Sintesi!$C$9)&gt;_xlfn.ANCHORARRAY(Sintesi!$C$10))*(A238&gt;=_xlfn.ANCHORARRAY(Sintesi!$C$9))+(_xlfn.ANCHORARRAY(Sintesi!$C$9)&gt;_xlfn.ANCHORARRAY(Sintesi!$C$10))*(A238&lt;=_xlfn.ANCHORARRAY(Sintesi!$C$10))+(_xlfn.ANCHORARRAY(Sintesi!$C$9)&lt;_xlfn.ANCHORARRAY(Sintesi!$C$10))*(A238&gt;=_xlfn.ANCHORARRAY(Sintesi!$C$9))*(A238&lt;=_xlfn.ANCHORARRAY(Sintesi!$C$10)),0)),0)))),0)</f>
        <v>0</v>
      </c>
    </row>
    <row r="240" spans="1:13">
      <c r="A240" s="1">
        <f>'Paste cell here'!A240</f>
        <v>239</v>
      </c>
      <c r="B240" s="2">
        <f>DATE(Sintesi!$C$4-1,12,31)+A240</f>
        <v>44435</v>
      </c>
      <c r="C240" s="34">
        <f t="array" ref="C240">_xlfn.IFNA(MATCH(1,((_xlfn.ANCHORARRAY(Sintesi!$C$9)&gt;_xlfn.ANCHORARRAY(Sintesi!$C$10))*(A240&gt;=_xlfn.ANCHORARRAY(Sintesi!$C$9))+(_xlfn.ANCHORARRAY(Sintesi!$C$9)&gt;_xlfn.ANCHORARRAY(Sintesi!$C$10))*(A240&lt;=_xlfn.ANCHORARRAY(Sintesi!$C$10))+(_xlfn.ANCHORARRAY(Sintesi!$C$9)&lt;_xlfn.ANCHORARRAY(Sintesi!$C$10))*(A240&gt;=_xlfn.ANCHORARRAY(Sintesi!$C$9))*(A240&lt;=_xlfn.ANCHORARRAY(Sintesi!$C$10)))*(_xlfn.ANCHORARRAY(Sintesi!$C$15)&gt;=0)+(_xlfn.ANCHORARRAY(Sintesi!$C$15)&lt;0),0),0)</f>
        <v>1</v>
      </c>
      <c r="D240" s="1">
        <f t="array" ref="D240">IF(ISBLANK($E241),IF(ISNUMBER($E239),IF($C240&gt;0,IF(($E240=INDEX(_xlfn.ANCHORARRAY(Sintesi!$C$14),1,$C240))*(INDEX(_xlfn.ANCHORARRAY(Sintesi!$C$15),1,$C240)&gt;0),0,IF(($E240=INDEX(_xlfn.ANCHORARRAY(Sintesi!$C$14),1,$C240))*(INDEX(_xlfn.ANCHORARRAY(Sintesi!$C$15),1,$C240)&lt;0)+($E240&gt;=$E239)*($E240&lt;=INDEX($E:$E,MATCH(TRUE,INDEX((ISNUMBER($E:$E)),0),0)))*($E240&gt;INDEX(_xlfn.ANCHORARRAY(Sintesi!$C$14),1,$C240))*($E240&lt;=INDEX(_xlfn.ANCHORARRAY(Sintesi!$C$15),1,$C240))*(INDEX(_xlfn.ANCHORARRAY(Sintesi!$C$15),1,$C240)&gt;0),1,IF(($E240&gt;=$E239)*($E240&lt;=INDEX($E:$E,MATCH(TRUE,INDEX((ISNUMBER($E:$E)),0),0)))*($E240&gt;INDEX(_xlfn.ANCHORARRAY(Sintesi!$C$14),1,$C240))*($E240&lt;INDEX(_xlfn.ANCHORARRAY(Sintesi!$C$16),1,$C240))*(INDEX(_xlfn.ANCHORARRAY(Sintesi!$C$15),1,$C240)&lt;0)+($E240&gt;=$E239)*($E240&lt;=INDEX($E:$E,MATCH(TRUE,INDEX((ISNUMBER($E:$E)),0),0)))*($E240&gt;INDEX(_xlfn.ANCHORARRAY(Sintesi!$C$15),1,$C240))*($E240&lt;INDEX(_xlfn.ANCHORARRAY(Sintesi!$C$16),1,$C240))*(INDEX(_xlfn.ANCHORARRAY(Sintesi!$C$15),1,$C240)&gt;0),2,IF($E240=(INDEX(_xlfn.ANCHORARRAY(Sintesi!$C$16),1,$C240)),3,4)))),0),IF($C240&gt;0,IF(($E240=INDEX(_xlfn.ANCHORARRAY(Sintesi!$C$14),1,$C240))*(INDEX(_xlfn.ANCHORARRAY(Sintesi!$C$15),1,$C240)&gt;0),0,IF(($E240=INDEX(_xlfn.ANCHORARRAY(Sintesi!$C$14),1,$C240))*(INDEX(_xlfn.ANCHORARRAY(Sintesi!$C$15),1,$C240)&lt;0)+($E240&gt;=LOOKUP(2,1/($E:$E&lt;&gt;""),$E:$E))*($E240&lt;=INDEX($E:$E,MATCH(TRUE,INDEX((ISNUMBER($E:$E)),0),0)))*($E240&gt;INDEX(_xlfn.ANCHORARRAY(Sintesi!$C$14),1,$C240))*($E240&lt;=INDEX(_xlfn.ANCHORARRAY(Sintesi!$C$15),1,$C240))*(INDEX(_xlfn.ANCHORARRAY(Sintesi!$C$15),1,$C240)&gt;0),1,IF(($E240&gt;=LOOKUP(2,1/($E:$E&lt;&gt;""),$E:$E))*($E240&lt;=INDEX($E:$E,MATCH(TRUE,INDEX((ISNUMBER($E:$E)),0),0)))*($E240&gt;INDEX(_xlfn.ANCHORARRAY(Sintesi!$C$14),1,$C240))*($E240&lt;INDEX(_xlfn.ANCHORARRAY(Sintesi!$C$16),1,$C240))*(INDEX(_xlfn.ANCHORARRAY(Sintesi!$C$15),1,$C240)&lt;0)+($E240&gt;=LOOKUP(2,1/($E:$E&lt;&gt;""),$E:$E))*($E240&lt;=INDEX($E:$E,MATCH(TRUE,INDEX((ISNUMBER($E:$E)),0),0)))*($E240&gt;INDEX(_xlfn.ANCHORARRAY(Sintesi!$C$15),1,$C240))*($E240&lt;INDEX(_xlfn.ANCHORARRAY(Sintesi!$C$16),1,$C240))*(INDEX(_xlfn.ANCHORARRAY(Sintesi!$C$15),1,$C240)&gt;0),2,IF($E240=(INDEX(_xlfn.ANCHORARRAY(Sintesi!$C$16),1,$C240)),3,4)))),0)),IF(ISNUMBER($E239),IF($C240&gt;0,IF(($E240=INDEX(_xlfn.ANCHORARRAY(Sintesi!$C$14),1,$C240))*(INDEX(_xlfn.ANCHORARRAY(Sintesi!$C$15),1,$C240)&gt;0),0,IF(($E240=INDEX(_xlfn.ANCHORARRAY(Sintesi!$C$14),1,$C240))*(INDEX(_xlfn.ANCHORARRAY(Sintesi!$C$15),1,$C240)&lt;0)+($E240&gt;=$E239)*($E240&lt;=$E241)*($E240&gt;INDEX(_xlfn.ANCHORARRAY(Sintesi!$C$14),1,$C240))*($E240&lt;=INDEX(_xlfn.ANCHORARRAY(Sintesi!$C$15),1,$C240))*(INDEX(_xlfn.ANCHORARRAY(Sintesi!$C$15),1,$C240)&gt;0),1,IF(($E240&gt;=$E239)*($E240&lt;=$E241)*($E240&gt;INDEX(_xlfn.ANCHORARRAY(Sintesi!$C$14),1,$C240))*($E240&lt;INDEX(_xlfn.ANCHORARRAY(Sintesi!$C$16),1,$C240))*(INDEX(_xlfn.ANCHORARRAY(Sintesi!$C$15),1,$C240)&lt;0)+($E240&gt;=$E239)*($E240&lt;=$E241)*($E240&gt;INDEX(_xlfn.ANCHORARRAY(Sintesi!$C$15),1,$C240))*($E240&lt;INDEX(_xlfn.ANCHORARRAY(Sintesi!$C$16),1,$C240))*(INDEX(_xlfn.ANCHORARRAY(Sintesi!$C$15),1,$C240)&gt;0),2,IF($E240=(INDEX(_xlfn.ANCHORARRAY(Sintesi!$C$16),1,$C240)),3,4)))),0),IF($C240&gt;0,IF(($E240=INDEX(_xlfn.ANCHORARRAY(Sintesi!$C$14),1,$C240))*(INDEX(_xlfn.ANCHORARRAY(Sintesi!$C$15),1,$C240)&gt;0),0,IF(($E240=INDEX(_xlfn.ANCHORARRAY(Sintesi!$C$14),1,$C240))*(INDEX(_xlfn.ANCHORARRAY(Sintesi!$C$15),1,$C240)&lt;0)+($E240&gt;=LOOKUP(2,1/($E:$E&lt;&gt;""),$E:$E))*($E240&lt;=$E241)*($E240&gt;INDEX(_xlfn.ANCHORARRAY(Sintesi!$C$14),1,$C240))*($E240&lt;=INDEX(_xlfn.ANCHORARRAY(Sintesi!$C$15),1,$C240))*(INDEX(_xlfn.ANCHORARRAY(Sintesi!$C$15),1,$C240)&gt;0),1,IF(($E240&gt;=LOOKUP(2,1/($E:$E&lt;&gt;""),$E:$E))*($E240&lt;=$E241)*($E240&gt;INDEX(_xlfn.ANCHORARRAY(Sintesi!$C$14),1,$C240))*($E240&lt;INDEX(_xlfn.ANCHORARRAY(Sintesi!$C$16),1,$C240))*(INDEX(_xlfn.ANCHORARRAY(Sintesi!$C$15),1,$C240)&lt;0)+($E240&gt;=LOOKUP(2,1/($E:$E&lt;&gt;""),$E:$E))*($E240&lt;=$E241)*($E240&gt;INDEX(_xlfn.ANCHORARRAY(Sintesi!$C$15),1,$C240))*($E240&lt;INDEX(_xlfn.ANCHORARRAY(Sintesi!$C$16),1,$C240))*(INDEX(_xlfn.ANCHORARRAY(Sintesi!$C$15),1,$C240)&gt;0),2,IF($E240=(INDEX(_xlfn.ANCHORARRAY(Sintesi!$C$16),1,$C240)),3,4)))),0)))</f>
        <v>4</v>
      </c>
      <c r="E240" s="1">
        <f>'Paste cell here'!F240</f>
        <v>0.57899999999999996</v>
      </c>
      <c r="F240" s="1">
        <f>'Paste cell here'!C240</f>
        <v>23.43999999999966</v>
      </c>
      <c r="G240" s="1">
        <f>'Paste cell here'!D240</f>
        <v>17.959999999999752</v>
      </c>
      <c r="H240" s="1">
        <f>'Paste cell here'!E240</f>
        <v>3.0751152199053431</v>
      </c>
      <c r="I240" s="1">
        <f>'Paste cell here'!X240</f>
        <v>1.7804814557095254</v>
      </c>
      <c r="J240" s="1">
        <f>'Paste cell here'!Y240+'Paste cell here'!S240</f>
        <v>1.7804814557095254</v>
      </c>
      <c r="K240" s="1">
        <f t="shared" si="6"/>
        <v>0.57899666464020538</v>
      </c>
      <c r="L240" s="1">
        <f t="shared" si="7"/>
        <v>21.388943059890561</v>
      </c>
      <c r="M240" s="1">
        <f t="array" ref="M240">IF(AND(A240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240&gt;=_xlfn.ANCHORARRAY(Sintesi!$C$9))+(_xlfn.ANCHORARRAY(Sintesi!$C$9)&gt;_xlfn.ANCHORARRAY(Sintesi!$C$10))*(A240&lt;=_xlfn.ANCHORARRAY(Sintesi!$C$10))+(_xlfn.ANCHORARRAY(Sintesi!$C$9)&lt;_xlfn.ANCHORARRAY(Sintesi!$C$10))*(A240&gt;=_xlfn.ANCHORARRAY(Sintesi!$C$9))*(A240&lt;=_xlfn.ANCHORARRAY(Sintesi!$C$10)),0)),0),A240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241&gt;=_xlfn.ANCHORARRAY(Sintesi!$C$9))+(_xlfn.ANCHORARRAY(Sintesi!$C$9)&gt;_xlfn.ANCHORARRAY(Sintesi!$C$10))*(A241&lt;=_xlfn.ANCHORARRAY(Sintesi!$C$10))+(_xlfn.ANCHORARRAY(Sintesi!$C$9)&lt;_xlfn.ANCHORARRAY(Sintesi!$C$10))*(A241&gt;=_xlfn.ANCHORARRAY(Sintesi!$C$9))*(A241&lt;=_xlfn.ANCHORARRAY(Sintesi!$C$10)),0)),0)),IF(L240&lt;_xlfn.IFNA(INDEX(_xlfn.ANCHORARRAY(Sintesi!$C$17),1,MATCH(1,(_xlfn.ANCHORARRAY(Sintesi!$C$9)&gt;_xlfn.ANCHORARRAY(Sintesi!$C$10))*(A239&gt;=_xlfn.ANCHORARRAY(Sintesi!$C$9))+(_xlfn.ANCHORARRAY(Sintesi!$C$9)&gt;_xlfn.ANCHORARRAY(Sintesi!$C$10))*(A239&lt;=_xlfn.ANCHORARRAY(Sintesi!$C$10))+(_xlfn.ANCHORARRAY(Sintesi!$C$9)&lt;_xlfn.ANCHORARRAY(Sintesi!$C$10))*(A239&gt;=_xlfn.ANCHORARRAY(Sintesi!$C$9))*(A239&lt;=_xlfn.ANCHORARRAY(Sintesi!$C$10)),0)),0),1,IF(L240&gt;=_xlfn.IFNA(INDEX(_xlfn.ANCHORARRAY(Sintesi!$C$18),1,MATCH(1,(_xlfn.ANCHORARRAY(Sintesi!$C$9)&gt;_xlfn.ANCHORARRAY(Sintesi!$C$10))*(A239&gt;=_xlfn.ANCHORARRAY(Sintesi!$C$9))+(_xlfn.ANCHORARRAY(Sintesi!$C$9)&gt;_xlfn.ANCHORARRAY(Sintesi!$C$10))*(A239&lt;=_xlfn.ANCHORARRAY(Sintesi!$C$10))+(_xlfn.ANCHORARRAY(Sintesi!$C$9)&lt;_xlfn.ANCHORARRAY(Sintesi!$C$10))*(A239&gt;=_xlfn.ANCHORARRAY(Sintesi!$C$9))*(A239&lt;=_xlfn.ANCHORARRAY(Sintesi!$C$10)),0)),0),0,1-(L240-_xlfn.IFNA(INDEX(_xlfn.ANCHORARRAY(Sintesi!$C$17),1,MATCH(1,(_xlfn.ANCHORARRAY(Sintesi!$C$9)&gt;_xlfn.ANCHORARRAY(Sintesi!$C$10))*(A239&gt;=_xlfn.ANCHORARRAY(Sintesi!$C$9))+(_xlfn.ANCHORARRAY(Sintesi!$C$9)&gt;_xlfn.ANCHORARRAY(Sintesi!$C$10))*(A239&lt;=_xlfn.ANCHORARRAY(Sintesi!$C$10))+(_xlfn.ANCHORARRAY(Sintesi!$C$9)&lt;_xlfn.ANCHORARRAY(Sintesi!$C$10))*(A239&gt;=_xlfn.ANCHORARRAY(Sintesi!$C$9))*(A239&lt;=_xlfn.ANCHORARRAY(Sintesi!$C$10)),0)),0))/(_xlfn.IFNA(INDEX(_xlfn.ANCHORARRAY(Sintesi!$C$18),1,MATCH(1,(_xlfn.ANCHORARRAY(Sintesi!$C$9)&gt;_xlfn.ANCHORARRAY(Sintesi!$C$10))*(A239&gt;=_xlfn.ANCHORARRAY(Sintesi!$C$9))+(_xlfn.ANCHORARRAY(Sintesi!$C$9)&gt;_xlfn.ANCHORARRAY(Sintesi!$C$10))*(A239&lt;=_xlfn.ANCHORARRAY(Sintesi!$C$10))+(_xlfn.ANCHORARRAY(Sintesi!$C$9)&lt;_xlfn.ANCHORARRAY(Sintesi!$C$10))*(A239&gt;=_xlfn.ANCHORARRAY(Sintesi!$C$9))*(A239&lt;=_xlfn.ANCHORARRAY(Sintesi!$C$10)),0)),0)-_xlfn.IFNA(INDEX(_xlfn.ANCHORARRAY(Sintesi!$C$17),1,MATCH(1,(_xlfn.ANCHORARRAY(Sintesi!$C$9)&gt;_xlfn.ANCHORARRAY(Sintesi!$C$10))*(A239&gt;=_xlfn.ANCHORARRAY(Sintesi!$C$9))+(_xlfn.ANCHORARRAY(Sintesi!$C$9)&gt;_xlfn.ANCHORARRAY(Sintesi!$C$10))*(A239&lt;=_xlfn.ANCHORARRAY(Sintesi!$C$10))+(_xlfn.ANCHORARRAY(Sintesi!$C$9)&lt;_xlfn.ANCHORARRAY(Sintesi!$C$10))*(A239&gt;=_xlfn.ANCHORARRAY(Sintesi!$C$9))*(A239&lt;=_xlfn.ANCHORARRAY(Sintesi!$C$10)),0)),0)))),0)</f>
        <v>0</v>
      </c>
    </row>
    <row r="241" spans="1:13">
      <c r="A241" s="1">
        <f>'Paste cell here'!A241</f>
        <v>240</v>
      </c>
      <c r="B241" s="2">
        <f>DATE(Sintesi!$C$4-1,12,31)+A241</f>
        <v>44436</v>
      </c>
      <c r="C241" s="34">
        <f t="array" ref="C241">_xlfn.IFNA(MATCH(1,((_xlfn.ANCHORARRAY(Sintesi!$C$9)&gt;_xlfn.ANCHORARRAY(Sintesi!$C$10))*(A241&gt;=_xlfn.ANCHORARRAY(Sintesi!$C$9))+(_xlfn.ANCHORARRAY(Sintesi!$C$9)&gt;_xlfn.ANCHORARRAY(Sintesi!$C$10))*(A241&lt;=_xlfn.ANCHORARRAY(Sintesi!$C$10))+(_xlfn.ANCHORARRAY(Sintesi!$C$9)&lt;_xlfn.ANCHORARRAY(Sintesi!$C$10))*(A241&gt;=_xlfn.ANCHORARRAY(Sintesi!$C$9))*(A241&lt;=_xlfn.ANCHORARRAY(Sintesi!$C$10)))*(_xlfn.ANCHORARRAY(Sintesi!$C$15)&gt;=0)+(_xlfn.ANCHORARRAY(Sintesi!$C$15)&lt;0),0),0)</f>
        <v>1</v>
      </c>
      <c r="D241" s="1">
        <f t="array" ref="D241">IF(ISBLANK($E242),IF(ISNUMBER($E240),IF($C241&gt;0,IF(($E241=INDEX(_xlfn.ANCHORARRAY(Sintesi!$C$14),1,$C241))*(INDEX(_xlfn.ANCHORARRAY(Sintesi!$C$15),1,$C241)&gt;0),0,IF(($E241=INDEX(_xlfn.ANCHORARRAY(Sintesi!$C$14),1,$C241))*(INDEX(_xlfn.ANCHORARRAY(Sintesi!$C$15),1,$C241)&lt;0)+($E241&gt;=$E240)*($E241&lt;=INDEX($E:$E,MATCH(TRUE,INDEX((ISNUMBER($E:$E)),0),0)))*($E241&gt;INDEX(_xlfn.ANCHORARRAY(Sintesi!$C$14),1,$C241))*($E241&lt;=INDEX(_xlfn.ANCHORARRAY(Sintesi!$C$15),1,$C241))*(INDEX(_xlfn.ANCHORARRAY(Sintesi!$C$15),1,$C241)&gt;0),1,IF(($E241&gt;=$E240)*($E241&lt;=INDEX($E:$E,MATCH(TRUE,INDEX((ISNUMBER($E:$E)),0),0)))*($E241&gt;INDEX(_xlfn.ANCHORARRAY(Sintesi!$C$14),1,$C241))*($E241&lt;INDEX(_xlfn.ANCHORARRAY(Sintesi!$C$16),1,$C241))*(INDEX(_xlfn.ANCHORARRAY(Sintesi!$C$15),1,$C241)&lt;0)+($E241&gt;=$E240)*($E241&lt;=INDEX($E:$E,MATCH(TRUE,INDEX((ISNUMBER($E:$E)),0),0)))*($E241&gt;INDEX(_xlfn.ANCHORARRAY(Sintesi!$C$15),1,$C241))*($E241&lt;INDEX(_xlfn.ANCHORARRAY(Sintesi!$C$16),1,$C241))*(INDEX(_xlfn.ANCHORARRAY(Sintesi!$C$15),1,$C241)&gt;0),2,IF($E241=(INDEX(_xlfn.ANCHORARRAY(Sintesi!$C$16),1,$C241)),3,4)))),0),IF($C241&gt;0,IF(($E241=INDEX(_xlfn.ANCHORARRAY(Sintesi!$C$14),1,$C241))*(INDEX(_xlfn.ANCHORARRAY(Sintesi!$C$15),1,$C241)&gt;0),0,IF(($E241=INDEX(_xlfn.ANCHORARRAY(Sintesi!$C$14),1,$C241))*(INDEX(_xlfn.ANCHORARRAY(Sintesi!$C$15),1,$C241)&lt;0)+($E241&gt;=LOOKUP(2,1/($E:$E&lt;&gt;""),$E:$E))*($E241&lt;=INDEX($E:$E,MATCH(TRUE,INDEX((ISNUMBER($E:$E)),0),0)))*($E241&gt;INDEX(_xlfn.ANCHORARRAY(Sintesi!$C$14),1,$C241))*($E241&lt;=INDEX(_xlfn.ANCHORARRAY(Sintesi!$C$15),1,$C241))*(INDEX(_xlfn.ANCHORARRAY(Sintesi!$C$15),1,$C241)&gt;0),1,IF(($E241&gt;=LOOKUP(2,1/($E:$E&lt;&gt;""),$E:$E))*($E241&lt;=INDEX($E:$E,MATCH(TRUE,INDEX((ISNUMBER($E:$E)),0),0)))*($E241&gt;INDEX(_xlfn.ANCHORARRAY(Sintesi!$C$14),1,$C241))*($E241&lt;INDEX(_xlfn.ANCHORARRAY(Sintesi!$C$16),1,$C241))*(INDEX(_xlfn.ANCHORARRAY(Sintesi!$C$15),1,$C241)&lt;0)+($E241&gt;=LOOKUP(2,1/($E:$E&lt;&gt;""),$E:$E))*($E241&lt;=INDEX($E:$E,MATCH(TRUE,INDEX((ISNUMBER($E:$E)),0),0)))*($E241&gt;INDEX(_xlfn.ANCHORARRAY(Sintesi!$C$15),1,$C241))*($E241&lt;INDEX(_xlfn.ANCHORARRAY(Sintesi!$C$16),1,$C241))*(INDEX(_xlfn.ANCHORARRAY(Sintesi!$C$15),1,$C241)&gt;0),2,IF($E241=(INDEX(_xlfn.ANCHORARRAY(Sintesi!$C$16),1,$C241)),3,4)))),0)),IF(ISNUMBER($E240),IF($C241&gt;0,IF(($E241=INDEX(_xlfn.ANCHORARRAY(Sintesi!$C$14),1,$C241))*(INDEX(_xlfn.ANCHORARRAY(Sintesi!$C$15),1,$C241)&gt;0),0,IF(($E241=INDEX(_xlfn.ANCHORARRAY(Sintesi!$C$14),1,$C241))*(INDEX(_xlfn.ANCHORARRAY(Sintesi!$C$15),1,$C241)&lt;0)+($E241&gt;=$E240)*($E241&lt;=$E242)*($E241&gt;INDEX(_xlfn.ANCHORARRAY(Sintesi!$C$14),1,$C241))*($E241&lt;=INDEX(_xlfn.ANCHORARRAY(Sintesi!$C$15),1,$C241))*(INDEX(_xlfn.ANCHORARRAY(Sintesi!$C$15),1,$C241)&gt;0),1,IF(($E241&gt;=$E240)*($E241&lt;=$E242)*($E241&gt;INDEX(_xlfn.ANCHORARRAY(Sintesi!$C$14),1,$C241))*($E241&lt;INDEX(_xlfn.ANCHORARRAY(Sintesi!$C$16),1,$C241))*(INDEX(_xlfn.ANCHORARRAY(Sintesi!$C$15),1,$C241)&lt;0)+($E241&gt;=$E240)*($E241&lt;=$E242)*($E241&gt;INDEX(_xlfn.ANCHORARRAY(Sintesi!$C$15),1,$C241))*($E241&lt;INDEX(_xlfn.ANCHORARRAY(Sintesi!$C$16),1,$C241))*(INDEX(_xlfn.ANCHORARRAY(Sintesi!$C$15),1,$C241)&gt;0),2,IF($E241=(INDEX(_xlfn.ANCHORARRAY(Sintesi!$C$16),1,$C241)),3,4)))),0),IF($C241&gt;0,IF(($E241=INDEX(_xlfn.ANCHORARRAY(Sintesi!$C$14),1,$C241))*(INDEX(_xlfn.ANCHORARRAY(Sintesi!$C$15),1,$C241)&gt;0),0,IF(($E241=INDEX(_xlfn.ANCHORARRAY(Sintesi!$C$14),1,$C241))*(INDEX(_xlfn.ANCHORARRAY(Sintesi!$C$15),1,$C241)&lt;0)+($E241&gt;=LOOKUP(2,1/($E:$E&lt;&gt;""),$E:$E))*($E241&lt;=$E242)*($E241&gt;INDEX(_xlfn.ANCHORARRAY(Sintesi!$C$14),1,$C241))*($E241&lt;=INDEX(_xlfn.ANCHORARRAY(Sintesi!$C$15),1,$C241))*(INDEX(_xlfn.ANCHORARRAY(Sintesi!$C$15),1,$C241)&gt;0),1,IF(($E241&gt;=LOOKUP(2,1/($E:$E&lt;&gt;""),$E:$E))*($E241&lt;=$E242)*($E241&gt;INDEX(_xlfn.ANCHORARRAY(Sintesi!$C$14),1,$C241))*($E241&lt;INDEX(_xlfn.ANCHORARRAY(Sintesi!$C$16),1,$C241))*(INDEX(_xlfn.ANCHORARRAY(Sintesi!$C$15),1,$C241)&lt;0)+($E241&gt;=LOOKUP(2,1/($E:$E&lt;&gt;""),$E:$E))*($E241&lt;=$E242)*($E241&gt;INDEX(_xlfn.ANCHORARRAY(Sintesi!$C$15),1,$C241))*($E241&lt;INDEX(_xlfn.ANCHORARRAY(Sintesi!$C$16),1,$C241))*(INDEX(_xlfn.ANCHORARRAY(Sintesi!$C$15),1,$C241)&gt;0),2,IF($E241=(INDEX(_xlfn.ANCHORARRAY(Sintesi!$C$16),1,$C241)),3,4)))),0)))</f>
        <v>4</v>
      </c>
      <c r="E241" s="1">
        <f>'Paste cell here'!F241</f>
        <v>0.54</v>
      </c>
      <c r="F241" s="1">
        <f>'Paste cell here'!C241</f>
        <v>26.559999999999611</v>
      </c>
      <c r="G241" s="1">
        <f>'Paste cell here'!D241</f>
        <v>16.819999999999769</v>
      </c>
      <c r="H241" s="1">
        <f>'Paste cell here'!E241</f>
        <v>4.0587653794810974</v>
      </c>
      <c r="I241" s="1">
        <f>'Paste cell here'!X241</f>
        <v>2.1917217153455573</v>
      </c>
      <c r="J241" s="1">
        <f>'Paste cell here'!Y241+'Paste cell here'!S241</f>
        <v>2.1917217153455573</v>
      </c>
      <c r="K241" s="1">
        <f t="shared" si="6"/>
        <v>0.53999714455674286</v>
      </c>
      <c r="L241" s="1">
        <f t="shared" si="7"/>
        <v>22.914508285280156</v>
      </c>
      <c r="M241" s="1">
        <f t="array" ref="M241">IF(AND(A241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241&gt;=_xlfn.ANCHORARRAY(Sintesi!$C$9))+(_xlfn.ANCHORARRAY(Sintesi!$C$9)&gt;_xlfn.ANCHORARRAY(Sintesi!$C$10))*(A241&lt;=_xlfn.ANCHORARRAY(Sintesi!$C$10))+(_xlfn.ANCHORARRAY(Sintesi!$C$9)&lt;_xlfn.ANCHORARRAY(Sintesi!$C$10))*(A241&gt;=_xlfn.ANCHORARRAY(Sintesi!$C$9))*(A241&lt;=_xlfn.ANCHORARRAY(Sintesi!$C$10)),0)),0),A241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242&gt;=_xlfn.ANCHORARRAY(Sintesi!$C$9))+(_xlfn.ANCHORARRAY(Sintesi!$C$9)&gt;_xlfn.ANCHORARRAY(Sintesi!$C$10))*(A242&lt;=_xlfn.ANCHORARRAY(Sintesi!$C$10))+(_xlfn.ANCHORARRAY(Sintesi!$C$9)&lt;_xlfn.ANCHORARRAY(Sintesi!$C$10))*(A242&gt;=_xlfn.ANCHORARRAY(Sintesi!$C$9))*(A242&lt;=_xlfn.ANCHORARRAY(Sintesi!$C$10)),0)),0)),IF(L241&lt;_xlfn.IFNA(INDEX(_xlfn.ANCHORARRAY(Sintesi!$C$17),1,MATCH(1,(_xlfn.ANCHORARRAY(Sintesi!$C$9)&gt;_xlfn.ANCHORARRAY(Sintesi!$C$10))*(A240&gt;=_xlfn.ANCHORARRAY(Sintesi!$C$9))+(_xlfn.ANCHORARRAY(Sintesi!$C$9)&gt;_xlfn.ANCHORARRAY(Sintesi!$C$10))*(A240&lt;=_xlfn.ANCHORARRAY(Sintesi!$C$10))+(_xlfn.ANCHORARRAY(Sintesi!$C$9)&lt;_xlfn.ANCHORARRAY(Sintesi!$C$10))*(A240&gt;=_xlfn.ANCHORARRAY(Sintesi!$C$9))*(A240&lt;=_xlfn.ANCHORARRAY(Sintesi!$C$10)),0)),0),1,IF(L241&gt;=_xlfn.IFNA(INDEX(_xlfn.ANCHORARRAY(Sintesi!$C$18),1,MATCH(1,(_xlfn.ANCHORARRAY(Sintesi!$C$9)&gt;_xlfn.ANCHORARRAY(Sintesi!$C$10))*(A240&gt;=_xlfn.ANCHORARRAY(Sintesi!$C$9))+(_xlfn.ANCHORARRAY(Sintesi!$C$9)&gt;_xlfn.ANCHORARRAY(Sintesi!$C$10))*(A240&lt;=_xlfn.ANCHORARRAY(Sintesi!$C$10))+(_xlfn.ANCHORARRAY(Sintesi!$C$9)&lt;_xlfn.ANCHORARRAY(Sintesi!$C$10))*(A240&gt;=_xlfn.ANCHORARRAY(Sintesi!$C$9))*(A240&lt;=_xlfn.ANCHORARRAY(Sintesi!$C$10)),0)),0),0,1-(L241-_xlfn.IFNA(INDEX(_xlfn.ANCHORARRAY(Sintesi!$C$17),1,MATCH(1,(_xlfn.ANCHORARRAY(Sintesi!$C$9)&gt;_xlfn.ANCHORARRAY(Sintesi!$C$10))*(A240&gt;=_xlfn.ANCHORARRAY(Sintesi!$C$9))+(_xlfn.ANCHORARRAY(Sintesi!$C$9)&gt;_xlfn.ANCHORARRAY(Sintesi!$C$10))*(A240&lt;=_xlfn.ANCHORARRAY(Sintesi!$C$10))+(_xlfn.ANCHORARRAY(Sintesi!$C$9)&lt;_xlfn.ANCHORARRAY(Sintesi!$C$10))*(A240&gt;=_xlfn.ANCHORARRAY(Sintesi!$C$9))*(A240&lt;=_xlfn.ANCHORARRAY(Sintesi!$C$10)),0)),0))/(_xlfn.IFNA(INDEX(_xlfn.ANCHORARRAY(Sintesi!$C$18),1,MATCH(1,(_xlfn.ANCHORARRAY(Sintesi!$C$9)&gt;_xlfn.ANCHORARRAY(Sintesi!$C$10))*(A240&gt;=_xlfn.ANCHORARRAY(Sintesi!$C$9))+(_xlfn.ANCHORARRAY(Sintesi!$C$9)&gt;_xlfn.ANCHORARRAY(Sintesi!$C$10))*(A240&lt;=_xlfn.ANCHORARRAY(Sintesi!$C$10))+(_xlfn.ANCHORARRAY(Sintesi!$C$9)&lt;_xlfn.ANCHORARRAY(Sintesi!$C$10))*(A240&gt;=_xlfn.ANCHORARRAY(Sintesi!$C$9))*(A240&lt;=_xlfn.ANCHORARRAY(Sintesi!$C$10)),0)),0)-_xlfn.IFNA(INDEX(_xlfn.ANCHORARRAY(Sintesi!$C$17),1,MATCH(1,(_xlfn.ANCHORARRAY(Sintesi!$C$9)&gt;_xlfn.ANCHORARRAY(Sintesi!$C$10))*(A240&gt;=_xlfn.ANCHORARRAY(Sintesi!$C$9))+(_xlfn.ANCHORARRAY(Sintesi!$C$9)&gt;_xlfn.ANCHORARRAY(Sintesi!$C$10))*(A240&lt;=_xlfn.ANCHORARRAY(Sintesi!$C$10))+(_xlfn.ANCHORARRAY(Sintesi!$C$9)&lt;_xlfn.ANCHORARRAY(Sintesi!$C$10))*(A240&gt;=_xlfn.ANCHORARRAY(Sintesi!$C$9))*(A240&lt;=_xlfn.ANCHORARRAY(Sintesi!$C$10)),0)),0)))),0)</f>
        <v>0</v>
      </c>
    </row>
    <row r="242" spans="1:13">
      <c r="A242" s="1">
        <f>'Paste cell here'!A242</f>
        <v>241</v>
      </c>
      <c r="B242" s="2">
        <f>DATE(Sintesi!$C$4-1,12,31)+A242</f>
        <v>44437</v>
      </c>
      <c r="C242" s="34">
        <f t="array" ref="C242">_xlfn.IFNA(MATCH(1,((_xlfn.ANCHORARRAY(Sintesi!$C$9)&gt;_xlfn.ANCHORARRAY(Sintesi!$C$10))*(A242&gt;=_xlfn.ANCHORARRAY(Sintesi!$C$9))+(_xlfn.ANCHORARRAY(Sintesi!$C$9)&gt;_xlfn.ANCHORARRAY(Sintesi!$C$10))*(A242&lt;=_xlfn.ANCHORARRAY(Sintesi!$C$10))+(_xlfn.ANCHORARRAY(Sintesi!$C$9)&lt;_xlfn.ANCHORARRAY(Sintesi!$C$10))*(A242&gt;=_xlfn.ANCHORARRAY(Sintesi!$C$9))*(A242&lt;=_xlfn.ANCHORARRAY(Sintesi!$C$10)))*(_xlfn.ANCHORARRAY(Sintesi!$C$15)&gt;=0)+(_xlfn.ANCHORARRAY(Sintesi!$C$15)&lt;0),0),0)</f>
        <v>1</v>
      </c>
      <c r="D242" s="1">
        <f t="array" ref="D242">IF(ISBLANK($E243),IF(ISNUMBER($E241),IF($C242&gt;0,IF(($E242=INDEX(_xlfn.ANCHORARRAY(Sintesi!$C$14),1,$C242))*(INDEX(_xlfn.ANCHORARRAY(Sintesi!$C$15),1,$C242)&gt;0),0,IF(($E242=INDEX(_xlfn.ANCHORARRAY(Sintesi!$C$14),1,$C242))*(INDEX(_xlfn.ANCHORARRAY(Sintesi!$C$15),1,$C242)&lt;0)+($E242&gt;=$E241)*($E242&lt;=INDEX($E:$E,MATCH(TRUE,INDEX((ISNUMBER($E:$E)),0),0)))*($E242&gt;INDEX(_xlfn.ANCHORARRAY(Sintesi!$C$14),1,$C242))*($E242&lt;=INDEX(_xlfn.ANCHORARRAY(Sintesi!$C$15),1,$C242))*(INDEX(_xlfn.ANCHORARRAY(Sintesi!$C$15),1,$C242)&gt;0),1,IF(($E242&gt;=$E241)*($E242&lt;=INDEX($E:$E,MATCH(TRUE,INDEX((ISNUMBER($E:$E)),0),0)))*($E242&gt;INDEX(_xlfn.ANCHORARRAY(Sintesi!$C$14),1,$C242))*($E242&lt;INDEX(_xlfn.ANCHORARRAY(Sintesi!$C$16),1,$C242))*(INDEX(_xlfn.ANCHORARRAY(Sintesi!$C$15),1,$C242)&lt;0)+($E242&gt;=$E241)*($E242&lt;=INDEX($E:$E,MATCH(TRUE,INDEX((ISNUMBER($E:$E)),0),0)))*($E242&gt;INDEX(_xlfn.ANCHORARRAY(Sintesi!$C$15),1,$C242))*($E242&lt;INDEX(_xlfn.ANCHORARRAY(Sintesi!$C$16),1,$C242))*(INDEX(_xlfn.ANCHORARRAY(Sintesi!$C$15),1,$C242)&gt;0),2,IF($E242=(INDEX(_xlfn.ANCHORARRAY(Sintesi!$C$16),1,$C242)),3,4)))),0),IF($C242&gt;0,IF(($E242=INDEX(_xlfn.ANCHORARRAY(Sintesi!$C$14),1,$C242))*(INDEX(_xlfn.ANCHORARRAY(Sintesi!$C$15),1,$C242)&gt;0),0,IF(($E242=INDEX(_xlfn.ANCHORARRAY(Sintesi!$C$14),1,$C242))*(INDEX(_xlfn.ANCHORARRAY(Sintesi!$C$15),1,$C242)&lt;0)+($E242&gt;=LOOKUP(2,1/($E:$E&lt;&gt;""),$E:$E))*($E242&lt;=INDEX($E:$E,MATCH(TRUE,INDEX((ISNUMBER($E:$E)),0),0)))*($E242&gt;INDEX(_xlfn.ANCHORARRAY(Sintesi!$C$14),1,$C242))*($E242&lt;=INDEX(_xlfn.ANCHORARRAY(Sintesi!$C$15),1,$C242))*(INDEX(_xlfn.ANCHORARRAY(Sintesi!$C$15),1,$C242)&gt;0),1,IF(($E242&gt;=LOOKUP(2,1/($E:$E&lt;&gt;""),$E:$E))*($E242&lt;=INDEX($E:$E,MATCH(TRUE,INDEX((ISNUMBER($E:$E)),0),0)))*($E242&gt;INDEX(_xlfn.ANCHORARRAY(Sintesi!$C$14),1,$C242))*($E242&lt;INDEX(_xlfn.ANCHORARRAY(Sintesi!$C$16),1,$C242))*(INDEX(_xlfn.ANCHORARRAY(Sintesi!$C$15),1,$C242)&lt;0)+($E242&gt;=LOOKUP(2,1/($E:$E&lt;&gt;""),$E:$E))*($E242&lt;=INDEX($E:$E,MATCH(TRUE,INDEX((ISNUMBER($E:$E)),0),0)))*($E242&gt;INDEX(_xlfn.ANCHORARRAY(Sintesi!$C$15),1,$C242))*($E242&lt;INDEX(_xlfn.ANCHORARRAY(Sintesi!$C$16),1,$C242))*(INDEX(_xlfn.ANCHORARRAY(Sintesi!$C$15),1,$C242)&gt;0),2,IF($E242=(INDEX(_xlfn.ANCHORARRAY(Sintesi!$C$16),1,$C242)),3,4)))),0)),IF(ISNUMBER($E241),IF($C242&gt;0,IF(($E242=INDEX(_xlfn.ANCHORARRAY(Sintesi!$C$14),1,$C242))*(INDEX(_xlfn.ANCHORARRAY(Sintesi!$C$15),1,$C242)&gt;0),0,IF(($E242=INDEX(_xlfn.ANCHORARRAY(Sintesi!$C$14),1,$C242))*(INDEX(_xlfn.ANCHORARRAY(Sintesi!$C$15),1,$C242)&lt;0)+($E242&gt;=$E241)*($E242&lt;=$E243)*($E242&gt;INDEX(_xlfn.ANCHORARRAY(Sintesi!$C$14),1,$C242))*($E242&lt;=INDEX(_xlfn.ANCHORARRAY(Sintesi!$C$15),1,$C242))*(INDEX(_xlfn.ANCHORARRAY(Sintesi!$C$15),1,$C242)&gt;0),1,IF(($E242&gt;=$E241)*($E242&lt;=$E243)*($E242&gt;INDEX(_xlfn.ANCHORARRAY(Sintesi!$C$14),1,$C242))*($E242&lt;INDEX(_xlfn.ANCHORARRAY(Sintesi!$C$16),1,$C242))*(INDEX(_xlfn.ANCHORARRAY(Sintesi!$C$15),1,$C242)&lt;0)+($E242&gt;=$E241)*($E242&lt;=$E243)*($E242&gt;INDEX(_xlfn.ANCHORARRAY(Sintesi!$C$15),1,$C242))*($E242&lt;INDEX(_xlfn.ANCHORARRAY(Sintesi!$C$16),1,$C242))*(INDEX(_xlfn.ANCHORARRAY(Sintesi!$C$15),1,$C242)&gt;0),2,IF($E242=(INDEX(_xlfn.ANCHORARRAY(Sintesi!$C$16),1,$C242)),3,4)))),0),IF($C242&gt;0,IF(($E242=INDEX(_xlfn.ANCHORARRAY(Sintesi!$C$14),1,$C242))*(INDEX(_xlfn.ANCHORARRAY(Sintesi!$C$15),1,$C242)&gt;0),0,IF(($E242=INDEX(_xlfn.ANCHORARRAY(Sintesi!$C$14),1,$C242))*(INDEX(_xlfn.ANCHORARRAY(Sintesi!$C$15),1,$C242)&lt;0)+($E242&gt;=LOOKUP(2,1/($E:$E&lt;&gt;""),$E:$E))*($E242&lt;=$E243)*($E242&gt;INDEX(_xlfn.ANCHORARRAY(Sintesi!$C$14),1,$C242))*($E242&lt;=INDEX(_xlfn.ANCHORARRAY(Sintesi!$C$15),1,$C242))*(INDEX(_xlfn.ANCHORARRAY(Sintesi!$C$15),1,$C242)&gt;0),1,IF(($E242&gt;=LOOKUP(2,1/($E:$E&lt;&gt;""),$E:$E))*($E242&lt;=$E243)*($E242&gt;INDEX(_xlfn.ANCHORARRAY(Sintesi!$C$14),1,$C242))*($E242&lt;INDEX(_xlfn.ANCHORARRAY(Sintesi!$C$16),1,$C242))*(INDEX(_xlfn.ANCHORARRAY(Sintesi!$C$15),1,$C242)&lt;0)+($E242&gt;=LOOKUP(2,1/($E:$E&lt;&gt;""),$E:$E))*($E242&lt;=$E243)*($E242&gt;INDEX(_xlfn.ANCHORARRAY(Sintesi!$C$15),1,$C242))*($E242&lt;INDEX(_xlfn.ANCHORARRAY(Sintesi!$C$16),1,$C242))*(INDEX(_xlfn.ANCHORARRAY(Sintesi!$C$15),1,$C242)&gt;0),2,IF($E242=(INDEX(_xlfn.ANCHORARRAY(Sintesi!$C$16),1,$C242)),3,4)))),0)))</f>
        <v>4</v>
      </c>
      <c r="E242" s="1">
        <f>'Paste cell here'!F242</f>
        <v>0.501</v>
      </c>
      <c r="F242" s="1">
        <f>'Paste cell here'!C242</f>
        <v>27.839999999999598</v>
      </c>
      <c r="G242" s="1">
        <f>'Paste cell here'!D242</f>
        <v>12.739999999999824</v>
      </c>
      <c r="H242" s="1">
        <f>'Paste cell here'!E242</f>
        <v>4.1111577101575101</v>
      </c>
      <c r="I242" s="1">
        <f>'Paste cell here'!X242</f>
        <v>2.0596800285482018</v>
      </c>
      <c r="J242" s="1">
        <f>'Paste cell here'!Y242+'Paste cell here'!S242</f>
        <v>2.0596800285482018</v>
      </c>
      <c r="K242" s="1">
        <f t="shared" si="6"/>
        <v>0.50099757142843582</v>
      </c>
      <c r="L242" s="1">
        <f t="shared" si="7"/>
        <v>22.188365000793862</v>
      </c>
      <c r="M242" s="1">
        <f t="array" ref="M242">IF(AND(A242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242&gt;=_xlfn.ANCHORARRAY(Sintesi!$C$9))+(_xlfn.ANCHORARRAY(Sintesi!$C$9)&gt;_xlfn.ANCHORARRAY(Sintesi!$C$10))*(A242&lt;=_xlfn.ANCHORARRAY(Sintesi!$C$10))+(_xlfn.ANCHORARRAY(Sintesi!$C$9)&lt;_xlfn.ANCHORARRAY(Sintesi!$C$10))*(A242&gt;=_xlfn.ANCHORARRAY(Sintesi!$C$9))*(A242&lt;=_xlfn.ANCHORARRAY(Sintesi!$C$10)),0)),0),A242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243&gt;=_xlfn.ANCHORARRAY(Sintesi!$C$9))+(_xlfn.ANCHORARRAY(Sintesi!$C$9)&gt;_xlfn.ANCHORARRAY(Sintesi!$C$10))*(A243&lt;=_xlfn.ANCHORARRAY(Sintesi!$C$10))+(_xlfn.ANCHORARRAY(Sintesi!$C$9)&lt;_xlfn.ANCHORARRAY(Sintesi!$C$10))*(A243&gt;=_xlfn.ANCHORARRAY(Sintesi!$C$9))*(A243&lt;=_xlfn.ANCHORARRAY(Sintesi!$C$10)),0)),0)),IF(L242&lt;_xlfn.IFNA(INDEX(_xlfn.ANCHORARRAY(Sintesi!$C$17),1,MATCH(1,(_xlfn.ANCHORARRAY(Sintesi!$C$9)&gt;_xlfn.ANCHORARRAY(Sintesi!$C$10))*(A241&gt;=_xlfn.ANCHORARRAY(Sintesi!$C$9))+(_xlfn.ANCHORARRAY(Sintesi!$C$9)&gt;_xlfn.ANCHORARRAY(Sintesi!$C$10))*(A241&lt;=_xlfn.ANCHORARRAY(Sintesi!$C$10))+(_xlfn.ANCHORARRAY(Sintesi!$C$9)&lt;_xlfn.ANCHORARRAY(Sintesi!$C$10))*(A241&gt;=_xlfn.ANCHORARRAY(Sintesi!$C$9))*(A241&lt;=_xlfn.ANCHORARRAY(Sintesi!$C$10)),0)),0),1,IF(L242&gt;=_xlfn.IFNA(INDEX(_xlfn.ANCHORARRAY(Sintesi!$C$18),1,MATCH(1,(_xlfn.ANCHORARRAY(Sintesi!$C$9)&gt;_xlfn.ANCHORARRAY(Sintesi!$C$10))*(A241&gt;=_xlfn.ANCHORARRAY(Sintesi!$C$9))+(_xlfn.ANCHORARRAY(Sintesi!$C$9)&gt;_xlfn.ANCHORARRAY(Sintesi!$C$10))*(A241&lt;=_xlfn.ANCHORARRAY(Sintesi!$C$10))+(_xlfn.ANCHORARRAY(Sintesi!$C$9)&lt;_xlfn.ANCHORARRAY(Sintesi!$C$10))*(A241&gt;=_xlfn.ANCHORARRAY(Sintesi!$C$9))*(A241&lt;=_xlfn.ANCHORARRAY(Sintesi!$C$10)),0)),0),0,1-(L242-_xlfn.IFNA(INDEX(_xlfn.ANCHORARRAY(Sintesi!$C$17),1,MATCH(1,(_xlfn.ANCHORARRAY(Sintesi!$C$9)&gt;_xlfn.ANCHORARRAY(Sintesi!$C$10))*(A241&gt;=_xlfn.ANCHORARRAY(Sintesi!$C$9))+(_xlfn.ANCHORARRAY(Sintesi!$C$9)&gt;_xlfn.ANCHORARRAY(Sintesi!$C$10))*(A241&lt;=_xlfn.ANCHORARRAY(Sintesi!$C$10))+(_xlfn.ANCHORARRAY(Sintesi!$C$9)&lt;_xlfn.ANCHORARRAY(Sintesi!$C$10))*(A241&gt;=_xlfn.ANCHORARRAY(Sintesi!$C$9))*(A241&lt;=_xlfn.ANCHORARRAY(Sintesi!$C$10)),0)),0))/(_xlfn.IFNA(INDEX(_xlfn.ANCHORARRAY(Sintesi!$C$18),1,MATCH(1,(_xlfn.ANCHORARRAY(Sintesi!$C$9)&gt;_xlfn.ANCHORARRAY(Sintesi!$C$10))*(A241&gt;=_xlfn.ANCHORARRAY(Sintesi!$C$9))+(_xlfn.ANCHORARRAY(Sintesi!$C$9)&gt;_xlfn.ANCHORARRAY(Sintesi!$C$10))*(A241&lt;=_xlfn.ANCHORARRAY(Sintesi!$C$10))+(_xlfn.ANCHORARRAY(Sintesi!$C$9)&lt;_xlfn.ANCHORARRAY(Sintesi!$C$10))*(A241&gt;=_xlfn.ANCHORARRAY(Sintesi!$C$9))*(A241&lt;=_xlfn.ANCHORARRAY(Sintesi!$C$10)),0)),0)-_xlfn.IFNA(INDEX(_xlfn.ANCHORARRAY(Sintesi!$C$17),1,MATCH(1,(_xlfn.ANCHORARRAY(Sintesi!$C$9)&gt;_xlfn.ANCHORARRAY(Sintesi!$C$10))*(A241&gt;=_xlfn.ANCHORARRAY(Sintesi!$C$9))+(_xlfn.ANCHORARRAY(Sintesi!$C$9)&gt;_xlfn.ANCHORARRAY(Sintesi!$C$10))*(A241&lt;=_xlfn.ANCHORARRAY(Sintesi!$C$10))+(_xlfn.ANCHORARRAY(Sintesi!$C$9)&lt;_xlfn.ANCHORARRAY(Sintesi!$C$10))*(A241&gt;=_xlfn.ANCHORARRAY(Sintesi!$C$9))*(A241&lt;=_xlfn.ANCHORARRAY(Sintesi!$C$10)),0)),0)))),0)</f>
        <v>0</v>
      </c>
    </row>
    <row r="243" spans="1:13">
      <c r="A243" s="1">
        <f>'Paste cell here'!A243</f>
        <v>242</v>
      </c>
      <c r="B243" s="2">
        <f>DATE(Sintesi!$C$4-1,12,31)+A243</f>
        <v>44438</v>
      </c>
      <c r="C243" s="34">
        <f t="array" ref="C243">_xlfn.IFNA(MATCH(1,((_xlfn.ANCHORARRAY(Sintesi!$C$9)&gt;_xlfn.ANCHORARRAY(Sintesi!$C$10))*(A243&gt;=_xlfn.ANCHORARRAY(Sintesi!$C$9))+(_xlfn.ANCHORARRAY(Sintesi!$C$9)&gt;_xlfn.ANCHORARRAY(Sintesi!$C$10))*(A243&lt;=_xlfn.ANCHORARRAY(Sintesi!$C$10))+(_xlfn.ANCHORARRAY(Sintesi!$C$9)&lt;_xlfn.ANCHORARRAY(Sintesi!$C$10))*(A243&gt;=_xlfn.ANCHORARRAY(Sintesi!$C$9))*(A243&lt;=_xlfn.ANCHORARRAY(Sintesi!$C$10)))*(_xlfn.ANCHORARRAY(Sintesi!$C$15)&gt;=0)+(_xlfn.ANCHORARRAY(Sintesi!$C$15)&lt;0),0),0)</f>
        <v>1</v>
      </c>
      <c r="D243" s="1">
        <f t="array" ref="D243">IF(ISBLANK($E244),IF(ISNUMBER($E242),IF($C243&gt;0,IF(($E243=INDEX(_xlfn.ANCHORARRAY(Sintesi!$C$14),1,$C243))*(INDEX(_xlfn.ANCHORARRAY(Sintesi!$C$15),1,$C243)&gt;0),0,IF(($E243=INDEX(_xlfn.ANCHORARRAY(Sintesi!$C$14),1,$C243))*(INDEX(_xlfn.ANCHORARRAY(Sintesi!$C$15),1,$C243)&lt;0)+($E243&gt;=$E242)*($E243&lt;=INDEX($E:$E,MATCH(TRUE,INDEX((ISNUMBER($E:$E)),0),0)))*($E243&gt;INDEX(_xlfn.ANCHORARRAY(Sintesi!$C$14),1,$C243))*($E243&lt;=INDEX(_xlfn.ANCHORARRAY(Sintesi!$C$15),1,$C243))*(INDEX(_xlfn.ANCHORARRAY(Sintesi!$C$15),1,$C243)&gt;0),1,IF(($E243&gt;=$E242)*($E243&lt;=INDEX($E:$E,MATCH(TRUE,INDEX((ISNUMBER($E:$E)),0),0)))*($E243&gt;INDEX(_xlfn.ANCHORARRAY(Sintesi!$C$14),1,$C243))*($E243&lt;INDEX(_xlfn.ANCHORARRAY(Sintesi!$C$16),1,$C243))*(INDEX(_xlfn.ANCHORARRAY(Sintesi!$C$15),1,$C243)&lt;0)+($E243&gt;=$E242)*($E243&lt;=INDEX($E:$E,MATCH(TRUE,INDEX((ISNUMBER($E:$E)),0),0)))*($E243&gt;INDEX(_xlfn.ANCHORARRAY(Sintesi!$C$15),1,$C243))*($E243&lt;INDEX(_xlfn.ANCHORARRAY(Sintesi!$C$16),1,$C243))*(INDEX(_xlfn.ANCHORARRAY(Sintesi!$C$15),1,$C243)&gt;0),2,IF($E243=(INDEX(_xlfn.ANCHORARRAY(Sintesi!$C$16),1,$C243)),3,4)))),0),IF($C243&gt;0,IF(($E243=INDEX(_xlfn.ANCHORARRAY(Sintesi!$C$14),1,$C243))*(INDEX(_xlfn.ANCHORARRAY(Sintesi!$C$15),1,$C243)&gt;0),0,IF(($E243=INDEX(_xlfn.ANCHORARRAY(Sintesi!$C$14),1,$C243))*(INDEX(_xlfn.ANCHORARRAY(Sintesi!$C$15),1,$C243)&lt;0)+($E243&gt;=LOOKUP(2,1/($E:$E&lt;&gt;""),$E:$E))*($E243&lt;=INDEX($E:$E,MATCH(TRUE,INDEX((ISNUMBER($E:$E)),0),0)))*($E243&gt;INDEX(_xlfn.ANCHORARRAY(Sintesi!$C$14),1,$C243))*($E243&lt;=INDEX(_xlfn.ANCHORARRAY(Sintesi!$C$15),1,$C243))*(INDEX(_xlfn.ANCHORARRAY(Sintesi!$C$15),1,$C243)&gt;0),1,IF(($E243&gt;=LOOKUP(2,1/($E:$E&lt;&gt;""),$E:$E))*($E243&lt;=INDEX($E:$E,MATCH(TRUE,INDEX((ISNUMBER($E:$E)),0),0)))*($E243&gt;INDEX(_xlfn.ANCHORARRAY(Sintesi!$C$14),1,$C243))*($E243&lt;INDEX(_xlfn.ANCHORARRAY(Sintesi!$C$16),1,$C243))*(INDEX(_xlfn.ANCHORARRAY(Sintesi!$C$15),1,$C243)&lt;0)+($E243&gt;=LOOKUP(2,1/($E:$E&lt;&gt;""),$E:$E))*($E243&lt;=INDEX($E:$E,MATCH(TRUE,INDEX((ISNUMBER($E:$E)),0),0)))*($E243&gt;INDEX(_xlfn.ANCHORARRAY(Sintesi!$C$15),1,$C243))*($E243&lt;INDEX(_xlfn.ANCHORARRAY(Sintesi!$C$16),1,$C243))*(INDEX(_xlfn.ANCHORARRAY(Sintesi!$C$15),1,$C243)&gt;0),2,IF($E243=(INDEX(_xlfn.ANCHORARRAY(Sintesi!$C$16),1,$C243)),3,4)))),0)),IF(ISNUMBER($E242),IF($C243&gt;0,IF(($E243=INDEX(_xlfn.ANCHORARRAY(Sintesi!$C$14),1,$C243))*(INDEX(_xlfn.ANCHORARRAY(Sintesi!$C$15),1,$C243)&gt;0),0,IF(($E243=INDEX(_xlfn.ANCHORARRAY(Sintesi!$C$14),1,$C243))*(INDEX(_xlfn.ANCHORARRAY(Sintesi!$C$15),1,$C243)&lt;0)+($E243&gt;=$E242)*($E243&lt;=$E244)*($E243&gt;INDEX(_xlfn.ANCHORARRAY(Sintesi!$C$14),1,$C243))*($E243&lt;=INDEX(_xlfn.ANCHORARRAY(Sintesi!$C$15),1,$C243))*(INDEX(_xlfn.ANCHORARRAY(Sintesi!$C$15),1,$C243)&gt;0),1,IF(($E243&gt;=$E242)*($E243&lt;=$E244)*($E243&gt;INDEX(_xlfn.ANCHORARRAY(Sintesi!$C$14),1,$C243))*($E243&lt;INDEX(_xlfn.ANCHORARRAY(Sintesi!$C$16),1,$C243))*(INDEX(_xlfn.ANCHORARRAY(Sintesi!$C$15),1,$C243)&lt;0)+($E243&gt;=$E242)*($E243&lt;=$E244)*($E243&gt;INDEX(_xlfn.ANCHORARRAY(Sintesi!$C$15),1,$C243))*($E243&lt;INDEX(_xlfn.ANCHORARRAY(Sintesi!$C$16),1,$C243))*(INDEX(_xlfn.ANCHORARRAY(Sintesi!$C$15),1,$C243)&gt;0),2,IF($E243=(INDEX(_xlfn.ANCHORARRAY(Sintesi!$C$16),1,$C243)),3,4)))),0),IF($C243&gt;0,IF(($E243=INDEX(_xlfn.ANCHORARRAY(Sintesi!$C$14),1,$C243))*(INDEX(_xlfn.ANCHORARRAY(Sintesi!$C$15),1,$C243)&gt;0),0,IF(($E243=INDEX(_xlfn.ANCHORARRAY(Sintesi!$C$14),1,$C243))*(INDEX(_xlfn.ANCHORARRAY(Sintesi!$C$15),1,$C243)&lt;0)+($E243&gt;=LOOKUP(2,1/($E:$E&lt;&gt;""),$E:$E))*($E243&lt;=$E244)*($E243&gt;INDEX(_xlfn.ANCHORARRAY(Sintesi!$C$14),1,$C243))*($E243&lt;=INDEX(_xlfn.ANCHORARRAY(Sintesi!$C$15),1,$C243))*(INDEX(_xlfn.ANCHORARRAY(Sintesi!$C$15),1,$C243)&gt;0),1,IF(($E243&gt;=LOOKUP(2,1/($E:$E&lt;&gt;""),$E:$E))*($E243&lt;=$E244)*($E243&gt;INDEX(_xlfn.ANCHORARRAY(Sintesi!$C$14),1,$C243))*($E243&lt;INDEX(_xlfn.ANCHORARRAY(Sintesi!$C$16),1,$C243))*(INDEX(_xlfn.ANCHORARRAY(Sintesi!$C$15),1,$C243)&lt;0)+($E243&gt;=LOOKUP(2,1/($E:$E&lt;&gt;""),$E:$E))*($E243&lt;=$E244)*($E243&gt;INDEX(_xlfn.ANCHORARRAY(Sintesi!$C$15),1,$C243))*($E243&lt;INDEX(_xlfn.ANCHORARRAY(Sintesi!$C$16),1,$C243))*(INDEX(_xlfn.ANCHORARRAY(Sintesi!$C$15),1,$C243)&gt;0),2,IF($E243=(INDEX(_xlfn.ANCHORARRAY(Sintesi!$C$16),1,$C243)),3,4)))),0)))</f>
        <v>4</v>
      </c>
      <c r="E243" s="1">
        <f>'Paste cell here'!F243</f>
        <v>0.46200000000000002</v>
      </c>
      <c r="F243" s="1">
        <f>'Paste cell here'!C243</f>
        <v>28.679999999999591</v>
      </c>
      <c r="G243" s="1">
        <f>'Paste cell here'!D243</f>
        <v>15.499999999999805</v>
      </c>
      <c r="H243" s="1">
        <f>'Paste cell here'!E243</f>
        <v>4.1712590820898168</v>
      </c>
      <c r="I243" s="1">
        <f>'Paste cell here'!X243</f>
        <v>1.9271131438707265</v>
      </c>
      <c r="J243" s="1">
        <f>'Paste cell here'!Y243+'Paste cell here'!S243</f>
        <v>1.9271131438707265</v>
      </c>
      <c r="K243" s="1">
        <f t="shared" si="6"/>
        <v>0.46199794976658115</v>
      </c>
      <c r="L243" s="1">
        <f t="shared" si="7"/>
        <v>23.746983490759096</v>
      </c>
      <c r="M243" s="1">
        <f t="array" ref="M243">IF(AND(A243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243&gt;=_xlfn.ANCHORARRAY(Sintesi!$C$9))+(_xlfn.ANCHORARRAY(Sintesi!$C$9)&gt;_xlfn.ANCHORARRAY(Sintesi!$C$10))*(A243&lt;=_xlfn.ANCHORARRAY(Sintesi!$C$10))+(_xlfn.ANCHORARRAY(Sintesi!$C$9)&lt;_xlfn.ANCHORARRAY(Sintesi!$C$10))*(A243&gt;=_xlfn.ANCHORARRAY(Sintesi!$C$9))*(A243&lt;=_xlfn.ANCHORARRAY(Sintesi!$C$10)),0)),0),A243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244&gt;=_xlfn.ANCHORARRAY(Sintesi!$C$9))+(_xlfn.ANCHORARRAY(Sintesi!$C$9)&gt;_xlfn.ANCHORARRAY(Sintesi!$C$10))*(A244&lt;=_xlfn.ANCHORARRAY(Sintesi!$C$10))+(_xlfn.ANCHORARRAY(Sintesi!$C$9)&lt;_xlfn.ANCHORARRAY(Sintesi!$C$10))*(A244&gt;=_xlfn.ANCHORARRAY(Sintesi!$C$9))*(A244&lt;=_xlfn.ANCHORARRAY(Sintesi!$C$10)),0)),0)),IF(L243&lt;_xlfn.IFNA(INDEX(_xlfn.ANCHORARRAY(Sintesi!$C$17),1,MATCH(1,(_xlfn.ANCHORARRAY(Sintesi!$C$9)&gt;_xlfn.ANCHORARRAY(Sintesi!$C$10))*(A242&gt;=_xlfn.ANCHORARRAY(Sintesi!$C$9))+(_xlfn.ANCHORARRAY(Sintesi!$C$9)&gt;_xlfn.ANCHORARRAY(Sintesi!$C$10))*(A242&lt;=_xlfn.ANCHORARRAY(Sintesi!$C$10))+(_xlfn.ANCHORARRAY(Sintesi!$C$9)&lt;_xlfn.ANCHORARRAY(Sintesi!$C$10))*(A242&gt;=_xlfn.ANCHORARRAY(Sintesi!$C$9))*(A242&lt;=_xlfn.ANCHORARRAY(Sintesi!$C$10)),0)),0),1,IF(L243&gt;=_xlfn.IFNA(INDEX(_xlfn.ANCHORARRAY(Sintesi!$C$18),1,MATCH(1,(_xlfn.ANCHORARRAY(Sintesi!$C$9)&gt;_xlfn.ANCHORARRAY(Sintesi!$C$10))*(A242&gt;=_xlfn.ANCHORARRAY(Sintesi!$C$9))+(_xlfn.ANCHORARRAY(Sintesi!$C$9)&gt;_xlfn.ANCHORARRAY(Sintesi!$C$10))*(A242&lt;=_xlfn.ANCHORARRAY(Sintesi!$C$10))+(_xlfn.ANCHORARRAY(Sintesi!$C$9)&lt;_xlfn.ANCHORARRAY(Sintesi!$C$10))*(A242&gt;=_xlfn.ANCHORARRAY(Sintesi!$C$9))*(A242&lt;=_xlfn.ANCHORARRAY(Sintesi!$C$10)),0)),0),0,1-(L243-_xlfn.IFNA(INDEX(_xlfn.ANCHORARRAY(Sintesi!$C$17),1,MATCH(1,(_xlfn.ANCHORARRAY(Sintesi!$C$9)&gt;_xlfn.ANCHORARRAY(Sintesi!$C$10))*(A242&gt;=_xlfn.ANCHORARRAY(Sintesi!$C$9))+(_xlfn.ANCHORARRAY(Sintesi!$C$9)&gt;_xlfn.ANCHORARRAY(Sintesi!$C$10))*(A242&lt;=_xlfn.ANCHORARRAY(Sintesi!$C$10))+(_xlfn.ANCHORARRAY(Sintesi!$C$9)&lt;_xlfn.ANCHORARRAY(Sintesi!$C$10))*(A242&gt;=_xlfn.ANCHORARRAY(Sintesi!$C$9))*(A242&lt;=_xlfn.ANCHORARRAY(Sintesi!$C$10)),0)),0))/(_xlfn.IFNA(INDEX(_xlfn.ANCHORARRAY(Sintesi!$C$18),1,MATCH(1,(_xlfn.ANCHORARRAY(Sintesi!$C$9)&gt;_xlfn.ANCHORARRAY(Sintesi!$C$10))*(A242&gt;=_xlfn.ANCHORARRAY(Sintesi!$C$9))+(_xlfn.ANCHORARRAY(Sintesi!$C$9)&gt;_xlfn.ANCHORARRAY(Sintesi!$C$10))*(A242&lt;=_xlfn.ANCHORARRAY(Sintesi!$C$10))+(_xlfn.ANCHORARRAY(Sintesi!$C$9)&lt;_xlfn.ANCHORARRAY(Sintesi!$C$10))*(A242&gt;=_xlfn.ANCHORARRAY(Sintesi!$C$9))*(A242&lt;=_xlfn.ANCHORARRAY(Sintesi!$C$10)),0)),0)-_xlfn.IFNA(INDEX(_xlfn.ANCHORARRAY(Sintesi!$C$17),1,MATCH(1,(_xlfn.ANCHORARRAY(Sintesi!$C$9)&gt;_xlfn.ANCHORARRAY(Sintesi!$C$10))*(A242&gt;=_xlfn.ANCHORARRAY(Sintesi!$C$9))+(_xlfn.ANCHORARRAY(Sintesi!$C$9)&gt;_xlfn.ANCHORARRAY(Sintesi!$C$10))*(A242&lt;=_xlfn.ANCHORARRAY(Sintesi!$C$10))+(_xlfn.ANCHORARRAY(Sintesi!$C$9)&lt;_xlfn.ANCHORARRAY(Sintesi!$C$10))*(A242&gt;=_xlfn.ANCHORARRAY(Sintesi!$C$9))*(A242&lt;=_xlfn.ANCHORARRAY(Sintesi!$C$10)),0)),0)))),0)</f>
        <v>0</v>
      </c>
    </row>
    <row r="244" spans="1:13">
      <c r="A244" s="1">
        <f>'Paste cell here'!A244</f>
        <v>243</v>
      </c>
      <c r="B244" s="2">
        <f>DATE(Sintesi!$C$4-1,12,31)+A244</f>
        <v>44439</v>
      </c>
      <c r="C244" s="34">
        <f t="array" ref="C244">_xlfn.IFNA(MATCH(1,((_xlfn.ANCHORARRAY(Sintesi!$C$9)&gt;_xlfn.ANCHORARRAY(Sintesi!$C$10))*(A244&gt;=_xlfn.ANCHORARRAY(Sintesi!$C$9))+(_xlfn.ANCHORARRAY(Sintesi!$C$9)&gt;_xlfn.ANCHORARRAY(Sintesi!$C$10))*(A244&lt;=_xlfn.ANCHORARRAY(Sintesi!$C$10))+(_xlfn.ANCHORARRAY(Sintesi!$C$9)&lt;_xlfn.ANCHORARRAY(Sintesi!$C$10))*(A244&gt;=_xlfn.ANCHORARRAY(Sintesi!$C$9))*(A244&lt;=_xlfn.ANCHORARRAY(Sintesi!$C$10)))*(_xlfn.ANCHORARRAY(Sintesi!$C$15)&gt;=0)+(_xlfn.ANCHORARRAY(Sintesi!$C$15)&lt;0),0),0)</f>
        <v>1</v>
      </c>
      <c r="D244" s="1">
        <f t="array" ref="D244">IF(ISBLANK($E245),IF(ISNUMBER($E243),IF($C244&gt;0,IF(($E244=INDEX(_xlfn.ANCHORARRAY(Sintesi!$C$14),1,$C244))*(INDEX(_xlfn.ANCHORARRAY(Sintesi!$C$15),1,$C244)&gt;0),0,IF(($E244=INDEX(_xlfn.ANCHORARRAY(Sintesi!$C$14),1,$C244))*(INDEX(_xlfn.ANCHORARRAY(Sintesi!$C$15),1,$C244)&lt;0)+($E244&gt;=$E243)*($E244&lt;=INDEX($E:$E,MATCH(TRUE,INDEX((ISNUMBER($E:$E)),0),0)))*($E244&gt;INDEX(_xlfn.ANCHORARRAY(Sintesi!$C$14),1,$C244))*($E244&lt;=INDEX(_xlfn.ANCHORARRAY(Sintesi!$C$15),1,$C244))*(INDEX(_xlfn.ANCHORARRAY(Sintesi!$C$15),1,$C244)&gt;0),1,IF(($E244&gt;=$E243)*($E244&lt;=INDEX($E:$E,MATCH(TRUE,INDEX((ISNUMBER($E:$E)),0),0)))*($E244&gt;INDEX(_xlfn.ANCHORARRAY(Sintesi!$C$14),1,$C244))*($E244&lt;INDEX(_xlfn.ANCHORARRAY(Sintesi!$C$16),1,$C244))*(INDEX(_xlfn.ANCHORARRAY(Sintesi!$C$15),1,$C244)&lt;0)+($E244&gt;=$E243)*($E244&lt;=INDEX($E:$E,MATCH(TRUE,INDEX((ISNUMBER($E:$E)),0),0)))*($E244&gt;INDEX(_xlfn.ANCHORARRAY(Sintesi!$C$15),1,$C244))*($E244&lt;INDEX(_xlfn.ANCHORARRAY(Sintesi!$C$16),1,$C244))*(INDEX(_xlfn.ANCHORARRAY(Sintesi!$C$15),1,$C244)&gt;0),2,IF($E244=(INDEX(_xlfn.ANCHORARRAY(Sintesi!$C$16),1,$C244)),3,4)))),0),IF($C244&gt;0,IF(($E244=INDEX(_xlfn.ANCHORARRAY(Sintesi!$C$14),1,$C244))*(INDEX(_xlfn.ANCHORARRAY(Sintesi!$C$15),1,$C244)&gt;0),0,IF(($E244=INDEX(_xlfn.ANCHORARRAY(Sintesi!$C$14),1,$C244))*(INDEX(_xlfn.ANCHORARRAY(Sintesi!$C$15),1,$C244)&lt;0)+($E244&gt;=LOOKUP(2,1/($E:$E&lt;&gt;""),$E:$E))*($E244&lt;=INDEX($E:$E,MATCH(TRUE,INDEX((ISNUMBER($E:$E)),0),0)))*($E244&gt;INDEX(_xlfn.ANCHORARRAY(Sintesi!$C$14),1,$C244))*($E244&lt;=INDEX(_xlfn.ANCHORARRAY(Sintesi!$C$15),1,$C244))*(INDEX(_xlfn.ANCHORARRAY(Sintesi!$C$15),1,$C244)&gt;0),1,IF(($E244&gt;=LOOKUP(2,1/($E:$E&lt;&gt;""),$E:$E))*($E244&lt;=INDEX($E:$E,MATCH(TRUE,INDEX((ISNUMBER($E:$E)),0),0)))*($E244&gt;INDEX(_xlfn.ANCHORARRAY(Sintesi!$C$14),1,$C244))*($E244&lt;INDEX(_xlfn.ANCHORARRAY(Sintesi!$C$16),1,$C244))*(INDEX(_xlfn.ANCHORARRAY(Sintesi!$C$15),1,$C244)&lt;0)+($E244&gt;=LOOKUP(2,1/($E:$E&lt;&gt;""),$E:$E))*($E244&lt;=INDEX($E:$E,MATCH(TRUE,INDEX((ISNUMBER($E:$E)),0),0)))*($E244&gt;INDEX(_xlfn.ANCHORARRAY(Sintesi!$C$15),1,$C244))*($E244&lt;INDEX(_xlfn.ANCHORARRAY(Sintesi!$C$16),1,$C244))*(INDEX(_xlfn.ANCHORARRAY(Sintesi!$C$15),1,$C244)&gt;0),2,IF($E244=(INDEX(_xlfn.ANCHORARRAY(Sintesi!$C$16),1,$C244)),3,4)))),0)),IF(ISNUMBER($E243),IF($C244&gt;0,IF(($E244=INDEX(_xlfn.ANCHORARRAY(Sintesi!$C$14),1,$C244))*(INDEX(_xlfn.ANCHORARRAY(Sintesi!$C$15),1,$C244)&gt;0),0,IF(($E244=INDEX(_xlfn.ANCHORARRAY(Sintesi!$C$14),1,$C244))*(INDEX(_xlfn.ANCHORARRAY(Sintesi!$C$15),1,$C244)&lt;0)+($E244&gt;=$E243)*($E244&lt;=$E245)*($E244&gt;INDEX(_xlfn.ANCHORARRAY(Sintesi!$C$14),1,$C244))*($E244&lt;=INDEX(_xlfn.ANCHORARRAY(Sintesi!$C$15),1,$C244))*(INDEX(_xlfn.ANCHORARRAY(Sintesi!$C$15),1,$C244)&gt;0),1,IF(($E244&gt;=$E243)*($E244&lt;=$E245)*($E244&gt;INDEX(_xlfn.ANCHORARRAY(Sintesi!$C$14),1,$C244))*($E244&lt;INDEX(_xlfn.ANCHORARRAY(Sintesi!$C$16),1,$C244))*(INDEX(_xlfn.ANCHORARRAY(Sintesi!$C$15),1,$C244)&lt;0)+($E244&gt;=$E243)*($E244&lt;=$E245)*($E244&gt;INDEX(_xlfn.ANCHORARRAY(Sintesi!$C$15),1,$C244))*($E244&lt;INDEX(_xlfn.ANCHORARRAY(Sintesi!$C$16),1,$C244))*(INDEX(_xlfn.ANCHORARRAY(Sintesi!$C$15),1,$C244)&gt;0),2,IF($E244=(INDEX(_xlfn.ANCHORARRAY(Sintesi!$C$16),1,$C244)),3,4)))),0),IF($C244&gt;0,IF(($E244=INDEX(_xlfn.ANCHORARRAY(Sintesi!$C$14),1,$C244))*(INDEX(_xlfn.ANCHORARRAY(Sintesi!$C$15),1,$C244)&gt;0),0,IF(($E244=INDEX(_xlfn.ANCHORARRAY(Sintesi!$C$14),1,$C244))*(INDEX(_xlfn.ANCHORARRAY(Sintesi!$C$15),1,$C244)&lt;0)+($E244&gt;=LOOKUP(2,1/($E:$E&lt;&gt;""),$E:$E))*($E244&lt;=$E245)*($E244&gt;INDEX(_xlfn.ANCHORARRAY(Sintesi!$C$14),1,$C244))*($E244&lt;=INDEX(_xlfn.ANCHORARRAY(Sintesi!$C$15),1,$C244))*(INDEX(_xlfn.ANCHORARRAY(Sintesi!$C$15),1,$C244)&gt;0),1,IF(($E244&gt;=LOOKUP(2,1/($E:$E&lt;&gt;""),$E:$E))*($E244&lt;=$E245)*($E244&gt;INDEX(_xlfn.ANCHORARRAY(Sintesi!$C$14),1,$C244))*($E244&lt;INDEX(_xlfn.ANCHORARRAY(Sintesi!$C$16),1,$C244))*(INDEX(_xlfn.ANCHORARRAY(Sintesi!$C$15),1,$C244)&lt;0)+($E244&gt;=LOOKUP(2,1/($E:$E&lt;&gt;""),$E:$E))*($E244&lt;=$E245)*($E244&gt;INDEX(_xlfn.ANCHORARRAY(Sintesi!$C$15),1,$C244))*($E244&lt;INDEX(_xlfn.ANCHORARRAY(Sintesi!$C$16),1,$C244))*(INDEX(_xlfn.ANCHORARRAY(Sintesi!$C$15),1,$C244)&gt;0),2,IF($E244=(INDEX(_xlfn.ANCHORARRAY(Sintesi!$C$16),1,$C244)),3,4)))),0)))</f>
        <v>4</v>
      </c>
      <c r="E244" s="1">
        <f>'Paste cell here'!F244</f>
        <v>0.42299999999999999</v>
      </c>
      <c r="F244" s="1">
        <f>'Paste cell here'!C244</f>
        <v>28.259999999999597</v>
      </c>
      <c r="G244" s="1">
        <f>'Paste cell here'!D244</f>
        <v>17.659999999999762</v>
      </c>
      <c r="H244" s="1">
        <f>'Paste cell here'!E244</f>
        <v>3.8726058209623724</v>
      </c>
      <c r="I244" s="1">
        <f>'Paste cell here'!X244</f>
        <v>1.6381056161971941</v>
      </c>
      <c r="J244" s="1">
        <f>'Paste cell here'!Y244+'Paste cell here'!S244</f>
        <v>1.6381056161971941</v>
      </c>
      <c r="K244" s="1">
        <f t="shared" si="6"/>
        <v>0.42299828382484644</v>
      </c>
      <c r="L244" s="1">
        <f t="shared" si="7"/>
        <v>24.29262708664988</v>
      </c>
      <c r="M244" s="1">
        <f t="array" ref="M244">IF(AND(A244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244&gt;=_xlfn.ANCHORARRAY(Sintesi!$C$9))+(_xlfn.ANCHORARRAY(Sintesi!$C$9)&gt;_xlfn.ANCHORARRAY(Sintesi!$C$10))*(A244&lt;=_xlfn.ANCHORARRAY(Sintesi!$C$10))+(_xlfn.ANCHORARRAY(Sintesi!$C$9)&lt;_xlfn.ANCHORARRAY(Sintesi!$C$10))*(A244&gt;=_xlfn.ANCHORARRAY(Sintesi!$C$9))*(A244&lt;=_xlfn.ANCHORARRAY(Sintesi!$C$10)),0)),0),A244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245&gt;=_xlfn.ANCHORARRAY(Sintesi!$C$9))+(_xlfn.ANCHORARRAY(Sintesi!$C$9)&gt;_xlfn.ANCHORARRAY(Sintesi!$C$10))*(A245&lt;=_xlfn.ANCHORARRAY(Sintesi!$C$10))+(_xlfn.ANCHORARRAY(Sintesi!$C$9)&lt;_xlfn.ANCHORARRAY(Sintesi!$C$10))*(A245&gt;=_xlfn.ANCHORARRAY(Sintesi!$C$9))*(A245&lt;=_xlfn.ANCHORARRAY(Sintesi!$C$10)),0)),0)),IF(L244&lt;_xlfn.IFNA(INDEX(_xlfn.ANCHORARRAY(Sintesi!$C$17),1,MATCH(1,(_xlfn.ANCHORARRAY(Sintesi!$C$9)&gt;_xlfn.ANCHORARRAY(Sintesi!$C$10))*(A243&gt;=_xlfn.ANCHORARRAY(Sintesi!$C$9))+(_xlfn.ANCHORARRAY(Sintesi!$C$9)&gt;_xlfn.ANCHORARRAY(Sintesi!$C$10))*(A243&lt;=_xlfn.ANCHORARRAY(Sintesi!$C$10))+(_xlfn.ANCHORARRAY(Sintesi!$C$9)&lt;_xlfn.ANCHORARRAY(Sintesi!$C$10))*(A243&gt;=_xlfn.ANCHORARRAY(Sintesi!$C$9))*(A243&lt;=_xlfn.ANCHORARRAY(Sintesi!$C$10)),0)),0),1,IF(L244&gt;=_xlfn.IFNA(INDEX(_xlfn.ANCHORARRAY(Sintesi!$C$18),1,MATCH(1,(_xlfn.ANCHORARRAY(Sintesi!$C$9)&gt;_xlfn.ANCHORARRAY(Sintesi!$C$10))*(A243&gt;=_xlfn.ANCHORARRAY(Sintesi!$C$9))+(_xlfn.ANCHORARRAY(Sintesi!$C$9)&gt;_xlfn.ANCHORARRAY(Sintesi!$C$10))*(A243&lt;=_xlfn.ANCHORARRAY(Sintesi!$C$10))+(_xlfn.ANCHORARRAY(Sintesi!$C$9)&lt;_xlfn.ANCHORARRAY(Sintesi!$C$10))*(A243&gt;=_xlfn.ANCHORARRAY(Sintesi!$C$9))*(A243&lt;=_xlfn.ANCHORARRAY(Sintesi!$C$10)),0)),0),0,1-(L244-_xlfn.IFNA(INDEX(_xlfn.ANCHORARRAY(Sintesi!$C$17),1,MATCH(1,(_xlfn.ANCHORARRAY(Sintesi!$C$9)&gt;_xlfn.ANCHORARRAY(Sintesi!$C$10))*(A243&gt;=_xlfn.ANCHORARRAY(Sintesi!$C$9))+(_xlfn.ANCHORARRAY(Sintesi!$C$9)&gt;_xlfn.ANCHORARRAY(Sintesi!$C$10))*(A243&lt;=_xlfn.ANCHORARRAY(Sintesi!$C$10))+(_xlfn.ANCHORARRAY(Sintesi!$C$9)&lt;_xlfn.ANCHORARRAY(Sintesi!$C$10))*(A243&gt;=_xlfn.ANCHORARRAY(Sintesi!$C$9))*(A243&lt;=_xlfn.ANCHORARRAY(Sintesi!$C$10)),0)),0))/(_xlfn.IFNA(INDEX(_xlfn.ANCHORARRAY(Sintesi!$C$18),1,MATCH(1,(_xlfn.ANCHORARRAY(Sintesi!$C$9)&gt;_xlfn.ANCHORARRAY(Sintesi!$C$10))*(A243&gt;=_xlfn.ANCHORARRAY(Sintesi!$C$9))+(_xlfn.ANCHORARRAY(Sintesi!$C$9)&gt;_xlfn.ANCHORARRAY(Sintesi!$C$10))*(A243&lt;=_xlfn.ANCHORARRAY(Sintesi!$C$10))+(_xlfn.ANCHORARRAY(Sintesi!$C$9)&lt;_xlfn.ANCHORARRAY(Sintesi!$C$10))*(A243&gt;=_xlfn.ANCHORARRAY(Sintesi!$C$9))*(A243&lt;=_xlfn.ANCHORARRAY(Sintesi!$C$10)),0)),0)-_xlfn.IFNA(INDEX(_xlfn.ANCHORARRAY(Sintesi!$C$17),1,MATCH(1,(_xlfn.ANCHORARRAY(Sintesi!$C$9)&gt;_xlfn.ANCHORARRAY(Sintesi!$C$10))*(A243&gt;=_xlfn.ANCHORARRAY(Sintesi!$C$9))+(_xlfn.ANCHORARRAY(Sintesi!$C$9)&gt;_xlfn.ANCHORARRAY(Sintesi!$C$10))*(A243&lt;=_xlfn.ANCHORARRAY(Sintesi!$C$10))+(_xlfn.ANCHORARRAY(Sintesi!$C$9)&lt;_xlfn.ANCHORARRAY(Sintesi!$C$10))*(A243&gt;=_xlfn.ANCHORARRAY(Sintesi!$C$9))*(A243&lt;=_xlfn.ANCHORARRAY(Sintesi!$C$10)),0)),0)))),0)</f>
        <v>0</v>
      </c>
    </row>
    <row r="245" spans="1:13">
      <c r="A245" s="1">
        <f>'Paste cell here'!A245</f>
        <v>244</v>
      </c>
      <c r="B245" s="2">
        <f>DATE(Sintesi!$C$4-1,12,31)+A245</f>
        <v>44440</v>
      </c>
      <c r="C245" s="34">
        <f t="array" ref="C245">_xlfn.IFNA(MATCH(1,((_xlfn.ANCHORARRAY(Sintesi!$C$9)&gt;_xlfn.ANCHORARRAY(Sintesi!$C$10))*(A245&gt;=_xlfn.ANCHORARRAY(Sintesi!$C$9))+(_xlfn.ANCHORARRAY(Sintesi!$C$9)&gt;_xlfn.ANCHORARRAY(Sintesi!$C$10))*(A245&lt;=_xlfn.ANCHORARRAY(Sintesi!$C$10))+(_xlfn.ANCHORARRAY(Sintesi!$C$9)&lt;_xlfn.ANCHORARRAY(Sintesi!$C$10))*(A245&gt;=_xlfn.ANCHORARRAY(Sintesi!$C$9))*(A245&lt;=_xlfn.ANCHORARRAY(Sintesi!$C$10)))*(_xlfn.ANCHORARRAY(Sintesi!$C$15)&gt;=0)+(_xlfn.ANCHORARRAY(Sintesi!$C$15)&lt;0),0),0)</f>
        <v>1</v>
      </c>
      <c r="D245" s="1">
        <f t="array" ref="D245">IF(ISBLANK($E246),IF(ISNUMBER($E244),IF($C245&gt;0,IF(($E245=INDEX(_xlfn.ANCHORARRAY(Sintesi!$C$14),1,$C245))*(INDEX(_xlfn.ANCHORARRAY(Sintesi!$C$15),1,$C245)&gt;0),0,IF(($E245=INDEX(_xlfn.ANCHORARRAY(Sintesi!$C$14),1,$C245))*(INDEX(_xlfn.ANCHORARRAY(Sintesi!$C$15),1,$C245)&lt;0)+($E245&gt;=$E244)*($E245&lt;=INDEX($E:$E,MATCH(TRUE,INDEX((ISNUMBER($E:$E)),0),0)))*($E245&gt;INDEX(_xlfn.ANCHORARRAY(Sintesi!$C$14),1,$C245))*($E245&lt;=INDEX(_xlfn.ANCHORARRAY(Sintesi!$C$15),1,$C245))*(INDEX(_xlfn.ANCHORARRAY(Sintesi!$C$15),1,$C245)&gt;0),1,IF(($E245&gt;=$E244)*($E245&lt;=INDEX($E:$E,MATCH(TRUE,INDEX((ISNUMBER($E:$E)),0),0)))*($E245&gt;INDEX(_xlfn.ANCHORARRAY(Sintesi!$C$14),1,$C245))*($E245&lt;INDEX(_xlfn.ANCHORARRAY(Sintesi!$C$16),1,$C245))*(INDEX(_xlfn.ANCHORARRAY(Sintesi!$C$15),1,$C245)&lt;0)+($E245&gt;=$E244)*($E245&lt;=INDEX($E:$E,MATCH(TRUE,INDEX((ISNUMBER($E:$E)),0),0)))*($E245&gt;INDEX(_xlfn.ANCHORARRAY(Sintesi!$C$15),1,$C245))*($E245&lt;INDEX(_xlfn.ANCHORARRAY(Sintesi!$C$16),1,$C245))*(INDEX(_xlfn.ANCHORARRAY(Sintesi!$C$15),1,$C245)&gt;0),2,IF($E245=(INDEX(_xlfn.ANCHORARRAY(Sintesi!$C$16),1,$C245)),3,4)))),0),IF($C245&gt;0,IF(($E245=INDEX(_xlfn.ANCHORARRAY(Sintesi!$C$14),1,$C245))*(INDEX(_xlfn.ANCHORARRAY(Sintesi!$C$15),1,$C245)&gt;0),0,IF(($E245=INDEX(_xlfn.ANCHORARRAY(Sintesi!$C$14),1,$C245))*(INDEX(_xlfn.ANCHORARRAY(Sintesi!$C$15),1,$C245)&lt;0)+($E245&gt;=LOOKUP(2,1/($E:$E&lt;&gt;""),$E:$E))*($E245&lt;=INDEX($E:$E,MATCH(TRUE,INDEX((ISNUMBER($E:$E)),0),0)))*($E245&gt;INDEX(_xlfn.ANCHORARRAY(Sintesi!$C$14),1,$C245))*($E245&lt;=INDEX(_xlfn.ANCHORARRAY(Sintesi!$C$15),1,$C245))*(INDEX(_xlfn.ANCHORARRAY(Sintesi!$C$15),1,$C245)&gt;0),1,IF(($E245&gt;=LOOKUP(2,1/($E:$E&lt;&gt;""),$E:$E))*($E245&lt;=INDEX($E:$E,MATCH(TRUE,INDEX((ISNUMBER($E:$E)),0),0)))*($E245&gt;INDEX(_xlfn.ANCHORARRAY(Sintesi!$C$14),1,$C245))*($E245&lt;INDEX(_xlfn.ANCHORARRAY(Sintesi!$C$16),1,$C245))*(INDEX(_xlfn.ANCHORARRAY(Sintesi!$C$15),1,$C245)&lt;0)+($E245&gt;=LOOKUP(2,1/($E:$E&lt;&gt;""),$E:$E))*($E245&lt;=INDEX($E:$E,MATCH(TRUE,INDEX((ISNUMBER($E:$E)),0),0)))*($E245&gt;INDEX(_xlfn.ANCHORARRAY(Sintesi!$C$15),1,$C245))*($E245&lt;INDEX(_xlfn.ANCHORARRAY(Sintesi!$C$16),1,$C245))*(INDEX(_xlfn.ANCHORARRAY(Sintesi!$C$15),1,$C245)&gt;0),2,IF($E245=(INDEX(_xlfn.ANCHORARRAY(Sintesi!$C$16),1,$C245)),3,4)))),0)),IF(ISNUMBER($E244),IF($C245&gt;0,IF(($E245=INDEX(_xlfn.ANCHORARRAY(Sintesi!$C$14),1,$C245))*(INDEX(_xlfn.ANCHORARRAY(Sintesi!$C$15),1,$C245)&gt;0),0,IF(($E245=INDEX(_xlfn.ANCHORARRAY(Sintesi!$C$14),1,$C245))*(INDEX(_xlfn.ANCHORARRAY(Sintesi!$C$15),1,$C245)&lt;0)+($E245&gt;=$E244)*($E245&lt;=$E246)*($E245&gt;INDEX(_xlfn.ANCHORARRAY(Sintesi!$C$14),1,$C245))*($E245&lt;=INDEX(_xlfn.ANCHORARRAY(Sintesi!$C$15),1,$C245))*(INDEX(_xlfn.ANCHORARRAY(Sintesi!$C$15),1,$C245)&gt;0),1,IF(($E245&gt;=$E244)*($E245&lt;=$E246)*($E245&gt;INDEX(_xlfn.ANCHORARRAY(Sintesi!$C$14),1,$C245))*($E245&lt;INDEX(_xlfn.ANCHORARRAY(Sintesi!$C$16),1,$C245))*(INDEX(_xlfn.ANCHORARRAY(Sintesi!$C$15),1,$C245)&lt;0)+($E245&gt;=$E244)*($E245&lt;=$E246)*($E245&gt;INDEX(_xlfn.ANCHORARRAY(Sintesi!$C$15),1,$C245))*($E245&lt;INDEX(_xlfn.ANCHORARRAY(Sintesi!$C$16),1,$C245))*(INDEX(_xlfn.ANCHORARRAY(Sintesi!$C$15),1,$C245)&gt;0),2,IF($E245=(INDEX(_xlfn.ANCHORARRAY(Sintesi!$C$16),1,$C245)),3,4)))),0),IF($C245&gt;0,IF(($E245=INDEX(_xlfn.ANCHORARRAY(Sintesi!$C$14),1,$C245))*(INDEX(_xlfn.ANCHORARRAY(Sintesi!$C$15),1,$C245)&gt;0),0,IF(($E245=INDEX(_xlfn.ANCHORARRAY(Sintesi!$C$14),1,$C245))*(INDEX(_xlfn.ANCHORARRAY(Sintesi!$C$15),1,$C245)&lt;0)+($E245&gt;=LOOKUP(2,1/($E:$E&lt;&gt;""),$E:$E))*($E245&lt;=$E246)*($E245&gt;INDEX(_xlfn.ANCHORARRAY(Sintesi!$C$14),1,$C245))*($E245&lt;=INDEX(_xlfn.ANCHORARRAY(Sintesi!$C$15),1,$C245))*(INDEX(_xlfn.ANCHORARRAY(Sintesi!$C$15),1,$C245)&gt;0),1,IF(($E245&gt;=LOOKUP(2,1/($E:$E&lt;&gt;""),$E:$E))*($E245&lt;=$E246)*($E245&gt;INDEX(_xlfn.ANCHORARRAY(Sintesi!$C$14),1,$C245))*($E245&lt;INDEX(_xlfn.ANCHORARRAY(Sintesi!$C$16),1,$C245))*(INDEX(_xlfn.ANCHORARRAY(Sintesi!$C$15),1,$C245)&lt;0)+($E245&gt;=LOOKUP(2,1/($E:$E&lt;&gt;""),$E:$E))*($E245&lt;=$E246)*($E245&gt;INDEX(_xlfn.ANCHORARRAY(Sintesi!$C$15),1,$C245))*($E245&lt;INDEX(_xlfn.ANCHORARRAY(Sintesi!$C$16),1,$C245))*(INDEX(_xlfn.ANCHORARRAY(Sintesi!$C$15),1,$C245)&gt;0),2,IF($E245=(INDEX(_xlfn.ANCHORARRAY(Sintesi!$C$16),1,$C245)),3,4)))),0)))</f>
        <v>4</v>
      </c>
      <c r="E245" s="1">
        <f>'Paste cell here'!F245</f>
        <v>0.38400000000000001</v>
      </c>
      <c r="F245" s="1">
        <f>'Paste cell here'!C245</f>
        <v>29.579999999999572</v>
      </c>
      <c r="G245" s="1">
        <f>'Paste cell here'!D245</f>
        <v>15.039999999999798</v>
      </c>
      <c r="H245" s="1">
        <f>'Paste cell here'!E245</f>
        <v>3.9938316246782026</v>
      </c>
      <c r="I245" s="1">
        <f>'Paste cell here'!X245</f>
        <v>1.533625663057584</v>
      </c>
      <c r="J245" s="1">
        <f>'Paste cell here'!Y245+'Paste cell here'!S245</f>
        <v>1.533625663057584</v>
      </c>
      <c r="K245" s="1">
        <f t="shared" si="6"/>
        <v>0.3839985776018171</v>
      </c>
      <c r="L245" s="1">
        <f t="shared" si="7"/>
        <v>24.137962060367034</v>
      </c>
      <c r="M245" s="1">
        <f t="array" ref="M245">IF(AND(A245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245&gt;=_xlfn.ANCHORARRAY(Sintesi!$C$9))+(_xlfn.ANCHORARRAY(Sintesi!$C$9)&gt;_xlfn.ANCHORARRAY(Sintesi!$C$10))*(A245&lt;=_xlfn.ANCHORARRAY(Sintesi!$C$10))+(_xlfn.ANCHORARRAY(Sintesi!$C$9)&lt;_xlfn.ANCHORARRAY(Sintesi!$C$10))*(A245&gt;=_xlfn.ANCHORARRAY(Sintesi!$C$9))*(A245&lt;=_xlfn.ANCHORARRAY(Sintesi!$C$10)),0)),0),A245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246&gt;=_xlfn.ANCHORARRAY(Sintesi!$C$9))+(_xlfn.ANCHORARRAY(Sintesi!$C$9)&gt;_xlfn.ANCHORARRAY(Sintesi!$C$10))*(A246&lt;=_xlfn.ANCHORARRAY(Sintesi!$C$10))+(_xlfn.ANCHORARRAY(Sintesi!$C$9)&lt;_xlfn.ANCHORARRAY(Sintesi!$C$10))*(A246&gt;=_xlfn.ANCHORARRAY(Sintesi!$C$9))*(A246&lt;=_xlfn.ANCHORARRAY(Sintesi!$C$10)),0)),0)),IF(L245&lt;_xlfn.IFNA(INDEX(_xlfn.ANCHORARRAY(Sintesi!$C$17),1,MATCH(1,(_xlfn.ANCHORARRAY(Sintesi!$C$9)&gt;_xlfn.ANCHORARRAY(Sintesi!$C$10))*(A244&gt;=_xlfn.ANCHORARRAY(Sintesi!$C$9))+(_xlfn.ANCHORARRAY(Sintesi!$C$9)&gt;_xlfn.ANCHORARRAY(Sintesi!$C$10))*(A244&lt;=_xlfn.ANCHORARRAY(Sintesi!$C$10))+(_xlfn.ANCHORARRAY(Sintesi!$C$9)&lt;_xlfn.ANCHORARRAY(Sintesi!$C$10))*(A244&gt;=_xlfn.ANCHORARRAY(Sintesi!$C$9))*(A244&lt;=_xlfn.ANCHORARRAY(Sintesi!$C$10)),0)),0),1,IF(L245&gt;=_xlfn.IFNA(INDEX(_xlfn.ANCHORARRAY(Sintesi!$C$18),1,MATCH(1,(_xlfn.ANCHORARRAY(Sintesi!$C$9)&gt;_xlfn.ANCHORARRAY(Sintesi!$C$10))*(A244&gt;=_xlfn.ANCHORARRAY(Sintesi!$C$9))+(_xlfn.ANCHORARRAY(Sintesi!$C$9)&gt;_xlfn.ANCHORARRAY(Sintesi!$C$10))*(A244&lt;=_xlfn.ANCHORARRAY(Sintesi!$C$10))+(_xlfn.ANCHORARRAY(Sintesi!$C$9)&lt;_xlfn.ANCHORARRAY(Sintesi!$C$10))*(A244&gt;=_xlfn.ANCHORARRAY(Sintesi!$C$9))*(A244&lt;=_xlfn.ANCHORARRAY(Sintesi!$C$10)),0)),0),0,1-(L245-_xlfn.IFNA(INDEX(_xlfn.ANCHORARRAY(Sintesi!$C$17),1,MATCH(1,(_xlfn.ANCHORARRAY(Sintesi!$C$9)&gt;_xlfn.ANCHORARRAY(Sintesi!$C$10))*(A244&gt;=_xlfn.ANCHORARRAY(Sintesi!$C$9))+(_xlfn.ANCHORARRAY(Sintesi!$C$9)&gt;_xlfn.ANCHORARRAY(Sintesi!$C$10))*(A244&lt;=_xlfn.ANCHORARRAY(Sintesi!$C$10))+(_xlfn.ANCHORARRAY(Sintesi!$C$9)&lt;_xlfn.ANCHORARRAY(Sintesi!$C$10))*(A244&gt;=_xlfn.ANCHORARRAY(Sintesi!$C$9))*(A244&lt;=_xlfn.ANCHORARRAY(Sintesi!$C$10)),0)),0))/(_xlfn.IFNA(INDEX(_xlfn.ANCHORARRAY(Sintesi!$C$18),1,MATCH(1,(_xlfn.ANCHORARRAY(Sintesi!$C$9)&gt;_xlfn.ANCHORARRAY(Sintesi!$C$10))*(A244&gt;=_xlfn.ANCHORARRAY(Sintesi!$C$9))+(_xlfn.ANCHORARRAY(Sintesi!$C$9)&gt;_xlfn.ANCHORARRAY(Sintesi!$C$10))*(A244&lt;=_xlfn.ANCHORARRAY(Sintesi!$C$10))+(_xlfn.ANCHORARRAY(Sintesi!$C$9)&lt;_xlfn.ANCHORARRAY(Sintesi!$C$10))*(A244&gt;=_xlfn.ANCHORARRAY(Sintesi!$C$9))*(A244&lt;=_xlfn.ANCHORARRAY(Sintesi!$C$10)),0)),0)-_xlfn.IFNA(INDEX(_xlfn.ANCHORARRAY(Sintesi!$C$17),1,MATCH(1,(_xlfn.ANCHORARRAY(Sintesi!$C$9)&gt;_xlfn.ANCHORARRAY(Sintesi!$C$10))*(A244&gt;=_xlfn.ANCHORARRAY(Sintesi!$C$9))+(_xlfn.ANCHORARRAY(Sintesi!$C$9)&gt;_xlfn.ANCHORARRAY(Sintesi!$C$10))*(A244&lt;=_xlfn.ANCHORARRAY(Sintesi!$C$10))+(_xlfn.ANCHORARRAY(Sintesi!$C$9)&lt;_xlfn.ANCHORARRAY(Sintesi!$C$10))*(A244&gt;=_xlfn.ANCHORARRAY(Sintesi!$C$9))*(A244&lt;=_xlfn.ANCHORARRAY(Sintesi!$C$10)),0)),0)))),0)</f>
        <v>0</v>
      </c>
    </row>
    <row r="246" spans="1:13">
      <c r="A246" s="1">
        <f>'Paste cell here'!A246</f>
        <v>245</v>
      </c>
      <c r="B246" s="2">
        <f>DATE(Sintesi!$C$4-1,12,31)+A246</f>
        <v>44441</v>
      </c>
      <c r="C246" s="34">
        <f t="array" ref="C246">_xlfn.IFNA(MATCH(1,((_xlfn.ANCHORARRAY(Sintesi!$C$9)&gt;_xlfn.ANCHORARRAY(Sintesi!$C$10))*(A246&gt;=_xlfn.ANCHORARRAY(Sintesi!$C$9))+(_xlfn.ANCHORARRAY(Sintesi!$C$9)&gt;_xlfn.ANCHORARRAY(Sintesi!$C$10))*(A246&lt;=_xlfn.ANCHORARRAY(Sintesi!$C$10))+(_xlfn.ANCHORARRAY(Sintesi!$C$9)&lt;_xlfn.ANCHORARRAY(Sintesi!$C$10))*(A246&gt;=_xlfn.ANCHORARRAY(Sintesi!$C$9))*(A246&lt;=_xlfn.ANCHORARRAY(Sintesi!$C$10)))*(_xlfn.ANCHORARRAY(Sintesi!$C$15)&gt;=0)+(_xlfn.ANCHORARRAY(Sintesi!$C$15)&lt;0),0),0)</f>
        <v>1</v>
      </c>
      <c r="D246" s="1">
        <f t="array" ref="D246">IF(ISBLANK($E247),IF(ISNUMBER($E245),IF($C246&gt;0,IF(($E246=INDEX(_xlfn.ANCHORARRAY(Sintesi!$C$14),1,$C246))*(INDEX(_xlfn.ANCHORARRAY(Sintesi!$C$15),1,$C246)&gt;0),0,IF(($E246=INDEX(_xlfn.ANCHORARRAY(Sintesi!$C$14),1,$C246))*(INDEX(_xlfn.ANCHORARRAY(Sintesi!$C$15),1,$C246)&lt;0)+($E246&gt;=$E245)*($E246&lt;=INDEX($E:$E,MATCH(TRUE,INDEX((ISNUMBER($E:$E)),0),0)))*($E246&gt;INDEX(_xlfn.ANCHORARRAY(Sintesi!$C$14),1,$C246))*($E246&lt;=INDEX(_xlfn.ANCHORARRAY(Sintesi!$C$15),1,$C246))*(INDEX(_xlfn.ANCHORARRAY(Sintesi!$C$15),1,$C246)&gt;0),1,IF(($E246&gt;=$E245)*($E246&lt;=INDEX($E:$E,MATCH(TRUE,INDEX((ISNUMBER($E:$E)),0),0)))*($E246&gt;INDEX(_xlfn.ANCHORARRAY(Sintesi!$C$14),1,$C246))*($E246&lt;INDEX(_xlfn.ANCHORARRAY(Sintesi!$C$16),1,$C246))*(INDEX(_xlfn.ANCHORARRAY(Sintesi!$C$15),1,$C246)&lt;0)+($E246&gt;=$E245)*($E246&lt;=INDEX($E:$E,MATCH(TRUE,INDEX((ISNUMBER($E:$E)),0),0)))*($E246&gt;INDEX(_xlfn.ANCHORARRAY(Sintesi!$C$15),1,$C246))*($E246&lt;INDEX(_xlfn.ANCHORARRAY(Sintesi!$C$16),1,$C246))*(INDEX(_xlfn.ANCHORARRAY(Sintesi!$C$15),1,$C246)&gt;0),2,IF($E246=(INDEX(_xlfn.ANCHORARRAY(Sintesi!$C$16),1,$C246)),3,4)))),0),IF($C246&gt;0,IF(($E246=INDEX(_xlfn.ANCHORARRAY(Sintesi!$C$14),1,$C246))*(INDEX(_xlfn.ANCHORARRAY(Sintesi!$C$15),1,$C246)&gt;0),0,IF(($E246=INDEX(_xlfn.ANCHORARRAY(Sintesi!$C$14),1,$C246))*(INDEX(_xlfn.ANCHORARRAY(Sintesi!$C$15),1,$C246)&lt;0)+($E246&gt;=LOOKUP(2,1/($E:$E&lt;&gt;""),$E:$E))*($E246&lt;=INDEX($E:$E,MATCH(TRUE,INDEX((ISNUMBER($E:$E)),0),0)))*($E246&gt;INDEX(_xlfn.ANCHORARRAY(Sintesi!$C$14),1,$C246))*($E246&lt;=INDEX(_xlfn.ANCHORARRAY(Sintesi!$C$15),1,$C246))*(INDEX(_xlfn.ANCHORARRAY(Sintesi!$C$15),1,$C246)&gt;0),1,IF(($E246&gt;=LOOKUP(2,1/($E:$E&lt;&gt;""),$E:$E))*($E246&lt;=INDEX($E:$E,MATCH(TRUE,INDEX((ISNUMBER($E:$E)),0),0)))*($E246&gt;INDEX(_xlfn.ANCHORARRAY(Sintesi!$C$14),1,$C246))*($E246&lt;INDEX(_xlfn.ANCHORARRAY(Sintesi!$C$16),1,$C246))*(INDEX(_xlfn.ANCHORARRAY(Sintesi!$C$15),1,$C246)&lt;0)+($E246&gt;=LOOKUP(2,1/($E:$E&lt;&gt;""),$E:$E))*($E246&lt;=INDEX($E:$E,MATCH(TRUE,INDEX((ISNUMBER($E:$E)),0),0)))*($E246&gt;INDEX(_xlfn.ANCHORARRAY(Sintesi!$C$15),1,$C246))*($E246&lt;INDEX(_xlfn.ANCHORARRAY(Sintesi!$C$16),1,$C246))*(INDEX(_xlfn.ANCHORARRAY(Sintesi!$C$15),1,$C246)&gt;0),2,IF($E246=(INDEX(_xlfn.ANCHORARRAY(Sintesi!$C$16),1,$C246)),3,4)))),0)),IF(ISNUMBER($E245),IF($C246&gt;0,IF(($E246=INDEX(_xlfn.ANCHORARRAY(Sintesi!$C$14),1,$C246))*(INDEX(_xlfn.ANCHORARRAY(Sintesi!$C$15),1,$C246)&gt;0),0,IF(($E246=INDEX(_xlfn.ANCHORARRAY(Sintesi!$C$14),1,$C246))*(INDEX(_xlfn.ANCHORARRAY(Sintesi!$C$15),1,$C246)&lt;0)+($E246&gt;=$E245)*($E246&lt;=$E247)*($E246&gt;INDEX(_xlfn.ANCHORARRAY(Sintesi!$C$14),1,$C246))*($E246&lt;=INDEX(_xlfn.ANCHORARRAY(Sintesi!$C$15),1,$C246))*(INDEX(_xlfn.ANCHORARRAY(Sintesi!$C$15),1,$C246)&gt;0),1,IF(($E246&gt;=$E245)*($E246&lt;=$E247)*($E246&gt;INDEX(_xlfn.ANCHORARRAY(Sintesi!$C$14),1,$C246))*($E246&lt;INDEX(_xlfn.ANCHORARRAY(Sintesi!$C$16),1,$C246))*(INDEX(_xlfn.ANCHORARRAY(Sintesi!$C$15),1,$C246)&lt;0)+($E246&gt;=$E245)*($E246&lt;=$E247)*($E246&gt;INDEX(_xlfn.ANCHORARRAY(Sintesi!$C$15),1,$C246))*($E246&lt;INDEX(_xlfn.ANCHORARRAY(Sintesi!$C$16),1,$C246))*(INDEX(_xlfn.ANCHORARRAY(Sintesi!$C$15),1,$C246)&gt;0),2,IF($E246=(INDEX(_xlfn.ANCHORARRAY(Sintesi!$C$16),1,$C246)),3,4)))),0),IF($C246&gt;0,IF(($E246=INDEX(_xlfn.ANCHORARRAY(Sintesi!$C$14),1,$C246))*(INDEX(_xlfn.ANCHORARRAY(Sintesi!$C$15),1,$C246)&gt;0),0,IF(($E246=INDEX(_xlfn.ANCHORARRAY(Sintesi!$C$14),1,$C246))*(INDEX(_xlfn.ANCHORARRAY(Sintesi!$C$15),1,$C246)&lt;0)+($E246&gt;=LOOKUP(2,1/($E:$E&lt;&gt;""),$E:$E))*($E246&lt;=$E247)*($E246&gt;INDEX(_xlfn.ANCHORARRAY(Sintesi!$C$14),1,$C246))*($E246&lt;=INDEX(_xlfn.ANCHORARRAY(Sintesi!$C$15),1,$C246))*(INDEX(_xlfn.ANCHORARRAY(Sintesi!$C$15),1,$C246)&gt;0),1,IF(($E246&gt;=LOOKUP(2,1/($E:$E&lt;&gt;""),$E:$E))*($E246&lt;=$E247)*($E246&gt;INDEX(_xlfn.ANCHORARRAY(Sintesi!$C$14),1,$C246))*($E246&lt;INDEX(_xlfn.ANCHORARRAY(Sintesi!$C$16),1,$C246))*(INDEX(_xlfn.ANCHORARRAY(Sintesi!$C$15),1,$C246)&lt;0)+($E246&gt;=LOOKUP(2,1/($E:$E&lt;&gt;""),$E:$E))*($E246&lt;=$E247)*($E246&gt;INDEX(_xlfn.ANCHORARRAY(Sintesi!$C$15),1,$C246))*($E246&lt;INDEX(_xlfn.ANCHORARRAY(Sintesi!$C$16),1,$C246))*(INDEX(_xlfn.ANCHORARRAY(Sintesi!$C$15),1,$C246)&gt;0),2,IF($E246=(INDEX(_xlfn.ANCHORARRAY(Sintesi!$C$16),1,$C246)),3,4)))),0)))</f>
        <v>4</v>
      </c>
      <c r="E246" s="1">
        <f>'Paste cell here'!F246</f>
        <v>0.34499999999999997</v>
      </c>
      <c r="F246" s="1">
        <f>'Paste cell here'!C246</f>
        <v>29.159999999999584</v>
      </c>
      <c r="G246" s="1">
        <f>'Paste cell here'!D246</f>
        <v>17.419999999999771</v>
      </c>
      <c r="H246" s="1">
        <f>'Paste cell here'!E246</f>
        <v>4.3671860786871441</v>
      </c>
      <c r="I246" s="1">
        <f>'Paste cell here'!X246</f>
        <v>1.5066741086981124</v>
      </c>
      <c r="J246" s="1">
        <f>'Paste cell here'!Y246+'Paste cell here'!S246</f>
        <v>1.5066741086981124</v>
      </c>
      <c r="K246" s="1">
        <f t="shared" si="6"/>
        <v>0.3449988348449412</v>
      </c>
      <c r="L246" s="1">
        <f t="shared" si="7"/>
        <v>24.76594735823301</v>
      </c>
      <c r="M246" s="1">
        <f t="array" ref="M246">IF(AND(A246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246&gt;=_xlfn.ANCHORARRAY(Sintesi!$C$9))+(_xlfn.ANCHORARRAY(Sintesi!$C$9)&gt;_xlfn.ANCHORARRAY(Sintesi!$C$10))*(A246&lt;=_xlfn.ANCHORARRAY(Sintesi!$C$10))+(_xlfn.ANCHORARRAY(Sintesi!$C$9)&lt;_xlfn.ANCHORARRAY(Sintesi!$C$10))*(A246&gt;=_xlfn.ANCHORARRAY(Sintesi!$C$9))*(A246&lt;=_xlfn.ANCHORARRAY(Sintesi!$C$10)),0)),0),A246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247&gt;=_xlfn.ANCHORARRAY(Sintesi!$C$9))+(_xlfn.ANCHORARRAY(Sintesi!$C$9)&gt;_xlfn.ANCHORARRAY(Sintesi!$C$10))*(A247&lt;=_xlfn.ANCHORARRAY(Sintesi!$C$10))+(_xlfn.ANCHORARRAY(Sintesi!$C$9)&lt;_xlfn.ANCHORARRAY(Sintesi!$C$10))*(A247&gt;=_xlfn.ANCHORARRAY(Sintesi!$C$9))*(A247&lt;=_xlfn.ANCHORARRAY(Sintesi!$C$10)),0)),0)),IF(L246&lt;_xlfn.IFNA(INDEX(_xlfn.ANCHORARRAY(Sintesi!$C$17),1,MATCH(1,(_xlfn.ANCHORARRAY(Sintesi!$C$9)&gt;_xlfn.ANCHORARRAY(Sintesi!$C$10))*(A245&gt;=_xlfn.ANCHORARRAY(Sintesi!$C$9))+(_xlfn.ANCHORARRAY(Sintesi!$C$9)&gt;_xlfn.ANCHORARRAY(Sintesi!$C$10))*(A245&lt;=_xlfn.ANCHORARRAY(Sintesi!$C$10))+(_xlfn.ANCHORARRAY(Sintesi!$C$9)&lt;_xlfn.ANCHORARRAY(Sintesi!$C$10))*(A245&gt;=_xlfn.ANCHORARRAY(Sintesi!$C$9))*(A245&lt;=_xlfn.ANCHORARRAY(Sintesi!$C$10)),0)),0),1,IF(L246&gt;=_xlfn.IFNA(INDEX(_xlfn.ANCHORARRAY(Sintesi!$C$18),1,MATCH(1,(_xlfn.ANCHORARRAY(Sintesi!$C$9)&gt;_xlfn.ANCHORARRAY(Sintesi!$C$10))*(A245&gt;=_xlfn.ANCHORARRAY(Sintesi!$C$9))+(_xlfn.ANCHORARRAY(Sintesi!$C$9)&gt;_xlfn.ANCHORARRAY(Sintesi!$C$10))*(A245&lt;=_xlfn.ANCHORARRAY(Sintesi!$C$10))+(_xlfn.ANCHORARRAY(Sintesi!$C$9)&lt;_xlfn.ANCHORARRAY(Sintesi!$C$10))*(A245&gt;=_xlfn.ANCHORARRAY(Sintesi!$C$9))*(A245&lt;=_xlfn.ANCHORARRAY(Sintesi!$C$10)),0)),0),0,1-(L246-_xlfn.IFNA(INDEX(_xlfn.ANCHORARRAY(Sintesi!$C$17),1,MATCH(1,(_xlfn.ANCHORARRAY(Sintesi!$C$9)&gt;_xlfn.ANCHORARRAY(Sintesi!$C$10))*(A245&gt;=_xlfn.ANCHORARRAY(Sintesi!$C$9))+(_xlfn.ANCHORARRAY(Sintesi!$C$9)&gt;_xlfn.ANCHORARRAY(Sintesi!$C$10))*(A245&lt;=_xlfn.ANCHORARRAY(Sintesi!$C$10))+(_xlfn.ANCHORARRAY(Sintesi!$C$9)&lt;_xlfn.ANCHORARRAY(Sintesi!$C$10))*(A245&gt;=_xlfn.ANCHORARRAY(Sintesi!$C$9))*(A245&lt;=_xlfn.ANCHORARRAY(Sintesi!$C$10)),0)),0))/(_xlfn.IFNA(INDEX(_xlfn.ANCHORARRAY(Sintesi!$C$18),1,MATCH(1,(_xlfn.ANCHORARRAY(Sintesi!$C$9)&gt;_xlfn.ANCHORARRAY(Sintesi!$C$10))*(A245&gt;=_xlfn.ANCHORARRAY(Sintesi!$C$9))+(_xlfn.ANCHORARRAY(Sintesi!$C$9)&gt;_xlfn.ANCHORARRAY(Sintesi!$C$10))*(A245&lt;=_xlfn.ANCHORARRAY(Sintesi!$C$10))+(_xlfn.ANCHORARRAY(Sintesi!$C$9)&lt;_xlfn.ANCHORARRAY(Sintesi!$C$10))*(A245&gt;=_xlfn.ANCHORARRAY(Sintesi!$C$9))*(A245&lt;=_xlfn.ANCHORARRAY(Sintesi!$C$10)),0)),0)-_xlfn.IFNA(INDEX(_xlfn.ANCHORARRAY(Sintesi!$C$17),1,MATCH(1,(_xlfn.ANCHORARRAY(Sintesi!$C$9)&gt;_xlfn.ANCHORARRAY(Sintesi!$C$10))*(A245&gt;=_xlfn.ANCHORARRAY(Sintesi!$C$9))+(_xlfn.ANCHORARRAY(Sintesi!$C$9)&gt;_xlfn.ANCHORARRAY(Sintesi!$C$10))*(A245&lt;=_xlfn.ANCHORARRAY(Sintesi!$C$10))+(_xlfn.ANCHORARRAY(Sintesi!$C$9)&lt;_xlfn.ANCHORARRAY(Sintesi!$C$10))*(A245&gt;=_xlfn.ANCHORARRAY(Sintesi!$C$9))*(A245&lt;=_xlfn.ANCHORARRAY(Sintesi!$C$10)),0)),0)))),0)</f>
        <v>0</v>
      </c>
    </row>
    <row r="247" spans="1:13">
      <c r="A247" s="1">
        <f>'Paste cell here'!A247</f>
        <v>246</v>
      </c>
      <c r="B247" s="2">
        <f>DATE(Sintesi!$C$4-1,12,31)+A247</f>
        <v>44442</v>
      </c>
      <c r="C247" s="34">
        <f t="array" ref="C247">_xlfn.IFNA(MATCH(1,((_xlfn.ANCHORARRAY(Sintesi!$C$9)&gt;_xlfn.ANCHORARRAY(Sintesi!$C$10))*(A247&gt;=_xlfn.ANCHORARRAY(Sintesi!$C$9))+(_xlfn.ANCHORARRAY(Sintesi!$C$9)&gt;_xlfn.ANCHORARRAY(Sintesi!$C$10))*(A247&lt;=_xlfn.ANCHORARRAY(Sintesi!$C$10))+(_xlfn.ANCHORARRAY(Sintesi!$C$9)&lt;_xlfn.ANCHORARRAY(Sintesi!$C$10))*(A247&gt;=_xlfn.ANCHORARRAY(Sintesi!$C$9))*(A247&lt;=_xlfn.ANCHORARRAY(Sintesi!$C$10)))*(_xlfn.ANCHORARRAY(Sintesi!$C$15)&gt;=0)+(_xlfn.ANCHORARRAY(Sintesi!$C$15)&lt;0),0),0)</f>
        <v>1</v>
      </c>
      <c r="D247" s="1">
        <f t="array" ref="D247">IF(ISBLANK($E248),IF(ISNUMBER($E246),IF($C247&gt;0,IF(($E247=INDEX(_xlfn.ANCHORARRAY(Sintesi!$C$14),1,$C247))*(INDEX(_xlfn.ANCHORARRAY(Sintesi!$C$15),1,$C247)&gt;0),0,IF(($E247=INDEX(_xlfn.ANCHORARRAY(Sintesi!$C$14),1,$C247))*(INDEX(_xlfn.ANCHORARRAY(Sintesi!$C$15),1,$C247)&lt;0)+($E247&gt;=$E246)*($E247&lt;=INDEX($E:$E,MATCH(TRUE,INDEX((ISNUMBER($E:$E)),0),0)))*($E247&gt;INDEX(_xlfn.ANCHORARRAY(Sintesi!$C$14),1,$C247))*($E247&lt;=INDEX(_xlfn.ANCHORARRAY(Sintesi!$C$15),1,$C247))*(INDEX(_xlfn.ANCHORARRAY(Sintesi!$C$15),1,$C247)&gt;0),1,IF(($E247&gt;=$E246)*($E247&lt;=INDEX($E:$E,MATCH(TRUE,INDEX((ISNUMBER($E:$E)),0),0)))*($E247&gt;INDEX(_xlfn.ANCHORARRAY(Sintesi!$C$14),1,$C247))*($E247&lt;INDEX(_xlfn.ANCHORARRAY(Sintesi!$C$16),1,$C247))*(INDEX(_xlfn.ANCHORARRAY(Sintesi!$C$15),1,$C247)&lt;0)+($E247&gt;=$E246)*($E247&lt;=INDEX($E:$E,MATCH(TRUE,INDEX((ISNUMBER($E:$E)),0),0)))*($E247&gt;INDEX(_xlfn.ANCHORARRAY(Sintesi!$C$15),1,$C247))*($E247&lt;INDEX(_xlfn.ANCHORARRAY(Sintesi!$C$16),1,$C247))*(INDEX(_xlfn.ANCHORARRAY(Sintesi!$C$15),1,$C247)&gt;0),2,IF($E247=(INDEX(_xlfn.ANCHORARRAY(Sintesi!$C$16),1,$C247)),3,4)))),0),IF($C247&gt;0,IF(($E247=INDEX(_xlfn.ANCHORARRAY(Sintesi!$C$14),1,$C247))*(INDEX(_xlfn.ANCHORARRAY(Sintesi!$C$15),1,$C247)&gt;0),0,IF(($E247=INDEX(_xlfn.ANCHORARRAY(Sintesi!$C$14),1,$C247))*(INDEX(_xlfn.ANCHORARRAY(Sintesi!$C$15),1,$C247)&lt;0)+($E247&gt;=LOOKUP(2,1/($E:$E&lt;&gt;""),$E:$E))*($E247&lt;=INDEX($E:$E,MATCH(TRUE,INDEX((ISNUMBER($E:$E)),0),0)))*($E247&gt;INDEX(_xlfn.ANCHORARRAY(Sintesi!$C$14),1,$C247))*($E247&lt;=INDEX(_xlfn.ANCHORARRAY(Sintesi!$C$15),1,$C247))*(INDEX(_xlfn.ANCHORARRAY(Sintesi!$C$15),1,$C247)&gt;0),1,IF(($E247&gt;=LOOKUP(2,1/($E:$E&lt;&gt;""),$E:$E))*($E247&lt;=INDEX($E:$E,MATCH(TRUE,INDEX((ISNUMBER($E:$E)),0),0)))*($E247&gt;INDEX(_xlfn.ANCHORARRAY(Sintesi!$C$14),1,$C247))*($E247&lt;INDEX(_xlfn.ANCHORARRAY(Sintesi!$C$16),1,$C247))*(INDEX(_xlfn.ANCHORARRAY(Sintesi!$C$15),1,$C247)&lt;0)+($E247&gt;=LOOKUP(2,1/($E:$E&lt;&gt;""),$E:$E))*($E247&lt;=INDEX($E:$E,MATCH(TRUE,INDEX((ISNUMBER($E:$E)),0),0)))*($E247&gt;INDEX(_xlfn.ANCHORARRAY(Sintesi!$C$15),1,$C247))*($E247&lt;INDEX(_xlfn.ANCHORARRAY(Sintesi!$C$16),1,$C247))*(INDEX(_xlfn.ANCHORARRAY(Sintesi!$C$15),1,$C247)&gt;0),2,IF($E247=(INDEX(_xlfn.ANCHORARRAY(Sintesi!$C$16),1,$C247)),3,4)))),0)),IF(ISNUMBER($E246),IF($C247&gt;0,IF(($E247=INDEX(_xlfn.ANCHORARRAY(Sintesi!$C$14),1,$C247))*(INDEX(_xlfn.ANCHORARRAY(Sintesi!$C$15),1,$C247)&gt;0),0,IF(($E247=INDEX(_xlfn.ANCHORARRAY(Sintesi!$C$14),1,$C247))*(INDEX(_xlfn.ANCHORARRAY(Sintesi!$C$15),1,$C247)&lt;0)+($E247&gt;=$E246)*($E247&lt;=$E248)*($E247&gt;INDEX(_xlfn.ANCHORARRAY(Sintesi!$C$14),1,$C247))*($E247&lt;=INDEX(_xlfn.ANCHORARRAY(Sintesi!$C$15),1,$C247))*(INDEX(_xlfn.ANCHORARRAY(Sintesi!$C$15),1,$C247)&gt;0),1,IF(($E247&gt;=$E246)*($E247&lt;=$E248)*($E247&gt;INDEX(_xlfn.ANCHORARRAY(Sintesi!$C$14),1,$C247))*($E247&lt;INDEX(_xlfn.ANCHORARRAY(Sintesi!$C$16),1,$C247))*(INDEX(_xlfn.ANCHORARRAY(Sintesi!$C$15),1,$C247)&lt;0)+($E247&gt;=$E246)*($E247&lt;=$E248)*($E247&gt;INDEX(_xlfn.ANCHORARRAY(Sintesi!$C$15),1,$C247))*($E247&lt;INDEX(_xlfn.ANCHORARRAY(Sintesi!$C$16),1,$C247))*(INDEX(_xlfn.ANCHORARRAY(Sintesi!$C$15),1,$C247)&gt;0),2,IF($E247=(INDEX(_xlfn.ANCHORARRAY(Sintesi!$C$16),1,$C247)),3,4)))),0),IF($C247&gt;0,IF(($E247=INDEX(_xlfn.ANCHORARRAY(Sintesi!$C$14),1,$C247))*(INDEX(_xlfn.ANCHORARRAY(Sintesi!$C$15),1,$C247)&gt;0),0,IF(($E247=INDEX(_xlfn.ANCHORARRAY(Sintesi!$C$14),1,$C247))*(INDEX(_xlfn.ANCHORARRAY(Sintesi!$C$15),1,$C247)&lt;0)+($E247&gt;=LOOKUP(2,1/($E:$E&lt;&gt;""),$E:$E))*($E247&lt;=$E248)*($E247&gt;INDEX(_xlfn.ANCHORARRAY(Sintesi!$C$14),1,$C247))*($E247&lt;=INDEX(_xlfn.ANCHORARRAY(Sintesi!$C$15),1,$C247))*(INDEX(_xlfn.ANCHORARRAY(Sintesi!$C$15),1,$C247)&gt;0),1,IF(($E247&gt;=LOOKUP(2,1/($E:$E&lt;&gt;""),$E:$E))*($E247&lt;=$E248)*($E247&gt;INDEX(_xlfn.ANCHORARRAY(Sintesi!$C$14),1,$C247))*($E247&lt;INDEX(_xlfn.ANCHORARRAY(Sintesi!$C$16),1,$C247))*(INDEX(_xlfn.ANCHORARRAY(Sintesi!$C$15),1,$C247)&lt;0)+($E247&gt;=LOOKUP(2,1/($E:$E&lt;&gt;""),$E:$E))*($E247&lt;=$E248)*($E247&gt;INDEX(_xlfn.ANCHORARRAY(Sintesi!$C$15),1,$C247))*($E247&lt;INDEX(_xlfn.ANCHORARRAY(Sintesi!$C$16),1,$C247))*(INDEX(_xlfn.ANCHORARRAY(Sintesi!$C$15),1,$C247)&gt;0),2,IF($E247=(INDEX(_xlfn.ANCHORARRAY(Sintesi!$C$16),1,$C247)),3,4)))),0)))</f>
        <v>4</v>
      </c>
      <c r="E247" s="1">
        <f>'Paste cell here'!F247</f>
        <v>0.30599999999999999</v>
      </c>
      <c r="F247" s="1">
        <f>'Paste cell here'!C247</f>
        <v>28.719999999999587</v>
      </c>
      <c r="G247" s="1">
        <f>'Paste cell here'!D247</f>
        <v>17.579999999999764</v>
      </c>
      <c r="H247" s="1">
        <f>'Paste cell here'!E247</f>
        <v>3.9850469570502196</v>
      </c>
      <c r="I247" s="1">
        <f>'Paste cell here'!X247</f>
        <v>1.2194206191501853</v>
      </c>
      <c r="J247" s="1">
        <f>'Paste cell here'!Y247+'Paste cell here'!S247</f>
        <v>1.2194206191501853</v>
      </c>
      <c r="K247" s="1">
        <f t="shared" si="6"/>
        <v>0.3059990590557094</v>
      </c>
      <c r="L247" s="1">
        <f t="shared" si="7"/>
        <v>24.550515636347143</v>
      </c>
      <c r="M247" s="1">
        <f t="array" ref="M247">IF(AND(A247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247&gt;=_xlfn.ANCHORARRAY(Sintesi!$C$9))+(_xlfn.ANCHORARRAY(Sintesi!$C$9)&gt;_xlfn.ANCHORARRAY(Sintesi!$C$10))*(A247&lt;=_xlfn.ANCHORARRAY(Sintesi!$C$10))+(_xlfn.ANCHORARRAY(Sintesi!$C$9)&lt;_xlfn.ANCHORARRAY(Sintesi!$C$10))*(A247&gt;=_xlfn.ANCHORARRAY(Sintesi!$C$9))*(A247&lt;=_xlfn.ANCHORARRAY(Sintesi!$C$10)),0)),0),A247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248&gt;=_xlfn.ANCHORARRAY(Sintesi!$C$9))+(_xlfn.ANCHORARRAY(Sintesi!$C$9)&gt;_xlfn.ANCHORARRAY(Sintesi!$C$10))*(A248&lt;=_xlfn.ANCHORARRAY(Sintesi!$C$10))+(_xlfn.ANCHORARRAY(Sintesi!$C$9)&lt;_xlfn.ANCHORARRAY(Sintesi!$C$10))*(A248&gt;=_xlfn.ANCHORARRAY(Sintesi!$C$9))*(A248&lt;=_xlfn.ANCHORARRAY(Sintesi!$C$10)),0)),0)),IF(L247&lt;_xlfn.IFNA(INDEX(_xlfn.ANCHORARRAY(Sintesi!$C$17),1,MATCH(1,(_xlfn.ANCHORARRAY(Sintesi!$C$9)&gt;_xlfn.ANCHORARRAY(Sintesi!$C$10))*(A246&gt;=_xlfn.ANCHORARRAY(Sintesi!$C$9))+(_xlfn.ANCHORARRAY(Sintesi!$C$9)&gt;_xlfn.ANCHORARRAY(Sintesi!$C$10))*(A246&lt;=_xlfn.ANCHORARRAY(Sintesi!$C$10))+(_xlfn.ANCHORARRAY(Sintesi!$C$9)&lt;_xlfn.ANCHORARRAY(Sintesi!$C$10))*(A246&gt;=_xlfn.ANCHORARRAY(Sintesi!$C$9))*(A246&lt;=_xlfn.ANCHORARRAY(Sintesi!$C$10)),0)),0),1,IF(L247&gt;=_xlfn.IFNA(INDEX(_xlfn.ANCHORARRAY(Sintesi!$C$18),1,MATCH(1,(_xlfn.ANCHORARRAY(Sintesi!$C$9)&gt;_xlfn.ANCHORARRAY(Sintesi!$C$10))*(A246&gt;=_xlfn.ANCHORARRAY(Sintesi!$C$9))+(_xlfn.ANCHORARRAY(Sintesi!$C$9)&gt;_xlfn.ANCHORARRAY(Sintesi!$C$10))*(A246&lt;=_xlfn.ANCHORARRAY(Sintesi!$C$10))+(_xlfn.ANCHORARRAY(Sintesi!$C$9)&lt;_xlfn.ANCHORARRAY(Sintesi!$C$10))*(A246&gt;=_xlfn.ANCHORARRAY(Sintesi!$C$9))*(A246&lt;=_xlfn.ANCHORARRAY(Sintesi!$C$10)),0)),0),0,1-(L247-_xlfn.IFNA(INDEX(_xlfn.ANCHORARRAY(Sintesi!$C$17),1,MATCH(1,(_xlfn.ANCHORARRAY(Sintesi!$C$9)&gt;_xlfn.ANCHORARRAY(Sintesi!$C$10))*(A246&gt;=_xlfn.ANCHORARRAY(Sintesi!$C$9))+(_xlfn.ANCHORARRAY(Sintesi!$C$9)&gt;_xlfn.ANCHORARRAY(Sintesi!$C$10))*(A246&lt;=_xlfn.ANCHORARRAY(Sintesi!$C$10))+(_xlfn.ANCHORARRAY(Sintesi!$C$9)&lt;_xlfn.ANCHORARRAY(Sintesi!$C$10))*(A246&gt;=_xlfn.ANCHORARRAY(Sintesi!$C$9))*(A246&lt;=_xlfn.ANCHORARRAY(Sintesi!$C$10)),0)),0))/(_xlfn.IFNA(INDEX(_xlfn.ANCHORARRAY(Sintesi!$C$18),1,MATCH(1,(_xlfn.ANCHORARRAY(Sintesi!$C$9)&gt;_xlfn.ANCHORARRAY(Sintesi!$C$10))*(A246&gt;=_xlfn.ANCHORARRAY(Sintesi!$C$9))+(_xlfn.ANCHORARRAY(Sintesi!$C$9)&gt;_xlfn.ANCHORARRAY(Sintesi!$C$10))*(A246&lt;=_xlfn.ANCHORARRAY(Sintesi!$C$10))+(_xlfn.ANCHORARRAY(Sintesi!$C$9)&lt;_xlfn.ANCHORARRAY(Sintesi!$C$10))*(A246&gt;=_xlfn.ANCHORARRAY(Sintesi!$C$9))*(A246&lt;=_xlfn.ANCHORARRAY(Sintesi!$C$10)),0)),0)-_xlfn.IFNA(INDEX(_xlfn.ANCHORARRAY(Sintesi!$C$17),1,MATCH(1,(_xlfn.ANCHORARRAY(Sintesi!$C$9)&gt;_xlfn.ANCHORARRAY(Sintesi!$C$10))*(A246&gt;=_xlfn.ANCHORARRAY(Sintesi!$C$9))+(_xlfn.ANCHORARRAY(Sintesi!$C$9)&gt;_xlfn.ANCHORARRAY(Sintesi!$C$10))*(A246&lt;=_xlfn.ANCHORARRAY(Sintesi!$C$10))+(_xlfn.ANCHORARRAY(Sintesi!$C$9)&lt;_xlfn.ANCHORARRAY(Sintesi!$C$10))*(A246&gt;=_xlfn.ANCHORARRAY(Sintesi!$C$9))*(A246&lt;=_xlfn.ANCHORARRAY(Sintesi!$C$10)),0)),0)))),0)</f>
        <v>0</v>
      </c>
    </row>
    <row r="248" spans="1:13">
      <c r="A248" s="1">
        <f>'Paste cell here'!A248</f>
        <v>247</v>
      </c>
      <c r="B248" s="2">
        <f>DATE(Sintesi!$C$4-1,12,31)+A248</f>
        <v>44443</v>
      </c>
      <c r="C248" s="34">
        <f t="array" ref="C248">_xlfn.IFNA(MATCH(1,((_xlfn.ANCHORARRAY(Sintesi!$C$9)&gt;_xlfn.ANCHORARRAY(Sintesi!$C$10))*(A248&gt;=_xlfn.ANCHORARRAY(Sintesi!$C$9))+(_xlfn.ANCHORARRAY(Sintesi!$C$9)&gt;_xlfn.ANCHORARRAY(Sintesi!$C$10))*(A248&lt;=_xlfn.ANCHORARRAY(Sintesi!$C$10))+(_xlfn.ANCHORARRAY(Sintesi!$C$9)&lt;_xlfn.ANCHORARRAY(Sintesi!$C$10))*(A248&gt;=_xlfn.ANCHORARRAY(Sintesi!$C$9))*(A248&lt;=_xlfn.ANCHORARRAY(Sintesi!$C$10)))*(_xlfn.ANCHORARRAY(Sintesi!$C$15)&gt;=0)+(_xlfn.ANCHORARRAY(Sintesi!$C$15)&lt;0),0),0)</f>
        <v>1</v>
      </c>
      <c r="D248" s="1">
        <f t="array" ref="D248">IF(ISBLANK($E249),IF(ISNUMBER($E247),IF($C248&gt;0,IF(($E248=INDEX(_xlfn.ANCHORARRAY(Sintesi!$C$14),1,$C248))*(INDEX(_xlfn.ANCHORARRAY(Sintesi!$C$15),1,$C248)&gt;0),0,IF(($E248=INDEX(_xlfn.ANCHORARRAY(Sintesi!$C$14),1,$C248))*(INDEX(_xlfn.ANCHORARRAY(Sintesi!$C$15),1,$C248)&lt;0)+($E248&gt;=$E247)*($E248&lt;=INDEX($E:$E,MATCH(TRUE,INDEX((ISNUMBER($E:$E)),0),0)))*($E248&gt;INDEX(_xlfn.ANCHORARRAY(Sintesi!$C$14),1,$C248))*($E248&lt;=INDEX(_xlfn.ANCHORARRAY(Sintesi!$C$15),1,$C248))*(INDEX(_xlfn.ANCHORARRAY(Sintesi!$C$15),1,$C248)&gt;0),1,IF(($E248&gt;=$E247)*($E248&lt;=INDEX($E:$E,MATCH(TRUE,INDEX((ISNUMBER($E:$E)),0),0)))*($E248&gt;INDEX(_xlfn.ANCHORARRAY(Sintesi!$C$14),1,$C248))*($E248&lt;INDEX(_xlfn.ANCHORARRAY(Sintesi!$C$16),1,$C248))*(INDEX(_xlfn.ANCHORARRAY(Sintesi!$C$15),1,$C248)&lt;0)+($E248&gt;=$E247)*($E248&lt;=INDEX($E:$E,MATCH(TRUE,INDEX((ISNUMBER($E:$E)),0),0)))*($E248&gt;INDEX(_xlfn.ANCHORARRAY(Sintesi!$C$15),1,$C248))*($E248&lt;INDEX(_xlfn.ANCHORARRAY(Sintesi!$C$16),1,$C248))*(INDEX(_xlfn.ANCHORARRAY(Sintesi!$C$15),1,$C248)&gt;0),2,IF($E248=(INDEX(_xlfn.ANCHORARRAY(Sintesi!$C$16),1,$C248)),3,4)))),0),IF($C248&gt;0,IF(($E248=INDEX(_xlfn.ANCHORARRAY(Sintesi!$C$14),1,$C248))*(INDEX(_xlfn.ANCHORARRAY(Sintesi!$C$15),1,$C248)&gt;0),0,IF(($E248=INDEX(_xlfn.ANCHORARRAY(Sintesi!$C$14),1,$C248))*(INDEX(_xlfn.ANCHORARRAY(Sintesi!$C$15),1,$C248)&lt;0)+($E248&gt;=LOOKUP(2,1/($E:$E&lt;&gt;""),$E:$E))*($E248&lt;=INDEX($E:$E,MATCH(TRUE,INDEX((ISNUMBER($E:$E)),0),0)))*($E248&gt;INDEX(_xlfn.ANCHORARRAY(Sintesi!$C$14),1,$C248))*($E248&lt;=INDEX(_xlfn.ANCHORARRAY(Sintesi!$C$15),1,$C248))*(INDEX(_xlfn.ANCHORARRAY(Sintesi!$C$15),1,$C248)&gt;0),1,IF(($E248&gt;=LOOKUP(2,1/($E:$E&lt;&gt;""),$E:$E))*($E248&lt;=INDEX($E:$E,MATCH(TRUE,INDEX((ISNUMBER($E:$E)),0),0)))*($E248&gt;INDEX(_xlfn.ANCHORARRAY(Sintesi!$C$14),1,$C248))*($E248&lt;INDEX(_xlfn.ANCHORARRAY(Sintesi!$C$16),1,$C248))*(INDEX(_xlfn.ANCHORARRAY(Sintesi!$C$15),1,$C248)&lt;0)+($E248&gt;=LOOKUP(2,1/($E:$E&lt;&gt;""),$E:$E))*($E248&lt;=INDEX($E:$E,MATCH(TRUE,INDEX((ISNUMBER($E:$E)),0),0)))*($E248&gt;INDEX(_xlfn.ANCHORARRAY(Sintesi!$C$15),1,$C248))*($E248&lt;INDEX(_xlfn.ANCHORARRAY(Sintesi!$C$16),1,$C248))*(INDEX(_xlfn.ANCHORARRAY(Sintesi!$C$15),1,$C248)&gt;0),2,IF($E248=(INDEX(_xlfn.ANCHORARRAY(Sintesi!$C$16),1,$C248)),3,4)))),0)),IF(ISNUMBER($E247),IF($C248&gt;0,IF(($E248=INDEX(_xlfn.ANCHORARRAY(Sintesi!$C$14),1,$C248))*(INDEX(_xlfn.ANCHORARRAY(Sintesi!$C$15),1,$C248)&gt;0),0,IF(($E248=INDEX(_xlfn.ANCHORARRAY(Sintesi!$C$14),1,$C248))*(INDEX(_xlfn.ANCHORARRAY(Sintesi!$C$15),1,$C248)&lt;0)+($E248&gt;=$E247)*($E248&lt;=$E249)*($E248&gt;INDEX(_xlfn.ANCHORARRAY(Sintesi!$C$14),1,$C248))*($E248&lt;=INDEX(_xlfn.ANCHORARRAY(Sintesi!$C$15),1,$C248))*(INDEX(_xlfn.ANCHORARRAY(Sintesi!$C$15),1,$C248)&gt;0),1,IF(($E248&gt;=$E247)*($E248&lt;=$E249)*($E248&gt;INDEX(_xlfn.ANCHORARRAY(Sintesi!$C$14),1,$C248))*($E248&lt;INDEX(_xlfn.ANCHORARRAY(Sintesi!$C$16),1,$C248))*(INDEX(_xlfn.ANCHORARRAY(Sintesi!$C$15),1,$C248)&lt;0)+($E248&gt;=$E247)*($E248&lt;=$E249)*($E248&gt;INDEX(_xlfn.ANCHORARRAY(Sintesi!$C$15),1,$C248))*($E248&lt;INDEX(_xlfn.ANCHORARRAY(Sintesi!$C$16),1,$C248))*(INDEX(_xlfn.ANCHORARRAY(Sintesi!$C$15),1,$C248)&gt;0),2,IF($E248=(INDEX(_xlfn.ANCHORARRAY(Sintesi!$C$16),1,$C248)),3,4)))),0),IF($C248&gt;0,IF(($E248=INDEX(_xlfn.ANCHORARRAY(Sintesi!$C$14),1,$C248))*(INDEX(_xlfn.ANCHORARRAY(Sintesi!$C$15),1,$C248)&gt;0),0,IF(($E248=INDEX(_xlfn.ANCHORARRAY(Sintesi!$C$14),1,$C248))*(INDEX(_xlfn.ANCHORARRAY(Sintesi!$C$15),1,$C248)&lt;0)+($E248&gt;=LOOKUP(2,1/($E:$E&lt;&gt;""),$E:$E))*($E248&lt;=$E249)*($E248&gt;INDEX(_xlfn.ANCHORARRAY(Sintesi!$C$14),1,$C248))*($E248&lt;=INDEX(_xlfn.ANCHORARRAY(Sintesi!$C$15),1,$C248))*(INDEX(_xlfn.ANCHORARRAY(Sintesi!$C$15),1,$C248)&gt;0),1,IF(($E248&gt;=LOOKUP(2,1/($E:$E&lt;&gt;""),$E:$E))*($E248&lt;=$E249)*($E248&gt;INDEX(_xlfn.ANCHORARRAY(Sintesi!$C$14),1,$C248))*($E248&lt;INDEX(_xlfn.ANCHORARRAY(Sintesi!$C$16),1,$C248))*(INDEX(_xlfn.ANCHORARRAY(Sintesi!$C$15),1,$C248)&lt;0)+($E248&gt;=LOOKUP(2,1/($E:$E&lt;&gt;""),$E:$E))*($E248&lt;=$E249)*($E248&gt;INDEX(_xlfn.ANCHORARRAY(Sintesi!$C$15),1,$C248))*($E248&lt;INDEX(_xlfn.ANCHORARRAY(Sintesi!$C$16),1,$C248))*(INDEX(_xlfn.ANCHORARRAY(Sintesi!$C$15),1,$C248)&gt;0),2,IF($E248=(INDEX(_xlfn.ANCHORARRAY(Sintesi!$C$16),1,$C248)),3,4)))),0)))</f>
        <v>4</v>
      </c>
      <c r="E248" s="1">
        <f>'Paste cell here'!F248</f>
        <v>0.26700000000000002</v>
      </c>
      <c r="F248" s="1">
        <f>'Paste cell here'!C248</f>
        <v>29.139999999999581</v>
      </c>
      <c r="G248" s="1">
        <f>'Paste cell here'!D248</f>
        <v>16.379999999999768</v>
      </c>
      <c r="H248" s="1">
        <f>'Paste cell here'!E248</f>
        <v>3.7978010694439641</v>
      </c>
      <c r="I248" s="1">
        <f>'Paste cell here'!X248</f>
        <v>1.0140100504675049</v>
      </c>
      <c r="J248" s="1">
        <f>'Paste cell here'!Y248+'Paste cell here'!S248</f>
        <v>1.0140100504675049</v>
      </c>
      <c r="K248" s="1">
        <f t="shared" si="6"/>
        <v>0.26699925349590942</v>
      </c>
      <c r="L248" s="1">
        <f t="shared" si="7"/>
        <v>24.364181285438974</v>
      </c>
      <c r="M248" s="1">
        <f t="array" ref="M248">IF(AND(A248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248&gt;=_xlfn.ANCHORARRAY(Sintesi!$C$9))+(_xlfn.ANCHORARRAY(Sintesi!$C$9)&gt;_xlfn.ANCHORARRAY(Sintesi!$C$10))*(A248&lt;=_xlfn.ANCHORARRAY(Sintesi!$C$10))+(_xlfn.ANCHORARRAY(Sintesi!$C$9)&lt;_xlfn.ANCHORARRAY(Sintesi!$C$10))*(A248&gt;=_xlfn.ANCHORARRAY(Sintesi!$C$9))*(A248&lt;=_xlfn.ANCHORARRAY(Sintesi!$C$10)),0)),0),A248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249&gt;=_xlfn.ANCHORARRAY(Sintesi!$C$9))+(_xlfn.ANCHORARRAY(Sintesi!$C$9)&gt;_xlfn.ANCHORARRAY(Sintesi!$C$10))*(A249&lt;=_xlfn.ANCHORARRAY(Sintesi!$C$10))+(_xlfn.ANCHORARRAY(Sintesi!$C$9)&lt;_xlfn.ANCHORARRAY(Sintesi!$C$10))*(A249&gt;=_xlfn.ANCHORARRAY(Sintesi!$C$9))*(A249&lt;=_xlfn.ANCHORARRAY(Sintesi!$C$10)),0)),0)),IF(L248&lt;_xlfn.IFNA(INDEX(_xlfn.ANCHORARRAY(Sintesi!$C$17),1,MATCH(1,(_xlfn.ANCHORARRAY(Sintesi!$C$9)&gt;_xlfn.ANCHORARRAY(Sintesi!$C$10))*(A247&gt;=_xlfn.ANCHORARRAY(Sintesi!$C$9))+(_xlfn.ANCHORARRAY(Sintesi!$C$9)&gt;_xlfn.ANCHORARRAY(Sintesi!$C$10))*(A247&lt;=_xlfn.ANCHORARRAY(Sintesi!$C$10))+(_xlfn.ANCHORARRAY(Sintesi!$C$9)&lt;_xlfn.ANCHORARRAY(Sintesi!$C$10))*(A247&gt;=_xlfn.ANCHORARRAY(Sintesi!$C$9))*(A247&lt;=_xlfn.ANCHORARRAY(Sintesi!$C$10)),0)),0),1,IF(L248&gt;=_xlfn.IFNA(INDEX(_xlfn.ANCHORARRAY(Sintesi!$C$18),1,MATCH(1,(_xlfn.ANCHORARRAY(Sintesi!$C$9)&gt;_xlfn.ANCHORARRAY(Sintesi!$C$10))*(A247&gt;=_xlfn.ANCHORARRAY(Sintesi!$C$9))+(_xlfn.ANCHORARRAY(Sintesi!$C$9)&gt;_xlfn.ANCHORARRAY(Sintesi!$C$10))*(A247&lt;=_xlfn.ANCHORARRAY(Sintesi!$C$10))+(_xlfn.ANCHORARRAY(Sintesi!$C$9)&lt;_xlfn.ANCHORARRAY(Sintesi!$C$10))*(A247&gt;=_xlfn.ANCHORARRAY(Sintesi!$C$9))*(A247&lt;=_xlfn.ANCHORARRAY(Sintesi!$C$10)),0)),0),0,1-(L248-_xlfn.IFNA(INDEX(_xlfn.ANCHORARRAY(Sintesi!$C$17),1,MATCH(1,(_xlfn.ANCHORARRAY(Sintesi!$C$9)&gt;_xlfn.ANCHORARRAY(Sintesi!$C$10))*(A247&gt;=_xlfn.ANCHORARRAY(Sintesi!$C$9))+(_xlfn.ANCHORARRAY(Sintesi!$C$9)&gt;_xlfn.ANCHORARRAY(Sintesi!$C$10))*(A247&lt;=_xlfn.ANCHORARRAY(Sintesi!$C$10))+(_xlfn.ANCHORARRAY(Sintesi!$C$9)&lt;_xlfn.ANCHORARRAY(Sintesi!$C$10))*(A247&gt;=_xlfn.ANCHORARRAY(Sintesi!$C$9))*(A247&lt;=_xlfn.ANCHORARRAY(Sintesi!$C$10)),0)),0))/(_xlfn.IFNA(INDEX(_xlfn.ANCHORARRAY(Sintesi!$C$18),1,MATCH(1,(_xlfn.ANCHORARRAY(Sintesi!$C$9)&gt;_xlfn.ANCHORARRAY(Sintesi!$C$10))*(A247&gt;=_xlfn.ANCHORARRAY(Sintesi!$C$9))+(_xlfn.ANCHORARRAY(Sintesi!$C$9)&gt;_xlfn.ANCHORARRAY(Sintesi!$C$10))*(A247&lt;=_xlfn.ANCHORARRAY(Sintesi!$C$10))+(_xlfn.ANCHORARRAY(Sintesi!$C$9)&lt;_xlfn.ANCHORARRAY(Sintesi!$C$10))*(A247&gt;=_xlfn.ANCHORARRAY(Sintesi!$C$9))*(A247&lt;=_xlfn.ANCHORARRAY(Sintesi!$C$10)),0)),0)-_xlfn.IFNA(INDEX(_xlfn.ANCHORARRAY(Sintesi!$C$17),1,MATCH(1,(_xlfn.ANCHORARRAY(Sintesi!$C$9)&gt;_xlfn.ANCHORARRAY(Sintesi!$C$10))*(A247&gt;=_xlfn.ANCHORARRAY(Sintesi!$C$9))+(_xlfn.ANCHORARRAY(Sintesi!$C$9)&gt;_xlfn.ANCHORARRAY(Sintesi!$C$10))*(A247&lt;=_xlfn.ANCHORARRAY(Sintesi!$C$10))+(_xlfn.ANCHORARRAY(Sintesi!$C$9)&lt;_xlfn.ANCHORARRAY(Sintesi!$C$10))*(A247&gt;=_xlfn.ANCHORARRAY(Sintesi!$C$9))*(A247&lt;=_xlfn.ANCHORARRAY(Sintesi!$C$10)),0)),0)))),0)</f>
        <v>0</v>
      </c>
    </row>
    <row r="249" spans="1:13">
      <c r="A249" s="1">
        <f>'Paste cell here'!A249</f>
        <v>248</v>
      </c>
      <c r="B249" s="2">
        <f>DATE(Sintesi!$C$4-1,12,31)+A249</f>
        <v>44444</v>
      </c>
      <c r="C249" s="34">
        <f t="array" ref="C249">_xlfn.IFNA(MATCH(1,((_xlfn.ANCHORARRAY(Sintesi!$C$9)&gt;_xlfn.ANCHORARRAY(Sintesi!$C$10))*(A249&gt;=_xlfn.ANCHORARRAY(Sintesi!$C$9))+(_xlfn.ANCHORARRAY(Sintesi!$C$9)&gt;_xlfn.ANCHORARRAY(Sintesi!$C$10))*(A249&lt;=_xlfn.ANCHORARRAY(Sintesi!$C$10))+(_xlfn.ANCHORARRAY(Sintesi!$C$9)&lt;_xlfn.ANCHORARRAY(Sintesi!$C$10))*(A249&gt;=_xlfn.ANCHORARRAY(Sintesi!$C$9))*(A249&lt;=_xlfn.ANCHORARRAY(Sintesi!$C$10)))*(_xlfn.ANCHORARRAY(Sintesi!$C$15)&gt;=0)+(_xlfn.ANCHORARRAY(Sintesi!$C$15)&lt;0),0),0)</f>
        <v>1</v>
      </c>
      <c r="D249" s="1">
        <f t="array" ref="D249">IF(ISBLANK($E250),IF(ISNUMBER($E248),IF($C249&gt;0,IF(($E249=INDEX(_xlfn.ANCHORARRAY(Sintesi!$C$14),1,$C249))*(INDEX(_xlfn.ANCHORARRAY(Sintesi!$C$15),1,$C249)&gt;0),0,IF(($E249=INDEX(_xlfn.ANCHORARRAY(Sintesi!$C$14),1,$C249))*(INDEX(_xlfn.ANCHORARRAY(Sintesi!$C$15),1,$C249)&lt;0)+($E249&gt;=$E248)*($E249&lt;=INDEX($E:$E,MATCH(TRUE,INDEX((ISNUMBER($E:$E)),0),0)))*($E249&gt;INDEX(_xlfn.ANCHORARRAY(Sintesi!$C$14),1,$C249))*($E249&lt;=INDEX(_xlfn.ANCHORARRAY(Sintesi!$C$15),1,$C249))*(INDEX(_xlfn.ANCHORARRAY(Sintesi!$C$15),1,$C249)&gt;0),1,IF(($E249&gt;=$E248)*($E249&lt;=INDEX($E:$E,MATCH(TRUE,INDEX((ISNUMBER($E:$E)),0),0)))*($E249&gt;INDEX(_xlfn.ANCHORARRAY(Sintesi!$C$14),1,$C249))*($E249&lt;INDEX(_xlfn.ANCHORARRAY(Sintesi!$C$16),1,$C249))*(INDEX(_xlfn.ANCHORARRAY(Sintesi!$C$15),1,$C249)&lt;0)+($E249&gt;=$E248)*($E249&lt;=INDEX($E:$E,MATCH(TRUE,INDEX((ISNUMBER($E:$E)),0),0)))*($E249&gt;INDEX(_xlfn.ANCHORARRAY(Sintesi!$C$15),1,$C249))*($E249&lt;INDEX(_xlfn.ANCHORARRAY(Sintesi!$C$16),1,$C249))*(INDEX(_xlfn.ANCHORARRAY(Sintesi!$C$15),1,$C249)&gt;0),2,IF($E249=(INDEX(_xlfn.ANCHORARRAY(Sintesi!$C$16),1,$C249)),3,4)))),0),IF($C249&gt;0,IF(($E249=INDEX(_xlfn.ANCHORARRAY(Sintesi!$C$14),1,$C249))*(INDEX(_xlfn.ANCHORARRAY(Sintesi!$C$15),1,$C249)&gt;0),0,IF(($E249=INDEX(_xlfn.ANCHORARRAY(Sintesi!$C$14),1,$C249))*(INDEX(_xlfn.ANCHORARRAY(Sintesi!$C$15),1,$C249)&lt;0)+($E249&gt;=LOOKUP(2,1/($E:$E&lt;&gt;""),$E:$E))*($E249&lt;=INDEX($E:$E,MATCH(TRUE,INDEX((ISNUMBER($E:$E)),0),0)))*($E249&gt;INDEX(_xlfn.ANCHORARRAY(Sintesi!$C$14),1,$C249))*($E249&lt;=INDEX(_xlfn.ANCHORARRAY(Sintesi!$C$15),1,$C249))*(INDEX(_xlfn.ANCHORARRAY(Sintesi!$C$15),1,$C249)&gt;0),1,IF(($E249&gt;=LOOKUP(2,1/($E:$E&lt;&gt;""),$E:$E))*($E249&lt;=INDEX($E:$E,MATCH(TRUE,INDEX((ISNUMBER($E:$E)),0),0)))*($E249&gt;INDEX(_xlfn.ANCHORARRAY(Sintesi!$C$14),1,$C249))*($E249&lt;INDEX(_xlfn.ANCHORARRAY(Sintesi!$C$16),1,$C249))*(INDEX(_xlfn.ANCHORARRAY(Sintesi!$C$15),1,$C249)&lt;0)+($E249&gt;=LOOKUP(2,1/($E:$E&lt;&gt;""),$E:$E))*($E249&lt;=INDEX($E:$E,MATCH(TRUE,INDEX((ISNUMBER($E:$E)),0),0)))*($E249&gt;INDEX(_xlfn.ANCHORARRAY(Sintesi!$C$15),1,$C249))*($E249&lt;INDEX(_xlfn.ANCHORARRAY(Sintesi!$C$16),1,$C249))*(INDEX(_xlfn.ANCHORARRAY(Sintesi!$C$15),1,$C249)&gt;0),2,IF($E249=(INDEX(_xlfn.ANCHORARRAY(Sintesi!$C$16),1,$C249)),3,4)))),0)),IF(ISNUMBER($E248),IF($C249&gt;0,IF(($E249=INDEX(_xlfn.ANCHORARRAY(Sintesi!$C$14),1,$C249))*(INDEX(_xlfn.ANCHORARRAY(Sintesi!$C$15),1,$C249)&gt;0),0,IF(($E249=INDEX(_xlfn.ANCHORARRAY(Sintesi!$C$14),1,$C249))*(INDEX(_xlfn.ANCHORARRAY(Sintesi!$C$15),1,$C249)&lt;0)+($E249&gt;=$E248)*($E249&lt;=$E250)*($E249&gt;INDEX(_xlfn.ANCHORARRAY(Sintesi!$C$14),1,$C249))*($E249&lt;=INDEX(_xlfn.ANCHORARRAY(Sintesi!$C$15),1,$C249))*(INDEX(_xlfn.ANCHORARRAY(Sintesi!$C$15),1,$C249)&gt;0),1,IF(($E249&gt;=$E248)*($E249&lt;=$E250)*($E249&gt;INDEX(_xlfn.ANCHORARRAY(Sintesi!$C$14),1,$C249))*($E249&lt;INDEX(_xlfn.ANCHORARRAY(Sintesi!$C$16),1,$C249))*(INDEX(_xlfn.ANCHORARRAY(Sintesi!$C$15),1,$C249)&lt;0)+($E249&gt;=$E248)*($E249&lt;=$E250)*($E249&gt;INDEX(_xlfn.ANCHORARRAY(Sintesi!$C$15),1,$C249))*($E249&lt;INDEX(_xlfn.ANCHORARRAY(Sintesi!$C$16),1,$C249))*(INDEX(_xlfn.ANCHORARRAY(Sintesi!$C$15),1,$C249)&gt;0),2,IF($E249=(INDEX(_xlfn.ANCHORARRAY(Sintesi!$C$16),1,$C249)),3,4)))),0),IF($C249&gt;0,IF(($E249=INDEX(_xlfn.ANCHORARRAY(Sintesi!$C$14),1,$C249))*(INDEX(_xlfn.ANCHORARRAY(Sintesi!$C$15),1,$C249)&gt;0),0,IF(($E249=INDEX(_xlfn.ANCHORARRAY(Sintesi!$C$14),1,$C249))*(INDEX(_xlfn.ANCHORARRAY(Sintesi!$C$15),1,$C249)&lt;0)+($E249&gt;=LOOKUP(2,1/($E:$E&lt;&gt;""),$E:$E))*($E249&lt;=$E250)*($E249&gt;INDEX(_xlfn.ANCHORARRAY(Sintesi!$C$14),1,$C249))*($E249&lt;=INDEX(_xlfn.ANCHORARRAY(Sintesi!$C$15),1,$C249))*(INDEX(_xlfn.ANCHORARRAY(Sintesi!$C$15),1,$C249)&gt;0),1,IF(($E249&gt;=LOOKUP(2,1/($E:$E&lt;&gt;""),$E:$E))*($E249&lt;=$E250)*($E249&gt;INDEX(_xlfn.ANCHORARRAY(Sintesi!$C$14),1,$C249))*($E249&lt;INDEX(_xlfn.ANCHORARRAY(Sintesi!$C$16),1,$C249))*(INDEX(_xlfn.ANCHORARRAY(Sintesi!$C$15),1,$C249)&lt;0)+($E249&gt;=LOOKUP(2,1/($E:$E&lt;&gt;""),$E:$E))*($E249&lt;=$E250)*($E249&gt;INDEX(_xlfn.ANCHORARRAY(Sintesi!$C$15),1,$C249))*($E249&lt;INDEX(_xlfn.ANCHORARRAY(Sintesi!$C$16),1,$C249))*(INDEX(_xlfn.ANCHORARRAY(Sintesi!$C$15),1,$C249)&gt;0),2,IF($E249=(INDEX(_xlfn.ANCHORARRAY(Sintesi!$C$16),1,$C249)),3,4)))),0)))</f>
        <v>4</v>
      </c>
      <c r="E249" s="1">
        <f>'Paste cell here'!F249</f>
        <v>0.22800000000000001</v>
      </c>
      <c r="F249" s="1">
        <f>'Paste cell here'!C249</f>
        <v>29.699999999999569</v>
      </c>
      <c r="G249" s="1">
        <f>'Paste cell here'!D249</f>
        <v>16.019999999999779</v>
      </c>
      <c r="H249" s="1">
        <f>'Paste cell here'!E249</f>
        <v>3.762765136596685</v>
      </c>
      <c r="I249" s="1">
        <f>'Paste cell here'!X249</f>
        <v>0.85790827323604224</v>
      </c>
      <c r="J249" s="1">
        <f>'Paste cell here'!Y249+'Paste cell here'!S249</f>
        <v>0.85790827323604224</v>
      </c>
      <c r="K249" s="1">
        <f t="shared" si="6"/>
        <v>0.22799942119480679</v>
      </c>
      <c r="L249" s="1">
        <f t="shared" si="7"/>
        <v>24.579843258997283</v>
      </c>
      <c r="M249" s="1">
        <f t="array" ref="M249">IF(AND(A249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249&gt;=_xlfn.ANCHORARRAY(Sintesi!$C$9))+(_xlfn.ANCHORARRAY(Sintesi!$C$9)&gt;_xlfn.ANCHORARRAY(Sintesi!$C$10))*(A249&lt;=_xlfn.ANCHORARRAY(Sintesi!$C$10))+(_xlfn.ANCHORARRAY(Sintesi!$C$9)&lt;_xlfn.ANCHORARRAY(Sintesi!$C$10))*(A249&gt;=_xlfn.ANCHORARRAY(Sintesi!$C$9))*(A249&lt;=_xlfn.ANCHORARRAY(Sintesi!$C$10)),0)),0),A249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250&gt;=_xlfn.ANCHORARRAY(Sintesi!$C$9))+(_xlfn.ANCHORARRAY(Sintesi!$C$9)&gt;_xlfn.ANCHORARRAY(Sintesi!$C$10))*(A250&lt;=_xlfn.ANCHORARRAY(Sintesi!$C$10))+(_xlfn.ANCHORARRAY(Sintesi!$C$9)&lt;_xlfn.ANCHORARRAY(Sintesi!$C$10))*(A250&gt;=_xlfn.ANCHORARRAY(Sintesi!$C$9))*(A250&lt;=_xlfn.ANCHORARRAY(Sintesi!$C$10)),0)),0)),IF(L249&lt;_xlfn.IFNA(INDEX(_xlfn.ANCHORARRAY(Sintesi!$C$17),1,MATCH(1,(_xlfn.ANCHORARRAY(Sintesi!$C$9)&gt;_xlfn.ANCHORARRAY(Sintesi!$C$10))*(A248&gt;=_xlfn.ANCHORARRAY(Sintesi!$C$9))+(_xlfn.ANCHORARRAY(Sintesi!$C$9)&gt;_xlfn.ANCHORARRAY(Sintesi!$C$10))*(A248&lt;=_xlfn.ANCHORARRAY(Sintesi!$C$10))+(_xlfn.ANCHORARRAY(Sintesi!$C$9)&lt;_xlfn.ANCHORARRAY(Sintesi!$C$10))*(A248&gt;=_xlfn.ANCHORARRAY(Sintesi!$C$9))*(A248&lt;=_xlfn.ANCHORARRAY(Sintesi!$C$10)),0)),0),1,IF(L249&gt;=_xlfn.IFNA(INDEX(_xlfn.ANCHORARRAY(Sintesi!$C$18),1,MATCH(1,(_xlfn.ANCHORARRAY(Sintesi!$C$9)&gt;_xlfn.ANCHORARRAY(Sintesi!$C$10))*(A248&gt;=_xlfn.ANCHORARRAY(Sintesi!$C$9))+(_xlfn.ANCHORARRAY(Sintesi!$C$9)&gt;_xlfn.ANCHORARRAY(Sintesi!$C$10))*(A248&lt;=_xlfn.ANCHORARRAY(Sintesi!$C$10))+(_xlfn.ANCHORARRAY(Sintesi!$C$9)&lt;_xlfn.ANCHORARRAY(Sintesi!$C$10))*(A248&gt;=_xlfn.ANCHORARRAY(Sintesi!$C$9))*(A248&lt;=_xlfn.ANCHORARRAY(Sintesi!$C$10)),0)),0),0,1-(L249-_xlfn.IFNA(INDEX(_xlfn.ANCHORARRAY(Sintesi!$C$17),1,MATCH(1,(_xlfn.ANCHORARRAY(Sintesi!$C$9)&gt;_xlfn.ANCHORARRAY(Sintesi!$C$10))*(A248&gt;=_xlfn.ANCHORARRAY(Sintesi!$C$9))+(_xlfn.ANCHORARRAY(Sintesi!$C$9)&gt;_xlfn.ANCHORARRAY(Sintesi!$C$10))*(A248&lt;=_xlfn.ANCHORARRAY(Sintesi!$C$10))+(_xlfn.ANCHORARRAY(Sintesi!$C$9)&lt;_xlfn.ANCHORARRAY(Sintesi!$C$10))*(A248&gt;=_xlfn.ANCHORARRAY(Sintesi!$C$9))*(A248&lt;=_xlfn.ANCHORARRAY(Sintesi!$C$10)),0)),0))/(_xlfn.IFNA(INDEX(_xlfn.ANCHORARRAY(Sintesi!$C$18),1,MATCH(1,(_xlfn.ANCHORARRAY(Sintesi!$C$9)&gt;_xlfn.ANCHORARRAY(Sintesi!$C$10))*(A248&gt;=_xlfn.ANCHORARRAY(Sintesi!$C$9))+(_xlfn.ANCHORARRAY(Sintesi!$C$9)&gt;_xlfn.ANCHORARRAY(Sintesi!$C$10))*(A248&lt;=_xlfn.ANCHORARRAY(Sintesi!$C$10))+(_xlfn.ANCHORARRAY(Sintesi!$C$9)&lt;_xlfn.ANCHORARRAY(Sintesi!$C$10))*(A248&gt;=_xlfn.ANCHORARRAY(Sintesi!$C$9))*(A248&lt;=_xlfn.ANCHORARRAY(Sintesi!$C$10)),0)),0)-_xlfn.IFNA(INDEX(_xlfn.ANCHORARRAY(Sintesi!$C$17),1,MATCH(1,(_xlfn.ANCHORARRAY(Sintesi!$C$9)&gt;_xlfn.ANCHORARRAY(Sintesi!$C$10))*(A248&gt;=_xlfn.ANCHORARRAY(Sintesi!$C$9))+(_xlfn.ANCHORARRAY(Sintesi!$C$9)&gt;_xlfn.ANCHORARRAY(Sintesi!$C$10))*(A248&lt;=_xlfn.ANCHORARRAY(Sintesi!$C$10))+(_xlfn.ANCHORARRAY(Sintesi!$C$9)&lt;_xlfn.ANCHORARRAY(Sintesi!$C$10))*(A248&gt;=_xlfn.ANCHORARRAY(Sintesi!$C$9))*(A248&lt;=_xlfn.ANCHORARRAY(Sintesi!$C$10)),0)),0)))),0)</f>
        <v>0</v>
      </c>
    </row>
    <row r="250" spans="1:13">
      <c r="A250" s="1">
        <f>'Paste cell here'!A250</f>
        <v>249</v>
      </c>
      <c r="B250" s="2">
        <f>DATE(Sintesi!$C$4-1,12,31)+A250</f>
        <v>44445</v>
      </c>
      <c r="C250" s="34">
        <f t="array" ref="C250">_xlfn.IFNA(MATCH(1,((_xlfn.ANCHORARRAY(Sintesi!$C$9)&gt;_xlfn.ANCHORARRAY(Sintesi!$C$10))*(A250&gt;=_xlfn.ANCHORARRAY(Sintesi!$C$9))+(_xlfn.ANCHORARRAY(Sintesi!$C$9)&gt;_xlfn.ANCHORARRAY(Sintesi!$C$10))*(A250&lt;=_xlfn.ANCHORARRAY(Sintesi!$C$10))+(_xlfn.ANCHORARRAY(Sintesi!$C$9)&lt;_xlfn.ANCHORARRAY(Sintesi!$C$10))*(A250&gt;=_xlfn.ANCHORARRAY(Sintesi!$C$9))*(A250&lt;=_xlfn.ANCHORARRAY(Sintesi!$C$10)))*(_xlfn.ANCHORARRAY(Sintesi!$C$15)&gt;=0)+(_xlfn.ANCHORARRAY(Sintesi!$C$15)&lt;0),0),0)</f>
        <v>1</v>
      </c>
      <c r="D250" s="1">
        <f t="array" ref="D250">IF(ISBLANK($E251),IF(ISNUMBER($E249),IF($C250&gt;0,IF(($E250=INDEX(_xlfn.ANCHORARRAY(Sintesi!$C$14),1,$C250))*(INDEX(_xlfn.ANCHORARRAY(Sintesi!$C$15),1,$C250)&gt;0),0,IF(($E250=INDEX(_xlfn.ANCHORARRAY(Sintesi!$C$14),1,$C250))*(INDEX(_xlfn.ANCHORARRAY(Sintesi!$C$15),1,$C250)&lt;0)+($E250&gt;=$E249)*($E250&lt;=INDEX($E:$E,MATCH(TRUE,INDEX((ISNUMBER($E:$E)),0),0)))*($E250&gt;INDEX(_xlfn.ANCHORARRAY(Sintesi!$C$14),1,$C250))*($E250&lt;=INDEX(_xlfn.ANCHORARRAY(Sintesi!$C$15),1,$C250))*(INDEX(_xlfn.ANCHORARRAY(Sintesi!$C$15),1,$C250)&gt;0),1,IF(($E250&gt;=$E249)*($E250&lt;=INDEX($E:$E,MATCH(TRUE,INDEX((ISNUMBER($E:$E)),0),0)))*($E250&gt;INDEX(_xlfn.ANCHORARRAY(Sintesi!$C$14),1,$C250))*($E250&lt;INDEX(_xlfn.ANCHORARRAY(Sintesi!$C$16),1,$C250))*(INDEX(_xlfn.ANCHORARRAY(Sintesi!$C$15),1,$C250)&lt;0)+($E250&gt;=$E249)*($E250&lt;=INDEX($E:$E,MATCH(TRUE,INDEX((ISNUMBER($E:$E)),0),0)))*($E250&gt;INDEX(_xlfn.ANCHORARRAY(Sintesi!$C$15),1,$C250))*($E250&lt;INDEX(_xlfn.ANCHORARRAY(Sintesi!$C$16),1,$C250))*(INDEX(_xlfn.ANCHORARRAY(Sintesi!$C$15),1,$C250)&gt;0),2,IF($E250=(INDEX(_xlfn.ANCHORARRAY(Sintesi!$C$16),1,$C250)),3,4)))),0),IF($C250&gt;0,IF(($E250=INDEX(_xlfn.ANCHORARRAY(Sintesi!$C$14),1,$C250))*(INDEX(_xlfn.ANCHORARRAY(Sintesi!$C$15),1,$C250)&gt;0),0,IF(($E250=INDEX(_xlfn.ANCHORARRAY(Sintesi!$C$14),1,$C250))*(INDEX(_xlfn.ANCHORARRAY(Sintesi!$C$15),1,$C250)&lt;0)+($E250&gt;=LOOKUP(2,1/($E:$E&lt;&gt;""),$E:$E))*($E250&lt;=INDEX($E:$E,MATCH(TRUE,INDEX((ISNUMBER($E:$E)),0),0)))*($E250&gt;INDEX(_xlfn.ANCHORARRAY(Sintesi!$C$14),1,$C250))*($E250&lt;=INDEX(_xlfn.ANCHORARRAY(Sintesi!$C$15),1,$C250))*(INDEX(_xlfn.ANCHORARRAY(Sintesi!$C$15),1,$C250)&gt;0),1,IF(($E250&gt;=LOOKUP(2,1/($E:$E&lt;&gt;""),$E:$E))*($E250&lt;=INDEX($E:$E,MATCH(TRUE,INDEX((ISNUMBER($E:$E)),0),0)))*($E250&gt;INDEX(_xlfn.ANCHORARRAY(Sintesi!$C$14),1,$C250))*($E250&lt;INDEX(_xlfn.ANCHORARRAY(Sintesi!$C$16),1,$C250))*(INDEX(_xlfn.ANCHORARRAY(Sintesi!$C$15),1,$C250)&lt;0)+($E250&gt;=LOOKUP(2,1/($E:$E&lt;&gt;""),$E:$E))*($E250&lt;=INDEX($E:$E,MATCH(TRUE,INDEX((ISNUMBER($E:$E)),0),0)))*($E250&gt;INDEX(_xlfn.ANCHORARRAY(Sintesi!$C$15),1,$C250))*($E250&lt;INDEX(_xlfn.ANCHORARRAY(Sintesi!$C$16),1,$C250))*(INDEX(_xlfn.ANCHORARRAY(Sintesi!$C$15),1,$C250)&gt;0),2,IF($E250=(INDEX(_xlfn.ANCHORARRAY(Sintesi!$C$16),1,$C250)),3,4)))),0)),IF(ISNUMBER($E249),IF($C250&gt;0,IF(($E250=INDEX(_xlfn.ANCHORARRAY(Sintesi!$C$14),1,$C250))*(INDEX(_xlfn.ANCHORARRAY(Sintesi!$C$15),1,$C250)&gt;0),0,IF(($E250=INDEX(_xlfn.ANCHORARRAY(Sintesi!$C$14),1,$C250))*(INDEX(_xlfn.ANCHORARRAY(Sintesi!$C$15),1,$C250)&lt;0)+($E250&gt;=$E249)*($E250&lt;=$E251)*($E250&gt;INDEX(_xlfn.ANCHORARRAY(Sintesi!$C$14),1,$C250))*($E250&lt;=INDEX(_xlfn.ANCHORARRAY(Sintesi!$C$15),1,$C250))*(INDEX(_xlfn.ANCHORARRAY(Sintesi!$C$15),1,$C250)&gt;0),1,IF(($E250&gt;=$E249)*($E250&lt;=$E251)*($E250&gt;INDEX(_xlfn.ANCHORARRAY(Sintesi!$C$14),1,$C250))*($E250&lt;INDEX(_xlfn.ANCHORARRAY(Sintesi!$C$16),1,$C250))*(INDEX(_xlfn.ANCHORARRAY(Sintesi!$C$15),1,$C250)&lt;0)+($E250&gt;=$E249)*($E250&lt;=$E251)*($E250&gt;INDEX(_xlfn.ANCHORARRAY(Sintesi!$C$15),1,$C250))*($E250&lt;INDEX(_xlfn.ANCHORARRAY(Sintesi!$C$16),1,$C250))*(INDEX(_xlfn.ANCHORARRAY(Sintesi!$C$15),1,$C250)&gt;0),2,IF($E250=(INDEX(_xlfn.ANCHORARRAY(Sintesi!$C$16),1,$C250)),3,4)))),0),IF($C250&gt;0,IF(($E250=INDEX(_xlfn.ANCHORARRAY(Sintesi!$C$14),1,$C250))*(INDEX(_xlfn.ANCHORARRAY(Sintesi!$C$15),1,$C250)&gt;0),0,IF(($E250=INDEX(_xlfn.ANCHORARRAY(Sintesi!$C$14),1,$C250))*(INDEX(_xlfn.ANCHORARRAY(Sintesi!$C$15),1,$C250)&lt;0)+($E250&gt;=LOOKUP(2,1/($E:$E&lt;&gt;""),$E:$E))*($E250&lt;=$E251)*($E250&gt;INDEX(_xlfn.ANCHORARRAY(Sintesi!$C$14),1,$C250))*($E250&lt;=INDEX(_xlfn.ANCHORARRAY(Sintesi!$C$15),1,$C250))*(INDEX(_xlfn.ANCHORARRAY(Sintesi!$C$15),1,$C250)&gt;0),1,IF(($E250&gt;=LOOKUP(2,1/($E:$E&lt;&gt;""),$E:$E))*($E250&lt;=$E251)*($E250&gt;INDEX(_xlfn.ANCHORARRAY(Sintesi!$C$14),1,$C250))*($E250&lt;INDEX(_xlfn.ANCHORARRAY(Sintesi!$C$16),1,$C250))*(INDEX(_xlfn.ANCHORARRAY(Sintesi!$C$15),1,$C250)&lt;0)+($E250&gt;=LOOKUP(2,1/($E:$E&lt;&gt;""),$E:$E))*($E250&lt;=$E251)*($E250&gt;INDEX(_xlfn.ANCHORARRAY(Sintesi!$C$15),1,$C250))*($E250&lt;INDEX(_xlfn.ANCHORARRAY(Sintesi!$C$16),1,$C250))*(INDEX(_xlfn.ANCHORARRAY(Sintesi!$C$15),1,$C250)&gt;0),2,IF($E250=(INDEX(_xlfn.ANCHORARRAY(Sintesi!$C$16),1,$C250)),3,4)))),0)))</f>
        <v>4</v>
      </c>
      <c r="E250" s="1">
        <f>'Paste cell here'!F250</f>
        <v>0.189</v>
      </c>
      <c r="F250" s="1">
        <f>'Paste cell here'!C250</f>
        <v>29.559999999999569</v>
      </c>
      <c r="G250" s="1">
        <f>'Paste cell here'!D250</f>
        <v>18.479999999999752</v>
      </c>
      <c r="H250" s="1">
        <f>'Paste cell here'!E250</f>
        <v>4.0224274401057887</v>
      </c>
      <c r="I250" s="1">
        <f>'Paste cell here'!X250</f>
        <v>0.7602370362515195</v>
      </c>
      <c r="J250" s="1">
        <f>'Paste cell here'!Y250+'Paste cell here'!S250</f>
        <v>0.7602370362515195</v>
      </c>
      <c r="K250" s="1">
        <f t="shared" si="6"/>
        <v>0.18899956495710599</v>
      </c>
      <c r="L250" s="1">
        <f t="shared" si="7"/>
        <v>25.41297246415855</v>
      </c>
      <c r="M250" s="1">
        <f t="array" ref="M250">IF(AND(A250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250&gt;=_xlfn.ANCHORARRAY(Sintesi!$C$9))+(_xlfn.ANCHORARRAY(Sintesi!$C$9)&gt;_xlfn.ANCHORARRAY(Sintesi!$C$10))*(A250&lt;=_xlfn.ANCHORARRAY(Sintesi!$C$10))+(_xlfn.ANCHORARRAY(Sintesi!$C$9)&lt;_xlfn.ANCHORARRAY(Sintesi!$C$10))*(A250&gt;=_xlfn.ANCHORARRAY(Sintesi!$C$9))*(A250&lt;=_xlfn.ANCHORARRAY(Sintesi!$C$10)),0)),0),A250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251&gt;=_xlfn.ANCHORARRAY(Sintesi!$C$9))+(_xlfn.ANCHORARRAY(Sintesi!$C$9)&gt;_xlfn.ANCHORARRAY(Sintesi!$C$10))*(A251&lt;=_xlfn.ANCHORARRAY(Sintesi!$C$10))+(_xlfn.ANCHORARRAY(Sintesi!$C$9)&lt;_xlfn.ANCHORARRAY(Sintesi!$C$10))*(A251&gt;=_xlfn.ANCHORARRAY(Sintesi!$C$9))*(A251&lt;=_xlfn.ANCHORARRAY(Sintesi!$C$10)),0)),0)),IF(L250&lt;_xlfn.IFNA(INDEX(_xlfn.ANCHORARRAY(Sintesi!$C$17),1,MATCH(1,(_xlfn.ANCHORARRAY(Sintesi!$C$9)&gt;_xlfn.ANCHORARRAY(Sintesi!$C$10))*(A249&gt;=_xlfn.ANCHORARRAY(Sintesi!$C$9))+(_xlfn.ANCHORARRAY(Sintesi!$C$9)&gt;_xlfn.ANCHORARRAY(Sintesi!$C$10))*(A249&lt;=_xlfn.ANCHORARRAY(Sintesi!$C$10))+(_xlfn.ANCHORARRAY(Sintesi!$C$9)&lt;_xlfn.ANCHORARRAY(Sintesi!$C$10))*(A249&gt;=_xlfn.ANCHORARRAY(Sintesi!$C$9))*(A249&lt;=_xlfn.ANCHORARRAY(Sintesi!$C$10)),0)),0),1,IF(L250&gt;=_xlfn.IFNA(INDEX(_xlfn.ANCHORARRAY(Sintesi!$C$18),1,MATCH(1,(_xlfn.ANCHORARRAY(Sintesi!$C$9)&gt;_xlfn.ANCHORARRAY(Sintesi!$C$10))*(A249&gt;=_xlfn.ANCHORARRAY(Sintesi!$C$9))+(_xlfn.ANCHORARRAY(Sintesi!$C$9)&gt;_xlfn.ANCHORARRAY(Sintesi!$C$10))*(A249&lt;=_xlfn.ANCHORARRAY(Sintesi!$C$10))+(_xlfn.ANCHORARRAY(Sintesi!$C$9)&lt;_xlfn.ANCHORARRAY(Sintesi!$C$10))*(A249&gt;=_xlfn.ANCHORARRAY(Sintesi!$C$9))*(A249&lt;=_xlfn.ANCHORARRAY(Sintesi!$C$10)),0)),0),0,1-(L250-_xlfn.IFNA(INDEX(_xlfn.ANCHORARRAY(Sintesi!$C$17),1,MATCH(1,(_xlfn.ANCHORARRAY(Sintesi!$C$9)&gt;_xlfn.ANCHORARRAY(Sintesi!$C$10))*(A249&gt;=_xlfn.ANCHORARRAY(Sintesi!$C$9))+(_xlfn.ANCHORARRAY(Sintesi!$C$9)&gt;_xlfn.ANCHORARRAY(Sintesi!$C$10))*(A249&lt;=_xlfn.ANCHORARRAY(Sintesi!$C$10))+(_xlfn.ANCHORARRAY(Sintesi!$C$9)&lt;_xlfn.ANCHORARRAY(Sintesi!$C$10))*(A249&gt;=_xlfn.ANCHORARRAY(Sintesi!$C$9))*(A249&lt;=_xlfn.ANCHORARRAY(Sintesi!$C$10)),0)),0))/(_xlfn.IFNA(INDEX(_xlfn.ANCHORARRAY(Sintesi!$C$18),1,MATCH(1,(_xlfn.ANCHORARRAY(Sintesi!$C$9)&gt;_xlfn.ANCHORARRAY(Sintesi!$C$10))*(A249&gt;=_xlfn.ANCHORARRAY(Sintesi!$C$9))+(_xlfn.ANCHORARRAY(Sintesi!$C$9)&gt;_xlfn.ANCHORARRAY(Sintesi!$C$10))*(A249&lt;=_xlfn.ANCHORARRAY(Sintesi!$C$10))+(_xlfn.ANCHORARRAY(Sintesi!$C$9)&lt;_xlfn.ANCHORARRAY(Sintesi!$C$10))*(A249&gt;=_xlfn.ANCHORARRAY(Sintesi!$C$9))*(A249&lt;=_xlfn.ANCHORARRAY(Sintesi!$C$10)),0)),0)-_xlfn.IFNA(INDEX(_xlfn.ANCHORARRAY(Sintesi!$C$17),1,MATCH(1,(_xlfn.ANCHORARRAY(Sintesi!$C$9)&gt;_xlfn.ANCHORARRAY(Sintesi!$C$10))*(A249&gt;=_xlfn.ANCHORARRAY(Sintesi!$C$9))+(_xlfn.ANCHORARRAY(Sintesi!$C$9)&gt;_xlfn.ANCHORARRAY(Sintesi!$C$10))*(A249&lt;=_xlfn.ANCHORARRAY(Sintesi!$C$10))+(_xlfn.ANCHORARRAY(Sintesi!$C$9)&lt;_xlfn.ANCHORARRAY(Sintesi!$C$10))*(A249&gt;=_xlfn.ANCHORARRAY(Sintesi!$C$9))*(A249&lt;=_xlfn.ANCHORARRAY(Sintesi!$C$10)),0)),0)))),0)</f>
        <v>0</v>
      </c>
    </row>
    <row r="251" spans="1:13">
      <c r="A251" s="1">
        <f>'Paste cell here'!A251</f>
        <v>250</v>
      </c>
      <c r="B251" s="2">
        <f>DATE(Sintesi!$C$4-1,12,31)+A251</f>
        <v>44446</v>
      </c>
      <c r="C251" s="34">
        <f t="array" ref="C251">_xlfn.IFNA(MATCH(1,((_xlfn.ANCHORARRAY(Sintesi!$C$9)&gt;_xlfn.ANCHORARRAY(Sintesi!$C$10))*(A251&gt;=_xlfn.ANCHORARRAY(Sintesi!$C$9))+(_xlfn.ANCHORARRAY(Sintesi!$C$9)&gt;_xlfn.ANCHORARRAY(Sintesi!$C$10))*(A251&lt;=_xlfn.ANCHORARRAY(Sintesi!$C$10))+(_xlfn.ANCHORARRAY(Sintesi!$C$9)&lt;_xlfn.ANCHORARRAY(Sintesi!$C$10))*(A251&gt;=_xlfn.ANCHORARRAY(Sintesi!$C$9))*(A251&lt;=_xlfn.ANCHORARRAY(Sintesi!$C$10)))*(_xlfn.ANCHORARRAY(Sintesi!$C$15)&gt;=0)+(_xlfn.ANCHORARRAY(Sintesi!$C$15)&lt;0),0),0)</f>
        <v>1</v>
      </c>
      <c r="D251" s="1">
        <f t="array" ref="D251">IF(ISBLANK($E252),IF(ISNUMBER($E250),IF($C251&gt;0,IF(($E251=INDEX(_xlfn.ANCHORARRAY(Sintesi!$C$14),1,$C251))*(INDEX(_xlfn.ANCHORARRAY(Sintesi!$C$15),1,$C251)&gt;0),0,IF(($E251=INDEX(_xlfn.ANCHORARRAY(Sintesi!$C$14),1,$C251))*(INDEX(_xlfn.ANCHORARRAY(Sintesi!$C$15),1,$C251)&lt;0)+($E251&gt;=$E250)*($E251&lt;=INDEX($E:$E,MATCH(TRUE,INDEX((ISNUMBER($E:$E)),0),0)))*($E251&gt;INDEX(_xlfn.ANCHORARRAY(Sintesi!$C$14),1,$C251))*($E251&lt;=INDEX(_xlfn.ANCHORARRAY(Sintesi!$C$15),1,$C251))*(INDEX(_xlfn.ANCHORARRAY(Sintesi!$C$15),1,$C251)&gt;0),1,IF(($E251&gt;=$E250)*($E251&lt;=INDEX($E:$E,MATCH(TRUE,INDEX((ISNUMBER($E:$E)),0),0)))*($E251&gt;INDEX(_xlfn.ANCHORARRAY(Sintesi!$C$14),1,$C251))*($E251&lt;INDEX(_xlfn.ANCHORARRAY(Sintesi!$C$16),1,$C251))*(INDEX(_xlfn.ANCHORARRAY(Sintesi!$C$15),1,$C251)&lt;0)+($E251&gt;=$E250)*($E251&lt;=INDEX($E:$E,MATCH(TRUE,INDEX((ISNUMBER($E:$E)),0),0)))*($E251&gt;INDEX(_xlfn.ANCHORARRAY(Sintesi!$C$15),1,$C251))*($E251&lt;INDEX(_xlfn.ANCHORARRAY(Sintesi!$C$16),1,$C251))*(INDEX(_xlfn.ANCHORARRAY(Sintesi!$C$15),1,$C251)&gt;0),2,IF($E251=(INDEX(_xlfn.ANCHORARRAY(Sintesi!$C$16),1,$C251)),3,4)))),0),IF($C251&gt;0,IF(($E251=INDEX(_xlfn.ANCHORARRAY(Sintesi!$C$14),1,$C251))*(INDEX(_xlfn.ANCHORARRAY(Sintesi!$C$15),1,$C251)&gt;0),0,IF(($E251=INDEX(_xlfn.ANCHORARRAY(Sintesi!$C$14),1,$C251))*(INDEX(_xlfn.ANCHORARRAY(Sintesi!$C$15),1,$C251)&lt;0)+($E251&gt;=LOOKUP(2,1/($E:$E&lt;&gt;""),$E:$E))*($E251&lt;=INDEX($E:$E,MATCH(TRUE,INDEX((ISNUMBER($E:$E)),0),0)))*($E251&gt;INDEX(_xlfn.ANCHORARRAY(Sintesi!$C$14),1,$C251))*($E251&lt;=INDEX(_xlfn.ANCHORARRAY(Sintesi!$C$15),1,$C251))*(INDEX(_xlfn.ANCHORARRAY(Sintesi!$C$15),1,$C251)&gt;0),1,IF(($E251&gt;=LOOKUP(2,1/($E:$E&lt;&gt;""),$E:$E))*($E251&lt;=INDEX($E:$E,MATCH(TRUE,INDEX((ISNUMBER($E:$E)),0),0)))*($E251&gt;INDEX(_xlfn.ANCHORARRAY(Sintesi!$C$14),1,$C251))*($E251&lt;INDEX(_xlfn.ANCHORARRAY(Sintesi!$C$16),1,$C251))*(INDEX(_xlfn.ANCHORARRAY(Sintesi!$C$15),1,$C251)&lt;0)+($E251&gt;=LOOKUP(2,1/($E:$E&lt;&gt;""),$E:$E))*($E251&lt;=INDEX($E:$E,MATCH(TRUE,INDEX((ISNUMBER($E:$E)),0),0)))*($E251&gt;INDEX(_xlfn.ANCHORARRAY(Sintesi!$C$15),1,$C251))*($E251&lt;INDEX(_xlfn.ANCHORARRAY(Sintesi!$C$16),1,$C251))*(INDEX(_xlfn.ANCHORARRAY(Sintesi!$C$15),1,$C251)&gt;0),2,IF($E251=(INDEX(_xlfn.ANCHORARRAY(Sintesi!$C$16),1,$C251)),3,4)))),0)),IF(ISNUMBER($E250),IF($C251&gt;0,IF(($E251=INDEX(_xlfn.ANCHORARRAY(Sintesi!$C$14),1,$C251))*(INDEX(_xlfn.ANCHORARRAY(Sintesi!$C$15),1,$C251)&gt;0),0,IF(($E251=INDEX(_xlfn.ANCHORARRAY(Sintesi!$C$14),1,$C251))*(INDEX(_xlfn.ANCHORARRAY(Sintesi!$C$15),1,$C251)&lt;0)+($E251&gt;=$E250)*($E251&lt;=$E252)*($E251&gt;INDEX(_xlfn.ANCHORARRAY(Sintesi!$C$14),1,$C251))*($E251&lt;=INDEX(_xlfn.ANCHORARRAY(Sintesi!$C$15),1,$C251))*(INDEX(_xlfn.ANCHORARRAY(Sintesi!$C$15),1,$C251)&gt;0),1,IF(($E251&gt;=$E250)*($E251&lt;=$E252)*($E251&gt;INDEX(_xlfn.ANCHORARRAY(Sintesi!$C$14),1,$C251))*($E251&lt;INDEX(_xlfn.ANCHORARRAY(Sintesi!$C$16),1,$C251))*(INDEX(_xlfn.ANCHORARRAY(Sintesi!$C$15),1,$C251)&lt;0)+($E251&gt;=$E250)*($E251&lt;=$E252)*($E251&gt;INDEX(_xlfn.ANCHORARRAY(Sintesi!$C$15),1,$C251))*($E251&lt;INDEX(_xlfn.ANCHORARRAY(Sintesi!$C$16),1,$C251))*(INDEX(_xlfn.ANCHORARRAY(Sintesi!$C$15),1,$C251)&gt;0),2,IF($E251=(INDEX(_xlfn.ANCHORARRAY(Sintesi!$C$16),1,$C251)),3,4)))),0),IF($C251&gt;0,IF(($E251=INDEX(_xlfn.ANCHORARRAY(Sintesi!$C$14),1,$C251))*(INDEX(_xlfn.ANCHORARRAY(Sintesi!$C$15),1,$C251)&gt;0),0,IF(($E251=INDEX(_xlfn.ANCHORARRAY(Sintesi!$C$14),1,$C251))*(INDEX(_xlfn.ANCHORARRAY(Sintesi!$C$15),1,$C251)&lt;0)+($E251&gt;=LOOKUP(2,1/($E:$E&lt;&gt;""),$E:$E))*($E251&lt;=$E252)*($E251&gt;INDEX(_xlfn.ANCHORARRAY(Sintesi!$C$14),1,$C251))*($E251&lt;=INDEX(_xlfn.ANCHORARRAY(Sintesi!$C$15),1,$C251))*(INDEX(_xlfn.ANCHORARRAY(Sintesi!$C$15),1,$C251)&gt;0),1,IF(($E251&gt;=LOOKUP(2,1/($E:$E&lt;&gt;""),$E:$E))*($E251&lt;=$E252)*($E251&gt;INDEX(_xlfn.ANCHORARRAY(Sintesi!$C$14),1,$C251))*($E251&lt;INDEX(_xlfn.ANCHORARRAY(Sintesi!$C$16),1,$C251))*(INDEX(_xlfn.ANCHORARRAY(Sintesi!$C$15),1,$C251)&lt;0)+($E251&gt;=LOOKUP(2,1/($E:$E&lt;&gt;""),$E:$E))*($E251&lt;=$E252)*($E251&gt;INDEX(_xlfn.ANCHORARRAY(Sintesi!$C$15),1,$C251))*($E251&lt;INDEX(_xlfn.ANCHORARRAY(Sintesi!$C$16),1,$C251))*(INDEX(_xlfn.ANCHORARRAY(Sintesi!$C$15),1,$C251)&gt;0),2,IF($E251=(INDEX(_xlfn.ANCHORARRAY(Sintesi!$C$16),1,$C251)),3,4)))),0)))</f>
        <v>4</v>
      </c>
      <c r="E251" s="1">
        <f>'Paste cell here'!F251</f>
        <v>0.15</v>
      </c>
      <c r="F251" s="1">
        <f>'Paste cell here'!C251</f>
        <v>29.879999999999569</v>
      </c>
      <c r="G251" s="1">
        <f>'Paste cell here'!D251</f>
        <v>16.979999999999773</v>
      </c>
      <c r="H251" s="1">
        <f>'Paste cell here'!E251</f>
        <v>3.7072173256444021</v>
      </c>
      <c r="I251" s="1">
        <f>'Paste cell here'!X251</f>
        <v>0.55608143986507952</v>
      </c>
      <c r="J251" s="1">
        <f>'Paste cell here'!Y251+'Paste cell here'!S251</f>
        <v>0.55608143986507952</v>
      </c>
      <c r="K251" s="1">
        <f t="shared" si="6"/>
        <v>0.14999968737155689</v>
      </c>
      <c r="L251" s="1">
        <f t="shared" si="7"/>
        <v>25.051782020545676</v>
      </c>
      <c r="M251" s="1">
        <f t="array" ref="M251">IF(AND(A251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251&gt;=_xlfn.ANCHORARRAY(Sintesi!$C$9))+(_xlfn.ANCHORARRAY(Sintesi!$C$9)&gt;_xlfn.ANCHORARRAY(Sintesi!$C$10))*(A251&lt;=_xlfn.ANCHORARRAY(Sintesi!$C$10))+(_xlfn.ANCHORARRAY(Sintesi!$C$9)&lt;_xlfn.ANCHORARRAY(Sintesi!$C$10))*(A251&gt;=_xlfn.ANCHORARRAY(Sintesi!$C$9))*(A251&lt;=_xlfn.ANCHORARRAY(Sintesi!$C$10)),0)),0),A251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252&gt;=_xlfn.ANCHORARRAY(Sintesi!$C$9))+(_xlfn.ANCHORARRAY(Sintesi!$C$9)&gt;_xlfn.ANCHORARRAY(Sintesi!$C$10))*(A252&lt;=_xlfn.ANCHORARRAY(Sintesi!$C$10))+(_xlfn.ANCHORARRAY(Sintesi!$C$9)&lt;_xlfn.ANCHORARRAY(Sintesi!$C$10))*(A252&gt;=_xlfn.ANCHORARRAY(Sintesi!$C$9))*(A252&lt;=_xlfn.ANCHORARRAY(Sintesi!$C$10)),0)),0)),IF(L251&lt;_xlfn.IFNA(INDEX(_xlfn.ANCHORARRAY(Sintesi!$C$17),1,MATCH(1,(_xlfn.ANCHORARRAY(Sintesi!$C$9)&gt;_xlfn.ANCHORARRAY(Sintesi!$C$10))*(A250&gt;=_xlfn.ANCHORARRAY(Sintesi!$C$9))+(_xlfn.ANCHORARRAY(Sintesi!$C$9)&gt;_xlfn.ANCHORARRAY(Sintesi!$C$10))*(A250&lt;=_xlfn.ANCHORARRAY(Sintesi!$C$10))+(_xlfn.ANCHORARRAY(Sintesi!$C$9)&lt;_xlfn.ANCHORARRAY(Sintesi!$C$10))*(A250&gt;=_xlfn.ANCHORARRAY(Sintesi!$C$9))*(A250&lt;=_xlfn.ANCHORARRAY(Sintesi!$C$10)),0)),0),1,IF(L251&gt;=_xlfn.IFNA(INDEX(_xlfn.ANCHORARRAY(Sintesi!$C$18),1,MATCH(1,(_xlfn.ANCHORARRAY(Sintesi!$C$9)&gt;_xlfn.ANCHORARRAY(Sintesi!$C$10))*(A250&gt;=_xlfn.ANCHORARRAY(Sintesi!$C$9))+(_xlfn.ANCHORARRAY(Sintesi!$C$9)&gt;_xlfn.ANCHORARRAY(Sintesi!$C$10))*(A250&lt;=_xlfn.ANCHORARRAY(Sintesi!$C$10))+(_xlfn.ANCHORARRAY(Sintesi!$C$9)&lt;_xlfn.ANCHORARRAY(Sintesi!$C$10))*(A250&gt;=_xlfn.ANCHORARRAY(Sintesi!$C$9))*(A250&lt;=_xlfn.ANCHORARRAY(Sintesi!$C$10)),0)),0),0,1-(L251-_xlfn.IFNA(INDEX(_xlfn.ANCHORARRAY(Sintesi!$C$17),1,MATCH(1,(_xlfn.ANCHORARRAY(Sintesi!$C$9)&gt;_xlfn.ANCHORARRAY(Sintesi!$C$10))*(A250&gt;=_xlfn.ANCHORARRAY(Sintesi!$C$9))+(_xlfn.ANCHORARRAY(Sintesi!$C$9)&gt;_xlfn.ANCHORARRAY(Sintesi!$C$10))*(A250&lt;=_xlfn.ANCHORARRAY(Sintesi!$C$10))+(_xlfn.ANCHORARRAY(Sintesi!$C$9)&lt;_xlfn.ANCHORARRAY(Sintesi!$C$10))*(A250&gt;=_xlfn.ANCHORARRAY(Sintesi!$C$9))*(A250&lt;=_xlfn.ANCHORARRAY(Sintesi!$C$10)),0)),0))/(_xlfn.IFNA(INDEX(_xlfn.ANCHORARRAY(Sintesi!$C$18),1,MATCH(1,(_xlfn.ANCHORARRAY(Sintesi!$C$9)&gt;_xlfn.ANCHORARRAY(Sintesi!$C$10))*(A250&gt;=_xlfn.ANCHORARRAY(Sintesi!$C$9))+(_xlfn.ANCHORARRAY(Sintesi!$C$9)&gt;_xlfn.ANCHORARRAY(Sintesi!$C$10))*(A250&lt;=_xlfn.ANCHORARRAY(Sintesi!$C$10))+(_xlfn.ANCHORARRAY(Sintesi!$C$9)&lt;_xlfn.ANCHORARRAY(Sintesi!$C$10))*(A250&gt;=_xlfn.ANCHORARRAY(Sintesi!$C$9))*(A250&lt;=_xlfn.ANCHORARRAY(Sintesi!$C$10)),0)),0)-_xlfn.IFNA(INDEX(_xlfn.ANCHORARRAY(Sintesi!$C$17),1,MATCH(1,(_xlfn.ANCHORARRAY(Sintesi!$C$9)&gt;_xlfn.ANCHORARRAY(Sintesi!$C$10))*(A250&gt;=_xlfn.ANCHORARRAY(Sintesi!$C$9))+(_xlfn.ANCHORARRAY(Sintesi!$C$9)&gt;_xlfn.ANCHORARRAY(Sintesi!$C$10))*(A250&lt;=_xlfn.ANCHORARRAY(Sintesi!$C$10))+(_xlfn.ANCHORARRAY(Sintesi!$C$9)&lt;_xlfn.ANCHORARRAY(Sintesi!$C$10))*(A250&gt;=_xlfn.ANCHORARRAY(Sintesi!$C$9))*(A250&lt;=_xlfn.ANCHORARRAY(Sintesi!$C$10)),0)),0)))),0)</f>
        <v>0</v>
      </c>
    </row>
    <row r="252" spans="1:13">
      <c r="A252" s="1">
        <f>'Paste cell here'!A252</f>
        <v>251</v>
      </c>
      <c r="B252" s="2">
        <f>DATE(Sintesi!$C$4-1,12,31)+A252</f>
        <v>44447</v>
      </c>
      <c r="C252" s="34">
        <f t="array" ref="C252">_xlfn.IFNA(MATCH(1,((_xlfn.ANCHORARRAY(Sintesi!$C$9)&gt;_xlfn.ANCHORARRAY(Sintesi!$C$10))*(A252&gt;=_xlfn.ANCHORARRAY(Sintesi!$C$9))+(_xlfn.ANCHORARRAY(Sintesi!$C$9)&gt;_xlfn.ANCHORARRAY(Sintesi!$C$10))*(A252&lt;=_xlfn.ANCHORARRAY(Sintesi!$C$10))+(_xlfn.ANCHORARRAY(Sintesi!$C$9)&lt;_xlfn.ANCHORARRAY(Sintesi!$C$10))*(A252&gt;=_xlfn.ANCHORARRAY(Sintesi!$C$9))*(A252&lt;=_xlfn.ANCHORARRAY(Sintesi!$C$10)))*(_xlfn.ANCHORARRAY(Sintesi!$C$15)&gt;=0)+(_xlfn.ANCHORARRAY(Sintesi!$C$15)&lt;0),0),0)</f>
        <v>0</v>
      </c>
      <c r="D252" s="1">
        <f t="array" ref="D252">IF(ISBLANK($E253),IF(ISNUMBER($E251),IF($C252&gt;0,IF(($E252=INDEX(_xlfn.ANCHORARRAY(Sintesi!$C$14),1,$C252))*(INDEX(_xlfn.ANCHORARRAY(Sintesi!$C$15),1,$C252)&gt;0),0,IF(($E252=INDEX(_xlfn.ANCHORARRAY(Sintesi!$C$14),1,$C252))*(INDEX(_xlfn.ANCHORARRAY(Sintesi!$C$15),1,$C252)&lt;0)+($E252&gt;=$E251)*($E252&lt;=INDEX($E:$E,MATCH(TRUE,INDEX((ISNUMBER($E:$E)),0),0)))*($E252&gt;INDEX(_xlfn.ANCHORARRAY(Sintesi!$C$14),1,$C252))*($E252&lt;=INDEX(_xlfn.ANCHORARRAY(Sintesi!$C$15),1,$C252))*(INDEX(_xlfn.ANCHORARRAY(Sintesi!$C$15),1,$C252)&gt;0),1,IF(($E252&gt;=$E251)*($E252&lt;=INDEX($E:$E,MATCH(TRUE,INDEX((ISNUMBER($E:$E)),0),0)))*($E252&gt;INDEX(_xlfn.ANCHORARRAY(Sintesi!$C$14),1,$C252))*($E252&lt;INDEX(_xlfn.ANCHORARRAY(Sintesi!$C$16),1,$C252))*(INDEX(_xlfn.ANCHORARRAY(Sintesi!$C$15),1,$C252)&lt;0)+($E252&gt;=$E251)*($E252&lt;=INDEX($E:$E,MATCH(TRUE,INDEX((ISNUMBER($E:$E)),0),0)))*($E252&gt;INDEX(_xlfn.ANCHORARRAY(Sintesi!$C$15),1,$C252))*($E252&lt;INDEX(_xlfn.ANCHORARRAY(Sintesi!$C$16),1,$C252))*(INDEX(_xlfn.ANCHORARRAY(Sintesi!$C$15),1,$C252)&gt;0),2,IF($E252=(INDEX(_xlfn.ANCHORARRAY(Sintesi!$C$16),1,$C252)),3,4)))),0),IF($C252&gt;0,IF(($E252=INDEX(_xlfn.ANCHORARRAY(Sintesi!$C$14),1,$C252))*(INDEX(_xlfn.ANCHORARRAY(Sintesi!$C$15),1,$C252)&gt;0),0,IF(($E252=INDEX(_xlfn.ANCHORARRAY(Sintesi!$C$14),1,$C252))*(INDEX(_xlfn.ANCHORARRAY(Sintesi!$C$15),1,$C252)&lt;0)+($E252&gt;=LOOKUP(2,1/($E:$E&lt;&gt;""),$E:$E))*($E252&lt;=INDEX($E:$E,MATCH(TRUE,INDEX((ISNUMBER($E:$E)),0),0)))*($E252&gt;INDEX(_xlfn.ANCHORARRAY(Sintesi!$C$14),1,$C252))*($E252&lt;=INDEX(_xlfn.ANCHORARRAY(Sintesi!$C$15),1,$C252))*(INDEX(_xlfn.ANCHORARRAY(Sintesi!$C$15),1,$C252)&gt;0),1,IF(($E252&gt;=LOOKUP(2,1/($E:$E&lt;&gt;""),$E:$E))*($E252&lt;=INDEX($E:$E,MATCH(TRUE,INDEX((ISNUMBER($E:$E)),0),0)))*($E252&gt;INDEX(_xlfn.ANCHORARRAY(Sintesi!$C$14),1,$C252))*($E252&lt;INDEX(_xlfn.ANCHORARRAY(Sintesi!$C$16),1,$C252))*(INDEX(_xlfn.ANCHORARRAY(Sintesi!$C$15),1,$C252)&lt;0)+($E252&gt;=LOOKUP(2,1/($E:$E&lt;&gt;""),$E:$E))*($E252&lt;=INDEX($E:$E,MATCH(TRUE,INDEX((ISNUMBER($E:$E)),0),0)))*($E252&gt;INDEX(_xlfn.ANCHORARRAY(Sintesi!$C$15),1,$C252))*($E252&lt;INDEX(_xlfn.ANCHORARRAY(Sintesi!$C$16),1,$C252))*(INDEX(_xlfn.ANCHORARRAY(Sintesi!$C$15),1,$C252)&gt;0),2,IF($E252=(INDEX(_xlfn.ANCHORARRAY(Sintesi!$C$16),1,$C252)),3,4)))),0)),IF(ISNUMBER($E251),IF($C252&gt;0,IF(($E252=INDEX(_xlfn.ANCHORARRAY(Sintesi!$C$14),1,$C252))*(INDEX(_xlfn.ANCHORARRAY(Sintesi!$C$15),1,$C252)&gt;0),0,IF(($E252=INDEX(_xlfn.ANCHORARRAY(Sintesi!$C$14),1,$C252))*(INDEX(_xlfn.ANCHORARRAY(Sintesi!$C$15),1,$C252)&lt;0)+($E252&gt;=$E251)*($E252&lt;=$E253)*($E252&gt;INDEX(_xlfn.ANCHORARRAY(Sintesi!$C$14),1,$C252))*($E252&lt;=INDEX(_xlfn.ANCHORARRAY(Sintesi!$C$15),1,$C252))*(INDEX(_xlfn.ANCHORARRAY(Sintesi!$C$15),1,$C252)&gt;0),1,IF(($E252&gt;=$E251)*($E252&lt;=$E253)*($E252&gt;INDEX(_xlfn.ANCHORARRAY(Sintesi!$C$14),1,$C252))*($E252&lt;INDEX(_xlfn.ANCHORARRAY(Sintesi!$C$16),1,$C252))*(INDEX(_xlfn.ANCHORARRAY(Sintesi!$C$15),1,$C252)&lt;0)+($E252&gt;=$E251)*($E252&lt;=$E253)*($E252&gt;INDEX(_xlfn.ANCHORARRAY(Sintesi!$C$15),1,$C252))*($E252&lt;INDEX(_xlfn.ANCHORARRAY(Sintesi!$C$16),1,$C252))*(INDEX(_xlfn.ANCHORARRAY(Sintesi!$C$15),1,$C252)&gt;0),2,IF($E252=(INDEX(_xlfn.ANCHORARRAY(Sintesi!$C$16),1,$C252)),3,4)))),0),IF($C252&gt;0,IF(($E252=INDEX(_xlfn.ANCHORARRAY(Sintesi!$C$14),1,$C252))*(INDEX(_xlfn.ANCHORARRAY(Sintesi!$C$15),1,$C252)&gt;0),0,IF(($E252=INDEX(_xlfn.ANCHORARRAY(Sintesi!$C$14),1,$C252))*(INDEX(_xlfn.ANCHORARRAY(Sintesi!$C$15),1,$C252)&lt;0)+($E252&gt;=LOOKUP(2,1/($E:$E&lt;&gt;""),$E:$E))*($E252&lt;=$E253)*($E252&gt;INDEX(_xlfn.ANCHORARRAY(Sintesi!$C$14),1,$C252))*($E252&lt;=INDEX(_xlfn.ANCHORARRAY(Sintesi!$C$15),1,$C252))*(INDEX(_xlfn.ANCHORARRAY(Sintesi!$C$15),1,$C252)&gt;0),1,IF(($E252&gt;=LOOKUP(2,1/($E:$E&lt;&gt;""),$E:$E))*($E252&lt;=$E253)*($E252&gt;INDEX(_xlfn.ANCHORARRAY(Sintesi!$C$14),1,$C252))*($E252&lt;INDEX(_xlfn.ANCHORARRAY(Sintesi!$C$16),1,$C252))*(INDEX(_xlfn.ANCHORARRAY(Sintesi!$C$15),1,$C252)&lt;0)+($E252&gt;=LOOKUP(2,1/($E:$E&lt;&gt;""),$E:$E))*($E252&lt;=$E253)*($E252&gt;INDEX(_xlfn.ANCHORARRAY(Sintesi!$C$15),1,$C252))*($E252&lt;INDEX(_xlfn.ANCHORARRAY(Sintesi!$C$16),1,$C252))*(INDEX(_xlfn.ANCHORARRAY(Sintesi!$C$15),1,$C252)&gt;0),2,IF($E252=(INDEX(_xlfn.ANCHORARRAY(Sintesi!$C$16),1,$C252)),3,4)))),0)))</f>
        <v>0</v>
      </c>
      <c r="E252" s="1">
        <f>'Paste cell here'!F252</f>
        <v>0</v>
      </c>
      <c r="F252" s="1">
        <f>'Paste cell here'!C252</f>
        <v>29.359999999999577</v>
      </c>
      <c r="G252" s="1">
        <f>'Paste cell here'!D252</f>
        <v>18.519999999999762</v>
      </c>
      <c r="H252" s="1">
        <f>'Paste cell here'!E252</f>
        <v>3.8441337844122296</v>
      </c>
      <c r="I252" s="1">
        <f>'Paste cell here'!X252</f>
        <v>0</v>
      </c>
      <c r="J252" s="1">
        <f>'Paste cell here'!Y252+'Paste cell here'!S252</f>
        <v>0</v>
      </c>
      <c r="K252" s="1">
        <f t="shared" si="6"/>
        <v>0</v>
      </c>
      <c r="L252" s="1">
        <f t="shared" si="7"/>
        <v>25.302799775404214</v>
      </c>
      <c r="M252" s="1">
        <f t="array" ref="M252">IF(AND(A252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252&gt;=_xlfn.ANCHORARRAY(Sintesi!$C$9))+(_xlfn.ANCHORARRAY(Sintesi!$C$9)&gt;_xlfn.ANCHORARRAY(Sintesi!$C$10))*(A252&lt;=_xlfn.ANCHORARRAY(Sintesi!$C$10))+(_xlfn.ANCHORARRAY(Sintesi!$C$9)&lt;_xlfn.ANCHORARRAY(Sintesi!$C$10))*(A252&gt;=_xlfn.ANCHORARRAY(Sintesi!$C$9))*(A252&lt;=_xlfn.ANCHORARRAY(Sintesi!$C$10)),0)),0),A252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253&gt;=_xlfn.ANCHORARRAY(Sintesi!$C$9))+(_xlfn.ANCHORARRAY(Sintesi!$C$9)&gt;_xlfn.ANCHORARRAY(Sintesi!$C$10))*(A253&lt;=_xlfn.ANCHORARRAY(Sintesi!$C$10))+(_xlfn.ANCHORARRAY(Sintesi!$C$9)&lt;_xlfn.ANCHORARRAY(Sintesi!$C$10))*(A253&gt;=_xlfn.ANCHORARRAY(Sintesi!$C$9))*(A253&lt;=_xlfn.ANCHORARRAY(Sintesi!$C$10)),0)),0)),IF(L252&lt;_xlfn.IFNA(INDEX(_xlfn.ANCHORARRAY(Sintesi!$C$17),1,MATCH(1,(_xlfn.ANCHORARRAY(Sintesi!$C$9)&gt;_xlfn.ANCHORARRAY(Sintesi!$C$10))*(A251&gt;=_xlfn.ANCHORARRAY(Sintesi!$C$9))+(_xlfn.ANCHORARRAY(Sintesi!$C$9)&gt;_xlfn.ANCHORARRAY(Sintesi!$C$10))*(A251&lt;=_xlfn.ANCHORARRAY(Sintesi!$C$10))+(_xlfn.ANCHORARRAY(Sintesi!$C$9)&lt;_xlfn.ANCHORARRAY(Sintesi!$C$10))*(A251&gt;=_xlfn.ANCHORARRAY(Sintesi!$C$9))*(A251&lt;=_xlfn.ANCHORARRAY(Sintesi!$C$10)),0)),0),1,IF(L252&gt;=_xlfn.IFNA(INDEX(_xlfn.ANCHORARRAY(Sintesi!$C$18),1,MATCH(1,(_xlfn.ANCHORARRAY(Sintesi!$C$9)&gt;_xlfn.ANCHORARRAY(Sintesi!$C$10))*(A251&gt;=_xlfn.ANCHORARRAY(Sintesi!$C$9))+(_xlfn.ANCHORARRAY(Sintesi!$C$9)&gt;_xlfn.ANCHORARRAY(Sintesi!$C$10))*(A251&lt;=_xlfn.ANCHORARRAY(Sintesi!$C$10))+(_xlfn.ANCHORARRAY(Sintesi!$C$9)&lt;_xlfn.ANCHORARRAY(Sintesi!$C$10))*(A251&gt;=_xlfn.ANCHORARRAY(Sintesi!$C$9))*(A251&lt;=_xlfn.ANCHORARRAY(Sintesi!$C$10)),0)),0),0,1-(L252-_xlfn.IFNA(INDEX(_xlfn.ANCHORARRAY(Sintesi!$C$17),1,MATCH(1,(_xlfn.ANCHORARRAY(Sintesi!$C$9)&gt;_xlfn.ANCHORARRAY(Sintesi!$C$10))*(A251&gt;=_xlfn.ANCHORARRAY(Sintesi!$C$9))+(_xlfn.ANCHORARRAY(Sintesi!$C$9)&gt;_xlfn.ANCHORARRAY(Sintesi!$C$10))*(A251&lt;=_xlfn.ANCHORARRAY(Sintesi!$C$10))+(_xlfn.ANCHORARRAY(Sintesi!$C$9)&lt;_xlfn.ANCHORARRAY(Sintesi!$C$10))*(A251&gt;=_xlfn.ANCHORARRAY(Sintesi!$C$9))*(A251&lt;=_xlfn.ANCHORARRAY(Sintesi!$C$10)),0)),0))/(_xlfn.IFNA(INDEX(_xlfn.ANCHORARRAY(Sintesi!$C$18),1,MATCH(1,(_xlfn.ANCHORARRAY(Sintesi!$C$9)&gt;_xlfn.ANCHORARRAY(Sintesi!$C$10))*(A251&gt;=_xlfn.ANCHORARRAY(Sintesi!$C$9))+(_xlfn.ANCHORARRAY(Sintesi!$C$9)&gt;_xlfn.ANCHORARRAY(Sintesi!$C$10))*(A251&lt;=_xlfn.ANCHORARRAY(Sintesi!$C$10))+(_xlfn.ANCHORARRAY(Sintesi!$C$9)&lt;_xlfn.ANCHORARRAY(Sintesi!$C$10))*(A251&gt;=_xlfn.ANCHORARRAY(Sintesi!$C$9))*(A251&lt;=_xlfn.ANCHORARRAY(Sintesi!$C$10)),0)),0)-_xlfn.IFNA(INDEX(_xlfn.ANCHORARRAY(Sintesi!$C$17),1,MATCH(1,(_xlfn.ANCHORARRAY(Sintesi!$C$9)&gt;_xlfn.ANCHORARRAY(Sintesi!$C$10))*(A251&gt;=_xlfn.ANCHORARRAY(Sintesi!$C$9))+(_xlfn.ANCHORARRAY(Sintesi!$C$9)&gt;_xlfn.ANCHORARRAY(Sintesi!$C$10))*(A251&lt;=_xlfn.ANCHORARRAY(Sintesi!$C$10))+(_xlfn.ANCHORARRAY(Sintesi!$C$9)&lt;_xlfn.ANCHORARRAY(Sintesi!$C$10))*(A251&gt;=_xlfn.ANCHORARRAY(Sintesi!$C$9))*(A251&lt;=_xlfn.ANCHORARRAY(Sintesi!$C$10)),0)),0)))),0)</f>
        <v>0</v>
      </c>
    </row>
    <row r="253" spans="1:13">
      <c r="A253" s="1">
        <f>'Paste cell here'!A253</f>
        <v>252</v>
      </c>
      <c r="B253" s="2">
        <f>DATE(Sintesi!$C$4-1,12,31)+A253</f>
        <v>44448</v>
      </c>
      <c r="C253" s="34">
        <f t="array" ref="C253">_xlfn.IFNA(MATCH(1,((_xlfn.ANCHORARRAY(Sintesi!$C$9)&gt;_xlfn.ANCHORARRAY(Sintesi!$C$10))*(A253&gt;=_xlfn.ANCHORARRAY(Sintesi!$C$9))+(_xlfn.ANCHORARRAY(Sintesi!$C$9)&gt;_xlfn.ANCHORARRAY(Sintesi!$C$10))*(A253&lt;=_xlfn.ANCHORARRAY(Sintesi!$C$10))+(_xlfn.ANCHORARRAY(Sintesi!$C$9)&lt;_xlfn.ANCHORARRAY(Sintesi!$C$10))*(A253&gt;=_xlfn.ANCHORARRAY(Sintesi!$C$9))*(A253&lt;=_xlfn.ANCHORARRAY(Sintesi!$C$10)))*(_xlfn.ANCHORARRAY(Sintesi!$C$15)&gt;=0)+(_xlfn.ANCHORARRAY(Sintesi!$C$15)&lt;0),0),0)</f>
        <v>0</v>
      </c>
      <c r="D253" s="1">
        <f t="array" ref="D253">IF(ISBLANK($E254),IF(ISNUMBER($E252),IF($C253&gt;0,IF(($E253=INDEX(_xlfn.ANCHORARRAY(Sintesi!$C$14),1,$C253))*(INDEX(_xlfn.ANCHORARRAY(Sintesi!$C$15),1,$C253)&gt;0),0,IF(($E253=INDEX(_xlfn.ANCHORARRAY(Sintesi!$C$14),1,$C253))*(INDEX(_xlfn.ANCHORARRAY(Sintesi!$C$15),1,$C253)&lt;0)+($E253&gt;=$E252)*($E253&lt;=INDEX($E:$E,MATCH(TRUE,INDEX((ISNUMBER($E:$E)),0),0)))*($E253&gt;INDEX(_xlfn.ANCHORARRAY(Sintesi!$C$14),1,$C253))*($E253&lt;=INDEX(_xlfn.ANCHORARRAY(Sintesi!$C$15),1,$C253))*(INDEX(_xlfn.ANCHORARRAY(Sintesi!$C$15),1,$C253)&gt;0),1,IF(($E253&gt;=$E252)*($E253&lt;=INDEX($E:$E,MATCH(TRUE,INDEX((ISNUMBER($E:$E)),0),0)))*($E253&gt;INDEX(_xlfn.ANCHORARRAY(Sintesi!$C$14),1,$C253))*($E253&lt;INDEX(_xlfn.ANCHORARRAY(Sintesi!$C$16),1,$C253))*(INDEX(_xlfn.ANCHORARRAY(Sintesi!$C$15),1,$C253)&lt;0)+($E253&gt;=$E252)*($E253&lt;=INDEX($E:$E,MATCH(TRUE,INDEX((ISNUMBER($E:$E)),0),0)))*($E253&gt;INDEX(_xlfn.ANCHORARRAY(Sintesi!$C$15),1,$C253))*($E253&lt;INDEX(_xlfn.ANCHORARRAY(Sintesi!$C$16),1,$C253))*(INDEX(_xlfn.ANCHORARRAY(Sintesi!$C$15),1,$C253)&gt;0),2,IF($E253=(INDEX(_xlfn.ANCHORARRAY(Sintesi!$C$16),1,$C253)),3,4)))),0),IF($C253&gt;0,IF(($E253=INDEX(_xlfn.ANCHORARRAY(Sintesi!$C$14),1,$C253))*(INDEX(_xlfn.ANCHORARRAY(Sintesi!$C$15),1,$C253)&gt;0),0,IF(($E253=INDEX(_xlfn.ANCHORARRAY(Sintesi!$C$14),1,$C253))*(INDEX(_xlfn.ANCHORARRAY(Sintesi!$C$15),1,$C253)&lt;0)+($E253&gt;=LOOKUP(2,1/($E:$E&lt;&gt;""),$E:$E))*($E253&lt;=INDEX($E:$E,MATCH(TRUE,INDEX((ISNUMBER($E:$E)),0),0)))*($E253&gt;INDEX(_xlfn.ANCHORARRAY(Sintesi!$C$14),1,$C253))*($E253&lt;=INDEX(_xlfn.ANCHORARRAY(Sintesi!$C$15),1,$C253))*(INDEX(_xlfn.ANCHORARRAY(Sintesi!$C$15),1,$C253)&gt;0),1,IF(($E253&gt;=LOOKUP(2,1/($E:$E&lt;&gt;""),$E:$E))*($E253&lt;=INDEX($E:$E,MATCH(TRUE,INDEX((ISNUMBER($E:$E)),0),0)))*($E253&gt;INDEX(_xlfn.ANCHORARRAY(Sintesi!$C$14),1,$C253))*($E253&lt;INDEX(_xlfn.ANCHORARRAY(Sintesi!$C$16),1,$C253))*(INDEX(_xlfn.ANCHORARRAY(Sintesi!$C$15),1,$C253)&lt;0)+($E253&gt;=LOOKUP(2,1/($E:$E&lt;&gt;""),$E:$E))*($E253&lt;=INDEX($E:$E,MATCH(TRUE,INDEX((ISNUMBER($E:$E)),0),0)))*($E253&gt;INDEX(_xlfn.ANCHORARRAY(Sintesi!$C$15),1,$C253))*($E253&lt;INDEX(_xlfn.ANCHORARRAY(Sintesi!$C$16),1,$C253))*(INDEX(_xlfn.ANCHORARRAY(Sintesi!$C$15),1,$C253)&gt;0),2,IF($E253=(INDEX(_xlfn.ANCHORARRAY(Sintesi!$C$16),1,$C253)),3,4)))),0)),IF(ISNUMBER($E252),IF($C253&gt;0,IF(($E253=INDEX(_xlfn.ANCHORARRAY(Sintesi!$C$14),1,$C253))*(INDEX(_xlfn.ANCHORARRAY(Sintesi!$C$15),1,$C253)&gt;0),0,IF(($E253=INDEX(_xlfn.ANCHORARRAY(Sintesi!$C$14),1,$C253))*(INDEX(_xlfn.ANCHORARRAY(Sintesi!$C$15),1,$C253)&lt;0)+($E253&gt;=$E252)*($E253&lt;=$E254)*($E253&gt;INDEX(_xlfn.ANCHORARRAY(Sintesi!$C$14),1,$C253))*($E253&lt;=INDEX(_xlfn.ANCHORARRAY(Sintesi!$C$15),1,$C253))*(INDEX(_xlfn.ANCHORARRAY(Sintesi!$C$15),1,$C253)&gt;0),1,IF(($E253&gt;=$E252)*($E253&lt;=$E254)*($E253&gt;INDEX(_xlfn.ANCHORARRAY(Sintesi!$C$14),1,$C253))*($E253&lt;INDEX(_xlfn.ANCHORARRAY(Sintesi!$C$16),1,$C253))*(INDEX(_xlfn.ANCHORARRAY(Sintesi!$C$15),1,$C253)&lt;0)+($E253&gt;=$E252)*($E253&lt;=$E254)*($E253&gt;INDEX(_xlfn.ANCHORARRAY(Sintesi!$C$15),1,$C253))*($E253&lt;INDEX(_xlfn.ANCHORARRAY(Sintesi!$C$16),1,$C253))*(INDEX(_xlfn.ANCHORARRAY(Sintesi!$C$15),1,$C253)&gt;0),2,IF($E253=(INDEX(_xlfn.ANCHORARRAY(Sintesi!$C$16),1,$C253)),3,4)))),0),IF($C253&gt;0,IF(($E253=INDEX(_xlfn.ANCHORARRAY(Sintesi!$C$14),1,$C253))*(INDEX(_xlfn.ANCHORARRAY(Sintesi!$C$15),1,$C253)&gt;0),0,IF(($E253=INDEX(_xlfn.ANCHORARRAY(Sintesi!$C$14),1,$C253))*(INDEX(_xlfn.ANCHORARRAY(Sintesi!$C$15),1,$C253)&lt;0)+($E253&gt;=LOOKUP(2,1/($E:$E&lt;&gt;""),$E:$E))*($E253&lt;=$E254)*($E253&gt;INDEX(_xlfn.ANCHORARRAY(Sintesi!$C$14),1,$C253))*($E253&lt;=INDEX(_xlfn.ANCHORARRAY(Sintesi!$C$15),1,$C253))*(INDEX(_xlfn.ANCHORARRAY(Sintesi!$C$15),1,$C253)&gt;0),1,IF(($E253&gt;=LOOKUP(2,1/($E:$E&lt;&gt;""),$E:$E))*($E253&lt;=$E254)*($E253&gt;INDEX(_xlfn.ANCHORARRAY(Sintesi!$C$14),1,$C253))*($E253&lt;INDEX(_xlfn.ANCHORARRAY(Sintesi!$C$16),1,$C253))*(INDEX(_xlfn.ANCHORARRAY(Sintesi!$C$15),1,$C253)&lt;0)+($E253&gt;=LOOKUP(2,1/($E:$E&lt;&gt;""),$E:$E))*($E253&lt;=$E254)*($E253&gt;INDEX(_xlfn.ANCHORARRAY(Sintesi!$C$15),1,$C253))*($E253&lt;INDEX(_xlfn.ANCHORARRAY(Sintesi!$C$16),1,$C253))*(INDEX(_xlfn.ANCHORARRAY(Sintesi!$C$15),1,$C253)&gt;0),2,IF($E253=(INDEX(_xlfn.ANCHORARRAY(Sintesi!$C$16),1,$C253)),3,4)))),0)))</f>
        <v>0</v>
      </c>
      <c r="E253" s="1">
        <f>'Paste cell here'!F253</f>
        <v>0</v>
      </c>
      <c r="F253" s="1">
        <f>'Paste cell here'!C253</f>
        <v>29.159999999999577</v>
      </c>
      <c r="G253" s="1">
        <f>'Paste cell here'!D253</f>
        <v>17.679999999999765</v>
      </c>
      <c r="H253" s="1">
        <f>'Paste cell here'!E253</f>
        <v>3.552449567261883</v>
      </c>
      <c r="I253" s="1">
        <f>'Paste cell here'!X253</f>
        <v>0</v>
      </c>
      <c r="J253" s="1">
        <f>'Paste cell here'!Y253+'Paste cell here'!S253</f>
        <v>0</v>
      </c>
      <c r="K253" s="1">
        <f t="shared" si="6"/>
        <v>0</v>
      </c>
      <c r="L253" s="1">
        <f t="shared" si="7"/>
        <v>24.863260278749127</v>
      </c>
      <c r="M253" s="1">
        <f t="array" ref="M253">IF(AND(A253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253&gt;=_xlfn.ANCHORARRAY(Sintesi!$C$9))+(_xlfn.ANCHORARRAY(Sintesi!$C$9)&gt;_xlfn.ANCHORARRAY(Sintesi!$C$10))*(A253&lt;=_xlfn.ANCHORARRAY(Sintesi!$C$10))+(_xlfn.ANCHORARRAY(Sintesi!$C$9)&lt;_xlfn.ANCHORARRAY(Sintesi!$C$10))*(A253&gt;=_xlfn.ANCHORARRAY(Sintesi!$C$9))*(A253&lt;=_xlfn.ANCHORARRAY(Sintesi!$C$10)),0)),0),A253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254&gt;=_xlfn.ANCHORARRAY(Sintesi!$C$9))+(_xlfn.ANCHORARRAY(Sintesi!$C$9)&gt;_xlfn.ANCHORARRAY(Sintesi!$C$10))*(A254&lt;=_xlfn.ANCHORARRAY(Sintesi!$C$10))+(_xlfn.ANCHORARRAY(Sintesi!$C$9)&lt;_xlfn.ANCHORARRAY(Sintesi!$C$10))*(A254&gt;=_xlfn.ANCHORARRAY(Sintesi!$C$9))*(A254&lt;=_xlfn.ANCHORARRAY(Sintesi!$C$10)),0)),0)),IF(L253&lt;_xlfn.IFNA(INDEX(_xlfn.ANCHORARRAY(Sintesi!$C$17),1,MATCH(1,(_xlfn.ANCHORARRAY(Sintesi!$C$9)&gt;_xlfn.ANCHORARRAY(Sintesi!$C$10))*(A252&gt;=_xlfn.ANCHORARRAY(Sintesi!$C$9))+(_xlfn.ANCHORARRAY(Sintesi!$C$9)&gt;_xlfn.ANCHORARRAY(Sintesi!$C$10))*(A252&lt;=_xlfn.ANCHORARRAY(Sintesi!$C$10))+(_xlfn.ANCHORARRAY(Sintesi!$C$9)&lt;_xlfn.ANCHORARRAY(Sintesi!$C$10))*(A252&gt;=_xlfn.ANCHORARRAY(Sintesi!$C$9))*(A252&lt;=_xlfn.ANCHORARRAY(Sintesi!$C$10)),0)),0),1,IF(L253&gt;=_xlfn.IFNA(INDEX(_xlfn.ANCHORARRAY(Sintesi!$C$18),1,MATCH(1,(_xlfn.ANCHORARRAY(Sintesi!$C$9)&gt;_xlfn.ANCHORARRAY(Sintesi!$C$10))*(A252&gt;=_xlfn.ANCHORARRAY(Sintesi!$C$9))+(_xlfn.ANCHORARRAY(Sintesi!$C$9)&gt;_xlfn.ANCHORARRAY(Sintesi!$C$10))*(A252&lt;=_xlfn.ANCHORARRAY(Sintesi!$C$10))+(_xlfn.ANCHORARRAY(Sintesi!$C$9)&lt;_xlfn.ANCHORARRAY(Sintesi!$C$10))*(A252&gt;=_xlfn.ANCHORARRAY(Sintesi!$C$9))*(A252&lt;=_xlfn.ANCHORARRAY(Sintesi!$C$10)),0)),0),0,1-(L253-_xlfn.IFNA(INDEX(_xlfn.ANCHORARRAY(Sintesi!$C$17),1,MATCH(1,(_xlfn.ANCHORARRAY(Sintesi!$C$9)&gt;_xlfn.ANCHORARRAY(Sintesi!$C$10))*(A252&gt;=_xlfn.ANCHORARRAY(Sintesi!$C$9))+(_xlfn.ANCHORARRAY(Sintesi!$C$9)&gt;_xlfn.ANCHORARRAY(Sintesi!$C$10))*(A252&lt;=_xlfn.ANCHORARRAY(Sintesi!$C$10))+(_xlfn.ANCHORARRAY(Sintesi!$C$9)&lt;_xlfn.ANCHORARRAY(Sintesi!$C$10))*(A252&gt;=_xlfn.ANCHORARRAY(Sintesi!$C$9))*(A252&lt;=_xlfn.ANCHORARRAY(Sintesi!$C$10)),0)),0))/(_xlfn.IFNA(INDEX(_xlfn.ANCHORARRAY(Sintesi!$C$18),1,MATCH(1,(_xlfn.ANCHORARRAY(Sintesi!$C$9)&gt;_xlfn.ANCHORARRAY(Sintesi!$C$10))*(A252&gt;=_xlfn.ANCHORARRAY(Sintesi!$C$9))+(_xlfn.ANCHORARRAY(Sintesi!$C$9)&gt;_xlfn.ANCHORARRAY(Sintesi!$C$10))*(A252&lt;=_xlfn.ANCHORARRAY(Sintesi!$C$10))+(_xlfn.ANCHORARRAY(Sintesi!$C$9)&lt;_xlfn.ANCHORARRAY(Sintesi!$C$10))*(A252&gt;=_xlfn.ANCHORARRAY(Sintesi!$C$9))*(A252&lt;=_xlfn.ANCHORARRAY(Sintesi!$C$10)),0)),0)-_xlfn.IFNA(INDEX(_xlfn.ANCHORARRAY(Sintesi!$C$17),1,MATCH(1,(_xlfn.ANCHORARRAY(Sintesi!$C$9)&gt;_xlfn.ANCHORARRAY(Sintesi!$C$10))*(A252&gt;=_xlfn.ANCHORARRAY(Sintesi!$C$9))+(_xlfn.ANCHORARRAY(Sintesi!$C$9)&gt;_xlfn.ANCHORARRAY(Sintesi!$C$10))*(A252&lt;=_xlfn.ANCHORARRAY(Sintesi!$C$10))+(_xlfn.ANCHORARRAY(Sintesi!$C$9)&lt;_xlfn.ANCHORARRAY(Sintesi!$C$10))*(A252&gt;=_xlfn.ANCHORARRAY(Sintesi!$C$9))*(A252&lt;=_xlfn.ANCHORARRAY(Sintesi!$C$10)),0)),0)))),0)</f>
        <v>0</v>
      </c>
    </row>
    <row r="254" spans="1:13">
      <c r="A254" s="1">
        <f>'Paste cell here'!A254</f>
        <v>253</v>
      </c>
      <c r="B254" s="2">
        <f>DATE(Sintesi!$C$4-1,12,31)+A254</f>
        <v>44449</v>
      </c>
      <c r="C254" s="34">
        <f t="array" ref="C254">_xlfn.IFNA(MATCH(1,((_xlfn.ANCHORARRAY(Sintesi!$C$9)&gt;_xlfn.ANCHORARRAY(Sintesi!$C$10))*(A254&gt;=_xlfn.ANCHORARRAY(Sintesi!$C$9))+(_xlfn.ANCHORARRAY(Sintesi!$C$9)&gt;_xlfn.ANCHORARRAY(Sintesi!$C$10))*(A254&lt;=_xlfn.ANCHORARRAY(Sintesi!$C$10))+(_xlfn.ANCHORARRAY(Sintesi!$C$9)&lt;_xlfn.ANCHORARRAY(Sintesi!$C$10))*(A254&gt;=_xlfn.ANCHORARRAY(Sintesi!$C$9))*(A254&lt;=_xlfn.ANCHORARRAY(Sintesi!$C$10)))*(_xlfn.ANCHORARRAY(Sintesi!$C$15)&gt;=0)+(_xlfn.ANCHORARRAY(Sintesi!$C$15)&lt;0),0),0)</f>
        <v>0</v>
      </c>
      <c r="D254" s="1">
        <f t="array" ref="D254">IF(ISBLANK($E255),IF(ISNUMBER($E253),IF($C254&gt;0,IF(($E254=INDEX(_xlfn.ANCHORARRAY(Sintesi!$C$14),1,$C254))*(INDEX(_xlfn.ANCHORARRAY(Sintesi!$C$15),1,$C254)&gt;0),0,IF(($E254=INDEX(_xlfn.ANCHORARRAY(Sintesi!$C$14),1,$C254))*(INDEX(_xlfn.ANCHORARRAY(Sintesi!$C$15),1,$C254)&lt;0)+($E254&gt;=$E253)*($E254&lt;=INDEX($E:$E,MATCH(TRUE,INDEX((ISNUMBER($E:$E)),0),0)))*($E254&gt;INDEX(_xlfn.ANCHORARRAY(Sintesi!$C$14),1,$C254))*($E254&lt;=INDEX(_xlfn.ANCHORARRAY(Sintesi!$C$15),1,$C254))*(INDEX(_xlfn.ANCHORARRAY(Sintesi!$C$15),1,$C254)&gt;0),1,IF(($E254&gt;=$E253)*($E254&lt;=INDEX($E:$E,MATCH(TRUE,INDEX((ISNUMBER($E:$E)),0),0)))*($E254&gt;INDEX(_xlfn.ANCHORARRAY(Sintesi!$C$14),1,$C254))*($E254&lt;INDEX(_xlfn.ANCHORARRAY(Sintesi!$C$16),1,$C254))*(INDEX(_xlfn.ANCHORARRAY(Sintesi!$C$15),1,$C254)&lt;0)+($E254&gt;=$E253)*($E254&lt;=INDEX($E:$E,MATCH(TRUE,INDEX((ISNUMBER($E:$E)),0),0)))*($E254&gt;INDEX(_xlfn.ANCHORARRAY(Sintesi!$C$15),1,$C254))*($E254&lt;INDEX(_xlfn.ANCHORARRAY(Sintesi!$C$16),1,$C254))*(INDEX(_xlfn.ANCHORARRAY(Sintesi!$C$15),1,$C254)&gt;0),2,IF($E254=(INDEX(_xlfn.ANCHORARRAY(Sintesi!$C$16),1,$C254)),3,4)))),0),IF($C254&gt;0,IF(($E254=INDEX(_xlfn.ANCHORARRAY(Sintesi!$C$14),1,$C254))*(INDEX(_xlfn.ANCHORARRAY(Sintesi!$C$15),1,$C254)&gt;0),0,IF(($E254=INDEX(_xlfn.ANCHORARRAY(Sintesi!$C$14),1,$C254))*(INDEX(_xlfn.ANCHORARRAY(Sintesi!$C$15),1,$C254)&lt;0)+($E254&gt;=LOOKUP(2,1/($E:$E&lt;&gt;""),$E:$E))*($E254&lt;=INDEX($E:$E,MATCH(TRUE,INDEX((ISNUMBER($E:$E)),0),0)))*($E254&gt;INDEX(_xlfn.ANCHORARRAY(Sintesi!$C$14),1,$C254))*($E254&lt;=INDEX(_xlfn.ANCHORARRAY(Sintesi!$C$15),1,$C254))*(INDEX(_xlfn.ANCHORARRAY(Sintesi!$C$15),1,$C254)&gt;0),1,IF(($E254&gt;=LOOKUP(2,1/($E:$E&lt;&gt;""),$E:$E))*($E254&lt;=INDEX($E:$E,MATCH(TRUE,INDEX((ISNUMBER($E:$E)),0),0)))*($E254&gt;INDEX(_xlfn.ANCHORARRAY(Sintesi!$C$14),1,$C254))*($E254&lt;INDEX(_xlfn.ANCHORARRAY(Sintesi!$C$16),1,$C254))*(INDEX(_xlfn.ANCHORARRAY(Sintesi!$C$15),1,$C254)&lt;0)+($E254&gt;=LOOKUP(2,1/($E:$E&lt;&gt;""),$E:$E))*($E254&lt;=INDEX($E:$E,MATCH(TRUE,INDEX((ISNUMBER($E:$E)),0),0)))*($E254&gt;INDEX(_xlfn.ANCHORARRAY(Sintesi!$C$15),1,$C254))*($E254&lt;INDEX(_xlfn.ANCHORARRAY(Sintesi!$C$16),1,$C254))*(INDEX(_xlfn.ANCHORARRAY(Sintesi!$C$15),1,$C254)&gt;0),2,IF($E254=(INDEX(_xlfn.ANCHORARRAY(Sintesi!$C$16),1,$C254)),3,4)))),0)),IF(ISNUMBER($E253),IF($C254&gt;0,IF(($E254=INDEX(_xlfn.ANCHORARRAY(Sintesi!$C$14),1,$C254))*(INDEX(_xlfn.ANCHORARRAY(Sintesi!$C$15),1,$C254)&gt;0),0,IF(($E254=INDEX(_xlfn.ANCHORARRAY(Sintesi!$C$14),1,$C254))*(INDEX(_xlfn.ANCHORARRAY(Sintesi!$C$15),1,$C254)&lt;0)+($E254&gt;=$E253)*($E254&lt;=$E255)*($E254&gt;INDEX(_xlfn.ANCHORARRAY(Sintesi!$C$14),1,$C254))*($E254&lt;=INDEX(_xlfn.ANCHORARRAY(Sintesi!$C$15),1,$C254))*(INDEX(_xlfn.ANCHORARRAY(Sintesi!$C$15),1,$C254)&gt;0),1,IF(($E254&gt;=$E253)*($E254&lt;=$E255)*($E254&gt;INDEX(_xlfn.ANCHORARRAY(Sintesi!$C$14),1,$C254))*($E254&lt;INDEX(_xlfn.ANCHORARRAY(Sintesi!$C$16),1,$C254))*(INDEX(_xlfn.ANCHORARRAY(Sintesi!$C$15),1,$C254)&lt;0)+($E254&gt;=$E253)*($E254&lt;=$E255)*($E254&gt;INDEX(_xlfn.ANCHORARRAY(Sintesi!$C$15),1,$C254))*($E254&lt;INDEX(_xlfn.ANCHORARRAY(Sintesi!$C$16),1,$C254))*(INDEX(_xlfn.ANCHORARRAY(Sintesi!$C$15),1,$C254)&gt;0),2,IF($E254=(INDEX(_xlfn.ANCHORARRAY(Sintesi!$C$16),1,$C254)),3,4)))),0),IF($C254&gt;0,IF(($E254=INDEX(_xlfn.ANCHORARRAY(Sintesi!$C$14),1,$C254))*(INDEX(_xlfn.ANCHORARRAY(Sintesi!$C$15),1,$C254)&gt;0),0,IF(($E254=INDEX(_xlfn.ANCHORARRAY(Sintesi!$C$14),1,$C254))*(INDEX(_xlfn.ANCHORARRAY(Sintesi!$C$15),1,$C254)&lt;0)+($E254&gt;=LOOKUP(2,1/($E:$E&lt;&gt;""),$E:$E))*($E254&lt;=$E255)*($E254&gt;INDEX(_xlfn.ANCHORARRAY(Sintesi!$C$14),1,$C254))*($E254&lt;=INDEX(_xlfn.ANCHORARRAY(Sintesi!$C$15),1,$C254))*(INDEX(_xlfn.ANCHORARRAY(Sintesi!$C$15),1,$C254)&gt;0),1,IF(($E254&gt;=LOOKUP(2,1/($E:$E&lt;&gt;""),$E:$E))*($E254&lt;=$E255)*($E254&gt;INDEX(_xlfn.ANCHORARRAY(Sintesi!$C$14),1,$C254))*($E254&lt;INDEX(_xlfn.ANCHORARRAY(Sintesi!$C$16),1,$C254))*(INDEX(_xlfn.ANCHORARRAY(Sintesi!$C$15),1,$C254)&lt;0)+($E254&gt;=LOOKUP(2,1/($E:$E&lt;&gt;""),$E:$E))*($E254&lt;=$E255)*($E254&gt;INDEX(_xlfn.ANCHORARRAY(Sintesi!$C$15),1,$C254))*($E254&lt;INDEX(_xlfn.ANCHORARRAY(Sintesi!$C$16),1,$C254))*(INDEX(_xlfn.ANCHORARRAY(Sintesi!$C$15),1,$C254)&gt;0),2,IF($E254=(INDEX(_xlfn.ANCHORARRAY(Sintesi!$C$16),1,$C254)),3,4)))),0)))</f>
        <v>0</v>
      </c>
      <c r="E254" s="1">
        <f>'Paste cell here'!F254</f>
        <v>0</v>
      </c>
      <c r="F254" s="1">
        <f>'Paste cell here'!C254</f>
        <v>29.539999999999573</v>
      </c>
      <c r="G254" s="1">
        <f>'Paste cell here'!D254</f>
        <v>17.899999999999768</v>
      </c>
      <c r="H254" s="1">
        <f>'Paste cell here'!E254</f>
        <v>3.0051568761967986</v>
      </c>
      <c r="I254" s="1">
        <f>'Paste cell here'!X254</f>
        <v>0</v>
      </c>
      <c r="J254" s="1">
        <f>'Paste cell here'!Y254+'Paste cell here'!S254</f>
        <v>0</v>
      </c>
      <c r="K254" s="1">
        <f t="shared" si="6"/>
        <v>0</v>
      </c>
      <c r="L254" s="1">
        <f t="shared" si="7"/>
        <v>25.183375404585359</v>
      </c>
      <c r="M254" s="1">
        <f t="array" ref="M254">IF(AND(A254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254&gt;=_xlfn.ANCHORARRAY(Sintesi!$C$9))+(_xlfn.ANCHORARRAY(Sintesi!$C$9)&gt;_xlfn.ANCHORARRAY(Sintesi!$C$10))*(A254&lt;=_xlfn.ANCHORARRAY(Sintesi!$C$10))+(_xlfn.ANCHORARRAY(Sintesi!$C$9)&lt;_xlfn.ANCHORARRAY(Sintesi!$C$10))*(A254&gt;=_xlfn.ANCHORARRAY(Sintesi!$C$9))*(A254&lt;=_xlfn.ANCHORARRAY(Sintesi!$C$10)),0)),0),A254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255&gt;=_xlfn.ANCHORARRAY(Sintesi!$C$9))+(_xlfn.ANCHORARRAY(Sintesi!$C$9)&gt;_xlfn.ANCHORARRAY(Sintesi!$C$10))*(A255&lt;=_xlfn.ANCHORARRAY(Sintesi!$C$10))+(_xlfn.ANCHORARRAY(Sintesi!$C$9)&lt;_xlfn.ANCHORARRAY(Sintesi!$C$10))*(A255&gt;=_xlfn.ANCHORARRAY(Sintesi!$C$9))*(A255&lt;=_xlfn.ANCHORARRAY(Sintesi!$C$10)),0)),0)),IF(L254&lt;_xlfn.IFNA(INDEX(_xlfn.ANCHORARRAY(Sintesi!$C$17),1,MATCH(1,(_xlfn.ANCHORARRAY(Sintesi!$C$9)&gt;_xlfn.ANCHORARRAY(Sintesi!$C$10))*(A253&gt;=_xlfn.ANCHORARRAY(Sintesi!$C$9))+(_xlfn.ANCHORARRAY(Sintesi!$C$9)&gt;_xlfn.ANCHORARRAY(Sintesi!$C$10))*(A253&lt;=_xlfn.ANCHORARRAY(Sintesi!$C$10))+(_xlfn.ANCHORARRAY(Sintesi!$C$9)&lt;_xlfn.ANCHORARRAY(Sintesi!$C$10))*(A253&gt;=_xlfn.ANCHORARRAY(Sintesi!$C$9))*(A253&lt;=_xlfn.ANCHORARRAY(Sintesi!$C$10)),0)),0),1,IF(L254&gt;=_xlfn.IFNA(INDEX(_xlfn.ANCHORARRAY(Sintesi!$C$18),1,MATCH(1,(_xlfn.ANCHORARRAY(Sintesi!$C$9)&gt;_xlfn.ANCHORARRAY(Sintesi!$C$10))*(A253&gt;=_xlfn.ANCHORARRAY(Sintesi!$C$9))+(_xlfn.ANCHORARRAY(Sintesi!$C$9)&gt;_xlfn.ANCHORARRAY(Sintesi!$C$10))*(A253&lt;=_xlfn.ANCHORARRAY(Sintesi!$C$10))+(_xlfn.ANCHORARRAY(Sintesi!$C$9)&lt;_xlfn.ANCHORARRAY(Sintesi!$C$10))*(A253&gt;=_xlfn.ANCHORARRAY(Sintesi!$C$9))*(A253&lt;=_xlfn.ANCHORARRAY(Sintesi!$C$10)),0)),0),0,1-(L254-_xlfn.IFNA(INDEX(_xlfn.ANCHORARRAY(Sintesi!$C$17),1,MATCH(1,(_xlfn.ANCHORARRAY(Sintesi!$C$9)&gt;_xlfn.ANCHORARRAY(Sintesi!$C$10))*(A253&gt;=_xlfn.ANCHORARRAY(Sintesi!$C$9))+(_xlfn.ANCHORARRAY(Sintesi!$C$9)&gt;_xlfn.ANCHORARRAY(Sintesi!$C$10))*(A253&lt;=_xlfn.ANCHORARRAY(Sintesi!$C$10))+(_xlfn.ANCHORARRAY(Sintesi!$C$9)&lt;_xlfn.ANCHORARRAY(Sintesi!$C$10))*(A253&gt;=_xlfn.ANCHORARRAY(Sintesi!$C$9))*(A253&lt;=_xlfn.ANCHORARRAY(Sintesi!$C$10)),0)),0))/(_xlfn.IFNA(INDEX(_xlfn.ANCHORARRAY(Sintesi!$C$18),1,MATCH(1,(_xlfn.ANCHORARRAY(Sintesi!$C$9)&gt;_xlfn.ANCHORARRAY(Sintesi!$C$10))*(A253&gt;=_xlfn.ANCHORARRAY(Sintesi!$C$9))+(_xlfn.ANCHORARRAY(Sintesi!$C$9)&gt;_xlfn.ANCHORARRAY(Sintesi!$C$10))*(A253&lt;=_xlfn.ANCHORARRAY(Sintesi!$C$10))+(_xlfn.ANCHORARRAY(Sintesi!$C$9)&lt;_xlfn.ANCHORARRAY(Sintesi!$C$10))*(A253&gt;=_xlfn.ANCHORARRAY(Sintesi!$C$9))*(A253&lt;=_xlfn.ANCHORARRAY(Sintesi!$C$10)),0)),0)-_xlfn.IFNA(INDEX(_xlfn.ANCHORARRAY(Sintesi!$C$17),1,MATCH(1,(_xlfn.ANCHORARRAY(Sintesi!$C$9)&gt;_xlfn.ANCHORARRAY(Sintesi!$C$10))*(A253&gt;=_xlfn.ANCHORARRAY(Sintesi!$C$9))+(_xlfn.ANCHORARRAY(Sintesi!$C$9)&gt;_xlfn.ANCHORARRAY(Sintesi!$C$10))*(A253&lt;=_xlfn.ANCHORARRAY(Sintesi!$C$10))+(_xlfn.ANCHORARRAY(Sintesi!$C$9)&lt;_xlfn.ANCHORARRAY(Sintesi!$C$10))*(A253&gt;=_xlfn.ANCHORARRAY(Sintesi!$C$9))*(A253&lt;=_xlfn.ANCHORARRAY(Sintesi!$C$10)),0)),0)))),0)</f>
        <v>0</v>
      </c>
    </row>
    <row r="255" spans="1:13">
      <c r="A255" s="1">
        <f>'Paste cell here'!A255</f>
        <v>254</v>
      </c>
      <c r="B255" s="2">
        <f>DATE(Sintesi!$C$4-1,12,31)+A255</f>
        <v>44450</v>
      </c>
      <c r="C255" s="34">
        <f t="array" ref="C255">_xlfn.IFNA(MATCH(1,((_xlfn.ANCHORARRAY(Sintesi!$C$9)&gt;_xlfn.ANCHORARRAY(Sintesi!$C$10))*(A255&gt;=_xlfn.ANCHORARRAY(Sintesi!$C$9))+(_xlfn.ANCHORARRAY(Sintesi!$C$9)&gt;_xlfn.ANCHORARRAY(Sintesi!$C$10))*(A255&lt;=_xlfn.ANCHORARRAY(Sintesi!$C$10))+(_xlfn.ANCHORARRAY(Sintesi!$C$9)&lt;_xlfn.ANCHORARRAY(Sintesi!$C$10))*(A255&gt;=_xlfn.ANCHORARRAY(Sintesi!$C$9))*(A255&lt;=_xlfn.ANCHORARRAY(Sintesi!$C$10)))*(_xlfn.ANCHORARRAY(Sintesi!$C$15)&gt;=0)+(_xlfn.ANCHORARRAY(Sintesi!$C$15)&lt;0),0),0)</f>
        <v>0</v>
      </c>
      <c r="D255" s="1">
        <f t="array" ref="D255">IF(ISBLANK($E256),IF(ISNUMBER($E254),IF($C255&gt;0,IF(($E255=INDEX(_xlfn.ANCHORARRAY(Sintesi!$C$14),1,$C255))*(INDEX(_xlfn.ANCHORARRAY(Sintesi!$C$15),1,$C255)&gt;0),0,IF(($E255=INDEX(_xlfn.ANCHORARRAY(Sintesi!$C$14),1,$C255))*(INDEX(_xlfn.ANCHORARRAY(Sintesi!$C$15),1,$C255)&lt;0)+($E255&gt;=$E254)*($E255&lt;=INDEX($E:$E,MATCH(TRUE,INDEX((ISNUMBER($E:$E)),0),0)))*($E255&gt;INDEX(_xlfn.ANCHORARRAY(Sintesi!$C$14),1,$C255))*($E255&lt;=INDEX(_xlfn.ANCHORARRAY(Sintesi!$C$15),1,$C255))*(INDEX(_xlfn.ANCHORARRAY(Sintesi!$C$15),1,$C255)&gt;0),1,IF(($E255&gt;=$E254)*($E255&lt;=INDEX($E:$E,MATCH(TRUE,INDEX((ISNUMBER($E:$E)),0),0)))*($E255&gt;INDEX(_xlfn.ANCHORARRAY(Sintesi!$C$14),1,$C255))*($E255&lt;INDEX(_xlfn.ANCHORARRAY(Sintesi!$C$16),1,$C255))*(INDEX(_xlfn.ANCHORARRAY(Sintesi!$C$15),1,$C255)&lt;0)+($E255&gt;=$E254)*($E255&lt;=INDEX($E:$E,MATCH(TRUE,INDEX((ISNUMBER($E:$E)),0),0)))*($E255&gt;INDEX(_xlfn.ANCHORARRAY(Sintesi!$C$15),1,$C255))*($E255&lt;INDEX(_xlfn.ANCHORARRAY(Sintesi!$C$16),1,$C255))*(INDEX(_xlfn.ANCHORARRAY(Sintesi!$C$15),1,$C255)&gt;0),2,IF($E255=(INDEX(_xlfn.ANCHORARRAY(Sintesi!$C$16),1,$C255)),3,4)))),0),IF($C255&gt;0,IF(($E255=INDEX(_xlfn.ANCHORARRAY(Sintesi!$C$14),1,$C255))*(INDEX(_xlfn.ANCHORARRAY(Sintesi!$C$15),1,$C255)&gt;0),0,IF(($E255=INDEX(_xlfn.ANCHORARRAY(Sintesi!$C$14),1,$C255))*(INDEX(_xlfn.ANCHORARRAY(Sintesi!$C$15),1,$C255)&lt;0)+($E255&gt;=LOOKUP(2,1/($E:$E&lt;&gt;""),$E:$E))*($E255&lt;=INDEX($E:$E,MATCH(TRUE,INDEX((ISNUMBER($E:$E)),0),0)))*($E255&gt;INDEX(_xlfn.ANCHORARRAY(Sintesi!$C$14),1,$C255))*($E255&lt;=INDEX(_xlfn.ANCHORARRAY(Sintesi!$C$15),1,$C255))*(INDEX(_xlfn.ANCHORARRAY(Sintesi!$C$15),1,$C255)&gt;0),1,IF(($E255&gt;=LOOKUP(2,1/($E:$E&lt;&gt;""),$E:$E))*($E255&lt;=INDEX($E:$E,MATCH(TRUE,INDEX((ISNUMBER($E:$E)),0),0)))*($E255&gt;INDEX(_xlfn.ANCHORARRAY(Sintesi!$C$14),1,$C255))*($E255&lt;INDEX(_xlfn.ANCHORARRAY(Sintesi!$C$16),1,$C255))*(INDEX(_xlfn.ANCHORARRAY(Sintesi!$C$15),1,$C255)&lt;0)+($E255&gt;=LOOKUP(2,1/($E:$E&lt;&gt;""),$E:$E))*($E255&lt;=INDEX($E:$E,MATCH(TRUE,INDEX((ISNUMBER($E:$E)),0),0)))*($E255&gt;INDEX(_xlfn.ANCHORARRAY(Sintesi!$C$15),1,$C255))*($E255&lt;INDEX(_xlfn.ANCHORARRAY(Sintesi!$C$16),1,$C255))*(INDEX(_xlfn.ANCHORARRAY(Sintesi!$C$15),1,$C255)&gt;0),2,IF($E255=(INDEX(_xlfn.ANCHORARRAY(Sintesi!$C$16),1,$C255)),3,4)))),0)),IF(ISNUMBER($E254),IF($C255&gt;0,IF(($E255=INDEX(_xlfn.ANCHORARRAY(Sintesi!$C$14),1,$C255))*(INDEX(_xlfn.ANCHORARRAY(Sintesi!$C$15),1,$C255)&gt;0),0,IF(($E255=INDEX(_xlfn.ANCHORARRAY(Sintesi!$C$14),1,$C255))*(INDEX(_xlfn.ANCHORARRAY(Sintesi!$C$15),1,$C255)&lt;0)+($E255&gt;=$E254)*($E255&lt;=$E256)*($E255&gt;INDEX(_xlfn.ANCHORARRAY(Sintesi!$C$14),1,$C255))*($E255&lt;=INDEX(_xlfn.ANCHORARRAY(Sintesi!$C$15),1,$C255))*(INDEX(_xlfn.ANCHORARRAY(Sintesi!$C$15),1,$C255)&gt;0),1,IF(($E255&gt;=$E254)*($E255&lt;=$E256)*($E255&gt;INDEX(_xlfn.ANCHORARRAY(Sintesi!$C$14),1,$C255))*($E255&lt;INDEX(_xlfn.ANCHORARRAY(Sintesi!$C$16),1,$C255))*(INDEX(_xlfn.ANCHORARRAY(Sintesi!$C$15),1,$C255)&lt;0)+($E255&gt;=$E254)*($E255&lt;=$E256)*($E255&gt;INDEX(_xlfn.ANCHORARRAY(Sintesi!$C$15),1,$C255))*($E255&lt;INDEX(_xlfn.ANCHORARRAY(Sintesi!$C$16),1,$C255))*(INDEX(_xlfn.ANCHORARRAY(Sintesi!$C$15),1,$C255)&gt;0),2,IF($E255=(INDEX(_xlfn.ANCHORARRAY(Sintesi!$C$16),1,$C255)),3,4)))),0),IF($C255&gt;0,IF(($E255=INDEX(_xlfn.ANCHORARRAY(Sintesi!$C$14),1,$C255))*(INDEX(_xlfn.ANCHORARRAY(Sintesi!$C$15),1,$C255)&gt;0),0,IF(($E255=INDEX(_xlfn.ANCHORARRAY(Sintesi!$C$14),1,$C255))*(INDEX(_xlfn.ANCHORARRAY(Sintesi!$C$15),1,$C255)&lt;0)+($E255&gt;=LOOKUP(2,1/($E:$E&lt;&gt;""),$E:$E))*($E255&lt;=$E256)*($E255&gt;INDEX(_xlfn.ANCHORARRAY(Sintesi!$C$14),1,$C255))*($E255&lt;=INDEX(_xlfn.ANCHORARRAY(Sintesi!$C$15),1,$C255))*(INDEX(_xlfn.ANCHORARRAY(Sintesi!$C$15),1,$C255)&gt;0),1,IF(($E255&gt;=LOOKUP(2,1/($E:$E&lt;&gt;""),$E:$E))*($E255&lt;=$E256)*($E255&gt;INDEX(_xlfn.ANCHORARRAY(Sintesi!$C$14),1,$C255))*($E255&lt;INDEX(_xlfn.ANCHORARRAY(Sintesi!$C$16),1,$C255))*(INDEX(_xlfn.ANCHORARRAY(Sintesi!$C$15),1,$C255)&lt;0)+($E255&gt;=LOOKUP(2,1/($E:$E&lt;&gt;""),$E:$E))*($E255&lt;=$E256)*($E255&gt;INDEX(_xlfn.ANCHORARRAY(Sintesi!$C$15),1,$C255))*($E255&lt;INDEX(_xlfn.ANCHORARRAY(Sintesi!$C$16),1,$C255))*(INDEX(_xlfn.ANCHORARRAY(Sintesi!$C$15),1,$C255)&gt;0),2,IF($E255=(INDEX(_xlfn.ANCHORARRAY(Sintesi!$C$16),1,$C255)),3,4)))),0)))</f>
        <v>0</v>
      </c>
      <c r="E255" s="1">
        <f>'Paste cell here'!F255</f>
        <v>0</v>
      </c>
      <c r="F255" s="1">
        <f>'Paste cell here'!C255</f>
        <v>30.079999999999558</v>
      </c>
      <c r="G255" s="1">
        <f>'Paste cell here'!D255</f>
        <v>18.619999999999738</v>
      </c>
      <c r="H255" s="1">
        <f>'Paste cell here'!E255</f>
        <v>3.4991492987545385</v>
      </c>
      <c r="I255" s="1">
        <f>'Paste cell here'!X255</f>
        <v>0</v>
      </c>
      <c r="J255" s="1">
        <f>'Paste cell here'!Y255+'Paste cell here'!S255</f>
        <v>0</v>
      </c>
      <c r="K255" s="1">
        <f t="shared" si="6"/>
        <v>0</v>
      </c>
      <c r="L255" s="1">
        <f t="shared" si="7"/>
        <v>25.790745888019579</v>
      </c>
      <c r="M255" s="1">
        <f t="array" ref="M255">IF(AND(A255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255&gt;=_xlfn.ANCHORARRAY(Sintesi!$C$9))+(_xlfn.ANCHORARRAY(Sintesi!$C$9)&gt;_xlfn.ANCHORARRAY(Sintesi!$C$10))*(A255&lt;=_xlfn.ANCHORARRAY(Sintesi!$C$10))+(_xlfn.ANCHORARRAY(Sintesi!$C$9)&lt;_xlfn.ANCHORARRAY(Sintesi!$C$10))*(A255&gt;=_xlfn.ANCHORARRAY(Sintesi!$C$9))*(A255&lt;=_xlfn.ANCHORARRAY(Sintesi!$C$10)),0)),0),A255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256&gt;=_xlfn.ANCHORARRAY(Sintesi!$C$9))+(_xlfn.ANCHORARRAY(Sintesi!$C$9)&gt;_xlfn.ANCHORARRAY(Sintesi!$C$10))*(A256&lt;=_xlfn.ANCHORARRAY(Sintesi!$C$10))+(_xlfn.ANCHORARRAY(Sintesi!$C$9)&lt;_xlfn.ANCHORARRAY(Sintesi!$C$10))*(A256&gt;=_xlfn.ANCHORARRAY(Sintesi!$C$9))*(A256&lt;=_xlfn.ANCHORARRAY(Sintesi!$C$10)),0)),0)),IF(L255&lt;_xlfn.IFNA(INDEX(_xlfn.ANCHORARRAY(Sintesi!$C$17),1,MATCH(1,(_xlfn.ANCHORARRAY(Sintesi!$C$9)&gt;_xlfn.ANCHORARRAY(Sintesi!$C$10))*(A254&gt;=_xlfn.ANCHORARRAY(Sintesi!$C$9))+(_xlfn.ANCHORARRAY(Sintesi!$C$9)&gt;_xlfn.ANCHORARRAY(Sintesi!$C$10))*(A254&lt;=_xlfn.ANCHORARRAY(Sintesi!$C$10))+(_xlfn.ANCHORARRAY(Sintesi!$C$9)&lt;_xlfn.ANCHORARRAY(Sintesi!$C$10))*(A254&gt;=_xlfn.ANCHORARRAY(Sintesi!$C$9))*(A254&lt;=_xlfn.ANCHORARRAY(Sintesi!$C$10)),0)),0),1,IF(L255&gt;=_xlfn.IFNA(INDEX(_xlfn.ANCHORARRAY(Sintesi!$C$18),1,MATCH(1,(_xlfn.ANCHORARRAY(Sintesi!$C$9)&gt;_xlfn.ANCHORARRAY(Sintesi!$C$10))*(A254&gt;=_xlfn.ANCHORARRAY(Sintesi!$C$9))+(_xlfn.ANCHORARRAY(Sintesi!$C$9)&gt;_xlfn.ANCHORARRAY(Sintesi!$C$10))*(A254&lt;=_xlfn.ANCHORARRAY(Sintesi!$C$10))+(_xlfn.ANCHORARRAY(Sintesi!$C$9)&lt;_xlfn.ANCHORARRAY(Sintesi!$C$10))*(A254&gt;=_xlfn.ANCHORARRAY(Sintesi!$C$9))*(A254&lt;=_xlfn.ANCHORARRAY(Sintesi!$C$10)),0)),0),0,1-(L255-_xlfn.IFNA(INDEX(_xlfn.ANCHORARRAY(Sintesi!$C$17),1,MATCH(1,(_xlfn.ANCHORARRAY(Sintesi!$C$9)&gt;_xlfn.ANCHORARRAY(Sintesi!$C$10))*(A254&gt;=_xlfn.ANCHORARRAY(Sintesi!$C$9))+(_xlfn.ANCHORARRAY(Sintesi!$C$9)&gt;_xlfn.ANCHORARRAY(Sintesi!$C$10))*(A254&lt;=_xlfn.ANCHORARRAY(Sintesi!$C$10))+(_xlfn.ANCHORARRAY(Sintesi!$C$9)&lt;_xlfn.ANCHORARRAY(Sintesi!$C$10))*(A254&gt;=_xlfn.ANCHORARRAY(Sintesi!$C$9))*(A254&lt;=_xlfn.ANCHORARRAY(Sintesi!$C$10)),0)),0))/(_xlfn.IFNA(INDEX(_xlfn.ANCHORARRAY(Sintesi!$C$18),1,MATCH(1,(_xlfn.ANCHORARRAY(Sintesi!$C$9)&gt;_xlfn.ANCHORARRAY(Sintesi!$C$10))*(A254&gt;=_xlfn.ANCHORARRAY(Sintesi!$C$9))+(_xlfn.ANCHORARRAY(Sintesi!$C$9)&gt;_xlfn.ANCHORARRAY(Sintesi!$C$10))*(A254&lt;=_xlfn.ANCHORARRAY(Sintesi!$C$10))+(_xlfn.ANCHORARRAY(Sintesi!$C$9)&lt;_xlfn.ANCHORARRAY(Sintesi!$C$10))*(A254&gt;=_xlfn.ANCHORARRAY(Sintesi!$C$9))*(A254&lt;=_xlfn.ANCHORARRAY(Sintesi!$C$10)),0)),0)-_xlfn.IFNA(INDEX(_xlfn.ANCHORARRAY(Sintesi!$C$17),1,MATCH(1,(_xlfn.ANCHORARRAY(Sintesi!$C$9)&gt;_xlfn.ANCHORARRAY(Sintesi!$C$10))*(A254&gt;=_xlfn.ANCHORARRAY(Sintesi!$C$9))+(_xlfn.ANCHORARRAY(Sintesi!$C$9)&gt;_xlfn.ANCHORARRAY(Sintesi!$C$10))*(A254&lt;=_xlfn.ANCHORARRAY(Sintesi!$C$10))+(_xlfn.ANCHORARRAY(Sintesi!$C$9)&lt;_xlfn.ANCHORARRAY(Sintesi!$C$10))*(A254&gt;=_xlfn.ANCHORARRAY(Sintesi!$C$9))*(A254&lt;=_xlfn.ANCHORARRAY(Sintesi!$C$10)),0)),0)))),0)</f>
        <v>0</v>
      </c>
    </row>
    <row r="256" spans="1:13">
      <c r="A256" s="1">
        <f>'Paste cell here'!A256</f>
        <v>255</v>
      </c>
      <c r="B256" s="2">
        <f>DATE(Sintesi!$C$4-1,12,31)+A256</f>
        <v>44451</v>
      </c>
      <c r="C256" s="34">
        <f t="array" ref="C256">_xlfn.IFNA(MATCH(1,((_xlfn.ANCHORARRAY(Sintesi!$C$9)&gt;_xlfn.ANCHORARRAY(Sintesi!$C$10))*(A256&gt;=_xlfn.ANCHORARRAY(Sintesi!$C$9))+(_xlfn.ANCHORARRAY(Sintesi!$C$9)&gt;_xlfn.ANCHORARRAY(Sintesi!$C$10))*(A256&lt;=_xlfn.ANCHORARRAY(Sintesi!$C$10))+(_xlfn.ANCHORARRAY(Sintesi!$C$9)&lt;_xlfn.ANCHORARRAY(Sintesi!$C$10))*(A256&gt;=_xlfn.ANCHORARRAY(Sintesi!$C$9))*(A256&lt;=_xlfn.ANCHORARRAY(Sintesi!$C$10)))*(_xlfn.ANCHORARRAY(Sintesi!$C$15)&gt;=0)+(_xlfn.ANCHORARRAY(Sintesi!$C$15)&lt;0),0),0)</f>
        <v>0</v>
      </c>
      <c r="D256" s="1">
        <f t="array" ref="D256">IF(ISBLANK($E257),IF(ISNUMBER($E255),IF($C256&gt;0,IF(($E256=INDEX(_xlfn.ANCHORARRAY(Sintesi!$C$14),1,$C256))*(INDEX(_xlfn.ANCHORARRAY(Sintesi!$C$15),1,$C256)&gt;0),0,IF(($E256=INDEX(_xlfn.ANCHORARRAY(Sintesi!$C$14),1,$C256))*(INDEX(_xlfn.ANCHORARRAY(Sintesi!$C$15),1,$C256)&lt;0)+($E256&gt;=$E255)*($E256&lt;=INDEX($E:$E,MATCH(TRUE,INDEX((ISNUMBER($E:$E)),0),0)))*($E256&gt;INDEX(_xlfn.ANCHORARRAY(Sintesi!$C$14),1,$C256))*($E256&lt;=INDEX(_xlfn.ANCHORARRAY(Sintesi!$C$15),1,$C256))*(INDEX(_xlfn.ANCHORARRAY(Sintesi!$C$15),1,$C256)&gt;0),1,IF(($E256&gt;=$E255)*($E256&lt;=INDEX($E:$E,MATCH(TRUE,INDEX((ISNUMBER($E:$E)),0),0)))*($E256&gt;INDEX(_xlfn.ANCHORARRAY(Sintesi!$C$14),1,$C256))*($E256&lt;INDEX(_xlfn.ANCHORARRAY(Sintesi!$C$16),1,$C256))*(INDEX(_xlfn.ANCHORARRAY(Sintesi!$C$15),1,$C256)&lt;0)+($E256&gt;=$E255)*($E256&lt;=INDEX($E:$E,MATCH(TRUE,INDEX((ISNUMBER($E:$E)),0),0)))*($E256&gt;INDEX(_xlfn.ANCHORARRAY(Sintesi!$C$15),1,$C256))*($E256&lt;INDEX(_xlfn.ANCHORARRAY(Sintesi!$C$16),1,$C256))*(INDEX(_xlfn.ANCHORARRAY(Sintesi!$C$15),1,$C256)&gt;0),2,IF($E256=(INDEX(_xlfn.ANCHORARRAY(Sintesi!$C$16),1,$C256)),3,4)))),0),IF($C256&gt;0,IF(($E256=INDEX(_xlfn.ANCHORARRAY(Sintesi!$C$14),1,$C256))*(INDEX(_xlfn.ANCHORARRAY(Sintesi!$C$15),1,$C256)&gt;0),0,IF(($E256=INDEX(_xlfn.ANCHORARRAY(Sintesi!$C$14),1,$C256))*(INDEX(_xlfn.ANCHORARRAY(Sintesi!$C$15),1,$C256)&lt;0)+($E256&gt;=LOOKUP(2,1/($E:$E&lt;&gt;""),$E:$E))*($E256&lt;=INDEX($E:$E,MATCH(TRUE,INDEX((ISNUMBER($E:$E)),0),0)))*($E256&gt;INDEX(_xlfn.ANCHORARRAY(Sintesi!$C$14),1,$C256))*($E256&lt;=INDEX(_xlfn.ANCHORARRAY(Sintesi!$C$15),1,$C256))*(INDEX(_xlfn.ANCHORARRAY(Sintesi!$C$15),1,$C256)&gt;0),1,IF(($E256&gt;=LOOKUP(2,1/($E:$E&lt;&gt;""),$E:$E))*($E256&lt;=INDEX($E:$E,MATCH(TRUE,INDEX((ISNUMBER($E:$E)),0),0)))*($E256&gt;INDEX(_xlfn.ANCHORARRAY(Sintesi!$C$14),1,$C256))*($E256&lt;INDEX(_xlfn.ANCHORARRAY(Sintesi!$C$16),1,$C256))*(INDEX(_xlfn.ANCHORARRAY(Sintesi!$C$15),1,$C256)&lt;0)+($E256&gt;=LOOKUP(2,1/($E:$E&lt;&gt;""),$E:$E))*($E256&lt;=INDEX($E:$E,MATCH(TRUE,INDEX((ISNUMBER($E:$E)),0),0)))*($E256&gt;INDEX(_xlfn.ANCHORARRAY(Sintesi!$C$15),1,$C256))*($E256&lt;INDEX(_xlfn.ANCHORARRAY(Sintesi!$C$16),1,$C256))*(INDEX(_xlfn.ANCHORARRAY(Sintesi!$C$15),1,$C256)&gt;0),2,IF($E256=(INDEX(_xlfn.ANCHORARRAY(Sintesi!$C$16),1,$C256)),3,4)))),0)),IF(ISNUMBER($E255),IF($C256&gt;0,IF(($E256=INDEX(_xlfn.ANCHORARRAY(Sintesi!$C$14),1,$C256))*(INDEX(_xlfn.ANCHORARRAY(Sintesi!$C$15),1,$C256)&gt;0),0,IF(($E256=INDEX(_xlfn.ANCHORARRAY(Sintesi!$C$14),1,$C256))*(INDEX(_xlfn.ANCHORARRAY(Sintesi!$C$15),1,$C256)&lt;0)+($E256&gt;=$E255)*($E256&lt;=$E257)*($E256&gt;INDEX(_xlfn.ANCHORARRAY(Sintesi!$C$14),1,$C256))*($E256&lt;=INDEX(_xlfn.ANCHORARRAY(Sintesi!$C$15),1,$C256))*(INDEX(_xlfn.ANCHORARRAY(Sintesi!$C$15),1,$C256)&gt;0),1,IF(($E256&gt;=$E255)*($E256&lt;=$E257)*($E256&gt;INDEX(_xlfn.ANCHORARRAY(Sintesi!$C$14),1,$C256))*($E256&lt;INDEX(_xlfn.ANCHORARRAY(Sintesi!$C$16),1,$C256))*(INDEX(_xlfn.ANCHORARRAY(Sintesi!$C$15),1,$C256)&lt;0)+($E256&gt;=$E255)*($E256&lt;=$E257)*($E256&gt;INDEX(_xlfn.ANCHORARRAY(Sintesi!$C$15),1,$C256))*($E256&lt;INDEX(_xlfn.ANCHORARRAY(Sintesi!$C$16),1,$C256))*(INDEX(_xlfn.ANCHORARRAY(Sintesi!$C$15),1,$C256)&gt;0),2,IF($E256=(INDEX(_xlfn.ANCHORARRAY(Sintesi!$C$16),1,$C256)),3,4)))),0),IF($C256&gt;0,IF(($E256=INDEX(_xlfn.ANCHORARRAY(Sintesi!$C$14),1,$C256))*(INDEX(_xlfn.ANCHORARRAY(Sintesi!$C$15),1,$C256)&gt;0),0,IF(($E256=INDEX(_xlfn.ANCHORARRAY(Sintesi!$C$14),1,$C256))*(INDEX(_xlfn.ANCHORARRAY(Sintesi!$C$15),1,$C256)&lt;0)+($E256&gt;=LOOKUP(2,1/($E:$E&lt;&gt;""),$E:$E))*($E256&lt;=$E257)*($E256&gt;INDEX(_xlfn.ANCHORARRAY(Sintesi!$C$14),1,$C256))*($E256&lt;=INDEX(_xlfn.ANCHORARRAY(Sintesi!$C$15),1,$C256))*(INDEX(_xlfn.ANCHORARRAY(Sintesi!$C$15),1,$C256)&gt;0),1,IF(($E256&gt;=LOOKUP(2,1/($E:$E&lt;&gt;""),$E:$E))*($E256&lt;=$E257)*($E256&gt;INDEX(_xlfn.ANCHORARRAY(Sintesi!$C$14),1,$C256))*($E256&lt;INDEX(_xlfn.ANCHORARRAY(Sintesi!$C$16),1,$C256))*(INDEX(_xlfn.ANCHORARRAY(Sintesi!$C$15),1,$C256)&lt;0)+($E256&gt;=LOOKUP(2,1/($E:$E&lt;&gt;""),$E:$E))*($E256&lt;=$E257)*($E256&gt;INDEX(_xlfn.ANCHORARRAY(Sintesi!$C$15),1,$C256))*($E256&lt;INDEX(_xlfn.ANCHORARRAY(Sintesi!$C$16),1,$C256))*(INDEX(_xlfn.ANCHORARRAY(Sintesi!$C$15),1,$C256)&gt;0),2,IF($E256=(INDEX(_xlfn.ANCHORARRAY(Sintesi!$C$16),1,$C256)),3,4)))),0)))</f>
        <v>0</v>
      </c>
      <c r="E256" s="1">
        <f>'Paste cell here'!F256</f>
        <v>0</v>
      </c>
      <c r="F256" s="1">
        <f>'Paste cell here'!C256</f>
        <v>30.899999999999558</v>
      </c>
      <c r="G256" s="1">
        <f>'Paste cell here'!D256</f>
        <v>16.179999999999776</v>
      </c>
      <c r="H256" s="1">
        <f>'Paste cell here'!E256</f>
        <v>3.5734279500803248</v>
      </c>
      <c r="I256" s="1">
        <f>'Paste cell here'!X256</f>
        <v>0</v>
      </c>
      <c r="J256" s="1">
        <f>'Paste cell here'!Y256+'Paste cell here'!S256</f>
        <v>0</v>
      </c>
      <c r="K256" s="1">
        <f t="shared" si="6"/>
        <v>0</v>
      </c>
      <c r="L256" s="1">
        <f t="shared" si="7"/>
        <v>25.390591576932771</v>
      </c>
      <c r="M256" s="1">
        <f t="array" ref="M256">IF(AND(A256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256&gt;=_xlfn.ANCHORARRAY(Sintesi!$C$9))+(_xlfn.ANCHORARRAY(Sintesi!$C$9)&gt;_xlfn.ANCHORARRAY(Sintesi!$C$10))*(A256&lt;=_xlfn.ANCHORARRAY(Sintesi!$C$10))+(_xlfn.ANCHORARRAY(Sintesi!$C$9)&lt;_xlfn.ANCHORARRAY(Sintesi!$C$10))*(A256&gt;=_xlfn.ANCHORARRAY(Sintesi!$C$9))*(A256&lt;=_xlfn.ANCHORARRAY(Sintesi!$C$10)),0)),0),A256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257&gt;=_xlfn.ANCHORARRAY(Sintesi!$C$9))+(_xlfn.ANCHORARRAY(Sintesi!$C$9)&gt;_xlfn.ANCHORARRAY(Sintesi!$C$10))*(A257&lt;=_xlfn.ANCHORARRAY(Sintesi!$C$10))+(_xlfn.ANCHORARRAY(Sintesi!$C$9)&lt;_xlfn.ANCHORARRAY(Sintesi!$C$10))*(A257&gt;=_xlfn.ANCHORARRAY(Sintesi!$C$9))*(A257&lt;=_xlfn.ANCHORARRAY(Sintesi!$C$10)),0)),0)),IF(L256&lt;_xlfn.IFNA(INDEX(_xlfn.ANCHORARRAY(Sintesi!$C$17),1,MATCH(1,(_xlfn.ANCHORARRAY(Sintesi!$C$9)&gt;_xlfn.ANCHORARRAY(Sintesi!$C$10))*(A255&gt;=_xlfn.ANCHORARRAY(Sintesi!$C$9))+(_xlfn.ANCHORARRAY(Sintesi!$C$9)&gt;_xlfn.ANCHORARRAY(Sintesi!$C$10))*(A255&lt;=_xlfn.ANCHORARRAY(Sintesi!$C$10))+(_xlfn.ANCHORARRAY(Sintesi!$C$9)&lt;_xlfn.ANCHORARRAY(Sintesi!$C$10))*(A255&gt;=_xlfn.ANCHORARRAY(Sintesi!$C$9))*(A255&lt;=_xlfn.ANCHORARRAY(Sintesi!$C$10)),0)),0),1,IF(L256&gt;=_xlfn.IFNA(INDEX(_xlfn.ANCHORARRAY(Sintesi!$C$18),1,MATCH(1,(_xlfn.ANCHORARRAY(Sintesi!$C$9)&gt;_xlfn.ANCHORARRAY(Sintesi!$C$10))*(A255&gt;=_xlfn.ANCHORARRAY(Sintesi!$C$9))+(_xlfn.ANCHORARRAY(Sintesi!$C$9)&gt;_xlfn.ANCHORARRAY(Sintesi!$C$10))*(A255&lt;=_xlfn.ANCHORARRAY(Sintesi!$C$10))+(_xlfn.ANCHORARRAY(Sintesi!$C$9)&lt;_xlfn.ANCHORARRAY(Sintesi!$C$10))*(A255&gt;=_xlfn.ANCHORARRAY(Sintesi!$C$9))*(A255&lt;=_xlfn.ANCHORARRAY(Sintesi!$C$10)),0)),0),0,1-(L256-_xlfn.IFNA(INDEX(_xlfn.ANCHORARRAY(Sintesi!$C$17),1,MATCH(1,(_xlfn.ANCHORARRAY(Sintesi!$C$9)&gt;_xlfn.ANCHORARRAY(Sintesi!$C$10))*(A255&gt;=_xlfn.ANCHORARRAY(Sintesi!$C$9))+(_xlfn.ANCHORARRAY(Sintesi!$C$9)&gt;_xlfn.ANCHORARRAY(Sintesi!$C$10))*(A255&lt;=_xlfn.ANCHORARRAY(Sintesi!$C$10))+(_xlfn.ANCHORARRAY(Sintesi!$C$9)&lt;_xlfn.ANCHORARRAY(Sintesi!$C$10))*(A255&gt;=_xlfn.ANCHORARRAY(Sintesi!$C$9))*(A255&lt;=_xlfn.ANCHORARRAY(Sintesi!$C$10)),0)),0))/(_xlfn.IFNA(INDEX(_xlfn.ANCHORARRAY(Sintesi!$C$18),1,MATCH(1,(_xlfn.ANCHORARRAY(Sintesi!$C$9)&gt;_xlfn.ANCHORARRAY(Sintesi!$C$10))*(A255&gt;=_xlfn.ANCHORARRAY(Sintesi!$C$9))+(_xlfn.ANCHORARRAY(Sintesi!$C$9)&gt;_xlfn.ANCHORARRAY(Sintesi!$C$10))*(A255&lt;=_xlfn.ANCHORARRAY(Sintesi!$C$10))+(_xlfn.ANCHORARRAY(Sintesi!$C$9)&lt;_xlfn.ANCHORARRAY(Sintesi!$C$10))*(A255&gt;=_xlfn.ANCHORARRAY(Sintesi!$C$9))*(A255&lt;=_xlfn.ANCHORARRAY(Sintesi!$C$10)),0)),0)-_xlfn.IFNA(INDEX(_xlfn.ANCHORARRAY(Sintesi!$C$17),1,MATCH(1,(_xlfn.ANCHORARRAY(Sintesi!$C$9)&gt;_xlfn.ANCHORARRAY(Sintesi!$C$10))*(A255&gt;=_xlfn.ANCHORARRAY(Sintesi!$C$9))+(_xlfn.ANCHORARRAY(Sintesi!$C$9)&gt;_xlfn.ANCHORARRAY(Sintesi!$C$10))*(A255&lt;=_xlfn.ANCHORARRAY(Sintesi!$C$10))+(_xlfn.ANCHORARRAY(Sintesi!$C$9)&lt;_xlfn.ANCHORARRAY(Sintesi!$C$10))*(A255&gt;=_xlfn.ANCHORARRAY(Sintesi!$C$9))*(A255&lt;=_xlfn.ANCHORARRAY(Sintesi!$C$10)),0)),0)))),0)</f>
        <v>0</v>
      </c>
    </row>
    <row r="257" spans="1:13">
      <c r="A257" s="1">
        <f>'Paste cell here'!A257</f>
        <v>256</v>
      </c>
      <c r="B257" s="2">
        <f>DATE(Sintesi!$C$4-1,12,31)+A257</f>
        <v>44452</v>
      </c>
      <c r="C257" s="34">
        <f t="array" ref="C257">_xlfn.IFNA(MATCH(1,((_xlfn.ANCHORARRAY(Sintesi!$C$9)&gt;_xlfn.ANCHORARRAY(Sintesi!$C$10))*(A257&gt;=_xlfn.ANCHORARRAY(Sintesi!$C$9))+(_xlfn.ANCHORARRAY(Sintesi!$C$9)&gt;_xlfn.ANCHORARRAY(Sintesi!$C$10))*(A257&lt;=_xlfn.ANCHORARRAY(Sintesi!$C$10))+(_xlfn.ANCHORARRAY(Sintesi!$C$9)&lt;_xlfn.ANCHORARRAY(Sintesi!$C$10))*(A257&gt;=_xlfn.ANCHORARRAY(Sintesi!$C$9))*(A257&lt;=_xlfn.ANCHORARRAY(Sintesi!$C$10)))*(_xlfn.ANCHORARRAY(Sintesi!$C$15)&gt;=0)+(_xlfn.ANCHORARRAY(Sintesi!$C$15)&lt;0),0),0)</f>
        <v>0</v>
      </c>
      <c r="D257" s="1">
        <f t="array" ref="D257">IF(ISBLANK($E258),IF(ISNUMBER($E256),IF($C257&gt;0,IF(($E257=INDEX(_xlfn.ANCHORARRAY(Sintesi!$C$14),1,$C257))*(INDEX(_xlfn.ANCHORARRAY(Sintesi!$C$15),1,$C257)&gt;0),0,IF(($E257=INDEX(_xlfn.ANCHORARRAY(Sintesi!$C$14),1,$C257))*(INDEX(_xlfn.ANCHORARRAY(Sintesi!$C$15),1,$C257)&lt;0)+($E257&gt;=$E256)*($E257&lt;=INDEX($E:$E,MATCH(TRUE,INDEX((ISNUMBER($E:$E)),0),0)))*($E257&gt;INDEX(_xlfn.ANCHORARRAY(Sintesi!$C$14),1,$C257))*($E257&lt;=INDEX(_xlfn.ANCHORARRAY(Sintesi!$C$15),1,$C257))*(INDEX(_xlfn.ANCHORARRAY(Sintesi!$C$15),1,$C257)&gt;0),1,IF(($E257&gt;=$E256)*($E257&lt;=INDEX($E:$E,MATCH(TRUE,INDEX((ISNUMBER($E:$E)),0),0)))*($E257&gt;INDEX(_xlfn.ANCHORARRAY(Sintesi!$C$14),1,$C257))*($E257&lt;INDEX(_xlfn.ANCHORARRAY(Sintesi!$C$16),1,$C257))*(INDEX(_xlfn.ANCHORARRAY(Sintesi!$C$15),1,$C257)&lt;0)+($E257&gt;=$E256)*($E257&lt;=INDEX($E:$E,MATCH(TRUE,INDEX((ISNUMBER($E:$E)),0),0)))*($E257&gt;INDEX(_xlfn.ANCHORARRAY(Sintesi!$C$15),1,$C257))*($E257&lt;INDEX(_xlfn.ANCHORARRAY(Sintesi!$C$16),1,$C257))*(INDEX(_xlfn.ANCHORARRAY(Sintesi!$C$15),1,$C257)&gt;0),2,IF($E257=(INDEX(_xlfn.ANCHORARRAY(Sintesi!$C$16),1,$C257)),3,4)))),0),IF($C257&gt;0,IF(($E257=INDEX(_xlfn.ANCHORARRAY(Sintesi!$C$14),1,$C257))*(INDEX(_xlfn.ANCHORARRAY(Sintesi!$C$15),1,$C257)&gt;0),0,IF(($E257=INDEX(_xlfn.ANCHORARRAY(Sintesi!$C$14),1,$C257))*(INDEX(_xlfn.ANCHORARRAY(Sintesi!$C$15),1,$C257)&lt;0)+($E257&gt;=LOOKUP(2,1/($E:$E&lt;&gt;""),$E:$E))*($E257&lt;=INDEX($E:$E,MATCH(TRUE,INDEX((ISNUMBER($E:$E)),0),0)))*($E257&gt;INDEX(_xlfn.ANCHORARRAY(Sintesi!$C$14),1,$C257))*($E257&lt;=INDEX(_xlfn.ANCHORARRAY(Sintesi!$C$15),1,$C257))*(INDEX(_xlfn.ANCHORARRAY(Sintesi!$C$15),1,$C257)&gt;0),1,IF(($E257&gt;=LOOKUP(2,1/($E:$E&lt;&gt;""),$E:$E))*($E257&lt;=INDEX($E:$E,MATCH(TRUE,INDEX((ISNUMBER($E:$E)),0),0)))*($E257&gt;INDEX(_xlfn.ANCHORARRAY(Sintesi!$C$14),1,$C257))*($E257&lt;INDEX(_xlfn.ANCHORARRAY(Sintesi!$C$16),1,$C257))*(INDEX(_xlfn.ANCHORARRAY(Sintesi!$C$15),1,$C257)&lt;0)+($E257&gt;=LOOKUP(2,1/($E:$E&lt;&gt;""),$E:$E))*($E257&lt;=INDEX($E:$E,MATCH(TRUE,INDEX((ISNUMBER($E:$E)),0),0)))*($E257&gt;INDEX(_xlfn.ANCHORARRAY(Sintesi!$C$15),1,$C257))*($E257&lt;INDEX(_xlfn.ANCHORARRAY(Sintesi!$C$16),1,$C257))*(INDEX(_xlfn.ANCHORARRAY(Sintesi!$C$15),1,$C257)&gt;0),2,IF($E257=(INDEX(_xlfn.ANCHORARRAY(Sintesi!$C$16),1,$C257)),3,4)))),0)),IF(ISNUMBER($E256),IF($C257&gt;0,IF(($E257=INDEX(_xlfn.ANCHORARRAY(Sintesi!$C$14),1,$C257))*(INDEX(_xlfn.ANCHORARRAY(Sintesi!$C$15),1,$C257)&gt;0),0,IF(($E257=INDEX(_xlfn.ANCHORARRAY(Sintesi!$C$14),1,$C257))*(INDEX(_xlfn.ANCHORARRAY(Sintesi!$C$15),1,$C257)&lt;0)+($E257&gt;=$E256)*($E257&lt;=$E258)*($E257&gt;INDEX(_xlfn.ANCHORARRAY(Sintesi!$C$14),1,$C257))*($E257&lt;=INDEX(_xlfn.ANCHORARRAY(Sintesi!$C$15),1,$C257))*(INDEX(_xlfn.ANCHORARRAY(Sintesi!$C$15),1,$C257)&gt;0),1,IF(($E257&gt;=$E256)*($E257&lt;=$E258)*($E257&gt;INDEX(_xlfn.ANCHORARRAY(Sintesi!$C$14),1,$C257))*($E257&lt;INDEX(_xlfn.ANCHORARRAY(Sintesi!$C$16),1,$C257))*(INDEX(_xlfn.ANCHORARRAY(Sintesi!$C$15),1,$C257)&lt;0)+($E257&gt;=$E256)*($E257&lt;=$E258)*($E257&gt;INDEX(_xlfn.ANCHORARRAY(Sintesi!$C$15),1,$C257))*($E257&lt;INDEX(_xlfn.ANCHORARRAY(Sintesi!$C$16),1,$C257))*(INDEX(_xlfn.ANCHORARRAY(Sintesi!$C$15),1,$C257)&gt;0),2,IF($E257=(INDEX(_xlfn.ANCHORARRAY(Sintesi!$C$16),1,$C257)),3,4)))),0),IF($C257&gt;0,IF(($E257=INDEX(_xlfn.ANCHORARRAY(Sintesi!$C$14),1,$C257))*(INDEX(_xlfn.ANCHORARRAY(Sintesi!$C$15),1,$C257)&gt;0),0,IF(($E257=INDEX(_xlfn.ANCHORARRAY(Sintesi!$C$14),1,$C257))*(INDEX(_xlfn.ANCHORARRAY(Sintesi!$C$15),1,$C257)&lt;0)+($E257&gt;=LOOKUP(2,1/($E:$E&lt;&gt;""),$E:$E))*($E257&lt;=$E258)*($E257&gt;INDEX(_xlfn.ANCHORARRAY(Sintesi!$C$14),1,$C257))*($E257&lt;=INDEX(_xlfn.ANCHORARRAY(Sintesi!$C$15),1,$C257))*(INDEX(_xlfn.ANCHORARRAY(Sintesi!$C$15),1,$C257)&gt;0),1,IF(($E257&gt;=LOOKUP(2,1/($E:$E&lt;&gt;""),$E:$E))*($E257&lt;=$E258)*($E257&gt;INDEX(_xlfn.ANCHORARRAY(Sintesi!$C$14),1,$C257))*($E257&lt;INDEX(_xlfn.ANCHORARRAY(Sintesi!$C$16),1,$C257))*(INDEX(_xlfn.ANCHORARRAY(Sintesi!$C$15),1,$C257)&lt;0)+($E257&gt;=LOOKUP(2,1/($E:$E&lt;&gt;""),$E:$E))*($E257&lt;=$E258)*($E257&gt;INDEX(_xlfn.ANCHORARRAY(Sintesi!$C$15),1,$C257))*($E257&lt;INDEX(_xlfn.ANCHORARRAY(Sintesi!$C$16),1,$C257))*(INDEX(_xlfn.ANCHORARRAY(Sintesi!$C$15),1,$C257)&gt;0),2,IF($E257=(INDEX(_xlfn.ANCHORARRAY(Sintesi!$C$16),1,$C257)),3,4)))),0)))</f>
        <v>0</v>
      </c>
      <c r="E257" s="1">
        <f>'Paste cell here'!F257</f>
        <v>0</v>
      </c>
      <c r="F257" s="1">
        <f>'Paste cell here'!C257</f>
        <v>31.59999999999954</v>
      </c>
      <c r="G257" s="1">
        <f>'Paste cell here'!D257</f>
        <v>15.499999999999794</v>
      </c>
      <c r="H257" s="1">
        <f>'Paste cell here'!E257</f>
        <v>3.536911504806918</v>
      </c>
      <c r="I257" s="1">
        <f>'Paste cell here'!X257</f>
        <v>0</v>
      </c>
      <c r="J257" s="1">
        <f>'Paste cell here'!Y257+'Paste cell here'!S257</f>
        <v>0</v>
      </c>
      <c r="K257" s="1">
        <f t="shared" si="6"/>
        <v>0</v>
      </c>
      <c r="L257" s="1">
        <f t="shared" si="7"/>
        <v>25.574084537270249</v>
      </c>
      <c r="M257" s="1">
        <f t="array" ref="M257">IF(AND(A257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257&gt;=_xlfn.ANCHORARRAY(Sintesi!$C$9))+(_xlfn.ANCHORARRAY(Sintesi!$C$9)&gt;_xlfn.ANCHORARRAY(Sintesi!$C$10))*(A257&lt;=_xlfn.ANCHORARRAY(Sintesi!$C$10))+(_xlfn.ANCHORARRAY(Sintesi!$C$9)&lt;_xlfn.ANCHORARRAY(Sintesi!$C$10))*(A257&gt;=_xlfn.ANCHORARRAY(Sintesi!$C$9))*(A257&lt;=_xlfn.ANCHORARRAY(Sintesi!$C$10)),0)),0),A257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258&gt;=_xlfn.ANCHORARRAY(Sintesi!$C$9))+(_xlfn.ANCHORARRAY(Sintesi!$C$9)&gt;_xlfn.ANCHORARRAY(Sintesi!$C$10))*(A258&lt;=_xlfn.ANCHORARRAY(Sintesi!$C$10))+(_xlfn.ANCHORARRAY(Sintesi!$C$9)&lt;_xlfn.ANCHORARRAY(Sintesi!$C$10))*(A258&gt;=_xlfn.ANCHORARRAY(Sintesi!$C$9))*(A258&lt;=_xlfn.ANCHORARRAY(Sintesi!$C$10)),0)),0)),IF(L257&lt;_xlfn.IFNA(INDEX(_xlfn.ANCHORARRAY(Sintesi!$C$17),1,MATCH(1,(_xlfn.ANCHORARRAY(Sintesi!$C$9)&gt;_xlfn.ANCHORARRAY(Sintesi!$C$10))*(A256&gt;=_xlfn.ANCHORARRAY(Sintesi!$C$9))+(_xlfn.ANCHORARRAY(Sintesi!$C$9)&gt;_xlfn.ANCHORARRAY(Sintesi!$C$10))*(A256&lt;=_xlfn.ANCHORARRAY(Sintesi!$C$10))+(_xlfn.ANCHORARRAY(Sintesi!$C$9)&lt;_xlfn.ANCHORARRAY(Sintesi!$C$10))*(A256&gt;=_xlfn.ANCHORARRAY(Sintesi!$C$9))*(A256&lt;=_xlfn.ANCHORARRAY(Sintesi!$C$10)),0)),0),1,IF(L257&gt;=_xlfn.IFNA(INDEX(_xlfn.ANCHORARRAY(Sintesi!$C$18),1,MATCH(1,(_xlfn.ANCHORARRAY(Sintesi!$C$9)&gt;_xlfn.ANCHORARRAY(Sintesi!$C$10))*(A256&gt;=_xlfn.ANCHORARRAY(Sintesi!$C$9))+(_xlfn.ANCHORARRAY(Sintesi!$C$9)&gt;_xlfn.ANCHORARRAY(Sintesi!$C$10))*(A256&lt;=_xlfn.ANCHORARRAY(Sintesi!$C$10))+(_xlfn.ANCHORARRAY(Sintesi!$C$9)&lt;_xlfn.ANCHORARRAY(Sintesi!$C$10))*(A256&gt;=_xlfn.ANCHORARRAY(Sintesi!$C$9))*(A256&lt;=_xlfn.ANCHORARRAY(Sintesi!$C$10)),0)),0),0,1-(L257-_xlfn.IFNA(INDEX(_xlfn.ANCHORARRAY(Sintesi!$C$17),1,MATCH(1,(_xlfn.ANCHORARRAY(Sintesi!$C$9)&gt;_xlfn.ANCHORARRAY(Sintesi!$C$10))*(A256&gt;=_xlfn.ANCHORARRAY(Sintesi!$C$9))+(_xlfn.ANCHORARRAY(Sintesi!$C$9)&gt;_xlfn.ANCHORARRAY(Sintesi!$C$10))*(A256&lt;=_xlfn.ANCHORARRAY(Sintesi!$C$10))+(_xlfn.ANCHORARRAY(Sintesi!$C$9)&lt;_xlfn.ANCHORARRAY(Sintesi!$C$10))*(A256&gt;=_xlfn.ANCHORARRAY(Sintesi!$C$9))*(A256&lt;=_xlfn.ANCHORARRAY(Sintesi!$C$10)),0)),0))/(_xlfn.IFNA(INDEX(_xlfn.ANCHORARRAY(Sintesi!$C$18),1,MATCH(1,(_xlfn.ANCHORARRAY(Sintesi!$C$9)&gt;_xlfn.ANCHORARRAY(Sintesi!$C$10))*(A256&gt;=_xlfn.ANCHORARRAY(Sintesi!$C$9))+(_xlfn.ANCHORARRAY(Sintesi!$C$9)&gt;_xlfn.ANCHORARRAY(Sintesi!$C$10))*(A256&lt;=_xlfn.ANCHORARRAY(Sintesi!$C$10))+(_xlfn.ANCHORARRAY(Sintesi!$C$9)&lt;_xlfn.ANCHORARRAY(Sintesi!$C$10))*(A256&gt;=_xlfn.ANCHORARRAY(Sintesi!$C$9))*(A256&lt;=_xlfn.ANCHORARRAY(Sintesi!$C$10)),0)),0)-_xlfn.IFNA(INDEX(_xlfn.ANCHORARRAY(Sintesi!$C$17),1,MATCH(1,(_xlfn.ANCHORARRAY(Sintesi!$C$9)&gt;_xlfn.ANCHORARRAY(Sintesi!$C$10))*(A256&gt;=_xlfn.ANCHORARRAY(Sintesi!$C$9))+(_xlfn.ANCHORARRAY(Sintesi!$C$9)&gt;_xlfn.ANCHORARRAY(Sintesi!$C$10))*(A256&lt;=_xlfn.ANCHORARRAY(Sintesi!$C$10))+(_xlfn.ANCHORARRAY(Sintesi!$C$9)&lt;_xlfn.ANCHORARRAY(Sintesi!$C$10))*(A256&gt;=_xlfn.ANCHORARRAY(Sintesi!$C$9))*(A256&lt;=_xlfn.ANCHORARRAY(Sintesi!$C$10)),0)),0)))),0)</f>
        <v>0</v>
      </c>
    </row>
    <row r="258" spans="1:13">
      <c r="A258" s="1">
        <f>'Paste cell here'!A258</f>
        <v>257</v>
      </c>
      <c r="B258" s="2">
        <f>DATE(Sintesi!$C$4-1,12,31)+A258</f>
        <v>44453</v>
      </c>
      <c r="C258" s="34">
        <f t="array" ref="C258">_xlfn.IFNA(MATCH(1,((_xlfn.ANCHORARRAY(Sintesi!$C$9)&gt;_xlfn.ANCHORARRAY(Sintesi!$C$10))*(A258&gt;=_xlfn.ANCHORARRAY(Sintesi!$C$9))+(_xlfn.ANCHORARRAY(Sintesi!$C$9)&gt;_xlfn.ANCHORARRAY(Sintesi!$C$10))*(A258&lt;=_xlfn.ANCHORARRAY(Sintesi!$C$10))+(_xlfn.ANCHORARRAY(Sintesi!$C$9)&lt;_xlfn.ANCHORARRAY(Sintesi!$C$10))*(A258&gt;=_xlfn.ANCHORARRAY(Sintesi!$C$9))*(A258&lt;=_xlfn.ANCHORARRAY(Sintesi!$C$10)))*(_xlfn.ANCHORARRAY(Sintesi!$C$15)&gt;=0)+(_xlfn.ANCHORARRAY(Sintesi!$C$15)&lt;0),0),0)</f>
        <v>0</v>
      </c>
      <c r="D258" s="1">
        <f t="array" ref="D258">IF(ISBLANK($E259),IF(ISNUMBER($E257),IF($C258&gt;0,IF(($E258=INDEX(_xlfn.ANCHORARRAY(Sintesi!$C$14),1,$C258))*(INDEX(_xlfn.ANCHORARRAY(Sintesi!$C$15),1,$C258)&gt;0),0,IF(($E258=INDEX(_xlfn.ANCHORARRAY(Sintesi!$C$14),1,$C258))*(INDEX(_xlfn.ANCHORARRAY(Sintesi!$C$15),1,$C258)&lt;0)+($E258&gt;=$E257)*($E258&lt;=INDEX($E:$E,MATCH(TRUE,INDEX((ISNUMBER($E:$E)),0),0)))*($E258&gt;INDEX(_xlfn.ANCHORARRAY(Sintesi!$C$14),1,$C258))*($E258&lt;=INDEX(_xlfn.ANCHORARRAY(Sintesi!$C$15),1,$C258))*(INDEX(_xlfn.ANCHORARRAY(Sintesi!$C$15),1,$C258)&gt;0),1,IF(($E258&gt;=$E257)*($E258&lt;=INDEX($E:$E,MATCH(TRUE,INDEX((ISNUMBER($E:$E)),0),0)))*($E258&gt;INDEX(_xlfn.ANCHORARRAY(Sintesi!$C$14),1,$C258))*($E258&lt;INDEX(_xlfn.ANCHORARRAY(Sintesi!$C$16),1,$C258))*(INDEX(_xlfn.ANCHORARRAY(Sintesi!$C$15),1,$C258)&lt;0)+($E258&gt;=$E257)*($E258&lt;=INDEX($E:$E,MATCH(TRUE,INDEX((ISNUMBER($E:$E)),0),0)))*($E258&gt;INDEX(_xlfn.ANCHORARRAY(Sintesi!$C$15),1,$C258))*($E258&lt;INDEX(_xlfn.ANCHORARRAY(Sintesi!$C$16),1,$C258))*(INDEX(_xlfn.ANCHORARRAY(Sintesi!$C$15),1,$C258)&gt;0),2,IF($E258=(INDEX(_xlfn.ANCHORARRAY(Sintesi!$C$16),1,$C258)),3,4)))),0),IF($C258&gt;0,IF(($E258=INDEX(_xlfn.ANCHORARRAY(Sintesi!$C$14),1,$C258))*(INDEX(_xlfn.ANCHORARRAY(Sintesi!$C$15),1,$C258)&gt;0),0,IF(($E258=INDEX(_xlfn.ANCHORARRAY(Sintesi!$C$14),1,$C258))*(INDEX(_xlfn.ANCHORARRAY(Sintesi!$C$15),1,$C258)&lt;0)+($E258&gt;=LOOKUP(2,1/($E:$E&lt;&gt;""),$E:$E))*($E258&lt;=INDEX($E:$E,MATCH(TRUE,INDEX((ISNUMBER($E:$E)),0),0)))*($E258&gt;INDEX(_xlfn.ANCHORARRAY(Sintesi!$C$14),1,$C258))*($E258&lt;=INDEX(_xlfn.ANCHORARRAY(Sintesi!$C$15),1,$C258))*(INDEX(_xlfn.ANCHORARRAY(Sintesi!$C$15),1,$C258)&gt;0),1,IF(($E258&gt;=LOOKUP(2,1/($E:$E&lt;&gt;""),$E:$E))*($E258&lt;=INDEX($E:$E,MATCH(TRUE,INDEX((ISNUMBER($E:$E)),0),0)))*($E258&gt;INDEX(_xlfn.ANCHORARRAY(Sintesi!$C$14),1,$C258))*($E258&lt;INDEX(_xlfn.ANCHORARRAY(Sintesi!$C$16),1,$C258))*(INDEX(_xlfn.ANCHORARRAY(Sintesi!$C$15),1,$C258)&lt;0)+($E258&gt;=LOOKUP(2,1/($E:$E&lt;&gt;""),$E:$E))*($E258&lt;=INDEX($E:$E,MATCH(TRUE,INDEX((ISNUMBER($E:$E)),0),0)))*($E258&gt;INDEX(_xlfn.ANCHORARRAY(Sintesi!$C$15),1,$C258))*($E258&lt;INDEX(_xlfn.ANCHORARRAY(Sintesi!$C$16),1,$C258))*(INDEX(_xlfn.ANCHORARRAY(Sintesi!$C$15),1,$C258)&gt;0),2,IF($E258=(INDEX(_xlfn.ANCHORARRAY(Sintesi!$C$16),1,$C258)),3,4)))),0)),IF(ISNUMBER($E257),IF($C258&gt;0,IF(($E258=INDEX(_xlfn.ANCHORARRAY(Sintesi!$C$14),1,$C258))*(INDEX(_xlfn.ANCHORARRAY(Sintesi!$C$15),1,$C258)&gt;0),0,IF(($E258=INDEX(_xlfn.ANCHORARRAY(Sintesi!$C$14),1,$C258))*(INDEX(_xlfn.ANCHORARRAY(Sintesi!$C$15),1,$C258)&lt;0)+($E258&gt;=$E257)*($E258&lt;=$E259)*($E258&gt;INDEX(_xlfn.ANCHORARRAY(Sintesi!$C$14),1,$C258))*($E258&lt;=INDEX(_xlfn.ANCHORARRAY(Sintesi!$C$15),1,$C258))*(INDEX(_xlfn.ANCHORARRAY(Sintesi!$C$15),1,$C258)&gt;0),1,IF(($E258&gt;=$E257)*($E258&lt;=$E259)*($E258&gt;INDEX(_xlfn.ANCHORARRAY(Sintesi!$C$14),1,$C258))*($E258&lt;INDEX(_xlfn.ANCHORARRAY(Sintesi!$C$16),1,$C258))*(INDEX(_xlfn.ANCHORARRAY(Sintesi!$C$15),1,$C258)&lt;0)+($E258&gt;=$E257)*($E258&lt;=$E259)*($E258&gt;INDEX(_xlfn.ANCHORARRAY(Sintesi!$C$15),1,$C258))*($E258&lt;INDEX(_xlfn.ANCHORARRAY(Sintesi!$C$16),1,$C258))*(INDEX(_xlfn.ANCHORARRAY(Sintesi!$C$15),1,$C258)&gt;0),2,IF($E258=(INDEX(_xlfn.ANCHORARRAY(Sintesi!$C$16),1,$C258)),3,4)))),0),IF($C258&gt;0,IF(($E258=INDEX(_xlfn.ANCHORARRAY(Sintesi!$C$14),1,$C258))*(INDEX(_xlfn.ANCHORARRAY(Sintesi!$C$15),1,$C258)&gt;0),0,IF(($E258=INDEX(_xlfn.ANCHORARRAY(Sintesi!$C$14),1,$C258))*(INDEX(_xlfn.ANCHORARRAY(Sintesi!$C$15),1,$C258)&lt;0)+($E258&gt;=LOOKUP(2,1/($E:$E&lt;&gt;""),$E:$E))*($E258&lt;=$E259)*($E258&gt;INDEX(_xlfn.ANCHORARRAY(Sintesi!$C$14),1,$C258))*($E258&lt;=INDEX(_xlfn.ANCHORARRAY(Sintesi!$C$15),1,$C258))*(INDEX(_xlfn.ANCHORARRAY(Sintesi!$C$15),1,$C258)&gt;0),1,IF(($E258&gt;=LOOKUP(2,1/($E:$E&lt;&gt;""),$E:$E))*($E258&lt;=$E259)*($E258&gt;INDEX(_xlfn.ANCHORARRAY(Sintesi!$C$14),1,$C258))*($E258&lt;INDEX(_xlfn.ANCHORARRAY(Sintesi!$C$16),1,$C258))*(INDEX(_xlfn.ANCHORARRAY(Sintesi!$C$15),1,$C258)&lt;0)+($E258&gt;=LOOKUP(2,1/($E:$E&lt;&gt;""),$E:$E))*($E258&lt;=$E259)*($E258&gt;INDEX(_xlfn.ANCHORARRAY(Sintesi!$C$15),1,$C258))*($E258&lt;INDEX(_xlfn.ANCHORARRAY(Sintesi!$C$16),1,$C258))*(INDEX(_xlfn.ANCHORARRAY(Sintesi!$C$15),1,$C258)&gt;0),2,IF($E258=(INDEX(_xlfn.ANCHORARRAY(Sintesi!$C$16),1,$C258)),3,4)))),0)))</f>
        <v>0</v>
      </c>
      <c r="E258" s="1">
        <f>'Paste cell here'!F258</f>
        <v>0</v>
      </c>
      <c r="F258" s="1">
        <f>'Paste cell here'!C258</f>
        <v>28.519999999999584</v>
      </c>
      <c r="G258" s="1">
        <f>'Paste cell here'!D258</f>
        <v>16.979999999999773</v>
      </c>
      <c r="H258" s="1">
        <f>'Paste cell here'!E258</f>
        <v>2.5542768696882243</v>
      </c>
      <c r="I258" s="1">
        <f>'Paste cell here'!X258</f>
        <v>0</v>
      </c>
      <c r="J258" s="1">
        <f>'Paste cell here'!Y258+'Paste cell here'!S258</f>
        <v>0</v>
      </c>
      <c r="K258" s="1">
        <f t="shared" ref="K258:K321" si="8">I258/H258</f>
        <v>0</v>
      </c>
      <c r="L258" s="1">
        <f t="shared" ref="L258:L321" si="9">AVERAGE(($F258+$G258)/2-($F258-$G258)/2*COS(PI()*(8-VLOOKUP(MONTH(B258),$O$1:$Q$13,3))/(VLOOKUP(MONTH(B258),$O$1:$Q$13,2)-VLOOKUP(MONTH(B258),$O$1:$Q$13,3))),($F258+$G258)/2-($F258-$G258)/2*COS(PI()*(9-VLOOKUP(MONTH(B258),$O$1:$Q$13,3))/(VLOOKUP(MONTH(B258),$O$1:$Q$13,2)-VLOOKUP(MONTH(B258),$O$1:$Q$13,3))),($F258+$G258)/2-($F258-$G258)/2*COS(PI()*(10-VLOOKUP(MONTH(B258),$O$1:$Q$13,3))/(VLOOKUP(MONTH(B258),$O$1:$Q$13,2)-VLOOKUP(MONTH(B258),$O$1:$Q$13,3))),($F258+$G258)/2-($F258-$G258)/2*COS(PI()*(11-VLOOKUP(MONTH(B258),$O$1:$Q$13,3))/(VLOOKUP(MONTH(B258),$O$1:$Q$13,2)-VLOOKUP(MONTH(B258),$O$1:$Q$13,3))),($F258+$G258)/2-($F258-$G258)/2*COS(PI()*(12-VLOOKUP(MONTH(B258),$O$1:$Q$13,3))/(VLOOKUP(MONTH(B258),$O$1:$Q$13,2)-VLOOKUP(MONTH(B258),$O$1:$Q$13,3))),($F258+$G258)/2-($F258-$G258)/2*COS(PI()*(13-VLOOKUP(MONTH(B258),$O$1:$Q$13,3))/(VLOOKUP(MONTH(B258),$O$1:$Q$13,2)-VLOOKUP(MONTH(B258),$O$1:$Q$13,3))),($F258+$G258)/2-($F258-$G258)/2*COS(PI()*(14-VLOOKUP(MONTH(B258),$O$1:$Q$13,3))/(VLOOKUP(MONTH(B258),$O$1:$Q$13,2)-VLOOKUP(MONTH(B258),$O$1:$Q$13,3))))</f>
        <v>24.200803450937723</v>
      </c>
      <c r="M258" s="1">
        <f t="array" ref="M258">IF(AND(A258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258&gt;=_xlfn.ANCHORARRAY(Sintesi!$C$9))+(_xlfn.ANCHORARRAY(Sintesi!$C$9)&gt;_xlfn.ANCHORARRAY(Sintesi!$C$10))*(A258&lt;=_xlfn.ANCHORARRAY(Sintesi!$C$10))+(_xlfn.ANCHORARRAY(Sintesi!$C$9)&lt;_xlfn.ANCHORARRAY(Sintesi!$C$10))*(A258&gt;=_xlfn.ANCHORARRAY(Sintesi!$C$9))*(A258&lt;=_xlfn.ANCHORARRAY(Sintesi!$C$10)),0)),0),A258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259&gt;=_xlfn.ANCHORARRAY(Sintesi!$C$9))+(_xlfn.ANCHORARRAY(Sintesi!$C$9)&gt;_xlfn.ANCHORARRAY(Sintesi!$C$10))*(A259&lt;=_xlfn.ANCHORARRAY(Sintesi!$C$10))+(_xlfn.ANCHORARRAY(Sintesi!$C$9)&lt;_xlfn.ANCHORARRAY(Sintesi!$C$10))*(A259&gt;=_xlfn.ANCHORARRAY(Sintesi!$C$9))*(A259&lt;=_xlfn.ANCHORARRAY(Sintesi!$C$10)),0)),0)),IF(L258&lt;_xlfn.IFNA(INDEX(_xlfn.ANCHORARRAY(Sintesi!$C$17),1,MATCH(1,(_xlfn.ANCHORARRAY(Sintesi!$C$9)&gt;_xlfn.ANCHORARRAY(Sintesi!$C$10))*(A257&gt;=_xlfn.ANCHORARRAY(Sintesi!$C$9))+(_xlfn.ANCHORARRAY(Sintesi!$C$9)&gt;_xlfn.ANCHORARRAY(Sintesi!$C$10))*(A257&lt;=_xlfn.ANCHORARRAY(Sintesi!$C$10))+(_xlfn.ANCHORARRAY(Sintesi!$C$9)&lt;_xlfn.ANCHORARRAY(Sintesi!$C$10))*(A257&gt;=_xlfn.ANCHORARRAY(Sintesi!$C$9))*(A257&lt;=_xlfn.ANCHORARRAY(Sintesi!$C$10)),0)),0),1,IF(L258&gt;=_xlfn.IFNA(INDEX(_xlfn.ANCHORARRAY(Sintesi!$C$18),1,MATCH(1,(_xlfn.ANCHORARRAY(Sintesi!$C$9)&gt;_xlfn.ANCHORARRAY(Sintesi!$C$10))*(A257&gt;=_xlfn.ANCHORARRAY(Sintesi!$C$9))+(_xlfn.ANCHORARRAY(Sintesi!$C$9)&gt;_xlfn.ANCHORARRAY(Sintesi!$C$10))*(A257&lt;=_xlfn.ANCHORARRAY(Sintesi!$C$10))+(_xlfn.ANCHORARRAY(Sintesi!$C$9)&lt;_xlfn.ANCHORARRAY(Sintesi!$C$10))*(A257&gt;=_xlfn.ANCHORARRAY(Sintesi!$C$9))*(A257&lt;=_xlfn.ANCHORARRAY(Sintesi!$C$10)),0)),0),0,1-(L258-_xlfn.IFNA(INDEX(_xlfn.ANCHORARRAY(Sintesi!$C$17),1,MATCH(1,(_xlfn.ANCHORARRAY(Sintesi!$C$9)&gt;_xlfn.ANCHORARRAY(Sintesi!$C$10))*(A257&gt;=_xlfn.ANCHORARRAY(Sintesi!$C$9))+(_xlfn.ANCHORARRAY(Sintesi!$C$9)&gt;_xlfn.ANCHORARRAY(Sintesi!$C$10))*(A257&lt;=_xlfn.ANCHORARRAY(Sintesi!$C$10))+(_xlfn.ANCHORARRAY(Sintesi!$C$9)&lt;_xlfn.ANCHORARRAY(Sintesi!$C$10))*(A257&gt;=_xlfn.ANCHORARRAY(Sintesi!$C$9))*(A257&lt;=_xlfn.ANCHORARRAY(Sintesi!$C$10)),0)),0))/(_xlfn.IFNA(INDEX(_xlfn.ANCHORARRAY(Sintesi!$C$18),1,MATCH(1,(_xlfn.ANCHORARRAY(Sintesi!$C$9)&gt;_xlfn.ANCHORARRAY(Sintesi!$C$10))*(A257&gt;=_xlfn.ANCHORARRAY(Sintesi!$C$9))+(_xlfn.ANCHORARRAY(Sintesi!$C$9)&gt;_xlfn.ANCHORARRAY(Sintesi!$C$10))*(A257&lt;=_xlfn.ANCHORARRAY(Sintesi!$C$10))+(_xlfn.ANCHORARRAY(Sintesi!$C$9)&lt;_xlfn.ANCHORARRAY(Sintesi!$C$10))*(A257&gt;=_xlfn.ANCHORARRAY(Sintesi!$C$9))*(A257&lt;=_xlfn.ANCHORARRAY(Sintesi!$C$10)),0)),0)-_xlfn.IFNA(INDEX(_xlfn.ANCHORARRAY(Sintesi!$C$17),1,MATCH(1,(_xlfn.ANCHORARRAY(Sintesi!$C$9)&gt;_xlfn.ANCHORARRAY(Sintesi!$C$10))*(A257&gt;=_xlfn.ANCHORARRAY(Sintesi!$C$9))+(_xlfn.ANCHORARRAY(Sintesi!$C$9)&gt;_xlfn.ANCHORARRAY(Sintesi!$C$10))*(A257&lt;=_xlfn.ANCHORARRAY(Sintesi!$C$10))+(_xlfn.ANCHORARRAY(Sintesi!$C$9)&lt;_xlfn.ANCHORARRAY(Sintesi!$C$10))*(A257&gt;=_xlfn.ANCHORARRAY(Sintesi!$C$9))*(A257&lt;=_xlfn.ANCHORARRAY(Sintesi!$C$10)),0)),0)))),0)</f>
        <v>0</v>
      </c>
    </row>
    <row r="259" spans="1:13">
      <c r="A259" s="1">
        <f>'Paste cell here'!A259</f>
        <v>258</v>
      </c>
      <c r="B259" s="2">
        <f>DATE(Sintesi!$C$4-1,12,31)+A259</f>
        <v>44454</v>
      </c>
      <c r="C259" s="34">
        <f t="array" ref="C259">_xlfn.IFNA(MATCH(1,((_xlfn.ANCHORARRAY(Sintesi!$C$9)&gt;_xlfn.ANCHORARRAY(Sintesi!$C$10))*(A259&gt;=_xlfn.ANCHORARRAY(Sintesi!$C$9))+(_xlfn.ANCHORARRAY(Sintesi!$C$9)&gt;_xlfn.ANCHORARRAY(Sintesi!$C$10))*(A259&lt;=_xlfn.ANCHORARRAY(Sintesi!$C$10))+(_xlfn.ANCHORARRAY(Sintesi!$C$9)&lt;_xlfn.ANCHORARRAY(Sintesi!$C$10))*(A259&gt;=_xlfn.ANCHORARRAY(Sintesi!$C$9))*(A259&lt;=_xlfn.ANCHORARRAY(Sintesi!$C$10)))*(_xlfn.ANCHORARRAY(Sintesi!$C$15)&gt;=0)+(_xlfn.ANCHORARRAY(Sintesi!$C$15)&lt;0),0),0)</f>
        <v>0</v>
      </c>
      <c r="D259" s="1">
        <f t="array" ref="D259">IF(ISBLANK($E260),IF(ISNUMBER($E258),IF($C259&gt;0,IF(($E259=INDEX(_xlfn.ANCHORARRAY(Sintesi!$C$14),1,$C259))*(INDEX(_xlfn.ANCHORARRAY(Sintesi!$C$15),1,$C259)&gt;0),0,IF(($E259=INDEX(_xlfn.ANCHORARRAY(Sintesi!$C$14),1,$C259))*(INDEX(_xlfn.ANCHORARRAY(Sintesi!$C$15),1,$C259)&lt;0)+($E259&gt;=$E258)*($E259&lt;=INDEX($E:$E,MATCH(TRUE,INDEX((ISNUMBER($E:$E)),0),0)))*($E259&gt;INDEX(_xlfn.ANCHORARRAY(Sintesi!$C$14),1,$C259))*($E259&lt;=INDEX(_xlfn.ANCHORARRAY(Sintesi!$C$15),1,$C259))*(INDEX(_xlfn.ANCHORARRAY(Sintesi!$C$15),1,$C259)&gt;0),1,IF(($E259&gt;=$E258)*($E259&lt;=INDEX($E:$E,MATCH(TRUE,INDEX((ISNUMBER($E:$E)),0),0)))*($E259&gt;INDEX(_xlfn.ANCHORARRAY(Sintesi!$C$14),1,$C259))*($E259&lt;INDEX(_xlfn.ANCHORARRAY(Sintesi!$C$16),1,$C259))*(INDEX(_xlfn.ANCHORARRAY(Sintesi!$C$15),1,$C259)&lt;0)+($E259&gt;=$E258)*($E259&lt;=INDEX($E:$E,MATCH(TRUE,INDEX((ISNUMBER($E:$E)),0),0)))*($E259&gt;INDEX(_xlfn.ANCHORARRAY(Sintesi!$C$15),1,$C259))*($E259&lt;INDEX(_xlfn.ANCHORARRAY(Sintesi!$C$16),1,$C259))*(INDEX(_xlfn.ANCHORARRAY(Sintesi!$C$15),1,$C259)&gt;0),2,IF($E259=(INDEX(_xlfn.ANCHORARRAY(Sintesi!$C$16),1,$C259)),3,4)))),0),IF($C259&gt;0,IF(($E259=INDEX(_xlfn.ANCHORARRAY(Sintesi!$C$14),1,$C259))*(INDEX(_xlfn.ANCHORARRAY(Sintesi!$C$15),1,$C259)&gt;0),0,IF(($E259=INDEX(_xlfn.ANCHORARRAY(Sintesi!$C$14),1,$C259))*(INDEX(_xlfn.ANCHORARRAY(Sintesi!$C$15),1,$C259)&lt;0)+($E259&gt;=LOOKUP(2,1/($E:$E&lt;&gt;""),$E:$E))*($E259&lt;=INDEX($E:$E,MATCH(TRUE,INDEX((ISNUMBER($E:$E)),0),0)))*($E259&gt;INDEX(_xlfn.ANCHORARRAY(Sintesi!$C$14),1,$C259))*($E259&lt;=INDEX(_xlfn.ANCHORARRAY(Sintesi!$C$15),1,$C259))*(INDEX(_xlfn.ANCHORARRAY(Sintesi!$C$15),1,$C259)&gt;0),1,IF(($E259&gt;=LOOKUP(2,1/($E:$E&lt;&gt;""),$E:$E))*($E259&lt;=INDEX($E:$E,MATCH(TRUE,INDEX((ISNUMBER($E:$E)),0),0)))*($E259&gt;INDEX(_xlfn.ANCHORARRAY(Sintesi!$C$14),1,$C259))*($E259&lt;INDEX(_xlfn.ANCHORARRAY(Sintesi!$C$16),1,$C259))*(INDEX(_xlfn.ANCHORARRAY(Sintesi!$C$15),1,$C259)&lt;0)+($E259&gt;=LOOKUP(2,1/($E:$E&lt;&gt;""),$E:$E))*($E259&lt;=INDEX($E:$E,MATCH(TRUE,INDEX((ISNUMBER($E:$E)),0),0)))*($E259&gt;INDEX(_xlfn.ANCHORARRAY(Sintesi!$C$15),1,$C259))*($E259&lt;INDEX(_xlfn.ANCHORARRAY(Sintesi!$C$16),1,$C259))*(INDEX(_xlfn.ANCHORARRAY(Sintesi!$C$15),1,$C259)&gt;0),2,IF($E259=(INDEX(_xlfn.ANCHORARRAY(Sintesi!$C$16),1,$C259)),3,4)))),0)),IF(ISNUMBER($E258),IF($C259&gt;0,IF(($E259=INDEX(_xlfn.ANCHORARRAY(Sintesi!$C$14),1,$C259))*(INDEX(_xlfn.ANCHORARRAY(Sintesi!$C$15),1,$C259)&gt;0),0,IF(($E259=INDEX(_xlfn.ANCHORARRAY(Sintesi!$C$14),1,$C259))*(INDEX(_xlfn.ANCHORARRAY(Sintesi!$C$15),1,$C259)&lt;0)+($E259&gt;=$E258)*($E259&lt;=$E260)*($E259&gt;INDEX(_xlfn.ANCHORARRAY(Sintesi!$C$14),1,$C259))*($E259&lt;=INDEX(_xlfn.ANCHORARRAY(Sintesi!$C$15),1,$C259))*(INDEX(_xlfn.ANCHORARRAY(Sintesi!$C$15),1,$C259)&gt;0),1,IF(($E259&gt;=$E258)*($E259&lt;=$E260)*($E259&gt;INDEX(_xlfn.ANCHORARRAY(Sintesi!$C$14),1,$C259))*($E259&lt;INDEX(_xlfn.ANCHORARRAY(Sintesi!$C$16),1,$C259))*(INDEX(_xlfn.ANCHORARRAY(Sintesi!$C$15),1,$C259)&lt;0)+($E259&gt;=$E258)*($E259&lt;=$E260)*($E259&gt;INDEX(_xlfn.ANCHORARRAY(Sintesi!$C$15),1,$C259))*($E259&lt;INDEX(_xlfn.ANCHORARRAY(Sintesi!$C$16),1,$C259))*(INDEX(_xlfn.ANCHORARRAY(Sintesi!$C$15),1,$C259)&gt;0),2,IF($E259=(INDEX(_xlfn.ANCHORARRAY(Sintesi!$C$16),1,$C259)),3,4)))),0),IF($C259&gt;0,IF(($E259=INDEX(_xlfn.ANCHORARRAY(Sintesi!$C$14),1,$C259))*(INDEX(_xlfn.ANCHORARRAY(Sintesi!$C$15),1,$C259)&gt;0),0,IF(($E259=INDEX(_xlfn.ANCHORARRAY(Sintesi!$C$14),1,$C259))*(INDEX(_xlfn.ANCHORARRAY(Sintesi!$C$15),1,$C259)&lt;0)+($E259&gt;=LOOKUP(2,1/($E:$E&lt;&gt;""),$E:$E))*($E259&lt;=$E260)*($E259&gt;INDEX(_xlfn.ANCHORARRAY(Sintesi!$C$14),1,$C259))*($E259&lt;=INDEX(_xlfn.ANCHORARRAY(Sintesi!$C$15),1,$C259))*(INDEX(_xlfn.ANCHORARRAY(Sintesi!$C$15),1,$C259)&gt;0),1,IF(($E259&gt;=LOOKUP(2,1/($E:$E&lt;&gt;""),$E:$E))*($E259&lt;=$E260)*($E259&gt;INDEX(_xlfn.ANCHORARRAY(Sintesi!$C$14),1,$C259))*($E259&lt;INDEX(_xlfn.ANCHORARRAY(Sintesi!$C$16),1,$C259))*(INDEX(_xlfn.ANCHORARRAY(Sintesi!$C$15),1,$C259)&lt;0)+($E259&gt;=LOOKUP(2,1/($E:$E&lt;&gt;""),$E:$E))*($E259&lt;=$E260)*($E259&gt;INDEX(_xlfn.ANCHORARRAY(Sintesi!$C$15),1,$C259))*($E259&lt;INDEX(_xlfn.ANCHORARRAY(Sintesi!$C$16),1,$C259))*(INDEX(_xlfn.ANCHORARRAY(Sintesi!$C$15),1,$C259)&gt;0),2,IF($E259=(INDEX(_xlfn.ANCHORARRAY(Sintesi!$C$16),1,$C259)),3,4)))),0)))</f>
        <v>0</v>
      </c>
      <c r="E259" s="1">
        <f>'Paste cell here'!F259</f>
        <v>0</v>
      </c>
      <c r="F259" s="1">
        <f>'Paste cell here'!C259</f>
        <v>28.819999999999581</v>
      </c>
      <c r="G259" s="1">
        <f>'Paste cell here'!D259</f>
        <v>20.059999999999732</v>
      </c>
      <c r="H259" s="1">
        <f>'Paste cell here'!E259</f>
        <v>2.4799139851498668</v>
      </c>
      <c r="I259" s="1">
        <f>'Paste cell here'!X259</f>
        <v>0</v>
      </c>
      <c r="J259" s="1">
        <f>'Paste cell here'!Y259+'Paste cell here'!S259</f>
        <v>0</v>
      </c>
      <c r="K259" s="1">
        <f t="shared" si="8"/>
        <v>0</v>
      </c>
      <c r="L259" s="1">
        <f t="shared" si="9"/>
        <v>25.54130313953322</v>
      </c>
      <c r="M259" s="1">
        <f t="array" ref="M259">IF(AND(A259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259&gt;=_xlfn.ANCHORARRAY(Sintesi!$C$9))+(_xlfn.ANCHORARRAY(Sintesi!$C$9)&gt;_xlfn.ANCHORARRAY(Sintesi!$C$10))*(A259&lt;=_xlfn.ANCHORARRAY(Sintesi!$C$10))+(_xlfn.ANCHORARRAY(Sintesi!$C$9)&lt;_xlfn.ANCHORARRAY(Sintesi!$C$10))*(A259&gt;=_xlfn.ANCHORARRAY(Sintesi!$C$9))*(A259&lt;=_xlfn.ANCHORARRAY(Sintesi!$C$10)),0)),0),A259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260&gt;=_xlfn.ANCHORARRAY(Sintesi!$C$9))+(_xlfn.ANCHORARRAY(Sintesi!$C$9)&gt;_xlfn.ANCHORARRAY(Sintesi!$C$10))*(A260&lt;=_xlfn.ANCHORARRAY(Sintesi!$C$10))+(_xlfn.ANCHORARRAY(Sintesi!$C$9)&lt;_xlfn.ANCHORARRAY(Sintesi!$C$10))*(A260&gt;=_xlfn.ANCHORARRAY(Sintesi!$C$9))*(A260&lt;=_xlfn.ANCHORARRAY(Sintesi!$C$10)),0)),0)),IF(L259&lt;_xlfn.IFNA(INDEX(_xlfn.ANCHORARRAY(Sintesi!$C$17),1,MATCH(1,(_xlfn.ANCHORARRAY(Sintesi!$C$9)&gt;_xlfn.ANCHORARRAY(Sintesi!$C$10))*(A258&gt;=_xlfn.ANCHORARRAY(Sintesi!$C$9))+(_xlfn.ANCHORARRAY(Sintesi!$C$9)&gt;_xlfn.ANCHORARRAY(Sintesi!$C$10))*(A258&lt;=_xlfn.ANCHORARRAY(Sintesi!$C$10))+(_xlfn.ANCHORARRAY(Sintesi!$C$9)&lt;_xlfn.ANCHORARRAY(Sintesi!$C$10))*(A258&gt;=_xlfn.ANCHORARRAY(Sintesi!$C$9))*(A258&lt;=_xlfn.ANCHORARRAY(Sintesi!$C$10)),0)),0),1,IF(L259&gt;=_xlfn.IFNA(INDEX(_xlfn.ANCHORARRAY(Sintesi!$C$18),1,MATCH(1,(_xlfn.ANCHORARRAY(Sintesi!$C$9)&gt;_xlfn.ANCHORARRAY(Sintesi!$C$10))*(A258&gt;=_xlfn.ANCHORARRAY(Sintesi!$C$9))+(_xlfn.ANCHORARRAY(Sintesi!$C$9)&gt;_xlfn.ANCHORARRAY(Sintesi!$C$10))*(A258&lt;=_xlfn.ANCHORARRAY(Sintesi!$C$10))+(_xlfn.ANCHORARRAY(Sintesi!$C$9)&lt;_xlfn.ANCHORARRAY(Sintesi!$C$10))*(A258&gt;=_xlfn.ANCHORARRAY(Sintesi!$C$9))*(A258&lt;=_xlfn.ANCHORARRAY(Sintesi!$C$10)),0)),0),0,1-(L259-_xlfn.IFNA(INDEX(_xlfn.ANCHORARRAY(Sintesi!$C$17),1,MATCH(1,(_xlfn.ANCHORARRAY(Sintesi!$C$9)&gt;_xlfn.ANCHORARRAY(Sintesi!$C$10))*(A258&gt;=_xlfn.ANCHORARRAY(Sintesi!$C$9))+(_xlfn.ANCHORARRAY(Sintesi!$C$9)&gt;_xlfn.ANCHORARRAY(Sintesi!$C$10))*(A258&lt;=_xlfn.ANCHORARRAY(Sintesi!$C$10))+(_xlfn.ANCHORARRAY(Sintesi!$C$9)&lt;_xlfn.ANCHORARRAY(Sintesi!$C$10))*(A258&gt;=_xlfn.ANCHORARRAY(Sintesi!$C$9))*(A258&lt;=_xlfn.ANCHORARRAY(Sintesi!$C$10)),0)),0))/(_xlfn.IFNA(INDEX(_xlfn.ANCHORARRAY(Sintesi!$C$18),1,MATCH(1,(_xlfn.ANCHORARRAY(Sintesi!$C$9)&gt;_xlfn.ANCHORARRAY(Sintesi!$C$10))*(A258&gt;=_xlfn.ANCHORARRAY(Sintesi!$C$9))+(_xlfn.ANCHORARRAY(Sintesi!$C$9)&gt;_xlfn.ANCHORARRAY(Sintesi!$C$10))*(A258&lt;=_xlfn.ANCHORARRAY(Sintesi!$C$10))+(_xlfn.ANCHORARRAY(Sintesi!$C$9)&lt;_xlfn.ANCHORARRAY(Sintesi!$C$10))*(A258&gt;=_xlfn.ANCHORARRAY(Sintesi!$C$9))*(A258&lt;=_xlfn.ANCHORARRAY(Sintesi!$C$10)),0)),0)-_xlfn.IFNA(INDEX(_xlfn.ANCHORARRAY(Sintesi!$C$17),1,MATCH(1,(_xlfn.ANCHORARRAY(Sintesi!$C$9)&gt;_xlfn.ANCHORARRAY(Sintesi!$C$10))*(A258&gt;=_xlfn.ANCHORARRAY(Sintesi!$C$9))+(_xlfn.ANCHORARRAY(Sintesi!$C$9)&gt;_xlfn.ANCHORARRAY(Sintesi!$C$10))*(A258&lt;=_xlfn.ANCHORARRAY(Sintesi!$C$10))+(_xlfn.ANCHORARRAY(Sintesi!$C$9)&lt;_xlfn.ANCHORARRAY(Sintesi!$C$10))*(A258&gt;=_xlfn.ANCHORARRAY(Sintesi!$C$9))*(A258&lt;=_xlfn.ANCHORARRAY(Sintesi!$C$10)),0)),0)))),0)</f>
        <v>0</v>
      </c>
    </row>
    <row r="260" spans="1:13">
      <c r="A260" s="1">
        <f>'Paste cell here'!A260</f>
        <v>259</v>
      </c>
      <c r="B260" s="2">
        <f>DATE(Sintesi!$C$4-1,12,31)+A260</f>
        <v>44455</v>
      </c>
      <c r="C260" s="34">
        <f t="array" ref="C260">_xlfn.IFNA(MATCH(1,((_xlfn.ANCHORARRAY(Sintesi!$C$9)&gt;_xlfn.ANCHORARRAY(Sintesi!$C$10))*(A260&gt;=_xlfn.ANCHORARRAY(Sintesi!$C$9))+(_xlfn.ANCHORARRAY(Sintesi!$C$9)&gt;_xlfn.ANCHORARRAY(Sintesi!$C$10))*(A260&lt;=_xlfn.ANCHORARRAY(Sintesi!$C$10))+(_xlfn.ANCHORARRAY(Sintesi!$C$9)&lt;_xlfn.ANCHORARRAY(Sintesi!$C$10))*(A260&gt;=_xlfn.ANCHORARRAY(Sintesi!$C$9))*(A260&lt;=_xlfn.ANCHORARRAY(Sintesi!$C$10)))*(_xlfn.ANCHORARRAY(Sintesi!$C$15)&gt;=0)+(_xlfn.ANCHORARRAY(Sintesi!$C$15)&lt;0),0),0)</f>
        <v>0</v>
      </c>
      <c r="D260" s="1">
        <f t="array" ref="D260">IF(ISBLANK($E261),IF(ISNUMBER($E259),IF($C260&gt;0,IF(($E260=INDEX(_xlfn.ANCHORARRAY(Sintesi!$C$14),1,$C260))*(INDEX(_xlfn.ANCHORARRAY(Sintesi!$C$15),1,$C260)&gt;0),0,IF(($E260=INDEX(_xlfn.ANCHORARRAY(Sintesi!$C$14),1,$C260))*(INDEX(_xlfn.ANCHORARRAY(Sintesi!$C$15),1,$C260)&lt;0)+($E260&gt;=$E259)*($E260&lt;=INDEX($E:$E,MATCH(TRUE,INDEX((ISNUMBER($E:$E)),0),0)))*($E260&gt;INDEX(_xlfn.ANCHORARRAY(Sintesi!$C$14),1,$C260))*($E260&lt;=INDEX(_xlfn.ANCHORARRAY(Sintesi!$C$15),1,$C260))*(INDEX(_xlfn.ANCHORARRAY(Sintesi!$C$15),1,$C260)&gt;0),1,IF(($E260&gt;=$E259)*($E260&lt;=INDEX($E:$E,MATCH(TRUE,INDEX((ISNUMBER($E:$E)),0),0)))*($E260&gt;INDEX(_xlfn.ANCHORARRAY(Sintesi!$C$14),1,$C260))*($E260&lt;INDEX(_xlfn.ANCHORARRAY(Sintesi!$C$16),1,$C260))*(INDEX(_xlfn.ANCHORARRAY(Sintesi!$C$15),1,$C260)&lt;0)+($E260&gt;=$E259)*($E260&lt;=INDEX($E:$E,MATCH(TRUE,INDEX((ISNUMBER($E:$E)),0),0)))*($E260&gt;INDEX(_xlfn.ANCHORARRAY(Sintesi!$C$15),1,$C260))*($E260&lt;INDEX(_xlfn.ANCHORARRAY(Sintesi!$C$16),1,$C260))*(INDEX(_xlfn.ANCHORARRAY(Sintesi!$C$15),1,$C260)&gt;0),2,IF($E260=(INDEX(_xlfn.ANCHORARRAY(Sintesi!$C$16),1,$C260)),3,4)))),0),IF($C260&gt;0,IF(($E260=INDEX(_xlfn.ANCHORARRAY(Sintesi!$C$14),1,$C260))*(INDEX(_xlfn.ANCHORARRAY(Sintesi!$C$15),1,$C260)&gt;0),0,IF(($E260=INDEX(_xlfn.ANCHORARRAY(Sintesi!$C$14),1,$C260))*(INDEX(_xlfn.ANCHORARRAY(Sintesi!$C$15),1,$C260)&lt;0)+($E260&gt;=LOOKUP(2,1/($E:$E&lt;&gt;""),$E:$E))*($E260&lt;=INDEX($E:$E,MATCH(TRUE,INDEX((ISNUMBER($E:$E)),0),0)))*($E260&gt;INDEX(_xlfn.ANCHORARRAY(Sintesi!$C$14),1,$C260))*($E260&lt;=INDEX(_xlfn.ANCHORARRAY(Sintesi!$C$15),1,$C260))*(INDEX(_xlfn.ANCHORARRAY(Sintesi!$C$15),1,$C260)&gt;0),1,IF(($E260&gt;=LOOKUP(2,1/($E:$E&lt;&gt;""),$E:$E))*($E260&lt;=INDEX($E:$E,MATCH(TRUE,INDEX((ISNUMBER($E:$E)),0),0)))*($E260&gt;INDEX(_xlfn.ANCHORARRAY(Sintesi!$C$14),1,$C260))*($E260&lt;INDEX(_xlfn.ANCHORARRAY(Sintesi!$C$16),1,$C260))*(INDEX(_xlfn.ANCHORARRAY(Sintesi!$C$15),1,$C260)&lt;0)+($E260&gt;=LOOKUP(2,1/($E:$E&lt;&gt;""),$E:$E))*($E260&lt;=INDEX($E:$E,MATCH(TRUE,INDEX((ISNUMBER($E:$E)),0),0)))*($E260&gt;INDEX(_xlfn.ANCHORARRAY(Sintesi!$C$15),1,$C260))*($E260&lt;INDEX(_xlfn.ANCHORARRAY(Sintesi!$C$16),1,$C260))*(INDEX(_xlfn.ANCHORARRAY(Sintesi!$C$15),1,$C260)&gt;0),2,IF($E260=(INDEX(_xlfn.ANCHORARRAY(Sintesi!$C$16),1,$C260)),3,4)))),0)),IF(ISNUMBER($E259),IF($C260&gt;0,IF(($E260=INDEX(_xlfn.ANCHORARRAY(Sintesi!$C$14),1,$C260))*(INDEX(_xlfn.ANCHORARRAY(Sintesi!$C$15),1,$C260)&gt;0),0,IF(($E260=INDEX(_xlfn.ANCHORARRAY(Sintesi!$C$14),1,$C260))*(INDEX(_xlfn.ANCHORARRAY(Sintesi!$C$15),1,$C260)&lt;0)+($E260&gt;=$E259)*($E260&lt;=$E261)*($E260&gt;INDEX(_xlfn.ANCHORARRAY(Sintesi!$C$14),1,$C260))*($E260&lt;=INDEX(_xlfn.ANCHORARRAY(Sintesi!$C$15),1,$C260))*(INDEX(_xlfn.ANCHORARRAY(Sintesi!$C$15),1,$C260)&gt;0),1,IF(($E260&gt;=$E259)*($E260&lt;=$E261)*($E260&gt;INDEX(_xlfn.ANCHORARRAY(Sintesi!$C$14),1,$C260))*($E260&lt;INDEX(_xlfn.ANCHORARRAY(Sintesi!$C$16),1,$C260))*(INDEX(_xlfn.ANCHORARRAY(Sintesi!$C$15),1,$C260)&lt;0)+($E260&gt;=$E259)*($E260&lt;=$E261)*($E260&gt;INDEX(_xlfn.ANCHORARRAY(Sintesi!$C$15),1,$C260))*($E260&lt;INDEX(_xlfn.ANCHORARRAY(Sintesi!$C$16),1,$C260))*(INDEX(_xlfn.ANCHORARRAY(Sintesi!$C$15),1,$C260)&gt;0),2,IF($E260=(INDEX(_xlfn.ANCHORARRAY(Sintesi!$C$16),1,$C260)),3,4)))),0),IF($C260&gt;0,IF(($E260=INDEX(_xlfn.ANCHORARRAY(Sintesi!$C$14),1,$C260))*(INDEX(_xlfn.ANCHORARRAY(Sintesi!$C$15),1,$C260)&gt;0),0,IF(($E260=INDEX(_xlfn.ANCHORARRAY(Sintesi!$C$14),1,$C260))*(INDEX(_xlfn.ANCHORARRAY(Sintesi!$C$15),1,$C260)&lt;0)+($E260&gt;=LOOKUP(2,1/($E:$E&lt;&gt;""),$E:$E))*($E260&lt;=$E261)*($E260&gt;INDEX(_xlfn.ANCHORARRAY(Sintesi!$C$14),1,$C260))*($E260&lt;=INDEX(_xlfn.ANCHORARRAY(Sintesi!$C$15),1,$C260))*(INDEX(_xlfn.ANCHORARRAY(Sintesi!$C$15),1,$C260)&gt;0),1,IF(($E260&gt;=LOOKUP(2,1/($E:$E&lt;&gt;""),$E:$E))*($E260&lt;=$E261)*($E260&gt;INDEX(_xlfn.ANCHORARRAY(Sintesi!$C$14),1,$C260))*($E260&lt;INDEX(_xlfn.ANCHORARRAY(Sintesi!$C$16),1,$C260))*(INDEX(_xlfn.ANCHORARRAY(Sintesi!$C$15),1,$C260)&lt;0)+($E260&gt;=LOOKUP(2,1/($E:$E&lt;&gt;""),$E:$E))*($E260&lt;=$E261)*($E260&gt;INDEX(_xlfn.ANCHORARRAY(Sintesi!$C$15),1,$C260))*($E260&lt;INDEX(_xlfn.ANCHORARRAY(Sintesi!$C$16),1,$C260))*(INDEX(_xlfn.ANCHORARRAY(Sintesi!$C$15),1,$C260)&gt;0),2,IF($E260=(INDEX(_xlfn.ANCHORARRAY(Sintesi!$C$16),1,$C260)),3,4)))),0)))</f>
        <v>0</v>
      </c>
      <c r="E260" s="1">
        <f>'Paste cell here'!F260</f>
        <v>0</v>
      </c>
      <c r="F260" s="1">
        <f>'Paste cell here'!C260</f>
        <v>27.359999999999587</v>
      </c>
      <c r="G260" s="1">
        <f>'Paste cell here'!D260</f>
        <v>17.939999999999742</v>
      </c>
      <c r="H260" s="1">
        <f>'Paste cell here'!E260</f>
        <v>2.0677910837118043</v>
      </c>
      <c r="I260" s="1">
        <f>'Paste cell here'!X260</f>
        <v>0</v>
      </c>
      <c r="J260" s="1">
        <f>'Paste cell here'!Y260+'Paste cell here'!S260</f>
        <v>0</v>
      </c>
      <c r="K260" s="1">
        <f t="shared" si="8"/>
        <v>0</v>
      </c>
      <c r="L260" s="1">
        <f t="shared" si="9"/>
        <v>23.834278033607671</v>
      </c>
      <c r="M260" s="1">
        <f t="array" ref="M260">IF(AND(A260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260&gt;=_xlfn.ANCHORARRAY(Sintesi!$C$9))+(_xlfn.ANCHORARRAY(Sintesi!$C$9)&gt;_xlfn.ANCHORARRAY(Sintesi!$C$10))*(A260&lt;=_xlfn.ANCHORARRAY(Sintesi!$C$10))+(_xlfn.ANCHORARRAY(Sintesi!$C$9)&lt;_xlfn.ANCHORARRAY(Sintesi!$C$10))*(A260&gt;=_xlfn.ANCHORARRAY(Sintesi!$C$9))*(A260&lt;=_xlfn.ANCHORARRAY(Sintesi!$C$10)),0)),0),A260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261&gt;=_xlfn.ANCHORARRAY(Sintesi!$C$9))+(_xlfn.ANCHORARRAY(Sintesi!$C$9)&gt;_xlfn.ANCHORARRAY(Sintesi!$C$10))*(A261&lt;=_xlfn.ANCHORARRAY(Sintesi!$C$10))+(_xlfn.ANCHORARRAY(Sintesi!$C$9)&lt;_xlfn.ANCHORARRAY(Sintesi!$C$10))*(A261&gt;=_xlfn.ANCHORARRAY(Sintesi!$C$9))*(A261&lt;=_xlfn.ANCHORARRAY(Sintesi!$C$10)),0)),0)),IF(L260&lt;_xlfn.IFNA(INDEX(_xlfn.ANCHORARRAY(Sintesi!$C$17),1,MATCH(1,(_xlfn.ANCHORARRAY(Sintesi!$C$9)&gt;_xlfn.ANCHORARRAY(Sintesi!$C$10))*(A259&gt;=_xlfn.ANCHORARRAY(Sintesi!$C$9))+(_xlfn.ANCHORARRAY(Sintesi!$C$9)&gt;_xlfn.ANCHORARRAY(Sintesi!$C$10))*(A259&lt;=_xlfn.ANCHORARRAY(Sintesi!$C$10))+(_xlfn.ANCHORARRAY(Sintesi!$C$9)&lt;_xlfn.ANCHORARRAY(Sintesi!$C$10))*(A259&gt;=_xlfn.ANCHORARRAY(Sintesi!$C$9))*(A259&lt;=_xlfn.ANCHORARRAY(Sintesi!$C$10)),0)),0),1,IF(L260&gt;=_xlfn.IFNA(INDEX(_xlfn.ANCHORARRAY(Sintesi!$C$18),1,MATCH(1,(_xlfn.ANCHORARRAY(Sintesi!$C$9)&gt;_xlfn.ANCHORARRAY(Sintesi!$C$10))*(A259&gt;=_xlfn.ANCHORARRAY(Sintesi!$C$9))+(_xlfn.ANCHORARRAY(Sintesi!$C$9)&gt;_xlfn.ANCHORARRAY(Sintesi!$C$10))*(A259&lt;=_xlfn.ANCHORARRAY(Sintesi!$C$10))+(_xlfn.ANCHORARRAY(Sintesi!$C$9)&lt;_xlfn.ANCHORARRAY(Sintesi!$C$10))*(A259&gt;=_xlfn.ANCHORARRAY(Sintesi!$C$9))*(A259&lt;=_xlfn.ANCHORARRAY(Sintesi!$C$10)),0)),0),0,1-(L260-_xlfn.IFNA(INDEX(_xlfn.ANCHORARRAY(Sintesi!$C$17),1,MATCH(1,(_xlfn.ANCHORARRAY(Sintesi!$C$9)&gt;_xlfn.ANCHORARRAY(Sintesi!$C$10))*(A259&gt;=_xlfn.ANCHORARRAY(Sintesi!$C$9))+(_xlfn.ANCHORARRAY(Sintesi!$C$9)&gt;_xlfn.ANCHORARRAY(Sintesi!$C$10))*(A259&lt;=_xlfn.ANCHORARRAY(Sintesi!$C$10))+(_xlfn.ANCHORARRAY(Sintesi!$C$9)&lt;_xlfn.ANCHORARRAY(Sintesi!$C$10))*(A259&gt;=_xlfn.ANCHORARRAY(Sintesi!$C$9))*(A259&lt;=_xlfn.ANCHORARRAY(Sintesi!$C$10)),0)),0))/(_xlfn.IFNA(INDEX(_xlfn.ANCHORARRAY(Sintesi!$C$18),1,MATCH(1,(_xlfn.ANCHORARRAY(Sintesi!$C$9)&gt;_xlfn.ANCHORARRAY(Sintesi!$C$10))*(A259&gt;=_xlfn.ANCHORARRAY(Sintesi!$C$9))+(_xlfn.ANCHORARRAY(Sintesi!$C$9)&gt;_xlfn.ANCHORARRAY(Sintesi!$C$10))*(A259&lt;=_xlfn.ANCHORARRAY(Sintesi!$C$10))+(_xlfn.ANCHORARRAY(Sintesi!$C$9)&lt;_xlfn.ANCHORARRAY(Sintesi!$C$10))*(A259&gt;=_xlfn.ANCHORARRAY(Sintesi!$C$9))*(A259&lt;=_xlfn.ANCHORARRAY(Sintesi!$C$10)),0)),0)-_xlfn.IFNA(INDEX(_xlfn.ANCHORARRAY(Sintesi!$C$17),1,MATCH(1,(_xlfn.ANCHORARRAY(Sintesi!$C$9)&gt;_xlfn.ANCHORARRAY(Sintesi!$C$10))*(A259&gt;=_xlfn.ANCHORARRAY(Sintesi!$C$9))+(_xlfn.ANCHORARRAY(Sintesi!$C$9)&gt;_xlfn.ANCHORARRAY(Sintesi!$C$10))*(A259&lt;=_xlfn.ANCHORARRAY(Sintesi!$C$10))+(_xlfn.ANCHORARRAY(Sintesi!$C$9)&lt;_xlfn.ANCHORARRAY(Sintesi!$C$10))*(A259&gt;=_xlfn.ANCHORARRAY(Sintesi!$C$9))*(A259&lt;=_xlfn.ANCHORARRAY(Sintesi!$C$10)),0)),0)))),0)</f>
        <v>0</v>
      </c>
    </row>
    <row r="261" spans="1:13">
      <c r="A261" s="1">
        <f>'Paste cell here'!A261</f>
        <v>260</v>
      </c>
      <c r="B261" s="2">
        <f>DATE(Sintesi!$C$4-1,12,31)+A261</f>
        <v>44456</v>
      </c>
      <c r="C261" s="34">
        <f t="array" ref="C261">_xlfn.IFNA(MATCH(1,((_xlfn.ANCHORARRAY(Sintesi!$C$9)&gt;_xlfn.ANCHORARRAY(Sintesi!$C$10))*(A261&gt;=_xlfn.ANCHORARRAY(Sintesi!$C$9))+(_xlfn.ANCHORARRAY(Sintesi!$C$9)&gt;_xlfn.ANCHORARRAY(Sintesi!$C$10))*(A261&lt;=_xlfn.ANCHORARRAY(Sintesi!$C$10))+(_xlfn.ANCHORARRAY(Sintesi!$C$9)&lt;_xlfn.ANCHORARRAY(Sintesi!$C$10))*(A261&gt;=_xlfn.ANCHORARRAY(Sintesi!$C$9))*(A261&lt;=_xlfn.ANCHORARRAY(Sintesi!$C$10)))*(_xlfn.ANCHORARRAY(Sintesi!$C$15)&gt;=0)+(_xlfn.ANCHORARRAY(Sintesi!$C$15)&lt;0),0),0)</f>
        <v>0</v>
      </c>
      <c r="D261" s="1">
        <f t="array" ref="D261">IF(ISBLANK($E262),IF(ISNUMBER($E260),IF($C261&gt;0,IF(($E261=INDEX(_xlfn.ANCHORARRAY(Sintesi!$C$14),1,$C261))*(INDEX(_xlfn.ANCHORARRAY(Sintesi!$C$15),1,$C261)&gt;0),0,IF(($E261=INDEX(_xlfn.ANCHORARRAY(Sintesi!$C$14),1,$C261))*(INDEX(_xlfn.ANCHORARRAY(Sintesi!$C$15),1,$C261)&lt;0)+($E261&gt;=$E260)*($E261&lt;=INDEX($E:$E,MATCH(TRUE,INDEX((ISNUMBER($E:$E)),0),0)))*($E261&gt;INDEX(_xlfn.ANCHORARRAY(Sintesi!$C$14),1,$C261))*($E261&lt;=INDEX(_xlfn.ANCHORARRAY(Sintesi!$C$15),1,$C261))*(INDEX(_xlfn.ANCHORARRAY(Sintesi!$C$15),1,$C261)&gt;0),1,IF(($E261&gt;=$E260)*($E261&lt;=INDEX($E:$E,MATCH(TRUE,INDEX((ISNUMBER($E:$E)),0),0)))*($E261&gt;INDEX(_xlfn.ANCHORARRAY(Sintesi!$C$14),1,$C261))*($E261&lt;INDEX(_xlfn.ANCHORARRAY(Sintesi!$C$16),1,$C261))*(INDEX(_xlfn.ANCHORARRAY(Sintesi!$C$15),1,$C261)&lt;0)+($E261&gt;=$E260)*($E261&lt;=INDEX($E:$E,MATCH(TRUE,INDEX((ISNUMBER($E:$E)),0),0)))*($E261&gt;INDEX(_xlfn.ANCHORARRAY(Sintesi!$C$15),1,$C261))*($E261&lt;INDEX(_xlfn.ANCHORARRAY(Sintesi!$C$16),1,$C261))*(INDEX(_xlfn.ANCHORARRAY(Sintesi!$C$15),1,$C261)&gt;0),2,IF($E261=(INDEX(_xlfn.ANCHORARRAY(Sintesi!$C$16),1,$C261)),3,4)))),0),IF($C261&gt;0,IF(($E261=INDEX(_xlfn.ANCHORARRAY(Sintesi!$C$14),1,$C261))*(INDEX(_xlfn.ANCHORARRAY(Sintesi!$C$15),1,$C261)&gt;0),0,IF(($E261=INDEX(_xlfn.ANCHORARRAY(Sintesi!$C$14),1,$C261))*(INDEX(_xlfn.ANCHORARRAY(Sintesi!$C$15),1,$C261)&lt;0)+($E261&gt;=LOOKUP(2,1/($E:$E&lt;&gt;""),$E:$E))*($E261&lt;=INDEX($E:$E,MATCH(TRUE,INDEX((ISNUMBER($E:$E)),0),0)))*($E261&gt;INDEX(_xlfn.ANCHORARRAY(Sintesi!$C$14),1,$C261))*($E261&lt;=INDEX(_xlfn.ANCHORARRAY(Sintesi!$C$15),1,$C261))*(INDEX(_xlfn.ANCHORARRAY(Sintesi!$C$15),1,$C261)&gt;0),1,IF(($E261&gt;=LOOKUP(2,1/($E:$E&lt;&gt;""),$E:$E))*($E261&lt;=INDEX($E:$E,MATCH(TRUE,INDEX((ISNUMBER($E:$E)),0),0)))*($E261&gt;INDEX(_xlfn.ANCHORARRAY(Sintesi!$C$14),1,$C261))*($E261&lt;INDEX(_xlfn.ANCHORARRAY(Sintesi!$C$16),1,$C261))*(INDEX(_xlfn.ANCHORARRAY(Sintesi!$C$15),1,$C261)&lt;0)+($E261&gt;=LOOKUP(2,1/($E:$E&lt;&gt;""),$E:$E))*($E261&lt;=INDEX($E:$E,MATCH(TRUE,INDEX((ISNUMBER($E:$E)),0),0)))*($E261&gt;INDEX(_xlfn.ANCHORARRAY(Sintesi!$C$15),1,$C261))*($E261&lt;INDEX(_xlfn.ANCHORARRAY(Sintesi!$C$16),1,$C261))*(INDEX(_xlfn.ANCHORARRAY(Sintesi!$C$15),1,$C261)&gt;0),2,IF($E261=(INDEX(_xlfn.ANCHORARRAY(Sintesi!$C$16),1,$C261)),3,4)))),0)),IF(ISNUMBER($E260),IF($C261&gt;0,IF(($E261=INDEX(_xlfn.ANCHORARRAY(Sintesi!$C$14),1,$C261))*(INDEX(_xlfn.ANCHORARRAY(Sintesi!$C$15),1,$C261)&gt;0),0,IF(($E261=INDEX(_xlfn.ANCHORARRAY(Sintesi!$C$14),1,$C261))*(INDEX(_xlfn.ANCHORARRAY(Sintesi!$C$15),1,$C261)&lt;0)+($E261&gt;=$E260)*($E261&lt;=$E262)*($E261&gt;INDEX(_xlfn.ANCHORARRAY(Sintesi!$C$14),1,$C261))*($E261&lt;=INDEX(_xlfn.ANCHORARRAY(Sintesi!$C$15),1,$C261))*(INDEX(_xlfn.ANCHORARRAY(Sintesi!$C$15),1,$C261)&gt;0),1,IF(($E261&gt;=$E260)*($E261&lt;=$E262)*($E261&gt;INDEX(_xlfn.ANCHORARRAY(Sintesi!$C$14),1,$C261))*($E261&lt;INDEX(_xlfn.ANCHORARRAY(Sintesi!$C$16),1,$C261))*(INDEX(_xlfn.ANCHORARRAY(Sintesi!$C$15),1,$C261)&lt;0)+($E261&gt;=$E260)*($E261&lt;=$E262)*($E261&gt;INDEX(_xlfn.ANCHORARRAY(Sintesi!$C$15),1,$C261))*($E261&lt;INDEX(_xlfn.ANCHORARRAY(Sintesi!$C$16),1,$C261))*(INDEX(_xlfn.ANCHORARRAY(Sintesi!$C$15),1,$C261)&gt;0),2,IF($E261=(INDEX(_xlfn.ANCHORARRAY(Sintesi!$C$16),1,$C261)),3,4)))),0),IF($C261&gt;0,IF(($E261=INDEX(_xlfn.ANCHORARRAY(Sintesi!$C$14),1,$C261))*(INDEX(_xlfn.ANCHORARRAY(Sintesi!$C$15),1,$C261)&gt;0),0,IF(($E261=INDEX(_xlfn.ANCHORARRAY(Sintesi!$C$14),1,$C261))*(INDEX(_xlfn.ANCHORARRAY(Sintesi!$C$15),1,$C261)&lt;0)+($E261&gt;=LOOKUP(2,1/($E:$E&lt;&gt;""),$E:$E))*($E261&lt;=$E262)*($E261&gt;INDEX(_xlfn.ANCHORARRAY(Sintesi!$C$14),1,$C261))*($E261&lt;=INDEX(_xlfn.ANCHORARRAY(Sintesi!$C$15),1,$C261))*(INDEX(_xlfn.ANCHORARRAY(Sintesi!$C$15),1,$C261)&gt;0),1,IF(($E261&gt;=LOOKUP(2,1/($E:$E&lt;&gt;""),$E:$E))*($E261&lt;=$E262)*($E261&gt;INDEX(_xlfn.ANCHORARRAY(Sintesi!$C$14),1,$C261))*($E261&lt;INDEX(_xlfn.ANCHORARRAY(Sintesi!$C$16),1,$C261))*(INDEX(_xlfn.ANCHORARRAY(Sintesi!$C$15),1,$C261)&lt;0)+($E261&gt;=LOOKUP(2,1/($E:$E&lt;&gt;""),$E:$E))*($E261&lt;=$E262)*($E261&gt;INDEX(_xlfn.ANCHORARRAY(Sintesi!$C$15),1,$C261))*($E261&lt;INDEX(_xlfn.ANCHORARRAY(Sintesi!$C$16),1,$C261))*(INDEX(_xlfn.ANCHORARRAY(Sintesi!$C$15),1,$C261)&gt;0),2,IF($E261=(INDEX(_xlfn.ANCHORARRAY(Sintesi!$C$16),1,$C261)),3,4)))),0)))</f>
        <v>0</v>
      </c>
      <c r="E261" s="1">
        <f>'Paste cell here'!F261</f>
        <v>0</v>
      </c>
      <c r="F261" s="1">
        <f>'Paste cell here'!C261</f>
        <v>27.839999999999598</v>
      </c>
      <c r="G261" s="1">
        <f>'Paste cell here'!D261</f>
        <v>18.019999999999744</v>
      </c>
      <c r="H261" s="1">
        <f>'Paste cell here'!E261</f>
        <v>2.83381125295714</v>
      </c>
      <c r="I261" s="1">
        <f>'Paste cell here'!X261</f>
        <v>0</v>
      </c>
      <c r="J261" s="1">
        <f>'Paste cell here'!Y261+'Paste cell here'!S261</f>
        <v>0</v>
      </c>
      <c r="K261" s="1">
        <f t="shared" si="8"/>
        <v>0</v>
      </c>
      <c r="L261" s="1">
        <f t="shared" si="9"/>
        <v>24.164565848198258</v>
      </c>
      <c r="M261" s="1">
        <f t="array" ref="M261">IF(AND(A261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261&gt;=_xlfn.ANCHORARRAY(Sintesi!$C$9))+(_xlfn.ANCHORARRAY(Sintesi!$C$9)&gt;_xlfn.ANCHORARRAY(Sintesi!$C$10))*(A261&lt;=_xlfn.ANCHORARRAY(Sintesi!$C$10))+(_xlfn.ANCHORARRAY(Sintesi!$C$9)&lt;_xlfn.ANCHORARRAY(Sintesi!$C$10))*(A261&gt;=_xlfn.ANCHORARRAY(Sintesi!$C$9))*(A261&lt;=_xlfn.ANCHORARRAY(Sintesi!$C$10)),0)),0),A261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262&gt;=_xlfn.ANCHORARRAY(Sintesi!$C$9))+(_xlfn.ANCHORARRAY(Sintesi!$C$9)&gt;_xlfn.ANCHORARRAY(Sintesi!$C$10))*(A262&lt;=_xlfn.ANCHORARRAY(Sintesi!$C$10))+(_xlfn.ANCHORARRAY(Sintesi!$C$9)&lt;_xlfn.ANCHORARRAY(Sintesi!$C$10))*(A262&gt;=_xlfn.ANCHORARRAY(Sintesi!$C$9))*(A262&lt;=_xlfn.ANCHORARRAY(Sintesi!$C$10)),0)),0)),IF(L261&lt;_xlfn.IFNA(INDEX(_xlfn.ANCHORARRAY(Sintesi!$C$17),1,MATCH(1,(_xlfn.ANCHORARRAY(Sintesi!$C$9)&gt;_xlfn.ANCHORARRAY(Sintesi!$C$10))*(A260&gt;=_xlfn.ANCHORARRAY(Sintesi!$C$9))+(_xlfn.ANCHORARRAY(Sintesi!$C$9)&gt;_xlfn.ANCHORARRAY(Sintesi!$C$10))*(A260&lt;=_xlfn.ANCHORARRAY(Sintesi!$C$10))+(_xlfn.ANCHORARRAY(Sintesi!$C$9)&lt;_xlfn.ANCHORARRAY(Sintesi!$C$10))*(A260&gt;=_xlfn.ANCHORARRAY(Sintesi!$C$9))*(A260&lt;=_xlfn.ANCHORARRAY(Sintesi!$C$10)),0)),0),1,IF(L261&gt;=_xlfn.IFNA(INDEX(_xlfn.ANCHORARRAY(Sintesi!$C$18),1,MATCH(1,(_xlfn.ANCHORARRAY(Sintesi!$C$9)&gt;_xlfn.ANCHORARRAY(Sintesi!$C$10))*(A260&gt;=_xlfn.ANCHORARRAY(Sintesi!$C$9))+(_xlfn.ANCHORARRAY(Sintesi!$C$9)&gt;_xlfn.ANCHORARRAY(Sintesi!$C$10))*(A260&lt;=_xlfn.ANCHORARRAY(Sintesi!$C$10))+(_xlfn.ANCHORARRAY(Sintesi!$C$9)&lt;_xlfn.ANCHORARRAY(Sintesi!$C$10))*(A260&gt;=_xlfn.ANCHORARRAY(Sintesi!$C$9))*(A260&lt;=_xlfn.ANCHORARRAY(Sintesi!$C$10)),0)),0),0,1-(L261-_xlfn.IFNA(INDEX(_xlfn.ANCHORARRAY(Sintesi!$C$17),1,MATCH(1,(_xlfn.ANCHORARRAY(Sintesi!$C$9)&gt;_xlfn.ANCHORARRAY(Sintesi!$C$10))*(A260&gt;=_xlfn.ANCHORARRAY(Sintesi!$C$9))+(_xlfn.ANCHORARRAY(Sintesi!$C$9)&gt;_xlfn.ANCHORARRAY(Sintesi!$C$10))*(A260&lt;=_xlfn.ANCHORARRAY(Sintesi!$C$10))+(_xlfn.ANCHORARRAY(Sintesi!$C$9)&lt;_xlfn.ANCHORARRAY(Sintesi!$C$10))*(A260&gt;=_xlfn.ANCHORARRAY(Sintesi!$C$9))*(A260&lt;=_xlfn.ANCHORARRAY(Sintesi!$C$10)),0)),0))/(_xlfn.IFNA(INDEX(_xlfn.ANCHORARRAY(Sintesi!$C$18),1,MATCH(1,(_xlfn.ANCHORARRAY(Sintesi!$C$9)&gt;_xlfn.ANCHORARRAY(Sintesi!$C$10))*(A260&gt;=_xlfn.ANCHORARRAY(Sintesi!$C$9))+(_xlfn.ANCHORARRAY(Sintesi!$C$9)&gt;_xlfn.ANCHORARRAY(Sintesi!$C$10))*(A260&lt;=_xlfn.ANCHORARRAY(Sintesi!$C$10))+(_xlfn.ANCHORARRAY(Sintesi!$C$9)&lt;_xlfn.ANCHORARRAY(Sintesi!$C$10))*(A260&gt;=_xlfn.ANCHORARRAY(Sintesi!$C$9))*(A260&lt;=_xlfn.ANCHORARRAY(Sintesi!$C$10)),0)),0)-_xlfn.IFNA(INDEX(_xlfn.ANCHORARRAY(Sintesi!$C$17),1,MATCH(1,(_xlfn.ANCHORARRAY(Sintesi!$C$9)&gt;_xlfn.ANCHORARRAY(Sintesi!$C$10))*(A260&gt;=_xlfn.ANCHORARRAY(Sintesi!$C$9))+(_xlfn.ANCHORARRAY(Sintesi!$C$9)&gt;_xlfn.ANCHORARRAY(Sintesi!$C$10))*(A260&lt;=_xlfn.ANCHORARRAY(Sintesi!$C$10))+(_xlfn.ANCHORARRAY(Sintesi!$C$9)&lt;_xlfn.ANCHORARRAY(Sintesi!$C$10))*(A260&gt;=_xlfn.ANCHORARRAY(Sintesi!$C$9))*(A260&lt;=_xlfn.ANCHORARRAY(Sintesi!$C$10)),0)),0)))),0)</f>
        <v>0</v>
      </c>
    </row>
    <row r="262" spans="1:13">
      <c r="A262" s="1">
        <f>'Paste cell here'!A262</f>
        <v>261</v>
      </c>
      <c r="B262" s="2">
        <f>DATE(Sintesi!$C$4-1,12,31)+A262</f>
        <v>44457</v>
      </c>
      <c r="C262" s="34">
        <f t="array" ref="C262">_xlfn.IFNA(MATCH(1,((_xlfn.ANCHORARRAY(Sintesi!$C$9)&gt;_xlfn.ANCHORARRAY(Sintesi!$C$10))*(A262&gt;=_xlfn.ANCHORARRAY(Sintesi!$C$9))+(_xlfn.ANCHORARRAY(Sintesi!$C$9)&gt;_xlfn.ANCHORARRAY(Sintesi!$C$10))*(A262&lt;=_xlfn.ANCHORARRAY(Sintesi!$C$10))+(_xlfn.ANCHORARRAY(Sintesi!$C$9)&lt;_xlfn.ANCHORARRAY(Sintesi!$C$10))*(A262&gt;=_xlfn.ANCHORARRAY(Sintesi!$C$9))*(A262&lt;=_xlfn.ANCHORARRAY(Sintesi!$C$10)))*(_xlfn.ANCHORARRAY(Sintesi!$C$15)&gt;=0)+(_xlfn.ANCHORARRAY(Sintesi!$C$15)&lt;0),0),0)</f>
        <v>0</v>
      </c>
      <c r="D262" s="1">
        <f t="array" ref="D262">IF(ISBLANK($E263),IF(ISNUMBER($E261),IF($C262&gt;0,IF(($E262=INDEX(_xlfn.ANCHORARRAY(Sintesi!$C$14),1,$C262))*(INDEX(_xlfn.ANCHORARRAY(Sintesi!$C$15),1,$C262)&gt;0),0,IF(($E262=INDEX(_xlfn.ANCHORARRAY(Sintesi!$C$14),1,$C262))*(INDEX(_xlfn.ANCHORARRAY(Sintesi!$C$15),1,$C262)&lt;0)+($E262&gt;=$E261)*($E262&lt;=INDEX($E:$E,MATCH(TRUE,INDEX((ISNUMBER($E:$E)),0),0)))*($E262&gt;INDEX(_xlfn.ANCHORARRAY(Sintesi!$C$14),1,$C262))*($E262&lt;=INDEX(_xlfn.ANCHORARRAY(Sintesi!$C$15),1,$C262))*(INDEX(_xlfn.ANCHORARRAY(Sintesi!$C$15),1,$C262)&gt;0),1,IF(($E262&gt;=$E261)*($E262&lt;=INDEX($E:$E,MATCH(TRUE,INDEX((ISNUMBER($E:$E)),0),0)))*($E262&gt;INDEX(_xlfn.ANCHORARRAY(Sintesi!$C$14),1,$C262))*($E262&lt;INDEX(_xlfn.ANCHORARRAY(Sintesi!$C$16),1,$C262))*(INDEX(_xlfn.ANCHORARRAY(Sintesi!$C$15),1,$C262)&lt;0)+($E262&gt;=$E261)*($E262&lt;=INDEX($E:$E,MATCH(TRUE,INDEX((ISNUMBER($E:$E)),0),0)))*($E262&gt;INDEX(_xlfn.ANCHORARRAY(Sintesi!$C$15),1,$C262))*($E262&lt;INDEX(_xlfn.ANCHORARRAY(Sintesi!$C$16),1,$C262))*(INDEX(_xlfn.ANCHORARRAY(Sintesi!$C$15),1,$C262)&gt;0),2,IF($E262=(INDEX(_xlfn.ANCHORARRAY(Sintesi!$C$16),1,$C262)),3,4)))),0),IF($C262&gt;0,IF(($E262=INDEX(_xlfn.ANCHORARRAY(Sintesi!$C$14),1,$C262))*(INDEX(_xlfn.ANCHORARRAY(Sintesi!$C$15),1,$C262)&gt;0),0,IF(($E262=INDEX(_xlfn.ANCHORARRAY(Sintesi!$C$14),1,$C262))*(INDEX(_xlfn.ANCHORARRAY(Sintesi!$C$15),1,$C262)&lt;0)+($E262&gt;=LOOKUP(2,1/($E:$E&lt;&gt;""),$E:$E))*($E262&lt;=INDEX($E:$E,MATCH(TRUE,INDEX((ISNUMBER($E:$E)),0),0)))*($E262&gt;INDEX(_xlfn.ANCHORARRAY(Sintesi!$C$14),1,$C262))*($E262&lt;=INDEX(_xlfn.ANCHORARRAY(Sintesi!$C$15),1,$C262))*(INDEX(_xlfn.ANCHORARRAY(Sintesi!$C$15),1,$C262)&gt;0),1,IF(($E262&gt;=LOOKUP(2,1/($E:$E&lt;&gt;""),$E:$E))*($E262&lt;=INDEX($E:$E,MATCH(TRUE,INDEX((ISNUMBER($E:$E)),0),0)))*($E262&gt;INDEX(_xlfn.ANCHORARRAY(Sintesi!$C$14),1,$C262))*($E262&lt;INDEX(_xlfn.ANCHORARRAY(Sintesi!$C$16),1,$C262))*(INDEX(_xlfn.ANCHORARRAY(Sintesi!$C$15),1,$C262)&lt;0)+($E262&gt;=LOOKUP(2,1/($E:$E&lt;&gt;""),$E:$E))*($E262&lt;=INDEX($E:$E,MATCH(TRUE,INDEX((ISNUMBER($E:$E)),0),0)))*($E262&gt;INDEX(_xlfn.ANCHORARRAY(Sintesi!$C$15),1,$C262))*($E262&lt;INDEX(_xlfn.ANCHORARRAY(Sintesi!$C$16),1,$C262))*(INDEX(_xlfn.ANCHORARRAY(Sintesi!$C$15),1,$C262)&gt;0),2,IF($E262=(INDEX(_xlfn.ANCHORARRAY(Sintesi!$C$16),1,$C262)),3,4)))),0)),IF(ISNUMBER($E261),IF($C262&gt;0,IF(($E262=INDEX(_xlfn.ANCHORARRAY(Sintesi!$C$14),1,$C262))*(INDEX(_xlfn.ANCHORARRAY(Sintesi!$C$15),1,$C262)&gt;0),0,IF(($E262=INDEX(_xlfn.ANCHORARRAY(Sintesi!$C$14),1,$C262))*(INDEX(_xlfn.ANCHORARRAY(Sintesi!$C$15),1,$C262)&lt;0)+($E262&gt;=$E261)*($E262&lt;=$E263)*($E262&gt;INDEX(_xlfn.ANCHORARRAY(Sintesi!$C$14),1,$C262))*($E262&lt;=INDEX(_xlfn.ANCHORARRAY(Sintesi!$C$15),1,$C262))*(INDEX(_xlfn.ANCHORARRAY(Sintesi!$C$15),1,$C262)&gt;0),1,IF(($E262&gt;=$E261)*($E262&lt;=$E263)*($E262&gt;INDEX(_xlfn.ANCHORARRAY(Sintesi!$C$14),1,$C262))*($E262&lt;INDEX(_xlfn.ANCHORARRAY(Sintesi!$C$16),1,$C262))*(INDEX(_xlfn.ANCHORARRAY(Sintesi!$C$15),1,$C262)&lt;0)+($E262&gt;=$E261)*($E262&lt;=$E263)*($E262&gt;INDEX(_xlfn.ANCHORARRAY(Sintesi!$C$15),1,$C262))*($E262&lt;INDEX(_xlfn.ANCHORARRAY(Sintesi!$C$16),1,$C262))*(INDEX(_xlfn.ANCHORARRAY(Sintesi!$C$15),1,$C262)&gt;0),2,IF($E262=(INDEX(_xlfn.ANCHORARRAY(Sintesi!$C$16),1,$C262)),3,4)))),0),IF($C262&gt;0,IF(($E262=INDEX(_xlfn.ANCHORARRAY(Sintesi!$C$14),1,$C262))*(INDEX(_xlfn.ANCHORARRAY(Sintesi!$C$15),1,$C262)&gt;0),0,IF(($E262=INDEX(_xlfn.ANCHORARRAY(Sintesi!$C$14),1,$C262))*(INDEX(_xlfn.ANCHORARRAY(Sintesi!$C$15),1,$C262)&lt;0)+($E262&gt;=LOOKUP(2,1/($E:$E&lt;&gt;""),$E:$E))*($E262&lt;=$E263)*($E262&gt;INDEX(_xlfn.ANCHORARRAY(Sintesi!$C$14),1,$C262))*($E262&lt;=INDEX(_xlfn.ANCHORARRAY(Sintesi!$C$15),1,$C262))*(INDEX(_xlfn.ANCHORARRAY(Sintesi!$C$15),1,$C262)&gt;0),1,IF(($E262&gt;=LOOKUP(2,1/($E:$E&lt;&gt;""),$E:$E))*($E262&lt;=$E263)*($E262&gt;INDEX(_xlfn.ANCHORARRAY(Sintesi!$C$14),1,$C262))*($E262&lt;INDEX(_xlfn.ANCHORARRAY(Sintesi!$C$16),1,$C262))*(INDEX(_xlfn.ANCHORARRAY(Sintesi!$C$15),1,$C262)&lt;0)+($E262&gt;=LOOKUP(2,1/($E:$E&lt;&gt;""),$E:$E))*($E262&lt;=$E263)*($E262&gt;INDEX(_xlfn.ANCHORARRAY(Sintesi!$C$15),1,$C262))*($E262&lt;INDEX(_xlfn.ANCHORARRAY(Sintesi!$C$16),1,$C262))*(INDEX(_xlfn.ANCHORARRAY(Sintesi!$C$15),1,$C262)&gt;0),2,IF($E262=(INDEX(_xlfn.ANCHORARRAY(Sintesi!$C$16),1,$C262)),3,4)))),0)))</f>
        <v>0</v>
      </c>
      <c r="E262" s="1">
        <f>'Paste cell here'!F262</f>
        <v>0</v>
      </c>
      <c r="F262" s="1">
        <f>'Paste cell here'!C262</f>
        <v>27.219999999999608</v>
      </c>
      <c r="G262" s="1">
        <f>'Paste cell here'!D262</f>
        <v>19.239999999999732</v>
      </c>
      <c r="H262" s="1">
        <f>'Paste cell here'!E262</f>
        <v>2.8498860025444861</v>
      </c>
      <c r="I262" s="1">
        <f>'Paste cell here'!X262</f>
        <v>0</v>
      </c>
      <c r="J262" s="1">
        <f>'Paste cell here'!Y262+'Paste cell here'!S262</f>
        <v>0</v>
      </c>
      <c r="K262" s="1">
        <f t="shared" si="8"/>
        <v>0</v>
      </c>
      <c r="L262" s="1">
        <f t="shared" si="9"/>
        <v>24.233241901081609</v>
      </c>
      <c r="M262" s="1">
        <f t="array" ref="M262">IF(AND(A262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262&gt;=_xlfn.ANCHORARRAY(Sintesi!$C$9))+(_xlfn.ANCHORARRAY(Sintesi!$C$9)&gt;_xlfn.ANCHORARRAY(Sintesi!$C$10))*(A262&lt;=_xlfn.ANCHORARRAY(Sintesi!$C$10))+(_xlfn.ANCHORARRAY(Sintesi!$C$9)&lt;_xlfn.ANCHORARRAY(Sintesi!$C$10))*(A262&gt;=_xlfn.ANCHORARRAY(Sintesi!$C$9))*(A262&lt;=_xlfn.ANCHORARRAY(Sintesi!$C$10)),0)),0),A262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263&gt;=_xlfn.ANCHORARRAY(Sintesi!$C$9))+(_xlfn.ANCHORARRAY(Sintesi!$C$9)&gt;_xlfn.ANCHORARRAY(Sintesi!$C$10))*(A263&lt;=_xlfn.ANCHORARRAY(Sintesi!$C$10))+(_xlfn.ANCHORARRAY(Sintesi!$C$9)&lt;_xlfn.ANCHORARRAY(Sintesi!$C$10))*(A263&gt;=_xlfn.ANCHORARRAY(Sintesi!$C$9))*(A263&lt;=_xlfn.ANCHORARRAY(Sintesi!$C$10)),0)),0)),IF(L262&lt;_xlfn.IFNA(INDEX(_xlfn.ANCHORARRAY(Sintesi!$C$17),1,MATCH(1,(_xlfn.ANCHORARRAY(Sintesi!$C$9)&gt;_xlfn.ANCHORARRAY(Sintesi!$C$10))*(A261&gt;=_xlfn.ANCHORARRAY(Sintesi!$C$9))+(_xlfn.ANCHORARRAY(Sintesi!$C$9)&gt;_xlfn.ANCHORARRAY(Sintesi!$C$10))*(A261&lt;=_xlfn.ANCHORARRAY(Sintesi!$C$10))+(_xlfn.ANCHORARRAY(Sintesi!$C$9)&lt;_xlfn.ANCHORARRAY(Sintesi!$C$10))*(A261&gt;=_xlfn.ANCHORARRAY(Sintesi!$C$9))*(A261&lt;=_xlfn.ANCHORARRAY(Sintesi!$C$10)),0)),0),1,IF(L262&gt;=_xlfn.IFNA(INDEX(_xlfn.ANCHORARRAY(Sintesi!$C$18),1,MATCH(1,(_xlfn.ANCHORARRAY(Sintesi!$C$9)&gt;_xlfn.ANCHORARRAY(Sintesi!$C$10))*(A261&gt;=_xlfn.ANCHORARRAY(Sintesi!$C$9))+(_xlfn.ANCHORARRAY(Sintesi!$C$9)&gt;_xlfn.ANCHORARRAY(Sintesi!$C$10))*(A261&lt;=_xlfn.ANCHORARRAY(Sintesi!$C$10))+(_xlfn.ANCHORARRAY(Sintesi!$C$9)&lt;_xlfn.ANCHORARRAY(Sintesi!$C$10))*(A261&gt;=_xlfn.ANCHORARRAY(Sintesi!$C$9))*(A261&lt;=_xlfn.ANCHORARRAY(Sintesi!$C$10)),0)),0),0,1-(L262-_xlfn.IFNA(INDEX(_xlfn.ANCHORARRAY(Sintesi!$C$17),1,MATCH(1,(_xlfn.ANCHORARRAY(Sintesi!$C$9)&gt;_xlfn.ANCHORARRAY(Sintesi!$C$10))*(A261&gt;=_xlfn.ANCHORARRAY(Sintesi!$C$9))+(_xlfn.ANCHORARRAY(Sintesi!$C$9)&gt;_xlfn.ANCHORARRAY(Sintesi!$C$10))*(A261&lt;=_xlfn.ANCHORARRAY(Sintesi!$C$10))+(_xlfn.ANCHORARRAY(Sintesi!$C$9)&lt;_xlfn.ANCHORARRAY(Sintesi!$C$10))*(A261&gt;=_xlfn.ANCHORARRAY(Sintesi!$C$9))*(A261&lt;=_xlfn.ANCHORARRAY(Sintesi!$C$10)),0)),0))/(_xlfn.IFNA(INDEX(_xlfn.ANCHORARRAY(Sintesi!$C$18),1,MATCH(1,(_xlfn.ANCHORARRAY(Sintesi!$C$9)&gt;_xlfn.ANCHORARRAY(Sintesi!$C$10))*(A261&gt;=_xlfn.ANCHORARRAY(Sintesi!$C$9))+(_xlfn.ANCHORARRAY(Sintesi!$C$9)&gt;_xlfn.ANCHORARRAY(Sintesi!$C$10))*(A261&lt;=_xlfn.ANCHORARRAY(Sintesi!$C$10))+(_xlfn.ANCHORARRAY(Sintesi!$C$9)&lt;_xlfn.ANCHORARRAY(Sintesi!$C$10))*(A261&gt;=_xlfn.ANCHORARRAY(Sintesi!$C$9))*(A261&lt;=_xlfn.ANCHORARRAY(Sintesi!$C$10)),0)),0)-_xlfn.IFNA(INDEX(_xlfn.ANCHORARRAY(Sintesi!$C$17),1,MATCH(1,(_xlfn.ANCHORARRAY(Sintesi!$C$9)&gt;_xlfn.ANCHORARRAY(Sintesi!$C$10))*(A261&gt;=_xlfn.ANCHORARRAY(Sintesi!$C$9))+(_xlfn.ANCHORARRAY(Sintesi!$C$9)&gt;_xlfn.ANCHORARRAY(Sintesi!$C$10))*(A261&lt;=_xlfn.ANCHORARRAY(Sintesi!$C$10))+(_xlfn.ANCHORARRAY(Sintesi!$C$9)&lt;_xlfn.ANCHORARRAY(Sintesi!$C$10))*(A261&gt;=_xlfn.ANCHORARRAY(Sintesi!$C$9))*(A261&lt;=_xlfn.ANCHORARRAY(Sintesi!$C$10)),0)),0)))),0)</f>
        <v>0</v>
      </c>
    </row>
    <row r="263" spans="1:13">
      <c r="A263" s="1">
        <f>'Paste cell here'!A263</f>
        <v>262</v>
      </c>
      <c r="B263" s="2">
        <f>DATE(Sintesi!$C$4-1,12,31)+A263</f>
        <v>44458</v>
      </c>
      <c r="C263" s="34">
        <f t="array" ref="C263">_xlfn.IFNA(MATCH(1,((_xlfn.ANCHORARRAY(Sintesi!$C$9)&gt;_xlfn.ANCHORARRAY(Sintesi!$C$10))*(A263&gt;=_xlfn.ANCHORARRAY(Sintesi!$C$9))+(_xlfn.ANCHORARRAY(Sintesi!$C$9)&gt;_xlfn.ANCHORARRAY(Sintesi!$C$10))*(A263&lt;=_xlfn.ANCHORARRAY(Sintesi!$C$10))+(_xlfn.ANCHORARRAY(Sintesi!$C$9)&lt;_xlfn.ANCHORARRAY(Sintesi!$C$10))*(A263&gt;=_xlfn.ANCHORARRAY(Sintesi!$C$9))*(A263&lt;=_xlfn.ANCHORARRAY(Sintesi!$C$10)))*(_xlfn.ANCHORARRAY(Sintesi!$C$15)&gt;=0)+(_xlfn.ANCHORARRAY(Sintesi!$C$15)&lt;0),0),0)</f>
        <v>0</v>
      </c>
      <c r="D263" s="1">
        <f t="array" ref="D263">IF(ISBLANK($E264),IF(ISNUMBER($E262),IF($C263&gt;0,IF(($E263=INDEX(_xlfn.ANCHORARRAY(Sintesi!$C$14),1,$C263))*(INDEX(_xlfn.ANCHORARRAY(Sintesi!$C$15),1,$C263)&gt;0),0,IF(($E263=INDEX(_xlfn.ANCHORARRAY(Sintesi!$C$14),1,$C263))*(INDEX(_xlfn.ANCHORARRAY(Sintesi!$C$15),1,$C263)&lt;0)+($E263&gt;=$E262)*($E263&lt;=INDEX($E:$E,MATCH(TRUE,INDEX((ISNUMBER($E:$E)),0),0)))*($E263&gt;INDEX(_xlfn.ANCHORARRAY(Sintesi!$C$14),1,$C263))*($E263&lt;=INDEX(_xlfn.ANCHORARRAY(Sintesi!$C$15),1,$C263))*(INDEX(_xlfn.ANCHORARRAY(Sintesi!$C$15),1,$C263)&gt;0),1,IF(($E263&gt;=$E262)*($E263&lt;=INDEX($E:$E,MATCH(TRUE,INDEX((ISNUMBER($E:$E)),0),0)))*($E263&gt;INDEX(_xlfn.ANCHORARRAY(Sintesi!$C$14),1,$C263))*($E263&lt;INDEX(_xlfn.ANCHORARRAY(Sintesi!$C$16),1,$C263))*(INDEX(_xlfn.ANCHORARRAY(Sintesi!$C$15),1,$C263)&lt;0)+($E263&gt;=$E262)*($E263&lt;=INDEX($E:$E,MATCH(TRUE,INDEX((ISNUMBER($E:$E)),0),0)))*($E263&gt;INDEX(_xlfn.ANCHORARRAY(Sintesi!$C$15),1,$C263))*($E263&lt;INDEX(_xlfn.ANCHORARRAY(Sintesi!$C$16),1,$C263))*(INDEX(_xlfn.ANCHORARRAY(Sintesi!$C$15),1,$C263)&gt;0),2,IF($E263=(INDEX(_xlfn.ANCHORARRAY(Sintesi!$C$16),1,$C263)),3,4)))),0),IF($C263&gt;0,IF(($E263=INDEX(_xlfn.ANCHORARRAY(Sintesi!$C$14),1,$C263))*(INDEX(_xlfn.ANCHORARRAY(Sintesi!$C$15),1,$C263)&gt;0),0,IF(($E263=INDEX(_xlfn.ANCHORARRAY(Sintesi!$C$14),1,$C263))*(INDEX(_xlfn.ANCHORARRAY(Sintesi!$C$15),1,$C263)&lt;0)+($E263&gt;=LOOKUP(2,1/($E:$E&lt;&gt;""),$E:$E))*($E263&lt;=INDEX($E:$E,MATCH(TRUE,INDEX((ISNUMBER($E:$E)),0),0)))*($E263&gt;INDEX(_xlfn.ANCHORARRAY(Sintesi!$C$14),1,$C263))*($E263&lt;=INDEX(_xlfn.ANCHORARRAY(Sintesi!$C$15),1,$C263))*(INDEX(_xlfn.ANCHORARRAY(Sintesi!$C$15),1,$C263)&gt;0),1,IF(($E263&gt;=LOOKUP(2,1/($E:$E&lt;&gt;""),$E:$E))*($E263&lt;=INDEX($E:$E,MATCH(TRUE,INDEX((ISNUMBER($E:$E)),0),0)))*($E263&gt;INDEX(_xlfn.ANCHORARRAY(Sintesi!$C$14),1,$C263))*($E263&lt;INDEX(_xlfn.ANCHORARRAY(Sintesi!$C$16),1,$C263))*(INDEX(_xlfn.ANCHORARRAY(Sintesi!$C$15),1,$C263)&lt;0)+($E263&gt;=LOOKUP(2,1/($E:$E&lt;&gt;""),$E:$E))*($E263&lt;=INDEX($E:$E,MATCH(TRUE,INDEX((ISNUMBER($E:$E)),0),0)))*($E263&gt;INDEX(_xlfn.ANCHORARRAY(Sintesi!$C$15),1,$C263))*($E263&lt;INDEX(_xlfn.ANCHORARRAY(Sintesi!$C$16),1,$C263))*(INDEX(_xlfn.ANCHORARRAY(Sintesi!$C$15),1,$C263)&gt;0),2,IF($E263=(INDEX(_xlfn.ANCHORARRAY(Sintesi!$C$16),1,$C263)),3,4)))),0)),IF(ISNUMBER($E262),IF($C263&gt;0,IF(($E263=INDEX(_xlfn.ANCHORARRAY(Sintesi!$C$14),1,$C263))*(INDEX(_xlfn.ANCHORARRAY(Sintesi!$C$15),1,$C263)&gt;0),0,IF(($E263=INDEX(_xlfn.ANCHORARRAY(Sintesi!$C$14),1,$C263))*(INDEX(_xlfn.ANCHORARRAY(Sintesi!$C$15),1,$C263)&lt;0)+($E263&gt;=$E262)*($E263&lt;=$E264)*($E263&gt;INDEX(_xlfn.ANCHORARRAY(Sintesi!$C$14),1,$C263))*($E263&lt;=INDEX(_xlfn.ANCHORARRAY(Sintesi!$C$15),1,$C263))*(INDEX(_xlfn.ANCHORARRAY(Sintesi!$C$15),1,$C263)&gt;0),1,IF(($E263&gt;=$E262)*($E263&lt;=$E264)*($E263&gt;INDEX(_xlfn.ANCHORARRAY(Sintesi!$C$14),1,$C263))*($E263&lt;INDEX(_xlfn.ANCHORARRAY(Sintesi!$C$16),1,$C263))*(INDEX(_xlfn.ANCHORARRAY(Sintesi!$C$15),1,$C263)&lt;0)+($E263&gt;=$E262)*($E263&lt;=$E264)*($E263&gt;INDEX(_xlfn.ANCHORARRAY(Sintesi!$C$15),1,$C263))*($E263&lt;INDEX(_xlfn.ANCHORARRAY(Sintesi!$C$16),1,$C263))*(INDEX(_xlfn.ANCHORARRAY(Sintesi!$C$15),1,$C263)&gt;0),2,IF($E263=(INDEX(_xlfn.ANCHORARRAY(Sintesi!$C$16),1,$C263)),3,4)))),0),IF($C263&gt;0,IF(($E263=INDEX(_xlfn.ANCHORARRAY(Sintesi!$C$14),1,$C263))*(INDEX(_xlfn.ANCHORARRAY(Sintesi!$C$15),1,$C263)&gt;0),0,IF(($E263=INDEX(_xlfn.ANCHORARRAY(Sintesi!$C$14),1,$C263))*(INDEX(_xlfn.ANCHORARRAY(Sintesi!$C$15),1,$C263)&lt;0)+($E263&gt;=LOOKUP(2,1/($E:$E&lt;&gt;""),$E:$E))*($E263&lt;=$E264)*($E263&gt;INDEX(_xlfn.ANCHORARRAY(Sintesi!$C$14),1,$C263))*($E263&lt;=INDEX(_xlfn.ANCHORARRAY(Sintesi!$C$15),1,$C263))*(INDEX(_xlfn.ANCHORARRAY(Sintesi!$C$15),1,$C263)&gt;0),1,IF(($E263&gt;=LOOKUP(2,1/($E:$E&lt;&gt;""),$E:$E))*($E263&lt;=$E264)*($E263&gt;INDEX(_xlfn.ANCHORARRAY(Sintesi!$C$14),1,$C263))*($E263&lt;INDEX(_xlfn.ANCHORARRAY(Sintesi!$C$16),1,$C263))*(INDEX(_xlfn.ANCHORARRAY(Sintesi!$C$15),1,$C263)&lt;0)+($E263&gt;=LOOKUP(2,1/($E:$E&lt;&gt;""),$E:$E))*($E263&lt;=$E264)*($E263&gt;INDEX(_xlfn.ANCHORARRAY(Sintesi!$C$15),1,$C263))*($E263&lt;INDEX(_xlfn.ANCHORARRAY(Sintesi!$C$16),1,$C263))*(INDEX(_xlfn.ANCHORARRAY(Sintesi!$C$15),1,$C263)&gt;0),2,IF($E263=(INDEX(_xlfn.ANCHORARRAY(Sintesi!$C$16),1,$C263)),3,4)))),0)))</f>
        <v>0</v>
      </c>
      <c r="E263" s="1">
        <f>'Paste cell here'!F263</f>
        <v>0</v>
      </c>
      <c r="F263" s="1">
        <f>'Paste cell here'!C263</f>
        <v>22.839999999999669</v>
      </c>
      <c r="G263" s="1">
        <f>'Paste cell here'!D263</f>
        <v>14.459999999999802</v>
      </c>
      <c r="H263" s="1">
        <f>'Paste cell here'!E263</f>
        <v>2.4139505273802579</v>
      </c>
      <c r="I263" s="1">
        <f>'Paste cell here'!X263</f>
        <v>0</v>
      </c>
      <c r="J263" s="1">
        <f>'Paste cell here'!Y263+'Paste cell here'!S263</f>
        <v>0</v>
      </c>
      <c r="K263" s="1">
        <f t="shared" si="8"/>
        <v>0</v>
      </c>
      <c r="L263" s="1">
        <f t="shared" si="9"/>
        <v>19.70352971567225</v>
      </c>
      <c r="M263" s="1">
        <f t="array" ref="M263">IF(AND(A263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263&gt;=_xlfn.ANCHORARRAY(Sintesi!$C$9))+(_xlfn.ANCHORARRAY(Sintesi!$C$9)&gt;_xlfn.ANCHORARRAY(Sintesi!$C$10))*(A263&lt;=_xlfn.ANCHORARRAY(Sintesi!$C$10))+(_xlfn.ANCHORARRAY(Sintesi!$C$9)&lt;_xlfn.ANCHORARRAY(Sintesi!$C$10))*(A263&gt;=_xlfn.ANCHORARRAY(Sintesi!$C$9))*(A263&lt;=_xlfn.ANCHORARRAY(Sintesi!$C$10)),0)),0),A263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264&gt;=_xlfn.ANCHORARRAY(Sintesi!$C$9))+(_xlfn.ANCHORARRAY(Sintesi!$C$9)&gt;_xlfn.ANCHORARRAY(Sintesi!$C$10))*(A264&lt;=_xlfn.ANCHORARRAY(Sintesi!$C$10))+(_xlfn.ANCHORARRAY(Sintesi!$C$9)&lt;_xlfn.ANCHORARRAY(Sintesi!$C$10))*(A264&gt;=_xlfn.ANCHORARRAY(Sintesi!$C$9))*(A264&lt;=_xlfn.ANCHORARRAY(Sintesi!$C$10)),0)),0)),IF(L263&lt;_xlfn.IFNA(INDEX(_xlfn.ANCHORARRAY(Sintesi!$C$17),1,MATCH(1,(_xlfn.ANCHORARRAY(Sintesi!$C$9)&gt;_xlfn.ANCHORARRAY(Sintesi!$C$10))*(A262&gt;=_xlfn.ANCHORARRAY(Sintesi!$C$9))+(_xlfn.ANCHORARRAY(Sintesi!$C$9)&gt;_xlfn.ANCHORARRAY(Sintesi!$C$10))*(A262&lt;=_xlfn.ANCHORARRAY(Sintesi!$C$10))+(_xlfn.ANCHORARRAY(Sintesi!$C$9)&lt;_xlfn.ANCHORARRAY(Sintesi!$C$10))*(A262&gt;=_xlfn.ANCHORARRAY(Sintesi!$C$9))*(A262&lt;=_xlfn.ANCHORARRAY(Sintesi!$C$10)),0)),0),1,IF(L263&gt;=_xlfn.IFNA(INDEX(_xlfn.ANCHORARRAY(Sintesi!$C$18),1,MATCH(1,(_xlfn.ANCHORARRAY(Sintesi!$C$9)&gt;_xlfn.ANCHORARRAY(Sintesi!$C$10))*(A262&gt;=_xlfn.ANCHORARRAY(Sintesi!$C$9))+(_xlfn.ANCHORARRAY(Sintesi!$C$9)&gt;_xlfn.ANCHORARRAY(Sintesi!$C$10))*(A262&lt;=_xlfn.ANCHORARRAY(Sintesi!$C$10))+(_xlfn.ANCHORARRAY(Sintesi!$C$9)&lt;_xlfn.ANCHORARRAY(Sintesi!$C$10))*(A262&gt;=_xlfn.ANCHORARRAY(Sintesi!$C$9))*(A262&lt;=_xlfn.ANCHORARRAY(Sintesi!$C$10)),0)),0),0,1-(L263-_xlfn.IFNA(INDEX(_xlfn.ANCHORARRAY(Sintesi!$C$17),1,MATCH(1,(_xlfn.ANCHORARRAY(Sintesi!$C$9)&gt;_xlfn.ANCHORARRAY(Sintesi!$C$10))*(A262&gt;=_xlfn.ANCHORARRAY(Sintesi!$C$9))+(_xlfn.ANCHORARRAY(Sintesi!$C$9)&gt;_xlfn.ANCHORARRAY(Sintesi!$C$10))*(A262&lt;=_xlfn.ANCHORARRAY(Sintesi!$C$10))+(_xlfn.ANCHORARRAY(Sintesi!$C$9)&lt;_xlfn.ANCHORARRAY(Sintesi!$C$10))*(A262&gt;=_xlfn.ANCHORARRAY(Sintesi!$C$9))*(A262&lt;=_xlfn.ANCHORARRAY(Sintesi!$C$10)),0)),0))/(_xlfn.IFNA(INDEX(_xlfn.ANCHORARRAY(Sintesi!$C$18),1,MATCH(1,(_xlfn.ANCHORARRAY(Sintesi!$C$9)&gt;_xlfn.ANCHORARRAY(Sintesi!$C$10))*(A262&gt;=_xlfn.ANCHORARRAY(Sintesi!$C$9))+(_xlfn.ANCHORARRAY(Sintesi!$C$9)&gt;_xlfn.ANCHORARRAY(Sintesi!$C$10))*(A262&lt;=_xlfn.ANCHORARRAY(Sintesi!$C$10))+(_xlfn.ANCHORARRAY(Sintesi!$C$9)&lt;_xlfn.ANCHORARRAY(Sintesi!$C$10))*(A262&gt;=_xlfn.ANCHORARRAY(Sintesi!$C$9))*(A262&lt;=_xlfn.ANCHORARRAY(Sintesi!$C$10)),0)),0)-_xlfn.IFNA(INDEX(_xlfn.ANCHORARRAY(Sintesi!$C$17),1,MATCH(1,(_xlfn.ANCHORARRAY(Sintesi!$C$9)&gt;_xlfn.ANCHORARRAY(Sintesi!$C$10))*(A262&gt;=_xlfn.ANCHORARRAY(Sintesi!$C$9))+(_xlfn.ANCHORARRAY(Sintesi!$C$9)&gt;_xlfn.ANCHORARRAY(Sintesi!$C$10))*(A262&lt;=_xlfn.ANCHORARRAY(Sintesi!$C$10))+(_xlfn.ANCHORARRAY(Sintesi!$C$9)&lt;_xlfn.ANCHORARRAY(Sintesi!$C$10))*(A262&gt;=_xlfn.ANCHORARRAY(Sintesi!$C$9))*(A262&lt;=_xlfn.ANCHORARRAY(Sintesi!$C$10)),0)),0)))),0)</f>
        <v>0</v>
      </c>
    </row>
    <row r="264" spans="1:13">
      <c r="A264" s="1">
        <f>'Paste cell here'!A264</f>
        <v>263</v>
      </c>
      <c r="B264" s="2">
        <f>DATE(Sintesi!$C$4-1,12,31)+A264</f>
        <v>44459</v>
      </c>
      <c r="C264" s="34">
        <f t="array" ref="C264">_xlfn.IFNA(MATCH(1,((_xlfn.ANCHORARRAY(Sintesi!$C$9)&gt;_xlfn.ANCHORARRAY(Sintesi!$C$10))*(A264&gt;=_xlfn.ANCHORARRAY(Sintesi!$C$9))+(_xlfn.ANCHORARRAY(Sintesi!$C$9)&gt;_xlfn.ANCHORARRAY(Sintesi!$C$10))*(A264&lt;=_xlfn.ANCHORARRAY(Sintesi!$C$10))+(_xlfn.ANCHORARRAY(Sintesi!$C$9)&lt;_xlfn.ANCHORARRAY(Sintesi!$C$10))*(A264&gt;=_xlfn.ANCHORARRAY(Sintesi!$C$9))*(A264&lt;=_xlfn.ANCHORARRAY(Sintesi!$C$10)))*(_xlfn.ANCHORARRAY(Sintesi!$C$15)&gt;=0)+(_xlfn.ANCHORARRAY(Sintesi!$C$15)&lt;0),0),0)</f>
        <v>0</v>
      </c>
      <c r="D264" s="1">
        <f t="array" ref="D264">IF(ISBLANK($E265),IF(ISNUMBER($E263),IF($C264&gt;0,IF(($E264=INDEX(_xlfn.ANCHORARRAY(Sintesi!$C$14),1,$C264))*(INDEX(_xlfn.ANCHORARRAY(Sintesi!$C$15),1,$C264)&gt;0),0,IF(($E264=INDEX(_xlfn.ANCHORARRAY(Sintesi!$C$14),1,$C264))*(INDEX(_xlfn.ANCHORARRAY(Sintesi!$C$15),1,$C264)&lt;0)+($E264&gt;=$E263)*($E264&lt;=INDEX($E:$E,MATCH(TRUE,INDEX((ISNUMBER($E:$E)),0),0)))*($E264&gt;INDEX(_xlfn.ANCHORARRAY(Sintesi!$C$14),1,$C264))*($E264&lt;=INDEX(_xlfn.ANCHORARRAY(Sintesi!$C$15),1,$C264))*(INDEX(_xlfn.ANCHORARRAY(Sintesi!$C$15),1,$C264)&gt;0),1,IF(($E264&gt;=$E263)*($E264&lt;=INDEX($E:$E,MATCH(TRUE,INDEX((ISNUMBER($E:$E)),0),0)))*($E264&gt;INDEX(_xlfn.ANCHORARRAY(Sintesi!$C$14),1,$C264))*($E264&lt;INDEX(_xlfn.ANCHORARRAY(Sintesi!$C$16),1,$C264))*(INDEX(_xlfn.ANCHORARRAY(Sintesi!$C$15),1,$C264)&lt;0)+($E264&gt;=$E263)*($E264&lt;=INDEX($E:$E,MATCH(TRUE,INDEX((ISNUMBER($E:$E)),0),0)))*($E264&gt;INDEX(_xlfn.ANCHORARRAY(Sintesi!$C$15),1,$C264))*($E264&lt;INDEX(_xlfn.ANCHORARRAY(Sintesi!$C$16),1,$C264))*(INDEX(_xlfn.ANCHORARRAY(Sintesi!$C$15),1,$C264)&gt;0),2,IF($E264=(INDEX(_xlfn.ANCHORARRAY(Sintesi!$C$16),1,$C264)),3,4)))),0),IF($C264&gt;0,IF(($E264=INDEX(_xlfn.ANCHORARRAY(Sintesi!$C$14),1,$C264))*(INDEX(_xlfn.ANCHORARRAY(Sintesi!$C$15),1,$C264)&gt;0),0,IF(($E264=INDEX(_xlfn.ANCHORARRAY(Sintesi!$C$14),1,$C264))*(INDEX(_xlfn.ANCHORARRAY(Sintesi!$C$15),1,$C264)&lt;0)+($E264&gt;=LOOKUP(2,1/($E:$E&lt;&gt;""),$E:$E))*($E264&lt;=INDEX($E:$E,MATCH(TRUE,INDEX((ISNUMBER($E:$E)),0),0)))*($E264&gt;INDEX(_xlfn.ANCHORARRAY(Sintesi!$C$14),1,$C264))*($E264&lt;=INDEX(_xlfn.ANCHORARRAY(Sintesi!$C$15),1,$C264))*(INDEX(_xlfn.ANCHORARRAY(Sintesi!$C$15),1,$C264)&gt;0),1,IF(($E264&gt;=LOOKUP(2,1/($E:$E&lt;&gt;""),$E:$E))*($E264&lt;=INDEX($E:$E,MATCH(TRUE,INDEX((ISNUMBER($E:$E)),0),0)))*($E264&gt;INDEX(_xlfn.ANCHORARRAY(Sintesi!$C$14),1,$C264))*($E264&lt;INDEX(_xlfn.ANCHORARRAY(Sintesi!$C$16),1,$C264))*(INDEX(_xlfn.ANCHORARRAY(Sintesi!$C$15),1,$C264)&lt;0)+($E264&gt;=LOOKUP(2,1/($E:$E&lt;&gt;""),$E:$E))*($E264&lt;=INDEX($E:$E,MATCH(TRUE,INDEX((ISNUMBER($E:$E)),0),0)))*($E264&gt;INDEX(_xlfn.ANCHORARRAY(Sintesi!$C$15),1,$C264))*($E264&lt;INDEX(_xlfn.ANCHORARRAY(Sintesi!$C$16),1,$C264))*(INDEX(_xlfn.ANCHORARRAY(Sintesi!$C$15),1,$C264)&gt;0),2,IF($E264=(INDEX(_xlfn.ANCHORARRAY(Sintesi!$C$16),1,$C264)),3,4)))),0)),IF(ISNUMBER($E263),IF($C264&gt;0,IF(($E264=INDEX(_xlfn.ANCHORARRAY(Sintesi!$C$14),1,$C264))*(INDEX(_xlfn.ANCHORARRAY(Sintesi!$C$15),1,$C264)&gt;0),0,IF(($E264=INDEX(_xlfn.ANCHORARRAY(Sintesi!$C$14),1,$C264))*(INDEX(_xlfn.ANCHORARRAY(Sintesi!$C$15),1,$C264)&lt;0)+($E264&gt;=$E263)*($E264&lt;=$E265)*($E264&gt;INDEX(_xlfn.ANCHORARRAY(Sintesi!$C$14),1,$C264))*($E264&lt;=INDEX(_xlfn.ANCHORARRAY(Sintesi!$C$15),1,$C264))*(INDEX(_xlfn.ANCHORARRAY(Sintesi!$C$15),1,$C264)&gt;0),1,IF(($E264&gt;=$E263)*($E264&lt;=$E265)*($E264&gt;INDEX(_xlfn.ANCHORARRAY(Sintesi!$C$14),1,$C264))*($E264&lt;INDEX(_xlfn.ANCHORARRAY(Sintesi!$C$16),1,$C264))*(INDEX(_xlfn.ANCHORARRAY(Sintesi!$C$15),1,$C264)&lt;0)+($E264&gt;=$E263)*($E264&lt;=$E265)*($E264&gt;INDEX(_xlfn.ANCHORARRAY(Sintesi!$C$15),1,$C264))*($E264&lt;INDEX(_xlfn.ANCHORARRAY(Sintesi!$C$16),1,$C264))*(INDEX(_xlfn.ANCHORARRAY(Sintesi!$C$15),1,$C264)&gt;0),2,IF($E264=(INDEX(_xlfn.ANCHORARRAY(Sintesi!$C$16),1,$C264)),3,4)))),0),IF($C264&gt;0,IF(($E264=INDEX(_xlfn.ANCHORARRAY(Sintesi!$C$14),1,$C264))*(INDEX(_xlfn.ANCHORARRAY(Sintesi!$C$15),1,$C264)&gt;0),0,IF(($E264=INDEX(_xlfn.ANCHORARRAY(Sintesi!$C$14),1,$C264))*(INDEX(_xlfn.ANCHORARRAY(Sintesi!$C$15),1,$C264)&lt;0)+($E264&gt;=LOOKUP(2,1/($E:$E&lt;&gt;""),$E:$E))*($E264&lt;=$E265)*($E264&gt;INDEX(_xlfn.ANCHORARRAY(Sintesi!$C$14),1,$C264))*($E264&lt;=INDEX(_xlfn.ANCHORARRAY(Sintesi!$C$15),1,$C264))*(INDEX(_xlfn.ANCHORARRAY(Sintesi!$C$15),1,$C264)&gt;0),1,IF(($E264&gt;=LOOKUP(2,1/($E:$E&lt;&gt;""),$E:$E))*($E264&lt;=$E265)*($E264&gt;INDEX(_xlfn.ANCHORARRAY(Sintesi!$C$14),1,$C264))*($E264&lt;INDEX(_xlfn.ANCHORARRAY(Sintesi!$C$16),1,$C264))*(INDEX(_xlfn.ANCHORARRAY(Sintesi!$C$15),1,$C264)&lt;0)+($E264&gt;=LOOKUP(2,1/($E:$E&lt;&gt;""),$E:$E))*($E264&lt;=$E265)*($E264&gt;INDEX(_xlfn.ANCHORARRAY(Sintesi!$C$15),1,$C264))*($E264&lt;INDEX(_xlfn.ANCHORARRAY(Sintesi!$C$16),1,$C264))*(INDEX(_xlfn.ANCHORARRAY(Sintesi!$C$15),1,$C264)&gt;0),2,IF($E264=(INDEX(_xlfn.ANCHORARRAY(Sintesi!$C$16),1,$C264)),3,4)))),0)))</f>
        <v>0</v>
      </c>
      <c r="E264" s="1">
        <f>'Paste cell here'!F264</f>
        <v>0</v>
      </c>
      <c r="F264" s="1">
        <f>'Paste cell here'!C264</f>
        <v>24.199999999999655</v>
      </c>
      <c r="G264" s="1">
        <f>'Paste cell here'!D264</f>
        <v>11.579999999999838</v>
      </c>
      <c r="H264" s="1">
        <f>'Paste cell here'!E264</f>
        <v>2.6239799749897634</v>
      </c>
      <c r="I264" s="1">
        <f>'Paste cell here'!X264</f>
        <v>0</v>
      </c>
      <c r="J264" s="1">
        <f>'Paste cell here'!Y264+'Paste cell here'!S264</f>
        <v>0</v>
      </c>
      <c r="K264" s="1">
        <f t="shared" si="8"/>
        <v>0</v>
      </c>
      <c r="L264" s="1">
        <f t="shared" si="9"/>
        <v>19.47658055033234</v>
      </c>
      <c r="M264" s="1">
        <f t="array" ref="M264">IF(AND(A264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264&gt;=_xlfn.ANCHORARRAY(Sintesi!$C$9))+(_xlfn.ANCHORARRAY(Sintesi!$C$9)&gt;_xlfn.ANCHORARRAY(Sintesi!$C$10))*(A264&lt;=_xlfn.ANCHORARRAY(Sintesi!$C$10))+(_xlfn.ANCHORARRAY(Sintesi!$C$9)&lt;_xlfn.ANCHORARRAY(Sintesi!$C$10))*(A264&gt;=_xlfn.ANCHORARRAY(Sintesi!$C$9))*(A264&lt;=_xlfn.ANCHORARRAY(Sintesi!$C$10)),0)),0),A264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265&gt;=_xlfn.ANCHORARRAY(Sintesi!$C$9))+(_xlfn.ANCHORARRAY(Sintesi!$C$9)&gt;_xlfn.ANCHORARRAY(Sintesi!$C$10))*(A265&lt;=_xlfn.ANCHORARRAY(Sintesi!$C$10))+(_xlfn.ANCHORARRAY(Sintesi!$C$9)&lt;_xlfn.ANCHORARRAY(Sintesi!$C$10))*(A265&gt;=_xlfn.ANCHORARRAY(Sintesi!$C$9))*(A265&lt;=_xlfn.ANCHORARRAY(Sintesi!$C$10)),0)),0)),IF(L264&lt;_xlfn.IFNA(INDEX(_xlfn.ANCHORARRAY(Sintesi!$C$17),1,MATCH(1,(_xlfn.ANCHORARRAY(Sintesi!$C$9)&gt;_xlfn.ANCHORARRAY(Sintesi!$C$10))*(A263&gt;=_xlfn.ANCHORARRAY(Sintesi!$C$9))+(_xlfn.ANCHORARRAY(Sintesi!$C$9)&gt;_xlfn.ANCHORARRAY(Sintesi!$C$10))*(A263&lt;=_xlfn.ANCHORARRAY(Sintesi!$C$10))+(_xlfn.ANCHORARRAY(Sintesi!$C$9)&lt;_xlfn.ANCHORARRAY(Sintesi!$C$10))*(A263&gt;=_xlfn.ANCHORARRAY(Sintesi!$C$9))*(A263&lt;=_xlfn.ANCHORARRAY(Sintesi!$C$10)),0)),0),1,IF(L264&gt;=_xlfn.IFNA(INDEX(_xlfn.ANCHORARRAY(Sintesi!$C$18),1,MATCH(1,(_xlfn.ANCHORARRAY(Sintesi!$C$9)&gt;_xlfn.ANCHORARRAY(Sintesi!$C$10))*(A263&gt;=_xlfn.ANCHORARRAY(Sintesi!$C$9))+(_xlfn.ANCHORARRAY(Sintesi!$C$9)&gt;_xlfn.ANCHORARRAY(Sintesi!$C$10))*(A263&lt;=_xlfn.ANCHORARRAY(Sintesi!$C$10))+(_xlfn.ANCHORARRAY(Sintesi!$C$9)&lt;_xlfn.ANCHORARRAY(Sintesi!$C$10))*(A263&gt;=_xlfn.ANCHORARRAY(Sintesi!$C$9))*(A263&lt;=_xlfn.ANCHORARRAY(Sintesi!$C$10)),0)),0),0,1-(L264-_xlfn.IFNA(INDEX(_xlfn.ANCHORARRAY(Sintesi!$C$17),1,MATCH(1,(_xlfn.ANCHORARRAY(Sintesi!$C$9)&gt;_xlfn.ANCHORARRAY(Sintesi!$C$10))*(A263&gt;=_xlfn.ANCHORARRAY(Sintesi!$C$9))+(_xlfn.ANCHORARRAY(Sintesi!$C$9)&gt;_xlfn.ANCHORARRAY(Sintesi!$C$10))*(A263&lt;=_xlfn.ANCHORARRAY(Sintesi!$C$10))+(_xlfn.ANCHORARRAY(Sintesi!$C$9)&lt;_xlfn.ANCHORARRAY(Sintesi!$C$10))*(A263&gt;=_xlfn.ANCHORARRAY(Sintesi!$C$9))*(A263&lt;=_xlfn.ANCHORARRAY(Sintesi!$C$10)),0)),0))/(_xlfn.IFNA(INDEX(_xlfn.ANCHORARRAY(Sintesi!$C$18),1,MATCH(1,(_xlfn.ANCHORARRAY(Sintesi!$C$9)&gt;_xlfn.ANCHORARRAY(Sintesi!$C$10))*(A263&gt;=_xlfn.ANCHORARRAY(Sintesi!$C$9))+(_xlfn.ANCHORARRAY(Sintesi!$C$9)&gt;_xlfn.ANCHORARRAY(Sintesi!$C$10))*(A263&lt;=_xlfn.ANCHORARRAY(Sintesi!$C$10))+(_xlfn.ANCHORARRAY(Sintesi!$C$9)&lt;_xlfn.ANCHORARRAY(Sintesi!$C$10))*(A263&gt;=_xlfn.ANCHORARRAY(Sintesi!$C$9))*(A263&lt;=_xlfn.ANCHORARRAY(Sintesi!$C$10)),0)),0)-_xlfn.IFNA(INDEX(_xlfn.ANCHORARRAY(Sintesi!$C$17),1,MATCH(1,(_xlfn.ANCHORARRAY(Sintesi!$C$9)&gt;_xlfn.ANCHORARRAY(Sintesi!$C$10))*(A263&gt;=_xlfn.ANCHORARRAY(Sintesi!$C$9))+(_xlfn.ANCHORARRAY(Sintesi!$C$9)&gt;_xlfn.ANCHORARRAY(Sintesi!$C$10))*(A263&lt;=_xlfn.ANCHORARRAY(Sintesi!$C$10))+(_xlfn.ANCHORARRAY(Sintesi!$C$9)&lt;_xlfn.ANCHORARRAY(Sintesi!$C$10))*(A263&gt;=_xlfn.ANCHORARRAY(Sintesi!$C$9))*(A263&lt;=_xlfn.ANCHORARRAY(Sintesi!$C$10)),0)),0)))),0)</f>
        <v>0</v>
      </c>
    </row>
    <row r="265" spans="1:13">
      <c r="A265" s="1">
        <f>'Paste cell here'!A265</f>
        <v>264</v>
      </c>
      <c r="B265" s="2">
        <f>DATE(Sintesi!$C$4-1,12,31)+A265</f>
        <v>44460</v>
      </c>
      <c r="C265" s="34">
        <f t="array" ref="C265">_xlfn.IFNA(MATCH(1,((_xlfn.ANCHORARRAY(Sintesi!$C$9)&gt;_xlfn.ANCHORARRAY(Sintesi!$C$10))*(A265&gt;=_xlfn.ANCHORARRAY(Sintesi!$C$9))+(_xlfn.ANCHORARRAY(Sintesi!$C$9)&gt;_xlfn.ANCHORARRAY(Sintesi!$C$10))*(A265&lt;=_xlfn.ANCHORARRAY(Sintesi!$C$10))+(_xlfn.ANCHORARRAY(Sintesi!$C$9)&lt;_xlfn.ANCHORARRAY(Sintesi!$C$10))*(A265&gt;=_xlfn.ANCHORARRAY(Sintesi!$C$9))*(A265&lt;=_xlfn.ANCHORARRAY(Sintesi!$C$10)))*(_xlfn.ANCHORARRAY(Sintesi!$C$15)&gt;=0)+(_xlfn.ANCHORARRAY(Sintesi!$C$15)&lt;0),0),0)</f>
        <v>0</v>
      </c>
      <c r="D265" s="1">
        <f t="array" ref="D265">IF(ISBLANK($E266),IF(ISNUMBER($E264),IF($C265&gt;0,IF(($E265=INDEX(_xlfn.ANCHORARRAY(Sintesi!$C$14),1,$C265))*(INDEX(_xlfn.ANCHORARRAY(Sintesi!$C$15),1,$C265)&gt;0),0,IF(($E265=INDEX(_xlfn.ANCHORARRAY(Sintesi!$C$14),1,$C265))*(INDEX(_xlfn.ANCHORARRAY(Sintesi!$C$15),1,$C265)&lt;0)+($E265&gt;=$E264)*($E265&lt;=INDEX($E:$E,MATCH(TRUE,INDEX((ISNUMBER($E:$E)),0),0)))*($E265&gt;INDEX(_xlfn.ANCHORARRAY(Sintesi!$C$14),1,$C265))*($E265&lt;=INDEX(_xlfn.ANCHORARRAY(Sintesi!$C$15),1,$C265))*(INDEX(_xlfn.ANCHORARRAY(Sintesi!$C$15),1,$C265)&gt;0),1,IF(($E265&gt;=$E264)*($E265&lt;=INDEX($E:$E,MATCH(TRUE,INDEX((ISNUMBER($E:$E)),0),0)))*($E265&gt;INDEX(_xlfn.ANCHORARRAY(Sintesi!$C$14),1,$C265))*($E265&lt;INDEX(_xlfn.ANCHORARRAY(Sintesi!$C$16),1,$C265))*(INDEX(_xlfn.ANCHORARRAY(Sintesi!$C$15),1,$C265)&lt;0)+($E265&gt;=$E264)*($E265&lt;=INDEX($E:$E,MATCH(TRUE,INDEX((ISNUMBER($E:$E)),0),0)))*($E265&gt;INDEX(_xlfn.ANCHORARRAY(Sintesi!$C$15),1,$C265))*($E265&lt;INDEX(_xlfn.ANCHORARRAY(Sintesi!$C$16),1,$C265))*(INDEX(_xlfn.ANCHORARRAY(Sintesi!$C$15),1,$C265)&gt;0),2,IF($E265=(INDEX(_xlfn.ANCHORARRAY(Sintesi!$C$16),1,$C265)),3,4)))),0),IF($C265&gt;0,IF(($E265=INDEX(_xlfn.ANCHORARRAY(Sintesi!$C$14),1,$C265))*(INDEX(_xlfn.ANCHORARRAY(Sintesi!$C$15),1,$C265)&gt;0),0,IF(($E265=INDEX(_xlfn.ANCHORARRAY(Sintesi!$C$14),1,$C265))*(INDEX(_xlfn.ANCHORARRAY(Sintesi!$C$15),1,$C265)&lt;0)+($E265&gt;=LOOKUP(2,1/($E:$E&lt;&gt;""),$E:$E))*($E265&lt;=INDEX($E:$E,MATCH(TRUE,INDEX((ISNUMBER($E:$E)),0),0)))*($E265&gt;INDEX(_xlfn.ANCHORARRAY(Sintesi!$C$14),1,$C265))*($E265&lt;=INDEX(_xlfn.ANCHORARRAY(Sintesi!$C$15),1,$C265))*(INDEX(_xlfn.ANCHORARRAY(Sintesi!$C$15),1,$C265)&gt;0),1,IF(($E265&gt;=LOOKUP(2,1/($E:$E&lt;&gt;""),$E:$E))*($E265&lt;=INDEX($E:$E,MATCH(TRUE,INDEX((ISNUMBER($E:$E)),0),0)))*($E265&gt;INDEX(_xlfn.ANCHORARRAY(Sintesi!$C$14),1,$C265))*($E265&lt;INDEX(_xlfn.ANCHORARRAY(Sintesi!$C$16),1,$C265))*(INDEX(_xlfn.ANCHORARRAY(Sintesi!$C$15),1,$C265)&lt;0)+($E265&gt;=LOOKUP(2,1/($E:$E&lt;&gt;""),$E:$E))*($E265&lt;=INDEX($E:$E,MATCH(TRUE,INDEX((ISNUMBER($E:$E)),0),0)))*($E265&gt;INDEX(_xlfn.ANCHORARRAY(Sintesi!$C$15),1,$C265))*($E265&lt;INDEX(_xlfn.ANCHORARRAY(Sintesi!$C$16),1,$C265))*(INDEX(_xlfn.ANCHORARRAY(Sintesi!$C$15),1,$C265)&gt;0),2,IF($E265=(INDEX(_xlfn.ANCHORARRAY(Sintesi!$C$16),1,$C265)),3,4)))),0)),IF(ISNUMBER($E264),IF($C265&gt;0,IF(($E265=INDEX(_xlfn.ANCHORARRAY(Sintesi!$C$14),1,$C265))*(INDEX(_xlfn.ANCHORARRAY(Sintesi!$C$15),1,$C265)&gt;0),0,IF(($E265=INDEX(_xlfn.ANCHORARRAY(Sintesi!$C$14),1,$C265))*(INDEX(_xlfn.ANCHORARRAY(Sintesi!$C$15),1,$C265)&lt;0)+($E265&gt;=$E264)*($E265&lt;=$E266)*($E265&gt;INDEX(_xlfn.ANCHORARRAY(Sintesi!$C$14),1,$C265))*($E265&lt;=INDEX(_xlfn.ANCHORARRAY(Sintesi!$C$15),1,$C265))*(INDEX(_xlfn.ANCHORARRAY(Sintesi!$C$15),1,$C265)&gt;0),1,IF(($E265&gt;=$E264)*($E265&lt;=$E266)*($E265&gt;INDEX(_xlfn.ANCHORARRAY(Sintesi!$C$14),1,$C265))*($E265&lt;INDEX(_xlfn.ANCHORARRAY(Sintesi!$C$16),1,$C265))*(INDEX(_xlfn.ANCHORARRAY(Sintesi!$C$15),1,$C265)&lt;0)+($E265&gt;=$E264)*($E265&lt;=$E266)*($E265&gt;INDEX(_xlfn.ANCHORARRAY(Sintesi!$C$15),1,$C265))*($E265&lt;INDEX(_xlfn.ANCHORARRAY(Sintesi!$C$16),1,$C265))*(INDEX(_xlfn.ANCHORARRAY(Sintesi!$C$15),1,$C265)&gt;0),2,IF($E265=(INDEX(_xlfn.ANCHORARRAY(Sintesi!$C$16),1,$C265)),3,4)))),0),IF($C265&gt;0,IF(($E265=INDEX(_xlfn.ANCHORARRAY(Sintesi!$C$14),1,$C265))*(INDEX(_xlfn.ANCHORARRAY(Sintesi!$C$15),1,$C265)&gt;0),0,IF(($E265=INDEX(_xlfn.ANCHORARRAY(Sintesi!$C$14),1,$C265))*(INDEX(_xlfn.ANCHORARRAY(Sintesi!$C$15),1,$C265)&lt;0)+($E265&gt;=LOOKUP(2,1/($E:$E&lt;&gt;""),$E:$E))*($E265&lt;=$E266)*($E265&gt;INDEX(_xlfn.ANCHORARRAY(Sintesi!$C$14),1,$C265))*($E265&lt;=INDEX(_xlfn.ANCHORARRAY(Sintesi!$C$15),1,$C265))*(INDEX(_xlfn.ANCHORARRAY(Sintesi!$C$15),1,$C265)&gt;0),1,IF(($E265&gt;=LOOKUP(2,1/($E:$E&lt;&gt;""),$E:$E))*($E265&lt;=$E266)*($E265&gt;INDEX(_xlfn.ANCHORARRAY(Sintesi!$C$14),1,$C265))*($E265&lt;INDEX(_xlfn.ANCHORARRAY(Sintesi!$C$16),1,$C265))*(INDEX(_xlfn.ANCHORARRAY(Sintesi!$C$15),1,$C265)&lt;0)+($E265&gt;=LOOKUP(2,1/($E:$E&lt;&gt;""),$E:$E))*($E265&lt;=$E266)*($E265&gt;INDEX(_xlfn.ANCHORARRAY(Sintesi!$C$15),1,$C265))*($E265&lt;INDEX(_xlfn.ANCHORARRAY(Sintesi!$C$16),1,$C265))*(INDEX(_xlfn.ANCHORARRAY(Sintesi!$C$15),1,$C265)&gt;0),2,IF($E265=(INDEX(_xlfn.ANCHORARRAY(Sintesi!$C$16),1,$C265)),3,4)))),0)))</f>
        <v>0</v>
      </c>
      <c r="E265" s="1">
        <f>'Paste cell here'!F265</f>
        <v>0</v>
      </c>
      <c r="F265" s="1">
        <f>'Paste cell here'!C265</f>
        <v>24.499999999999645</v>
      </c>
      <c r="G265" s="1">
        <f>'Paste cell here'!D265</f>
        <v>14.739999999999794</v>
      </c>
      <c r="H265" s="1">
        <f>'Paste cell here'!E265</f>
        <v>2.5508120319515046</v>
      </c>
      <c r="I265" s="1">
        <f>'Paste cell here'!X265</f>
        <v>0</v>
      </c>
      <c r="J265" s="1">
        <f>'Paste cell here'!Y265+'Paste cell here'!S265</f>
        <v>0</v>
      </c>
      <c r="K265" s="1">
        <f t="shared" si="8"/>
        <v>0</v>
      </c>
      <c r="L265" s="1">
        <f t="shared" si="9"/>
        <v>20.847022676009715</v>
      </c>
      <c r="M265" s="1">
        <f t="array" ref="M265">IF(AND(A265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265&gt;=_xlfn.ANCHORARRAY(Sintesi!$C$9))+(_xlfn.ANCHORARRAY(Sintesi!$C$9)&gt;_xlfn.ANCHORARRAY(Sintesi!$C$10))*(A265&lt;=_xlfn.ANCHORARRAY(Sintesi!$C$10))+(_xlfn.ANCHORARRAY(Sintesi!$C$9)&lt;_xlfn.ANCHORARRAY(Sintesi!$C$10))*(A265&gt;=_xlfn.ANCHORARRAY(Sintesi!$C$9))*(A265&lt;=_xlfn.ANCHORARRAY(Sintesi!$C$10)),0)),0),A265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266&gt;=_xlfn.ANCHORARRAY(Sintesi!$C$9))+(_xlfn.ANCHORARRAY(Sintesi!$C$9)&gt;_xlfn.ANCHORARRAY(Sintesi!$C$10))*(A266&lt;=_xlfn.ANCHORARRAY(Sintesi!$C$10))+(_xlfn.ANCHORARRAY(Sintesi!$C$9)&lt;_xlfn.ANCHORARRAY(Sintesi!$C$10))*(A266&gt;=_xlfn.ANCHORARRAY(Sintesi!$C$9))*(A266&lt;=_xlfn.ANCHORARRAY(Sintesi!$C$10)),0)),0)),IF(L265&lt;_xlfn.IFNA(INDEX(_xlfn.ANCHORARRAY(Sintesi!$C$17),1,MATCH(1,(_xlfn.ANCHORARRAY(Sintesi!$C$9)&gt;_xlfn.ANCHORARRAY(Sintesi!$C$10))*(A264&gt;=_xlfn.ANCHORARRAY(Sintesi!$C$9))+(_xlfn.ANCHORARRAY(Sintesi!$C$9)&gt;_xlfn.ANCHORARRAY(Sintesi!$C$10))*(A264&lt;=_xlfn.ANCHORARRAY(Sintesi!$C$10))+(_xlfn.ANCHORARRAY(Sintesi!$C$9)&lt;_xlfn.ANCHORARRAY(Sintesi!$C$10))*(A264&gt;=_xlfn.ANCHORARRAY(Sintesi!$C$9))*(A264&lt;=_xlfn.ANCHORARRAY(Sintesi!$C$10)),0)),0),1,IF(L265&gt;=_xlfn.IFNA(INDEX(_xlfn.ANCHORARRAY(Sintesi!$C$18),1,MATCH(1,(_xlfn.ANCHORARRAY(Sintesi!$C$9)&gt;_xlfn.ANCHORARRAY(Sintesi!$C$10))*(A264&gt;=_xlfn.ANCHORARRAY(Sintesi!$C$9))+(_xlfn.ANCHORARRAY(Sintesi!$C$9)&gt;_xlfn.ANCHORARRAY(Sintesi!$C$10))*(A264&lt;=_xlfn.ANCHORARRAY(Sintesi!$C$10))+(_xlfn.ANCHORARRAY(Sintesi!$C$9)&lt;_xlfn.ANCHORARRAY(Sintesi!$C$10))*(A264&gt;=_xlfn.ANCHORARRAY(Sintesi!$C$9))*(A264&lt;=_xlfn.ANCHORARRAY(Sintesi!$C$10)),0)),0),0,1-(L265-_xlfn.IFNA(INDEX(_xlfn.ANCHORARRAY(Sintesi!$C$17),1,MATCH(1,(_xlfn.ANCHORARRAY(Sintesi!$C$9)&gt;_xlfn.ANCHORARRAY(Sintesi!$C$10))*(A264&gt;=_xlfn.ANCHORARRAY(Sintesi!$C$9))+(_xlfn.ANCHORARRAY(Sintesi!$C$9)&gt;_xlfn.ANCHORARRAY(Sintesi!$C$10))*(A264&lt;=_xlfn.ANCHORARRAY(Sintesi!$C$10))+(_xlfn.ANCHORARRAY(Sintesi!$C$9)&lt;_xlfn.ANCHORARRAY(Sintesi!$C$10))*(A264&gt;=_xlfn.ANCHORARRAY(Sintesi!$C$9))*(A264&lt;=_xlfn.ANCHORARRAY(Sintesi!$C$10)),0)),0))/(_xlfn.IFNA(INDEX(_xlfn.ANCHORARRAY(Sintesi!$C$18),1,MATCH(1,(_xlfn.ANCHORARRAY(Sintesi!$C$9)&gt;_xlfn.ANCHORARRAY(Sintesi!$C$10))*(A264&gt;=_xlfn.ANCHORARRAY(Sintesi!$C$9))+(_xlfn.ANCHORARRAY(Sintesi!$C$9)&gt;_xlfn.ANCHORARRAY(Sintesi!$C$10))*(A264&lt;=_xlfn.ANCHORARRAY(Sintesi!$C$10))+(_xlfn.ANCHORARRAY(Sintesi!$C$9)&lt;_xlfn.ANCHORARRAY(Sintesi!$C$10))*(A264&gt;=_xlfn.ANCHORARRAY(Sintesi!$C$9))*(A264&lt;=_xlfn.ANCHORARRAY(Sintesi!$C$10)),0)),0)-_xlfn.IFNA(INDEX(_xlfn.ANCHORARRAY(Sintesi!$C$17),1,MATCH(1,(_xlfn.ANCHORARRAY(Sintesi!$C$9)&gt;_xlfn.ANCHORARRAY(Sintesi!$C$10))*(A264&gt;=_xlfn.ANCHORARRAY(Sintesi!$C$9))+(_xlfn.ANCHORARRAY(Sintesi!$C$9)&gt;_xlfn.ANCHORARRAY(Sintesi!$C$10))*(A264&lt;=_xlfn.ANCHORARRAY(Sintesi!$C$10))+(_xlfn.ANCHORARRAY(Sintesi!$C$9)&lt;_xlfn.ANCHORARRAY(Sintesi!$C$10))*(A264&gt;=_xlfn.ANCHORARRAY(Sintesi!$C$9))*(A264&lt;=_xlfn.ANCHORARRAY(Sintesi!$C$10)),0)),0)))),0)</f>
        <v>0</v>
      </c>
    </row>
    <row r="266" spans="1:13">
      <c r="A266" s="1">
        <f>'Paste cell here'!A266</f>
        <v>265</v>
      </c>
      <c r="B266" s="2">
        <f>DATE(Sintesi!$C$4-1,12,31)+A266</f>
        <v>44461</v>
      </c>
      <c r="C266" s="34">
        <f t="array" ref="C266">_xlfn.IFNA(MATCH(1,((_xlfn.ANCHORARRAY(Sintesi!$C$9)&gt;_xlfn.ANCHORARRAY(Sintesi!$C$10))*(A266&gt;=_xlfn.ANCHORARRAY(Sintesi!$C$9))+(_xlfn.ANCHORARRAY(Sintesi!$C$9)&gt;_xlfn.ANCHORARRAY(Sintesi!$C$10))*(A266&lt;=_xlfn.ANCHORARRAY(Sintesi!$C$10))+(_xlfn.ANCHORARRAY(Sintesi!$C$9)&lt;_xlfn.ANCHORARRAY(Sintesi!$C$10))*(A266&gt;=_xlfn.ANCHORARRAY(Sintesi!$C$9))*(A266&lt;=_xlfn.ANCHORARRAY(Sintesi!$C$10)))*(_xlfn.ANCHORARRAY(Sintesi!$C$15)&gt;=0)+(_xlfn.ANCHORARRAY(Sintesi!$C$15)&lt;0),0),0)</f>
        <v>0</v>
      </c>
      <c r="D266" s="1">
        <f t="array" ref="D266">IF(ISBLANK($E267),IF(ISNUMBER($E265),IF($C266&gt;0,IF(($E266=INDEX(_xlfn.ANCHORARRAY(Sintesi!$C$14),1,$C266))*(INDEX(_xlfn.ANCHORARRAY(Sintesi!$C$15),1,$C266)&gt;0),0,IF(($E266=INDEX(_xlfn.ANCHORARRAY(Sintesi!$C$14),1,$C266))*(INDEX(_xlfn.ANCHORARRAY(Sintesi!$C$15),1,$C266)&lt;0)+($E266&gt;=$E265)*($E266&lt;=INDEX($E:$E,MATCH(TRUE,INDEX((ISNUMBER($E:$E)),0),0)))*($E266&gt;INDEX(_xlfn.ANCHORARRAY(Sintesi!$C$14),1,$C266))*($E266&lt;=INDEX(_xlfn.ANCHORARRAY(Sintesi!$C$15),1,$C266))*(INDEX(_xlfn.ANCHORARRAY(Sintesi!$C$15),1,$C266)&gt;0),1,IF(($E266&gt;=$E265)*($E266&lt;=INDEX($E:$E,MATCH(TRUE,INDEX((ISNUMBER($E:$E)),0),0)))*($E266&gt;INDEX(_xlfn.ANCHORARRAY(Sintesi!$C$14),1,$C266))*($E266&lt;INDEX(_xlfn.ANCHORARRAY(Sintesi!$C$16),1,$C266))*(INDEX(_xlfn.ANCHORARRAY(Sintesi!$C$15),1,$C266)&lt;0)+($E266&gt;=$E265)*($E266&lt;=INDEX($E:$E,MATCH(TRUE,INDEX((ISNUMBER($E:$E)),0),0)))*($E266&gt;INDEX(_xlfn.ANCHORARRAY(Sintesi!$C$15),1,$C266))*($E266&lt;INDEX(_xlfn.ANCHORARRAY(Sintesi!$C$16),1,$C266))*(INDEX(_xlfn.ANCHORARRAY(Sintesi!$C$15),1,$C266)&gt;0),2,IF($E266=(INDEX(_xlfn.ANCHORARRAY(Sintesi!$C$16),1,$C266)),3,4)))),0),IF($C266&gt;0,IF(($E266=INDEX(_xlfn.ANCHORARRAY(Sintesi!$C$14),1,$C266))*(INDEX(_xlfn.ANCHORARRAY(Sintesi!$C$15),1,$C266)&gt;0),0,IF(($E266=INDEX(_xlfn.ANCHORARRAY(Sintesi!$C$14),1,$C266))*(INDEX(_xlfn.ANCHORARRAY(Sintesi!$C$15),1,$C266)&lt;0)+($E266&gt;=LOOKUP(2,1/($E:$E&lt;&gt;""),$E:$E))*($E266&lt;=INDEX($E:$E,MATCH(TRUE,INDEX((ISNUMBER($E:$E)),0),0)))*($E266&gt;INDEX(_xlfn.ANCHORARRAY(Sintesi!$C$14),1,$C266))*($E266&lt;=INDEX(_xlfn.ANCHORARRAY(Sintesi!$C$15),1,$C266))*(INDEX(_xlfn.ANCHORARRAY(Sintesi!$C$15),1,$C266)&gt;0),1,IF(($E266&gt;=LOOKUP(2,1/($E:$E&lt;&gt;""),$E:$E))*($E266&lt;=INDEX($E:$E,MATCH(TRUE,INDEX((ISNUMBER($E:$E)),0),0)))*($E266&gt;INDEX(_xlfn.ANCHORARRAY(Sintesi!$C$14),1,$C266))*($E266&lt;INDEX(_xlfn.ANCHORARRAY(Sintesi!$C$16),1,$C266))*(INDEX(_xlfn.ANCHORARRAY(Sintesi!$C$15),1,$C266)&lt;0)+($E266&gt;=LOOKUP(2,1/($E:$E&lt;&gt;""),$E:$E))*($E266&lt;=INDEX($E:$E,MATCH(TRUE,INDEX((ISNUMBER($E:$E)),0),0)))*($E266&gt;INDEX(_xlfn.ANCHORARRAY(Sintesi!$C$15),1,$C266))*($E266&lt;INDEX(_xlfn.ANCHORARRAY(Sintesi!$C$16),1,$C266))*(INDEX(_xlfn.ANCHORARRAY(Sintesi!$C$15),1,$C266)&gt;0),2,IF($E266=(INDEX(_xlfn.ANCHORARRAY(Sintesi!$C$16),1,$C266)),3,4)))),0)),IF(ISNUMBER($E265),IF($C266&gt;0,IF(($E266=INDEX(_xlfn.ANCHORARRAY(Sintesi!$C$14),1,$C266))*(INDEX(_xlfn.ANCHORARRAY(Sintesi!$C$15),1,$C266)&gt;0),0,IF(($E266=INDEX(_xlfn.ANCHORARRAY(Sintesi!$C$14),1,$C266))*(INDEX(_xlfn.ANCHORARRAY(Sintesi!$C$15),1,$C266)&lt;0)+($E266&gt;=$E265)*($E266&lt;=$E267)*($E266&gt;INDEX(_xlfn.ANCHORARRAY(Sintesi!$C$14),1,$C266))*($E266&lt;=INDEX(_xlfn.ANCHORARRAY(Sintesi!$C$15),1,$C266))*(INDEX(_xlfn.ANCHORARRAY(Sintesi!$C$15),1,$C266)&gt;0),1,IF(($E266&gt;=$E265)*($E266&lt;=$E267)*($E266&gt;INDEX(_xlfn.ANCHORARRAY(Sintesi!$C$14),1,$C266))*($E266&lt;INDEX(_xlfn.ANCHORARRAY(Sintesi!$C$16),1,$C266))*(INDEX(_xlfn.ANCHORARRAY(Sintesi!$C$15),1,$C266)&lt;0)+($E266&gt;=$E265)*($E266&lt;=$E267)*($E266&gt;INDEX(_xlfn.ANCHORARRAY(Sintesi!$C$15),1,$C266))*($E266&lt;INDEX(_xlfn.ANCHORARRAY(Sintesi!$C$16),1,$C266))*(INDEX(_xlfn.ANCHORARRAY(Sintesi!$C$15),1,$C266)&gt;0),2,IF($E266=(INDEX(_xlfn.ANCHORARRAY(Sintesi!$C$16),1,$C266)),3,4)))),0),IF($C266&gt;0,IF(($E266=INDEX(_xlfn.ANCHORARRAY(Sintesi!$C$14),1,$C266))*(INDEX(_xlfn.ANCHORARRAY(Sintesi!$C$15),1,$C266)&gt;0),0,IF(($E266=INDEX(_xlfn.ANCHORARRAY(Sintesi!$C$14),1,$C266))*(INDEX(_xlfn.ANCHORARRAY(Sintesi!$C$15),1,$C266)&lt;0)+($E266&gt;=LOOKUP(2,1/($E:$E&lt;&gt;""),$E:$E))*($E266&lt;=$E267)*($E266&gt;INDEX(_xlfn.ANCHORARRAY(Sintesi!$C$14),1,$C266))*($E266&lt;=INDEX(_xlfn.ANCHORARRAY(Sintesi!$C$15),1,$C266))*(INDEX(_xlfn.ANCHORARRAY(Sintesi!$C$15),1,$C266)&gt;0),1,IF(($E266&gt;=LOOKUP(2,1/($E:$E&lt;&gt;""),$E:$E))*($E266&lt;=$E267)*($E266&gt;INDEX(_xlfn.ANCHORARRAY(Sintesi!$C$14),1,$C266))*($E266&lt;INDEX(_xlfn.ANCHORARRAY(Sintesi!$C$16),1,$C266))*(INDEX(_xlfn.ANCHORARRAY(Sintesi!$C$15),1,$C266)&lt;0)+($E266&gt;=LOOKUP(2,1/($E:$E&lt;&gt;""),$E:$E))*($E266&lt;=$E267)*($E266&gt;INDEX(_xlfn.ANCHORARRAY(Sintesi!$C$15),1,$C266))*($E266&lt;INDEX(_xlfn.ANCHORARRAY(Sintesi!$C$16),1,$C266))*(INDEX(_xlfn.ANCHORARRAY(Sintesi!$C$15),1,$C266)&gt;0),2,IF($E266=(INDEX(_xlfn.ANCHORARRAY(Sintesi!$C$16),1,$C266)),3,4)))),0)))</f>
        <v>0</v>
      </c>
      <c r="E266" s="1">
        <f>'Paste cell here'!F266</f>
        <v>0</v>
      </c>
      <c r="F266" s="1">
        <f>'Paste cell here'!C266</f>
        <v>25.23999999999964</v>
      </c>
      <c r="G266" s="1">
        <f>'Paste cell here'!D266</f>
        <v>13.719999999999812</v>
      </c>
      <c r="H266" s="1">
        <f>'Paste cell here'!E266</f>
        <v>2.6664117110237902</v>
      </c>
      <c r="I266" s="1">
        <f>'Paste cell here'!X266</f>
        <v>0</v>
      </c>
      <c r="J266" s="1">
        <f>'Paste cell here'!Y266+'Paste cell here'!S266</f>
        <v>0</v>
      </c>
      <c r="K266" s="1">
        <f t="shared" si="8"/>
        <v>0</v>
      </c>
      <c r="L266" s="1">
        <f t="shared" si="9"/>
        <v>20.928289060208243</v>
      </c>
      <c r="M266" s="1">
        <f t="array" ref="M266">IF(AND(A266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266&gt;=_xlfn.ANCHORARRAY(Sintesi!$C$9))+(_xlfn.ANCHORARRAY(Sintesi!$C$9)&gt;_xlfn.ANCHORARRAY(Sintesi!$C$10))*(A266&lt;=_xlfn.ANCHORARRAY(Sintesi!$C$10))+(_xlfn.ANCHORARRAY(Sintesi!$C$9)&lt;_xlfn.ANCHORARRAY(Sintesi!$C$10))*(A266&gt;=_xlfn.ANCHORARRAY(Sintesi!$C$9))*(A266&lt;=_xlfn.ANCHORARRAY(Sintesi!$C$10)),0)),0),A266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267&gt;=_xlfn.ANCHORARRAY(Sintesi!$C$9))+(_xlfn.ANCHORARRAY(Sintesi!$C$9)&gt;_xlfn.ANCHORARRAY(Sintesi!$C$10))*(A267&lt;=_xlfn.ANCHORARRAY(Sintesi!$C$10))+(_xlfn.ANCHORARRAY(Sintesi!$C$9)&lt;_xlfn.ANCHORARRAY(Sintesi!$C$10))*(A267&gt;=_xlfn.ANCHORARRAY(Sintesi!$C$9))*(A267&lt;=_xlfn.ANCHORARRAY(Sintesi!$C$10)),0)),0)),IF(L266&lt;_xlfn.IFNA(INDEX(_xlfn.ANCHORARRAY(Sintesi!$C$17),1,MATCH(1,(_xlfn.ANCHORARRAY(Sintesi!$C$9)&gt;_xlfn.ANCHORARRAY(Sintesi!$C$10))*(A265&gt;=_xlfn.ANCHORARRAY(Sintesi!$C$9))+(_xlfn.ANCHORARRAY(Sintesi!$C$9)&gt;_xlfn.ANCHORARRAY(Sintesi!$C$10))*(A265&lt;=_xlfn.ANCHORARRAY(Sintesi!$C$10))+(_xlfn.ANCHORARRAY(Sintesi!$C$9)&lt;_xlfn.ANCHORARRAY(Sintesi!$C$10))*(A265&gt;=_xlfn.ANCHORARRAY(Sintesi!$C$9))*(A265&lt;=_xlfn.ANCHORARRAY(Sintesi!$C$10)),0)),0),1,IF(L266&gt;=_xlfn.IFNA(INDEX(_xlfn.ANCHORARRAY(Sintesi!$C$18),1,MATCH(1,(_xlfn.ANCHORARRAY(Sintesi!$C$9)&gt;_xlfn.ANCHORARRAY(Sintesi!$C$10))*(A265&gt;=_xlfn.ANCHORARRAY(Sintesi!$C$9))+(_xlfn.ANCHORARRAY(Sintesi!$C$9)&gt;_xlfn.ANCHORARRAY(Sintesi!$C$10))*(A265&lt;=_xlfn.ANCHORARRAY(Sintesi!$C$10))+(_xlfn.ANCHORARRAY(Sintesi!$C$9)&lt;_xlfn.ANCHORARRAY(Sintesi!$C$10))*(A265&gt;=_xlfn.ANCHORARRAY(Sintesi!$C$9))*(A265&lt;=_xlfn.ANCHORARRAY(Sintesi!$C$10)),0)),0),0,1-(L266-_xlfn.IFNA(INDEX(_xlfn.ANCHORARRAY(Sintesi!$C$17),1,MATCH(1,(_xlfn.ANCHORARRAY(Sintesi!$C$9)&gt;_xlfn.ANCHORARRAY(Sintesi!$C$10))*(A265&gt;=_xlfn.ANCHORARRAY(Sintesi!$C$9))+(_xlfn.ANCHORARRAY(Sintesi!$C$9)&gt;_xlfn.ANCHORARRAY(Sintesi!$C$10))*(A265&lt;=_xlfn.ANCHORARRAY(Sintesi!$C$10))+(_xlfn.ANCHORARRAY(Sintesi!$C$9)&lt;_xlfn.ANCHORARRAY(Sintesi!$C$10))*(A265&gt;=_xlfn.ANCHORARRAY(Sintesi!$C$9))*(A265&lt;=_xlfn.ANCHORARRAY(Sintesi!$C$10)),0)),0))/(_xlfn.IFNA(INDEX(_xlfn.ANCHORARRAY(Sintesi!$C$18),1,MATCH(1,(_xlfn.ANCHORARRAY(Sintesi!$C$9)&gt;_xlfn.ANCHORARRAY(Sintesi!$C$10))*(A265&gt;=_xlfn.ANCHORARRAY(Sintesi!$C$9))+(_xlfn.ANCHORARRAY(Sintesi!$C$9)&gt;_xlfn.ANCHORARRAY(Sintesi!$C$10))*(A265&lt;=_xlfn.ANCHORARRAY(Sintesi!$C$10))+(_xlfn.ANCHORARRAY(Sintesi!$C$9)&lt;_xlfn.ANCHORARRAY(Sintesi!$C$10))*(A265&gt;=_xlfn.ANCHORARRAY(Sintesi!$C$9))*(A265&lt;=_xlfn.ANCHORARRAY(Sintesi!$C$10)),0)),0)-_xlfn.IFNA(INDEX(_xlfn.ANCHORARRAY(Sintesi!$C$17),1,MATCH(1,(_xlfn.ANCHORARRAY(Sintesi!$C$9)&gt;_xlfn.ANCHORARRAY(Sintesi!$C$10))*(A265&gt;=_xlfn.ANCHORARRAY(Sintesi!$C$9))+(_xlfn.ANCHORARRAY(Sintesi!$C$9)&gt;_xlfn.ANCHORARRAY(Sintesi!$C$10))*(A265&lt;=_xlfn.ANCHORARRAY(Sintesi!$C$10))+(_xlfn.ANCHORARRAY(Sintesi!$C$9)&lt;_xlfn.ANCHORARRAY(Sintesi!$C$10))*(A265&gt;=_xlfn.ANCHORARRAY(Sintesi!$C$9))*(A265&lt;=_xlfn.ANCHORARRAY(Sintesi!$C$10)),0)),0)))),0)</f>
        <v>0</v>
      </c>
    </row>
    <row r="267" spans="1:13">
      <c r="A267" s="1">
        <f>'Paste cell here'!A267</f>
        <v>266</v>
      </c>
      <c r="B267" s="2">
        <f>DATE(Sintesi!$C$4-1,12,31)+A267</f>
        <v>44462</v>
      </c>
      <c r="C267" s="34">
        <f t="array" ref="C267">_xlfn.IFNA(MATCH(1,((_xlfn.ANCHORARRAY(Sintesi!$C$9)&gt;_xlfn.ANCHORARRAY(Sintesi!$C$10))*(A267&gt;=_xlfn.ANCHORARRAY(Sintesi!$C$9))+(_xlfn.ANCHORARRAY(Sintesi!$C$9)&gt;_xlfn.ANCHORARRAY(Sintesi!$C$10))*(A267&lt;=_xlfn.ANCHORARRAY(Sintesi!$C$10))+(_xlfn.ANCHORARRAY(Sintesi!$C$9)&lt;_xlfn.ANCHORARRAY(Sintesi!$C$10))*(A267&gt;=_xlfn.ANCHORARRAY(Sintesi!$C$9))*(A267&lt;=_xlfn.ANCHORARRAY(Sintesi!$C$10)))*(_xlfn.ANCHORARRAY(Sintesi!$C$15)&gt;=0)+(_xlfn.ANCHORARRAY(Sintesi!$C$15)&lt;0),0),0)</f>
        <v>0</v>
      </c>
      <c r="D267" s="1">
        <f t="array" ref="D267">IF(ISBLANK($E268),IF(ISNUMBER($E266),IF($C267&gt;0,IF(($E267=INDEX(_xlfn.ANCHORARRAY(Sintesi!$C$14),1,$C267))*(INDEX(_xlfn.ANCHORARRAY(Sintesi!$C$15),1,$C267)&gt;0),0,IF(($E267=INDEX(_xlfn.ANCHORARRAY(Sintesi!$C$14),1,$C267))*(INDEX(_xlfn.ANCHORARRAY(Sintesi!$C$15),1,$C267)&lt;0)+($E267&gt;=$E266)*($E267&lt;=INDEX($E:$E,MATCH(TRUE,INDEX((ISNUMBER($E:$E)),0),0)))*($E267&gt;INDEX(_xlfn.ANCHORARRAY(Sintesi!$C$14),1,$C267))*($E267&lt;=INDEX(_xlfn.ANCHORARRAY(Sintesi!$C$15),1,$C267))*(INDEX(_xlfn.ANCHORARRAY(Sintesi!$C$15),1,$C267)&gt;0),1,IF(($E267&gt;=$E266)*($E267&lt;=INDEX($E:$E,MATCH(TRUE,INDEX((ISNUMBER($E:$E)),0),0)))*($E267&gt;INDEX(_xlfn.ANCHORARRAY(Sintesi!$C$14),1,$C267))*($E267&lt;INDEX(_xlfn.ANCHORARRAY(Sintesi!$C$16),1,$C267))*(INDEX(_xlfn.ANCHORARRAY(Sintesi!$C$15),1,$C267)&lt;0)+($E267&gt;=$E266)*($E267&lt;=INDEX($E:$E,MATCH(TRUE,INDEX((ISNUMBER($E:$E)),0),0)))*($E267&gt;INDEX(_xlfn.ANCHORARRAY(Sintesi!$C$15),1,$C267))*($E267&lt;INDEX(_xlfn.ANCHORARRAY(Sintesi!$C$16),1,$C267))*(INDEX(_xlfn.ANCHORARRAY(Sintesi!$C$15),1,$C267)&gt;0),2,IF($E267=(INDEX(_xlfn.ANCHORARRAY(Sintesi!$C$16),1,$C267)),3,4)))),0),IF($C267&gt;0,IF(($E267=INDEX(_xlfn.ANCHORARRAY(Sintesi!$C$14),1,$C267))*(INDEX(_xlfn.ANCHORARRAY(Sintesi!$C$15),1,$C267)&gt;0),0,IF(($E267=INDEX(_xlfn.ANCHORARRAY(Sintesi!$C$14),1,$C267))*(INDEX(_xlfn.ANCHORARRAY(Sintesi!$C$15),1,$C267)&lt;0)+($E267&gt;=LOOKUP(2,1/($E:$E&lt;&gt;""),$E:$E))*($E267&lt;=INDEX($E:$E,MATCH(TRUE,INDEX((ISNUMBER($E:$E)),0),0)))*($E267&gt;INDEX(_xlfn.ANCHORARRAY(Sintesi!$C$14),1,$C267))*($E267&lt;=INDEX(_xlfn.ANCHORARRAY(Sintesi!$C$15),1,$C267))*(INDEX(_xlfn.ANCHORARRAY(Sintesi!$C$15),1,$C267)&gt;0),1,IF(($E267&gt;=LOOKUP(2,1/($E:$E&lt;&gt;""),$E:$E))*($E267&lt;=INDEX($E:$E,MATCH(TRUE,INDEX((ISNUMBER($E:$E)),0),0)))*($E267&gt;INDEX(_xlfn.ANCHORARRAY(Sintesi!$C$14),1,$C267))*($E267&lt;INDEX(_xlfn.ANCHORARRAY(Sintesi!$C$16),1,$C267))*(INDEX(_xlfn.ANCHORARRAY(Sintesi!$C$15),1,$C267)&lt;0)+($E267&gt;=LOOKUP(2,1/($E:$E&lt;&gt;""),$E:$E))*($E267&lt;=INDEX($E:$E,MATCH(TRUE,INDEX((ISNUMBER($E:$E)),0),0)))*($E267&gt;INDEX(_xlfn.ANCHORARRAY(Sintesi!$C$15),1,$C267))*($E267&lt;INDEX(_xlfn.ANCHORARRAY(Sintesi!$C$16),1,$C267))*(INDEX(_xlfn.ANCHORARRAY(Sintesi!$C$15),1,$C267)&gt;0),2,IF($E267=(INDEX(_xlfn.ANCHORARRAY(Sintesi!$C$16),1,$C267)),3,4)))),0)),IF(ISNUMBER($E266),IF($C267&gt;0,IF(($E267=INDEX(_xlfn.ANCHORARRAY(Sintesi!$C$14),1,$C267))*(INDEX(_xlfn.ANCHORARRAY(Sintesi!$C$15),1,$C267)&gt;0),0,IF(($E267=INDEX(_xlfn.ANCHORARRAY(Sintesi!$C$14),1,$C267))*(INDEX(_xlfn.ANCHORARRAY(Sintesi!$C$15),1,$C267)&lt;0)+($E267&gt;=$E266)*($E267&lt;=$E268)*($E267&gt;INDEX(_xlfn.ANCHORARRAY(Sintesi!$C$14),1,$C267))*($E267&lt;=INDEX(_xlfn.ANCHORARRAY(Sintesi!$C$15),1,$C267))*(INDEX(_xlfn.ANCHORARRAY(Sintesi!$C$15),1,$C267)&gt;0),1,IF(($E267&gt;=$E266)*($E267&lt;=$E268)*($E267&gt;INDEX(_xlfn.ANCHORARRAY(Sintesi!$C$14),1,$C267))*($E267&lt;INDEX(_xlfn.ANCHORARRAY(Sintesi!$C$16),1,$C267))*(INDEX(_xlfn.ANCHORARRAY(Sintesi!$C$15),1,$C267)&lt;0)+($E267&gt;=$E266)*($E267&lt;=$E268)*($E267&gt;INDEX(_xlfn.ANCHORARRAY(Sintesi!$C$15),1,$C267))*($E267&lt;INDEX(_xlfn.ANCHORARRAY(Sintesi!$C$16),1,$C267))*(INDEX(_xlfn.ANCHORARRAY(Sintesi!$C$15),1,$C267)&gt;0),2,IF($E267=(INDEX(_xlfn.ANCHORARRAY(Sintesi!$C$16),1,$C267)),3,4)))),0),IF($C267&gt;0,IF(($E267=INDEX(_xlfn.ANCHORARRAY(Sintesi!$C$14),1,$C267))*(INDEX(_xlfn.ANCHORARRAY(Sintesi!$C$15),1,$C267)&gt;0),0,IF(($E267=INDEX(_xlfn.ANCHORARRAY(Sintesi!$C$14),1,$C267))*(INDEX(_xlfn.ANCHORARRAY(Sintesi!$C$15),1,$C267)&lt;0)+($E267&gt;=LOOKUP(2,1/($E:$E&lt;&gt;""),$E:$E))*($E267&lt;=$E268)*($E267&gt;INDEX(_xlfn.ANCHORARRAY(Sintesi!$C$14),1,$C267))*($E267&lt;=INDEX(_xlfn.ANCHORARRAY(Sintesi!$C$15),1,$C267))*(INDEX(_xlfn.ANCHORARRAY(Sintesi!$C$15),1,$C267)&gt;0),1,IF(($E267&gt;=LOOKUP(2,1/($E:$E&lt;&gt;""),$E:$E))*($E267&lt;=$E268)*($E267&gt;INDEX(_xlfn.ANCHORARRAY(Sintesi!$C$14),1,$C267))*($E267&lt;INDEX(_xlfn.ANCHORARRAY(Sintesi!$C$16),1,$C267))*(INDEX(_xlfn.ANCHORARRAY(Sintesi!$C$15),1,$C267)&lt;0)+($E267&gt;=LOOKUP(2,1/($E:$E&lt;&gt;""),$E:$E))*($E267&lt;=$E268)*($E267&gt;INDEX(_xlfn.ANCHORARRAY(Sintesi!$C$15),1,$C267))*($E267&lt;INDEX(_xlfn.ANCHORARRAY(Sintesi!$C$16),1,$C267))*(INDEX(_xlfn.ANCHORARRAY(Sintesi!$C$15),1,$C267)&gt;0),2,IF($E267=(INDEX(_xlfn.ANCHORARRAY(Sintesi!$C$16),1,$C267)),3,4)))),0)))</f>
        <v>0</v>
      </c>
      <c r="E267" s="1">
        <f>'Paste cell here'!F267</f>
        <v>0</v>
      </c>
      <c r="F267" s="1">
        <f>'Paste cell here'!C267</f>
        <v>25.039999999999644</v>
      </c>
      <c r="G267" s="1">
        <f>'Paste cell here'!D267</f>
        <v>14.519999999999801</v>
      </c>
      <c r="H267" s="1">
        <f>'Paste cell here'!E267</f>
        <v>2.4815401512940327</v>
      </c>
      <c r="I267" s="1">
        <f>'Paste cell here'!X267</f>
        <v>0</v>
      </c>
      <c r="J267" s="1">
        <f>'Paste cell here'!Y267+'Paste cell here'!S267</f>
        <v>0</v>
      </c>
      <c r="K267" s="1">
        <f t="shared" si="8"/>
        <v>0</v>
      </c>
      <c r="L267" s="1">
        <f t="shared" si="9"/>
        <v>21.102569523731805</v>
      </c>
      <c r="M267" s="1">
        <f t="array" ref="M267">IF(AND(A267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267&gt;=_xlfn.ANCHORARRAY(Sintesi!$C$9))+(_xlfn.ANCHORARRAY(Sintesi!$C$9)&gt;_xlfn.ANCHORARRAY(Sintesi!$C$10))*(A267&lt;=_xlfn.ANCHORARRAY(Sintesi!$C$10))+(_xlfn.ANCHORARRAY(Sintesi!$C$9)&lt;_xlfn.ANCHORARRAY(Sintesi!$C$10))*(A267&gt;=_xlfn.ANCHORARRAY(Sintesi!$C$9))*(A267&lt;=_xlfn.ANCHORARRAY(Sintesi!$C$10)),0)),0),A267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268&gt;=_xlfn.ANCHORARRAY(Sintesi!$C$9))+(_xlfn.ANCHORARRAY(Sintesi!$C$9)&gt;_xlfn.ANCHORARRAY(Sintesi!$C$10))*(A268&lt;=_xlfn.ANCHORARRAY(Sintesi!$C$10))+(_xlfn.ANCHORARRAY(Sintesi!$C$9)&lt;_xlfn.ANCHORARRAY(Sintesi!$C$10))*(A268&gt;=_xlfn.ANCHORARRAY(Sintesi!$C$9))*(A268&lt;=_xlfn.ANCHORARRAY(Sintesi!$C$10)),0)),0)),IF(L267&lt;_xlfn.IFNA(INDEX(_xlfn.ANCHORARRAY(Sintesi!$C$17),1,MATCH(1,(_xlfn.ANCHORARRAY(Sintesi!$C$9)&gt;_xlfn.ANCHORARRAY(Sintesi!$C$10))*(A266&gt;=_xlfn.ANCHORARRAY(Sintesi!$C$9))+(_xlfn.ANCHORARRAY(Sintesi!$C$9)&gt;_xlfn.ANCHORARRAY(Sintesi!$C$10))*(A266&lt;=_xlfn.ANCHORARRAY(Sintesi!$C$10))+(_xlfn.ANCHORARRAY(Sintesi!$C$9)&lt;_xlfn.ANCHORARRAY(Sintesi!$C$10))*(A266&gt;=_xlfn.ANCHORARRAY(Sintesi!$C$9))*(A266&lt;=_xlfn.ANCHORARRAY(Sintesi!$C$10)),0)),0),1,IF(L267&gt;=_xlfn.IFNA(INDEX(_xlfn.ANCHORARRAY(Sintesi!$C$18),1,MATCH(1,(_xlfn.ANCHORARRAY(Sintesi!$C$9)&gt;_xlfn.ANCHORARRAY(Sintesi!$C$10))*(A266&gt;=_xlfn.ANCHORARRAY(Sintesi!$C$9))+(_xlfn.ANCHORARRAY(Sintesi!$C$9)&gt;_xlfn.ANCHORARRAY(Sintesi!$C$10))*(A266&lt;=_xlfn.ANCHORARRAY(Sintesi!$C$10))+(_xlfn.ANCHORARRAY(Sintesi!$C$9)&lt;_xlfn.ANCHORARRAY(Sintesi!$C$10))*(A266&gt;=_xlfn.ANCHORARRAY(Sintesi!$C$9))*(A266&lt;=_xlfn.ANCHORARRAY(Sintesi!$C$10)),0)),0),0,1-(L267-_xlfn.IFNA(INDEX(_xlfn.ANCHORARRAY(Sintesi!$C$17),1,MATCH(1,(_xlfn.ANCHORARRAY(Sintesi!$C$9)&gt;_xlfn.ANCHORARRAY(Sintesi!$C$10))*(A266&gt;=_xlfn.ANCHORARRAY(Sintesi!$C$9))+(_xlfn.ANCHORARRAY(Sintesi!$C$9)&gt;_xlfn.ANCHORARRAY(Sintesi!$C$10))*(A266&lt;=_xlfn.ANCHORARRAY(Sintesi!$C$10))+(_xlfn.ANCHORARRAY(Sintesi!$C$9)&lt;_xlfn.ANCHORARRAY(Sintesi!$C$10))*(A266&gt;=_xlfn.ANCHORARRAY(Sintesi!$C$9))*(A266&lt;=_xlfn.ANCHORARRAY(Sintesi!$C$10)),0)),0))/(_xlfn.IFNA(INDEX(_xlfn.ANCHORARRAY(Sintesi!$C$18),1,MATCH(1,(_xlfn.ANCHORARRAY(Sintesi!$C$9)&gt;_xlfn.ANCHORARRAY(Sintesi!$C$10))*(A266&gt;=_xlfn.ANCHORARRAY(Sintesi!$C$9))+(_xlfn.ANCHORARRAY(Sintesi!$C$9)&gt;_xlfn.ANCHORARRAY(Sintesi!$C$10))*(A266&lt;=_xlfn.ANCHORARRAY(Sintesi!$C$10))+(_xlfn.ANCHORARRAY(Sintesi!$C$9)&lt;_xlfn.ANCHORARRAY(Sintesi!$C$10))*(A266&gt;=_xlfn.ANCHORARRAY(Sintesi!$C$9))*(A266&lt;=_xlfn.ANCHORARRAY(Sintesi!$C$10)),0)),0)-_xlfn.IFNA(INDEX(_xlfn.ANCHORARRAY(Sintesi!$C$17),1,MATCH(1,(_xlfn.ANCHORARRAY(Sintesi!$C$9)&gt;_xlfn.ANCHORARRAY(Sintesi!$C$10))*(A266&gt;=_xlfn.ANCHORARRAY(Sintesi!$C$9))+(_xlfn.ANCHORARRAY(Sintesi!$C$9)&gt;_xlfn.ANCHORARRAY(Sintesi!$C$10))*(A266&lt;=_xlfn.ANCHORARRAY(Sintesi!$C$10))+(_xlfn.ANCHORARRAY(Sintesi!$C$9)&lt;_xlfn.ANCHORARRAY(Sintesi!$C$10))*(A266&gt;=_xlfn.ANCHORARRAY(Sintesi!$C$9))*(A266&lt;=_xlfn.ANCHORARRAY(Sintesi!$C$10)),0)),0)))),0)</f>
        <v>0</v>
      </c>
    </row>
    <row r="268" spans="1:13">
      <c r="A268" s="1">
        <f>'Paste cell here'!A268</f>
        <v>267</v>
      </c>
      <c r="B268" s="2">
        <f>DATE(Sintesi!$C$4-1,12,31)+A268</f>
        <v>44463</v>
      </c>
      <c r="C268" s="34">
        <f t="array" ref="C268">_xlfn.IFNA(MATCH(1,((_xlfn.ANCHORARRAY(Sintesi!$C$9)&gt;_xlfn.ANCHORARRAY(Sintesi!$C$10))*(A268&gt;=_xlfn.ANCHORARRAY(Sintesi!$C$9))+(_xlfn.ANCHORARRAY(Sintesi!$C$9)&gt;_xlfn.ANCHORARRAY(Sintesi!$C$10))*(A268&lt;=_xlfn.ANCHORARRAY(Sintesi!$C$10))+(_xlfn.ANCHORARRAY(Sintesi!$C$9)&lt;_xlfn.ANCHORARRAY(Sintesi!$C$10))*(A268&gt;=_xlfn.ANCHORARRAY(Sintesi!$C$9))*(A268&lt;=_xlfn.ANCHORARRAY(Sintesi!$C$10)))*(_xlfn.ANCHORARRAY(Sintesi!$C$15)&gt;=0)+(_xlfn.ANCHORARRAY(Sintesi!$C$15)&lt;0),0),0)</f>
        <v>0</v>
      </c>
      <c r="D268" s="1">
        <f t="array" ref="D268">IF(ISBLANK($E269),IF(ISNUMBER($E267),IF($C268&gt;0,IF(($E268=INDEX(_xlfn.ANCHORARRAY(Sintesi!$C$14),1,$C268))*(INDEX(_xlfn.ANCHORARRAY(Sintesi!$C$15),1,$C268)&gt;0),0,IF(($E268=INDEX(_xlfn.ANCHORARRAY(Sintesi!$C$14),1,$C268))*(INDEX(_xlfn.ANCHORARRAY(Sintesi!$C$15),1,$C268)&lt;0)+($E268&gt;=$E267)*($E268&lt;=INDEX($E:$E,MATCH(TRUE,INDEX((ISNUMBER($E:$E)),0),0)))*($E268&gt;INDEX(_xlfn.ANCHORARRAY(Sintesi!$C$14),1,$C268))*($E268&lt;=INDEX(_xlfn.ANCHORARRAY(Sintesi!$C$15),1,$C268))*(INDEX(_xlfn.ANCHORARRAY(Sintesi!$C$15),1,$C268)&gt;0),1,IF(($E268&gt;=$E267)*($E268&lt;=INDEX($E:$E,MATCH(TRUE,INDEX((ISNUMBER($E:$E)),0),0)))*($E268&gt;INDEX(_xlfn.ANCHORARRAY(Sintesi!$C$14),1,$C268))*($E268&lt;INDEX(_xlfn.ANCHORARRAY(Sintesi!$C$16),1,$C268))*(INDEX(_xlfn.ANCHORARRAY(Sintesi!$C$15),1,$C268)&lt;0)+($E268&gt;=$E267)*($E268&lt;=INDEX($E:$E,MATCH(TRUE,INDEX((ISNUMBER($E:$E)),0),0)))*($E268&gt;INDEX(_xlfn.ANCHORARRAY(Sintesi!$C$15),1,$C268))*($E268&lt;INDEX(_xlfn.ANCHORARRAY(Sintesi!$C$16),1,$C268))*(INDEX(_xlfn.ANCHORARRAY(Sintesi!$C$15),1,$C268)&gt;0),2,IF($E268=(INDEX(_xlfn.ANCHORARRAY(Sintesi!$C$16),1,$C268)),3,4)))),0),IF($C268&gt;0,IF(($E268=INDEX(_xlfn.ANCHORARRAY(Sintesi!$C$14),1,$C268))*(INDEX(_xlfn.ANCHORARRAY(Sintesi!$C$15),1,$C268)&gt;0),0,IF(($E268=INDEX(_xlfn.ANCHORARRAY(Sintesi!$C$14),1,$C268))*(INDEX(_xlfn.ANCHORARRAY(Sintesi!$C$15),1,$C268)&lt;0)+($E268&gt;=LOOKUP(2,1/($E:$E&lt;&gt;""),$E:$E))*($E268&lt;=INDEX($E:$E,MATCH(TRUE,INDEX((ISNUMBER($E:$E)),0),0)))*($E268&gt;INDEX(_xlfn.ANCHORARRAY(Sintesi!$C$14),1,$C268))*($E268&lt;=INDEX(_xlfn.ANCHORARRAY(Sintesi!$C$15),1,$C268))*(INDEX(_xlfn.ANCHORARRAY(Sintesi!$C$15),1,$C268)&gt;0),1,IF(($E268&gt;=LOOKUP(2,1/($E:$E&lt;&gt;""),$E:$E))*($E268&lt;=INDEX($E:$E,MATCH(TRUE,INDEX((ISNUMBER($E:$E)),0),0)))*($E268&gt;INDEX(_xlfn.ANCHORARRAY(Sintesi!$C$14),1,$C268))*($E268&lt;INDEX(_xlfn.ANCHORARRAY(Sintesi!$C$16),1,$C268))*(INDEX(_xlfn.ANCHORARRAY(Sintesi!$C$15),1,$C268)&lt;0)+($E268&gt;=LOOKUP(2,1/($E:$E&lt;&gt;""),$E:$E))*($E268&lt;=INDEX($E:$E,MATCH(TRUE,INDEX((ISNUMBER($E:$E)),0),0)))*($E268&gt;INDEX(_xlfn.ANCHORARRAY(Sintesi!$C$15),1,$C268))*($E268&lt;INDEX(_xlfn.ANCHORARRAY(Sintesi!$C$16),1,$C268))*(INDEX(_xlfn.ANCHORARRAY(Sintesi!$C$15),1,$C268)&gt;0),2,IF($E268=(INDEX(_xlfn.ANCHORARRAY(Sintesi!$C$16),1,$C268)),3,4)))),0)),IF(ISNUMBER($E267),IF($C268&gt;0,IF(($E268=INDEX(_xlfn.ANCHORARRAY(Sintesi!$C$14),1,$C268))*(INDEX(_xlfn.ANCHORARRAY(Sintesi!$C$15),1,$C268)&gt;0),0,IF(($E268=INDEX(_xlfn.ANCHORARRAY(Sintesi!$C$14),1,$C268))*(INDEX(_xlfn.ANCHORARRAY(Sintesi!$C$15),1,$C268)&lt;0)+($E268&gt;=$E267)*($E268&lt;=$E269)*($E268&gt;INDEX(_xlfn.ANCHORARRAY(Sintesi!$C$14),1,$C268))*($E268&lt;=INDEX(_xlfn.ANCHORARRAY(Sintesi!$C$15),1,$C268))*(INDEX(_xlfn.ANCHORARRAY(Sintesi!$C$15),1,$C268)&gt;0),1,IF(($E268&gt;=$E267)*($E268&lt;=$E269)*($E268&gt;INDEX(_xlfn.ANCHORARRAY(Sintesi!$C$14),1,$C268))*($E268&lt;INDEX(_xlfn.ANCHORARRAY(Sintesi!$C$16),1,$C268))*(INDEX(_xlfn.ANCHORARRAY(Sintesi!$C$15),1,$C268)&lt;0)+($E268&gt;=$E267)*($E268&lt;=$E269)*($E268&gt;INDEX(_xlfn.ANCHORARRAY(Sintesi!$C$15),1,$C268))*($E268&lt;INDEX(_xlfn.ANCHORARRAY(Sintesi!$C$16),1,$C268))*(INDEX(_xlfn.ANCHORARRAY(Sintesi!$C$15),1,$C268)&gt;0),2,IF($E268=(INDEX(_xlfn.ANCHORARRAY(Sintesi!$C$16),1,$C268)),3,4)))),0),IF($C268&gt;0,IF(($E268=INDEX(_xlfn.ANCHORARRAY(Sintesi!$C$14),1,$C268))*(INDEX(_xlfn.ANCHORARRAY(Sintesi!$C$15),1,$C268)&gt;0),0,IF(($E268=INDEX(_xlfn.ANCHORARRAY(Sintesi!$C$14),1,$C268))*(INDEX(_xlfn.ANCHORARRAY(Sintesi!$C$15),1,$C268)&lt;0)+($E268&gt;=LOOKUP(2,1/($E:$E&lt;&gt;""),$E:$E))*($E268&lt;=$E269)*($E268&gt;INDEX(_xlfn.ANCHORARRAY(Sintesi!$C$14),1,$C268))*($E268&lt;=INDEX(_xlfn.ANCHORARRAY(Sintesi!$C$15),1,$C268))*(INDEX(_xlfn.ANCHORARRAY(Sintesi!$C$15),1,$C268)&gt;0),1,IF(($E268&gt;=LOOKUP(2,1/($E:$E&lt;&gt;""),$E:$E))*($E268&lt;=$E269)*($E268&gt;INDEX(_xlfn.ANCHORARRAY(Sintesi!$C$14),1,$C268))*($E268&lt;INDEX(_xlfn.ANCHORARRAY(Sintesi!$C$16),1,$C268))*(INDEX(_xlfn.ANCHORARRAY(Sintesi!$C$15),1,$C268)&lt;0)+($E268&gt;=LOOKUP(2,1/($E:$E&lt;&gt;""),$E:$E))*($E268&lt;=$E269)*($E268&gt;INDEX(_xlfn.ANCHORARRAY(Sintesi!$C$15),1,$C268))*($E268&lt;INDEX(_xlfn.ANCHORARRAY(Sintesi!$C$16),1,$C268))*(INDEX(_xlfn.ANCHORARRAY(Sintesi!$C$15),1,$C268)&gt;0),2,IF($E268=(INDEX(_xlfn.ANCHORARRAY(Sintesi!$C$16),1,$C268)),3,4)))),0)))</f>
        <v>0</v>
      </c>
      <c r="E268" s="1">
        <f>'Paste cell here'!F268</f>
        <v>0</v>
      </c>
      <c r="F268" s="1">
        <f>'Paste cell here'!C268</f>
        <v>26.379999999999619</v>
      </c>
      <c r="G268" s="1">
        <f>'Paste cell here'!D268</f>
        <v>12.459999999999832</v>
      </c>
      <c r="H268" s="1">
        <f>'Paste cell here'!E268</f>
        <v>2.5985303321962019</v>
      </c>
      <c r="I268" s="1">
        <f>'Paste cell here'!X268</f>
        <v>0</v>
      </c>
      <c r="J268" s="1">
        <f>'Paste cell here'!Y268+'Paste cell here'!S268</f>
        <v>0</v>
      </c>
      <c r="K268" s="1">
        <f t="shared" si="8"/>
        <v>0</v>
      </c>
      <c r="L268" s="1">
        <f t="shared" si="9"/>
        <v>21.170015947751686</v>
      </c>
      <c r="M268" s="1">
        <f t="array" ref="M268">IF(AND(A268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268&gt;=_xlfn.ANCHORARRAY(Sintesi!$C$9))+(_xlfn.ANCHORARRAY(Sintesi!$C$9)&gt;_xlfn.ANCHORARRAY(Sintesi!$C$10))*(A268&lt;=_xlfn.ANCHORARRAY(Sintesi!$C$10))+(_xlfn.ANCHORARRAY(Sintesi!$C$9)&lt;_xlfn.ANCHORARRAY(Sintesi!$C$10))*(A268&gt;=_xlfn.ANCHORARRAY(Sintesi!$C$9))*(A268&lt;=_xlfn.ANCHORARRAY(Sintesi!$C$10)),0)),0),A268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269&gt;=_xlfn.ANCHORARRAY(Sintesi!$C$9))+(_xlfn.ANCHORARRAY(Sintesi!$C$9)&gt;_xlfn.ANCHORARRAY(Sintesi!$C$10))*(A269&lt;=_xlfn.ANCHORARRAY(Sintesi!$C$10))+(_xlfn.ANCHORARRAY(Sintesi!$C$9)&lt;_xlfn.ANCHORARRAY(Sintesi!$C$10))*(A269&gt;=_xlfn.ANCHORARRAY(Sintesi!$C$9))*(A269&lt;=_xlfn.ANCHORARRAY(Sintesi!$C$10)),0)),0)),IF(L268&lt;_xlfn.IFNA(INDEX(_xlfn.ANCHORARRAY(Sintesi!$C$17),1,MATCH(1,(_xlfn.ANCHORARRAY(Sintesi!$C$9)&gt;_xlfn.ANCHORARRAY(Sintesi!$C$10))*(A267&gt;=_xlfn.ANCHORARRAY(Sintesi!$C$9))+(_xlfn.ANCHORARRAY(Sintesi!$C$9)&gt;_xlfn.ANCHORARRAY(Sintesi!$C$10))*(A267&lt;=_xlfn.ANCHORARRAY(Sintesi!$C$10))+(_xlfn.ANCHORARRAY(Sintesi!$C$9)&lt;_xlfn.ANCHORARRAY(Sintesi!$C$10))*(A267&gt;=_xlfn.ANCHORARRAY(Sintesi!$C$9))*(A267&lt;=_xlfn.ANCHORARRAY(Sintesi!$C$10)),0)),0),1,IF(L268&gt;=_xlfn.IFNA(INDEX(_xlfn.ANCHORARRAY(Sintesi!$C$18),1,MATCH(1,(_xlfn.ANCHORARRAY(Sintesi!$C$9)&gt;_xlfn.ANCHORARRAY(Sintesi!$C$10))*(A267&gt;=_xlfn.ANCHORARRAY(Sintesi!$C$9))+(_xlfn.ANCHORARRAY(Sintesi!$C$9)&gt;_xlfn.ANCHORARRAY(Sintesi!$C$10))*(A267&lt;=_xlfn.ANCHORARRAY(Sintesi!$C$10))+(_xlfn.ANCHORARRAY(Sintesi!$C$9)&lt;_xlfn.ANCHORARRAY(Sintesi!$C$10))*(A267&gt;=_xlfn.ANCHORARRAY(Sintesi!$C$9))*(A267&lt;=_xlfn.ANCHORARRAY(Sintesi!$C$10)),0)),0),0,1-(L268-_xlfn.IFNA(INDEX(_xlfn.ANCHORARRAY(Sintesi!$C$17),1,MATCH(1,(_xlfn.ANCHORARRAY(Sintesi!$C$9)&gt;_xlfn.ANCHORARRAY(Sintesi!$C$10))*(A267&gt;=_xlfn.ANCHORARRAY(Sintesi!$C$9))+(_xlfn.ANCHORARRAY(Sintesi!$C$9)&gt;_xlfn.ANCHORARRAY(Sintesi!$C$10))*(A267&lt;=_xlfn.ANCHORARRAY(Sintesi!$C$10))+(_xlfn.ANCHORARRAY(Sintesi!$C$9)&lt;_xlfn.ANCHORARRAY(Sintesi!$C$10))*(A267&gt;=_xlfn.ANCHORARRAY(Sintesi!$C$9))*(A267&lt;=_xlfn.ANCHORARRAY(Sintesi!$C$10)),0)),0))/(_xlfn.IFNA(INDEX(_xlfn.ANCHORARRAY(Sintesi!$C$18),1,MATCH(1,(_xlfn.ANCHORARRAY(Sintesi!$C$9)&gt;_xlfn.ANCHORARRAY(Sintesi!$C$10))*(A267&gt;=_xlfn.ANCHORARRAY(Sintesi!$C$9))+(_xlfn.ANCHORARRAY(Sintesi!$C$9)&gt;_xlfn.ANCHORARRAY(Sintesi!$C$10))*(A267&lt;=_xlfn.ANCHORARRAY(Sintesi!$C$10))+(_xlfn.ANCHORARRAY(Sintesi!$C$9)&lt;_xlfn.ANCHORARRAY(Sintesi!$C$10))*(A267&gt;=_xlfn.ANCHORARRAY(Sintesi!$C$9))*(A267&lt;=_xlfn.ANCHORARRAY(Sintesi!$C$10)),0)),0)-_xlfn.IFNA(INDEX(_xlfn.ANCHORARRAY(Sintesi!$C$17),1,MATCH(1,(_xlfn.ANCHORARRAY(Sintesi!$C$9)&gt;_xlfn.ANCHORARRAY(Sintesi!$C$10))*(A267&gt;=_xlfn.ANCHORARRAY(Sintesi!$C$9))+(_xlfn.ANCHORARRAY(Sintesi!$C$9)&gt;_xlfn.ANCHORARRAY(Sintesi!$C$10))*(A267&lt;=_xlfn.ANCHORARRAY(Sintesi!$C$10))+(_xlfn.ANCHORARRAY(Sintesi!$C$9)&lt;_xlfn.ANCHORARRAY(Sintesi!$C$10))*(A267&gt;=_xlfn.ANCHORARRAY(Sintesi!$C$9))*(A267&lt;=_xlfn.ANCHORARRAY(Sintesi!$C$10)),0)),0)))),0)</f>
        <v>0</v>
      </c>
    </row>
    <row r="269" spans="1:13">
      <c r="A269" s="1">
        <f>'Paste cell here'!A269</f>
        <v>268</v>
      </c>
      <c r="B269" s="2">
        <f>DATE(Sintesi!$C$4-1,12,31)+A269</f>
        <v>44464</v>
      </c>
      <c r="C269" s="34">
        <f t="array" ref="C269">_xlfn.IFNA(MATCH(1,((_xlfn.ANCHORARRAY(Sintesi!$C$9)&gt;_xlfn.ANCHORARRAY(Sintesi!$C$10))*(A269&gt;=_xlfn.ANCHORARRAY(Sintesi!$C$9))+(_xlfn.ANCHORARRAY(Sintesi!$C$9)&gt;_xlfn.ANCHORARRAY(Sintesi!$C$10))*(A269&lt;=_xlfn.ANCHORARRAY(Sintesi!$C$10))+(_xlfn.ANCHORARRAY(Sintesi!$C$9)&lt;_xlfn.ANCHORARRAY(Sintesi!$C$10))*(A269&gt;=_xlfn.ANCHORARRAY(Sintesi!$C$9))*(A269&lt;=_xlfn.ANCHORARRAY(Sintesi!$C$10)))*(_xlfn.ANCHORARRAY(Sintesi!$C$15)&gt;=0)+(_xlfn.ANCHORARRAY(Sintesi!$C$15)&lt;0),0),0)</f>
        <v>0</v>
      </c>
      <c r="D269" s="1">
        <f t="array" ref="D269">IF(ISBLANK($E270),IF(ISNUMBER($E268),IF($C269&gt;0,IF(($E269=INDEX(_xlfn.ANCHORARRAY(Sintesi!$C$14),1,$C269))*(INDEX(_xlfn.ANCHORARRAY(Sintesi!$C$15),1,$C269)&gt;0),0,IF(($E269=INDEX(_xlfn.ANCHORARRAY(Sintesi!$C$14),1,$C269))*(INDEX(_xlfn.ANCHORARRAY(Sintesi!$C$15),1,$C269)&lt;0)+($E269&gt;=$E268)*($E269&lt;=INDEX($E:$E,MATCH(TRUE,INDEX((ISNUMBER($E:$E)),0),0)))*($E269&gt;INDEX(_xlfn.ANCHORARRAY(Sintesi!$C$14),1,$C269))*($E269&lt;=INDEX(_xlfn.ANCHORARRAY(Sintesi!$C$15),1,$C269))*(INDEX(_xlfn.ANCHORARRAY(Sintesi!$C$15),1,$C269)&gt;0),1,IF(($E269&gt;=$E268)*($E269&lt;=INDEX($E:$E,MATCH(TRUE,INDEX((ISNUMBER($E:$E)),0),0)))*($E269&gt;INDEX(_xlfn.ANCHORARRAY(Sintesi!$C$14),1,$C269))*($E269&lt;INDEX(_xlfn.ANCHORARRAY(Sintesi!$C$16),1,$C269))*(INDEX(_xlfn.ANCHORARRAY(Sintesi!$C$15),1,$C269)&lt;0)+($E269&gt;=$E268)*($E269&lt;=INDEX($E:$E,MATCH(TRUE,INDEX((ISNUMBER($E:$E)),0),0)))*($E269&gt;INDEX(_xlfn.ANCHORARRAY(Sintesi!$C$15),1,$C269))*($E269&lt;INDEX(_xlfn.ANCHORARRAY(Sintesi!$C$16),1,$C269))*(INDEX(_xlfn.ANCHORARRAY(Sintesi!$C$15),1,$C269)&gt;0),2,IF($E269=(INDEX(_xlfn.ANCHORARRAY(Sintesi!$C$16),1,$C269)),3,4)))),0),IF($C269&gt;0,IF(($E269=INDEX(_xlfn.ANCHORARRAY(Sintesi!$C$14),1,$C269))*(INDEX(_xlfn.ANCHORARRAY(Sintesi!$C$15),1,$C269)&gt;0),0,IF(($E269=INDEX(_xlfn.ANCHORARRAY(Sintesi!$C$14),1,$C269))*(INDEX(_xlfn.ANCHORARRAY(Sintesi!$C$15),1,$C269)&lt;0)+($E269&gt;=LOOKUP(2,1/($E:$E&lt;&gt;""),$E:$E))*($E269&lt;=INDEX($E:$E,MATCH(TRUE,INDEX((ISNUMBER($E:$E)),0),0)))*($E269&gt;INDEX(_xlfn.ANCHORARRAY(Sintesi!$C$14),1,$C269))*($E269&lt;=INDEX(_xlfn.ANCHORARRAY(Sintesi!$C$15),1,$C269))*(INDEX(_xlfn.ANCHORARRAY(Sintesi!$C$15),1,$C269)&gt;0),1,IF(($E269&gt;=LOOKUP(2,1/($E:$E&lt;&gt;""),$E:$E))*($E269&lt;=INDEX($E:$E,MATCH(TRUE,INDEX((ISNUMBER($E:$E)),0),0)))*($E269&gt;INDEX(_xlfn.ANCHORARRAY(Sintesi!$C$14),1,$C269))*($E269&lt;INDEX(_xlfn.ANCHORARRAY(Sintesi!$C$16),1,$C269))*(INDEX(_xlfn.ANCHORARRAY(Sintesi!$C$15),1,$C269)&lt;0)+($E269&gt;=LOOKUP(2,1/($E:$E&lt;&gt;""),$E:$E))*($E269&lt;=INDEX($E:$E,MATCH(TRUE,INDEX((ISNUMBER($E:$E)),0),0)))*($E269&gt;INDEX(_xlfn.ANCHORARRAY(Sintesi!$C$15),1,$C269))*($E269&lt;INDEX(_xlfn.ANCHORARRAY(Sintesi!$C$16),1,$C269))*(INDEX(_xlfn.ANCHORARRAY(Sintesi!$C$15),1,$C269)&gt;0),2,IF($E269=(INDEX(_xlfn.ANCHORARRAY(Sintesi!$C$16),1,$C269)),3,4)))),0)),IF(ISNUMBER($E268),IF($C269&gt;0,IF(($E269=INDEX(_xlfn.ANCHORARRAY(Sintesi!$C$14),1,$C269))*(INDEX(_xlfn.ANCHORARRAY(Sintesi!$C$15),1,$C269)&gt;0),0,IF(($E269=INDEX(_xlfn.ANCHORARRAY(Sintesi!$C$14),1,$C269))*(INDEX(_xlfn.ANCHORARRAY(Sintesi!$C$15),1,$C269)&lt;0)+($E269&gt;=$E268)*($E269&lt;=$E270)*($E269&gt;INDEX(_xlfn.ANCHORARRAY(Sintesi!$C$14),1,$C269))*($E269&lt;=INDEX(_xlfn.ANCHORARRAY(Sintesi!$C$15),1,$C269))*(INDEX(_xlfn.ANCHORARRAY(Sintesi!$C$15),1,$C269)&gt;0),1,IF(($E269&gt;=$E268)*($E269&lt;=$E270)*($E269&gt;INDEX(_xlfn.ANCHORARRAY(Sintesi!$C$14),1,$C269))*($E269&lt;INDEX(_xlfn.ANCHORARRAY(Sintesi!$C$16),1,$C269))*(INDEX(_xlfn.ANCHORARRAY(Sintesi!$C$15),1,$C269)&lt;0)+($E269&gt;=$E268)*($E269&lt;=$E270)*($E269&gt;INDEX(_xlfn.ANCHORARRAY(Sintesi!$C$15),1,$C269))*($E269&lt;INDEX(_xlfn.ANCHORARRAY(Sintesi!$C$16),1,$C269))*(INDEX(_xlfn.ANCHORARRAY(Sintesi!$C$15),1,$C269)&gt;0),2,IF($E269=(INDEX(_xlfn.ANCHORARRAY(Sintesi!$C$16),1,$C269)),3,4)))),0),IF($C269&gt;0,IF(($E269=INDEX(_xlfn.ANCHORARRAY(Sintesi!$C$14),1,$C269))*(INDEX(_xlfn.ANCHORARRAY(Sintesi!$C$15),1,$C269)&gt;0),0,IF(($E269=INDEX(_xlfn.ANCHORARRAY(Sintesi!$C$14),1,$C269))*(INDEX(_xlfn.ANCHORARRAY(Sintesi!$C$15),1,$C269)&lt;0)+($E269&gt;=LOOKUP(2,1/($E:$E&lt;&gt;""),$E:$E))*($E269&lt;=$E270)*($E269&gt;INDEX(_xlfn.ANCHORARRAY(Sintesi!$C$14),1,$C269))*($E269&lt;=INDEX(_xlfn.ANCHORARRAY(Sintesi!$C$15),1,$C269))*(INDEX(_xlfn.ANCHORARRAY(Sintesi!$C$15),1,$C269)&gt;0),1,IF(($E269&gt;=LOOKUP(2,1/($E:$E&lt;&gt;""),$E:$E))*($E269&lt;=$E270)*($E269&gt;INDEX(_xlfn.ANCHORARRAY(Sintesi!$C$14),1,$C269))*($E269&lt;INDEX(_xlfn.ANCHORARRAY(Sintesi!$C$16),1,$C269))*(INDEX(_xlfn.ANCHORARRAY(Sintesi!$C$15),1,$C269)&lt;0)+($E269&gt;=LOOKUP(2,1/($E:$E&lt;&gt;""),$E:$E))*($E269&lt;=$E270)*($E269&gt;INDEX(_xlfn.ANCHORARRAY(Sintesi!$C$15),1,$C269))*($E269&lt;INDEX(_xlfn.ANCHORARRAY(Sintesi!$C$16),1,$C269))*(INDEX(_xlfn.ANCHORARRAY(Sintesi!$C$15),1,$C269)&gt;0),2,IF($E269=(INDEX(_xlfn.ANCHORARRAY(Sintesi!$C$16),1,$C269)),3,4)))),0)))</f>
        <v>0</v>
      </c>
      <c r="E269" s="1">
        <f>'Paste cell here'!F269</f>
        <v>0</v>
      </c>
      <c r="F269" s="1">
        <f>'Paste cell here'!C269</f>
        <v>24.779999999999642</v>
      </c>
      <c r="G269" s="1">
        <f>'Paste cell here'!D269</f>
        <v>15.739999999999787</v>
      </c>
      <c r="H269" s="1">
        <f>'Paste cell here'!E269</f>
        <v>1.7462636075284175</v>
      </c>
      <c r="I269" s="1">
        <f>'Paste cell here'!X269</f>
        <v>0</v>
      </c>
      <c r="J269" s="1">
        <f>'Paste cell here'!Y269+'Paste cell here'!S269</f>
        <v>0</v>
      </c>
      <c r="K269" s="1">
        <f t="shared" si="8"/>
        <v>0</v>
      </c>
      <c r="L269" s="1">
        <f t="shared" si="9"/>
        <v>21.396504609746671</v>
      </c>
      <c r="M269" s="1">
        <f t="array" ref="M269">IF(AND(A269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269&gt;=_xlfn.ANCHORARRAY(Sintesi!$C$9))+(_xlfn.ANCHORARRAY(Sintesi!$C$9)&gt;_xlfn.ANCHORARRAY(Sintesi!$C$10))*(A269&lt;=_xlfn.ANCHORARRAY(Sintesi!$C$10))+(_xlfn.ANCHORARRAY(Sintesi!$C$9)&lt;_xlfn.ANCHORARRAY(Sintesi!$C$10))*(A269&gt;=_xlfn.ANCHORARRAY(Sintesi!$C$9))*(A269&lt;=_xlfn.ANCHORARRAY(Sintesi!$C$10)),0)),0),A269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270&gt;=_xlfn.ANCHORARRAY(Sintesi!$C$9))+(_xlfn.ANCHORARRAY(Sintesi!$C$9)&gt;_xlfn.ANCHORARRAY(Sintesi!$C$10))*(A270&lt;=_xlfn.ANCHORARRAY(Sintesi!$C$10))+(_xlfn.ANCHORARRAY(Sintesi!$C$9)&lt;_xlfn.ANCHORARRAY(Sintesi!$C$10))*(A270&gt;=_xlfn.ANCHORARRAY(Sintesi!$C$9))*(A270&lt;=_xlfn.ANCHORARRAY(Sintesi!$C$10)),0)),0)),IF(L269&lt;_xlfn.IFNA(INDEX(_xlfn.ANCHORARRAY(Sintesi!$C$17),1,MATCH(1,(_xlfn.ANCHORARRAY(Sintesi!$C$9)&gt;_xlfn.ANCHORARRAY(Sintesi!$C$10))*(A268&gt;=_xlfn.ANCHORARRAY(Sintesi!$C$9))+(_xlfn.ANCHORARRAY(Sintesi!$C$9)&gt;_xlfn.ANCHORARRAY(Sintesi!$C$10))*(A268&lt;=_xlfn.ANCHORARRAY(Sintesi!$C$10))+(_xlfn.ANCHORARRAY(Sintesi!$C$9)&lt;_xlfn.ANCHORARRAY(Sintesi!$C$10))*(A268&gt;=_xlfn.ANCHORARRAY(Sintesi!$C$9))*(A268&lt;=_xlfn.ANCHORARRAY(Sintesi!$C$10)),0)),0),1,IF(L269&gt;=_xlfn.IFNA(INDEX(_xlfn.ANCHORARRAY(Sintesi!$C$18),1,MATCH(1,(_xlfn.ANCHORARRAY(Sintesi!$C$9)&gt;_xlfn.ANCHORARRAY(Sintesi!$C$10))*(A268&gt;=_xlfn.ANCHORARRAY(Sintesi!$C$9))+(_xlfn.ANCHORARRAY(Sintesi!$C$9)&gt;_xlfn.ANCHORARRAY(Sintesi!$C$10))*(A268&lt;=_xlfn.ANCHORARRAY(Sintesi!$C$10))+(_xlfn.ANCHORARRAY(Sintesi!$C$9)&lt;_xlfn.ANCHORARRAY(Sintesi!$C$10))*(A268&gt;=_xlfn.ANCHORARRAY(Sintesi!$C$9))*(A268&lt;=_xlfn.ANCHORARRAY(Sintesi!$C$10)),0)),0),0,1-(L269-_xlfn.IFNA(INDEX(_xlfn.ANCHORARRAY(Sintesi!$C$17),1,MATCH(1,(_xlfn.ANCHORARRAY(Sintesi!$C$9)&gt;_xlfn.ANCHORARRAY(Sintesi!$C$10))*(A268&gt;=_xlfn.ANCHORARRAY(Sintesi!$C$9))+(_xlfn.ANCHORARRAY(Sintesi!$C$9)&gt;_xlfn.ANCHORARRAY(Sintesi!$C$10))*(A268&lt;=_xlfn.ANCHORARRAY(Sintesi!$C$10))+(_xlfn.ANCHORARRAY(Sintesi!$C$9)&lt;_xlfn.ANCHORARRAY(Sintesi!$C$10))*(A268&gt;=_xlfn.ANCHORARRAY(Sintesi!$C$9))*(A268&lt;=_xlfn.ANCHORARRAY(Sintesi!$C$10)),0)),0))/(_xlfn.IFNA(INDEX(_xlfn.ANCHORARRAY(Sintesi!$C$18),1,MATCH(1,(_xlfn.ANCHORARRAY(Sintesi!$C$9)&gt;_xlfn.ANCHORARRAY(Sintesi!$C$10))*(A268&gt;=_xlfn.ANCHORARRAY(Sintesi!$C$9))+(_xlfn.ANCHORARRAY(Sintesi!$C$9)&gt;_xlfn.ANCHORARRAY(Sintesi!$C$10))*(A268&lt;=_xlfn.ANCHORARRAY(Sintesi!$C$10))+(_xlfn.ANCHORARRAY(Sintesi!$C$9)&lt;_xlfn.ANCHORARRAY(Sintesi!$C$10))*(A268&gt;=_xlfn.ANCHORARRAY(Sintesi!$C$9))*(A268&lt;=_xlfn.ANCHORARRAY(Sintesi!$C$10)),0)),0)-_xlfn.IFNA(INDEX(_xlfn.ANCHORARRAY(Sintesi!$C$17),1,MATCH(1,(_xlfn.ANCHORARRAY(Sintesi!$C$9)&gt;_xlfn.ANCHORARRAY(Sintesi!$C$10))*(A268&gt;=_xlfn.ANCHORARRAY(Sintesi!$C$9))+(_xlfn.ANCHORARRAY(Sintesi!$C$9)&gt;_xlfn.ANCHORARRAY(Sintesi!$C$10))*(A268&lt;=_xlfn.ANCHORARRAY(Sintesi!$C$10))+(_xlfn.ANCHORARRAY(Sintesi!$C$9)&lt;_xlfn.ANCHORARRAY(Sintesi!$C$10))*(A268&gt;=_xlfn.ANCHORARRAY(Sintesi!$C$9))*(A268&lt;=_xlfn.ANCHORARRAY(Sintesi!$C$10)),0)),0)))),0)</f>
        <v>0</v>
      </c>
    </row>
    <row r="270" spans="1:13">
      <c r="A270" s="1">
        <f>'Paste cell here'!A270</f>
        <v>269</v>
      </c>
      <c r="B270" s="2">
        <f>DATE(Sintesi!$C$4-1,12,31)+A270</f>
        <v>44465</v>
      </c>
      <c r="C270" s="34">
        <f t="array" ref="C270">_xlfn.IFNA(MATCH(1,((_xlfn.ANCHORARRAY(Sintesi!$C$9)&gt;_xlfn.ANCHORARRAY(Sintesi!$C$10))*(A270&gt;=_xlfn.ANCHORARRAY(Sintesi!$C$9))+(_xlfn.ANCHORARRAY(Sintesi!$C$9)&gt;_xlfn.ANCHORARRAY(Sintesi!$C$10))*(A270&lt;=_xlfn.ANCHORARRAY(Sintesi!$C$10))+(_xlfn.ANCHORARRAY(Sintesi!$C$9)&lt;_xlfn.ANCHORARRAY(Sintesi!$C$10))*(A270&gt;=_xlfn.ANCHORARRAY(Sintesi!$C$9))*(A270&lt;=_xlfn.ANCHORARRAY(Sintesi!$C$10)))*(_xlfn.ANCHORARRAY(Sintesi!$C$15)&gt;=0)+(_xlfn.ANCHORARRAY(Sintesi!$C$15)&lt;0),0),0)</f>
        <v>0</v>
      </c>
      <c r="D270" s="1">
        <f t="array" ref="D270">IF(ISBLANK($E271),IF(ISNUMBER($E269),IF($C270&gt;0,IF(($E270=INDEX(_xlfn.ANCHORARRAY(Sintesi!$C$14),1,$C270))*(INDEX(_xlfn.ANCHORARRAY(Sintesi!$C$15),1,$C270)&gt;0),0,IF(($E270=INDEX(_xlfn.ANCHORARRAY(Sintesi!$C$14),1,$C270))*(INDEX(_xlfn.ANCHORARRAY(Sintesi!$C$15),1,$C270)&lt;0)+($E270&gt;=$E269)*($E270&lt;=INDEX($E:$E,MATCH(TRUE,INDEX((ISNUMBER($E:$E)),0),0)))*($E270&gt;INDEX(_xlfn.ANCHORARRAY(Sintesi!$C$14),1,$C270))*($E270&lt;=INDEX(_xlfn.ANCHORARRAY(Sintesi!$C$15),1,$C270))*(INDEX(_xlfn.ANCHORARRAY(Sintesi!$C$15),1,$C270)&gt;0),1,IF(($E270&gt;=$E269)*($E270&lt;=INDEX($E:$E,MATCH(TRUE,INDEX((ISNUMBER($E:$E)),0),0)))*($E270&gt;INDEX(_xlfn.ANCHORARRAY(Sintesi!$C$14),1,$C270))*($E270&lt;INDEX(_xlfn.ANCHORARRAY(Sintesi!$C$16),1,$C270))*(INDEX(_xlfn.ANCHORARRAY(Sintesi!$C$15),1,$C270)&lt;0)+($E270&gt;=$E269)*($E270&lt;=INDEX($E:$E,MATCH(TRUE,INDEX((ISNUMBER($E:$E)),0),0)))*($E270&gt;INDEX(_xlfn.ANCHORARRAY(Sintesi!$C$15),1,$C270))*($E270&lt;INDEX(_xlfn.ANCHORARRAY(Sintesi!$C$16),1,$C270))*(INDEX(_xlfn.ANCHORARRAY(Sintesi!$C$15),1,$C270)&gt;0),2,IF($E270=(INDEX(_xlfn.ANCHORARRAY(Sintesi!$C$16),1,$C270)),3,4)))),0),IF($C270&gt;0,IF(($E270=INDEX(_xlfn.ANCHORARRAY(Sintesi!$C$14),1,$C270))*(INDEX(_xlfn.ANCHORARRAY(Sintesi!$C$15),1,$C270)&gt;0),0,IF(($E270=INDEX(_xlfn.ANCHORARRAY(Sintesi!$C$14),1,$C270))*(INDEX(_xlfn.ANCHORARRAY(Sintesi!$C$15),1,$C270)&lt;0)+($E270&gt;=LOOKUP(2,1/($E:$E&lt;&gt;""),$E:$E))*($E270&lt;=INDEX($E:$E,MATCH(TRUE,INDEX((ISNUMBER($E:$E)),0),0)))*($E270&gt;INDEX(_xlfn.ANCHORARRAY(Sintesi!$C$14),1,$C270))*($E270&lt;=INDEX(_xlfn.ANCHORARRAY(Sintesi!$C$15),1,$C270))*(INDEX(_xlfn.ANCHORARRAY(Sintesi!$C$15),1,$C270)&gt;0),1,IF(($E270&gt;=LOOKUP(2,1/($E:$E&lt;&gt;""),$E:$E))*($E270&lt;=INDEX($E:$E,MATCH(TRUE,INDEX((ISNUMBER($E:$E)),0),0)))*($E270&gt;INDEX(_xlfn.ANCHORARRAY(Sintesi!$C$14),1,$C270))*($E270&lt;INDEX(_xlfn.ANCHORARRAY(Sintesi!$C$16),1,$C270))*(INDEX(_xlfn.ANCHORARRAY(Sintesi!$C$15),1,$C270)&lt;0)+($E270&gt;=LOOKUP(2,1/($E:$E&lt;&gt;""),$E:$E))*($E270&lt;=INDEX($E:$E,MATCH(TRUE,INDEX((ISNUMBER($E:$E)),0),0)))*($E270&gt;INDEX(_xlfn.ANCHORARRAY(Sintesi!$C$15),1,$C270))*($E270&lt;INDEX(_xlfn.ANCHORARRAY(Sintesi!$C$16),1,$C270))*(INDEX(_xlfn.ANCHORARRAY(Sintesi!$C$15),1,$C270)&gt;0),2,IF($E270=(INDEX(_xlfn.ANCHORARRAY(Sintesi!$C$16),1,$C270)),3,4)))),0)),IF(ISNUMBER($E269),IF($C270&gt;0,IF(($E270=INDEX(_xlfn.ANCHORARRAY(Sintesi!$C$14),1,$C270))*(INDEX(_xlfn.ANCHORARRAY(Sintesi!$C$15),1,$C270)&gt;0),0,IF(($E270=INDEX(_xlfn.ANCHORARRAY(Sintesi!$C$14),1,$C270))*(INDEX(_xlfn.ANCHORARRAY(Sintesi!$C$15),1,$C270)&lt;0)+($E270&gt;=$E269)*($E270&lt;=$E271)*($E270&gt;INDEX(_xlfn.ANCHORARRAY(Sintesi!$C$14),1,$C270))*($E270&lt;=INDEX(_xlfn.ANCHORARRAY(Sintesi!$C$15),1,$C270))*(INDEX(_xlfn.ANCHORARRAY(Sintesi!$C$15),1,$C270)&gt;0),1,IF(($E270&gt;=$E269)*($E270&lt;=$E271)*($E270&gt;INDEX(_xlfn.ANCHORARRAY(Sintesi!$C$14),1,$C270))*($E270&lt;INDEX(_xlfn.ANCHORARRAY(Sintesi!$C$16),1,$C270))*(INDEX(_xlfn.ANCHORARRAY(Sintesi!$C$15),1,$C270)&lt;0)+($E270&gt;=$E269)*($E270&lt;=$E271)*($E270&gt;INDEX(_xlfn.ANCHORARRAY(Sintesi!$C$15),1,$C270))*($E270&lt;INDEX(_xlfn.ANCHORARRAY(Sintesi!$C$16),1,$C270))*(INDEX(_xlfn.ANCHORARRAY(Sintesi!$C$15),1,$C270)&gt;0),2,IF($E270=(INDEX(_xlfn.ANCHORARRAY(Sintesi!$C$16),1,$C270)),3,4)))),0),IF($C270&gt;0,IF(($E270=INDEX(_xlfn.ANCHORARRAY(Sintesi!$C$14),1,$C270))*(INDEX(_xlfn.ANCHORARRAY(Sintesi!$C$15),1,$C270)&gt;0),0,IF(($E270=INDEX(_xlfn.ANCHORARRAY(Sintesi!$C$14),1,$C270))*(INDEX(_xlfn.ANCHORARRAY(Sintesi!$C$15),1,$C270)&lt;0)+($E270&gt;=LOOKUP(2,1/($E:$E&lt;&gt;""),$E:$E))*($E270&lt;=$E271)*($E270&gt;INDEX(_xlfn.ANCHORARRAY(Sintesi!$C$14),1,$C270))*($E270&lt;=INDEX(_xlfn.ANCHORARRAY(Sintesi!$C$15),1,$C270))*(INDEX(_xlfn.ANCHORARRAY(Sintesi!$C$15),1,$C270)&gt;0),1,IF(($E270&gt;=LOOKUP(2,1/($E:$E&lt;&gt;""),$E:$E))*($E270&lt;=$E271)*($E270&gt;INDEX(_xlfn.ANCHORARRAY(Sintesi!$C$14),1,$C270))*($E270&lt;INDEX(_xlfn.ANCHORARRAY(Sintesi!$C$16),1,$C270))*(INDEX(_xlfn.ANCHORARRAY(Sintesi!$C$15),1,$C270)&lt;0)+($E270&gt;=LOOKUP(2,1/($E:$E&lt;&gt;""),$E:$E))*($E270&lt;=$E271)*($E270&gt;INDEX(_xlfn.ANCHORARRAY(Sintesi!$C$15),1,$C270))*($E270&lt;INDEX(_xlfn.ANCHORARRAY(Sintesi!$C$16),1,$C270))*(INDEX(_xlfn.ANCHORARRAY(Sintesi!$C$15),1,$C270)&gt;0),2,IF($E270=(INDEX(_xlfn.ANCHORARRAY(Sintesi!$C$16),1,$C270)),3,4)))),0)))</f>
        <v>0</v>
      </c>
      <c r="E270" s="1">
        <f>'Paste cell here'!F270</f>
        <v>0</v>
      </c>
      <c r="F270" s="1">
        <f>'Paste cell here'!C270</f>
        <v>20.09999999999971</v>
      </c>
      <c r="G270" s="1">
        <f>'Paste cell here'!D270</f>
        <v>15.959999999999782</v>
      </c>
      <c r="H270" s="1">
        <f>'Paste cell here'!E270</f>
        <v>0.81944069542835274</v>
      </c>
      <c r="I270" s="1">
        <f>'Paste cell here'!X270</f>
        <v>0</v>
      </c>
      <c r="J270" s="1">
        <f>'Paste cell here'!Y270+'Paste cell here'!S270</f>
        <v>0</v>
      </c>
      <c r="K270" s="1">
        <f t="shared" si="8"/>
        <v>0</v>
      </c>
      <c r="L270" s="1">
        <f t="shared" si="9"/>
        <v>18.550478881012179</v>
      </c>
      <c r="M270" s="1">
        <f t="array" ref="M270">IF(AND(A270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270&gt;=_xlfn.ANCHORARRAY(Sintesi!$C$9))+(_xlfn.ANCHORARRAY(Sintesi!$C$9)&gt;_xlfn.ANCHORARRAY(Sintesi!$C$10))*(A270&lt;=_xlfn.ANCHORARRAY(Sintesi!$C$10))+(_xlfn.ANCHORARRAY(Sintesi!$C$9)&lt;_xlfn.ANCHORARRAY(Sintesi!$C$10))*(A270&gt;=_xlfn.ANCHORARRAY(Sintesi!$C$9))*(A270&lt;=_xlfn.ANCHORARRAY(Sintesi!$C$10)),0)),0),A270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271&gt;=_xlfn.ANCHORARRAY(Sintesi!$C$9))+(_xlfn.ANCHORARRAY(Sintesi!$C$9)&gt;_xlfn.ANCHORARRAY(Sintesi!$C$10))*(A271&lt;=_xlfn.ANCHORARRAY(Sintesi!$C$10))+(_xlfn.ANCHORARRAY(Sintesi!$C$9)&lt;_xlfn.ANCHORARRAY(Sintesi!$C$10))*(A271&gt;=_xlfn.ANCHORARRAY(Sintesi!$C$9))*(A271&lt;=_xlfn.ANCHORARRAY(Sintesi!$C$10)),0)),0)),IF(L270&lt;_xlfn.IFNA(INDEX(_xlfn.ANCHORARRAY(Sintesi!$C$17),1,MATCH(1,(_xlfn.ANCHORARRAY(Sintesi!$C$9)&gt;_xlfn.ANCHORARRAY(Sintesi!$C$10))*(A269&gt;=_xlfn.ANCHORARRAY(Sintesi!$C$9))+(_xlfn.ANCHORARRAY(Sintesi!$C$9)&gt;_xlfn.ANCHORARRAY(Sintesi!$C$10))*(A269&lt;=_xlfn.ANCHORARRAY(Sintesi!$C$10))+(_xlfn.ANCHORARRAY(Sintesi!$C$9)&lt;_xlfn.ANCHORARRAY(Sintesi!$C$10))*(A269&gt;=_xlfn.ANCHORARRAY(Sintesi!$C$9))*(A269&lt;=_xlfn.ANCHORARRAY(Sintesi!$C$10)),0)),0),1,IF(L270&gt;=_xlfn.IFNA(INDEX(_xlfn.ANCHORARRAY(Sintesi!$C$18),1,MATCH(1,(_xlfn.ANCHORARRAY(Sintesi!$C$9)&gt;_xlfn.ANCHORARRAY(Sintesi!$C$10))*(A269&gt;=_xlfn.ANCHORARRAY(Sintesi!$C$9))+(_xlfn.ANCHORARRAY(Sintesi!$C$9)&gt;_xlfn.ANCHORARRAY(Sintesi!$C$10))*(A269&lt;=_xlfn.ANCHORARRAY(Sintesi!$C$10))+(_xlfn.ANCHORARRAY(Sintesi!$C$9)&lt;_xlfn.ANCHORARRAY(Sintesi!$C$10))*(A269&gt;=_xlfn.ANCHORARRAY(Sintesi!$C$9))*(A269&lt;=_xlfn.ANCHORARRAY(Sintesi!$C$10)),0)),0),0,1-(L270-_xlfn.IFNA(INDEX(_xlfn.ANCHORARRAY(Sintesi!$C$17),1,MATCH(1,(_xlfn.ANCHORARRAY(Sintesi!$C$9)&gt;_xlfn.ANCHORARRAY(Sintesi!$C$10))*(A269&gt;=_xlfn.ANCHORARRAY(Sintesi!$C$9))+(_xlfn.ANCHORARRAY(Sintesi!$C$9)&gt;_xlfn.ANCHORARRAY(Sintesi!$C$10))*(A269&lt;=_xlfn.ANCHORARRAY(Sintesi!$C$10))+(_xlfn.ANCHORARRAY(Sintesi!$C$9)&lt;_xlfn.ANCHORARRAY(Sintesi!$C$10))*(A269&gt;=_xlfn.ANCHORARRAY(Sintesi!$C$9))*(A269&lt;=_xlfn.ANCHORARRAY(Sintesi!$C$10)),0)),0))/(_xlfn.IFNA(INDEX(_xlfn.ANCHORARRAY(Sintesi!$C$18),1,MATCH(1,(_xlfn.ANCHORARRAY(Sintesi!$C$9)&gt;_xlfn.ANCHORARRAY(Sintesi!$C$10))*(A269&gt;=_xlfn.ANCHORARRAY(Sintesi!$C$9))+(_xlfn.ANCHORARRAY(Sintesi!$C$9)&gt;_xlfn.ANCHORARRAY(Sintesi!$C$10))*(A269&lt;=_xlfn.ANCHORARRAY(Sintesi!$C$10))+(_xlfn.ANCHORARRAY(Sintesi!$C$9)&lt;_xlfn.ANCHORARRAY(Sintesi!$C$10))*(A269&gt;=_xlfn.ANCHORARRAY(Sintesi!$C$9))*(A269&lt;=_xlfn.ANCHORARRAY(Sintesi!$C$10)),0)),0)-_xlfn.IFNA(INDEX(_xlfn.ANCHORARRAY(Sintesi!$C$17),1,MATCH(1,(_xlfn.ANCHORARRAY(Sintesi!$C$9)&gt;_xlfn.ANCHORARRAY(Sintesi!$C$10))*(A269&gt;=_xlfn.ANCHORARRAY(Sintesi!$C$9))+(_xlfn.ANCHORARRAY(Sintesi!$C$9)&gt;_xlfn.ANCHORARRAY(Sintesi!$C$10))*(A269&lt;=_xlfn.ANCHORARRAY(Sintesi!$C$10))+(_xlfn.ANCHORARRAY(Sintesi!$C$9)&lt;_xlfn.ANCHORARRAY(Sintesi!$C$10))*(A269&gt;=_xlfn.ANCHORARRAY(Sintesi!$C$9))*(A269&lt;=_xlfn.ANCHORARRAY(Sintesi!$C$10)),0)),0)))),0)</f>
        <v>0</v>
      </c>
    </row>
    <row r="271" spans="1:13">
      <c r="A271" s="1">
        <f>'Paste cell here'!A271</f>
        <v>270</v>
      </c>
      <c r="B271" s="2">
        <f>DATE(Sintesi!$C$4-1,12,31)+A271</f>
        <v>44466</v>
      </c>
      <c r="C271" s="34">
        <f t="array" ref="C271">_xlfn.IFNA(MATCH(1,((_xlfn.ANCHORARRAY(Sintesi!$C$9)&gt;_xlfn.ANCHORARRAY(Sintesi!$C$10))*(A271&gt;=_xlfn.ANCHORARRAY(Sintesi!$C$9))+(_xlfn.ANCHORARRAY(Sintesi!$C$9)&gt;_xlfn.ANCHORARRAY(Sintesi!$C$10))*(A271&lt;=_xlfn.ANCHORARRAY(Sintesi!$C$10))+(_xlfn.ANCHORARRAY(Sintesi!$C$9)&lt;_xlfn.ANCHORARRAY(Sintesi!$C$10))*(A271&gt;=_xlfn.ANCHORARRAY(Sintesi!$C$9))*(A271&lt;=_xlfn.ANCHORARRAY(Sintesi!$C$10)))*(_xlfn.ANCHORARRAY(Sintesi!$C$15)&gt;=0)+(_xlfn.ANCHORARRAY(Sintesi!$C$15)&lt;0),0),0)</f>
        <v>0</v>
      </c>
      <c r="D271" s="1">
        <f t="array" ref="D271">IF(ISBLANK($E272),IF(ISNUMBER($E270),IF($C271&gt;0,IF(($E271=INDEX(_xlfn.ANCHORARRAY(Sintesi!$C$14),1,$C271))*(INDEX(_xlfn.ANCHORARRAY(Sintesi!$C$15),1,$C271)&gt;0),0,IF(($E271=INDEX(_xlfn.ANCHORARRAY(Sintesi!$C$14),1,$C271))*(INDEX(_xlfn.ANCHORARRAY(Sintesi!$C$15),1,$C271)&lt;0)+($E271&gt;=$E270)*($E271&lt;=INDEX($E:$E,MATCH(TRUE,INDEX((ISNUMBER($E:$E)),0),0)))*($E271&gt;INDEX(_xlfn.ANCHORARRAY(Sintesi!$C$14),1,$C271))*($E271&lt;=INDEX(_xlfn.ANCHORARRAY(Sintesi!$C$15),1,$C271))*(INDEX(_xlfn.ANCHORARRAY(Sintesi!$C$15),1,$C271)&gt;0),1,IF(($E271&gt;=$E270)*($E271&lt;=INDEX($E:$E,MATCH(TRUE,INDEX((ISNUMBER($E:$E)),0),0)))*($E271&gt;INDEX(_xlfn.ANCHORARRAY(Sintesi!$C$14),1,$C271))*($E271&lt;INDEX(_xlfn.ANCHORARRAY(Sintesi!$C$16),1,$C271))*(INDEX(_xlfn.ANCHORARRAY(Sintesi!$C$15),1,$C271)&lt;0)+($E271&gt;=$E270)*($E271&lt;=INDEX($E:$E,MATCH(TRUE,INDEX((ISNUMBER($E:$E)),0),0)))*($E271&gt;INDEX(_xlfn.ANCHORARRAY(Sintesi!$C$15),1,$C271))*($E271&lt;INDEX(_xlfn.ANCHORARRAY(Sintesi!$C$16),1,$C271))*(INDEX(_xlfn.ANCHORARRAY(Sintesi!$C$15),1,$C271)&gt;0),2,IF($E271=(INDEX(_xlfn.ANCHORARRAY(Sintesi!$C$16),1,$C271)),3,4)))),0),IF($C271&gt;0,IF(($E271=INDEX(_xlfn.ANCHORARRAY(Sintesi!$C$14),1,$C271))*(INDEX(_xlfn.ANCHORARRAY(Sintesi!$C$15),1,$C271)&gt;0),0,IF(($E271=INDEX(_xlfn.ANCHORARRAY(Sintesi!$C$14),1,$C271))*(INDEX(_xlfn.ANCHORARRAY(Sintesi!$C$15),1,$C271)&lt;0)+($E271&gt;=LOOKUP(2,1/($E:$E&lt;&gt;""),$E:$E))*($E271&lt;=INDEX($E:$E,MATCH(TRUE,INDEX((ISNUMBER($E:$E)),0),0)))*($E271&gt;INDEX(_xlfn.ANCHORARRAY(Sintesi!$C$14),1,$C271))*($E271&lt;=INDEX(_xlfn.ANCHORARRAY(Sintesi!$C$15),1,$C271))*(INDEX(_xlfn.ANCHORARRAY(Sintesi!$C$15),1,$C271)&gt;0),1,IF(($E271&gt;=LOOKUP(2,1/($E:$E&lt;&gt;""),$E:$E))*($E271&lt;=INDEX($E:$E,MATCH(TRUE,INDEX((ISNUMBER($E:$E)),0),0)))*($E271&gt;INDEX(_xlfn.ANCHORARRAY(Sintesi!$C$14),1,$C271))*($E271&lt;INDEX(_xlfn.ANCHORARRAY(Sintesi!$C$16),1,$C271))*(INDEX(_xlfn.ANCHORARRAY(Sintesi!$C$15),1,$C271)&lt;0)+($E271&gt;=LOOKUP(2,1/($E:$E&lt;&gt;""),$E:$E))*($E271&lt;=INDEX($E:$E,MATCH(TRUE,INDEX((ISNUMBER($E:$E)),0),0)))*($E271&gt;INDEX(_xlfn.ANCHORARRAY(Sintesi!$C$15),1,$C271))*($E271&lt;INDEX(_xlfn.ANCHORARRAY(Sintesi!$C$16),1,$C271))*(INDEX(_xlfn.ANCHORARRAY(Sintesi!$C$15),1,$C271)&gt;0),2,IF($E271=(INDEX(_xlfn.ANCHORARRAY(Sintesi!$C$16),1,$C271)),3,4)))),0)),IF(ISNUMBER($E270),IF($C271&gt;0,IF(($E271=INDEX(_xlfn.ANCHORARRAY(Sintesi!$C$14),1,$C271))*(INDEX(_xlfn.ANCHORARRAY(Sintesi!$C$15),1,$C271)&gt;0),0,IF(($E271=INDEX(_xlfn.ANCHORARRAY(Sintesi!$C$14),1,$C271))*(INDEX(_xlfn.ANCHORARRAY(Sintesi!$C$15),1,$C271)&lt;0)+($E271&gt;=$E270)*($E271&lt;=$E272)*($E271&gt;INDEX(_xlfn.ANCHORARRAY(Sintesi!$C$14),1,$C271))*($E271&lt;=INDEX(_xlfn.ANCHORARRAY(Sintesi!$C$15),1,$C271))*(INDEX(_xlfn.ANCHORARRAY(Sintesi!$C$15),1,$C271)&gt;0),1,IF(($E271&gt;=$E270)*($E271&lt;=$E272)*($E271&gt;INDEX(_xlfn.ANCHORARRAY(Sintesi!$C$14),1,$C271))*($E271&lt;INDEX(_xlfn.ANCHORARRAY(Sintesi!$C$16),1,$C271))*(INDEX(_xlfn.ANCHORARRAY(Sintesi!$C$15),1,$C271)&lt;0)+($E271&gt;=$E270)*($E271&lt;=$E272)*($E271&gt;INDEX(_xlfn.ANCHORARRAY(Sintesi!$C$15),1,$C271))*($E271&lt;INDEX(_xlfn.ANCHORARRAY(Sintesi!$C$16),1,$C271))*(INDEX(_xlfn.ANCHORARRAY(Sintesi!$C$15),1,$C271)&gt;0),2,IF($E271=(INDEX(_xlfn.ANCHORARRAY(Sintesi!$C$16),1,$C271)),3,4)))),0),IF($C271&gt;0,IF(($E271=INDEX(_xlfn.ANCHORARRAY(Sintesi!$C$14),1,$C271))*(INDEX(_xlfn.ANCHORARRAY(Sintesi!$C$15),1,$C271)&gt;0),0,IF(($E271=INDEX(_xlfn.ANCHORARRAY(Sintesi!$C$14),1,$C271))*(INDEX(_xlfn.ANCHORARRAY(Sintesi!$C$15),1,$C271)&lt;0)+($E271&gt;=LOOKUP(2,1/($E:$E&lt;&gt;""),$E:$E))*($E271&lt;=$E272)*($E271&gt;INDEX(_xlfn.ANCHORARRAY(Sintesi!$C$14),1,$C271))*($E271&lt;=INDEX(_xlfn.ANCHORARRAY(Sintesi!$C$15),1,$C271))*(INDEX(_xlfn.ANCHORARRAY(Sintesi!$C$15),1,$C271)&gt;0),1,IF(($E271&gt;=LOOKUP(2,1/($E:$E&lt;&gt;""),$E:$E))*($E271&lt;=$E272)*($E271&gt;INDEX(_xlfn.ANCHORARRAY(Sintesi!$C$14),1,$C271))*($E271&lt;INDEX(_xlfn.ANCHORARRAY(Sintesi!$C$16),1,$C271))*(INDEX(_xlfn.ANCHORARRAY(Sintesi!$C$15),1,$C271)&lt;0)+($E271&gt;=LOOKUP(2,1/($E:$E&lt;&gt;""),$E:$E))*($E271&lt;=$E272)*($E271&gt;INDEX(_xlfn.ANCHORARRAY(Sintesi!$C$15),1,$C271))*($E271&lt;INDEX(_xlfn.ANCHORARRAY(Sintesi!$C$16),1,$C271))*(INDEX(_xlfn.ANCHORARRAY(Sintesi!$C$15),1,$C271)&gt;0),2,IF($E271=(INDEX(_xlfn.ANCHORARRAY(Sintesi!$C$16),1,$C271)),3,4)))),0)))</f>
        <v>0</v>
      </c>
      <c r="E271" s="1">
        <f>'Paste cell here'!F271</f>
        <v>0</v>
      </c>
      <c r="F271" s="1">
        <f>'Paste cell here'!C271</f>
        <v>24.039999999999658</v>
      </c>
      <c r="G271" s="1">
        <f>'Paste cell here'!D271</f>
        <v>15.679999999999783</v>
      </c>
      <c r="H271" s="1">
        <f>'Paste cell here'!E271</f>
        <v>1.7843152218674501</v>
      </c>
      <c r="I271" s="1">
        <f>'Paste cell here'!X271</f>
        <v>0</v>
      </c>
      <c r="J271" s="1">
        <f>'Paste cell here'!Y271+'Paste cell here'!S271</f>
        <v>0</v>
      </c>
      <c r="K271" s="1">
        <f t="shared" si="8"/>
        <v>0</v>
      </c>
      <c r="L271" s="1">
        <f t="shared" si="9"/>
        <v>20.911015324942714</v>
      </c>
      <c r="M271" s="1">
        <f t="array" ref="M271">IF(AND(A271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271&gt;=_xlfn.ANCHORARRAY(Sintesi!$C$9))+(_xlfn.ANCHORARRAY(Sintesi!$C$9)&gt;_xlfn.ANCHORARRAY(Sintesi!$C$10))*(A271&lt;=_xlfn.ANCHORARRAY(Sintesi!$C$10))+(_xlfn.ANCHORARRAY(Sintesi!$C$9)&lt;_xlfn.ANCHORARRAY(Sintesi!$C$10))*(A271&gt;=_xlfn.ANCHORARRAY(Sintesi!$C$9))*(A271&lt;=_xlfn.ANCHORARRAY(Sintesi!$C$10)),0)),0),A271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272&gt;=_xlfn.ANCHORARRAY(Sintesi!$C$9))+(_xlfn.ANCHORARRAY(Sintesi!$C$9)&gt;_xlfn.ANCHORARRAY(Sintesi!$C$10))*(A272&lt;=_xlfn.ANCHORARRAY(Sintesi!$C$10))+(_xlfn.ANCHORARRAY(Sintesi!$C$9)&lt;_xlfn.ANCHORARRAY(Sintesi!$C$10))*(A272&gt;=_xlfn.ANCHORARRAY(Sintesi!$C$9))*(A272&lt;=_xlfn.ANCHORARRAY(Sintesi!$C$10)),0)),0)),IF(L271&lt;_xlfn.IFNA(INDEX(_xlfn.ANCHORARRAY(Sintesi!$C$17),1,MATCH(1,(_xlfn.ANCHORARRAY(Sintesi!$C$9)&gt;_xlfn.ANCHORARRAY(Sintesi!$C$10))*(A270&gt;=_xlfn.ANCHORARRAY(Sintesi!$C$9))+(_xlfn.ANCHORARRAY(Sintesi!$C$9)&gt;_xlfn.ANCHORARRAY(Sintesi!$C$10))*(A270&lt;=_xlfn.ANCHORARRAY(Sintesi!$C$10))+(_xlfn.ANCHORARRAY(Sintesi!$C$9)&lt;_xlfn.ANCHORARRAY(Sintesi!$C$10))*(A270&gt;=_xlfn.ANCHORARRAY(Sintesi!$C$9))*(A270&lt;=_xlfn.ANCHORARRAY(Sintesi!$C$10)),0)),0),1,IF(L271&gt;=_xlfn.IFNA(INDEX(_xlfn.ANCHORARRAY(Sintesi!$C$18),1,MATCH(1,(_xlfn.ANCHORARRAY(Sintesi!$C$9)&gt;_xlfn.ANCHORARRAY(Sintesi!$C$10))*(A270&gt;=_xlfn.ANCHORARRAY(Sintesi!$C$9))+(_xlfn.ANCHORARRAY(Sintesi!$C$9)&gt;_xlfn.ANCHORARRAY(Sintesi!$C$10))*(A270&lt;=_xlfn.ANCHORARRAY(Sintesi!$C$10))+(_xlfn.ANCHORARRAY(Sintesi!$C$9)&lt;_xlfn.ANCHORARRAY(Sintesi!$C$10))*(A270&gt;=_xlfn.ANCHORARRAY(Sintesi!$C$9))*(A270&lt;=_xlfn.ANCHORARRAY(Sintesi!$C$10)),0)),0),0,1-(L271-_xlfn.IFNA(INDEX(_xlfn.ANCHORARRAY(Sintesi!$C$17),1,MATCH(1,(_xlfn.ANCHORARRAY(Sintesi!$C$9)&gt;_xlfn.ANCHORARRAY(Sintesi!$C$10))*(A270&gt;=_xlfn.ANCHORARRAY(Sintesi!$C$9))+(_xlfn.ANCHORARRAY(Sintesi!$C$9)&gt;_xlfn.ANCHORARRAY(Sintesi!$C$10))*(A270&lt;=_xlfn.ANCHORARRAY(Sintesi!$C$10))+(_xlfn.ANCHORARRAY(Sintesi!$C$9)&lt;_xlfn.ANCHORARRAY(Sintesi!$C$10))*(A270&gt;=_xlfn.ANCHORARRAY(Sintesi!$C$9))*(A270&lt;=_xlfn.ANCHORARRAY(Sintesi!$C$10)),0)),0))/(_xlfn.IFNA(INDEX(_xlfn.ANCHORARRAY(Sintesi!$C$18),1,MATCH(1,(_xlfn.ANCHORARRAY(Sintesi!$C$9)&gt;_xlfn.ANCHORARRAY(Sintesi!$C$10))*(A270&gt;=_xlfn.ANCHORARRAY(Sintesi!$C$9))+(_xlfn.ANCHORARRAY(Sintesi!$C$9)&gt;_xlfn.ANCHORARRAY(Sintesi!$C$10))*(A270&lt;=_xlfn.ANCHORARRAY(Sintesi!$C$10))+(_xlfn.ANCHORARRAY(Sintesi!$C$9)&lt;_xlfn.ANCHORARRAY(Sintesi!$C$10))*(A270&gt;=_xlfn.ANCHORARRAY(Sintesi!$C$9))*(A270&lt;=_xlfn.ANCHORARRAY(Sintesi!$C$10)),0)),0)-_xlfn.IFNA(INDEX(_xlfn.ANCHORARRAY(Sintesi!$C$17),1,MATCH(1,(_xlfn.ANCHORARRAY(Sintesi!$C$9)&gt;_xlfn.ANCHORARRAY(Sintesi!$C$10))*(A270&gt;=_xlfn.ANCHORARRAY(Sintesi!$C$9))+(_xlfn.ANCHORARRAY(Sintesi!$C$9)&gt;_xlfn.ANCHORARRAY(Sintesi!$C$10))*(A270&lt;=_xlfn.ANCHORARRAY(Sintesi!$C$10))+(_xlfn.ANCHORARRAY(Sintesi!$C$9)&lt;_xlfn.ANCHORARRAY(Sintesi!$C$10))*(A270&gt;=_xlfn.ANCHORARRAY(Sintesi!$C$9))*(A270&lt;=_xlfn.ANCHORARRAY(Sintesi!$C$10)),0)),0)))),0)</f>
        <v>0</v>
      </c>
    </row>
    <row r="272" spans="1:13">
      <c r="A272" s="1">
        <f>'Paste cell here'!A272</f>
        <v>271</v>
      </c>
      <c r="B272" s="2">
        <f>DATE(Sintesi!$C$4-1,12,31)+A272</f>
        <v>44467</v>
      </c>
      <c r="C272" s="34">
        <f t="array" ref="C272">_xlfn.IFNA(MATCH(1,((_xlfn.ANCHORARRAY(Sintesi!$C$9)&gt;_xlfn.ANCHORARRAY(Sintesi!$C$10))*(A272&gt;=_xlfn.ANCHORARRAY(Sintesi!$C$9))+(_xlfn.ANCHORARRAY(Sintesi!$C$9)&gt;_xlfn.ANCHORARRAY(Sintesi!$C$10))*(A272&lt;=_xlfn.ANCHORARRAY(Sintesi!$C$10))+(_xlfn.ANCHORARRAY(Sintesi!$C$9)&lt;_xlfn.ANCHORARRAY(Sintesi!$C$10))*(A272&gt;=_xlfn.ANCHORARRAY(Sintesi!$C$9))*(A272&lt;=_xlfn.ANCHORARRAY(Sintesi!$C$10)))*(_xlfn.ANCHORARRAY(Sintesi!$C$15)&gt;=0)+(_xlfn.ANCHORARRAY(Sintesi!$C$15)&lt;0),0),0)</f>
        <v>0</v>
      </c>
      <c r="D272" s="1">
        <f t="array" ref="D272">IF(ISBLANK($E273),IF(ISNUMBER($E271),IF($C272&gt;0,IF(($E272=INDEX(_xlfn.ANCHORARRAY(Sintesi!$C$14),1,$C272))*(INDEX(_xlfn.ANCHORARRAY(Sintesi!$C$15),1,$C272)&gt;0),0,IF(($E272=INDEX(_xlfn.ANCHORARRAY(Sintesi!$C$14),1,$C272))*(INDEX(_xlfn.ANCHORARRAY(Sintesi!$C$15),1,$C272)&lt;0)+($E272&gt;=$E271)*($E272&lt;=INDEX($E:$E,MATCH(TRUE,INDEX((ISNUMBER($E:$E)),0),0)))*($E272&gt;INDEX(_xlfn.ANCHORARRAY(Sintesi!$C$14),1,$C272))*($E272&lt;=INDEX(_xlfn.ANCHORARRAY(Sintesi!$C$15),1,$C272))*(INDEX(_xlfn.ANCHORARRAY(Sintesi!$C$15),1,$C272)&gt;0),1,IF(($E272&gt;=$E271)*($E272&lt;=INDEX($E:$E,MATCH(TRUE,INDEX((ISNUMBER($E:$E)),0),0)))*($E272&gt;INDEX(_xlfn.ANCHORARRAY(Sintesi!$C$14),1,$C272))*($E272&lt;INDEX(_xlfn.ANCHORARRAY(Sintesi!$C$16),1,$C272))*(INDEX(_xlfn.ANCHORARRAY(Sintesi!$C$15),1,$C272)&lt;0)+($E272&gt;=$E271)*($E272&lt;=INDEX($E:$E,MATCH(TRUE,INDEX((ISNUMBER($E:$E)),0),0)))*($E272&gt;INDEX(_xlfn.ANCHORARRAY(Sintesi!$C$15),1,$C272))*($E272&lt;INDEX(_xlfn.ANCHORARRAY(Sintesi!$C$16),1,$C272))*(INDEX(_xlfn.ANCHORARRAY(Sintesi!$C$15),1,$C272)&gt;0),2,IF($E272=(INDEX(_xlfn.ANCHORARRAY(Sintesi!$C$16),1,$C272)),3,4)))),0),IF($C272&gt;0,IF(($E272=INDEX(_xlfn.ANCHORARRAY(Sintesi!$C$14),1,$C272))*(INDEX(_xlfn.ANCHORARRAY(Sintesi!$C$15),1,$C272)&gt;0),0,IF(($E272=INDEX(_xlfn.ANCHORARRAY(Sintesi!$C$14),1,$C272))*(INDEX(_xlfn.ANCHORARRAY(Sintesi!$C$15),1,$C272)&lt;0)+($E272&gt;=LOOKUP(2,1/($E:$E&lt;&gt;""),$E:$E))*($E272&lt;=INDEX($E:$E,MATCH(TRUE,INDEX((ISNUMBER($E:$E)),0),0)))*($E272&gt;INDEX(_xlfn.ANCHORARRAY(Sintesi!$C$14),1,$C272))*($E272&lt;=INDEX(_xlfn.ANCHORARRAY(Sintesi!$C$15),1,$C272))*(INDEX(_xlfn.ANCHORARRAY(Sintesi!$C$15),1,$C272)&gt;0),1,IF(($E272&gt;=LOOKUP(2,1/($E:$E&lt;&gt;""),$E:$E))*($E272&lt;=INDEX($E:$E,MATCH(TRUE,INDEX((ISNUMBER($E:$E)),0),0)))*($E272&gt;INDEX(_xlfn.ANCHORARRAY(Sintesi!$C$14),1,$C272))*($E272&lt;INDEX(_xlfn.ANCHORARRAY(Sintesi!$C$16),1,$C272))*(INDEX(_xlfn.ANCHORARRAY(Sintesi!$C$15),1,$C272)&lt;0)+($E272&gt;=LOOKUP(2,1/($E:$E&lt;&gt;""),$E:$E))*($E272&lt;=INDEX($E:$E,MATCH(TRUE,INDEX((ISNUMBER($E:$E)),0),0)))*($E272&gt;INDEX(_xlfn.ANCHORARRAY(Sintesi!$C$15),1,$C272))*($E272&lt;INDEX(_xlfn.ANCHORARRAY(Sintesi!$C$16),1,$C272))*(INDEX(_xlfn.ANCHORARRAY(Sintesi!$C$15),1,$C272)&gt;0),2,IF($E272=(INDEX(_xlfn.ANCHORARRAY(Sintesi!$C$16),1,$C272)),3,4)))),0)),IF(ISNUMBER($E271),IF($C272&gt;0,IF(($E272=INDEX(_xlfn.ANCHORARRAY(Sintesi!$C$14),1,$C272))*(INDEX(_xlfn.ANCHORARRAY(Sintesi!$C$15),1,$C272)&gt;0),0,IF(($E272=INDEX(_xlfn.ANCHORARRAY(Sintesi!$C$14),1,$C272))*(INDEX(_xlfn.ANCHORARRAY(Sintesi!$C$15),1,$C272)&lt;0)+($E272&gt;=$E271)*($E272&lt;=$E273)*($E272&gt;INDEX(_xlfn.ANCHORARRAY(Sintesi!$C$14),1,$C272))*($E272&lt;=INDEX(_xlfn.ANCHORARRAY(Sintesi!$C$15),1,$C272))*(INDEX(_xlfn.ANCHORARRAY(Sintesi!$C$15),1,$C272)&gt;0),1,IF(($E272&gt;=$E271)*($E272&lt;=$E273)*($E272&gt;INDEX(_xlfn.ANCHORARRAY(Sintesi!$C$14),1,$C272))*($E272&lt;INDEX(_xlfn.ANCHORARRAY(Sintesi!$C$16),1,$C272))*(INDEX(_xlfn.ANCHORARRAY(Sintesi!$C$15),1,$C272)&lt;0)+($E272&gt;=$E271)*($E272&lt;=$E273)*($E272&gt;INDEX(_xlfn.ANCHORARRAY(Sintesi!$C$15),1,$C272))*($E272&lt;INDEX(_xlfn.ANCHORARRAY(Sintesi!$C$16),1,$C272))*(INDEX(_xlfn.ANCHORARRAY(Sintesi!$C$15),1,$C272)&gt;0),2,IF($E272=(INDEX(_xlfn.ANCHORARRAY(Sintesi!$C$16),1,$C272)),3,4)))),0),IF($C272&gt;0,IF(($E272=INDEX(_xlfn.ANCHORARRAY(Sintesi!$C$14),1,$C272))*(INDEX(_xlfn.ANCHORARRAY(Sintesi!$C$15),1,$C272)&gt;0),0,IF(($E272=INDEX(_xlfn.ANCHORARRAY(Sintesi!$C$14),1,$C272))*(INDEX(_xlfn.ANCHORARRAY(Sintesi!$C$15),1,$C272)&lt;0)+($E272&gt;=LOOKUP(2,1/($E:$E&lt;&gt;""),$E:$E))*($E272&lt;=$E273)*($E272&gt;INDEX(_xlfn.ANCHORARRAY(Sintesi!$C$14),1,$C272))*($E272&lt;=INDEX(_xlfn.ANCHORARRAY(Sintesi!$C$15),1,$C272))*(INDEX(_xlfn.ANCHORARRAY(Sintesi!$C$15),1,$C272)&gt;0),1,IF(($E272&gt;=LOOKUP(2,1/($E:$E&lt;&gt;""),$E:$E))*($E272&lt;=$E273)*($E272&gt;INDEX(_xlfn.ANCHORARRAY(Sintesi!$C$14),1,$C272))*($E272&lt;INDEX(_xlfn.ANCHORARRAY(Sintesi!$C$16),1,$C272))*(INDEX(_xlfn.ANCHORARRAY(Sintesi!$C$15),1,$C272)&lt;0)+($E272&gt;=LOOKUP(2,1/($E:$E&lt;&gt;""),$E:$E))*($E272&lt;=$E273)*($E272&gt;INDEX(_xlfn.ANCHORARRAY(Sintesi!$C$15),1,$C272))*($E272&lt;INDEX(_xlfn.ANCHORARRAY(Sintesi!$C$16),1,$C272))*(INDEX(_xlfn.ANCHORARRAY(Sintesi!$C$15),1,$C272)&gt;0),2,IF($E272=(INDEX(_xlfn.ANCHORARRAY(Sintesi!$C$16),1,$C272)),3,4)))),0)))</f>
        <v>0</v>
      </c>
      <c r="E272" s="1">
        <f>'Paste cell here'!F272</f>
        <v>0</v>
      </c>
      <c r="F272" s="1">
        <f>'Paste cell here'!C272</f>
        <v>26.419999999999618</v>
      </c>
      <c r="G272" s="1">
        <f>'Paste cell here'!D272</f>
        <v>14.959999999999795</v>
      </c>
      <c r="H272" s="1">
        <f>'Paste cell here'!E272</f>
        <v>2.3788667913534391</v>
      </c>
      <c r="I272" s="1">
        <f>'Paste cell here'!X272</f>
        <v>0</v>
      </c>
      <c r="J272" s="1">
        <f>'Paste cell here'!Y272+'Paste cell here'!S272</f>
        <v>0</v>
      </c>
      <c r="K272" s="1">
        <f t="shared" si="8"/>
        <v>0</v>
      </c>
      <c r="L272" s="1">
        <f t="shared" si="9"/>
        <v>22.130745888019643</v>
      </c>
      <c r="M272" s="1">
        <f t="array" ref="M272">IF(AND(A272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272&gt;=_xlfn.ANCHORARRAY(Sintesi!$C$9))+(_xlfn.ANCHORARRAY(Sintesi!$C$9)&gt;_xlfn.ANCHORARRAY(Sintesi!$C$10))*(A272&lt;=_xlfn.ANCHORARRAY(Sintesi!$C$10))+(_xlfn.ANCHORARRAY(Sintesi!$C$9)&lt;_xlfn.ANCHORARRAY(Sintesi!$C$10))*(A272&gt;=_xlfn.ANCHORARRAY(Sintesi!$C$9))*(A272&lt;=_xlfn.ANCHORARRAY(Sintesi!$C$10)),0)),0),A272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273&gt;=_xlfn.ANCHORARRAY(Sintesi!$C$9))+(_xlfn.ANCHORARRAY(Sintesi!$C$9)&gt;_xlfn.ANCHORARRAY(Sintesi!$C$10))*(A273&lt;=_xlfn.ANCHORARRAY(Sintesi!$C$10))+(_xlfn.ANCHORARRAY(Sintesi!$C$9)&lt;_xlfn.ANCHORARRAY(Sintesi!$C$10))*(A273&gt;=_xlfn.ANCHORARRAY(Sintesi!$C$9))*(A273&lt;=_xlfn.ANCHORARRAY(Sintesi!$C$10)),0)),0)),IF(L272&lt;_xlfn.IFNA(INDEX(_xlfn.ANCHORARRAY(Sintesi!$C$17),1,MATCH(1,(_xlfn.ANCHORARRAY(Sintesi!$C$9)&gt;_xlfn.ANCHORARRAY(Sintesi!$C$10))*(A271&gt;=_xlfn.ANCHORARRAY(Sintesi!$C$9))+(_xlfn.ANCHORARRAY(Sintesi!$C$9)&gt;_xlfn.ANCHORARRAY(Sintesi!$C$10))*(A271&lt;=_xlfn.ANCHORARRAY(Sintesi!$C$10))+(_xlfn.ANCHORARRAY(Sintesi!$C$9)&lt;_xlfn.ANCHORARRAY(Sintesi!$C$10))*(A271&gt;=_xlfn.ANCHORARRAY(Sintesi!$C$9))*(A271&lt;=_xlfn.ANCHORARRAY(Sintesi!$C$10)),0)),0),1,IF(L272&gt;=_xlfn.IFNA(INDEX(_xlfn.ANCHORARRAY(Sintesi!$C$18),1,MATCH(1,(_xlfn.ANCHORARRAY(Sintesi!$C$9)&gt;_xlfn.ANCHORARRAY(Sintesi!$C$10))*(A271&gt;=_xlfn.ANCHORARRAY(Sintesi!$C$9))+(_xlfn.ANCHORARRAY(Sintesi!$C$9)&gt;_xlfn.ANCHORARRAY(Sintesi!$C$10))*(A271&lt;=_xlfn.ANCHORARRAY(Sintesi!$C$10))+(_xlfn.ANCHORARRAY(Sintesi!$C$9)&lt;_xlfn.ANCHORARRAY(Sintesi!$C$10))*(A271&gt;=_xlfn.ANCHORARRAY(Sintesi!$C$9))*(A271&lt;=_xlfn.ANCHORARRAY(Sintesi!$C$10)),0)),0),0,1-(L272-_xlfn.IFNA(INDEX(_xlfn.ANCHORARRAY(Sintesi!$C$17),1,MATCH(1,(_xlfn.ANCHORARRAY(Sintesi!$C$9)&gt;_xlfn.ANCHORARRAY(Sintesi!$C$10))*(A271&gt;=_xlfn.ANCHORARRAY(Sintesi!$C$9))+(_xlfn.ANCHORARRAY(Sintesi!$C$9)&gt;_xlfn.ANCHORARRAY(Sintesi!$C$10))*(A271&lt;=_xlfn.ANCHORARRAY(Sintesi!$C$10))+(_xlfn.ANCHORARRAY(Sintesi!$C$9)&lt;_xlfn.ANCHORARRAY(Sintesi!$C$10))*(A271&gt;=_xlfn.ANCHORARRAY(Sintesi!$C$9))*(A271&lt;=_xlfn.ANCHORARRAY(Sintesi!$C$10)),0)),0))/(_xlfn.IFNA(INDEX(_xlfn.ANCHORARRAY(Sintesi!$C$18),1,MATCH(1,(_xlfn.ANCHORARRAY(Sintesi!$C$9)&gt;_xlfn.ANCHORARRAY(Sintesi!$C$10))*(A271&gt;=_xlfn.ANCHORARRAY(Sintesi!$C$9))+(_xlfn.ANCHORARRAY(Sintesi!$C$9)&gt;_xlfn.ANCHORARRAY(Sintesi!$C$10))*(A271&lt;=_xlfn.ANCHORARRAY(Sintesi!$C$10))+(_xlfn.ANCHORARRAY(Sintesi!$C$9)&lt;_xlfn.ANCHORARRAY(Sintesi!$C$10))*(A271&gt;=_xlfn.ANCHORARRAY(Sintesi!$C$9))*(A271&lt;=_xlfn.ANCHORARRAY(Sintesi!$C$10)),0)),0)-_xlfn.IFNA(INDEX(_xlfn.ANCHORARRAY(Sintesi!$C$17),1,MATCH(1,(_xlfn.ANCHORARRAY(Sintesi!$C$9)&gt;_xlfn.ANCHORARRAY(Sintesi!$C$10))*(A271&gt;=_xlfn.ANCHORARRAY(Sintesi!$C$9))+(_xlfn.ANCHORARRAY(Sintesi!$C$9)&gt;_xlfn.ANCHORARRAY(Sintesi!$C$10))*(A271&lt;=_xlfn.ANCHORARRAY(Sintesi!$C$10))+(_xlfn.ANCHORARRAY(Sintesi!$C$9)&lt;_xlfn.ANCHORARRAY(Sintesi!$C$10))*(A271&gt;=_xlfn.ANCHORARRAY(Sintesi!$C$9))*(A271&lt;=_xlfn.ANCHORARRAY(Sintesi!$C$10)),0)),0)))),0)</f>
        <v>0</v>
      </c>
    </row>
    <row r="273" spans="1:13">
      <c r="A273" s="1">
        <f>'Paste cell here'!A273</f>
        <v>272</v>
      </c>
      <c r="B273" s="2">
        <f>DATE(Sintesi!$C$4-1,12,31)+A273</f>
        <v>44468</v>
      </c>
      <c r="C273" s="34">
        <f t="array" ref="C273">_xlfn.IFNA(MATCH(1,((_xlfn.ANCHORARRAY(Sintesi!$C$9)&gt;_xlfn.ANCHORARRAY(Sintesi!$C$10))*(A273&gt;=_xlfn.ANCHORARRAY(Sintesi!$C$9))+(_xlfn.ANCHORARRAY(Sintesi!$C$9)&gt;_xlfn.ANCHORARRAY(Sintesi!$C$10))*(A273&lt;=_xlfn.ANCHORARRAY(Sintesi!$C$10))+(_xlfn.ANCHORARRAY(Sintesi!$C$9)&lt;_xlfn.ANCHORARRAY(Sintesi!$C$10))*(A273&gt;=_xlfn.ANCHORARRAY(Sintesi!$C$9))*(A273&lt;=_xlfn.ANCHORARRAY(Sintesi!$C$10)))*(_xlfn.ANCHORARRAY(Sintesi!$C$15)&gt;=0)+(_xlfn.ANCHORARRAY(Sintesi!$C$15)&lt;0),0),0)</f>
        <v>0</v>
      </c>
      <c r="D273" s="1">
        <f t="array" ref="D273">IF(ISBLANK($E274),IF(ISNUMBER($E272),IF($C273&gt;0,IF(($E273=INDEX(_xlfn.ANCHORARRAY(Sintesi!$C$14),1,$C273))*(INDEX(_xlfn.ANCHORARRAY(Sintesi!$C$15),1,$C273)&gt;0),0,IF(($E273=INDEX(_xlfn.ANCHORARRAY(Sintesi!$C$14),1,$C273))*(INDEX(_xlfn.ANCHORARRAY(Sintesi!$C$15),1,$C273)&lt;0)+($E273&gt;=$E272)*($E273&lt;=INDEX($E:$E,MATCH(TRUE,INDEX((ISNUMBER($E:$E)),0),0)))*($E273&gt;INDEX(_xlfn.ANCHORARRAY(Sintesi!$C$14),1,$C273))*($E273&lt;=INDEX(_xlfn.ANCHORARRAY(Sintesi!$C$15),1,$C273))*(INDEX(_xlfn.ANCHORARRAY(Sintesi!$C$15),1,$C273)&gt;0),1,IF(($E273&gt;=$E272)*($E273&lt;=INDEX($E:$E,MATCH(TRUE,INDEX((ISNUMBER($E:$E)),0),0)))*($E273&gt;INDEX(_xlfn.ANCHORARRAY(Sintesi!$C$14),1,$C273))*($E273&lt;INDEX(_xlfn.ANCHORARRAY(Sintesi!$C$16),1,$C273))*(INDEX(_xlfn.ANCHORARRAY(Sintesi!$C$15),1,$C273)&lt;0)+($E273&gt;=$E272)*($E273&lt;=INDEX($E:$E,MATCH(TRUE,INDEX((ISNUMBER($E:$E)),0),0)))*($E273&gt;INDEX(_xlfn.ANCHORARRAY(Sintesi!$C$15),1,$C273))*($E273&lt;INDEX(_xlfn.ANCHORARRAY(Sintesi!$C$16),1,$C273))*(INDEX(_xlfn.ANCHORARRAY(Sintesi!$C$15),1,$C273)&gt;0),2,IF($E273=(INDEX(_xlfn.ANCHORARRAY(Sintesi!$C$16),1,$C273)),3,4)))),0),IF($C273&gt;0,IF(($E273=INDEX(_xlfn.ANCHORARRAY(Sintesi!$C$14),1,$C273))*(INDEX(_xlfn.ANCHORARRAY(Sintesi!$C$15),1,$C273)&gt;0),0,IF(($E273=INDEX(_xlfn.ANCHORARRAY(Sintesi!$C$14),1,$C273))*(INDEX(_xlfn.ANCHORARRAY(Sintesi!$C$15),1,$C273)&lt;0)+($E273&gt;=LOOKUP(2,1/($E:$E&lt;&gt;""),$E:$E))*($E273&lt;=INDEX($E:$E,MATCH(TRUE,INDEX((ISNUMBER($E:$E)),0),0)))*($E273&gt;INDEX(_xlfn.ANCHORARRAY(Sintesi!$C$14),1,$C273))*($E273&lt;=INDEX(_xlfn.ANCHORARRAY(Sintesi!$C$15),1,$C273))*(INDEX(_xlfn.ANCHORARRAY(Sintesi!$C$15),1,$C273)&gt;0),1,IF(($E273&gt;=LOOKUP(2,1/($E:$E&lt;&gt;""),$E:$E))*($E273&lt;=INDEX($E:$E,MATCH(TRUE,INDEX((ISNUMBER($E:$E)),0),0)))*($E273&gt;INDEX(_xlfn.ANCHORARRAY(Sintesi!$C$14),1,$C273))*($E273&lt;INDEX(_xlfn.ANCHORARRAY(Sintesi!$C$16),1,$C273))*(INDEX(_xlfn.ANCHORARRAY(Sintesi!$C$15),1,$C273)&lt;0)+($E273&gt;=LOOKUP(2,1/($E:$E&lt;&gt;""),$E:$E))*($E273&lt;=INDEX($E:$E,MATCH(TRUE,INDEX((ISNUMBER($E:$E)),0),0)))*($E273&gt;INDEX(_xlfn.ANCHORARRAY(Sintesi!$C$15),1,$C273))*($E273&lt;INDEX(_xlfn.ANCHORARRAY(Sintesi!$C$16),1,$C273))*(INDEX(_xlfn.ANCHORARRAY(Sintesi!$C$15),1,$C273)&gt;0),2,IF($E273=(INDEX(_xlfn.ANCHORARRAY(Sintesi!$C$16),1,$C273)),3,4)))),0)),IF(ISNUMBER($E272),IF($C273&gt;0,IF(($E273=INDEX(_xlfn.ANCHORARRAY(Sintesi!$C$14),1,$C273))*(INDEX(_xlfn.ANCHORARRAY(Sintesi!$C$15),1,$C273)&gt;0),0,IF(($E273=INDEX(_xlfn.ANCHORARRAY(Sintesi!$C$14),1,$C273))*(INDEX(_xlfn.ANCHORARRAY(Sintesi!$C$15),1,$C273)&lt;0)+($E273&gt;=$E272)*($E273&lt;=$E274)*($E273&gt;INDEX(_xlfn.ANCHORARRAY(Sintesi!$C$14),1,$C273))*($E273&lt;=INDEX(_xlfn.ANCHORARRAY(Sintesi!$C$15),1,$C273))*(INDEX(_xlfn.ANCHORARRAY(Sintesi!$C$15),1,$C273)&gt;0),1,IF(($E273&gt;=$E272)*($E273&lt;=$E274)*($E273&gt;INDEX(_xlfn.ANCHORARRAY(Sintesi!$C$14),1,$C273))*($E273&lt;INDEX(_xlfn.ANCHORARRAY(Sintesi!$C$16),1,$C273))*(INDEX(_xlfn.ANCHORARRAY(Sintesi!$C$15),1,$C273)&lt;0)+($E273&gt;=$E272)*($E273&lt;=$E274)*($E273&gt;INDEX(_xlfn.ANCHORARRAY(Sintesi!$C$15),1,$C273))*($E273&lt;INDEX(_xlfn.ANCHORARRAY(Sintesi!$C$16),1,$C273))*(INDEX(_xlfn.ANCHORARRAY(Sintesi!$C$15),1,$C273)&gt;0),2,IF($E273=(INDEX(_xlfn.ANCHORARRAY(Sintesi!$C$16),1,$C273)),3,4)))),0),IF($C273&gt;0,IF(($E273=INDEX(_xlfn.ANCHORARRAY(Sintesi!$C$14),1,$C273))*(INDEX(_xlfn.ANCHORARRAY(Sintesi!$C$15),1,$C273)&gt;0),0,IF(($E273=INDEX(_xlfn.ANCHORARRAY(Sintesi!$C$14),1,$C273))*(INDEX(_xlfn.ANCHORARRAY(Sintesi!$C$15),1,$C273)&lt;0)+($E273&gt;=LOOKUP(2,1/($E:$E&lt;&gt;""),$E:$E))*($E273&lt;=$E274)*($E273&gt;INDEX(_xlfn.ANCHORARRAY(Sintesi!$C$14),1,$C273))*($E273&lt;=INDEX(_xlfn.ANCHORARRAY(Sintesi!$C$15),1,$C273))*(INDEX(_xlfn.ANCHORARRAY(Sintesi!$C$15),1,$C273)&gt;0),1,IF(($E273&gt;=LOOKUP(2,1/($E:$E&lt;&gt;""),$E:$E))*($E273&lt;=$E274)*($E273&gt;INDEX(_xlfn.ANCHORARRAY(Sintesi!$C$14),1,$C273))*($E273&lt;INDEX(_xlfn.ANCHORARRAY(Sintesi!$C$16),1,$C273))*(INDEX(_xlfn.ANCHORARRAY(Sintesi!$C$15),1,$C273)&lt;0)+($E273&gt;=LOOKUP(2,1/($E:$E&lt;&gt;""),$E:$E))*($E273&lt;=$E274)*($E273&gt;INDEX(_xlfn.ANCHORARRAY(Sintesi!$C$15),1,$C273))*($E273&lt;INDEX(_xlfn.ANCHORARRAY(Sintesi!$C$16),1,$C273))*(INDEX(_xlfn.ANCHORARRAY(Sintesi!$C$15),1,$C273)&gt;0),2,IF($E273=(INDEX(_xlfn.ANCHORARRAY(Sintesi!$C$16),1,$C273)),3,4)))),0)))</f>
        <v>0</v>
      </c>
      <c r="E273" s="1">
        <f>'Paste cell here'!F273</f>
        <v>0</v>
      </c>
      <c r="F273" s="1">
        <f>'Paste cell here'!C273</f>
        <v>27.259999999999607</v>
      </c>
      <c r="G273" s="1">
        <f>'Paste cell here'!D273</f>
        <v>15.699999999999775</v>
      </c>
      <c r="H273" s="1">
        <f>'Paste cell here'!E273</f>
        <v>2.6160052618647942</v>
      </c>
      <c r="I273" s="1">
        <f>'Paste cell here'!X273</f>
        <v>0</v>
      </c>
      <c r="J273" s="1">
        <f>'Paste cell here'!Y273+'Paste cell here'!S273</f>
        <v>0</v>
      </c>
      <c r="K273" s="1">
        <f t="shared" si="8"/>
        <v>0</v>
      </c>
      <c r="L273" s="1">
        <f t="shared" si="9"/>
        <v>22.933317841667272</v>
      </c>
      <c r="M273" s="1">
        <f t="array" ref="M273">IF(AND(A273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273&gt;=_xlfn.ANCHORARRAY(Sintesi!$C$9))+(_xlfn.ANCHORARRAY(Sintesi!$C$9)&gt;_xlfn.ANCHORARRAY(Sintesi!$C$10))*(A273&lt;=_xlfn.ANCHORARRAY(Sintesi!$C$10))+(_xlfn.ANCHORARRAY(Sintesi!$C$9)&lt;_xlfn.ANCHORARRAY(Sintesi!$C$10))*(A273&gt;=_xlfn.ANCHORARRAY(Sintesi!$C$9))*(A273&lt;=_xlfn.ANCHORARRAY(Sintesi!$C$10)),0)),0),A273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274&gt;=_xlfn.ANCHORARRAY(Sintesi!$C$9))+(_xlfn.ANCHORARRAY(Sintesi!$C$9)&gt;_xlfn.ANCHORARRAY(Sintesi!$C$10))*(A274&lt;=_xlfn.ANCHORARRAY(Sintesi!$C$10))+(_xlfn.ANCHORARRAY(Sintesi!$C$9)&lt;_xlfn.ANCHORARRAY(Sintesi!$C$10))*(A274&gt;=_xlfn.ANCHORARRAY(Sintesi!$C$9))*(A274&lt;=_xlfn.ANCHORARRAY(Sintesi!$C$10)),0)),0)),IF(L273&lt;_xlfn.IFNA(INDEX(_xlfn.ANCHORARRAY(Sintesi!$C$17),1,MATCH(1,(_xlfn.ANCHORARRAY(Sintesi!$C$9)&gt;_xlfn.ANCHORARRAY(Sintesi!$C$10))*(A272&gt;=_xlfn.ANCHORARRAY(Sintesi!$C$9))+(_xlfn.ANCHORARRAY(Sintesi!$C$9)&gt;_xlfn.ANCHORARRAY(Sintesi!$C$10))*(A272&lt;=_xlfn.ANCHORARRAY(Sintesi!$C$10))+(_xlfn.ANCHORARRAY(Sintesi!$C$9)&lt;_xlfn.ANCHORARRAY(Sintesi!$C$10))*(A272&gt;=_xlfn.ANCHORARRAY(Sintesi!$C$9))*(A272&lt;=_xlfn.ANCHORARRAY(Sintesi!$C$10)),0)),0),1,IF(L273&gt;=_xlfn.IFNA(INDEX(_xlfn.ANCHORARRAY(Sintesi!$C$18),1,MATCH(1,(_xlfn.ANCHORARRAY(Sintesi!$C$9)&gt;_xlfn.ANCHORARRAY(Sintesi!$C$10))*(A272&gt;=_xlfn.ANCHORARRAY(Sintesi!$C$9))+(_xlfn.ANCHORARRAY(Sintesi!$C$9)&gt;_xlfn.ANCHORARRAY(Sintesi!$C$10))*(A272&lt;=_xlfn.ANCHORARRAY(Sintesi!$C$10))+(_xlfn.ANCHORARRAY(Sintesi!$C$9)&lt;_xlfn.ANCHORARRAY(Sintesi!$C$10))*(A272&gt;=_xlfn.ANCHORARRAY(Sintesi!$C$9))*(A272&lt;=_xlfn.ANCHORARRAY(Sintesi!$C$10)),0)),0),0,1-(L273-_xlfn.IFNA(INDEX(_xlfn.ANCHORARRAY(Sintesi!$C$17),1,MATCH(1,(_xlfn.ANCHORARRAY(Sintesi!$C$9)&gt;_xlfn.ANCHORARRAY(Sintesi!$C$10))*(A272&gt;=_xlfn.ANCHORARRAY(Sintesi!$C$9))+(_xlfn.ANCHORARRAY(Sintesi!$C$9)&gt;_xlfn.ANCHORARRAY(Sintesi!$C$10))*(A272&lt;=_xlfn.ANCHORARRAY(Sintesi!$C$10))+(_xlfn.ANCHORARRAY(Sintesi!$C$9)&lt;_xlfn.ANCHORARRAY(Sintesi!$C$10))*(A272&gt;=_xlfn.ANCHORARRAY(Sintesi!$C$9))*(A272&lt;=_xlfn.ANCHORARRAY(Sintesi!$C$10)),0)),0))/(_xlfn.IFNA(INDEX(_xlfn.ANCHORARRAY(Sintesi!$C$18),1,MATCH(1,(_xlfn.ANCHORARRAY(Sintesi!$C$9)&gt;_xlfn.ANCHORARRAY(Sintesi!$C$10))*(A272&gt;=_xlfn.ANCHORARRAY(Sintesi!$C$9))+(_xlfn.ANCHORARRAY(Sintesi!$C$9)&gt;_xlfn.ANCHORARRAY(Sintesi!$C$10))*(A272&lt;=_xlfn.ANCHORARRAY(Sintesi!$C$10))+(_xlfn.ANCHORARRAY(Sintesi!$C$9)&lt;_xlfn.ANCHORARRAY(Sintesi!$C$10))*(A272&gt;=_xlfn.ANCHORARRAY(Sintesi!$C$9))*(A272&lt;=_xlfn.ANCHORARRAY(Sintesi!$C$10)),0)),0)-_xlfn.IFNA(INDEX(_xlfn.ANCHORARRAY(Sintesi!$C$17),1,MATCH(1,(_xlfn.ANCHORARRAY(Sintesi!$C$9)&gt;_xlfn.ANCHORARRAY(Sintesi!$C$10))*(A272&gt;=_xlfn.ANCHORARRAY(Sintesi!$C$9))+(_xlfn.ANCHORARRAY(Sintesi!$C$9)&gt;_xlfn.ANCHORARRAY(Sintesi!$C$10))*(A272&lt;=_xlfn.ANCHORARRAY(Sintesi!$C$10))+(_xlfn.ANCHORARRAY(Sintesi!$C$9)&lt;_xlfn.ANCHORARRAY(Sintesi!$C$10))*(A272&gt;=_xlfn.ANCHORARRAY(Sintesi!$C$9))*(A272&lt;=_xlfn.ANCHORARRAY(Sintesi!$C$10)),0)),0)))),0)</f>
        <v>0</v>
      </c>
    </row>
    <row r="274" spans="1:13">
      <c r="A274" s="1">
        <f>'Paste cell here'!A274</f>
        <v>273</v>
      </c>
      <c r="B274" s="2">
        <f>DATE(Sintesi!$C$4-1,12,31)+A274</f>
        <v>44469</v>
      </c>
      <c r="C274" s="34">
        <f t="array" ref="C274">_xlfn.IFNA(MATCH(1,((_xlfn.ANCHORARRAY(Sintesi!$C$9)&gt;_xlfn.ANCHORARRAY(Sintesi!$C$10))*(A274&gt;=_xlfn.ANCHORARRAY(Sintesi!$C$9))+(_xlfn.ANCHORARRAY(Sintesi!$C$9)&gt;_xlfn.ANCHORARRAY(Sintesi!$C$10))*(A274&lt;=_xlfn.ANCHORARRAY(Sintesi!$C$10))+(_xlfn.ANCHORARRAY(Sintesi!$C$9)&lt;_xlfn.ANCHORARRAY(Sintesi!$C$10))*(A274&gt;=_xlfn.ANCHORARRAY(Sintesi!$C$9))*(A274&lt;=_xlfn.ANCHORARRAY(Sintesi!$C$10)))*(_xlfn.ANCHORARRAY(Sintesi!$C$15)&gt;=0)+(_xlfn.ANCHORARRAY(Sintesi!$C$15)&lt;0),0),0)</f>
        <v>0</v>
      </c>
      <c r="D274" s="1">
        <f t="array" ref="D274">IF(ISBLANK($E275),IF(ISNUMBER($E273),IF($C274&gt;0,IF(($E274=INDEX(_xlfn.ANCHORARRAY(Sintesi!$C$14),1,$C274))*(INDEX(_xlfn.ANCHORARRAY(Sintesi!$C$15),1,$C274)&gt;0),0,IF(($E274=INDEX(_xlfn.ANCHORARRAY(Sintesi!$C$14),1,$C274))*(INDEX(_xlfn.ANCHORARRAY(Sintesi!$C$15),1,$C274)&lt;0)+($E274&gt;=$E273)*($E274&lt;=INDEX($E:$E,MATCH(TRUE,INDEX((ISNUMBER($E:$E)),0),0)))*($E274&gt;INDEX(_xlfn.ANCHORARRAY(Sintesi!$C$14),1,$C274))*($E274&lt;=INDEX(_xlfn.ANCHORARRAY(Sintesi!$C$15),1,$C274))*(INDEX(_xlfn.ANCHORARRAY(Sintesi!$C$15),1,$C274)&gt;0),1,IF(($E274&gt;=$E273)*($E274&lt;=INDEX($E:$E,MATCH(TRUE,INDEX((ISNUMBER($E:$E)),0),0)))*($E274&gt;INDEX(_xlfn.ANCHORARRAY(Sintesi!$C$14),1,$C274))*($E274&lt;INDEX(_xlfn.ANCHORARRAY(Sintesi!$C$16),1,$C274))*(INDEX(_xlfn.ANCHORARRAY(Sintesi!$C$15),1,$C274)&lt;0)+($E274&gt;=$E273)*($E274&lt;=INDEX($E:$E,MATCH(TRUE,INDEX((ISNUMBER($E:$E)),0),0)))*($E274&gt;INDEX(_xlfn.ANCHORARRAY(Sintesi!$C$15),1,$C274))*($E274&lt;INDEX(_xlfn.ANCHORARRAY(Sintesi!$C$16),1,$C274))*(INDEX(_xlfn.ANCHORARRAY(Sintesi!$C$15),1,$C274)&gt;0),2,IF($E274=(INDEX(_xlfn.ANCHORARRAY(Sintesi!$C$16),1,$C274)),3,4)))),0),IF($C274&gt;0,IF(($E274=INDEX(_xlfn.ANCHORARRAY(Sintesi!$C$14),1,$C274))*(INDEX(_xlfn.ANCHORARRAY(Sintesi!$C$15),1,$C274)&gt;0),0,IF(($E274=INDEX(_xlfn.ANCHORARRAY(Sintesi!$C$14),1,$C274))*(INDEX(_xlfn.ANCHORARRAY(Sintesi!$C$15),1,$C274)&lt;0)+($E274&gt;=LOOKUP(2,1/($E:$E&lt;&gt;""),$E:$E))*($E274&lt;=INDEX($E:$E,MATCH(TRUE,INDEX((ISNUMBER($E:$E)),0),0)))*($E274&gt;INDEX(_xlfn.ANCHORARRAY(Sintesi!$C$14),1,$C274))*($E274&lt;=INDEX(_xlfn.ANCHORARRAY(Sintesi!$C$15),1,$C274))*(INDEX(_xlfn.ANCHORARRAY(Sintesi!$C$15),1,$C274)&gt;0),1,IF(($E274&gt;=LOOKUP(2,1/($E:$E&lt;&gt;""),$E:$E))*($E274&lt;=INDEX($E:$E,MATCH(TRUE,INDEX((ISNUMBER($E:$E)),0),0)))*($E274&gt;INDEX(_xlfn.ANCHORARRAY(Sintesi!$C$14),1,$C274))*($E274&lt;INDEX(_xlfn.ANCHORARRAY(Sintesi!$C$16),1,$C274))*(INDEX(_xlfn.ANCHORARRAY(Sintesi!$C$15),1,$C274)&lt;0)+($E274&gt;=LOOKUP(2,1/($E:$E&lt;&gt;""),$E:$E))*($E274&lt;=INDEX($E:$E,MATCH(TRUE,INDEX((ISNUMBER($E:$E)),0),0)))*($E274&gt;INDEX(_xlfn.ANCHORARRAY(Sintesi!$C$15),1,$C274))*($E274&lt;INDEX(_xlfn.ANCHORARRAY(Sintesi!$C$16),1,$C274))*(INDEX(_xlfn.ANCHORARRAY(Sintesi!$C$15),1,$C274)&gt;0),2,IF($E274=(INDEX(_xlfn.ANCHORARRAY(Sintesi!$C$16),1,$C274)),3,4)))),0)),IF(ISNUMBER($E273),IF($C274&gt;0,IF(($E274=INDEX(_xlfn.ANCHORARRAY(Sintesi!$C$14),1,$C274))*(INDEX(_xlfn.ANCHORARRAY(Sintesi!$C$15),1,$C274)&gt;0),0,IF(($E274=INDEX(_xlfn.ANCHORARRAY(Sintesi!$C$14),1,$C274))*(INDEX(_xlfn.ANCHORARRAY(Sintesi!$C$15),1,$C274)&lt;0)+($E274&gt;=$E273)*($E274&lt;=$E275)*($E274&gt;INDEX(_xlfn.ANCHORARRAY(Sintesi!$C$14),1,$C274))*($E274&lt;=INDEX(_xlfn.ANCHORARRAY(Sintesi!$C$15),1,$C274))*(INDEX(_xlfn.ANCHORARRAY(Sintesi!$C$15),1,$C274)&gt;0),1,IF(($E274&gt;=$E273)*($E274&lt;=$E275)*($E274&gt;INDEX(_xlfn.ANCHORARRAY(Sintesi!$C$14),1,$C274))*($E274&lt;INDEX(_xlfn.ANCHORARRAY(Sintesi!$C$16),1,$C274))*(INDEX(_xlfn.ANCHORARRAY(Sintesi!$C$15),1,$C274)&lt;0)+($E274&gt;=$E273)*($E274&lt;=$E275)*($E274&gt;INDEX(_xlfn.ANCHORARRAY(Sintesi!$C$15),1,$C274))*($E274&lt;INDEX(_xlfn.ANCHORARRAY(Sintesi!$C$16),1,$C274))*(INDEX(_xlfn.ANCHORARRAY(Sintesi!$C$15),1,$C274)&gt;0),2,IF($E274=(INDEX(_xlfn.ANCHORARRAY(Sintesi!$C$16),1,$C274)),3,4)))),0),IF($C274&gt;0,IF(($E274=INDEX(_xlfn.ANCHORARRAY(Sintesi!$C$14),1,$C274))*(INDEX(_xlfn.ANCHORARRAY(Sintesi!$C$15),1,$C274)&gt;0),0,IF(($E274=INDEX(_xlfn.ANCHORARRAY(Sintesi!$C$14),1,$C274))*(INDEX(_xlfn.ANCHORARRAY(Sintesi!$C$15),1,$C274)&lt;0)+($E274&gt;=LOOKUP(2,1/($E:$E&lt;&gt;""),$E:$E))*($E274&lt;=$E275)*($E274&gt;INDEX(_xlfn.ANCHORARRAY(Sintesi!$C$14),1,$C274))*($E274&lt;=INDEX(_xlfn.ANCHORARRAY(Sintesi!$C$15),1,$C274))*(INDEX(_xlfn.ANCHORARRAY(Sintesi!$C$15),1,$C274)&gt;0),1,IF(($E274&gt;=LOOKUP(2,1/($E:$E&lt;&gt;""),$E:$E))*($E274&lt;=$E275)*($E274&gt;INDEX(_xlfn.ANCHORARRAY(Sintesi!$C$14),1,$C274))*($E274&lt;INDEX(_xlfn.ANCHORARRAY(Sintesi!$C$16),1,$C274))*(INDEX(_xlfn.ANCHORARRAY(Sintesi!$C$15),1,$C274)&lt;0)+($E274&gt;=LOOKUP(2,1/($E:$E&lt;&gt;""),$E:$E))*($E274&lt;=$E275)*($E274&gt;INDEX(_xlfn.ANCHORARRAY(Sintesi!$C$15),1,$C274))*($E274&lt;INDEX(_xlfn.ANCHORARRAY(Sintesi!$C$16),1,$C274))*(INDEX(_xlfn.ANCHORARRAY(Sintesi!$C$15),1,$C274)&gt;0),2,IF($E274=(INDEX(_xlfn.ANCHORARRAY(Sintesi!$C$16),1,$C274)),3,4)))),0)))</f>
        <v>0</v>
      </c>
      <c r="E274" s="1">
        <f>'Paste cell here'!F274</f>
        <v>0</v>
      </c>
      <c r="F274" s="1">
        <f>'Paste cell here'!C274</f>
        <v>24.319999999999645</v>
      </c>
      <c r="G274" s="1">
        <f>'Paste cell here'!D274</f>
        <v>14.199999999999793</v>
      </c>
      <c r="H274" s="1">
        <f>'Paste cell here'!E274</f>
        <v>2.3713397527819033</v>
      </c>
      <c r="I274" s="1">
        <f>'Paste cell here'!X274</f>
        <v>0</v>
      </c>
      <c r="J274" s="1">
        <f>'Paste cell here'!Y274+'Paste cell here'!S274</f>
        <v>0</v>
      </c>
      <c r="K274" s="1">
        <f t="shared" si="8"/>
        <v>0</v>
      </c>
      <c r="L274" s="1">
        <f t="shared" si="9"/>
        <v>20.532281709141234</v>
      </c>
      <c r="M274" s="1">
        <f t="array" ref="M274">IF(AND(A274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274&gt;=_xlfn.ANCHORARRAY(Sintesi!$C$9))+(_xlfn.ANCHORARRAY(Sintesi!$C$9)&gt;_xlfn.ANCHORARRAY(Sintesi!$C$10))*(A274&lt;=_xlfn.ANCHORARRAY(Sintesi!$C$10))+(_xlfn.ANCHORARRAY(Sintesi!$C$9)&lt;_xlfn.ANCHORARRAY(Sintesi!$C$10))*(A274&gt;=_xlfn.ANCHORARRAY(Sintesi!$C$9))*(A274&lt;=_xlfn.ANCHORARRAY(Sintesi!$C$10)),0)),0),A274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275&gt;=_xlfn.ANCHORARRAY(Sintesi!$C$9))+(_xlfn.ANCHORARRAY(Sintesi!$C$9)&gt;_xlfn.ANCHORARRAY(Sintesi!$C$10))*(A275&lt;=_xlfn.ANCHORARRAY(Sintesi!$C$10))+(_xlfn.ANCHORARRAY(Sintesi!$C$9)&lt;_xlfn.ANCHORARRAY(Sintesi!$C$10))*(A275&gt;=_xlfn.ANCHORARRAY(Sintesi!$C$9))*(A275&lt;=_xlfn.ANCHORARRAY(Sintesi!$C$10)),0)),0)),IF(L274&lt;_xlfn.IFNA(INDEX(_xlfn.ANCHORARRAY(Sintesi!$C$17),1,MATCH(1,(_xlfn.ANCHORARRAY(Sintesi!$C$9)&gt;_xlfn.ANCHORARRAY(Sintesi!$C$10))*(A273&gt;=_xlfn.ANCHORARRAY(Sintesi!$C$9))+(_xlfn.ANCHORARRAY(Sintesi!$C$9)&gt;_xlfn.ANCHORARRAY(Sintesi!$C$10))*(A273&lt;=_xlfn.ANCHORARRAY(Sintesi!$C$10))+(_xlfn.ANCHORARRAY(Sintesi!$C$9)&lt;_xlfn.ANCHORARRAY(Sintesi!$C$10))*(A273&gt;=_xlfn.ANCHORARRAY(Sintesi!$C$9))*(A273&lt;=_xlfn.ANCHORARRAY(Sintesi!$C$10)),0)),0),1,IF(L274&gt;=_xlfn.IFNA(INDEX(_xlfn.ANCHORARRAY(Sintesi!$C$18),1,MATCH(1,(_xlfn.ANCHORARRAY(Sintesi!$C$9)&gt;_xlfn.ANCHORARRAY(Sintesi!$C$10))*(A273&gt;=_xlfn.ANCHORARRAY(Sintesi!$C$9))+(_xlfn.ANCHORARRAY(Sintesi!$C$9)&gt;_xlfn.ANCHORARRAY(Sintesi!$C$10))*(A273&lt;=_xlfn.ANCHORARRAY(Sintesi!$C$10))+(_xlfn.ANCHORARRAY(Sintesi!$C$9)&lt;_xlfn.ANCHORARRAY(Sintesi!$C$10))*(A273&gt;=_xlfn.ANCHORARRAY(Sintesi!$C$9))*(A273&lt;=_xlfn.ANCHORARRAY(Sintesi!$C$10)),0)),0),0,1-(L274-_xlfn.IFNA(INDEX(_xlfn.ANCHORARRAY(Sintesi!$C$17),1,MATCH(1,(_xlfn.ANCHORARRAY(Sintesi!$C$9)&gt;_xlfn.ANCHORARRAY(Sintesi!$C$10))*(A273&gt;=_xlfn.ANCHORARRAY(Sintesi!$C$9))+(_xlfn.ANCHORARRAY(Sintesi!$C$9)&gt;_xlfn.ANCHORARRAY(Sintesi!$C$10))*(A273&lt;=_xlfn.ANCHORARRAY(Sintesi!$C$10))+(_xlfn.ANCHORARRAY(Sintesi!$C$9)&lt;_xlfn.ANCHORARRAY(Sintesi!$C$10))*(A273&gt;=_xlfn.ANCHORARRAY(Sintesi!$C$9))*(A273&lt;=_xlfn.ANCHORARRAY(Sintesi!$C$10)),0)),0))/(_xlfn.IFNA(INDEX(_xlfn.ANCHORARRAY(Sintesi!$C$18),1,MATCH(1,(_xlfn.ANCHORARRAY(Sintesi!$C$9)&gt;_xlfn.ANCHORARRAY(Sintesi!$C$10))*(A273&gt;=_xlfn.ANCHORARRAY(Sintesi!$C$9))+(_xlfn.ANCHORARRAY(Sintesi!$C$9)&gt;_xlfn.ANCHORARRAY(Sintesi!$C$10))*(A273&lt;=_xlfn.ANCHORARRAY(Sintesi!$C$10))+(_xlfn.ANCHORARRAY(Sintesi!$C$9)&lt;_xlfn.ANCHORARRAY(Sintesi!$C$10))*(A273&gt;=_xlfn.ANCHORARRAY(Sintesi!$C$9))*(A273&lt;=_xlfn.ANCHORARRAY(Sintesi!$C$10)),0)),0)-_xlfn.IFNA(INDEX(_xlfn.ANCHORARRAY(Sintesi!$C$17),1,MATCH(1,(_xlfn.ANCHORARRAY(Sintesi!$C$9)&gt;_xlfn.ANCHORARRAY(Sintesi!$C$10))*(A273&gt;=_xlfn.ANCHORARRAY(Sintesi!$C$9))+(_xlfn.ANCHORARRAY(Sintesi!$C$9)&gt;_xlfn.ANCHORARRAY(Sintesi!$C$10))*(A273&lt;=_xlfn.ANCHORARRAY(Sintesi!$C$10))+(_xlfn.ANCHORARRAY(Sintesi!$C$9)&lt;_xlfn.ANCHORARRAY(Sintesi!$C$10))*(A273&gt;=_xlfn.ANCHORARRAY(Sintesi!$C$9))*(A273&lt;=_xlfn.ANCHORARRAY(Sintesi!$C$10)),0)),0)))),0)</f>
        <v>0</v>
      </c>
    </row>
    <row r="275" spans="1:13">
      <c r="A275" s="1">
        <f>'Paste cell here'!A275</f>
        <v>274</v>
      </c>
      <c r="B275" s="2">
        <f>DATE(Sintesi!$C$4-1,12,31)+A275</f>
        <v>44470</v>
      </c>
      <c r="C275" s="34">
        <f t="array" ref="C275">_xlfn.IFNA(MATCH(1,((_xlfn.ANCHORARRAY(Sintesi!$C$9)&gt;_xlfn.ANCHORARRAY(Sintesi!$C$10))*(A275&gt;=_xlfn.ANCHORARRAY(Sintesi!$C$9))+(_xlfn.ANCHORARRAY(Sintesi!$C$9)&gt;_xlfn.ANCHORARRAY(Sintesi!$C$10))*(A275&lt;=_xlfn.ANCHORARRAY(Sintesi!$C$10))+(_xlfn.ANCHORARRAY(Sintesi!$C$9)&lt;_xlfn.ANCHORARRAY(Sintesi!$C$10))*(A275&gt;=_xlfn.ANCHORARRAY(Sintesi!$C$9))*(A275&lt;=_xlfn.ANCHORARRAY(Sintesi!$C$10)))*(_xlfn.ANCHORARRAY(Sintesi!$C$15)&gt;=0)+(_xlfn.ANCHORARRAY(Sintesi!$C$15)&lt;0),0),0)</f>
        <v>0</v>
      </c>
      <c r="D275" s="1">
        <f t="array" ref="D275">IF(ISBLANK($E276),IF(ISNUMBER($E274),IF($C275&gt;0,IF(($E275=INDEX(_xlfn.ANCHORARRAY(Sintesi!$C$14),1,$C275))*(INDEX(_xlfn.ANCHORARRAY(Sintesi!$C$15),1,$C275)&gt;0),0,IF(($E275=INDEX(_xlfn.ANCHORARRAY(Sintesi!$C$14),1,$C275))*(INDEX(_xlfn.ANCHORARRAY(Sintesi!$C$15),1,$C275)&lt;0)+($E275&gt;=$E274)*($E275&lt;=INDEX($E:$E,MATCH(TRUE,INDEX((ISNUMBER($E:$E)),0),0)))*($E275&gt;INDEX(_xlfn.ANCHORARRAY(Sintesi!$C$14),1,$C275))*($E275&lt;=INDEX(_xlfn.ANCHORARRAY(Sintesi!$C$15),1,$C275))*(INDEX(_xlfn.ANCHORARRAY(Sintesi!$C$15),1,$C275)&gt;0),1,IF(($E275&gt;=$E274)*($E275&lt;=INDEX($E:$E,MATCH(TRUE,INDEX((ISNUMBER($E:$E)),0),0)))*($E275&gt;INDEX(_xlfn.ANCHORARRAY(Sintesi!$C$14),1,$C275))*($E275&lt;INDEX(_xlfn.ANCHORARRAY(Sintesi!$C$16),1,$C275))*(INDEX(_xlfn.ANCHORARRAY(Sintesi!$C$15),1,$C275)&lt;0)+($E275&gt;=$E274)*($E275&lt;=INDEX($E:$E,MATCH(TRUE,INDEX((ISNUMBER($E:$E)),0),0)))*($E275&gt;INDEX(_xlfn.ANCHORARRAY(Sintesi!$C$15),1,$C275))*($E275&lt;INDEX(_xlfn.ANCHORARRAY(Sintesi!$C$16),1,$C275))*(INDEX(_xlfn.ANCHORARRAY(Sintesi!$C$15),1,$C275)&gt;0),2,IF($E275=(INDEX(_xlfn.ANCHORARRAY(Sintesi!$C$16),1,$C275)),3,4)))),0),IF($C275&gt;0,IF(($E275=INDEX(_xlfn.ANCHORARRAY(Sintesi!$C$14),1,$C275))*(INDEX(_xlfn.ANCHORARRAY(Sintesi!$C$15),1,$C275)&gt;0),0,IF(($E275=INDEX(_xlfn.ANCHORARRAY(Sintesi!$C$14),1,$C275))*(INDEX(_xlfn.ANCHORARRAY(Sintesi!$C$15),1,$C275)&lt;0)+($E275&gt;=LOOKUP(2,1/($E:$E&lt;&gt;""),$E:$E))*($E275&lt;=INDEX($E:$E,MATCH(TRUE,INDEX((ISNUMBER($E:$E)),0),0)))*($E275&gt;INDEX(_xlfn.ANCHORARRAY(Sintesi!$C$14),1,$C275))*($E275&lt;=INDEX(_xlfn.ANCHORARRAY(Sintesi!$C$15),1,$C275))*(INDEX(_xlfn.ANCHORARRAY(Sintesi!$C$15),1,$C275)&gt;0),1,IF(($E275&gt;=LOOKUP(2,1/($E:$E&lt;&gt;""),$E:$E))*($E275&lt;=INDEX($E:$E,MATCH(TRUE,INDEX((ISNUMBER($E:$E)),0),0)))*($E275&gt;INDEX(_xlfn.ANCHORARRAY(Sintesi!$C$14),1,$C275))*($E275&lt;INDEX(_xlfn.ANCHORARRAY(Sintesi!$C$16),1,$C275))*(INDEX(_xlfn.ANCHORARRAY(Sintesi!$C$15),1,$C275)&lt;0)+($E275&gt;=LOOKUP(2,1/($E:$E&lt;&gt;""),$E:$E))*($E275&lt;=INDEX($E:$E,MATCH(TRUE,INDEX((ISNUMBER($E:$E)),0),0)))*($E275&gt;INDEX(_xlfn.ANCHORARRAY(Sintesi!$C$15),1,$C275))*($E275&lt;INDEX(_xlfn.ANCHORARRAY(Sintesi!$C$16),1,$C275))*(INDEX(_xlfn.ANCHORARRAY(Sintesi!$C$15),1,$C275)&gt;0),2,IF($E275=(INDEX(_xlfn.ANCHORARRAY(Sintesi!$C$16),1,$C275)),3,4)))),0)),IF(ISNUMBER($E274),IF($C275&gt;0,IF(($E275=INDEX(_xlfn.ANCHORARRAY(Sintesi!$C$14),1,$C275))*(INDEX(_xlfn.ANCHORARRAY(Sintesi!$C$15),1,$C275)&gt;0),0,IF(($E275=INDEX(_xlfn.ANCHORARRAY(Sintesi!$C$14),1,$C275))*(INDEX(_xlfn.ANCHORARRAY(Sintesi!$C$15),1,$C275)&lt;0)+($E275&gt;=$E274)*($E275&lt;=$E276)*($E275&gt;INDEX(_xlfn.ANCHORARRAY(Sintesi!$C$14),1,$C275))*($E275&lt;=INDEX(_xlfn.ANCHORARRAY(Sintesi!$C$15),1,$C275))*(INDEX(_xlfn.ANCHORARRAY(Sintesi!$C$15),1,$C275)&gt;0),1,IF(($E275&gt;=$E274)*($E275&lt;=$E276)*($E275&gt;INDEX(_xlfn.ANCHORARRAY(Sintesi!$C$14),1,$C275))*($E275&lt;INDEX(_xlfn.ANCHORARRAY(Sintesi!$C$16),1,$C275))*(INDEX(_xlfn.ANCHORARRAY(Sintesi!$C$15),1,$C275)&lt;0)+($E275&gt;=$E274)*($E275&lt;=$E276)*($E275&gt;INDEX(_xlfn.ANCHORARRAY(Sintesi!$C$15),1,$C275))*($E275&lt;INDEX(_xlfn.ANCHORARRAY(Sintesi!$C$16),1,$C275))*(INDEX(_xlfn.ANCHORARRAY(Sintesi!$C$15),1,$C275)&gt;0),2,IF($E275=(INDEX(_xlfn.ANCHORARRAY(Sintesi!$C$16),1,$C275)),3,4)))),0),IF($C275&gt;0,IF(($E275=INDEX(_xlfn.ANCHORARRAY(Sintesi!$C$14),1,$C275))*(INDEX(_xlfn.ANCHORARRAY(Sintesi!$C$15),1,$C275)&gt;0),0,IF(($E275=INDEX(_xlfn.ANCHORARRAY(Sintesi!$C$14),1,$C275))*(INDEX(_xlfn.ANCHORARRAY(Sintesi!$C$15),1,$C275)&lt;0)+($E275&gt;=LOOKUP(2,1/($E:$E&lt;&gt;""),$E:$E))*($E275&lt;=$E276)*($E275&gt;INDEX(_xlfn.ANCHORARRAY(Sintesi!$C$14),1,$C275))*($E275&lt;=INDEX(_xlfn.ANCHORARRAY(Sintesi!$C$15),1,$C275))*(INDEX(_xlfn.ANCHORARRAY(Sintesi!$C$15),1,$C275)&gt;0),1,IF(($E275&gt;=LOOKUP(2,1/($E:$E&lt;&gt;""),$E:$E))*($E275&lt;=$E276)*($E275&gt;INDEX(_xlfn.ANCHORARRAY(Sintesi!$C$14),1,$C275))*($E275&lt;INDEX(_xlfn.ANCHORARRAY(Sintesi!$C$16),1,$C275))*(INDEX(_xlfn.ANCHORARRAY(Sintesi!$C$15),1,$C275)&lt;0)+($E275&gt;=LOOKUP(2,1/($E:$E&lt;&gt;""),$E:$E))*($E275&lt;=$E276)*($E275&gt;INDEX(_xlfn.ANCHORARRAY(Sintesi!$C$15),1,$C275))*($E275&lt;INDEX(_xlfn.ANCHORARRAY(Sintesi!$C$16),1,$C275))*(INDEX(_xlfn.ANCHORARRAY(Sintesi!$C$15),1,$C275)&gt;0),2,IF($E275=(INDEX(_xlfn.ANCHORARRAY(Sintesi!$C$16),1,$C275)),3,4)))),0)))</f>
        <v>0</v>
      </c>
      <c r="E275" s="1">
        <f>'Paste cell here'!F275</f>
        <v>0</v>
      </c>
      <c r="F275" s="1">
        <f>'Paste cell here'!C275</f>
        <v>23.619999999999653</v>
      </c>
      <c r="G275" s="1">
        <f>'Paste cell here'!D275</f>
        <v>13.159999999999833</v>
      </c>
      <c r="H275" s="1">
        <f>'Paste cell here'!E275</f>
        <v>2.4427177127189794</v>
      </c>
      <c r="I275" s="1">
        <f>'Paste cell here'!X275</f>
        <v>0</v>
      </c>
      <c r="J275" s="1">
        <f>'Paste cell here'!Y275+'Paste cell here'!S275</f>
        <v>0</v>
      </c>
      <c r="K275" s="1">
        <f t="shared" si="8"/>
        <v>0</v>
      </c>
      <c r="L275" s="1">
        <f t="shared" si="9"/>
        <v>19.827412850718868</v>
      </c>
      <c r="M275" s="1">
        <f t="array" ref="M275">IF(AND(A275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275&gt;=_xlfn.ANCHORARRAY(Sintesi!$C$9))+(_xlfn.ANCHORARRAY(Sintesi!$C$9)&gt;_xlfn.ANCHORARRAY(Sintesi!$C$10))*(A275&lt;=_xlfn.ANCHORARRAY(Sintesi!$C$10))+(_xlfn.ANCHORARRAY(Sintesi!$C$9)&lt;_xlfn.ANCHORARRAY(Sintesi!$C$10))*(A275&gt;=_xlfn.ANCHORARRAY(Sintesi!$C$9))*(A275&lt;=_xlfn.ANCHORARRAY(Sintesi!$C$10)),0)),0),A275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276&gt;=_xlfn.ANCHORARRAY(Sintesi!$C$9))+(_xlfn.ANCHORARRAY(Sintesi!$C$9)&gt;_xlfn.ANCHORARRAY(Sintesi!$C$10))*(A276&lt;=_xlfn.ANCHORARRAY(Sintesi!$C$10))+(_xlfn.ANCHORARRAY(Sintesi!$C$9)&lt;_xlfn.ANCHORARRAY(Sintesi!$C$10))*(A276&gt;=_xlfn.ANCHORARRAY(Sintesi!$C$9))*(A276&lt;=_xlfn.ANCHORARRAY(Sintesi!$C$10)),0)),0)),IF(L275&lt;_xlfn.IFNA(INDEX(_xlfn.ANCHORARRAY(Sintesi!$C$17),1,MATCH(1,(_xlfn.ANCHORARRAY(Sintesi!$C$9)&gt;_xlfn.ANCHORARRAY(Sintesi!$C$10))*(A274&gt;=_xlfn.ANCHORARRAY(Sintesi!$C$9))+(_xlfn.ANCHORARRAY(Sintesi!$C$9)&gt;_xlfn.ANCHORARRAY(Sintesi!$C$10))*(A274&lt;=_xlfn.ANCHORARRAY(Sintesi!$C$10))+(_xlfn.ANCHORARRAY(Sintesi!$C$9)&lt;_xlfn.ANCHORARRAY(Sintesi!$C$10))*(A274&gt;=_xlfn.ANCHORARRAY(Sintesi!$C$9))*(A274&lt;=_xlfn.ANCHORARRAY(Sintesi!$C$10)),0)),0),1,IF(L275&gt;=_xlfn.IFNA(INDEX(_xlfn.ANCHORARRAY(Sintesi!$C$18),1,MATCH(1,(_xlfn.ANCHORARRAY(Sintesi!$C$9)&gt;_xlfn.ANCHORARRAY(Sintesi!$C$10))*(A274&gt;=_xlfn.ANCHORARRAY(Sintesi!$C$9))+(_xlfn.ANCHORARRAY(Sintesi!$C$9)&gt;_xlfn.ANCHORARRAY(Sintesi!$C$10))*(A274&lt;=_xlfn.ANCHORARRAY(Sintesi!$C$10))+(_xlfn.ANCHORARRAY(Sintesi!$C$9)&lt;_xlfn.ANCHORARRAY(Sintesi!$C$10))*(A274&gt;=_xlfn.ANCHORARRAY(Sintesi!$C$9))*(A274&lt;=_xlfn.ANCHORARRAY(Sintesi!$C$10)),0)),0),0,1-(L275-_xlfn.IFNA(INDEX(_xlfn.ANCHORARRAY(Sintesi!$C$17),1,MATCH(1,(_xlfn.ANCHORARRAY(Sintesi!$C$9)&gt;_xlfn.ANCHORARRAY(Sintesi!$C$10))*(A274&gt;=_xlfn.ANCHORARRAY(Sintesi!$C$9))+(_xlfn.ANCHORARRAY(Sintesi!$C$9)&gt;_xlfn.ANCHORARRAY(Sintesi!$C$10))*(A274&lt;=_xlfn.ANCHORARRAY(Sintesi!$C$10))+(_xlfn.ANCHORARRAY(Sintesi!$C$9)&lt;_xlfn.ANCHORARRAY(Sintesi!$C$10))*(A274&gt;=_xlfn.ANCHORARRAY(Sintesi!$C$9))*(A274&lt;=_xlfn.ANCHORARRAY(Sintesi!$C$10)),0)),0))/(_xlfn.IFNA(INDEX(_xlfn.ANCHORARRAY(Sintesi!$C$18),1,MATCH(1,(_xlfn.ANCHORARRAY(Sintesi!$C$9)&gt;_xlfn.ANCHORARRAY(Sintesi!$C$10))*(A274&gt;=_xlfn.ANCHORARRAY(Sintesi!$C$9))+(_xlfn.ANCHORARRAY(Sintesi!$C$9)&gt;_xlfn.ANCHORARRAY(Sintesi!$C$10))*(A274&lt;=_xlfn.ANCHORARRAY(Sintesi!$C$10))+(_xlfn.ANCHORARRAY(Sintesi!$C$9)&lt;_xlfn.ANCHORARRAY(Sintesi!$C$10))*(A274&gt;=_xlfn.ANCHORARRAY(Sintesi!$C$9))*(A274&lt;=_xlfn.ANCHORARRAY(Sintesi!$C$10)),0)),0)-_xlfn.IFNA(INDEX(_xlfn.ANCHORARRAY(Sintesi!$C$17),1,MATCH(1,(_xlfn.ANCHORARRAY(Sintesi!$C$9)&gt;_xlfn.ANCHORARRAY(Sintesi!$C$10))*(A274&gt;=_xlfn.ANCHORARRAY(Sintesi!$C$9))+(_xlfn.ANCHORARRAY(Sintesi!$C$9)&gt;_xlfn.ANCHORARRAY(Sintesi!$C$10))*(A274&lt;=_xlfn.ANCHORARRAY(Sintesi!$C$10))+(_xlfn.ANCHORARRAY(Sintesi!$C$9)&lt;_xlfn.ANCHORARRAY(Sintesi!$C$10))*(A274&gt;=_xlfn.ANCHORARRAY(Sintesi!$C$9))*(A274&lt;=_xlfn.ANCHORARRAY(Sintesi!$C$10)),0)),0)))),0)</f>
        <v>0</v>
      </c>
    </row>
    <row r="276" spans="1:13">
      <c r="A276" s="1">
        <f>'Paste cell here'!A276</f>
        <v>275</v>
      </c>
      <c r="B276" s="2">
        <f>DATE(Sintesi!$C$4-1,12,31)+A276</f>
        <v>44471</v>
      </c>
      <c r="C276" s="34">
        <f t="array" ref="C276">_xlfn.IFNA(MATCH(1,((_xlfn.ANCHORARRAY(Sintesi!$C$9)&gt;_xlfn.ANCHORARRAY(Sintesi!$C$10))*(A276&gt;=_xlfn.ANCHORARRAY(Sintesi!$C$9))+(_xlfn.ANCHORARRAY(Sintesi!$C$9)&gt;_xlfn.ANCHORARRAY(Sintesi!$C$10))*(A276&lt;=_xlfn.ANCHORARRAY(Sintesi!$C$10))+(_xlfn.ANCHORARRAY(Sintesi!$C$9)&lt;_xlfn.ANCHORARRAY(Sintesi!$C$10))*(A276&gt;=_xlfn.ANCHORARRAY(Sintesi!$C$9))*(A276&lt;=_xlfn.ANCHORARRAY(Sintesi!$C$10)))*(_xlfn.ANCHORARRAY(Sintesi!$C$15)&gt;=0)+(_xlfn.ANCHORARRAY(Sintesi!$C$15)&lt;0),0),0)</f>
        <v>0</v>
      </c>
      <c r="D276" s="1">
        <f t="array" ref="D276">IF(ISBLANK($E277),IF(ISNUMBER($E275),IF($C276&gt;0,IF(($E276=INDEX(_xlfn.ANCHORARRAY(Sintesi!$C$14),1,$C276))*(INDEX(_xlfn.ANCHORARRAY(Sintesi!$C$15),1,$C276)&gt;0),0,IF(($E276=INDEX(_xlfn.ANCHORARRAY(Sintesi!$C$14),1,$C276))*(INDEX(_xlfn.ANCHORARRAY(Sintesi!$C$15),1,$C276)&lt;0)+($E276&gt;=$E275)*($E276&lt;=INDEX($E:$E,MATCH(TRUE,INDEX((ISNUMBER($E:$E)),0),0)))*($E276&gt;INDEX(_xlfn.ANCHORARRAY(Sintesi!$C$14),1,$C276))*($E276&lt;=INDEX(_xlfn.ANCHORARRAY(Sintesi!$C$15),1,$C276))*(INDEX(_xlfn.ANCHORARRAY(Sintesi!$C$15),1,$C276)&gt;0),1,IF(($E276&gt;=$E275)*($E276&lt;=INDEX($E:$E,MATCH(TRUE,INDEX((ISNUMBER($E:$E)),0),0)))*($E276&gt;INDEX(_xlfn.ANCHORARRAY(Sintesi!$C$14),1,$C276))*($E276&lt;INDEX(_xlfn.ANCHORARRAY(Sintesi!$C$16),1,$C276))*(INDEX(_xlfn.ANCHORARRAY(Sintesi!$C$15),1,$C276)&lt;0)+($E276&gt;=$E275)*($E276&lt;=INDEX($E:$E,MATCH(TRUE,INDEX((ISNUMBER($E:$E)),0),0)))*($E276&gt;INDEX(_xlfn.ANCHORARRAY(Sintesi!$C$15),1,$C276))*($E276&lt;INDEX(_xlfn.ANCHORARRAY(Sintesi!$C$16),1,$C276))*(INDEX(_xlfn.ANCHORARRAY(Sintesi!$C$15),1,$C276)&gt;0),2,IF($E276=(INDEX(_xlfn.ANCHORARRAY(Sintesi!$C$16),1,$C276)),3,4)))),0),IF($C276&gt;0,IF(($E276=INDEX(_xlfn.ANCHORARRAY(Sintesi!$C$14),1,$C276))*(INDEX(_xlfn.ANCHORARRAY(Sintesi!$C$15),1,$C276)&gt;0),0,IF(($E276=INDEX(_xlfn.ANCHORARRAY(Sintesi!$C$14),1,$C276))*(INDEX(_xlfn.ANCHORARRAY(Sintesi!$C$15),1,$C276)&lt;0)+($E276&gt;=LOOKUP(2,1/($E:$E&lt;&gt;""),$E:$E))*($E276&lt;=INDEX($E:$E,MATCH(TRUE,INDEX((ISNUMBER($E:$E)),0),0)))*($E276&gt;INDEX(_xlfn.ANCHORARRAY(Sintesi!$C$14),1,$C276))*($E276&lt;=INDEX(_xlfn.ANCHORARRAY(Sintesi!$C$15),1,$C276))*(INDEX(_xlfn.ANCHORARRAY(Sintesi!$C$15),1,$C276)&gt;0),1,IF(($E276&gt;=LOOKUP(2,1/($E:$E&lt;&gt;""),$E:$E))*($E276&lt;=INDEX($E:$E,MATCH(TRUE,INDEX((ISNUMBER($E:$E)),0),0)))*($E276&gt;INDEX(_xlfn.ANCHORARRAY(Sintesi!$C$14),1,$C276))*($E276&lt;INDEX(_xlfn.ANCHORARRAY(Sintesi!$C$16),1,$C276))*(INDEX(_xlfn.ANCHORARRAY(Sintesi!$C$15),1,$C276)&lt;0)+($E276&gt;=LOOKUP(2,1/($E:$E&lt;&gt;""),$E:$E))*($E276&lt;=INDEX($E:$E,MATCH(TRUE,INDEX((ISNUMBER($E:$E)),0),0)))*($E276&gt;INDEX(_xlfn.ANCHORARRAY(Sintesi!$C$15),1,$C276))*($E276&lt;INDEX(_xlfn.ANCHORARRAY(Sintesi!$C$16),1,$C276))*(INDEX(_xlfn.ANCHORARRAY(Sintesi!$C$15),1,$C276)&gt;0),2,IF($E276=(INDEX(_xlfn.ANCHORARRAY(Sintesi!$C$16),1,$C276)),3,4)))),0)),IF(ISNUMBER($E275),IF($C276&gt;0,IF(($E276=INDEX(_xlfn.ANCHORARRAY(Sintesi!$C$14),1,$C276))*(INDEX(_xlfn.ANCHORARRAY(Sintesi!$C$15),1,$C276)&gt;0),0,IF(($E276=INDEX(_xlfn.ANCHORARRAY(Sintesi!$C$14),1,$C276))*(INDEX(_xlfn.ANCHORARRAY(Sintesi!$C$15),1,$C276)&lt;0)+($E276&gt;=$E275)*($E276&lt;=$E277)*($E276&gt;INDEX(_xlfn.ANCHORARRAY(Sintesi!$C$14),1,$C276))*($E276&lt;=INDEX(_xlfn.ANCHORARRAY(Sintesi!$C$15),1,$C276))*(INDEX(_xlfn.ANCHORARRAY(Sintesi!$C$15),1,$C276)&gt;0),1,IF(($E276&gt;=$E275)*($E276&lt;=$E277)*($E276&gt;INDEX(_xlfn.ANCHORARRAY(Sintesi!$C$14),1,$C276))*($E276&lt;INDEX(_xlfn.ANCHORARRAY(Sintesi!$C$16),1,$C276))*(INDEX(_xlfn.ANCHORARRAY(Sintesi!$C$15),1,$C276)&lt;0)+($E276&gt;=$E275)*($E276&lt;=$E277)*($E276&gt;INDEX(_xlfn.ANCHORARRAY(Sintesi!$C$15),1,$C276))*($E276&lt;INDEX(_xlfn.ANCHORARRAY(Sintesi!$C$16),1,$C276))*(INDEX(_xlfn.ANCHORARRAY(Sintesi!$C$15),1,$C276)&gt;0),2,IF($E276=(INDEX(_xlfn.ANCHORARRAY(Sintesi!$C$16),1,$C276)),3,4)))),0),IF($C276&gt;0,IF(($E276=INDEX(_xlfn.ANCHORARRAY(Sintesi!$C$14),1,$C276))*(INDEX(_xlfn.ANCHORARRAY(Sintesi!$C$15),1,$C276)&gt;0),0,IF(($E276=INDEX(_xlfn.ANCHORARRAY(Sintesi!$C$14),1,$C276))*(INDEX(_xlfn.ANCHORARRAY(Sintesi!$C$15),1,$C276)&lt;0)+($E276&gt;=LOOKUP(2,1/($E:$E&lt;&gt;""),$E:$E))*($E276&lt;=$E277)*($E276&gt;INDEX(_xlfn.ANCHORARRAY(Sintesi!$C$14),1,$C276))*($E276&lt;=INDEX(_xlfn.ANCHORARRAY(Sintesi!$C$15),1,$C276))*(INDEX(_xlfn.ANCHORARRAY(Sintesi!$C$15),1,$C276)&gt;0),1,IF(($E276&gt;=LOOKUP(2,1/($E:$E&lt;&gt;""),$E:$E))*($E276&lt;=$E277)*($E276&gt;INDEX(_xlfn.ANCHORARRAY(Sintesi!$C$14),1,$C276))*($E276&lt;INDEX(_xlfn.ANCHORARRAY(Sintesi!$C$16),1,$C276))*(INDEX(_xlfn.ANCHORARRAY(Sintesi!$C$15),1,$C276)&lt;0)+($E276&gt;=LOOKUP(2,1/($E:$E&lt;&gt;""),$E:$E))*($E276&lt;=$E277)*($E276&gt;INDEX(_xlfn.ANCHORARRAY(Sintesi!$C$15),1,$C276))*($E276&lt;INDEX(_xlfn.ANCHORARRAY(Sintesi!$C$16),1,$C276))*(INDEX(_xlfn.ANCHORARRAY(Sintesi!$C$15),1,$C276)&gt;0),2,IF($E276=(INDEX(_xlfn.ANCHORARRAY(Sintesi!$C$16),1,$C276)),3,4)))),0)))</f>
        <v>0</v>
      </c>
      <c r="E276" s="1">
        <f>'Paste cell here'!F276</f>
        <v>0</v>
      </c>
      <c r="F276" s="1">
        <f>'Paste cell here'!C276</f>
        <v>23.45999999999966</v>
      </c>
      <c r="G276" s="1">
        <f>'Paste cell here'!D276</f>
        <v>15.359999999999793</v>
      </c>
      <c r="H276" s="1">
        <f>'Paste cell here'!E276</f>
        <v>2.3521358664450509</v>
      </c>
      <c r="I276" s="1">
        <f>'Paste cell here'!X276</f>
        <v>0</v>
      </c>
      <c r="J276" s="1">
        <f>'Paste cell here'!Y276+'Paste cell here'!S276</f>
        <v>0</v>
      </c>
      <c r="K276" s="1">
        <f t="shared" si="8"/>
        <v>0</v>
      </c>
      <c r="L276" s="1">
        <f t="shared" si="9"/>
        <v>20.523101729524093</v>
      </c>
      <c r="M276" s="1">
        <f t="array" ref="M276">IF(AND(A276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276&gt;=_xlfn.ANCHORARRAY(Sintesi!$C$9))+(_xlfn.ANCHORARRAY(Sintesi!$C$9)&gt;_xlfn.ANCHORARRAY(Sintesi!$C$10))*(A276&lt;=_xlfn.ANCHORARRAY(Sintesi!$C$10))+(_xlfn.ANCHORARRAY(Sintesi!$C$9)&lt;_xlfn.ANCHORARRAY(Sintesi!$C$10))*(A276&gt;=_xlfn.ANCHORARRAY(Sintesi!$C$9))*(A276&lt;=_xlfn.ANCHORARRAY(Sintesi!$C$10)),0)),0),A276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277&gt;=_xlfn.ANCHORARRAY(Sintesi!$C$9))+(_xlfn.ANCHORARRAY(Sintesi!$C$9)&gt;_xlfn.ANCHORARRAY(Sintesi!$C$10))*(A277&lt;=_xlfn.ANCHORARRAY(Sintesi!$C$10))+(_xlfn.ANCHORARRAY(Sintesi!$C$9)&lt;_xlfn.ANCHORARRAY(Sintesi!$C$10))*(A277&gt;=_xlfn.ANCHORARRAY(Sintesi!$C$9))*(A277&lt;=_xlfn.ANCHORARRAY(Sintesi!$C$10)),0)),0)),IF(L276&lt;_xlfn.IFNA(INDEX(_xlfn.ANCHORARRAY(Sintesi!$C$17),1,MATCH(1,(_xlfn.ANCHORARRAY(Sintesi!$C$9)&gt;_xlfn.ANCHORARRAY(Sintesi!$C$10))*(A275&gt;=_xlfn.ANCHORARRAY(Sintesi!$C$9))+(_xlfn.ANCHORARRAY(Sintesi!$C$9)&gt;_xlfn.ANCHORARRAY(Sintesi!$C$10))*(A275&lt;=_xlfn.ANCHORARRAY(Sintesi!$C$10))+(_xlfn.ANCHORARRAY(Sintesi!$C$9)&lt;_xlfn.ANCHORARRAY(Sintesi!$C$10))*(A275&gt;=_xlfn.ANCHORARRAY(Sintesi!$C$9))*(A275&lt;=_xlfn.ANCHORARRAY(Sintesi!$C$10)),0)),0),1,IF(L276&gt;=_xlfn.IFNA(INDEX(_xlfn.ANCHORARRAY(Sintesi!$C$18),1,MATCH(1,(_xlfn.ANCHORARRAY(Sintesi!$C$9)&gt;_xlfn.ANCHORARRAY(Sintesi!$C$10))*(A275&gt;=_xlfn.ANCHORARRAY(Sintesi!$C$9))+(_xlfn.ANCHORARRAY(Sintesi!$C$9)&gt;_xlfn.ANCHORARRAY(Sintesi!$C$10))*(A275&lt;=_xlfn.ANCHORARRAY(Sintesi!$C$10))+(_xlfn.ANCHORARRAY(Sintesi!$C$9)&lt;_xlfn.ANCHORARRAY(Sintesi!$C$10))*(A275&gt;=_xlfn.ANCHORARRAY(Sintesi!$C$9))*(A275&lt;=_xlfn.ANCHORARRAY(Sintesi!$C$10)),0)),0),0,1-(L276-_xlfn.IFNA(INDEX(_xlfn.ANCHORARRAY(Sintesi!$C$17),1,MATCH(1,(_xlfn.ANCHORARRAY(Sintesi!$C$9)&gt;_xlfn.ANCHORARRAY(Sintesi!$C$10))*(A275&gt;=_xlfn.ANCHORARRAY(Sintesi!$C$9))+(_xlfn.ANCHORARRAY(Sintesi!$C$9)&gt;_xlfn.ANCHORARRAY(Sintesi!$C$10))*(A275&lt;=_xlfn.ANCHORARRAY(Sintesi!$C$10))+(_xlfn.ANCHORARRAY(Sintesi!$C$9)&lt;_xlfn.ANCHORARRAY(Sintesi!$C$10))*(A275&gt;=_xlfn.ANCHORARRAY(Sintesi!$C$9))*(A275&lt;=_xlfn.ANCHORARRAY(Sintesi!$C$10)),0)),0))/(_xlfn.IFNA(INDEX(_xlfn.ANCHORARRAY(Sintesi!$C$18),1,MATCH(1,(_xlfn.ANCHORARRAY(Sintesi!$C$9)&gt;_xlfn.ANCHORARRAY(Sintesi!$C$10))*(A275&gt;=_xlfn.ANCHORARRAY(Sintesi!$C$9))+(_xlfn.ANCHORARRAY(Sintesi!$C$9)&gt;_xlfn.ANCHORARRAY(Sintesi!$C$10))*(A275&lt;=_xlfn.ANCHORARRAY(Sintesi!$C$10))+(_xlfn.ANCHORARRAY(Sintesi!$C$9)&lt;_xlfn.ANCHORARRAY(Sintesi!$C$10))*(A275&gt;=_xlfn.ANCHORARRAY(Sintesi!$C$9))*(A275&lt;=_xlfn.ANCHORARRAY(Sintesi!$C$10)),0)),0)-_xlfn.IFNA(INDEX(_xlfn.ANCHORARRAY(Sintesi!$C$17),1,MATCH(1,(_xlfn.ANCHORARRAY(Sintesi!$C$9)&gt;_xlfn.ANCHORARRAY(Sintesi!$C$10))*(A275&gt;=_xlfn.ANCHORARRAY(Sintesi!$C$9))+(_xlfn.ANCHORARRAY(Sintesi!$C$9)&gt;_xlfn.ANCHORARRAY(Sintesi!$C$10))*(A275&lt;=_xlfn.ANCHORARRAY(Sintesi!$C$10))+(_xlfn.ANCHORARRAY(Sintesi!$C$9)&lt;_xlfn.ANCHORARRAY(Sintesi!$C$10))*(A275&gt;=_xlfn.ANCHORARRAY(Sintesi!$C$9))*(A275&lt;=_xlfn.ANCHORARRAY(Sintesi!$C$10)),0)),0)))),0)</f>
        <v>0</v>
      </c>
    </row>
    <row r="277" spans="1:13">
      <c r="A277" s="1">
        <f>'Paste cell here'!A277</f>
        <v>276</v>
      </c>
      <c r="B277" s="2">
        <f>DATE(Sintesi!$C$4-1,12,31)+A277</f>
        <v>44472</v>
      </c>
      <c r="C277" s="34">
        <f t="array" ref="C277">_xlfn.IFNA(MATCH(1,((_xlfn.ANCHORARRAY(Sintesi!$C$9)&gt;_xlfn.ANCHORARRAY(Sintesi!$C$10))*(A277&gt;=_xlfn.ANCHORARRAY(Sintesi!$C$9))+(_xlfn.ANCHORARRAY(Sintesi!$C$9)&gt;_xlfn.ANCHORARRAY(Sintesi!$C$10))*(A277&lt;=_xlfn.ANCHORARRAY(Sintesi!$C$10))+(_xlfn.ANCHORARRAY(Sintesi!$C$9)&lt;_xlfn.ANCHORARRAY(Sintesi!$C$10))*(A277&gt;=_xlfn.ANCHORARRAY(Sintesi!$C$9))*(A277&lt;=_xlfn.ANCHORARRAY(Sintesi!$C$10)))*(_xlfn.ANCHORARRAY(Sintesi!$C$15)&gt;=0)+(_xlfn.ANCHORARRAY(Sintesi!$C$15)&lt;0),0),0)</f>
        <v>0</v>
      </c>
      <c r="D277" s="1">
        <f t="array" ref="D277">IF(ISBLANK($E278),IF(ISNUMBER($E276),IF($C277&gt;0,IF(($E277=INDEX(_xlfn.ANCHORARRAY(Sintesi!$C$14),1,$C277))*(INDEX(_xlfn.ANCHORARRAY(Sintesi!$C$15),1,$C277)&gt;0),0,IF(($E277=INDEX(_xlfn.ANCHORARRAY(Sintesi!$C$14),1,$C277))*(INDEX(_xlfn.ANCHORARRAY(Sintesi!$C$15),1,$C277)&lt;0)+($E277&gt;=$E276)*($E277&lt;=INDEX($E:$E,MATCH(TRUE,INDEX((ISNUMBER($E:$E)),0),0)))*($E277&gt;INDEX(_xlfn.ANCHORARRAY(Sintesi!$C$14),1,$C277))*($E277&lt;=INDEX(_xlfn.ANCHORARRAY(Sintesi!$C$15),1,$C277))*(INDEX(_xlfn.ANCHORARRAY(Sintesi!$C$15),1,$C277)&gt;0),1,IF(($E277&gt;=$E276)*($E277&lt;=INDEX($E:$E,MATCH(TRUE,INDEX((ISNUMBER($E:$E)),0),0)))*($E277&gt;INDEX(_xlfn.ANCHORARRAY(Sintesi!$C$14),1,$C277))*($E277&lt;INDEX(_xlfn.ANCHORARRAY(Sintesi!$C$16),1,$C277))*(INDEX(_xlfn.ANCHORARRAY(Sintesi!$C$15),1,$C277)&lt;0)+($E277&gt;=$E276)*($E277&lt;=INDEX($E:$E,MATCH(TRUE,INDEX((ISNUMBER($E:$E)),0),0)))*($E277&gt;INDEX(_xlfn.ANCHORARRAY(Sintesi!$C$15),1,$C277))*($E277&lt;INDEX(_xlfn.ANCHORARRAY(Sintesi!$C$16),1,$C277))*(INDEX(_xlfn.ANCHORARRAY(Sintesi!$C$15),1,$C277)&gt;0),2,IF($E277=(INDEX(_xlfn.ANCHORARRAY(Sintesi!$C$16),1,$C277)),3,4)))),0),IF($C277&gt;0,IF(($E277=INDEX(_xlfn.ANCHORARRAY(Sintesi!$C$14),1,$C277))*(INDEX(_xlfn.ANCHORARRAY(Sintesi!$C$15),1,$C277)&gt;0),0,IF(($E277=INDEX(_xlfn.ANCHORARRAY(Sintesi!$C$14),1,$C277))*(INDEX(_xlfn.ANCHORARRAY(Sintesi!$C$15),1,$C277)&lt;0)+($E277&gt;=LOOKUP(2,1/($E:$E&lt;&gt;""),$E:$E))*($E277&lt;=INDEX($E:$E,MATCH(TRUE,INDEX((ISNUMBER($E:$E)),0),0)))*($E277&gt;INDEX(_xlfn.ANCHORARRAY(Sintesi!$C$14),1,$C277))*($E277&lt;=INDEX(_xlfn.ANCHORARRAY(Sintesi!$C$15),1,$C277))*(INDEX(_xlfn.ANCHORARRAY(Sintesi!$C$15),1,$C277)&gt;0),1,IF(($E277&gt;=LOOKUP(2,1/($E:$E&lt;&gt;""),$E:$E))*($E277&lt;=INDEX($E:$E,MATCH(TRUE,INDEX((ISNUMBER($E:$E)),0),0)))*($E277&gt;INDEX(_xlfn.ANCHORARRAY(Sintesi!$C$14),1,$C277))*($E277&lt;INDEX(_xlfn.ANCHORARRAY(Sintesi!$C$16),1,$C277))*(INDEX(_xlfn.ANCHORARRAY(Sintesi!$C$15),1,$C277)&lt;0)+($E277&gt;=LOOKUP(2,1/($E:$E&lt;&gt;""),$E:$E))*($E277&lt;=INDEX($E:$E,MATCH(TRUE,INDEX((ISNUMBER($E:$E)),0),0)))*($E277&gt;INDEX(_xlfn.ANCHORARRAY(Sintesi!$C$15),1,$C277))*($E277&lt;INDEX(_xlfn.ANCHORARRAY(Sintesi!$C$16),1,$C277))*(INDEX(_xlfn.ANCHORARRAY(Sintesi!$C$15),1,$C277)&gt;0),2,IF($E277=(INDEX(_xlfn.ANCHORARRAY(Sintesi!$C$16),1,$C277)),3,4)))),0)),IF(ISNUMBER($E276),IF($C277&gt;0,IF(($E277=INDEX(_xlfn.ANCHORARRAY(Sintesi!$C$14),1,$C277))*(INDEX(_xlfn.ANCHORARRAY(Sintesi!$C$15),1,$C277)&gt;0),0,IF(($E277=INDEX(_xlfn.ANCHORARRAY(Sintesi!$C$14),1,$C277))*(INDEX(_xlfn.ANCHORARRAY(Sintesi!$C$15),1,$C277)&lt;0)+($E277&gt;=$E276)*($E277&lt;=$E278)*($E277&gt;INDEX(_xlfn.ANCHORARRAY(Sintesi!$C$14),1,$C277))*($E277&lt;=INDEX(_xlfn.ANCHORARRAY(Sintesi!$C$15),1,$C277))*(INDEX(_xlfn.ANCHORARRAY(Sintesi!$C$15),1,$C277)&gt;0),1,IF(($E277&gt;=$E276)*($E277&lt;=$E278)*($E277&gt;INDEX(_xlfn.ANCHORARRAY(Sintesi!$C$14),1,$C277))*($E277&lt;INDEX(_xlfn.ANCHORARRAY(Sintesi!$C$16),1,$C277))*(INDEX(_xlfn.ANCHORARRAY(Sintesi!$C$15),1,$C277)&lt;0)+($E277&gt;=$E276)*($E277&lt;=$E278)*($E277&gt;INDEX(_xlfn.ANCHORARRAY(Sintesi!$C$15),1,$C277))*($E277&lt;INDEX(_xlfn.ANCHORARRAY(Sintesi!$C$16),1,$C277))*(INDEX(_xlfn.ANCHORARRAY(Sintesi!$C$15),1,$C277)&gt;0),2,IF($E277=(INDEX(_xlfn.ANCHORARRAY(Sintesi!$C$16),1,$C277)),3,4)))),0),IF($C277&gt;0,IF(($E277=INDEX(_xlfn.ANCHORARRAY(Sintesi!$C$14),1,$C277))*(INDEX(_xlfn.ANCHORARRAY(Sintesi!$C$15),1,$C277)&gt;0),0,IF(($E277=INDEX(_xlfn.ANCHORARRAY(Sintesi!$C$14),1,$C277))*(INDEX(_xlfn.ANCHORARRAY(Sintesi!$C$15),1,$C277)&lt;0)+($E277&gt;=LOOKUP(2,1/($E:$E&lt;&gt;""),$E:$E))*($E277&lt;=$E278)*($E277&gt;INDEX(_xlfn.ANCHORARRAY(Sintesi!$C$14),1,$C277))*($E277&lt;=INDEX(_xlfn.ANCHORARRAY(Sintesi!$C$15),1,$C277))*(INDEX(_xlfn.ANCHORARRAY(Sintesi!$C$15),1,$C277)&gt;0),1,IF(($E277&gt;=LOOKUP(2,1/($E:$E&lt;&gt;""),$E:$E))*($E277&lt;=$E278)*($E277&gt;INDEX(_xlfn.ANCHORARRAY(Sintesi!$C$14),1,$C277))*($E277&lt;INDEX(_xlfn.ANCHORARRAY(Sintesi!$C$16),1,$C277))*(INDEX(_xlfn.ANCHORARRAY(Sintesi!$C$15),1,$C277)&lt;0)+($E277&gt;=LOOKUP(2,1/($E:$E&lt;&gt;""),$E:$E))*($E277&lt;=$E278)*($E277&gt;INDEX(_xlfn.ANCHORARRAY(Sintesi!$C$15),1,$C277))*($E277&lt;INDEX(_xlfn.ANCHORARRAY(Sintesi!$C$16),1,$C277))*(INDEX(_xlfn.ANCHORARRAY(Sintesi!$C$15),1,$C277)&gt;0),2,IF($E277=(INDEX(_xlfn.ANCHORARRAY(Sintesi!$C$16),1,$C277)),3,4)))),0)))</f>
        <v>0</v>
      </c>
      <c r="E277" s="1">
        <f>'Paste cell here'!F277</f>
        <v>0</v>
      </c>
      <c r="F277" s="1">
        <f>'Paste cell here'!C277</f>
        <v>18.619999999999738</v>
      </c>
      <c r="G277" s="1">
        <f>'Paste cell here'!D277</f>
        <v>15.919999999999773</v>
      </c>
      <c r="H277" s="1">
        <f>'Paste cell here'!E277</f>
        <v>1.0205312024564035</v>
      </c>
      <c r="I277" s="1">
        <f>'Paste cell here'!X277</f>
        <v>0</v>
      </c>
      <c r="J277" s="1">
        <f>'Paste cell here'!Y277+'Paste cell here'!S277</f>
        <v>0</v>
      </c>
      <c r="K277" s="1">
        <f t="shared" si="8"/>
        <v>0</v>
      </c>
      <c r="L277" s="1">
        <f t="shared" si="9"/>
        <v>17.641033909841212</v>
      </c>
      <c r="M277" s="1">
        <f t="array" ref="M277">IF(AND(A277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277&gt;=_xlfn.ANCHORARRAY(Sintesi!$C$9))+(_xlfn.ANCHORARRAY(Sintesi!$C$9)&gt;_xlfn.ANCHORARRAY(Sintesi!$C$10))*(A277&lt;=_xlfn.ANCHORARRAY(Sintesi!$C$10))+(_xlfn.ANCHORARRAY(Sintesi!$C$9)&lt;_xlfn.ANCHORARRAY(Sintesi!$C$10))*(A277&gt;=_xlfn.ANCHORARRAY(Sintesi!$C$9))*(A277&lt;=_xlfn.ANCHORARRAY(Sintesi!$C$10)),0)),0),A277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278&gt;=_xlfn.ANCHORARRAY(Sintesi!$C$9))+(_xlfn.ANCHORARRAY(Sintesi!$C$9)&gt;_xlfn.ANCHORARRAY(Sintesi!$C$10))*(A278&lt;=_xlfn.ANCHORARRAY(Sintesi!$C$10))+(_xlfn.ANCHORARRAY(Sintesi!$C$9)&lt;_xlfn.ANCHORARRAY(Sintesi!$C$10))*(A278&gt;=_xlfn.ANCHORARRAY(Sintesi!$C$9))*(A278&lt;=_xlfn.ANCHORARRAY(Sintesi!$C$10)),0)),0)),IF(L277&lt;_xlfn.IFNA(INDEX(_xlfn.ANCHORARRAY(Sintesi!$C$17),1,MATCH(1,(_xlfn.ANCHORARRAY(Sintesi!$C$9)&gt;_xlfn.ANCHORARRAY(Sintesi!$C$10))*(A276&gt;=_xlfn.ANCHORARRAY(Sintesi!$C$9))+(_xlfn.ANCHORARRAY(Sintesi!$C$9)&gt;_xlfn.ANCHORARRAY(Sintesi!$C$10))*(A276&lt;=_xlfn.ANCHORARRAY(Sintesi!$C$10))+(_xlfn.ANCHORARRAY(Sintesi!$C$9)&lt;_xlfn.ANCHORARRAY(Sintesi!$C$10))*(A276&gt;=_xlfn.ANCHORARRAY(Sintesi!$C$9))*(A276&lt;=_xlfn.ANCHORARRAY(Sintesi!$C$10)),0)),0),1,IF(L277&gt;=_xlfn.IFNA(INDEX(_xlfn.ANCHORARRAY(Sintesi!$C$18),1,MATCH(1,(_xlfn.ANCHORARRAY(Sintesi!$C$9)&gt;_xlfn.ANCHORARRAY(Sintesi!$C$10))*(A276&gt;=_xlfn.ANCHORARRAY(Sintesi!$C$9))+(_xlfn.ANCHORARRAY(Sintesi!$C$9)&gt;_xlfn.ANCHORARRAY(Sintesi!$C$10))*(A276&lt;=_xlfn.ANCHORARRAY(Sintesi!$C$10))+(_xlfn.ANCHORARRAY(Sintesi!$C$9)&lt;_xlfn.ANCHORARRAY(Sintesi!$C$10))*(A276&gt;=_xlfn.ANCHORARRAY(Sintesi!$C$9))*(A276&lt;=_xlfn.ANCHORARRAY(Sintesi!$C$10)),0)),0),0,1-(L277-_xlfn.IFNA(INDEX(_xlfn.ANCHORARRAY(Sintesi!$C$17),1,MATCH(1,(_xlfn.ANCHORARRAY(Sintesi!$C$9)&gt;_xlfn.ANCHORARRAY(Sintesi!$C$10))*(A276&gt;=_xlfn.ANCHORARRAY(Sintesi!$C$9))+(_xlfn.ANCHORARRAY(Sintesi!$C$9)&gt;_xlfn.ANCHORARRAY(Sintesi!$C$10))*(A276&lt;=_xlfn.ANCHORARRAY(Sintesi!$C$10))+(_xlfn.ANCHORARRAY(Sintesi!$C$9)&lt;_xlfn.ANCHORARRAY(Sintesi!$C$10))*(A276&gt;=_xlfn.ANCHORARRAY(Sintesi!$C$9))*(A276&lt;=_xlfn.ANCHORARRAY(Sintesi!$C$10)),0)),0))/(_xlfn.IFNA(INDEX(_xlfn.ANCHORARRAY(Sintesi!$C$18),1,MATCH(1,(_xlfn.ANCHORARRAY(Sintesi!$C$9)&gt;_xlfn.ANCHORARRAY(Sintesi!$C$10))*(A276&gt;=_xlfn.ANCHORARRAY(Sintesi!$C$9))+(_xlfn.ANCHORARRAY(Sintesi!$C$9)&gt;_xlfn.ANCHORARRAY(Sintesi!$C$10))*(A276&lt;=_xlfn.ANCHORARRAY(Sintesi!$C$10))+(_xlfn.ANCHORARRAY(Sintesi!$C$9)&lt;_xlfn.ANCHORARRAY(Sintesi!$C$10))*(A276&gt;=_xlfn.ANCHORARRAY(Sintesi!$C$9))*(A276&lt;=_xlfn.ANCHORARRAY(Sintesi!$C$10)),0)),0)-_xlfn.IFNA(INDEX(_xlfn.ANCHORARRAY(Sintesi!$C$17),1,MATCH(1,(_xlfn.ANCHORARRAY(Sintesi!$C$9)&gt;_xlfn.ANCHORARRAY(Sintesi!$C$10))*(A276&gt;=_xlfn.ANCHORARRAY(Sintesi!$C$9))+(_xlfn.ANCHORARRAY(Sintesi!$C$9)&gt;_xlfn.ANCHORARRAY(Sintesi!$C$10))*(A276&lt;=_xlfn.ANCHORARRAY(Sintesi!$C$10))+(_xlfn.ANCHORARRAY(Sintesi!$C$9)&lt;_xlfn.ANCHORARRAY(Sintesi!$C$10))*(A276&gt;=_xlfn.ANCHORARRAY(Sintesi!$C$9))*(A276&lt;=_xlfn.ANCHORARRAY(Sintesi!$C$10)),0)),0)))),0)</f>
        <v>0</v>
      </c>
    </row>
    <row r="278" spans="1:13">
      <c r="A278" s="1">
        <f>'Paste cell here'!A278</f>
        <v>277</v>
      </c>
      <c r="B278" s="2">
        <f>DATE(Sintesi!$C$4-1,12,31)+A278</f>
        <v>44473</v>
      </c>
      <c r="C278" s="34">
        <f t="array" ref="C278">_xlfn.IFNA(MATCH(1,((_xlfn.ANCHORARRAY(Sintesi!$C$9)&gt;_xlfn.ANCHORARRAY(Sintesi!$C$10))*(A278&gt;=_xlfn.ANCHORARRAY(Sintesi!$C$9))+(_xlfn.ANCHORARRAY(Sintesi!$C$9)&gt;_xlfn.ANCHORARRAY(Sintesi!$C$10))*(A278&lt;=_xlfn.ANCHORARRAY(Sintesi!$C$10))+(_xlfn.ANCHORARRAY(Sintesi!$C$9)&lt;_xlfn.ANCHORARRAY(Sintesi!$C$10))*(A278&gt;=_xlfn.ANCHORARRAY(Sintesi!$C$9))*(A278&lt;=_xlfn.ANCHORARRAY(Sintesi!$C$10)))*(_xlfn.ANCHORARRAY(Sintesi!$C$15)&gt;=0)+(_xlfn.ANCHORARRAY(Sintesi!$C$15)&lt;0),0),0)</f>
        <v>0</v>
      </c>
      <c r="D278" s="1">
        <f t="array" ref="D278">IF(ISBLANK($E279),IF(ISNUMBER($E277),IF($C278&gt;0,IF(($E278=INDEX(_xlfn.ANCHORARRAY(Sintesi!$C$14),1,$C278))*(INDEX(_xlfn.ANCHORARRAY(Sintesi!$C$15),1,$C278)&gt;0),0,IF(($E278=INDEX(_xlfn.ANCHORARRAY(Sintesi!$C$14),1,$C278))*(INDEX(_xlfn.ANCHORARRAY(Sintesi!$C$15),1,$C278)&lt;0)+($E278&gt;=$E277)*($E278&lt;=INDEX($E:$E,MATCH(TRUE,INDEX((ISNUMBER($E:$E)),0),0)))*($E278&gt;INDEX(_xlfn.ANCHORARRAY(Sintesi!$C$14),1,$C278))*($E278&lt;=INDEX(_xlfn.ANCHORARRAY(Sintesi!$C$15),1,$C278))*(INDEX(_xlfn.ANCHORARRAY(Sintesi!$C$15),1,$C278)&gt;0),1,IF(($E278&gt;=$E277)*($E278&lt;=INDEX($E:$E,MATCH(TRUE,INDEX((ISNUMBER($E:$E)),0),0)))*($E278&gt;INDEX(_xlfn.ANCHORARRAY(Sintesi!$C$14),1,$C278))*($E278&lt;INDEX(_xlfn.ANCHORARRAY(Sintesi!$C$16),1,$C278))*(INDEX(_xlfn.ANCHORARRAY(Sintesi!$C$15),1,$C278)&lt;0)+($E278&gt;=$E277)*($E278&lt;=INDEX($E:$E,MATCH(TRUE,INDEX((ISNUMBER($E:$E)),0),0)))*($E278&gt;INDEX(_xlfn.ANCHORARRAY(Sintesi!$C$15),1,$C278))*($E278&lt;INDEX(_xlfn.ANCHORARRAY(Sintesi!$C$16),1,$C278))*(INDEX(_xlfn.ANCHORARRAY(Sintesi!$C$15),1,$C278)&gt;0),2,IF($E278=(INDEX(_xlfn.ANCHORARRAY(Sintesi!$C$16),1,$C278)),3,4)))),0),IF($C278&gt;0,IF(($E278=INDEX(_xlfn.ANCHORARRAY(Sintesi!$C$14),1,$C278))*(INDEX(_xlfn.ANCHORARRAY(Sintesi!$C$15),1,$C278)&gt;0),0,IF(($E278=INDEX(_xlfn.ANCHORARRAY(Sintesi!$C$14),1,$C278))*(INDEX(_xlfn.ANCHORARRAY(Sintesi!$C$15),1,$C278)&lt;0)+($E278&gt;=LOOKUP(2,1/($E:$E&lt;&gt;""),$E:$E))*($E278&lt;=INDEX($E:$E,MATCH(TRUE,INDEX((ISNUMBER($E:$E)),0),0)))*($E278&gt;INDEX(_xlfn.ANCHORARRAY(Sintesi!$C$14),1,$C278))*($E278&lt;=INDEX(_xlfn.ANCHORARRAY(Sintesi!$C$15),1,$C278))*(INDEX(_xlfn.ANCHORARRAY(Sintesi!$C$15),1,$C278)&gt;0),1,IF(($E278&gt;=LOOKUP(2,1/($E:$E&lt;&gt;""),$E:$E))*($E278&lt;=INDEX($E:$E,MATCH(TRUE,INDEX((ISNUMBER($E:$E)),0),0)))*($E278&gt;INDEX(_xlfn.ANCHORARRAY(Sintesi!$C$14),1,$C278))*($E278&lt;INDEX(_xlfn.ANCHORARRAY(Sintesi!$C$16),1,$C278))*(INDEX(_xlfn.ANCHORARRAY(Sintesi!$C$15),1,$C278)&lt;0)+($E278&gt;=LOOKUP(2,1/($E:$E&lt;&gt;""),$E:$E))*($E278&lt;=INDEX($E:$E,MATCH(TRUE,INDEX((ISNUMBER($E:$E)),0),0)))*($E278&gt;INDEX(_xlfn.ANCHORARRAY(Sintesi!$C$15),1,$C278))*($E278&lt;INDEX(_xlfn.ANCHORARRAY(Sintesi!$C$16),1,$C278))*(INDEX(_xlfn.ANCHORARRAY(Sintesi!$C$15),1,$C278)&gt;0),2,IF($E278=(INDEX(_xlfn.ANCHORARRAY(Sintesi!$C$16),1,$C278)),3,4)))),0)),IF(ISNUMBER($E277),IF($C278&gt;0,IF(($E278=INDEX(_xlfn.ANCHORARRAY(Sintesi!$C$14),1,$C278))*(INDEX(_xlfn.ANCHORARRAY(Sintesi!$C$15),1,$C278)&gt;0),0,IF(($E278=INDEX(_xlfn.ANCHORARRAY(Sintesi!$C$14),1,$C278))*(INDEX(_xlfn.ANCHORARRAY(Sintesi!$C$15),1,$C278)&lt;0)+($E278&gt;=$E277)*($E278&lt;=$E279)*($E278&gt;INDEX(_xlfn.ANCHORARRAY(Sintesi!$C$14),1,$C278))*($E278&lt;=INDEX(_xlfn.ANCHORARRAY(Sintesi!$C$15),1,$C278))*(INDEX(_xlfn.ANCHORARRAY(Sintesi!$C$15),1,$C278)&gt;0),1,IF(($E278&gt;=$E277)*($E278&lt;=$E279)*($E278&gt;INDEX(_xlfn.ANCHORARRAY(Sintesi!$C$14),1,$C278))*($E278&lt;INDEX(_xlfn.ANCHORARRAY(Sintesi!$C$16),1,$C278))*(INDEX(_xlfn.ANCHORARRAY(Sintesi!$C$15),1,$C278)&lt;0)+($E278&gt;=$E277)*($E278&lt;=$E279)*($E278&gt;INDEX(_xlfn.ANCHORARRAY(Sintesi!$C$15),1,$C278))*($E278&lt;INDEX(_xlfn.ANCHORARRAY(Sintesi!$C$16),1,$C278))*(INDEX(_xlfn.ANCHORARRAY(Sintesi!$C$15),1,$C278)&gt;0),2,IF($E278=(INDEX(_xlfn.ANCHORARRAY(Sintesi!$C$16),1,$C278)),3,4)))),0),IF($C278&gt;0,IF(($E278=INDEX(_xlfn.ANCHORARRAY(Sintesi!$C$14),1,$C278))*(INDEX(_xlfn.ANCHORARRAY(Sintesi!$C$15),1,$C278)&gt;0),0,IF(($E278=INDEX(_xlfn.ANCHORARRAY(Sintesi!$C$14),1,$C278))*(INDEX(_xlfn.ANCHORARRAY(Sintesi!$C$15),1,$C278)&lt;0)+($E278&gt;=LOOKUP(2,1/($E:$E&lt;&gt;""),$E:$E))*($E278&lt;=$E279)*($E278&gt;INDEX(_xlfn.ANCHORARRAY(Sintesi!$C$14),1,$C278))*($E278&lt;=INDEX(_xlfn.ANCHORARRAY(Sintesi!$C$15),1,$C278))*(INDEX(_xlfn.ANCHORARRAY(Sintesi!$C$15),1,$C278)&gt;0),1,IF(($E278&gt;=LOOKUP(2,1/($E:$E&lt;&gt;""),$E:$E))*($E278&lt;=$E279)*($E278&gt;INDEX(_xlfn.ANCHORARRAY(Sintesi!$C$14),1,$C278))*($E278&lt;INDEX(_xlfn.ANCHORARRAY(Sintesi!$C$16),1,$C278))*(INDEX(_xlfn.ANCHORARRAY(Sintesi!$C$15),1,$C278)&lt;0)+($E278&gt;=LOOKUP(2,1/($E:$E&lt;&gt;""),$E:$E))*($E278&lt;=$E279)*($E278&gt;INDEX(_xlfn.ANCHORARRAY(Sintesi!$C$15),1,$C278))*($E278&lt;INDEX(_xlfn.ANCHORARRAY(Sintesi!$C$16),1,$C278))*(INDEX(_xlfn.ANCHORARRAY(Sintesi!$C$15),1,$C278)&gt;0),2,IF($E278=(INDEX(_xlfn.ANCHORARRAY(Sintesi!$C$16),1,$C278)),3,4)))),0)))</f>
        <v>0</v>
      </c>
      <c r="E278" s="1">
        <f>'Paste cell here'!F278</f>
        <v>0</v>
      </c>
      <c r="F278" s="1">
        <f>'Paste cell here'!C278</f>
        <v>19.959999999999702</v>
      </c>
      <c r="G278" s="1">
        <f>'Paste cell here'!D278</f>
        <v>17.119999999999752</v>
      </c>
      <c r="H278" s="1">
        <f>'Paste cell here'!E278</f>
        <v>0.86569674503845206</v>
      </c>
      <c r="I278" s="1">
        <f>'Paste cell here'!X278</f>
        <v>0</v>
      </c>
      <c r="J278" s="1">
        <f>'Paste cell here'!Y278+'Paste cell here'!S278</f>
        <v>0</v>
      </c>
      <c r="K278" s="1">
        <f t="shared" si="8"/>
        <v>0</v>
      </c>
      <c r="L278" s="1">
        <f t="shared" si="9"/>
        <v>18.930272705166296</v>
      </c>
      <c r="M278" s="1">
        <f t="array" ref="M278">IF(AND(A278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278&gt;=_xlfn.ANCHORARRAY(Sintesi!$C$9))+(_xlfn.ANCHORARRAY(Sintesi!$C$9)&gt;_xlfn.ANCHORARRAY(Sintesi!$C$10))*(A278&lt;=_xlfn.ANCHORARRAY(Sintesi!$C$10))+(_xlfn.ANCHORARRAY(Sintesi!$C$9)&lt;_xlfn.ANCHORARRAY(Sintesi!$C$10))*(A278&gt;=_xlfn.ANCHORARRAY(Sintesi!$C$9))*(A278&lt;=_xlfn.ANCHORARRAY(Sintesi!$C$10)),0)),0),A278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279&gt;=_xlfn.ANCHORARRAY(Sintesi!$C$9))+(_xlfn.ANCHORARRAY(Sintesi!$C$9)&gt;_xlfn.ANCHORARRAY(Sintesi!$C$10))*(A279&lt;=_xlfn.ANCHORARRAY(Sintesi!$C$10))+(_xlfn.ANCHORARRAY(Sintesi!$C$9)&lt;_xlfn.ANCHORARRAY(Sintesi!$C$10))*(A279&gt;=_xlfn.ANCHORARRAY(Sintesi!$C$9))*(A279&lt;=_xlfn.ANCHORARRAY(Sintesi!$C$10)),0)),0)),IF(L278&lt;_xlfn.IFNA(INDEX(_xlfn.ANCHORARRAY(Sintesi!$C$17),1,MATCH(1,(_xlfn.ANCHORARRAY(Sintesi!$C$9)&gt;_xlfn.ANCHORARRAY(Sintesi!$C$10))*(A277&gt;=_xlfn.ANCHORARRAY(Sintesi!$C$9))+(_xlfn.ANCHORARRAY(Sintesi!$C$9)&gt;_xlfn.ANCHORARRAY(Sintesi!$C$10))*(A277&lt;=_xlfn.ANCHORARRAY(Sintesi!$C$10))+(_xlfn.ANCHORARRAY(Sintesi!$C$9)&lt;_xlfn.ANCHORARRAY(Sintesi!$C$10))*(A277&gt;=_xlfn.ANCHORARRAY(Sintesi!$C$9))*(A277&lt;=_xlfn.ANCHORARRAY(Sintesi!$C$10)),0)),0),1,IF(L278&gt;=_xlfn.IFNA(INDEX(_xlfn.ANCHORARRAY(Sintesi!$C$18),1,MATCH(1,(_xlfn.ANCHORARRAY(Sintesi!$C$9)&gt;_xlfn.ANCHORARRAY(Sintesi!$C$10))*(A277&gt;=_xlfn.ANCHORARRAY(Sintesi!$C$9))+(_xlfn.ANCHORARRAY(Sintesi!$C$9)&gt;_xlfn.ANCHORARRAY(Sintesi!$C$10))*(A277&lt;=_xlfn.ANCHORARRAY(Sintesi!$C$10))+(_xlfn.ANCHORARRAY(Sintesi!$C$9)&lt;_xlfn.ANCHORARRAY(Sintesi!$C$10))*(A277&gt;=_xlfn.ANCHORARRAY(Sintesi!$C$9))*(A277&lt;=_xlfn.ANCHORARRAY(Sintesi!$C$10)),0)),0),0,1-(L278-_xlfn.IFNA(INDEX(_xlfn.ANCHORARRAY(Sintesi!$C$17),1,MATCH(1,(_xlfn.ANCHORARRAY(Sintesi!$C$9)&gt;_xlfn.ANCHORARRAY(Sintesi!$C$10))*(A277&gt;=_xlfn.ANCHORARRAY(Sintesi!$C$9))+(_xlfn.ANCHORARRAY(Sintesi!$C$9)&gt;_xlfn.ANCHORARRAY(Sintesi!$C$10))*(A277&lt;=_xlfn.ANCHORARRAY(Sintesi!$C$10))+(_xlfn.ANCHORARRAY(Sintesi!$C$9)&lt;_xlfn.ANCHORARRAY(Sintesi!$C$10))*(A277&gt;=_xlfn.ANCHORARRAY(Sintesi!$C$9))*(A277&lt;=_xlfn.ANCHORARRAY(Sintesi!$C$10)),0)),0))/(_xlfn.IFNA(INDEX(_xlfn.ANCHORARRAY(Sintesi!$C$18),1,MATCH(1,(_xlfn.ANCHORARRAY(Sintesi!$C$9)&gt;_xlfn.ANCHORARRAY(Sintesi!$C$10))*(A277&gt;=_xlfn.ANCHORARRAY(Sintesi!$C$9))+(_xlfn.ANCHORARRAY(Sintesi!$C$9)&gt;_xlfn.ANCHORARRAY(Sintesi!$C$10))*(A277&lt;=_xlfn.ANCHORARRAY(Sintesi!$C$10))+(_xlfn.ANCHORARRAY(Sintesi!$C$9)&lt;_xlfn.ANCHORARRAY(Sintesi!$C$10))*(A277&gt;=_xlfn.ANCHORARRAY(Sintesi!$C$9))*(A277&lt;=_xlfn.ANCHORARRAY(Sintesi!$C$10)),0)),0)-_xlfn.IFNA(INDEX(_xlfn.ANCHORARRAY(Sintesi!$C$17),1,MATCH(1,(_xlfn.ANCHORARRAY(Sintesi!$C$9)&gt;_xlfn.ANCHORARRAY(Sintesi!$C$10))*(A277&gt;=_xlfn.ANCHORARRAY(Sintesi!$C$9))+(_xlfn.ANCHORARRAY(Sintesi!$C$9)&gt;_xlfn.ANCHORARRAY(Sintesi!$C$10))*(A277&lt;=_xlfn.ANCHORARRAY(Sintesi!$C$10))+(_xlfn.ANCHORARRAY(Sintesi!$C$9)&lt;_xlfn.ANCHORARRAY(Sintesi!$C$10))*(A277&gt;=_xlfn.ANCHORARRAY(Sintesi!$C$9))*(A277&lt;=_xlfn.ANCHORARRAY(Sintesi!$C$10)),0)),0)))),0)</f>
        <v>0</v>
      </c>
    </row>
    <row r="279" spans="1:13">
      <c r="A279" s="1">
        <f>'Paste cell here'!A279</f>
        <v>278</v>
      </c>
      <c r="B279" s="2">
        <f>DATE(Sintesi!$C$4-1,12,31)+A279</f>
        <v>44474</v>
      </c>
      <c r="C279" s="34">
        <f t="array" ref="C279">_xlfn.IFNA(MATCH(1,((_xlfn.ANCHORARRAY(Sintesi!$C$9)&gt;_xlfn.ANCHORARRAY(Sintesi!$C$10))*(A279&gt;=_xlfn.ANCHORARRAY(Sintesi!$C$9))+(_xlfn.ANCHORARRAY(Sintesi!$C$9)&gt;_xlfn.ANCHORARRAY(Sintesi!$C$10))*(A279&lt;=_xlfn.ANCHORARRAY(Sintesi!$C$10))+(_xlfn.ANCHORARRAY(Sintesi!$C$9)&lt;_xlfn.ANCHORARRAY(Sintesi!$C$10))*(A279&gt;=_xlfn.ANCHORARRAY(Sintesi!$C$9))*(A279&lt;=_xlfn.ANCHORARRAY(Sintesi!$C$10)))*(_xlfn.ANCHORARRAY(Sintesi!$C$15)&gt;=0)+(_xlfn.ANCHORARRAY(Sintesi!$C$15)&lt;0),0),0)</f>
        <v>0</v>
      </c>
      <c r="D279" s="1">
        <f t="array" ref="D279">IF(ISBLANK($E280),IF(ISNUMBER($E278),IF($C279&gt;0,IF(($E279=INDEX(_xlfn.ANCHORARRAY(Sintesi!$C$14),1,$C279))*(INDEX(_xlfn.ANCHORARRAY(Sintesi!$C$15),1,$C279)&gt;0),0,IF(($E279=INDEX(_xlfn.ANCHORARRAY(Sintesi!$C$14),1,$C279))*(INDEX(_xlfn.ANCHORARRAY(Sintesi!$C$15),1,$C279)&lt;0)+($E279&gt;=$E278)*($E279&lt;=INDEX($E:$E,MATCH(TRUE,INDEX((ISNUMBER($E:$E)),0),0)))*($E279&gt;INDEX(_xlfn.ANCHORARRAY(Sintesi!$C$14),1,$C279))*($E279&lt;=INDEX(_xlfn.ANCHORARRAY(Sintesi!$C$15),1,$C279))*(INDEX(_xlfn.ANCHORARRAY(Sintesi!$C$15),1,$C279)&gt;0),1,IF(($E279&gt;=$E278)*($E279&lt;=INDEX($E:$E,MATCH(TRUE,INDEX((ISNUMBER($E:$E)),0),0)))*($E279&gt;INDEX(_xlfn.ANCHORARRAY(Sintesi!$C$14),1,$C279))*($E279&lt;INDEX(_xlfn.ANCHORARRAY(Sintesi!$C$16),1,$C279))*(INDEX(_xlfn.ANCHORARRAY(Sintesi!$C$15),1,$C279)&lt;0)+($E279&gt;=$E278)*($E279&lt;=INDEX($E:$E,MATCH(TRUE,INDEX((ISNUMBER($E:$E)),0),0)))*($E279&gt;INDEX(_xlfn.ANCHORARRAY(Sintesi!$C$15),1,$C279))*($E279&lt;INDEX(_xlfn.ANCHORARRAY(Sintesi!$C$16),1,$C279))*(INDEX(_xlfn.ANCHORARRAY(Sintesi!$C$15),1,$C279)&gt;0),2,IF($E279=(INDEX(_xlfn.ANCHORARRAY(Sintesi!$C$16),1,$C279)),3,4)))),0),IF($C279&gt;0,IF(($E279=INDEX(_xlfn.ANCHORARRAY(Sintesi!$C$14),1,$C279))*(INDEX(_xlfn.ANCHORARRAY(Sintesi!$C$15),1,$C279)&gt;0),0,IF(($E279=INDEX(_xlfn.ANCHORARRAY(Sintesi!$C$14),1,$C279))*(INDEX(_xlfn.ANCHORARRAY(Sintesi!$C$15),1,$C279)&lt;0)+($E279&gt;=LOOKUP(2,1/($E:$E&lt;&gt;""),$E:$E))*($E279&lt;=INDEX($E:$E,MATCH(TRUE,INDEX((ISNUMBER($E:$E)),0),0)))*($E279&gt;INDEX(_xlfn.ANCHORARRAY(Sintesi!$C$14),1,$C279))*($E279&lt;=INDEX(_xlfn.ANCHORARRAY(Sintesi!$C$15),1,$C279))*(INDEX(_xlfn.ANCHORARRAY(Sintesi!$C$15),1,$C279)&gt;0),1,IF(($E279&gt;=LOOKUP(2,1/($E:$E&lt;&gt;""),$E:$E))*($E279&lt;=INDEX($E:$E,MATCH(TRUE,INDEX((ISNUMBER($E:$E)),0),0)))*($E279&gt;INDEX(_xlfn.ANCHORARRAY(Sintesi!$C$14),1,$C279))*($E279&lt;INDEX(_xlfn.ANCHORARRAY(Sintesi!$C$16),1,$C279))*(INDEX(_xlfn.ANCHORARRAY(Sintesi!$C$15),1,$C279)&lt;0)+($E279&gt;=LOOKUP(2,1/($E:$E&lt;&gt;""),$E:$E))*($E279&lt;=INDEX($E:$E,MATCH(TRUE,INDEX((ISNUMBER($E:$E)),0),0)))*($E279&gt;INDEX(_xlfn.ANCHORARRAY(Sintesi!$C$15),1,$C279))*($E279&lt;INDEX(_xlfn.ANCHORARRAY(Sintesi!$C$16),1,$C279))*(INDEX(_xlfn.ANCHORARRAY(Sintesi!$C$15),1,$C279)&gt;0),2,IF($E279=(INDEX(_xlfn.ANCHORARRAY(Sintesi!$C$16),1,$C279)),3,4)))),0)),IF(ISNUMBER($E278),IF($C279&gt;0,IF(($E279=INDEX(_xlfn.ANCHORARRAY(Sintesi!$C$14),1,$C279))*(INDEX(_xlfn.ANCHORARRAY(Sintesi!$C$15),1,$C279)&gt;0),0,IF(($E279=INDEX(_xlfn.ANCHORARRAY(Sintesi!$C$14),1,$C279))*(INDEX(_xlfn.ANCHORARRAY(Sintesi!$C$15),1,$C279)&lt;0)+($E279&gt;=$E278)*($E279&lt;=$E280)*($E279&gt;INDEX(_xlfn.ANCHORARRAY(Sintesi!$C$14),1,$C279))*($E279&lt;=INDEX(_xlfn.ANCHORARRAY(Sintesi!$C$15),1,$C279))*(INDEX(_xlfn.ANCHORARRAY(Sintesi!$C$15),1,$C279)&gt;0),1,IF(($E279&gt;=$E278)*($E279&lt;=$E280)*($E279&gt;INDEX(_xlfn.ANCHORARRAY(Sintesi!$C$14),1,$C279))*($E279&lt;INDEX(_xlfn.ANCHORARRAY(Sintesi!$C$16),1,$C279))*(INDEX(_xlfn.ANCHORARRAY(Sintesi!$C$15),1,$C279)&lt;0)+($E279&gt;=$E278)*($E279&lt;=$E280)*($E279&gt;INDEX(_xlfn.ANCHORARRAY(Sintesi!$C$15),1,$C279))*($E279&lt;INDEX(_xlfn.ANCHORARRAY(Sintesi!$C$16),1,$C279))*(INDEX(_xlfn.ANCHORARRAY(Sintesi!$C$15),1,$C279)&gt;0),2,IF($E279=(INDEX(_xlfn.ANCHORARRAY(Sintesi!$C$16),1,$C279)),3,4)))),0),IF($C279&gt;0,IF(($E279=INDEX(_xlfn.ANCHORARRAY(Sintesi!$C$14),1,$C279))*(INDEX(_xlfn.ANCHORARRAY(Sintesi!$C$15),1,$C279)&gt;0),0,IF(($E279=INDEX(_xlfn.ANCHORARRAY(Sintesi!$C$14),1,$C279))*(INDEX(_xlfn.ANCHORARRAY(Sintesi!$C$15),1,$C279)&lt;0)+($E279&gt;=LOOKUP(2,1/($E:$E&lt;&gt;""),$E:$E))*($E279&lt;=$E280)*($E279&gt;INDEX(_xlfn.ANCHORARRAY(Sintesi!$C$14),1,$C279))*($E279&lt;=INDEX(_xlfn.ANCHORARRAY(Sintesi!$C$15),1,$C279))*(INDEX(_xlfn.ANCHORARRAY(Sintesi!$C$15),1,$C279)&gt;0),1,IF(($E279&gt;=LOOKUP(2,1/($E:$E&lt;&gt;""),$E:$E))*($E279&lt;=$E280)*($E279&gt;INDEX(_xlfn.ANCHORARRAY(Sintesi!$C$14),1,$C279))*($E279&lt;INDEX(_xlfn.ANCHORARRAY(Sintesi!$C$16),1,$C279))*(INDEX(_xlfn.ANCHORARRAY(Sintesi!$C$15),1,$C279)&lt;0)+($E279&gt;=LOOKUP(2,1/($E:$E&lt;&gt;""),$E:$E))*($E279&lt;=$E280)*($E279&gt;INDEX(_xlfn.ANCHORARRAY(Sintesi!$C$15),1,$C279))*($E279&lt;INDEX(_xlfn.ANCHORARRAY(Sintesi!$C$16),1,$C279))*(INDEX(_xlfn.ANCHORARRAY(Sintesi!$C$15),1,$C279)&gt;0),2,IF($E279=(INDEX(_xlfn.ANCHORARRAY(Sintesi!$C$16),1,$C279)),3,4)))),0)))</f>
        <v>0</v>
      </c>
      <c r="E279" s="1">
        <f>'Paste cell here'!F279</f>
        <v>0</v>
      </c>
      <c r="F279" s="1">
        <f>'Paste cell here'!C279</f>
        <v>19.959999999999702</v>
      </c>
      <c r="G279" s="1">
        <f>'Paste cell here'!D279</f>
        <v>15.679999999999783</v>
      </c>
      <c r="H279" s="1">
        <f>'Paste cell here'!E279</f>
        <v>1.3733951684428034</v>
      </c>
      <c r="I279" s="1">
        <f>'Paste cell here'!X279</f>
        <v>0</v>
      </c>
      <c r="J279" s="1">
        <f>'Paste cell here'!Y279+'Paste cell here'!S279</f>
        <v>0</v>
      </c>
      <c r="K279" s="1">
        <f t="shared" si="8"/>
        <v>0</v>
      </c>
      <c r="L279" s="1">
        <f t="shared" si="9"/>
        <v>18.408157457081757</v>
      </c>
      <c r="M279" s="1">
        <f t="array" ref="M279">IF(AND(A279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279&gt;=_xlfn.ANCHORARRAY(Sintesi!$C$9))+(_xlfn.ANCHORARRAY(Sintesi!$C$9)&gt;_xlfn.ANCHORARRAY(Sintesi!$C$10))*(A279&lt;=_xlfn.ANCHORARRAY(Sintesi!$C$10))+(_xlfn.ANCHORARRAY(Sintesi!$C$9)&lt;_xlfn.ANCHORARRAY(Sintesi!$C$10))*(A279&gt;=_xlfn.ANCHORARRAY(Sintesi!$C$9))*(A279&lt;=_xlfn.ANCHORARRAY(Sintesi!$C$10)),0)),0),A279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280&gt;=_xlfn.ANCHORARRAY(Sintesi!$C$9))+(_xlfn.ANCHORARRAY(Sintesi!$C$9)&gt;_xlfn.ANCHORARRAY(Sintesi!$C$10))*(A280&lt;=_xlfn.ANCHORARRAY(Sintesi!$C$10))+(_xlfn.ANCHORARRAY(Sintesi!$C$9)&lt;_xlfn.ANCHORARRAY(Sintesi!$C$10))*(A280&gt;=_xlfn.ANCHORARRAY(Sintesi!$C$9))*(A280&lt;=_xlfn.ANCHORARRAY(Sintesi!$C$10)),0)),0)),IF(L279&lt;_xlfn.IFNA(INDEX(_xlfn.ANCHORARRAY(Sintesi!$C$17),1,MATCH(1,(_xlfn.ANCHORARRAY(Sintesi!$C$9)&gt;_xlfn.ANCHORARRAY(Sintesi!$C$10))*(A278&gt;=_xlfn.ANCHORARRAY(Sintesi!$C$9))+(_xlfn.ANCHORARRAY(Sintesi!$C$9)&gt;_xlfn.ANCHORARRAY(Sintesi!$C$10))*(A278&lt;=_xlfn.ANCHORARRAY(Sintesi!$C$10))+(_xlfn.ANCHORARRAY(Sintesi!$C$9)&lt;_xlfn.ANCHORARRAY(Sintesi!$C$10))*(A278&gt;=_xlfn.ANCHORARRAY(Sintesi!$C$9))*(A278&lt;=_xlfn.ANCHORARRAY(Sintesi!$C$10)),0)),0),1,IF(L279&gt;=_xlfn.IFNA(INDEX(_xlfn.ANCHORARRAY(Sintesi!$C$18),1,MATCH(1,(_xlfn.ANCHORARRAY(Sintesi!$C$9)&gt;_xlfn.ANCHORARRAY(Sintesi!$C$10))*(A278&gt;=_xlfn.ANCHORARRAY(Sintesi!$C$9))+(_xlfn.ANCHORARRAY(Sintesi!$C$9)&gt;_xlfn.ANCHORARRAY(Sintesi!$C$10))*(A278&lt;=_xlfn.ANCHORARRAY(Sintesi!$C$10))+(_xlfn.ANCHORARRAY(Sintesi!$C$9)&lt;_xlfn.ANCHORARRAY(Sintesi!$C$10))*(A278&gt;=_xlfn.ANCHORARRAY(Sintesi!$C$9))*(A278&lt;=_xlfn.ANCHORARRAY(Sintesi!$C$10)),0)),0),0,1-(L279-_xlfn.IFNA(INDEX(_xlfn.ANCHORARRAY(Sintesi!$C$17),1,MATCH(1,(_xlfn.ANCHORARRAY(Sintesi!$C$9)&gt;_xlfn.ANCHORARRAY(Sintesi!$C$10))*(A278&gt;=_xlfn.ANCHORARRAY(Sintesi!$C$9))+(_xlfn.ANCHORARRAY(Sintesi!$C$9)&gt;_xlfn.ANCHORARRAY(Sintesi!$C$10))*(A278&lt;=_xlfn.ANCHORARRAY(Sintesi!$C$10))+(_xlfn.ANCHORARRAY(Sintesi!$C$9)&lt;_xlfn.ANCHORARRAY(Sintesi!$C$10))*(A278&gt;=_xlfn.ANCHORARRAY(Sintesi!$C$9))*(A278&lt;=_xlfn.ANCHORARRAY(Sintesi!$C$10)),0)),0))/(_xlfn.IFNA(INDEX(_xlfn.ANCHORARRAY(Sintesi!$C$18),1,MATCH(1,(_xlfn.ANCHORARRAY(Sintesi!$C$9)&gt;_xlfn.ANCHORARRAY(Sintesi!$C$10))*(A278&gt;=_xlfn.ANCHORARRAY(Sintesi!$C$9))+(_xlfn.ANCHORARRAY(Sintesi!$C$9)&gt;_xlfn.ANCHORARRAY(Sintesi!$C$10))*(A278&lt;=_xlfn.ANCHORARRAY(Sintesi!$C$10))+(_xlfn.ANCHORARRAY(Sintesi!$C$9)&lt;_xlfn.ANCHORARRAY(Sintesi!$C$10))*(A278&gt;=_xlfn.ANCHORARRAY(Sintesi!$C$9))*(A278&lt;=_xlfn.ANCHORARRAY(Sintesi!$C$10)),0)),0)-_xlfn.IFNA(INDEX(_xlfn.ANCHORARRAY(Sintesi!$C$17),1,MATCH(1,(_xlfn.ANCHORARRAY(Sintesi!$C$9)&gt;_xlfn.ANCHORARRAY(Sintesi!$C$10))*(A278&gt;=_xlfn.ANCHORARRAY(Sintesi!$C$9))+(_xlfn.ANCHORARRAY(Sintesi!$C$9)&gt;_xlfn.ANCHORARRAY(Sintesi!$C$10))*(A278&lt;=_xlfn.ANCHORARRAY(Sintesi!$C$10))+(_xlfn.ANCHORARRAY(Sintesi!$C$9)&lt;_xlfn.ANCHORARRAY(Sintesi!$C$10))*(A278&gt;=_xlfn.ANCHORARRAY(Sintesi!$C$9))*(A278&lt;=_xlfn.ANCHORARRAY(Sintesi!$C$10)),0)),0)))),0)</f>
        <v>0</v>
      </c>
    </row>
    <row r="280" spans="1:13">
      <c r="A280" s="1">
        <f>'Paste cell here'!A280</f>
        <v>279</v>
      </c>
      <c r="B280" s="2">
        <f>DATE(Sintesi!$C$4-1,12,31)+A280</f>
        <v>44475</v>
      </c>
      <c r="C280" s="34">
        <f t="array" ref="C280">_xlfn.IFNA(MATCH(1,((_xlfn.ANCHORARRAY(Sintesi!$C$9)&gt;_xlfn.ANCHORARRAY(Sintesi!$C$10))*(A280&gt;=_xlfn.ANCHORARRAY(Sintesi!$C$9))+(_xlfn.ANCHORARRAY(Sintesi!$C$9)&gt;_xlfn.ANCHORARRAY(Sintesi!$C$10))*(A280&lt;=_xlfn.ANCHORARRAY(Sintesi!$C$10))+(_xlfn.ANCHORARRAY(Sintesi!$C$9)&lt;_xlfn.ANCHORARRAY(Sintesi!$C$10))*(A280&gt;=_xlfn.ANCHORARRAY(Sintesi!$C$9))*(A280&lt;=_xlfn.ANCHORARRAY(Sintesi!$C$10)))*(_xlfn.ANCHORARRAY(Sintesi!$C$15)&gt;=0)+(_xlfn.ANCHORARRAY(Sintesi!$C$15)&lt;0),0),0)</f>
        <v>0</v>
      </c>
      <c r="D280" s="1">
        <f t="array" ref="D280">IF(ISBLANK($E281),IF(ISNUMBER($E279),IF($C280&gt;0,IF(($E280=INDEX(_xlfn.ANCHORARRAY(Sintesi!$C$14),1,$C280))*(INDEX(_xlfn.ANCHORARRAY(Sintesi!$C$15),1,$C280)&gt;0),0,IF(($E280=INDEX(_xlfn.ANCHORARRAY(Sintesi!$C$14),1,$C280))*(INDEX(_xlfn.ANCHORARRAY(Sintesi!$C$15),1,$C280)&lt;0)+($E280&gt;=$E279)*($E280&lt;=INDEX($E:$E,MATCH(TRUE,INDEX((ISNUMBER($E:$E)),0),0)))*($E280&gt;INDEX(_xlfn.ANCHORARRAY(Sintesi!$C$14),1,$C280))*($E280&lt;=INDEX(_xlfn.ANCHORARRAY(Sintesi!$C$15),1,$C280))*(INDEX(_xlfn.ANCHORARRAY(Sintesi!$C$15),1,$C280)&gt;0),1,IF(($E280&gt;=$E279)*($E280&lt;=INDEX($E:$E,MATCH(TRUE,INDEX((ISNUMBER($E:$E)),0),0)))*($E280&gt;INDEX(_xlfn.ANCHORARRAY(Sintesi!$C$14),1,$C280))*($E280&lt;INDEX(_xlfn.ANCHORARRAY(Sintesi!$C$16),1,$C280))*(INDEX(_xlfn.ANCHORARRAY(Sintesi!$C$15),1,$C280)&lt;0)+($E280&gt;=$E279)*($E280&lt;=INDEX($E:$E,MATCH(TRUE,INDEX((ISNUMBER($E:$E)),0),0)))*($E280&gt;INDEX(_xlfn.ANCHORARRAY(Sintesi!$C$15),1,$C280))*($E280&lt;INDEX(_xlfn.ANCHORARRAY(Sintesi!$C$16),1,$C280))*(INDEX(_xlfn.ANCHORARRAY(Sintesi!$C$15),1,$C280)&gt;0),2,IF($E280=(INDEX(_xlfn.ANCHORARRAY(Sintesi!$C$16),1,$C280)),3,4)))),0),IF($C280&gt;0,IF(($E280=INDEX(_xlfn.ANCHORARRAY(Sintesi!$C$14),1,$C280))*(INDEX(_xlfn.ANCHORARRAY(Sintesi!$C$15),1,$C280)&gt;0),0,IF(($E280=INDEX(_xlfn.ANCHORARRAY(Sintesi!$C$14),1,$C280))*(INDEX(_xlfn.ANCHORARRAY(Sintesi!$C$15),1,$C280)&lt;0)+($E280&gt;=LOOKUP(2,1/($E:$E&lt;&gt;""),$E:$E))*($E280&lt;=INDEX($E:$E,MATCH(TRUE,INDEX((ISNUMBER($E:$E)),0),0)))*($E280&gt;INDEX(_xlfn.ANCHORARRAY(Sintesi!$C$14),1,$C280))*($E280&lt;=INDEX(_xlfn.ANCHORARRAY(Sintesi!$C$15),1,$C280))*(INDEX(_xlfn.ANCHORARRAY(Sintesi!$C$15),1,$C280)&gt;0),1,IF(($E280&gt;=LOOKUP(2,1/($E:$E&lt;&gt;""),$E:$E))*($E280&lt;=INDEX($E:$E,MATCH(TRUE,INDEX((ISNUMBER($E:$E)),0),0)))*($E280&gt;INDEX(_xlfn.ANCHORARRAY(Sintesi!$C$14),1,$C280))*($E280&lt;INDEX(_xlfn.ANCHORARRAY(Sintesi!$C$16),1,$C280))*(INDEX(_xlfn.ANCHORARRAY(Sintesi!$C$15),1,$C280)&lt;0)+($E280&gt;=LOOKUP(2,1/($E:$E&lt;&gt;""),$E:$E))*($E280&lt;=INDEX($E:$E,MATCH(TRUE,INDEX((ISNUMBER($E:$E)),0),0)))*($E280&gt;INDEX(_xlfn.ANCHORARRAY(Sintesi!$C$15),1,$C280))*($E280&lt;INDEX(_xlfn.ANCHORARRAY(Sintesi!$C$16),1,$C280))*(INDEX(_xlfn.ANCHORARRAY(Sintesi!$C$15),1,$C280)&gt;0),2,IF($E280=(INDEX(_xlfn.ANCHORARRAY(Sintesi!$C$16),1,$C280)),3,4)))),0)),IF(ISNUMBER($E279),IF($C280&gt;0,IF(($E280=INDEX(_xlfn.ANCHORARRAY(Sintesi!$C$14),1,$C280))*(INDEX(_xlfn.ANCHORARRAY(Sintesi!$C$15),1,$C280)&gt;0),0,IF(($E280=INDEX(_xlfn.ANCHORARRAY(Sintesi!$C$14),1,$C280))*(INDEX(_xlfn.ANCHORARRAY(Sintesi!$C$15),1,$C280)&lt;0)+($E280&gt;=$E279)*($E280&lt;=$E281)*($E280&gt;INDEX(_xlfn.ANCHORARRAY(Sintesi!$C$14),1,$C280))*($E280&lt;=INDEX(_xlfn.ANCHORARRAY(Sintesi!$C$15),1,$C280))*(INDEX(_xlfn.ANCHORARRAY(Sintesi!$C$15),1,$C280)&gt;0),1,IF(($E280&gt;=$E279)*($E280&lt;=$E281)*($E280&gt;INDEX(_xlfn.ANCHORARRAY(Sintesi!$C$14),1,$C280))*($E280&lt;INDEX(_xlfn.ANCHORARRAY(Sintesi!$C$16),1,$C280))*(INDEX(_xlfn.ANCHORARRAY(Sintesi!$C$15),1,$C280)&lt;0)+($E280&gt;=$E279)*($E280&lt;=$E281)*($E280&gt;INDEX(_xlfn.ANCHORARRAY(Sintesi!$C$15),1,$C280))*($E280&lt;INDEX(_xlfn.ANCHORARRAY(Sintesi!$C$16),1,$C280))*(INDEX(_xlfn.ANCHORARRAY(Sintesi!$C$15),1,$C280)&gt;0),2,IF($E280=(INDEX(_xlfn.ANCHORARRAY(Sintesi!$C$16),1,$C280)),3,4)))),0),IF($C280&gt;0,IF(($E280=INDEX(_xlfn.ANCHORARRAY(Sintesi!$C$14),1,$C280))*(INDEX(_xlfn.ANCHORARRAY(Sintesi!$C$15),1,$C280)&gt;0),0,IF(($E280=INDEX(_xlfn.ANCHORARRAY(Sintesi!$C$14),1,$C280))*(INDEX(_xlfn.ANCHORARRAY(Sintesi!$C$15),1,$C280)&lt;0)+($E280&gt;=LOOKUP(2,1/($E:$E&lt;&gt;""),$E:$E))*($E280&lt;=$E281)*($E280&gt;INDEX(_xlfn.ANCHORARRAY(Sintesi!$C$14),1,$C280))*($E280&lt;=INDEX(_xlfn.ANCHORARRAY(Sintesi!$C$15),1,$C280))*(INDEX(_xlfn.ANCHORARRAY(Sintesi!$C$15),1,$C280)&gt;0),1,IF(($E280&gt;=LOOKUP(2,1/($E:$E&lt;&gt;""),$E:$E))*($E280&lt;=$E281)*($E280&gt;INDEX(_xlfn.ANCHORARRAY(Sintesi!$C$14),1,$C280))*($E280&lt;INDEX(_xlfn.ANCHORARRAY(Sintesi!$C$16),1,$C280))*(INDEX(_xlfn.ANCHORARRAY(Sintesi!$C$15),1,$C280)&lt;0)+($E280&gt;=LOOKUP(2,1/($E:$E&lt;&gt;""),$E:$E))*($E280&lt;=$E281)*($E280&gt;INDEX(_xlfn.ANCHORARRAY(Sintesi!$C$15),1,$C280))*($E280&lt;INDEX(_xlfn.ANCHORARRAY(Sintesi!$C$16),1,$C280))*(INDEX(_xlfn.ANCHORARRAY(Sintesi!$C$15),1,$C280)&gt;0),2,IF($E280=(INDEX(_xlfn.ANCHORARRAY(Sintesi!$C$16),1,$C280)),3,4)))),0)))</f>
        <v>0</v>
      </c>
      <c r="E280" s="1">
        <f>'Paste cell here'!F280</f>
        <v>0</v>
      </c>
      <c r="F280" s="1">
        <f>'Paste cell here'!C280</f>
        <v>16.359999999999779</v>
      </c>
      <c r="G280" s="1">
        <f>'Paste cell here'!D280</f>
        <v>9.8799999999998604</v>
      </c>
      <c r="H280" s="1">
        <f>'Paste cell here'!E280</f>
        <v>1.3118488938401367</v>
      </c>
      <c r="I280" s="1">
        <f>'Paste cell here'!X280</f>
        <v>0</v>
      </c>
      <c r="J280" s="1">
        <f>'Paste cell here'!Y280+'Paste cell here'!S280</f>
        <v>0</v>
      </c>
      <c r="K280" s="1">
        <f t="shared" si="8"/>
        <v>0</v>
      </c>
      <c r="L280" s="1">
        <f t="shared" si="9"/>
        <v>14.010481383619318</v>
      </c>
      <c r="M280" s="1">
        <f t="array" ref="M280">IF(AND(A280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280&gt;=_xlfn.ANCHORARRAY(Sintesi!$C$9))+(_xlfn.ANCHORARRAY(Sintesi!$C$9)&gt;_xlfn.ANCHORARRAY(Sintesi!$C$10))*(A280&lt;=_xlfn.ANCHORARRAY(Sintesi!$C$10))+(_xlfn.ANCHORARRAY(Sintesi!$C$9)&lt;_xlfn.ANCHORARRAY(Sintesi!$C$10))*(A280&gt;=_xlfn.ANCHORARRAY(Sintesi!$C$9))*(A280&lt;=_xlfn.ANCHORARRAY(Sintesi!$C$10)),0)),0),A280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281&gt;=_xlfn.ANCHORARRAY(Sintesi!$C$9))+(_xlfn.ANCHORARRAY(Sintesi!$C$9)&gt;_xlfn.ANCHORARRAY(Sintesi!$C$10))*(A281&lt;=_xlfn.ANCHORARRAY(Sintesi!$C$10))+(_xlfn.ANCHORARRAY(Sintesi!$C$9)&lt;_xlfn.ANCHORARRAY(Sintesi!$C$10))*(A281&gt;=_xlfn.ANCHORARRAY(Sintesi!$C$9))*(A281&lt;=_xlfn.ANCHORARRAY(Sintesi!$C$10)),0)),0)),IF(L280&lt;_xlfn.IFNA(INDEX(_xlfn.ANCHORARRAY(Sintesi!$C$17),1,MATCH(1,(_xlfn.ANCHORARRAY(Sintesi!$C$9)&gt;_xlfn.ANCHORARRAY(Sintesi!$C$10))*(A279&gt;=_xlfn.ANCHORARRAY(Sintesi!$C$9))+(_xlfn.ANCHORARRAY(Sintesi!$C$9)&gt;_xlfn.ANCHORARRAY(Sintesi!$C$10))*(A279&lt;=_xlfn.ANCHORARRAY(Sintesi!$C$10))+(_xlfn.ANCHORARRAY(Sintesi!$C$9)&lt;_xlfn.ANCHORARRAY(Sintesi!$C$10))*(A279&gt;=_xlfn.ANCHORARRAY(Sintesi!$C$9))*(A279&lt;=_xlfn.ANCHORARRAY(Sintesi!$C$10)),0)),0),1,IF(L280&gt;=_xlfn.IFNA(INDEX(_xlfn.ANCHORARRAY(Sintesi!$C$18),1,MATCH(1,(_xlfn.ANCHORARRAY(Sintesi!$C$9)&gt;_xlfn.ANCHORARRAY(Sintesi!$C$10))*(A279&gt;=_xlfn.ANCHORARRAY(Sintesi!$C$9))+(_xlfn.ANCHORARRAY(Sintesi!$C$9)&gt;_xlfn.ANCHORARRAY(Sintesi!$C$10))*(A279&lt;=_xlfn.ANCHORARRAY(Sintesi!$C$10))+(_xlfn.ANCHORARRAY(Sintesi!$C$9)&lt;_xlfn.ANCHORARRAY(Sintesi!$C$10))*(A279&gt;=_xlfn.ANCHORARRAY(Sintesi!$C$9))*(A279&lt;=_xlfn.ANCHORARRAY(Sintesi!$C$10)),0)),0),0,1-(L280-_xlfn.IFNA(INDEX(_xlfn.ANCHORARRAY(Sintesi!$C$17),1,MATCH(1,(_xlfn.ANCHORARRAY(Sintesi!$C$9)&gt;_xlfn.ANCHORARRAY(Sintesi!$C$10))*(A279&gt;=_xlfn.ANCHORARRAY(Sintesi!$C$9))+(_xlfn.ANCHORARRAY(Sintesi!$C$9)&gt;_xlfn.ANCHORARRAY(Sintesi!$C$10))*(A279&lt;=_xlfn.ANCHORARRAY(Sintesi!$C$10))+(_xlfn.ANCHORARRAY(Sintesi!$C$9)&lt;_xlfn.ANCHORARRAY(Sintesi!$C$10))*(A279&gt;=_xlfn.ANCHORARRAY(Sintesi!$C$9))*(A279&lt;=_xlfn.ANCHORARRAY(Sintesi!$C$10)),0)),0))/(_xlfn.IFNA(INDEX(_xlfn.ANCHORARRAY(Sintesi!$C$18),1,MATCH(1,(_xlfn.ANCHORARRAY(Sintesi!$C$9)&gt;_xlfn.ANCHORARRAY(Sintesi!$C$10))*(A279&gt;=_xlfn.ANCHORARRAY(Sintesi!$C$9))+(_xlfn.ANCHORARRAY(Sintesi!$C$9)&gt;_xlfn.ANCHORARRAY(Sintesi!$C$10))*(A279&lt;=_xlfn.ANCHORARRAY(Sintesi!$C$10))+(_xlfn.ANCHORARRAY(Sintesi!$C$9)&lt;_xlfn.ANCHORARRAY(Sintesi!$C$10))*(A279&gt;=_xlfn.ANCHORARRAY(Sintesi!$C$9))*(A279&lt;=_xlfn.ANCHORARRAY(Sintesi!$C$10)),0)),0)-_xlfn.IFNA(INDEX(_xlfn.ANCHORARRAY(Sintesi!$C$17),1,MATCH(1,(_xlfn.ANCHORARRAY(Sintesi!$C$9)&gt;_xlfn.ANCHORARRAY(Sintesi!$C$10))*(A279&gt;=_xlfn.ANCHORARRAY(Sintesi!$C$9))+(_xlfn.ANCHORARRAY(Sintesi!$C$9)&gt;_xlfn.ANCHORARRAY(Sintesi!$C$10))*(A279&lt;=_xlfn.ANCHORARRAY(Sintesi!$C$10))+(_xlfn.ANCHORARRAY(Sintesi!$C$9)&lt;_xlfn.ANCHORARRAY(Sintesi!$C$10))*(A279&gt;=_xlfn.ANCHORARRAY(Sintesi!$C$9))*(A279&lt;=_xlfn.ANCHORARRAY(Sintesi!$C$10)),0)),0)))),0)</f>
        <v>0</v>
      </c>
    </row>
    <row r="281" spans="1:13">
      <c r="A281" s="1">
        <f>'Paste cell here'!A281</f>
        <v>280</v>
      </c>
      <c r="B281" s="2">
        <f>DATE(Sintesi!$C$4-1,12,31)+A281</f>
        <v>44476</v>
      </c>
      <c r="C281" s="34">
        <f t="array" ref="C281">_xlfn.IFNA(MATCH(1,((_xlfn.ANCHORARRAY(Sintesi!$C$9)&gt;_xlfn.ANCHORARRAY(Sintesi!$C$10))*(A281&gt;=_xlfn.ANCHORARRAY(Sintesi!$C$9))+(_xlfn.ANCHORARRAY(Sintesi!$C$9)&gt;_xlfn.ANCHORARRAY(Sintesi!$C$10))*(A281&lt;=_xlfn.ANCHORARRAY(Sintesi!$C$10))+(_xlfn.ANCHORARRAY(Sintesi!$C$9)&lt;_xlfn.ANCHORARRAY(Sintesi!$C$10))*(A281&gt;=_xlfn.ANCHORARRAY(Sintesi!$C$9))*(A281&lt;=_xlfn.ANCHORARRAY(Sintesi!$C$10)))*(_xlfn.ANCHORARRAY(Sintesi!$C$15)&gt;=0)+(_xlfn.ANCHORARRAY(Sintesi!$C$15)&lt;0),0),0)</f>
        <v>0</v>
      </c>
      <c r="D281" s="1">
        <f t="array" ref="D281">IF(ISBLANK($E282),IF(ISNUMBER($E280),IF($C281&gt;0,IF(($E281=INDEX(_xlfn.ANCHORARRAY(Sintesi!$C$14),1,$C281))*(INDEX(_xlfn.ANCHORARRAY(Sintesi!$C$15),1,$C281)&gt;0),0,IF(($E281=INDEX(_xlfn.ANCHORARRAY(Sintesi!$C$14),1,$C281))*(INDEX(_xlfn.ANCHORARRAY(Sintesi!$C$15),1,$C281)&lt;0)+($E281&gt;=$E280)*($E281&lt;=INDEX($E:$E,MATCH(TRUE,INDEX((ISNUMBER($E:$E)),0),0)))*($E281&gt;INDEX(_xlfn.ANCHORARRAY(Sintesi!$C$14),1,$C281))*($E281&lt;=INDEX(_xlfn.ANCHORARRAY(Sintesi!$C$15),1,$C281))*(INDEX(_xlfn.ANCHORARRAY(Sintesi!$C$15),1,$C281)&gt;0),1,IF(($E281&gt;=$E280)*($E281&lt;=INDEX($E:$E,MATCH(TRUE,INDEX((ISNUMBER($E:$E)),0),0)))*($E281&gt;INDEX(_xlfn.ANCHORARRAY(Sintesi!$C$14),1,$C281))*($E281&lt;INDEX(_xlfn.ANCHORARRAY(Sintesi!$C$16),1,$C281))*(INDEX(_xlfn.ANCHORARRAY(Sintesi!$C$15),1,$C281)&lt;0)+($E281&gt;=$E280)*($E281&lt;=INDEX($E:$E,MATCH(TRUE,INDEX((ISNUMBER($E:$E)),0),0)))*($E281&gt;INDEX(_xlfn.ANCHORARRAY(Sintesi!$C$15),1,$C281))*($E281&lt;INDEX(_xlfn.ANCHORARRAY(Sintesi!$C$16),1,$C281))*(INDEX(_xlfn.ANCHORARRAY(Sintesi!$C$15),1,$C281)&gt;0),2,IF($E281=(INDEX(_xlfn.ANCHORARRAY(Sintesi!$C$16),1,$C281)),3,4)))),0),IF($C281&gt;0,IF(($E281=INDEX(_xlfn.ANCHORARRAY(Sintesi!$C$14),1,$C281))*(INDEX(_xlfn.ANCHORARRAY(Sintesi!$C$15),1,$C281)&gt;0),0,IF(($E281=INDEX(_xlfn.ANCHORARRAY(Sintesi!$C$14),1,$C281))*(INDEX(_xlfn.ANCHORARRAY(Sintesi!$C$15),1,$C281)&lt;0)+($E281&gt;=LOOKUP(2,1/($E:$E&lt;&gt;""),$E:$E))*($E281&lt;=INDEX($E:$E,MATCH(TRUE,INDEX((ISNUMBER($E:$E)),0),0)))*($E281&gt;INDEX(_xlfn.ANCHORARRAY(Sintesi!$C$14),1,$C281))*($E281&lt;=INDEX(_xlfn.ANCHORARRAY(Sintesi!$C$15),1,$C281))*(INDEX(_xlfn.ANCHORARRAY(Sintesi!$C$15),1,$C281)&gt;0),1,IF(($E281&gt;=LOOKUP(2,1/($E:$E&lt;&gt;""),$E:$E))*($E281&lt;=INDEX($E:$E,MATCH(TRUE,INDEX((ISNUMBER($E:$E)),0),0)))*($E281&gt;INDEX(_xlfn.ANCHORARRAY(Sintesi!$C$14),1,$C281))*($E281&lt;INDEX(_xlfn.ANCHORARRAY(Sintesi!$C$16),1,$C281))*(INDEX(_xlfn.ANCHORARRAY(Sintesi!$C$15),1,$C281)&lt;0)+($E281&gt;=LOOKUP(2,1/($E:$E&lt;&gt;""),$E:$E))*($E281&lt;=INDEX($E:$E,MATCH(TRUE,INDEX((ISNUMBER($E:$E)),0),0)))*($E281&gt;INDEX(_xlfn.ANCHORARRAY(Sintesi!$C$15),1,$C281))*($E281&lt;INDEX(_xlfn.ANCHORARRAY(Sintesi!$C$16),1,$C281))*(INDEX(_xlfn.ANCHORARRAY(Sintesi!$C$15),1,$C281)&gt;0),2,IF($E281=(INDEX(_xlfn.ANCHORARRAY(Sintesi!$C$16),1,$C281)),3,4)))),0)),IF(ISNUMBER($E280),IF($C281&gt;0,IF(($E281=INDEX(_xlfn.ANCHORARRAY(Sintesi!$C$14),1,$C281))*(INDEX(_xlfn.ANCHORARRAY(Sintesi!$C$15),1,$C281)&gt;0),0,IF(($E281=INDEX(_xlfn.ANCHORARRAY(Sintesi!$C$14),1,$C281))*(INDEX(_xlfn.ANCHORARRAY(Sintesi!$C$15),1,$C281)&lt;0)+($E281&gt;=$E280)*($E281&lt;=$E282)*($E281&gt;INDEX(_xlfn.ANCHORARRAY(Sintesi!$C$14),1,$C281))*($E281&lt;=INDEX(_xlfn.ANCHORARRAY(Sintesi!$C$15),1,$C281))*(INDEX(_xlfn.ANCHORARRAY(Sintesi!$C$15),1,$C281)&gt;0),1,IF(($E281&gt;=$E280)*($E281&lt;=$E282)*($E281&gt;INDEX(_xlfn.ANCHORARRAY(Sintesi!$C$14),1,$C281))*($E281&lt;INDEX(_xlfn.ANCHORARRAY(Sintesi!$C$16),1,$C281))*(INDEX(_xlfn.ANCHORARRAY(Sintesi!$C$15),1,$C281)&lt;0)+($E281&gt;=$E280)*($E281&lt;=$E282)*($E281&gt;INDEX(_xlfn.ANCHORARRAY(Sintesi!$C$15),1,$C281))*($E281&lt;INDEX(_xlfn.ANCHORARRAY(Sintesi!$C$16),1,$C281))*(INDEX(_xlfn.ANCHORARRAY(Sintesi!$C$15),1,$C281)&gt;0),2,IF($E281=(INDEX(_xlfn.ANCHORARRAY(Sintesi!$C$16),1,$C281)),3,4)))),0),IF($C281&gt;0,IF(($E281=INDEX(_xlfn.ANCHORARRAY(Sintesi!$C$14),1,$C281))*(INDEX(_xlfn.ANCHORARRAY(Sintesi!$C$15),1,$C281)&gt;0),0,IF(($E281=INDEX(_xlfn.ANCHORARRAY(Sintesi!$C$14),1,$C281))*(INDEX(_xlfn.ANCHORARRAY(Sintesi!$C$15),1,$C281)&lt;0)+($E281&gt;=LOOKUP(2,1/($E:$E&lt;&gt;""),$E:$E))*($E281&lt;=$E282)*($E281&gt;INDEX(_xlfn.ANCHORARRAY(Sintesi!$C$14),1,$C281))*($E281&lt;=INDEX(_xlfn.ANCHORARRAY(Sintesi!$C$15),1,$C281))*(INDEX(_xlfn.ANCHORARRAY(Sintesi!$C$15),1,$C281)&gt;0),1,IF(($E281&gt;=LOOKUP(2,1/($E:$E&lt;&gt;""),$E:$E))*($E281&lt;=$E282)*($E281&gt;INDEX(_xlfn.ANCHORARRAY(Sintesi!$C$14),1,$C281))*($E281&lt;INDEX(_xlfn.ANCHORARRAY(Sintesi!$C$16),1,$C281))*(INDEX(_xlfn.ANCHORARRAY(Sintesi!$C$15),1,$C281)&lt;0)+($E281&gt;=LOOKUP(2,1/($E:$E&lt;&gt;""),$E:$E))*($E281&lt;=$E282)*($E281&gt;INDEX(_xlfn.ANCHORARRAY(Sintesi!$C$15),1,$C281))*($E281&lt;INDEX(_xlfn.ANCHORARRAY(Sintesi!$C$16),1,$C281))*(INDEX(_xlfn.ANCHORARRAY(Sintesi!$C$15),1,$C281)&gt;0),2,IF($E281=(INDEX(_xlfn.ANCHORARRAY(Sintesi!$C$16),1,$C281)),3,4)))),0)))</f>
        <v>0</v>
      </c>
      <c r="E281" s="1">
        <f>'Paste cell here'!F281</f>
        <v>0</v>
      </c>
      <c r="F281" s="1">
        <f>'Paste cell here'!C281</f>
        <v>21.519999999999705</v>
      </c>
      <c r="G281" s="1">
        <f>'Paste cell here'!D281</f>
        <v>7.8799999999998844</v>
      </c>
      <c r="H281" s="1">
        <f>'Paste cell here'!E281</f>
        <v>1.672178517425005</v>
      </c>
      <c r="I281" s="1">
        <f>'Paste cell here'!X281</f>
        <v>0</v>
      </c>
      <c r="J281" s="1">
        <f>'Paste cell here'!Y281+'Paste cell here'!S281</f>
        <v>0</v>
      </c>
      <c r="K281" s="1">
        <f t="shared" si="8"/>
        <v>0</v>
      </c>
      <c r="L281" s="1">
        <f t="shared" si="9"/>
        <v>16.574408344532195</v>
      </c>
      <c r="M281" s="1">
        <f t="array" ref="M281">IF(AND(A281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281&gt;=_xlfn.ANCHORARRAY(Sintesi!$C$9))+(_xlfn.ANCHORARRAY(Sintesi!$C$9)&gt;_xlfn.ANCHORARRAY(Sintesi!$C$10))*(A281&lt;=_xlfn.ANCHORARRAY(Sintesi!$C$10))+(_xlfn.ANCHORARRAY(Sintesi!$C$9)&lt;_xlfn.ANCHORARRAY(Sintesi!$C$10))*(A281&gt;=_xlfn.ANCHORARRAY(Sintesi!$C$9))*(A281&lt;=_xlfn.ANCHORARRAY(Sintesi!$C$10)),0)),0),A281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282&gt;=_xlfn.ANCHORARRAY(Sintesi!$C$9))+(_xlfn.ANCHORARRAY(Sintesi!$C$9)&gt;_xlfn.ANCHORARRAY(Sintesi!$C$10))*(A282&lt;=_xlfn.ANCHORARRAY(Sintesi!$C$10))+(_xlfn.ANCHORARRAY(Sintesi!$C$9)&lt;_xlfn.ANCHORARRAY(Sintesi!$C$10))*(A282&gt;=_xlfn.ANCHORARRAY(Sintesi!$C$9))*(A282&lt;=_xlfn.ANCHORARRAY(Sintesi!$C$10)),0)),0)),IF(L281&lt;_xlfn.IFNA(INDEX(_xlfn.ANCHORARRAY(Sintesi!$C$17),1,MATCH(1,(_xlfn.ANCHORARRAY(Sintesi!$C$9)&gt;_xlfn.ANCHORARRAY(Sintesi!$C$10))*(A280&gt;=_xlfn.ANCHORARRAY(Sintesi!$C$9))+(_xlfn.ANCHORARRAY(Sintesi!$C$9)&gt;_xlfn.ANCHORARRAY(Sintesi!$C$10))*(A280&lt;=_xlfn.ANCHORARRAY(Sintesi!$C$10))+(_xlfn.ANCHORARRAY(Sintesi!$C$9)&lt;_xlfn.ANCHORARRAY(Sintesi!$C$10))*(A280&gt;=_xlfn.ANCHORARRAY(Sintesi!$C$9))*(A280&lt;=_xlfn.ANCHORARRAY(Sintesi!$C$10)),0)),0),1,IF(L281&gt;=_xlfn.IFNA(INDEX(_xlfn.ANCHORARRAY(Sintesi!$C$18),1,MATCH(1,(_xlfn.ANCHORARRAY(Sintesi!$C$9)&gt;_xlfn.ANCHORARRAY(Sintesi!$C$10))*(A280&gt;=_xlfn.ANCHORARRAY(Sintesi!$C$9))+(_xlfn.ANCHORARRAY(Sintesi!$C$9)&gt;_xlfn.ANCHORARRAY(Sintesi!$C$10))*(A280&lt;=_xlfn.ANCHORARRAY(Sintesi!$C$10))+(_xlfn.ANCHORARRAY(Sintesi!$C$9)&lt;_xlfn.ANCHORARRAY(Sintesi!$C$10))*(A280&gt;=_xlfn.ANCHORARRAY(Sintesi!$C$9))*(A280&lt;=_xlfn.ANCHORARRAY(Sintesi!$C$10)),0)),0),0,1-(L281-_xlfn.IFNA(INDEX(_xlfn.ANCHORARRAY(Sintesi!$C$17),1,MATCH(1,(_xlfn.ANCHORARRAY(Sintesi!$C$9)&gt;_xlfn.ANCHORARRAY(Sintesi!$C$10))*(A280&gt;=_xlfn.ANCHORARRAY(Sintesi!$C$9))+(_xlfn.ANCHORARRAY(Sintesi!$C$9)&gt;_xlfn.ANCHORARRAY(Sintesi!$C$10))*(A280&lt;=_xlfn.ANCHORARRAY(Sintesi!$C$10))+(_xlfn.ANCHORARRAY(Sintesi!$C$9)&lt;_xlfn.ANCHORARRAY(Sintesi!$C$10))*(A280&gt;=_xlfn.ANCHORARRAY(Sintesi!$C$9))*(A280&lt;=_xlfn.ANCHORARRAY(Sintesi!$C$10)),0)),0))/(_xlfn.IFNA(INDEX(_xlfn.ANCHORARRAY(Sintesi!$C$18),1,MATCH(1,(_xlfn.ANCHORARRAY(Sintesi!$C$9)&gt;_xlfn.ANCHORARRAY(Sintesi!$C$10))*(A280&gt;=_xlfn.ANCHORARRAY(Sintesi!$C$9))+(_xlfn.ANCHORARRAY(Sintesi!$C$9)&gt;_xlfn.ANCHORARRAY(Sintesi!$C$10))*(A280&lt;=_xlfn.ANCHORARRAY(Sintesi!$C$10))+(_xlfn.ANCHORARRAY(Sintesi!$C$9)&lt;_xlfn.ANCHORARRAY(Sintesi!$C$10))*(A280&gt;=_xlfn.ANCHORARRAY(Sintesi!$C$9))*(A280&lt;=_xlfn.ANCHORARRAY(Sintesi!$C$10)),0)),0)-_xlfn.IFNA(INDEX(_xlfn.ANCHORARRAY(Sintesi!$C$17),1,MATCH(1,(_xlfn.ANCHORARRAY(Sintesi!$C$9)&gt;_xlfn.ANCHORARRAY(Sintesi!$C$10))*(A280&gt;=_xlfn.ANCHORARRAY(Sintesi!$C$9))+(_xlfn.ANCHORARRAY(Sintesi!$C$9)&gt;_xlfn.ANCHORARRAY(Sintesi!$C$10))*(A280&lt;=_xlfn.ANCHORARRAY(Sintesi!$C$10))+(_xlfn.ANCHORARRAY(Sintesi!$C$9)&lt;_xlfn.ANCHORARRAY(Sintesi!$C$10))*(A280&gt;=_xlfn.ANCHORARRAY(Sintesi!$C$9))*(A280&lt;=_xlfn.ANCHORARRAY(Sintesi!$C$10)),0)),0)))),0)</f>
        <v>0</v>
      </c>
    </row>
    <row r="282" spans="1:13">
      <c r="A282" s="1">
        <f>'Paste cell here'!A282</f>
        <v>281</v>
      </c>
      <c r="B282" s="2">
        <f>DATE(Sintesi!$C$4-1,12,31)+A282</f>
        <v>44477</v>
      </c>
      <c r="C282" s="34">
        <f t="array" ref="C282">_xlfn.IFNA(MATCH(1,((_xlfn.ANCHORARRAY(Sintesi!$C$9)&gt;_xlfn.ANCHORARRAY(Sintesi!$C$10))*(A282&gt;=_xlfn.ANCHORARRAY(Sintesi!$C$9))+(_xlfn.ANCHORARRAY(Sintesi!$C$9)&gt;_xlfn.ANCHORARRAY(Sintesi!$C$10))*(A282&lt;=_xlfn.ANCHORARRAY(Sintesi!$C$10))+(_xlfn.ANCHORARRAY(Sintesi!$C$9)&lt;_xlfn.ANCHORARRAY(Sintesi!$C$10))*(A282&gt;=_xlfn.ANCHORARRAY(Sintesi!$C$9))*(A282&lt;=_xlfn.ANCHORARRAY(Sintesi!$C$10)))*(_xlfn.ANCHORARRAY(Sintesi!$C$15)&gt;=0)+(_xlfn.ANCHORARRAY(Sintesi!$C$15)&lt;0),0),0)</f>
        <v>0</v>
      </c>
      <c r="D282" s="1">
        <f t="array" ref="D282">IF(ISBLANK($E283),IF(ISNUMBER($E281),IF($C282&gt;0,IF(($E282=INDEX(_xlfn.ANCHORARRAY(Sintesi!$C$14),1,$C282))*(INDEX(_xlfn.ANCHORARRAY(Sintesi!$C$15),1,$C282)&gt;0),0,IF(($E282=INDEX(_xlfn.ANCHORARRAY(Sintesi!$C$14),1,$C282))*(INDEX(_xlfn.ANCHORARRAY(Sintesi!$C$15),1,$C282)&lt;0)+($E282&gt;=$E281)*($E282&lt;=INDEX($E:$E,MATCH(TRUE,INDEX((ISNUMBER($E:$E)),0),0)))*($E282&gt;INDEX(_xlfn.ANCHORARRAY(Sintesi!$C$14),1,$C282))*($E282&lt;=INDEX(_xlfn.ANCHORARRAY(Sintesi!$C$15),1,$C282))*(INDEX(_xlfn.ANCHORARRAY(Sintesi!$C$15),1,$C282)&gt;0),1,IF(($E282&gt;=$E281)*($E282&lt;=INDEX($E:$E,MATCH(TRUE,INDEX((ISNUMBER($E:$E)),0),0)))*($E282&gt;INDEX(_xlfn.ANCHORARRAY(Sintesi!$C$14),1,$C282))*($E282&lt;INDEX(_xlfn.ANCHORARRAY(Sintesi!$C$16),1,$C282))*(INDEX(_xlfn.ANCHORARRAY(Sintesi!$C$15),1,$C282)&lt;0)+($E282&gt;=$E281)*($E282&lt;=INDEX($E:$E,MATCH(TRUE,INDEX((ISNUMBER($E:$E)),0),0)))*($E282&gt;INDEX(_xlfn.ANCHORARRAY(Sintesi!$C$15),1,$C282))*($E282&lt;INDEX(_xlfn.ANCHORARRAY(Sintesi!$C$16),1,$C282))*(INDEX(_xlfn.ANCHORARRAY(Sintesi!$C$15),1,$C282)&gt;0),2,IF($E282=(INDEX(_xlfn.ANCHORARRAY(Sintesi!$C$16),1,$C282)),3,4)))),0),IF($C282&gt;0,IF(($E282=INDEX(_xlfn.ANCHORARRAY(Sintesi!$C$14),1,$C282))*(INDEX(_xlfn.ANCHORARRAY(Sintesi!$C$15),1,$C282)&gt;0),0,IF(($E282=INDEX(_xlfn.ANCHORARRAY(Sintesi!$C$14),1,$C282))*(INDEX(_xlfn.ANCHORARRAY(Sintesi!$C$15),1,$C282)&lt;0)+($E282&gt;=LOOKUP(2,1/($E:$E&lt;&gt;""),$E:$E))*($E282&lt;=INDEX($E:$E,MATCH(TRUE,INDEX((ISNUMBER($E:$E)),0),0)))*($E282&gt;INDEX(_xlfn.ANCHORARRAY(Sintesi!$C$14),1,$C282))*($E282&lt;=INDEX(_xlfn.ANCHORARRAY(Sintesi!$C$15),1,$C282))*(INDEX(_xlfn.ANCHORARRAY(Sintesi!$C$15),1,$C282)&gt;0),1,IF(($E282&gt;=LOOKUP(2,1/($E:$E&lt;&gt;""),$E:$E))*($E282&lt;=INDEX($E:$E,MATCH(TRUE,INDEX((ISNUMBER($E:$E)),0),0)))*($E282&gt;INDEX(_xlfn.ANCHORARRAY(Sintesi!$C$14),1,$C282))*($E282&lt;INDEX(_xlfn.ANCHORARRAY(Sintesi!$C$16),1,$C282))*(INDEX(_xlfn.ANCHORARRAY(Sintesi!$C$15),1,$C282)&lt;0)+($E282&gt;=LOOKUP(2,1/($E:$E&lt;&gt;""),$E:$E))*($E282&lt;=INDEX($E:$E,MATCH(TRUE,INDEX((ISNUMBER($E:$E)),0),0)))*($E282&gt;INDEX(_xlfn.ANCHORARRAY(Sintesi!$C$15),1,$C282))*($E282&lt;INDEX(_xlfn.ANCHORARRAY(Sintesi!$C$16),1,$C282))*(INDEX(_xlfn.ANCHORARRAY(Sintesi!$C$15),1,$C282)&gt;0),2,IF($E282=(INDEX(_xlfn.ANCHORARRAY(Sintesi!$C$16),1,$C282)),3,4)))),0)),IF(ISNUMBER($E281),IF($C282&gt;0,IF(($E282=INDEX(_xlfn.ANCHORARRAY(Sintesi!$C$14),1,$C282))*(INDEX(_xlfn.ANCHORARRAY(Sintesi!$C$15),1,$C282)&gt;0),0,IF(($E282=INDEX(_xlfn.ANCHORARRAY(Sintesi!$C$14),1,$C282))*(INDEX(_xlfn.ANCHORARRAY(Sintesi!$C$15),1,$C282)&lt;0)+($E282&gt;=$E281)*($E282&lt;=$E283)*($E282&gt;INDEX(_xlfn.ANCHORARRAY(Sintesi!$C$14),1,$C282))*($E282&lt;=INDEX(_xlfn.ANCHORARRAY(Sintesi!$C$15),1,$C282))*(INDEX(_xlfn.ANCHORARRAY(Sintesi!$C$15),1,$C282)&gt;0),1,IF(($E282&gt;=$E281)*($E282&lt;=$E283)*($E282&gt;INDEX(_xlfn.ANCHORARRAY(Sintesi!$C$14),1,$C282))*($E282&lt;INDEX(_xlfn.ANCHORARRAY(Sintesi!$C$16),1,$C282))*(INDEX(_xlfn.ANCHORARRAY(Sintesi!$C$15),1,$C282)&lt;0)+($E282&gt;=$E281)*($E282&lt;=$E283)*($E282&gt;INDEX(_xlfn.ANCHORARRAY(Sintesi!$C$15),1,$C282))*($E282&lt;INDEX(_xlfn.ANCHORARRAY(Sintesi!$C$16),1,$C282))*(INDEX(_xlfn.ANCHORARRAY(Sintesi!$C$15),1,$C282)&gt;0),2,IF($E282=(INDEX(_xlfn.ANCHORARRAY(Sintesi!$C$16),1,$C282)),3,4)))),0),IF($C282&gt;0,IF(($E282=INDEX(_xlfn.ANCHORARRAY(Sintesi!$C$14),1,$C282))*(INDEX(_xlfn.ANCHORARRAY(Sintesi!$C$15),1,$C282)&gt;0),0,IF(($E282=INDEX(_xlfn.ANCHORARRAY(Sintesi!$C$14),1,$C282))*(INDEX(_xlfn.ANCHORARRAY(Sintesi!$C$15),1,$C282)&lt;0)+($E282&gt;=LOOKUP(2,1/($E:$E&lt;&gt;""),$E:$E))*($E282&lt;=$E283)*($E282&gt;INDEX(_xlfn.ANCHORARRAY(Sintesi!$C$14),1,$C282))*($E282&lt;=INDEX(_xlfn.ANCHORARRAY(Sintesi!$C$15),1,$C282))*(INDEX(_xlfn.ANCHORARRAY(Sintesi!$C$15),1,$C282)&gt;0),1,IF(($E282&gt;=LOOKUP(2,1/($E:$E&lt;&gt;""),$E:$E))*($E282&lt;=$E283)*($E282&gt;INDEX(_xlfn.ANCHORARRAY(Sintesi!$C$14),1,$C282))*($E282&lt;INDEX(_xlfn.ANCHORARRAY(Sintesi!$C$16),1,$C282))*(INDEX(_xlfn.ANCHORARRAY(Sintesi!$C$15),1,$C282)&lt;0)+($E282&gt;=LOOKUP(2,1/($E:$E&lt;&gt;""),$E:$E))*($E282&lt;=$E283)*($E282&gt;INDEX(_xlfn.ANCHORARRAY(Sintesi!$C$15),1,$C282))*($E282&lt;INDEX(_xlfn.ANCHORARRAY(Sintesi!$C$16),1,$C282))*(INDEX(_xlfn.ANCHORARRAY(Sintesi!$C$15),1,$C282)&gt;0),2,IF($E282=(INDEX(_xlfn.ANCHORARRAY(Sintesi!$C$16),1,$C282)),3,4)))),0)))</f>
        <v>0</v>
      </c>
      <c r="E282" s="1">
        <f>'Paste cell here'!F282</f>
        <v>0</v>
      </c>
      <c r="F282" s="1">
        <f>'Paste cell here'!C282</f>
        <v>21.35999999999969</v>
      </c>
      <c r="G282" s="1">
        <f>'Paste cell here'!D282</f>
        <v>11.319999999999833</v>
      </c>
      <c r="H282" s="1">
        <f>'Paste cell here'!E282</f>
        <v>1.6398916237222796</v>
      </c>
      <c r="I282" s="1">
        <f>'Paste cell here'!X282</f>
        <v>0</v>
      </c>
      <c r="J282" s="1">
        <f>'Paste cell here'!Y282+'Paste cell here'!S282</f>
        <v>0</v>
      </c>
      <c r="K282" s="1">
        <f t="shared" si="8"/>
        <v>0</v>
      </c>
      <c r="L282" s="1">
        <f t="shared" si="9"/>
        <v>17.719696464743553</v>
      </c>
      <c r="M282" s="1">
        <f t="array" ref="M282">IF(AND(A282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282&gt;=_xlfn.ANCHORARRAY(Sintesi!$C$9))+(_xlfn.ANCHORARRAY(Sintesi!$C$9)&gt;_xlfn.ANCHORARRAY(Sintesi!$C$10))*(A282&lt;=_xlfn.ANCHORARRAY(Sintesi!$C$10))+(_xlfn.ANCHORARRAY(Sintesi!$C$9)&lt;_xlfn.ANCHORARRAY(Sintesi!$C$10))*(A282&gt;=_xlfn.ANCHORARRAY(Sintesi!$C$9))*(A282&lt;=_xlfn.ANCHORARRAY(Sintesi!$C$10)),0)),0),A282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283&gt;=_xlfn.ANCHORARRAY(Sintesi!$C$9))+(_xlfn.ANCHORARRAY(Sintesi!$C$9)&gt;_xlfn.ANCHORARRAY(Sintesi!$C$10))*(A283&lt;=_xlfn.ANCHORARRAY(Sintesi!$C$10))+(_xlfn.ANCHORARRAY(Sintesi!$C$9)&lt;_xlfn.ANCHORARRAY(Sintesi!$C$10))*(A283&gt;=_xlfn.ANCHORARRAY(Sintesi!$C$9))*(A283&lt;=_xlfn.ANCHORARRAY(Sintesi!$C$10)),0)),0)),IF(L282&lt;_xlfn.IFNA(INDEX(_xlfn.ANCHORARRAY(Sintesi!$C$17),1,MATCH(1,(_xlfn.ANCHORARRAY(Sintesi!$C$9)&gt;_xlfn.ANCHORARRAY(Sintesi!$C$10))*(A281&gt;=_xlfn.ANCHORARRAY(Sintesi!$C$9))+(_xlfn.ANCHORARRAY(Sintesi!$C$9)&gt;_xlfn.ANCHORARRAY(Sintesi!$C$10))*(A281&lt;=_xlfn.ANCHORARRAY(Sintesi!$C$10))+(_xlfn.ANCHORARRAY(Sintesi!$C$9)&lt;_xlfn.ANCHORARRAY(Sintesi!$C$10))*(A281&gt;=_xlfn.ANCHORARRAY(Sintesi!$C$9))*(A281&lt;=_xlfn.ANCHORARRAY(Sintesi!$C$10)),0)),0),1,IF(L282&gt;=_xlfn.IFNA(INDEX(_xlfn.ANCHORARRAY(Sintesi!$C$18),1,MATCH(1,(_xlfn.ANCHORARRAY(Sintesi!$C$9)&gt;_xlfn.ANCHORARRAY(Sintesi!$C$10))*(A281&gt;=_xlfn.ANCHORARRAY(Sintesi!$C$9))+(_xlfn.ANCHORARRAY(Sintesi!$C$9)&gt;_xlfn.ANCHORARRAY(Sintesi!$C$10))*(A281&lt;=_xlfn.ANCHORARRAY(Sintesi!$C$10))+(_xlfn.ANCHORARRAY(Sintesi!$C$9)&lt;_xlfn.ANCHORARRAY(Sintesi!$C$10))*(A281&gt;=_xlfn.ANCHORARRAY(Sintesi!$C$9))*(A281&lt;=_xlfn.ANCHORARRAY(Sintesi!$C$10)),0)),0),0,1-(L282-_xlfn.IFNA(INDEX(_xlfn.ANCHORARRAY(Sintesi!$C$17),1,MATCH(1,(_xlfn.ANCHORARRAY(Sintesi!$C$9)&gt;_xlfn.ANCHORARRAY(Sintesi!$C$10))*(A281&gt;=_xlfn.ANCHORARRAY(Sintesi!$C$9))+(_xlfn.ANCHORARRAY(Sintesi!$C$9)&gt;_xlfn.ANCHORARRAY(Sintesi!$C$10))*(A281&lt;=_xlfn.ANCHORARRAY(Sintesi!$C$10))+(_xlfn.ANCHORARRAY(Sintesi!$C$9)&lt;_xlfn.ANCHORARRAY(Sintesi!$C$10))*(A281&gt;=_xlfn.ANCHORARRAY(Sintesi!$C$9))*(A281&lt;=_xlfn.ANCHORARRAY(Sintesi!$C$10)),0)),0))/(_xlfn.IFNA(INDEX(_xlfn.ANCHORARRAY(Sintesi!$C$18),1,MATCH(1,(_xlfn.ANCHORARRAY(Sintesi!$C$9)&gt;_xlfn.ANCHORARRAY(Sintesi!$C$10))*(A281&gt;=_xlfn.ANCHORARRAY(Sintesi!$C$9))+(_xlfn.ANCHORARRAY(Sintesi!$C$9)&gt;_xlfn.ANCHORARRAY(Sintesi!$C$10))*(A281&lt;=_xlfn.ANCHORARRAY(Sintesi!$C$10))+(_xlfn.ANCHORARRAY(Sintesi!$C$9)&lt;_xlfn.ANCHORARRAY(Sintesi!$C$10))*(A281&gt;=_xlfn.ANCHORARRAY(Sintesi!$C$9))*(A281&lt;=_xlfn.ANCHORARRAY(Sintesi!$C$10)),0)),0)-_xlfn.IFNA(INDEX(_xlfn.ANCHORARRAY(Sintesi!$C$17),1,MATCH(1,(_xlfn.ANCHORARRAY(Sintesi!$C$9)&gt;_xlfn.ANCHORARRAY(Sintesi!$C$10))*(A281&gt;=_xlfn.ANCHORARRAY(Sintesi!$C$9))+(_xlfn.ANCHORARRAY(Sintesi!$C$9)&gt;_xlfn.ANCHORARRAY(Sintesi!$C$10))*(A281&lt;=_xlfn.ANCHORARRAY(Sintesi!$C$10))+(_xlfn.ANCHORARRAY(Sintesi!$C$9)&lt;_xlfn.ANCHORARRAY(Sintesi!$C$10))*(A281&gt;=_xlfn.ANCHORARRAY(Sintesi!$C$9))*(A281&lt;=_xlfn.ANCHORARRAY(Sintesi!$C$10)),0)),0)))),0)</f>
        <v>0</v>
      </c>
    </row>
    <row r="283" spans="1:13">
      <c r="A283" s="1">
        <f>'Paste cell here'!A283</f>
        <v>282</v>
      </c>
      <c r="B283" s="2">
        <f>DATE(Sintesi!$C$4-1,12,31)+A283</f>
        <v>44478</v>
      </c>
      <c r="C283" s="34">
        <f t="array" ref="C283">_xlfn.IFNA(MATCH(1,((_xlfn.ANCHORARRAY(Sintesi!$C$9)&gt;_xlfn.ANCHORARRAY(Sintesi!$C$10))*(A283&gt;=_xlfn.ANCHORARRAY(Sintesi!$C$9))+(_xlfn.ANCHORARRAY(Sintesi!$C$9)&gt;_xlfn.ANCHORARRAY(Sintesi!$C$10))*(A283&lt;=_xlfn.ANCHORARRAY(Sintesi!$C$10))+(_xlfn.ANCHORARRAY(Sintesi!$C$9)&lt;_xlfn.ANCHORARRAY(Sintesi!$C$10))*(A283&gt;=_xlfn.ANCHORARRAY(Sintesi!$C$9))*(A283&lt;=_xlfn.ANCHORARRAY(Sintesi!$C$10)))*(_xlfn.ANCHORARRAY(Sintesi!$C$15)&gt;=0)+(_xlfn.ANCHORARRAY(Sintesi!$C$15)&lt;0),0),0)</f>
        <v>0</v>
      </c>
      <c r="D283" s="1">
        <f t="array" ref="D283">IF(ISBLANK($E284),IF(ISNUMBER($E282),IF($C283&gt;0,IF(($E283=INDEX(_xlfn.ANCHORARRAY(Sintesi!$C$14),1,$C283))*(INDEX(_xlfn.ANCHORARRAY(Sintesi!$C$15),1,$C283)&gt;0),0,IF(($E283=INDEX(_xlfn.ANCHORARRAY(Sintesi!$C$14),1,$C283))*(INDEX(_xlfn.ANCHORARRAY(Sintesi!$C$15),1,$C283)&lt;0)+($E283&gt;=$E282)*($E283&lt;=INDEX($E:$E,MATCH(TRUE,INDEX((ISNUMBER($E:$E)),0),0)))*($E283&gt;INDEX(_xlfn.ANCHORARRAY(Sintesi!$C$14),1,$C283))*($E283&lt;=INDEX(_xlfn.ANCHORARRAY(Sintesi!$C$15),1,$C283))*(INDEX(_xlfn.ANCHORARRAY(Sintesi!$C$15),1,$C283)&gt;0),1,IF(($E283&gt;=$E282)*($E283&lt;=INDEX($E:$E,MATCH(TRUE,INDEX((ISNUMBER($E:$E)),0),0)))*($E283&gt;INDEX(_xlfn.ANCHORARRAY(Sintesi!$C$14),1,$C283))*($E283&lt;INDEX(_xlfn.ANCHORARRAY(Sintesi!$C$16),1,$C283))*(INDEX(_xlfn.ANCHORARRAY(Sintesi!$C$15),1,$C283)&lt;0)+($E283&gt;=$E282)*($E283&lt;=INDEX($E:$E,MATCH(TRUE,INDEX((ISNUMBER($E:$E)),0),0)))*($E283&gt;INDEX(_xlfn.ANCHORARRAY(Sintesi!$C$15),1,$C283))*($E283&lt;INDEX(_xlfn.ANCHORARRAY(Sintesi!$C$16),1,$C283))*(INDEX(_xlfn.ANCHORARRAY(Sintesi!$C$15),1,$C283)&gt;0),2,IF($E283=(INDEX(_xlfn.ANCHORARRAY(Sintesi!$C$16),1,$C283)),3,4)))),0),IF($C283&gt;0,IF(($E283=INDEX(_xlfn.ANCHORARRAY(Sintesi!$C$14),1,$C283))*(INDEX(_xlfn.ANCHORARRAY(Sintesi!$C$15),1,$C283)&gt;0),0,IF(($E283=INDEX(_xlfn.ANCHORARRAY(Sintesi!$C$14),1,$C283))*(INDEX(_xlfn.ANCHORARRAY(Sintesi!$C$15),1,$C283)&lt;0)+($E283&gt;=LOOKUP(2,1/($E:$E&lt;&gt;""),$E:$E))*($E283&lt;=INDEX($E:$E,MATCH(TRUE,INDEX((ISNUMBER($E:$E)),0),0)))*($E283&gt;INDEX(_xlfn.ANCHORARRAY(Sintesi!$C$14),1,$C283))*($E283&lt;=INDEX(_xlfn.ANCHORARRAY(Sintesi!$C$15),1,$C283))*(INDEX(_xlfn.ANCHORARRAY(Sintesi!$C$15),1,$C283)&gt;0),1,IF(($E283&gt;=LOOKUP(2,1/($E:$E&lt;&gt;""),$E:$E))*($E283&lt;=INDEX($E:$E,MATCH(TRUE,INDEX((ISNUMBER($E:$E)),0),0)))*($E283&gt;INDEX(_xlfn.ANCHORARRAY(Sintesi!$C$14),1,$C283))*($E283&lt;INDEX(_xlfn.ANCHORARRAY(Sintesi!$C$16),1,$C283))*(INDEX(_xlfn.ANCHORARRAY(Sintesi!$C$15),1,$C283)&lt;0)+($E283&gt;=LOOKUP(2,1/($E:$E&lt;&gt;""),$E:$E))*($E283&lt;=INDEX($E:$E,MATCH(TRUE,INDEX((ISNUMBER($E:$E)),0),0)))*($E283&gt;INDEX(_xlfn.ANCHORARRAY(Sintesi!$C$15),1,$C283))*($E283&lt;INDEX(_xlfn.ANCHORARRAY(Sintesi!$C$16),1,$C283))*(INDEX(_xlfn.ANCHORARRAY(Sintesi!$C$15),1,$C283)&gt;0),2,IF($E283=(INDEX(_xlfn.ANCHORARRAY(Sintesi!$C$16),1,$C283)),3,4)))),0)),IF(ISNUMBER($E282),IF($C283&gt;0,IF(($E283=INDEX(_xlfn.ANCHORARRAY(Sintesi!$C$14),1,$C283))*(INDEX(_xlfn.ANCHORARRAY(Sintesi!$C$15),1,$C283)&gt;0),0,IF(($E283=INDEX(_xlfn.ANCHORARRAY(Sintesi!$C$14),1,$C283))*(INDEX(_xlfn.ANCHORARRAY(Sintesi!$C$15),1,$C283)&lt;0)+($E283&gt;=$E282)*($E283&lt;=$E284)*($E283&gt;INDEX(_xlfn.ANCHORARRAY(Sintesi!$C$14),1,$C283))*($E283&lt;=INDEX(_xlfn.ANCHORARRAY(Sintesi!$C$15),1,$C283))*(INDEX(_xlfn.ANCHORARRAY(Sintesi!$C$15),1,$C283)&gt;0),1,IF(($E283&gt;=$E282)*($E283&lt;=$E284)*($E283&gt;INDEX(_xlfn.ANCHORARRAY(Sintesi!$C$14),1,$C283))*($E283&lt;INDEX(_xlfn.ANCHORARRAY(Sintesi!$C$16),1,$C283))*(INDEX(_xlfn.ANCHORARRAY(Sintesi!$C$15),1,$C283)&lt;0)+($E283&gt;=$E282)*($E283&lt;=$E284)*($E283&gt;INDEX(_xlfn.ANCHORARRAY(Sintesi!$C$15),1,$C283))*($E283&lt;INDEX(_xlfn.ANCHORARRAY(Sintesi!$C$16),1,$C283))*(INDEX(_xlfn.ANCHORARRAY(Sintesi!$C$15),1,$C283)&gt;0),2,IF($E283=(INDEX(_xlfn.ANCHORARRAY(Sintesi!$C$16),1,$C283)),3,4)))),0),IF($C283&gt;0,IF(($E283=INDEX(_xlfn.ANCHORARRAY(Sintesi!$C$14),1,$C283))*(INDEX(_xlfn.ANCHORARRAY(Sintesi!$C$15),1,$C283)&gt;0),0,IF(($E283=INDEX(_xlfn.ANCHORARRAY(Sintesi!$C$14),1,$C283))*(INDEX(_xlfn.ANCHORARRAY(Sintesi!$C$15),1,$C283)&lt;0)+($E283&gt;=LOOKUP(2,1/($E:$E&lt;&gt;""),$E:$E))*($E283&lt;=$E284)*($E283&gt;INDEX(_xlfn.ANCHORARRAY(Sintesi!$C$14),1,$C283))*($E283&lt;=INDEX(_xlfn.ANCHORARRAY(Sintesi!$C$15),1,$C283))*(INDEX(_xlfn.ANCHORARRAY(Sintesi!$C$15),1,$C283)&gt;0),1,IF(($E283&gt;=LOOKUP(2,1/($E:$E&lt;&gt;""),$E:$E))*($E283&lt;=$E284)*($E283&gt;INDEX(_xlfn.ANCHORARRAY(Sintesi!$C$14),1,$C283))*($E283&lt;INDEX(_xlfn.ANCHORARRAY(Sintesi!$C$16),1,$C283))*(INDEX(_xlfn.ANCHORARRAY(Sintesi!$C$15),1,$C283)&lt;0)+($E283&gt;=LOOKUP(2,1/($E:$E&lt;&gt;""),$E:$E))*($E283&lt;=$E284)*($E283&gt;INDEX(_xlfn.ANCHORARRAY(Sintesi!$C$15),1,$C283))*($E283&lt;INDEX(_xlfn.ANCHORARRAY(Sintesi!$C$16),1,$C283))*(INDEX(_xlfn.ANCHORARRAY(Sintesi!$C$15),1,$C283)&gt;0),2,IF($E283=(INDEX(_xlfn.ANCHORARRAY(Sintesi!$C$16),1,$C283)),3,4)))),0)))</f>
        <v>0</v>
      </c>
      <c r="E283" s="1">
        <f>'Paste cell here'!F283</f>
        <v>0</v>
      </c>
      <c r="F283" s="1">
        <f>'Paste cell here'!C283</f>
        <v>18.879999999999722</v>
      </c>
      <c r="G283" s="1">
        <f>'Paste cell here'!D283</f>
        <v>10.919999999999831</v>
      </c>
      <c r="H283" s="1">
        <f>'Paste cell here'!E283</f>
        <v>1.7553370398505515</v>
      </c>
      <c r="I283" s="1">
        <f>'Paste cell here'!X283</f>
        <v>0</v>
      </c>
      <c r="J283" s="1">
        <f>'Paste cell here'!Y283+'Paste cell here'!S283</f>
        <v>0</v>
      </c>
      <c r="K283" s="1">
        <f t="shared" si="8"/>
        <v>0</v>
      </c>
      <c r="L283" s="1">
        <f t="shared" si="9"/>
        <v>15.993862934199038</v>
      </c>
      <c r="M283" s="1">
        <f t="array" ref="M283">IF(AND(A283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283&gt;=_xlfn.ANCHORARRAY(Sintesi!$C$9))+(_xlfn.ANCHORARRAY(Sintesi!$C$9)&gt;_xlfn.ANCHORARRAY(Sintesi!$C$10))*(A283&lt;=_xlfn.ANCHORARRAY(Sintesi!$C$10))+(_xlfn.ANCHORARRAY(Sintesi!$C$9)&lt;_xlfn.ANCHORARRAY(Sintesi!$C$10))*(A283&gt;=_xlfn.ANCHORARRAY(Sintesi!$C$9))*(A283&lt;=_xlfn.ANCHORARRAY(Sintesi!$C$10)),0)),0),A283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284&gt;=_xlfn.ANCHORARRAY(Sintesi!$C$9))+(_xlfn.ANCHORARRAY(Sintesi!$C$9)&gt;_xlfn.ANCHORARRAY(Sintesi!$C$10))*(A284&lt;=_xlfn.ANCHORARRAY(Sintesi!$C$10))+(_xlfn.ANCHORARRAY(Sintesi!$C$9)&lt;_xlfn.ANCHORARRAY(Sintesi!$C$10))*(A284&gt;=_xlfn.ANCHORARRAY(Sintesi!$C$9))*(A284&lt;=_xlfn.ANCHORARRAY(Sintesi!$C$10)),0)),0)),IF(L283&lt;_xlfn.IFNA(INDEX(_xlfn.ANCHORARRAY(Sintesi!$C$17),1,MATCH(1,(_xlfn.ANCHORARRAY(Sintesi!$C$9)&gt;_xlfn.ANCHORARRAY(Sintesi!$C$10))*(A282&gt;=_xlfn.ANCHORARRAY(Sintesi!$C$9))+(_xlfn.ANCHORARRAY(Sintesi!$C$9)&gt;_xlfn.ANCHORARRAY(Sintesi!$C$10))*(A282&lt;=_xlfn.ANCHORARRAY(Sintesi!$C$10))+(_xlfn.ANCHORARRAY(Sintesi!$C$9)&lt;_xlfn.ANCHORARRAY(Sintesi!$C$10))*(A282&gt;=_xlfn.ANCHORARRAY(Sintesi!$C$9))*(A282&lt;=_xlfn.ANCHORARRAY(Sintesi!$C$10)),0)),0),1,IF(L283&gt;=_xlfn.IFNA(INDEX(_xlfn.ANCHORARRAY(Sintesi!$C$18),1,MATCH(1,(_xlfn.ANCHORARRAY(Sintesi!$C$9)&gt;_xlfn.ANCHORARRAY(Sintesi!$C$10))*(A282&gt;=_xlfn.ANCHORARRAY(Sintesi!$C$9))+(_xlfn.ANCHORARRAY(Sintesi!$C$9)&gt;_xlfn.ANCHORARRAY(Sintesi!$C$10))*(A282&lt;=_xlfn.ANCHORARRAY(Sintesi!$C$10))+(_xlfn.ANCHORARRAY(Sintesi!$C$9)&lt;_xlfn.ANCHORARRAY(Sintesi!$C$10))*(A282&gt;=_xlfn.ANCHORARRAY(Sintesi!$C$9))*(A282&lt;=_xlfn.ANCHORARRAY(Sintesi!$C$10)),0)),0),0,1-(L283-_xlfn.IFNA(INDEX(_xlfn.ANCHORARRAY(Sintesi!$C$17),1,MATCH(1,(_xlfn.ANCHORARRAY(Sintesi!$C$9)&gt;_xlfn.ANCHORARRAY(Sintesi!$C$10))*(A282&gt;=_xlfn.ANCHORARRAY(Sintesi!$C$9))+(_xlfn.ANCHORARRAY(Sintesi!$C$9)&gt;_xlfn.ANCHORARRAY(Sintesi!$C$10))*(A282&lt;=_xlfn.ANCHORARRAY(Sintesi!$C$10))+(_xlfn.ANCHORARRAY(Sintesi!$C$9)&lt;_xlfn.ANCHORARRAY(Sintesi!$C$10))*(A282&gt;=_xlfn.ANCHORARRAY(Sintesi!$C$9))*(A282&lt;=_xlfn.ANCHORARRAY(Sintesi!$C$10)),0)),0))/(_xlfn.IFNA(INDEX(_xlfn.ANCHORARRAY(Sintesi!$C$18),1,MATCH(1,(_xlfn.ANCHORARRAY(Sintesi!$C$9)&gt;_xlfn.ANCHORARRAY(Sintesi!$C$10))*(A282&gt;=_xlfn.ANCHORARRAY(Sintesi!$C$9))+(_xlfn.ANCHORARRAY(Sintesi!$C$9)&gt;_xlfn.ANCHORARRAY(Sintesi!$C$10))*(A282&lt;=_xlfn.ANCHORARRAY(Sintesi!$C$10))+(_xlfn.ANCHORARRAY(Sintesi!$C$9)&lt;_xlfn.ANCHORARRAY(Sintesi!$C$10))*(A282&gt;=_xlfn.ANCHORARRAY(Sintesi!$C$9))*(A282&lt;=_xlfn.ANCHORARRAY(Sintesi!$C$10)),0)),0)-_xlfn.IFNA(INDEX(_xlfn.ANCHORARRAY(Sintesi!$C$17),1,MATCH(1,(_xlfn.ANCHORARRAY(Sintesi!$C$9)&gt;_xlfn.ANCHORARRAY(Sintesi!$C$10))*(A282&gt;=_xlfn.ANCHORARRAY(Sintesi!$C$9))+(_xlfn.ANCHORARRAY(Sintesi!$C$9)&gt;_xlfn.ANCHORARRAY(Sintesi!$C$10))*(A282&lt;=_xlfn.ANCHORARRAY(Sintesi!$C$10))+(_xlfn.ANCHORARRAY(Sintesi!$C$9)&lt;_xlfn.ANCHORARRAY(Sintesi!$C$10))*(A282&gt;=_xlfn.ANCHORARRAY(Sintesi!$C$9))*(A282&lt;=_xlfn.ANCHORARRAY(Sintesi!$C$10)),0)),0)))),0)</f>
        <v>0</v>
      </c>
    </row>
    <row r="284" spans="1:13">
      <c r="A284" s="1">
        <f>'Paste cell here'!A284</f>
        <v>283</v>
      </c>
      <c r="B284" s="2">
        <f>DATE(Sintesi!$C$4-1,12,31)+A284</f>
        <v>44479</v>
      </c>
      <c r="C284" s="34">
        <f t="array" ref="C284">_xlfn.IFNA(MATCH(1,((_xlfn.ANCHORARRAY(Sintesi!$C$9)&gt;_xlfn.ANCHORARRAY(Sintesi!$C$10))*(A284&gt;=_xlfn.ANCHORARRAY(Sintesi!$C$9))+(_xlfn.ANCHORARRAY(Sintesi!$C$9)&gt;_xlfn.ANCHORARRAY(Sintesi!$C$10))*(A284&lt;=_xlfn.ANCHORARRAY(Sintesi!$C$10))+(_xlfn.ANCHORARRAY(Sintesi!$C$9)&lt;_xlfn.ANCHORARRAY(Sintesi!$C$10))*(A284&gt;=_xlfn.ANCHORARRAY(Sintesi!$C$9))*(A284&lt;=_xlfn.ANCHORARRAY(Sintesi!$C$10)))*(_xlfn.ANCHORARRAY(Sintesi!$C$15)&gt;=0)+(_xlfn.ANCHORARRAY(Sintesi!$C$15)&lt;0),0),0)</f>
        <v>0</v>
      </c>
      <c r="D284" s="1">
        <f t="array" ref="D284">IF(ISBLANK($E285),IF(ISNUMBER($E283),IF($C284&gt;0,IF(($E284=INDEX(_xlfn.ANCHORARRAY(Sintesi!$C$14),1,$C284))*(INDEX(_xlfn.ANCHORARRAY(Sintesi!$C$15),1,$C284)&gt;0),0,IF(($E284=INDEX(_xlfn.ANCHORARRAY(Sintesi!$C$14),1,$C284))*(INDEX(_xlfn.ANCHORARRAY(Sintesi!$C$15),1,$C284)&lt;0)+($E284&gt;=$E283)*($E284&lt;=INDEX($E:$E,MATCH(TRUE,INDEX((ISNUMBER($E:$E)),0),0)))*($E284&gt;INDEX(_xlfn.ANCHORARRAY(Sintesi!$C$14),1,$C284))*($E284&lt;=INDEX(_xlfn.ANCHORARRAY(Sintesi!$C$15),1,$C284))*(INDEX(_xlfn.ANCHORARRAY(Sintesi!$C$15),1,$C284)&gt;0),1,IF(($E284&gt;=$E283)*($E284&lt;=INDEX($E:$E,MATCH(TRUE,INDEX((ISNUMBER($E:$E)),0),0)))*($E284&gt;INDEX(_xlfn.ANCHORARRAY(Sintesi!$C$14),1,$C284))*($E284&lt;INDEX(_xlfn.ANCHORARRAY(Sintesi!$C$16),1,$C284))*(INDEX(_xlfn.ANCHORARRAY(Sintesi!$C$15),1,$C284)&lt;0)+($E284&gt;=$E283)*($E284&lt;=INDEX($E:$E,MATCH(TRUE,INDEX((ISNUMBER($E:$E)),0),0)))*($E284&gt;INDEX(_xlfn.ANCHORARRAY(Sintesi!$C$15),1,$C284))*($E284&lt;INDEX(_xlfn.ANCHORARRAY(Sintesi!$C$16),1,$C284))*(INDEX(_xlfn.ANCHORARRAY(Sintesi!$C$15),1,$C284)&gt;0),2,IF($E284=(INDEX(_xlfn.ANCHORARRAY(Sintesi!$C$16),1,$C284)),3,4)))),0),IF($C284&gt;0,IF(($E284=INDEX(_xlfn.ANCHORARRAY(Sintesi!$C$14),1,$C284))*(INDEX(_xlfn.ANCHORARRAY(Sintesi!$C$15),1,$C284)&gt;0),0,IF(($E284=INDEX(_xlfn.ANCHORARRAY(Sintesi!$C$14),1,$C284))*(INDEX(_xlfn.ANCHORARRAY(Sintesi!$C$15),1,$C284)&lt;0)+($E284&gt;=LOOKUP(2,1/($E:$E&lt;&gt;""),$E:$E))*($E284&lt;=INDEX($E:$E,MATCH(TRUE,INDEX((ISNUMBER($E:$E)),0),0)))*($E284&gt;INDEX(_xlfn.ANCHORARRAY(Sintesi!$C$14),1,$C284))*($E284&lt;=INDEX(_xlfn.ANCHORARRAY(Sintesi!$C$15),1,$C284))*(INDEX(_xlfn.ANCHORARRAY(Sintesi!$C$15),1,$C284)&gt;0),1,IF(($E284&gt;=LOOKUP(2,1/($E:$E&lt;&gt;""),$E:$E))*($E284&lt;=INDEX($E:$E,MATCH(TRUE,INDEX((ISNUMBER($E:$E)),0),0)))*($E284&gt;INDEX(_xlfn.ANCHORARRAY(Sintesi!$C$14),1,$C284))*($E284&lt;INDEX(_xlfn.ANCHORARRAY(Sintesi!$C$16),1,$C284))*(INDEX(_xlfn.ANCHORARRAY(Sintesi!$C$15),1,$C284)&lt;0)+($E284&gt;=LOOKUP(2,1/($E:$E&lt;&gt;""),$E:$E))*($E284&lt;=INDEX($E:$E,MATCH(TRUE,INDEX((ISNUMBER($E:$E)),0),0)))*($E284&gt;INDEX(_xlfn.ANCHORARRAY(Sintesi!$C$15),1,$C284))*($E284&lt;INDEX(_xlfn.ANCHORARRAY(Sintesi!$C$16),1,$C284))*(INDEX(_xlfn.ANCHORARRAY(Sintesi!$C$15),1,$C284)&gt;0),2,IF($E284=(INDEX(_xlfn.ANCHORARRAY(Sintesi!$C$16),1,$C284)),3,4)))),0)),IF(ISNUMBER($E283),IF($C284&gt;0,IF(($E284=INDEX(_xlfn.ANCHORARRAY(Sintesi!$C$14),1,$C284))*(INDEX(_xlfn.ANCHORARRAY(Sintesi!$C$15),1,$C284)&gt;0),0,IF(($E284=INDEX(_xlfn.ANCHORARRAY(Sintesi!$C$14),1,$C284))*(INDEX(_xlfn.ANCHORARRAY(Sintesi!$C$15),1,$C284)&lt;0)+($E284&gt;=$E283)*($E284&lt;=$E285)*($E284&gt;INDEX(_xlfn.ANCHORARRAY(Sintesi!$C$14),1,$C284))*($E284&lt;=INDEX(_xlfn.ANCHORARRAY(Sintesi!$C$15),1,$C284))*(INDEX(_xlfn.ANCHORARRAY(Sintesi!$C$15),1,$C284)&gt;0),1,IF(($E284&gt;=$E283)*($E284&lt;=$E285)*($E284&gt;INDEX(_xlfn.ANCHORARRAY(Sintesi!$C$14),1,$C284))*($E284&lt;INDEX(_xlfn.ANCHORARRAY(Sintesi!$C$16),1,$C284))*(INDEX(_xlfn.ANCHORARRAY(Sintesi!$C$15),1,$C284)&lt;0)+($E284&gt;=$E283)*($E284&lt;=$E285)*($E284&gt;INDEX(_xlfn.ANCHORARRAY(Sintesi!$C$15),1,$C284))*($E284&lt;INDEX(_xlfn.ANCHORARRAY(Sintesi!$C$16),1,$C284))*(INDEX(_xlfn.ANCHORARRAY(Sintesi!$C$15),1,$C284)&gt;0),2,IF($E284=(INDEX(_xlfn.ANCHORARRAY(Sintesi!$C$16),1,$C284)),3,4)))),0),IF($C284&gt;0,IF(($E284=INDEX(_xlfn.ANCHORARRAY(Sintesi!$C$14),1,$C284))*(INDEX(_xlfn.ANCHORARRAY(Sintesi!$C$15),1,$C284)&gt;0),0,IF(($E284=INDEX(_xlfn.ANCHORARRAY(Sintesi!$C$14),1,$C284))*(INDEX(_xlfn.ANCHORARRAY(Sintesi!$C$15),1,$C284)&lt;0)+($E284&gt;=LOOKUP(2,1/($E:$E&lt;&gt;""),$E:$E))*($E284&lt;=$E285)*($E284&gt;INDEX(_xlfn.ANCHORARRAY(Sintesi!$C$14),1,$C284))*($E284&lt;=INDEX(_xlfn.ANCHORARRAY(Sintesi!$C$15),1,$C284))*(INDEX(_xlfn.ANCHORARRAY(Sintesi!$C$15),1,$C284)&gt;0),1,IF(($E284&gt;=LOOKUP(2,1/($E:$E&lt;&gt;""),$E:$E))*($E284&lt;=$E285)*($E284&gt;INDEX(_xlfn.ANCHORARRAY(Sintesi!$C$14),1,$C284))*($E284&lt;INDEX(_xlfn.ANCHORARRAY(Sintesi!$C$16),1,$C284))*(INDEX(_xlfn.ANCHORARRAY(Sintesi!$C$15),1,$C284)&lt;0)+($E284&gt;=LOOKUP(2,1/($E:$E&lt;&gt;""),$E:$E))*($E284&lt;=$E285)*($E284&gt;INDEX(_xlfn.ANCHORARRAY(Sintesi!$C$15),1,$C284))*($E284&lt;INDEX(_xlfn.ANCHORARRAY(Sintesi!$C$16),1,$C284))*(INDEX(_xlfn.ANCHORARRAY(Sintesi!$C$15),1,$C284)&gt;0),2,IF($E284=(INDEX(_xlfn.ANCHORARRAY(Sintesi!$C$16),1,$C284)),3,4)))),0)))</f>
        <v>0</v>
      </c>
      <c r="E284" s="1">
        <f>'Paste cell here'!F284</f>
        <v>0</v>
      </c>
      <c r="F284" s="1">
        <f>'Paste cell here'!C284</f>
        <v>18.31999999999973</v>
      </c>
      <c r="G284" s="1">
        <f>'Paste cell here'!D284</f>
        <v>7.9399999999998894</v>
      </c>
      <c r="H284" s="1">
        <f>'Paste cell here'!E284</f>
        <v>1.638273530805533</v>
      </c>
      <c r="I284" s="1">
        <f>'Paste cell here'!X284</f>
        <v>0</v>
      </c>
      <c r="J284" s="1">
        <f>'Paste cell here'!Y284+'Paste cell here'!S284</f>
        <v>0</v>
      </c>
      <c r="K284" s="1">
        <f t="shared" si="8"/>
        <v>0</v>
      </c>
      <c r="L284" s="1">
        <f t="shared" si="9"/>
        <v>14.556419253390301</v>
      </c>
      <c r="M284" s="1">
        <f t="array" ref="M284">IF(AND(A284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284&gt;=_xlfn.ANCHORARRAY(Sintesi!$C$9))+(_xlfn.ANCHORARRAY(Sintesi!$C$9)&gt;_xlfn.ANCHORARRAY(Sintesi!$C$10))*(A284&lt;=_xlfn.ANCHORARRAY(Sintesi!$C$10))+(_xlfn.ANCHORARRAY(Sintesi!$C$9)&lt;_xlfn.ANCHORARRAY(Sintesi!$C$10))*(A284&gt;=_xlfn.ANCHORARRAY(Sintesi!$C$9))*(A284&lt;=_xlfn.ANCHORARRAY(Sintesi!$C$10)),0)),0),A284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285&gt;=_xlfn.ANCHORARRAY(Sintesi!$C$9))+(_xlfn.ANCHORARRAY(Sintesi!$C$9)&gt;_xlfn.ANCHORARRAY(Sintesi!$C$10))*(A285&lt;=_xlfn.ANCHORARRAY(Sintesi!$C$10))+(_xlfn.ANCHORARRAY(Sintesi!$C$9)&lt;_xlfn.ANCHORARRAY(Sintesi!$C$10))*(A285&gt;=_xlfn.ANCHORARRAY(Sintesi!$C$9))*(A285&lt;=_xlfn.ANCHORARRAY(Sintesi!$C$10)),0)),0)),IF(L284&lt;_xlfn.IFNA(INDEX(_xlfn.ANCHORARRAY(Sintesi!$C$17),1,MATCH(1,(_xlfn.ANCHORARRAY(Sintesi!$C$9)&gt;_xlfn.ANCHORARRAY(Sintesi!$C$10))*(A283&gt;=_xlfn.ANCHORARRAY(Sintesi!$C$9))+(_xlfn.ANCHORARRAY(Sintesi!$C$9)&gt;_xlfn.ANCHORARRAY(Sintesi!$C$10))*(A283&lt;=_xlfn.ANCHORARRAY(Sintesi!$C$10))+(_xlfn.ANCHORARRAY(Sintesi!$C$9)&lt;_xlfn.ANCHORARRAY(Sintesi!$C$10))*(A283&gt;=_xlfn.ANCHORARRAY(Sintesi!$C$9))*(A283&lt;=_xlfn.ANCHORARRAY(Sintesi!$C$10)),0)),0),1,IF(L284&gt;=_xlfn.IFNA(INDEX(_xlfn.ANCHORARRAY(Sintesi!$C$18),1,MATCH(1,(_xlfn.ANCHORARRAY(Sintesi!$C$9)&gt;_xlfn.ANCHORARRAY(Sintesi!$C$10))*(A283&gt;=_xlfn.ANCHORARRAY(Sintesi!$C$9))+(_xlfn.ANCHORARRAY(Sintesi!$C$9)&gt;_xlfn.ANCHORARRAY(Sintesi!$C$10))*(A283&lt;=_xlfn.ANCHORARRAY(Sintesi!$C$10))+(_xlfn.ANCHORARRAY(Sintesi!$C$9)&lt;_xlfn.ANCHORARRAY(Sintesi!$C$10))*(A283&gt;=_xlfn.ANCHORARRAY(Sintesi!$C$9))*(A283&lt;=_xlfn.ANCHORARRAY(Sintesi!$C$10)),0)),0),0,1-(L284-_xlfn.IFNA(INDEX(_xlfn.ANCHORARRAY(Sintesi!$C$17),1,MATCH(1,(_xlfn.ANCHORARRAY(Sintesi!$C$9)&gt;_xlfn.ANCHORARRAY(Sintesi!$C$10))*(A283&gt;=_xlfn.ANCHORARRAY(Sintesi!$C$9))+(_xlfn.ANCHORARRAY(Sintesi!$C$9)&gt;_xlfn.ANCHORARRAY(Sintesi!$C$10))*(A283&lt;=_xlfn.ANCHORARRAY(Sintesi!$C$10))+(_xlfn.ANCHORARRAY(Sintesi!$C$9)&lt;_xlfn.ANCHORARRAY(Sintesi!$C$10))*(A283&gt;=_xlfn.ANCHORARRAY(Sintesi!$C$9))*(A283&lt;=_xlfn.ANCHORARRAY(Sintesi!$C$10)),0)),0))/(_xlfn.IFNA(INDEX(_xlfn.ANCHORARRAY(Sintesi!$C$18),1,MATCH(1,(_xlfn.ANCHORARRAY(Sintesi!$C$9)&gt;_xlfn.ANCHORARRAY(Sintesi!$C$10))*(A283&gt;=_xlfn.ANCHORARRAY(Sintesi!$C$9))+(_xlfn.ANCHORARRAY(Sintesi!$C$9)&gt;_xlfn.ANCHORARRAY(Sintesi!$C$10))*(A283&lt;=_xlfn.ANCHORARRAY(Sintesi!$C$10))+(_xlfn.ANCHORARRAY(Sintesi!$C$9)&lt;_xlfn.ANCHORARRAY(Sintesi!$C$10))*(A283&gt;=_xlfn.ANCHORARRAY(Sintesi!$C$9))*(A283&lt;=_xlfn.ANCHORARRAY(Sintesi!$C$10)),0)),0)-_xlfn.IFNA(INDEX(_xlfn.ANCHORARRAY(Sintesi!$C$17),1,MATCH(1,(_xlfn.ANCHORARRAY(Sintesi!$C$9)&gt;_xlfn.ANCHORARRAY(Sintesi!$C$10))*(A283&gt;=_xlfn.ANCHORARRAY(Sintesi!$C$9))+(_xlfn.ANCHORARRAY(Sintesi!$C$9)&gt;_xlfn.ANCHORARRAY(Sintesi!$C$10))*(A283&lt;=_xlfn.ANCHORARRAY(Sintesi!$C$10))+(_xlfn.ANCHORARRAY(Sintesi!$C$9)&lt;_xlfn.ANCHORARRAY(Sintesi!$C$10))*(A283&gt;=_xlfn.ANCHORARRAY(Sintesi!$C$9))*(A283&lt;=_xlfn.ANCHORARRAY(Sintesi!$C$10)),0)),0)))),0)</f>
        <v>0</v>
      </c>
    </row>
    <row r="285" spans="1:13">
      <c r="A285" s="1">
        <f>'Paste cell here'!A285</f>
        <v>284</v>
      </c>
      <c r="B285" s="2">
        <f>DATE(Sintesi!$C$4-1,12,31)+A285</f>
        <v>44480</v>
      </c>
      <c r="C285" s="34">
        <f t="array" ref="C285">_xlfn.IFNA(MATCH(1,((_xlfn.ANCHORARRAY(Sintesi!$C$9)&gt;_xlfn.ANCHORARRAY(Sintesi!$C$10))*(A285&gt;=_xlfn.ANCHORARRAY(Sintesi!$C$9))+(_xlfn.ANCHORARRAY(Sintesi!$C$9)&gt;_xlfn.ANCHORARRAY(Sintesi!$C$10))*(A285&lt;=_xlfn.ANCHORARRAY(Sintesi!$C$10))+(_xlfn.ANCHORARRAY(Sintesi!$C$9)&lt;_xlfn.ANCHORARRAY(Sintesi!$C$10))*(A285&gt;=_xlfn.ANCHORARRAY(Sintesi!$C$9))*(A285&lt;=_xlfn.ANCHORARRAY(Sintesi!$C$10)))*(_xlfn.ANCHORARRAY(Sintesi!$C$15)&gt;=0)+(_xlfn.ANCHORARRAY(Sintesi!$C$15)&lt;0),0),0)</f>
        <v>0</v>
      </c>
      <c r="D285" s="1">
        <f t="array" ref="D285">IF(ISBLANK($E286),IF(ISNUMBER($E284),IF($C285&gt;0,IF(($E285=INDEX(_xlfn.ANCHORARRAY(Sintesi!$C$14),1,$C285))*(INDEX(_xlfn.ANCHORARRAY(Sintesi!$C$15),1,$C285)&gt;0),0,IF(($E285=INDEX(_xlfn.ANCHORARRAY(Sintesi!$C$14),1,$C285))*(INDEX(_xlfn.ANCHORARRAY(Sintesi!$C$15),1,$C285)&lt;0)+($E285&gt;=$E284)*($E285&lt;=INDEX($E:$E,MATCH(TRUE,INDEX((ISNUMBER($E:$E)),0),0)))*($E285&gt;INDEX(_xlfn.ANCHORARRAY(Sintesi!$C$14),1,$C285))*($E285&lt;=INDEX(_xlfn.ANCHORARRAY(Sintesi!$C$15),1,$C285))*(INDEX(_xlfn.ANCHORARRAY(Sintesi!$C$15),1,$C285)&gt;0),1,IF(($E285&gt;=$E284)*($E285&lt;=INDEX($E:$E,MATCH(TRUE,INDEX((ISNUMBER($E:$E)),0),0)))*($E285&gt;INDEX(_xlfn.ANCHORARRAY(Sintesi!$C$14),1,$C285))*($E285&lt;INDEX(_xlfn.ANCHORARRAY(Sintesi!$C$16),1,$C285))*(INDEX(_xlfn.ANCHORARRAY(Sintesi!$C$15),1,$C285)&lt;0)+($E285&gt;=$E284)*($E285&lt;=INDEX($E:$E,MATCH(TRUE,INDEX((ISNUMBER($E:$E)),0),0)))*($E285&gt;INDEX(_xlfn.ANCHORARRAY(Sintesi!$C$15),1,$C285))*($E285&lt;INDEX(_xlfn.ANCHORARRAY(Sintesi!$C$16),1,$C285))*(INDEX(_xlfn.ANCHORARRAY(Sintesi!$C$15),1,$C285)&gt;0),2,IF($E285=(INDEX(_xlfn.ANCHORARRAY(Sintesi!$C$16),1,$C285)),3,4)))),0),IF($C285&gt;0,IF(($E285=INDEX(_xlfn.ANCHORARRAY(Sintesi!$C$14),1,$C285))*(INDEX(_xlfn.ANCHORARRAY(Sintesi!$C$15),1,$C285)&gt;0),0,IF(($E285=INDEX(_xlfn.ANCHORARRAY(Sintesi!$C$14),1,$C285))*(INDEX(_xlfn.ANCHORARRAY(Sintesi!$C$15),1,$C285)&lt;0)+($E285&gt;=LOOKUP(2,1/($E:$E&lt;&gt;""),$E:$E))*($E285&lt;=INDEX($E:$E,MATCH(TRUE,INDEX((ISNUMBER($E:$E)),0),0)))*($E285&gt;INDEX(_xlfn.ANCHORARRAY(Sintesi!$C$14),1,$C285))*($E285&lt;=INDEX(_xlfn.ANCHORARRAY(Sintesi!$C$15),1,$C285))*(INDEX(_xlfn.ANCHORARRAY(Sintesi!$C$15),1,$C285)&gt;0),1,IF(($E285&gt;=LOOKUP(2,1/($E:$E&lt;&gt;""),$E:$E))*($E285&lt;=INDEX($E:$E,MATCH(TRUE,INDEX((ISNUMBER($E:$E)),0),0)))*($E285&gt;INDEX(_xlfn.ANCHORARRAY(Sintesi!$C$14),1,$C285))*($E285&lt;INDEX(_xlfn.ANCHORARRAY(Sintesi!$C$16),1,$C285))*(INDEX(_xlfn.ANCHORARRAY(Sintesi!$C$15),1,$C285)&lt;0)+($E285&gt;=LOOKUP(2,1/($E:$E&lt;&gt;""),$E:$E))*($E285&lt;=INDEX($E:$E,MATCH(TRUE,INDEX((ISNUMBER($E:$E)),0),0)))*($E285&gt;INDEX(_xlfn.ANCHORARRAY(Sintesi!$C$15),1,$C285))*($E285&lt;INDEX(_xlfn.ANCHORARRAY(Sintesi!$C$16),1,$C285))*(INDEX(_xlfn.ANCHORARRAY(Sintesi!$C$15),1,$C285)&gt;0),2,IF($E285=(INDEX(_xlfn.ANCHORARRAY(Sintesi!$C$16),1,$C285)),3,4)))),0)),IF(ISNUMBER($E284),IF($C285&gt;0,IF(($E285=INDEX(_xlfn.ANCHORARRAY(Sintesi!$C$14),1,$C285))*(INDEX(_xlfn.ANCHORARRAY(Sintesi!$C$15),1,$C285)&gt;0),0,IF(($E285=INDEX(_xlfn.ANCHORARRAY(Sintesi!$C$14),1,$C285))*(INDEX(_xlfn.ANCHORARRAY(Sintesi!$C$15),1,$C285)&lt;0)+($E285&gt;=$E284)*($E285&lt;=$E286)*($E285&gt;INDEX(_xlfn.ANCHORARRAY(Sintesi!$C$14),1,$C285))*($E285&lt;=INDEX(_xlfn.ANCHORARRAY(Sintesi!$C$15),1,$C285))*(INDEX(_xlfn.ANCHORARRAY(Sintesi!$C$15),1,$C285)&gt;0),1,IF(($E285&gt;=$E284)*($E285&lt;=$E286)*($E285&gt;INDEX(_xlfn.ANCHORARRAY(Sintesi!$C$14),1,$C285))*($E285&lt;INDEX(_xlfn.ANCHORARRAY(Sintesi!$C$16),1,$C285))*(INDEX(_xlfn.ANCHORARRAY(Sintesi!$C$15),1,$C285)&lt;0)+($E285&gt;=$E284)*($E285&lt;=$E286)*($E285&gt;INDEX(_xlfn.ANCHORARRAY(Sintesi!$C$15),1,$C285))*($E285&lt;INDEX(_xlfn.ANCHORARRAY(Sintesi!$C$16),1,$C285))*(INDEX(_xlfn.ANCHORARRAY(Sintesi!$C$15),1,$C285)&gt;0),2,IF($E285=(INDEX(_xlfn.ANCHORARRAY(Sintesi!$C$16),1,$C285)),3,4)))),0),IF($C285&gt;0,IF(($E285=INDEX(_xlfn.ANCHORARRAY(Sintesi!$C$14),1,$C285))*(INDEX(_xlfn.ANCHORARRAY(Sintesi!$C$15),1,$C285)&gt;0),0,IF(($E285=INDEX(_xlfn.ANCHORARRAY(Sintesi!$C$14),1,$C285))*(INDEX(_xlfn.ANCHORARRAY(Sintesi!$C$15),1,$C285)&lt;0)+($E285&gt;=LOOKUP(2,1/($E:$E&lt;&gt;""),$E:$E))*($E285&lt;=$E286)*($E285&gt;INDEX(_xlfn.ANCHORARRAY(Sintesi!$C$14),1,$C285))*($E285&lt;=INDEX(_xlfn.ANCHORARRAY(Sintesi!$C$15),1,$C285))*(INDEX(_xlfn.ANCHORARRAY(Sintesi!$C$15),1,$C285)&gt;0),1,IF(($E285&gt;=LOOKUP(2,1/($E:$E&lt;&gt;""),$E:$E))*($E285&lt;=$E286)*($E285&gt;INDEX(_xlfn.ANCHORARRAY(Sintesi!$C$14),1,$C285))*($E285&lt;INDEX(_xlfn.ANCHORARRAY(Sintesi!$C$16),1,$C285))*(INDEX(_xlfn.ANCHORARRAY(Sintesi!$C$15),1,$C285)&lt;0)+($E285&gt;=LOOKUP(2,1/($E:$E&lt;&gt;""),$E:$E))*($E285&lt;=$E286)*($E285&gt;INDEX(_xlfn.ANCHORARRAY(Sintesi!$C$15),1,$C285))*($E285&lt;INDEX(_xlfn.ANCHORARRAY(Sintesi!$C$16),1,$C285))*(INDEX(_xlfn.ANCHORARRAY(Sintesi!$C$15),1,$C285)&gt;0),2,IF($E285=(INDEX(_xlfn.ANCHORARRAY(Sintesi!$C$16),1,$C285)),3,4)))),0)))</f>
        <v>0</v>
      </c>
      <c r="E285" s="1">
        <f>'Paste cell here'!F285</f>
        <v>0</v>
      </c>
      <c r="F285" s="1">
        <f>'Paste cell here'!C285</f>
        <v>20.499999999999709</v>
      </c>
      <c r="G285" s="1">
        <f>'Paste cell here'!D285</f>
        <v>5.979999999999924</v>
      </c>
      <c r="H285" s="1">
        <f>'Paste cell here'!E285</f>
        <v>1.6177079564786925</v>
      </c>
      <c r="I285" s="1">
        <f>'Paste cell here'!X285</f>
        <v>0</v>
      </c>
      <c r="J285" s="1">
        <f>'Paste cell here'!Y285+'Paste cell here'!S285</f>
        <v>0</v>
      </c>
      <c r="K285" s="1">
        <f t="shared" si="8"/>
        <v>0</v>
      </c>
      <c r="L285" s="1">
        <f t="shared" si="9"/>
        <v>15.235337915147207</v>
      </c>
      <c r="M285" s="1">
        <f t="array" ref="M285">IF(AND(A285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285&gt;=_xlfn.ANCHORARRAY(Sintesi!$C$9))+(_xlfn.ANCHORARRAY(Sintesi!$C$9)&gt;_xlfn.ANCHORARRAY(Sintesi!$C$10))*(A285&lt;=_xlfn.ANCHORARRAY(Sintesi!$C$10))+(_xlfn.ANCHORARRAY(Sintesi!$C$9)&lt;_xlfn.ANCHORARRAY(Sintesi!$C$10))*(A285&gt;=_xlfn.ANCHORARRAY(Sintesi!$C$9))*(A285&lt;=_xlfn.ANCHORARRAY(Sintesi!$C$10)),0)),0),A285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286&gt;=_xlfn.ANCHORARRAY(Sintesi!$C$9))+(_xlfn.ANCHORARRAY(Sintesi!$C$9)&gt;_xlfn.ANCHORARRAY(Sintesi!$C$10))*(A286&lt;=_xlfn.ANCHORARRAY(Sintesi!$C$10))+(_xlfn.ANCHORARRAY(Sintesi!$C$9)&lt;_xlfn.ANCHORARRAY(Sintesi!$C$10))*(A286&gt;=_xlfn.ANCHORARRAY(Sintesi!$C$9))*(A286&lt;=_xlfn.ANCHORARRAY(Sintesi!$C$10)),0)),0)),IF(L285&lt;_xlfn.IFNA(INDEX(_xlfn.ANCHORARRAY(Sintesi!$C$17),1,MATCH(1,(_xlfn.ANCHORARRAY(Sintesi!$C$9)&gt;_xlfn.ANCHORARRAY(Sintesi!$C$10))*(A284&gt;=_xlfn.ANCHORARRAY(Sintesi!$C$9))+(_xlfn.ANCHORARRAY(Sintesi!$C$9)&gt;_xlfn.ANCHORARRAY(Sintesi!$C$10))*(A284&lt;=_xlfn.ANCHORARRAY(Sintesi!$C$10))+(_xlfn.ANCHORARRAY(Sintesi!$C$9)&lt;_xlfn.ANCHORARRAY(Sintesi!$C$10))*(A284&gt;=_xlfn.ANCHORARRAY(Sintesi!$C$9))*(A284&lt;=_xlfn.ANCHORARRAY(Sintesi!$C$10)),0)),0),1,IF(L285&gt;=_xlfn.IFNA(INDEX(_xlfn.ANCHORARRAY(Sintesi!$C$18),1,MATCH(1,(_xlfn.ANCHORARRAY(Sintesi!$C$9)&gt;_xlfn.ANCHORARRAY(Sintesi!$C$10))*(A284&gt;=_xlfn.ANCHORARRAY(Sintesi!$C$9))+(_xlfn.ANCHORARRAY(Sintesi!$C$9)&gt;_xlfn.ANCHORARRAY(Sintesi!$C$10))*(A284&lt;=_xlfn.ANCHORARRAY(Sintesi!$C$10))+(_xlfn.ANCHORARRAY(Sintesi!$C$9)&lt;_xlfn.ANCHORARRAY(Sintesi!$C$10))*(A284&gt;=_xlfn.ANCHORARRAY(Sintesi!$C$9))*(A284&lt;=_xlfn.ANCHORARRAY(Sintesi!$C$10)),0)),0),0,1-(L285-_xlfn.IFNA(INDEX(_xlfn.ANCHORARRAY(Sintesi!$C$17),1,MATCH(1,(_xlfn.ANCHORARRAY(Sintesi!$C$9)&gt;_xlfn.ANCHORARRAY(Sintesi!$C$10))*(A284&gt;=_xlfn.ANCHORARRAY(Sintesi!$C$9))+(_xlfn.ANCHORARRAY(Sintesi!$C$9)&gt;_xlfn.ANCHORARRAY(Sintesi!$C$10))*(A284&lt;=_xlfn.ANCHORARRAY(Sintesi!$C$10))+(_xlfn.ANCHORARRAY(Sintesi!$C$9)&lt;_xlfn.ANCHORARRAY(Sintesi!$C$10))*(A284&gt;=_xlfn.ANCHORARRAY(Sintesi!$C$9))*(A284&lt;=_xlfn.ANCHORARRAY(Sintesi!$C$10)),0)),0))/(_xlfn.IFNA(INDEX(_xlfn.ANCHORARRAY(Sintesi!$C$18),1,MATCH(1,(_xlfn.ANCHORARRAY(Sintesi!$C$9)&gt;_xlfn.ANCHORARRAY(Sintesi!$C$10))*(A284&gt;=_xlfn.ANCHORARRAY(Sintesi!$C$9))+(_xlfn.ANCHORARRAY(Sintesi!$C$9)&gt;_xlfn.ANCHORARRAY(Sintesi!$C$10))*(A284&lt;=_xlfn.ANCHORARRAY(Sintesi!$C$10))+(_xlfn.ANCHORARRAY(Sintesi!$C$9)&lt;_xlfn.ANCHORARRAY(Sintesi!$C$10))*(A284&gt;=_xlfn.ANCHORARRAY(Sintesi!$C$9))*(A284&lt;=_xlfn.ANCHORARRAY(Sintesi!$C$10)),0)),0)-_xlfn.IFNA(INDEX(_xlfn.ANCHORARRAY(Sintesi!$C$17),1,MATCH(1,(_xlfn.ANCHORARRAY(Sintesi!$C$9)&gt;_xlfn.ANCHORARRAY(Sintesi!$C$10))*(A284&gt;=_xlfn.ANCHORARRAY(Sintesi!$C$9))+(_xlfn.ANCHORARRAY(Sintesi!$C$9)&gt;_xlfn.ANCHORARRAY(Sintesi!$C$10))*(A284&lt;=_xlfn.ANCHORARRAY(Sintesi!$C$10))+(_xlfn.ANCHORARRAY(Sintesi!$C$9)&lt;_xlfn.ANCHORARRAY(Sintesi!$C$10))*(A284&gt;=_xlfn.ANCHORARRAY(Sintesi!$C$9))*(A284&lt;=_xlfn.ANCHORARRAY(Sintesi!$C$10)),0)),0)))),0)</f>
        <v>0</v>
      </c>
    </row>
    <row r="286" spans="1:13">
      <c r="A286" s="1">
        <f>'Paste cell here'!A286</f>
        <v>285</v>
      </c>
      <c r="B286" s="2">
        <f>DATE(Sintesi!$C$4-1,12,31)+A286</f>
        <v>44481</v>
      </c>
      <c r="C286" s="34">
        <f t="array" ref="C286">_xlfn.IFNA(MATCH(1,((_xlfn.ANCHORARRAY(Sintesi!$C$9)&gt;_xlfn.ANCHORARRAY(Sintesi!$C$10))*(A286&gt;=_xlfn.ANCHORARRAY(Sintesi!$C$9))+(_xlfn.ANCHORARRAY(Sintesi!$C$9)&gt;_xlfn.ANCHORARRAY(Sintesi!$C$10))*(A286&lt;=_xlfn.ANCHORARRAY(Sintesi!$C$10))+(_xlfn.ANCHORARRAY(Sintesi!$C$9)&lt;_xlfn.ANCHORARRAY(Sintesi!$C$10))*(A286&gt;=_xlfn.ANCHORARRAY(Sintesi!$C$9))*(A286&lt;=_xlfn.ANCHORARRAY(Sintesi!$C$10)))*(_xlfn.ANCHORARRAY(Sintesi!$C$15)&gt;=0)+(_xlfn.ANCHORARRAY(Sintesi!$C$15)&lt;0),0),0)</f>
        <v>0</v>
      </c>
      <c r="D286" s="1">
        <f t="array" ref="D286">IF(ISBLANK($E287),IF(ISNUMBER($E285),IF($C286&gt;0,IF(($E286=INDEX(_xlfn.ANCHORARRAY(Sintesi!$C$14),1,$C286))*(INDEX(_xlfn.ANCHORARRAY(Sintesi!$C$15),1,$C286)&gt;0),0,IF(($E286=INDEX(_xlfn.ANCHORARRAY(Sintesi!$C$14),1,$C286))*(INDEX(_xlfn.ANCHORARRAY(Sintesi!$C$15),1,$C286)&lt;0)+($E286&gt;=$E285)*($E286&lt;=INDEX($E:$E,MATCH(TRUE,INDEX((ISNUMBER($E:$E)),0),0)))*($E286&gt;INDEX(_xlfn.ANCHORARRAY(Sintesi!$C$14),1,$C286))*($E286&lt;=INDEX(_xlfn.ANCHORARRAY(Sintesi!$C$15),1,$C286))*(INDEX(_xlfn.ANCHORARRAY(Sintesi!$C$15),1,$C286)&gt;0),1,IF(($E286&gt;=$E285)*($E286&lt;=INDEX($E:$E,MATCH(TRUE,INDEX((ISNUMBER($E:$E)),0),0)))*($E286&gt;INDEX(_xlfn.ANCHORARRAY(Sintesi!$C$14),1,$C286))*($E286&lt;INDEX(_xlfn.ANCHORARRAY(Sintesi!$C$16),1,$C286))*(INDEX(_xlfn.ANCHORARRAY(Sintesi!$C$15),1,$C286)&lt;0)+($E286&gt;=$E285)*($E286&lt;=INDEX($E:$E,MATCH(TRUE,INDEX((ISNUMBER($E:$E)),0),0)))*($E286&gt;INDEX(_xlfn.ANCHORARRAY(Sintesi!$C$15),1,$C286))*($E286&lt;INDEX(_xlfn.ANCHORARRAY(Sintesi!$C$16),1,$C286))*(INDEX(_xlfn.ANCHORARRAY(Sintesi!$C$15),1,$C286)&gt;0),2,IF($E286=(INDEX(_xlfn.ANCHORARRAY(Sintesi!$C$16),1,$C286)),3,4)))),0),IF($C286&gt;0,IF(($E286=INDEX(_xlfn.ANCHORARRAY(Sintesi!$C$14),1,$C286))*(INDEX(_xlfn.ANCHORARRAY(Sintesi!$C$15),1,$C286)&gt;0),0,IF(($E286=INDEX(_xlfn.ANCHORARRAY(Sintesi!$C$14),1,$C286))*(INDEX(_xlfn.ANCHORARRAY(Sintesi!$C$15),1,$C286)&lt;0)+($E286&gt;=LOOKUP(2,1/($E:$E&lt;&gt;""),$E:$E))*($E286&lt;=INDEX($E:$E,MATCH(TRUE,INDEX((ISNUMBER($E:$E)),0),0)))*($E286&gt;INDEX(_xlfn.ANCHORARRAY(Sintesi!$C$14),1,$C286))*($E286&lt;=INDEX(_xlfn.ANCHORARRAY(Sintesi!$C$15),1,$C286))*(INDEX(_xlfn.ANCHORARRAY(Sintesi!$C$15),1,$C286)&gt;0),1,IF(($E286&gt;=LOOKUP(2,1/($E:$E&lt;&gt;""),$E:$E))*($E286&lt;=INDEX($E:$E,MATCH(TRUE,INDEX((ISNUMBER($E:$E)),0),0)))*($E286&gt;INDEX(_xlfn.ANCHORARRAY(Sintesi!$C$14),1,$C286))*($E286&lt;INDEX(_xlfn.ANCHORARRAY(Sintesi!$C$16),1,$C286))*(INDEX(_xlfn.ANCHORARRAY(Sintesi!$C$15),1,$C286)&lt;0)+($E286&gt;=LOOKUP(2,1/($E:$E&lt;&gt;""),$E:$E))*($E286&lt;=INDEX($E:$E,MATCH(TRUE,INDEX((ISNUMBER($E:$E)),0),0)))*($E286&gt;INDEX(_xlfn.ANCHORARRAY(Sintesi!$C$15),1,$C286))*($E286&lt;INDEX(_xlfn.ANCHORARRAY(Sintesi!$C$16),1,$C286))*(INDEX(_xlfn.ANCHORARRAY(Sintesi!$C$15),1,$C286)&gt;0),2,IF($E286=(INDEX(_xlfn.ANCHORARRAY(Sintesi!$C$16),1,$C286)),3,4)))),0)),IF(ISNUMBER($E285),IF($C286&gt;0,IF(($E286=INDEX(_xlfn.ANCHORARRAY(Sintesi!$C$14),1,$C286))*(INDEX(_xlfn.ANCHORARRAY(Sintesi!$C$15),1,$C286)&gt;0),0,IF(($E286=INDEX(_xlfn.ANCHORARRAY(Sintesi!$C$14),1,$C286))*(INDEX(_xlfn.ANCHORARRAY(Sintesi!$C$15),1,$C286)&lt;0)+($E286&gt;=$E285)*($E286&lt;=$E287)*($E286&gt;INDEX(_xlfn.ANCHORARRAY(Sintesi!$C$14),1,$C286))*($E286&lt;=INDEX(_xlfn.ANCHORARRAY(Sintesi!$C$15),1,$C286))*(INDEX(_xlfn.ANCHORARRAY(Sintesi!$C$15),1,$C286)&gt;0),1,IF(($E286&gt;=$E285)*($E286&lt;=$E287)*($E286&gt;INDEX(_xlfn.ANCHORARRAY(Sintesi!$C$14),1,$C286))*($E286&lt;INDEX(_xlfn.ANCHORARRAY(Sintesi!$C$16),1,$C286))*(INDEX(_xlfn.ANCHORARRAY(Sintesi!$C$15),1,$C286)&lt;0)+($E286&gt;=$E285)*($E286&lt;=$E287)*($E286&gt;INDEX(_xlfn.ANCHORARRAY(Sintesi!$C$15),1,$C286))*($E286&lt;INDEX(_xlfn.ANCHORARRAY(Sintesi!$C$16),1,$C286))*(INDEX(_xlfn.ANCHORARRAY(Sintesi!$C$15),1,$C286)&gt;0),2,IF($E286=(INDEX(_xlfn.ANCHORARRAY(Sintesi!$C$16),1,$C286)),3,4)))),0),IF($C286&gt;0,IF(($E286=INDEX(_xlfn.ANCHORARRAY(Sintesi!$C$14),1,$C286))*(INDEX(_xlfn.ANCHORARRAY(Sintesi!$C$15),1,$C286)&gt;0),0,IF(($E286=INDEX(_xlfn.ANCHORARRAY(Sintesi!$C$14),1,$C286))*(INDEX(_xlfn.ANCHORARRAY(Sintesi!$C$15),1,$C286)&lt;0)+($E286&gt;=LOOKUP(2,1/($E:$E&lt;&gt;""),$E:$E))*($E286&lt;=$E287)*($E286&gt;INDEX(_xlfn.ANCHORARRAY(Sintesi!$C$14),1,$C286))*($E286&lt;=INDEX(_xlfn.ANCHORARRAY(Sintesi!$C$15),1,$C286))*(INDEX(_xlfn.ANCHORARRAY(Sintesi!$C$15),1,$C286)&gt;0),1,IF(($E286&gt;=LOOKUP(2,1/($E:$E&lt;&gt;""),$E:$E))*($E286&lt;=$E287)*($E286&gt;INDEX(_xlfn.ANCHORARRAY(Sintesi!$C$14),1,$C286))*($E286&lt;INDEX(_xlfn.ANCHORARRAY(Sintesi!$C$16),1,$C286))*(INDEX(_xlfn.ANCHORARRAY(Sintesi!$C$15),1,$C286)&lt;0)+($E286&gt;=LOOKUP(2,1/($E:$E&lt;&gt;""),$E:$E))*($E286&lt;=$E287)*($E286&gt;INDEX(_xlfn.ANCHORARRAY(Sintesi!$C$15),1,$C286))*($E286&lt;INDEX(_xlfn.ANCHORARRAY(Sintesi!$C$16),1,$C286))*(INDEX(_xlfn.ANCHORARRAY(Sintesi!$C$15),1,$C286)&gt;0),2,IF($E286=(INDEX(_xlfn.ANCHORARRAY(Sintesi!$C$16),1,$C286)),3,4)))),0)))</f>
        <v>0</v>
      </c>
      <c r="E286" s="1">
        <f>'Paste cell here'!F286</f>
        <v>0</v>
      </c>
      <c r="F286" s="1">
        <f>'Paste cell here'!C286</f>
        <v>18.699999999999733</v>
      </c>
      <c r="G286" s="1">
        <f>'Paste cell here'!D286</f>
        <v>8.1999999999998927</v>
      </c>
      <c r="H286" s="1">
        <f>'Paste cell here'!E286</f>
        <v>1.5596876461080476</v>
      </c>
      <c r="I286" s="1">
        <f>'Paste cell here'!X286</f>
        <v>0</v>
      </c>
      <c r="J286" s="1">
        <f>'Paste cell here'!Y286+'Paste cell here'!S286</f>
        <v>0</v>
      </c>
      <c r="K286" s="1">
        <f t="shared" si="8"/>
        <v>0</v>
      </c>
      <c r="L286" s="1">
        <f t="shared" si="9"/>
        <v>14.892909649383256</v>
      </c>
      <c r="M286" s="1">
        <f t="array" ref="M286">IF(AND(A286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286&gt;=_xlfn.ANCHORARRAY(Sintesi!$C$9))+(_xlfn.ANCHORARRAY(Sintesi!$C$9)&gt;_xlfn.ANCHORARRAY(Sintesi!$C$10))*(A286&lt;=_xlfn.ANCHORARRAY(Sintesi!$C$10))+(_xlfn.ANCHORARRAY(Sintesi!$C$9)&lt;_xlfn.ANCHORARRAY(Sintesi!$C$10))*(A286&gt;=_xlfn.ANCHORARRAY(Sintesi!$C$9))*(A286&lt;=_xlfn.ANCHORARRAY(Sintesi!$C$10)),0)),0),A286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287&gt;=_xlfn.ANCHORARRAY(Sintesi!$C$9))+(_xlfn.ANCHORARRAY(Sintesi!$C$9)&gt;_xlfn.ANCHORARRAY(Sintesi!$C$10))*(A287&lt;=_xlfn.ANCHORARRAY(Sintesi!$C$10))+(_xlfn.ANCHORARRAY(Sintesi!$C$9)&lt;_xlfn.ANCHORARRAY(Sintesi!$C$10))*(A287&gt;=_xlfn.ANCHORARRAY(Sintesi!$C$9))*(A287&lt;=_xlfn.ANCHORARRAY(Sintesi!$C$10)),0)),0)),IF(L286&lt;_xlfn.IFNA(INDEX(_xlfn.ANCHORARRAY(Sintesi!$C$17),1,MATCH(1,(_xlfn.ANCHORARRAY(Sintesi!$C$9)&gt;_xlfn.ANCHORARRAY(Sintesi!$C$10))*(A285&gt;=_xlfn.ANCHORARRAY(Sintesi!$C$9))+(_xlfn.ANCHORARRAY(Sintesi!$C$9)&gt;_xlfn.ANCHORARRAY(Sintesi!$C$10))*(A285&lt;=_xlfn.ANCHORARRAY(Sintesi!$C$10))+(_xlfn.ANCHORARRAY(Sintesi!$C$9)&lt;_xlfn.ANCHORARRAY(Sintesi!$C$10))*(A285&gt;=_xlfn.ANCHORARRAY(Sintesi!$C$9))*(A285&lt;=_xlfn.ANCHORARRAY(Sintesi!$C$10)),0)),0),1,IF(L286&gt;=_xlfn.IFNA(INDEX(_xlfn.ANCHORARRAY(Sintesi!$C$18),1,MATCH(1,(_xlfn.ANCHORARRAY(Sintesi!$C$9)&gt;_xlfn.ANCHORARRAY(Sintesi!$C$10))*(A285&gt;=_xlfn.ANCHORARRAY(Sintesi!$C$9))+(_xlfn.ANCHORARRAY(Sintesi!$C$9)&gt;_xlfn.ANCHORARRAY(Sintesi!$C$10))*(A285&lt;=_xlfn.ANCHORARRAY(Sintesi!$C$10))+(_xlfn.ANCHORARRAY(Sintesi!$C$9)&lt;_xlfn.ANCHORARRAY(Sintesi!$C$10))*(A285&gt;=_xlfn.ANCHORARRAY(Sintesi!$C$9))*(A285&lt;=_xlfn.ANCHORARRAY(Sintesi!$C$10)),0)),0),0,1-(L286-_xlfn.IFNA(INDEX(_xlfn.ANCHORARRAY(Sintesi!$C$17),1,MATCH(1,(_xlfn.ANCHORARRAY(Sintesi!$C$9)&gt;_xlfn.ANCHORARRAY(Sintesi!$C$10))*(A285&gt;=_xlfn.ANCHORARRAY(Sintesi!$C$9))+(_xlfn.ANCHORARRAY(Sintesi!$C$9)&gt;_xlfn.ANCHORARRAY(Sintesi!$C$10))*(A285&lt;=_xlfn.ANCHORARRAY(Sintesi!$C$10))+(_xlfn.ANCHORARRAY(Sintesi!$C$9)&lt;_xlfn.ANCHORARRAY(Sintesi!$C$10))*(A285&gt;=_xlfn.ANCHORARRAY(Sintesi!$C$9))*(A285&lt;=_xlfn.ANCHORARRAY(Sintesi!$C$10)),0)),0))/(_xlfn.IFNA(INDEX(_xlfn.ANCHORARRAY(Sintesi!$C$18),1,MATCH(1,(_xlfn.ANCHORARRAY(Sintesi!$C$9)&gt;_xlfn.ANCHORARRAY(Sintesi!$C$10))*(A285&gt;=_xlfn.ANCHORARRAY(Sintesi!$C$9))+(_xlfn.ANCHORARRAY(Sintesi!$C$9)&gt;_xlfn.ANCHORARRAY(Sintesi!$C$10))*(A285&lt;=_xlfn.ANCHORARRAY(Sintesi!$C$10))+(_xlfn.ANCHORARRAY(Sintesi!$C$9)&lt;_xlfn.ANCHORARRAY(Sintesi!$C$10))*(A285&gt;=_xlfn.ANCHORARRAY(Sintesi!$C$9))*(A285&lt;=_xlfn.ANCHORARRAY(Sintesi!$C$10)),0)),0)-_xlfn.IFNA(INDEX(_xlfn.ANCHORARRAY(Sintesi!$C$17),1,MATCH(1,(_xlfn.ANCHORARRAY(Sintesi!$C$9)&gt;_xlfn.ANCHORARRAY(Sintesi!$C$10))*(A285&gt;=_xlfn.ANCHORARRAY(Sintesi!$C$9))+(_xlfn.ANCHORARRAY(Sintesi!$C$9)&gt;_xlfn.ANCHORARRAY(Sintesi!$C$10))*(A285&lt;=_xlfn.ANCHORARRAY(Sintesi!$C$10))+(_xlfn.ANCHORARRAY(Sintesi!$C$9)&lt;_xlfn.ANCHORARRAY(Sintesi!$C$10))*(A285&gt;=_xlfn.ANCHORARRAY(Sintesi!$C$9))*(A285&lt;=_xlfn.ANCHORARRAY(Sintesi!$C$10)),0)),0)))),0)</f>
        <v>0</v>
      </c>
    </row>
    <row r="287" spans="1:13">
      <c r="A287" s="1">
        <f>'Paste cell here'!A287</f>
        <v>286</v>
      </c>
      <c r="B287" s="2">
        <f>DATE(Sintesi!$C$4-1,12,31)+A287</f>
        <v>44482</v>
      </c>
      <c r="C287" s="34">
        <f t="array" ref="C287">_xlfn.IFNA(MATCH(1,((_xlfn.ANCHORARRAY(Sintesi!$C$9)&gt;_xlfn.ANCHORARRAY(Sintesi!$C$10))*(A287&gt;=_xlfn.ANCHORARRAY(Sintesi!$C$9))+(_xlfn.ANCHORARRAY(Sintesi!$C$9)&gt;_xlfn.ANCHORARRAY(Sintesi!$C$10))*(A287&lt;=_xlfn.ANCHORARRAY(Sintesi!$C$10))+(_xlfn.ANCHORARRAY(Sintesi!$C$9)&lt;_xlfn.ANCHORARRAY(Sintesi!$C$10))*(A287&gt;=_xlfn.ANCHORARRAY(Sintesi!$C$9))*(A287&lt;=_xlfn.ANCHORARRAY(Sintesi!$C$10)))*(_xlfn.ANCHORARRAY(Sintesi!$C$15)&gt;=0)+(_xlfn.ANCHORARRAY(Sintesi!$C$15)&lt;0),0),0)</f>
        <v>0</v>
      </c>
      <c r="D287" s="1">
        <f t="array" ref="D287">IF(ISBLANK($E288),IF(ISNUMBER($E286),IF($C287&gt;0,IF(($E287=INDEX(_xlfn.ANCHORARRAY(Sintesi!$C$14),1,$C287))*(INDEX(_xlfn.ANCHORARRAY(Sintesi!$C$15),1,$C287)&gt;0),0,IF(($E287=INDEX(_xlfn.ANCHORARRAY(Sintesi!$C$14),1,$C287))*(INDEX(_xlfn.ANCHORARRAY(Sintesi!$C$15),1,$C287)&lt;0)+($E287&gt;=$E286)*($E287&lt;=INDEX($E:$E,MATCH(TRUE,INDEX((ISNUMBER($E:$E)),0),0)))*($E287&gt;INDEX(_xlfn.ANCHORARRAY(Sintesi!$C$14),1,$C287))*($E287&lt;=INDEX(_xlfn.ANCHORARRAY(Sintesi!$C$15),1,$C287))*(INDEX(_xlfn.ANCHORARRAY(Sintesi!$C$15),1,$C287)&gt;0),1,IF(($E287&gt;=$E286)*($E287&lt;=INDEX($E:$E,MATCH(TRUE,INDEX((ISNUMBER($E:$E)),0),0)))*($E287&gt;INDEX(_xlfn.ANCHORARRAY(Sintesi!$C$14),1,$C287))*($E287&lt;INDEX(_xlfn.ANCHORARRAY(Sintesi!$C$16),1,$C287))*(INDEX(_xlfn.ANCHORARRAY(Sintesi!$C$15),1,$C287)&lt;0)+($E287&gt;=$E286)*($E287&lt;=INDEX($E:$E,MATCH(TRUE,INDEX((ISNUMBER($E:$E)),0),0)))*($E287&gt;INDEX(_xlfn.ANCHORARRAY(Sintesi!$C$15),1,$C287))*($E287&lt;INDEX(_xlfn.ANCHORARRAY(Sintesi!$C$16),1,$C287))*(INDEX(_xlfn.ANCHORARRAY(Sintesi!$C$15),1,$C287)&gt;0),2,IF($E287=(INDEX(_xlfn.ANCHORARRAY(Sintesi!$C$16),1,$C287)),3,4)))),0),IF($C287&gt;0,IF(($E287=INDEX(_xlfn.ANCHORARRAY(Sintesi!$C$14),1,$C287))*(INDEX(_xlfn.ANCHORARRAY(Sintesi!$C$15),1,$C287)&gt;0),0,IF(($E287=INDEX(_xlfn.ANCHORARRAY(Sintesi!$C$14),1,$C287))*(INDEX(_xlfn.ANCHORARRAY(Sintesi!$C$15),1,$C287)&lt;0)+($E287&gt;=LOOKUP(2,1/($E:$E&lt;&gt;""),$E:$E))*($E287&lt;=INDEX($E:$E,MATCH(TRUE,INDEX((ISNUMBER($E:$E)),0),0)))*($E287&gt;INDEX(_xlfn.ANCHORARRAY(Sintesi!$C$14),1,$C287))*($E287&lt;=INDEX(_xlfn.ANCHORARRAY(Sintesi!$C$15),1,$C287))*(INDEX(_xlfn.ANCHORARRAY(Sintesi!$C$15),1,$C287)&gt;0),1,IF(($E287&gt;=LOOKUP(2,1/($E:$E&lt;&gt;""),$E:$E))*($E287&lt;=INDEX($E:$E,MATCH(TRUE,INDEX((ISNUMBER($E:$E)),0),0)))*($E287&gt;INDEX(_xlfn.ANCHORARRAY(Sintesi!$C$14),1,$C287))*($E287&lt;INDEX(_xlfn.ANCHORARRAY(Sintesi!$C$16),1,$C287))*(INDEX(_xlfn.ANCHORARRAY(Sintesi!$C$15),1,$C287)&lt;0)+($E287&gt;=LOOKUP(2,1/($E:$E&lt;&gt;""),$E:$E))*($E287&lt;=INDEX($E:$E,MATCH(TRUE,INDEX((ISNUMBER($E:$E)),0),0)))*($E287&gt;INDEX(_xlfn.ANCHORARRAY(Sintesi!$C$15),1,$C287))*($E287&lt;INDEX(_xlfn.ANCHORARRAY(Sintesi!$C$16),1,$C287))*(INDEX(_xlfn.ANCHORARRAY(Sintesi!$C$15),1,$C287)&gt;0),2,IF($E287=(INDEX(_xlfn.ANCHORARRAY(Sintesi!$C$16),1,$C287)),3,4)))),0)),IF(ISNUMBER($E286),IF($C287&gt;0,IF(($E287=INDEX(_xlfn.ANCHORARRAY(Sintesi!$C$14),1,$C287))*(INDEX(_xlfn.ANCHORARRAY(Sintesi!$C$15),1,$C287)&gt;0),0,IF(($E287=INDEX(_xlfn.ANCHORARRAY(Sintesi!$C$14),1,$C287))*(INDEX(_xlfn.ANCHORARRAY(Sintesi!$C$15),1,$C287)&lt;0)+($E287&gt;=$E286)*($E287&lt;=$E288)*($E287&gt;INDEX(_xlfn.ANCHORARRAY(Sintesi!$C$14),1,$C287))*($E287&lt;=INDEX(_xlfn.ANCHORARRAY(Sintesi!$C$15),1,$C287))*(INDEX(_xlfn.ANCHORARRAY(Sintesi!$C$15),1,$C287)&gt;0),1,IF(($E287&gt;=$E286)*($E287&lt;=$E288)*($E287&gt;INDEX(_xlfn.ANCHORARRAY(Sintesi!$C$14),1,$C287))*($E287&lt;INDEX(_xlfn.ANCHORARRAY(Sintesi!$C$16),1,$C287))*(INDEX(_xlfn.ANCHORARRAY(Sintesi!$C$15),1,$C287)&lt;0)+($E287&gt;=$E286)*($E287&lt;=$E288)*($E287&gt;INDEX(_xlfn.ANCHORARRAY(Sintesi!$C$15),1,$C287))*($E287&lt;INDEX(_xlfn.ANCHORARRAY(Sintesi!$C$16),1,$C287))*(INDEX(_xlfn.ANCHORARRAY(Sintesi!$C$15),1,$C287)&gt;0),2,IF($E287=(INDEX(_xlfn.ANCHORARRAY(Sintesi!$C$16),1,$C287)),3,4)))),0),IF($C287&gt;0,IF(($E287=INDEX(_xlfn.ANCHORARRAY(Sintesi!$C$14),1,$C287))*(INDEX(_xlfn.ANCHORARRAY(Sintesi!$C$15),1,$C287)&gt;0),0,IF(($E287=INDEX(_xlfn.ANCHORARRAY(Sintesi!$C$14),1,$C287))*(INDEX(_xlfn.ANCHORARRAY(Sintesi!$C$15),1,$C287)&lt;0)+($E287&gt;=LOOKUP(2,1/($E:$E&lt;&gt;""),$E:$E))*($E287&lt;=$E288)*($E287&gt;INDEX(_xlfn.ANCHORARRAY(Sintesi!$C$14),1,$C287))*($E287&lt;=INDEX(_xlfn.ANCHORARRAY(Sintesi!$C$15),1,$C287))*(INDEX(_xlfn.ANCHORARRAY(Sintesi!$C$15),1,$C287)&gt;0),1,IF(($E287&gt;=LOOKUP(2,1/($E:$E&lt;&gt;""),$E:$E))*($E287&lt;=$E288)*($E287&gt;INDEX(_xlfn.ANCHORARRAY(Sintesi!$C$14),1,$C287))*($E287&lt;INDEX(_xlfn.ANCHORARRAY(Sintesi!$C$16),1,$C287))*(INDEX(_xlfn.ANCHORARRAY(Sintesi!$C$15),1,$C287)&lt;0)+($E287&gt;=LOOKUP(2,1/($E:$E&lt;&gt;""),$E:$E))*($E287&lt;=$E288)*($E287&gt;INDEX(_xlfn.ANCHORARRAY(Sintesi!$C$15),1,$C287))*($E287&lt;INDEX(_xlfn.ANCHORARRAY(Sintesi!$C$16),1,$C287))*(INDEX(_xlfn.ANCHORARRAY(Sintesi!$C$15),1,$C287)&gt;0),2,IF($E287=(INDEX(_xlfn.ANCHORARRAY(Sintesi!$C$16),1,$C287)),3,4)))),0)))</f>
        <v>0</v>
      </c>
      <c r="E287" s="1">
        <f>'Paste cell here'!F287</f>
        <v>0</v>
      </c>
      <c r="F287" s="1">
        <f>'Paste cell here'!C287</f>
        <v>18.959999999999724</v>
      </c>
      <c r="G287" s="1">
        <f>'Paste cell here'!D287</f>
        <v>7.2599999999999074</v>
      </c>
      <c r="H287" s="1">
        <f>'Paste cell here'!E287</f>
        <v>1.6214527549929159</v>
      </c>
      <c r="I287" s="1">
        <f>'Paste cell here'!X287</f>
        <v>0</v>
      </c>
      <c r="J287" s="1">
        <f>'Paste cell here'!Y287+'Paste cell here'!S287</f>
        <v>0</v>
      </c>
      <c r="K287" s="1">
        <f t="shared" si="8"/>
        <v>0</v>
      </c>
      <c r="L287" s="1">
        <f t="shared" si="9"/>
        <v>14.717813609312794</v>
      </c>
      <c r="M287" s="1">
        <f t="array" ref="M287">IF(AND(A287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287&gt;=_xlfn.ANCHORARRAY(Sintesi!$C$9))+(_xlfn.ANCHORARRAY(Sintesi!$C$9)&gt;_xlfn.ANCHORARRAY(Sintesi!$C$10))*(A287&lt;=_xlfn.ANCHORARRAY(Sintesi!$C$10))+(_xlfn.ANCHORARRAY(Sintesi!$C$9)&lt;_xlfn.ANCHORARRAY(Sintesi!$C$10))*(A287&gt;=_xlfn.ANCHORARRAY(Sintesi!$C$9))*(A287&lt;=_xlfn.ANCHORARRAY(Sintesi!$C$10)),0)),0),A287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288&gt;=_xlfn.ANCHORARRAY(Sintesi!$C$9))+(_xlfn.ANCHORARRAY(Sintesi!$C$9)&gt;_xlfn.ANCHORARRAY(Sintesi!$C$10))*(A288&lt;=_xlfn.ANCHORARRAY(Sintesi!$C$10))+(_xlfn.ANCHORARRAY(Sintesi!$C$9)&lt;_xlfn.ANCHORARRAY(Sintesi!$C$10))*(A288&gt;=_xlfn.ANCHORARRAY(Sintesi!$C$9))*(A288&lt;=_xlfn.ANCHORARRAY(Sintesi!$C$10)),0)),0)),IF(L287&lt;_xlfn.IFNA(INDEX(_xlfn.ANCHORARRAY(Sintesi!$C$17),1,MATCH(1,(_xlfn.ANCHORARRAY(Sintesi!$C$9)&gt;_xlfn.ANCHORARRAY(Sintesi!$C$10))*(A286&gt;=_xlfn.ANCHORARRAY(Sintesi!$C$9))+(_xlfn.ANCHORARRAY(Sintesi!$C$9)&gt;_xlfn.ANCHORARRAY(Sintesi!$C$10))*(A286&lt;=_xlfn.ANCHORARRAY(Sintesi!$C$10))+(_xlfn.ANCHORARRAY(Sintesi!$C$9)&lt;_xlfn.ANCHORARRAY(Sintesi!$C$10))*(A286&gt;=_xlfn.ANCHORARRAY(Sintesi!$C$9))*(A286&lt;=_xlfn.ANCHORARRAY(Sintesi!$C$10)),0)),0),1,IF(L287&gt;=_xlfn.IFNA(INDEX(_xlfn.ANCHORARRAY(Sintesi!$C$18),1,MATCH(1,(_xlfn.ANCHORARRAY(Sintesi!$C$9)&gt;_xlfn.ANCHORARRAY(Sintesi!$C$10))*(A286&gt;=_xlfn.ANCHORARRAY(Sintesi!$C$9))+(_xlfn.ANCHORARRAY(Sintesi!$C$9)&gt;_xlfn.ANCHORARRAY(Sintesi!$C$10))*(A286&lt;=_xlfn.ANCHORARRAY(Sintesi!$C$10))+(_xlfn.ANCHORARRAY(Sintesi!$C$9)&lt;_xlfn.ANCHORARRAY(Sintesi!$C$10))*(A286&gt;=_xlfn.ANCHORARRAY(Sintesi!$C$9))*(A286&lt;=_xlfn.ANCHORARRAY(Sintesi!$C$10)),0)),0),0,1-(L287-_xlfn.IFNA(INDEX(_xlfn.ANCHORARRAY(Sintesi!$C$17),1,MATCH(1,(_xlfn.ANCHORARRAY(Sintesi!$C$9)&gt;_xlfn.ANCHORARRAY(Sintesi!$C$10))*(A286&gt;=_xlfn.ANCHORARRAY(Sintesi!$C$9))+(_xlfn.ANCHORARRAY(Sintesi!$C$9)&gt;_xlfn.ANCHORARRAY(Sintesi!$C$10))*(A286&lt;=_xlfn.ANCHORARRAY(Sintesi!$C$10))+(_xlfn.ANCHORARRAY(Sintesi!$C$9)&lt;_xlfn.ANCHORARRAY(Sintesi!$C$10))*(A286&gt;=_xlfn.ANCHORARRAY(Sintesi!$C$9))*(A286&lt;=_xlfn.ANCHORARRAY(Sintesi!$C$10)),0)),0))/(_xlfn.IFNA(INDEX(_xlfn.ANCHORARRAY(Sintesi!$C$18),1,MATCH(1,(_xlfn.ANCHORARRAY(Sintesi!$C$9)&gt;_xlfn.ANCHORARRAY(Sintesi!$C$10))*(A286&gt;=_xlfn.ANCHORARRAY(Sintesi!$C$9))+(_xlfn.ANCHORARRAY(Sintesi!$C$9)&gt;_xlfn.ANCHORARRAY(Sintesi!$C$10))*(A286&lt;=_xlfn.ANCHORARRAY(Sintesi!$C$10))+(_xlfn.ANCHORARRAY(Sintesi!$C$9)&lt;_xlfn.ANCHORARRAY(Sintesi!$C$10))*(A286&gt;=_xlfn.ANCHORARRAY(Sintesi!$C$9))*(A286&lt;=_xlfn.ANCHORARRAY(Sintesi!$C$10)),0)),0)-_xlfn.IFNA(INDEX(_xlfn.ANCHORARRAY(Sintesi!$C$17),1,MATCH(1,(_xlfn.ANCHORARRAY(Sintesi!$C$9)&gt;_xlfn.ANCHORARRAY(Sintesi!$C$10))*(A286&gt;=_xlfn.ANCHORARRAY(Sintesi!$C$9))+(_xlfn.ANCHORARRAY(Sintesi!$C$9)&gt;_xlfn.ANCHORARRAY(Sintesi!$C$10))*(A286&lt;=_xlfn.ANCHORARRAY(Sintesi!$C$10))+(_xlfn.ANCHORARRAY(Sintesi!$C$9)&lt;_xlfn.ANCHORARRAY(Sintesi!$C$10))*(A286&gt;=_xlfn.ANCHORARRAY(Sintesi!$C$9))*(A286&lt;=_xlfn.ANCHORARRAY(Sintesi!$C$10)),0)),0)))),0)</f>
        <v>0</v>
      </c>
    </row>
    <row r="288" spans="1:13">
      <c r="A288" s="1">
        <f>'Paste cell here'!A288</f>
        <v>287</v>
      </c>
      <c r="B288" s="2">
        <f>DATE(Sintesi!$C$4-1,12,31)+A288</f>
        <v>44483</v>
      </c>
      <c r="C288" s="34">
        <f t="array" ref="C288">_xlfn.IFNA(MATCH(1,((_xlfn.ANCHORARRAY(Sintesi!$C$9)&gt;_xlfn.ANCHORARRAY(Sintesi!$C$10))*(A288&gt;=_xlfn.ANCHORARRAY(Sintesi!$C$9))+(_xlfn.ANCHORARRAY(Sintesi!$C$9)&gt;_xlfn.ANCHORARRAY(Sintesi!$C$10))*(A288&lt;=_xlfn.ANCHORARRAY(Sintesi!$C$10))+(_xlfn.ANCHORARRAY(Sintesi!$C$9)&lt;_xlfn.ANCHORARRAY(Sintesi!$C$10))*(A288&gt;=_xlfn.ANCHORARRAY(Sintesi!$C$9))*(A288&lt;=_xlfn.ANCHORARRAY(Sintesi!$C$10)))*(_xlfn.ANCHORARRAY(Sintesi!$C$15)&gt;=0)+(_xlfn.ANCHORARRAY(Sintesi!$C$15)&lt;0),0),0)</f>
        <v>0</v>
      </c>
      <c r="D288" s="1">
        <f t="array" ref="D288">IF(ISBLANK($E289),IF(ISNUMBER($E287),IF($C288&gt;0,IF(($E288=INDEX(_xlfn.ANCHORARRAY(Sintesi!$C$14),1,$C288))*(INDEX(_xlfn.ANCHORARRAY(Sintesi!$C$15),1,$C288)&gt;0),0,IF(($E288=INDEX(_xlfn.ANCHORARRAY(Sintesi!$C$14),1,$C288))*(INDEX(_xlfn.ANCHORARRAY(Sintesi!$C$15),1,$C288)&lt;0)+($E288&gt;=$E287)*($E288&lt;=INDEX($E:$E,MATCH(TRUE,INDEX((ISNUMBER($E:$E)),0),0)))*($E288&gt;INDEX(_xlfn.ANCHORARRAY(Sintesi!$C$14),1,$C288))*($E288&lt;=INDEX(_xlfn.ANCHORARRAY(Sintesi!$C$15),1,$C288))*(INDEX(_xlfn.ANCHORARRAY(Sintesi!$C$15),1,$C288)&gt;0),1,IF(($E288&gt;=$E287)*($E288&lt;=INDEX($E:$E,MATCH(TRUE,INDEX((ISNUMBER($E:$E)),0),0)))*($E288&gt;INDEX(_xlfn.ANCHORARRAY(Sintesi!$C$14),1,$C288))*($E288&lt;INDEX(_xlfn.ANCHORARRAY(Sintesi!$C$16),1,$C288))*(INDEX(_xlfn.ANCHORARRAY(Sintesi!$C$15),1,$C288)&lt;0)+($E288&gt;=$E287)*($E288&lt;=INDEX($E:$E,MATCH(TRUE,INDEX((ISNUMBER($E:$E)),0),0)))*($E288&gt;INDEX(_xlfn.ANCHORARRAY(Sintesi!$C$15),1,$C288))*($E288&lt;INDEX(_xlfn.ANCHORARRAY(Sintesi!$C$16),1,$C288))*(INDEX(_xlfn.ANCHORARRAY(Sintesi!$C$15),1,$C288)&gt;0),2,IF($E288=(INDEX(_xlfn.ANCHORARRAY(Sintesi!$C$16),1,$C288)),3,4)))),0),IF($C288&gt;0,IF(($E288=INDEX(_xlfn.ANCHORARRAY(Sintesi!$C$14),1,$C288))*(INDEX(_xlfn.ANCHORARRAY(Sintesi!$C$15),1,$C288)&gt;0),0,IF(($E288=INDEX(_xlfn.ANCHORARRAY(Sintesi!$C$14),1,$C288))*(INDEX(_xlfn.ANCHORARRAY(Sintesi!$C$15),1,$C288)&lt;0)+($E288&gt;=LOOKUP(2,1/($E:$E&lt;&gt;""),$E:$E))*($E288&lt;=INDEX($E:$E,MATCH(TRUE,INDEX((ISNUMBER($E:$E)),0),0)))*($E288&gt;INDEX(_xlfn.ANCHORARRAY(Sintesi!$C$14),1,$C288))*($E288&lt;=INDEX(_xlfn.ANCHORARRAY(Sintesi!$C$15),1,$C288))*(INDEX(_xlfn.ANCHORARRAY(Sintesi!$C$15),1,$C288)&gt;0),1,IF(($E288&gt;=LOOKUP(2,1/($E:$E&lt;&gt;""),$E:$E))*($E288&lt;=INDEX($E:$E,MATCH(TRUE,INDEX((ISNUMBER($E:$E)),0),0)))*($E288&gt;INDEX(_xlfn.ANCHORARRAY(Sintesi!$C$14),1,$C288))*($E288&lt;INDEX(_xlfn.ANCHORARRAY(Sintesi!$C$16),1,$C288))*(INDEX(_xlfn.ANCHORARRAY(Sintesi!$C$15),1,$C288)&lt;0)+($E288&gt;=LOOKUP(2,1/($E:$E&lt;&gt;""),$E:$E))*($E288&lt;=INDEX($E:$E,MATCH(TRUE,INDEX((ISNUMBER($E:$E)),0),0)))*($E288&gt;INDEX(_xlfn.ANCHORARRAY(Sintesi!$C$15),1,$C288))*($E288&lt;INDEX(_xlfn.ANCHORARRAY(Sintesi!$C$16),1,$C288))*(INDEX(_xlfn.ANCHORARRAY(Sintesi!$C$15),1,$C288)&gt;0),2,IF($E288=(INDEX(_xlfn.ANCHORARRAY(Sintesi!$C$16),1,$C288)),3,4)))),0)),IF(ISNUMBER($E287),IF($C288&gt;0,IF(($E288=INDEX(_xlfn.ANCHORARRAY(Sintesi!$C$14),1,$C288))*(INDEX(_xlfn.ANCHORARRAY(Sintesi!$C$15),1,$C288)&gt;0),0,IF(($E288=INDEX(_xlfn.ANCHORARRAY(Sintesi!$C$14),1,$C288))*(INDEX(_xlfn.ANCHORARRAY(Sintesi!$C$15),1,$C288)&lt;0)+($E288&gt;=$E287)*($E288&lt;=$E289)*($E288&gt;INDEX(_xlfn.ANCHORARRAY(Sintesi!$C$14),1,$C288))*($E288&lt;=INDEX(_xlfn.ANCHORARRAY(Sintesi!$C$15),1,$C288))*(INDEX(_xlfn.ANCHORARRAY(Sintesi!$C$15),1,$C288)&gt;0),1,IF(($E288&gt;=$E287)*($E288&lt;=$E289)*($E288&gt;INDEX(_xlfn.ANCHORARRAY(Sintesi!$C$14),1,$C288))*($E288&lt;INDEX(_xlfn.ANCHORARRAY(Sintesi!$C$16),1,$C288))*(INDEX(_xlfn.ANCHORARRAY(Sintesi!$C$15),1,$C288)&lt;0)+($E288&gt;=$E287)*($E288&lt;=$E289)*($E288&gt;INDEX(_xlfn.ANCHORARRAY(Sintesi!$C$15),1,$C288))*($E288&lt;INDEX(_xlfn.ANCHORARRAY(Sintesi!$C$16),1,$C288))*(INDEX(_xlfn.ANCHORARRAY(Sintesi!$C$15),1,$C288)&gt;0),2,IF($E288=(INDEX(_xlfn.ANCHORARRAY(Sintesi!$C$16),1,$C288)),3,4)))),0),IF($C288&gt;0,IF(($E288=INDEX(_xlfn.ANCHORARRAY(Sintesi!$C$14),1,$C288))*(INDEX(_xlfn.ANCHORARRAY(Sintesi!$C$15),1,$C288)&gt;0),0,IF(($E288=INDEX(_xlfn.ANCHORARRAY(Sintesi!$C$14),1,$C288))*(INDEX(_xlfn.ANCHORARRAY(Sintesi!$C$15),1,$C288)&lt;0)+($E288&gt;=LOOKUP(2,1/($E:$E&lt;&gt;""),$E:$E))*($E288&lt;=$E289)*($E288&gt;INDEX(_xlfn.ANCHORARRAY(Sintesi!$C$14),1,$C288))*($E288&lt;=INDEX(_xlfn.ANCHORARRAY(Sintesi!$C$15),1,$C288))*(INDEX(_xlfn.ANCHORARRAY(Sintesi!$C$15),1,$C288)&gt;0),1,IF(($E288&gt;=LOOKUP(2,1/($E:$E&lt;&gt;""),$E:$E))*($E288&lt;=$E289)*($E288&gt;INDEX(_xlfn.ANCHORARRAY(Sintesi!$C$14),1,$C288))*($E288&lt;INDEX(_xlfn.ANCHORARRAY(Sintesi!$C$16),1,$C288))*(INDEX(_xlfn.ANCHORARRAY(Sintesi!$C$15),1,$C288)&lt;0)+($E288&gt;=LOOKUP(2,1/($E:$E&lt;&gt;""),$E:$E))*($E288&lt;=$E289)*($E288&gt;INDEX(_xlfn.ANCHORARRAY(Sintesi!$C$15),1,$C288))*($E288&lt;INDEX(_xlfn.ANCHORARRAY(Sintesi!$C$16),1,$C288))*(INDEX(_xlfn.ANCHORARRAY(Sintesi!$C$15),1,$C288)&gt;0),2,IF($E288=(INDEX(_xlfn.ANCHORARRAY(Sintesi!$C$16),1,$C288)),3,4)))),0)))</f>
        <v>0</v>
      </c>
      <c r="E288" s="1">
        <f>'Paste cell here'!F288</f>
        <v>0</v>
      </c>
      <c r="F288" s="1">
        <f>'Paste cell here'!C288</f>
        <v>17.839999999999748</v>
      </c>
      <c r="G288" s="1">
        <f>'Paste cell here'!D288</f>
        <v>6.7199999999999083</v>
      </c>
      <c r="H288" s="1">
        <f>'Paste cell here'!E288</f>
        <v>1.5604602084882226</v>
      </c>
      <c r="I288" s="1">
        <f>'Paste cell here'!X288</f>
        <v>0</v>
      </c>
      <c r="J288" s="1">
        <f>'Paste cell here'!Y288+'Paste cell here'!S288</f>
        <v>0</v>
      </c>
      <c r="K288" s="1">
        <f t="shared" si="8"/>
        <v>0</v>
      </c>
      <c r="L288" s="1">
        <f t="shared" si="9"/>
        <v>13.808110028680201</v>
      </c>
      <c r="M288" s="1">
        <f t="array" ref="M288">IF(AND(A288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288&gt;=_xlfn.ANCHORARRAY(Sintesi!$C$9))+(_xlfn.ANCHORARRAY(Sintesi!$C$9)&gt;_xlfn.ANCHORARRAY(Sintesi!$C$10))*(A288&lt;=_xlfn.ANCHORARRAY(Sintesi!$C$10))+(_xlfn.ANCHORARRAY(Sintesi!$C$9)&lt;_xlfn.ANCHORARRAY(Sintesi!$C$10))*(A288&gt;=_xlfn.ANCHORARRAY(Sintesi!$C$9))*(A288&lt;=_xlfn.ANCHORARRAY(Sintesi!$C$10)),0)),0),A288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289&gt;=_xlfn.ANCHORARRAY(Sintesi!$C$9))+(_xlfn.ANCHORARRAY(Sintesi!$C$9)&gt;_xlfn.ANCHORARRAY(Sintesi!$C$10))*(A289&lt;=_xlfn.ANCHORARRAY(Sintesi!$C$10))+(_xlfn.ANCHORARRAY(Sintesi!$C$9)&lt;_xlfn.ANCHORARRAY(Sintesi!$C$10))*(A289&gt;=_xlfn.ANCHORARRAY(Sintesi!$C$9))*(A289&lt;=_xlfn.ANCHORARRAY(Sintesi!$C$10)),0)),0)),IF(L288&lt;_xlfn.IFNA(INDEX(_xlfn.ANCHORARRAY(Sintesi!$C$17),1,MATCH(1,(_xlfn.ANCHORARRAY(Sintesi!$C$9)&gt;_xlfn.ANCHORARRAY(Sintesi!$C$10))*(A287&gt;=_xlfn.ANCHORARRAY(Sintesi!$C$9))+(_xlfn.ANCHORARRAY(Sintesi!$C$9)&gt;_xlfn.ANCHORARRAY(Sintesi!$C$10))*(A287&lt;=_xlfn.ANCHORARRAY(Sintesi!$C$10))+(_xlfn.ANCHORARRAY(Sintesi!$C$9)&lt;_xlfn.ANCHORARRAY(Sintesi!$C$10))*(A287&gt;=_xlfn.ANCHORARRAY(Sintesi!$C$9))*(A287&lt;=_xlfn.ANCHORARRAY(Sintesi!$C$10)),0)),0),1,IF(L288&gt;=_xlfn.IFNA(INDEX(_xlfn.ANCHORARRAY(Sintesi!$C$18),1,MATCH(1,(_xlfn.ANCHORARRAY(Sintesi!$C$9)&gt;_xlfn.ANCHORARRAY(Sintesi!$C$10))*(A287&gt;=_xlfn.ANCHORARRAY(Sintesi!$C$9))+(_xlfn.ANCHORARRAY(Sintesi!$C$9)&gt;_xlfn.ANCHORARRAY(Sintesi!$C$10))*(A287&lt;=_xlfn.ANCHORARRAY(Sintesi!$C$10))+(_xlfn.ANCHORARRAY(Sintesi!$C$9)&lt;_xlfn.ANCHORARRAY(Sintesi!$C$10))*(A287&gt;=_xlfn.ANCHORARRAY(Sintesi!$C$9))*(A287&lt;=_xlfn.ANCHORARRAY(Sintesi!$C$10)),0)),0),0,1-(L288-_xlfn.IFNA(INDEX(_xlfn.ANCHORARRAY(Sintesi!$C$17),1,MATCH(1,(_xlfn.ANCHORARRAY(Sintesi!$C$9)&gt;_xlfn.ANCHORARRAY(Sintesi!$C$10))*(A287&gt;=_xlfn.ANCHORARRAY(Sintesi!$C$9))+(_xlfn.ANCHORARRAY(Sintesi!$C$9)&gt;_xlfn.ANCHORARRAY(Sintesi!$C$10))*(A287&lt;=_xlfn.ANCHORARRAY(Sintesi!$C$10))+(_xlfn.ANCHORARRAY(Sintesi!$C$9)&lt;_xlfn.ANCHORARRAY(Sintesi!$C$10))*(A287&gt;=_xlfn.ANCHORARRAY(Sintesi!$C$9))*(A287&lt;=_xlfn.ANCHORARRAY(Sintesi!$C$10)),0)),0))/(_xlfn.IFNA(INDEX(_xlfn.ANCHORARRAY(Sintesi!$C$18),1,MATCH(1,(_xlfn.ANCHORARRAY(Sintesi!$C$9)&gt;_xlfn.ANCHORARRAY(Sintesi!$C$10))*(A287&gt;=_xlfn.ANCHORARRAY(Sintesi!$C$9))+(_xlfn.ANCHORARRAY(Sintesi!$C$9)&gt;_xlfn.ANCHORARRAY(Sintesi!$C$10))*(A287&lt;=_xlfn.ANCHORARRAY(Sintesi!$C$10))+(_xlfn.ANCHORARRAY(Sintesi!$C$9)&lt;_xlfn.ANCHORARRAY(Sintesi!$C$10))*(A287&gt;=_xlfn.ANCHORARRAY(Sintesi!$C$9))*(A287&lt;=_xlfn.ANCHORARRAY(Sintesi!$C$10)),0)),0)-_xlfn.IFNA(INDEX(_xlfn.ANCHORARRAY(Sintesi!$C$17),1,MATCH(1,(_xlfn.ANCHORARRAY(Sintesi!$C$9)&gt;_xlfn.ANCHORARRAY(Sintesi!$C$10))*(A287&gt;=_xlfn.ANCHORARRAY(Sintesi!$C$9))+(_xlfn.ANCHORARRAY(Sintesi!$C$9)&gt;_xlfn.ANCHORARRAY(Sintesi!$C$10))*(A287&lt;=_xlfn.ANCHORARRAY(Sintesi!$C$10))+(_xlfn.ANCHORARRAY(Sintesi!$C$9)&lt;_xlfn.ANCHORARRAY(Sintesi!$C$10))*(A287&gt;=_xlfn.ANCHORARRAY(Sintesi!$C$9))*(A287&lt;=_xlfn.ANCHORARRAY(Sintesi!$C$10)),0)),0)))),0)</f>
        <v>0</v>
      </c>
    </row>
    <row r="289" spans="1:13">
      <c r="A289" s="1">
        <f>'Paste cell here'!A289</f>
        <v>288</v>
      </c>
      <c r="B289" s="2">
        <f>DATE(Sintesi!$C$4-1,12,31)+A289</f>
        <v>44484</v>
      </c>
      <c r="C289" s="34">
        <f t="array" ref="C289">_xlfn.IFNA(MATCH(1,((_xlfn.ANCHORARRAY(Sintesi!$C$9)&gt;_xlfn.ANCHORARRAY(Sintesi!$C$10))*(A289&gt;=_xlfn.ANCHORARRAY(Sintesi!$C$9))+(_xlfn.ANCHORARRAY(Sintesi!$C$9)&gt;_xlfn.ANCHORARRAY(Sintesi!$C$10))*(A289&lt;=_xlfn.ANCHORARRAY(Sintesi!$C$10))+(_xlfn.ANCHORARRAY(Sintesi!$C$9)&lt;_xlfn.ANCHORARRAY(Sintesi!$C$10))*(A289&gt;=_xlfn.ANCHORARRAY(Sintesi!$C$9))*(A289&lt;=_xlfn.ANCHORARRAY(Sintesi!$C$10)))*(_xlfn.ANCHORARRAY(Sintesi!$C$15)&gt;=0)+(_xlfn.ANCHORARRAY(Sintesi!$C$15)&lt;0),0),0)</f>
        <v>0</v>
      </c>
      <c r="D289" s="1">
        <f t="array" ref="D289">IF(ISBLANK($E290),IF(ISNUMBER($E288),IF($C289&gt;0,IF(($E289=INDEX(_xlfn.ANCHORARRAY(Sintesi!$C$14),1,$C289))*(INDEX(_xlfn.ANCHORARRAY(Sintesi!$C$15),1,$C289)&gt;0),0,IF(($E289=INDEX(_xlfn.ANCHORARRAY(Sintesi!$C$14),1,$C289))*(INDEX(_xlfn.ANCHORARRAY(Sintesi!$C$15),1,$C289)&lt;0)+($E289&gt;=$E288)*($E289&lt;=INDEX($E:$E,MATCH(TRUE,INDEX((ISNUMBER($E:$E)),0),0)))*($E289&gt;INDEX(_xlfn.ANCHORARRAY(Sintesi!$C$14),1,$C289))*($E289&lt;=INDEX(_xlfn.ANCHORARRAY(Sintesi!$C$15),1,$C289))*(INDEX(_xlfn.ANCHORARRAY(Sintesi!$C$15),1,$C289)&gt;0),1,IF(($E289&gt;=$E288)*($E289&lt;=INDEX($E:$E,MATCH(TRUE,INDEX((ISNUMBER($E:$E)),0),0)))*($E289&gt;INDEX(_xlfn.ANCHORARRAY(Sintesi!$C$14),1,$C289))*($E289&lt;INDEX(_xlfn.ANCHORARRAY(Sintesi!$C$16),1,$C289))*(INDEX(_xlfn.ANCHORARRAY(Sintesi!$C$15),1,$C289)&lt;0)+($E289&gt;=$E288)*($E289&lt;=INDEX($E:$E,MATCH(TRUE,INDEX((ISNUMBER($E:$E)),0),0)))*($E289&gt;INDEX(_xlfn.ANCHORARRAY(Sintesi!$C$15),1,$C289))*($E289&lt;INDEX(_xlfn.ANCHORARRAY(Sintesi!$C$16),1,$C289))*(INDEX(_xlfn.ANCHORARRAY(Sintesi!$C$15),1,$C289)&gt;0),2,IF($E289=(INDEX(_xlfn.ANCHORARRAY(Sintesi!$C$16),1,$C289)),3,4)))),0),IF($C289&gt;0,IF(($E289=INDEX(_xlfn.ANCHORARRAY(Sintesi!$C$14),1,$C289))*(INDEX(_xlfn.ANCHORARRAY(Sintesi!$C$15),1,$C289)&gt;0),0,IF(($E289=INDEX(_xlfn.ANCHORARRAY(Sintesi!$C$14),1,$C289))*(INDEX(_xlfn.ANCHORARRAY(Sintesi!$C$15),1,$C289)&lt;0)+($E289&gt;=LOOKUP(2,1/($E:$E&lt;&gt;""),$E:$E))*($E289&lt;=INDEX($E:$E,MATCH(TRUE,INDEX((ISNUMBER($E:$E)),0),0)))*($E289&gt;INDEX(_xlfn.ANCHORARRAY(Sintesi!$C$14),1,$C289))*($E289&lt;=INDEX(_xlfn.ANCHORARRAY(Sintesi!$C$15),1,$C289))*(INDEX(_xlfn.ANCHORARRAY(Sintesi!$C$15),1,$C289)&gt;0),1,IF(($E289&gt;=LOOKUP(2,1/($E:$E&lt;&gt;""),$E:$E))*($E289&lt;=INDEX($E:$E,MATCH(TRUE,INDEX((ISNUMBER($E:$E)),0),0)))*($E289&gt;INDEX(_xlfn.ANCHORARRAY(Sintesi!$C$14),1,$C289))*($E289&lt;INDEX(_xlfn.ANCHORARRAY(Sintesi!$C$16),1,$C289))*(INDEX(_xlfn.ANCHORARRAY(Sintesi!$C$15),1,$C289)&lt;0)+($E289&gt;=LOOKUP(2,1/($E:$E&lt;&gt;""),$E:$E))*($E289&lt;=INDEX($E:$E,MATCH(TRUE,INDEX((ISNUMBER($E:$E)),0),0)))*($E289&gt;INDEX(_xlfn.ANCHORARRAY(Sintesi!$C$15),1,$C289))*($E289&lt;INDEX(_xlfn.ANCHORARRAY(Sintesi!$C$16),1,$C289))*(INDEX(_xlfn.ANCHORARRAY(Sintesi!$C$15),1,$C289)&gt;0),2,IF($E289=(INDEX(_xlfn.ANCHORARRAY(Sintesi!$C$16),1,$C289)),3,4)))),0)),IF(ISNUMBER($E288),IF($C289&gt;0,IF(($E289=INDEX(_xlfn.ANCHORARRAY(Sintesi!$C$14),1,$C289))*(INDEX(_xlfn.ANCHORARRAY(Sintesi!$C$15),1,$C289)&gt;0),0,IF(($E289=INDEX(_xlfn.ANCHORARRAY(Sintesi!$C$14),1,$C289))*(INDEX(_xlfn.ANCHORARRAY(Sintesi!$C$15),1,$C289)&lt;0)+($E289&gt;=$E288)*($E289&lt;=$E290)*($E289&gt;INDEX(_xlfn.ANCHORARRAY(Sintesi!$C$14),1,$C289))*($E289&lt;=INDEX(_xlfn.ANCHORARRAY(Sintesi!$C$15),1,$C289))*(INDEX(_xlfn.ANCHORARRAY(Sintesi!$C$15),1,$C289)&gt;0),1,IF(($E289&gt;=$E288)*($E289&lt;=$E290)*($E289&gt;INDEX(_xlfn.ANCHORARRAY(Sintesi!$C$14),1,$C289))*($E289&lt;INDEX(_xlfn.ANCHORARRAY(Sintesi!$C$16),1,$C289))*(INDEX(_xlfn.ANCHORARRAY(Sintesi!$C$15),1,$C289)&lt;0)+($E289&gt;=$E288)*($E289&lt;=$E290)*($E289&gt;INDEX(_xlfn.ANCHORARRAY(Sintesi!$C$15),1,$C289))*($E289&lt;INDEX(_xlfn.ANCHORARRAY(Sintesi!$C$16),1,$C289))*(INDEX(_xlfn.ANCHORARRAY(Sintesi!$C$15),1,$C289)&gt;0),2,IF($E289=(INDEX(_xlfn.ANCHORARRAY(Sintesi!$C$16),1,$C289)),3,4)))),0),IF($C289&gt;0,IF(($E289=INDEX(_xlfn.ANCHORARRAY(Sintesi!$C$14),1,$C289))*(INDEX(_xlfn.ANCHORARRAY(Sintesi!$C$15),1,$C289)&gt;0),0,IF(($E289=INDEX(_xlfn.ANCHORARRAY(Sintesi!$C$14),1,$C289))*(INDEX(_xlfn.ANCHORARRAY(Sintesi!$C$15),1,$C289)&lt;0)+($E289&gt;=LOOKUP(2,1/($E:$E&lt;&gt;""),$E:$E))*($E289&lt;=$E290)*($E289&gt;INDEX(_xlfn.ANCHORARRAY(Sintesi!$C$14),1,$C289))*($E289&lt;=INDEX(_xlfn.ANCHORARRAY(Sintesi!$C$15),1,$C289))*(INDEX(_xlfn.ANCHORARRAY(Sintesi!$C$15),1,$C289)&gt;0),1,IF(($E289&gt;=LOOKUP(2,1/($E:$E&lt;&gt;""),$E:$E))*($E289&lt;=$E290)*($E289&gt;INDEX(_xlfn.ANCHORARRAY(Sintesi!$C$14),1,$C289))*($E289&lt;INDEX(_xlfn.ANCHORARRAY(Sintesi!$C$16),1,$C289))*(INDEX(_xlfn.ANCHORARRAY(Sintesi!$C$15),1,$C289)&lt;0)+($E289&gt;=LOOKUP(2,1/($E:$E&lt;&gt;""),$E:$E))*($E289&lt;=$E290)*($E289&gt;INDEX(_xlfn.ANCHORARRAY(Sintesi!$C$15),1,$C289))*($E289&lt;INDEX(_xlfn.ANCHORARRAY(Sintesi!$C$16),1,$C289))*(INDEX(_xlfn.ANCHORARRAY(Sintesi!$C$15),1,$C289)&gt;0),2,IF($E289=(INDEX(_xlfn.ANCHORARRAY(Sintesi!$C$16),1,$C289)),3,4)))),0)))</f>
        <v>0</v>
      </c>
      <c r="E289" s="1">
        <f>'Paste cell here'!F289</f>
        <v>0</v>
      </c>
      <c r="F289" s="1">
        <f>'Paste cell here'!C289</f>
        <v>18.059999999999736</v>
      </c>
      <c r="G289" s="1">
        <f>'Paste cell here'!D289</f>
        <v>5.2399999999999363</v>
      </c>
      <c r="H289" s="1">
        <f>'Paste cell here'!E289</f>
        <v>1.3721520821718844</v>
      </c>
      <c r="I289" s="1">
        <f>'Paste cell here'!X289</f>
        <v>0</v>
      </c>
      <c r="J289" s="1">
        <f>'Paste cell here'!Y289+'Paste cell here'!S289</f>
        <v>0</v>
      </c>
      <c r="K289" s="1">
        <f t="shared" si="8"/>
        <v>0</v>
      </c>
      <c r="L289" s="1">
        <f t="shared" si="9"/>
        <v>13.411723971913714</v>
      </c>
      <c r="M289" s="1">
        <f t="array" ref="M289">IF(AND(A289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289&gt;=_xlfn.ANCHORARRAY(Sintesi!$C$9))+(_xlfn.ANCHORARRAY(Sintesi!$C$9)&gt;_xlfn.ANCHORARRAY(Sintesi!$C$10))*(A289&lt;=_xlfn.ANCHORARRAY(Sintesi!$C$10))+(_xlfn.ANCHORARRAY(Sintesi!$C$9)&lt;_xlfn.ANCHORARRAY(Sintesi!$C$10))*(A289&gt;=_xlfn.ANCHORARRAY(Sintesi!$C$9))*(A289&lt;=_xlfn.ANCHORARRAY(Sintesi!$C$10)),0)),0),A289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290&gt;=_xlfn.ANCHORARRAY(Sintesi!$C$9))+(_xlfn.ANCHORARRAY(Sintesi!$C$9)&gt;_xlfn.ANCHORARRAY(Sintesi!$C$10))*(A290&lt;=_xlfn.ANCHORARRAY(Sintesi!$C$10))+(_xlfn.ANCHORARRAY(Sintesi!$C$9)&lt;_xlfn.ANCHORARRAY(Sintesi!$C$10))*(A290&gt;=_xlfn.ANCHORARRAY(Sintesi!$C$9))*(A290&lt;=_xlfn.ANCHORARRAY(Sintesi!$C$10)),0)),0)),IF(L289&lt;_xlfn.IFNA(INDEX(_xlfn.ANCHORARRAY(Sintesi!$C$17),1,MATCH(1,(_xlfn.ANCHORARRAY(Sintesi!$C$9)&gt;_xlfn.ANCHORARRAY(Sintesi!$C$10))*(A288&gt;=_xlfn.ANCHORARRAY(Sintesi!$C$9))+(_xlfn.ANCHORARRAY(Sintesi!$C$9)&gt;_xlfn.ANCHORARRAY(Sintesi!$C$10))*(A288&lt;=_xlfn.ANCHORARRAY(Sintesi!$C$10))+(_xlfn.ANCHORARRAY(Sintesi!$C$9)&lt;_xlfn.ANCHORARRAY(Sintesi!$C$10))*(A288&gt;=_xlfn.ANCHORARRAY(Sintesi!$C$9))*(A288&lt;=_xlfn.ANCHORARRAY(Sintesi!$C$10)),0)),0),1,IF(L289&gt;=_xlfn.IFNA(INDEX(_xlfn.ANCHORARRAY(Sintesi!$C$18),1,MATCH(1,(_xlfn.ANCHORARRAY(Sintesi!$C$9)&gt;_xlfn.ANCHORARRAY(Sintesi!$C$10))*(A288&gt;=_xlfn.ANCHORARRAY(Sintesi!$C$9))+(_xlfn.ANCHORARRAY(Sintesi!$C$9)&gt;_xlfn.ANCHORARRAY(Sintesi!$C$10))*(A288&lt;=_xlfn.ANCHORARRAY(Sintesi!$C$10))+(_xlfn.ANCHORARRAY(Sintesi!$C$9)&lt;_xlfn.ANCHORARRAY(Sintesi!$C$10))*(A288&gt;=_xlfn.ANCHORARRAY(Sintesi!$C$9))*(A288&lt;=_xlfn.ANCHORARRAY(Sintesi!$C$10)),0)),0),0,1-(L289-_xlfn.IFNA(INDEX(_xlfn.ANCHORARRAY(Sintesi!$C$17),1,MATCH(1,(_xlfn.ANCHORARRAY(Sintesi!$C$9)&gt;_xlfn.ANCHORARRAY(Sintesi!$C$10))*(A288&gt;=_xlfn.ANCHORARRAY(Sintesi!$C$9))+(_xlfn.ANCHORARRAY(Sintesi!$C$9)&gt;_xlfn.ANCHORARRAY(Sintesi!$C$10))*(A288&lt;=_xlfn.ANCHORARRAY(Sintesi!$C$10))+(_xlfn.ANCHORARRAY(Sintesi!$C$9)&lt;_xlfn.ANCHORARRAY(Sintesi!$C$10))*(A288&gt;=_xlfn.ANCHORARRAY(Sintesi!$C$9))*(A288&lt;=_xlfn.ANCHORARRAY(Sintesi!$C$10)),0)),0))/(_xlfn.IFNA(INDEX(_xlfn.ANCHORARRAY(Sintesi!$C$18),1,MATCH(1,(_xlfn.ANCHORARRAY(Sintesi!$C$9)&gt;_xlfn.ANCHORARRAY(Sintesi!$C$10))*(A288&gt;=_xlfn.ANCHORARRAY(Sintesi!$C$9))+(_xlfn.ANCHORARRAY(Sintesi!$C$9)&gt;_xlfn.ANCHORARRAY(Sintesi!$C$10))*(A288&lt;=_xlfn.ANCHORARRAY(Sintesi!$C$10))+(_xlfn.ANCHORARRAY(Sintesi!$C$9)&lt;_xlfn.ANCHORARRAY(Sintesi!$C$10))*(A288&gt;=_xlfn.ANCHORARRAY(Sintesi!$C$9))*(A288&lt;=_xlfn.ANCHORARRAY(Sintesi!$C$10)),0)),0)-_xlfn.IFNA(INDEX(_xlfn.ANCHORARRAY(Sintesi!$C$17),1,MATCH(1,(_xlfn.ANCHORARRAY(Sintesi!$C$9)&gt;_xlfn.ANCHORARRAY(Sintesi!$C$10))*(A288&gt;=_xlfn.ANCHORARRAY(Sintesi!$C$9))+(_xlfn.ANCHORARRAY(Sintesi!$C$9)&gt;_xlfn.ANCHORARRAY(Sintesi!$C$10))*(A288&lt;=_xlfn.ANCHORARRAY(Sintesi!$C$10))+(_xlfn.ANCHORARRAY(Sintesi!$C$9)&lt;_xlfn.ANCHORARRAY(Sintesi!$C$10))*(A288&gt;=_xlfn.ANCHORARRAY(Sintesi!$C$9))*(A288&lt;=_xlfn.ANCHORARRAY(Sintesi!$C$10)),0)),0)))),0)</f>
        <v>0</v>
      </c>
    </row>
    <row r="290" spans="1:13">
      <c r="A290" s="1">
        <f>'Paste cell here'!A290</f>
        <v>289</v>
      </c>
      <c r="B290" s="2">
        <f>DATE(Sintesi!$C$4-1,12,31)+A290</f>
        <v>44485</v>
      </c>
      <c r="C290" s="34">
        <f t="array" ref="C290">_xlfn.IFNA(MATCH(1,((_xlfn.ANCHORARRAY(Sintesi!$C$9)&gt;_xlfn.ANCHORARRAY(Sintesi!$C$10))*(A290&gt;=_xlfn.ANCHORARRAY(Sintesi!$C$9))+(_xlfn.ANCHORARRAY(Sintesi!$C$9)&gt;_xlfn.ANCHORARRAY(Sintesi!$C$10))*(A290&lt;=_xlfn.ANCHORARRAY(Sintesi!$C$10))+(_xlfn.ANCHORARRAY(Sintesi!$C$9)&lt;_xlfn.ANCHORARRAY(Sintesi!$C$10))*(A290&gt;=_xlfn.ANCHORARRAY(Sintesi!$C$9))*(A290&lt;=_xlfn.ANCHORARRAY(Sintesi!$C$10)))*(_xlfn.ANCHORARRAY(Sintesi!$C$15)&gt;=0)+(_xlfn.ANCHORARRAY(Sintesi!$C$15)&lt;0),0),0)</f>
        <v>0</v>
      </c>
      <c r="D290" s="1">
        <f t="array" ref="D290">IF(ISBLANK($E291),IF(ISNUMBER($E289),IF($C290&gt;0,IF(($E290=INDEX(_xlfn.ANCHORARRAY(Sintesi!$C$14),1,$C290))*(INDEX(_xlfn.ANCHORARRAY(Sintesi!$C$15),1,$C290)&gt;0),0,IF(($E290=INDEX(_xlfn.ANCHORARRAY(Sintesi!$C$14),1,$C290))*(INDEX(_xlfn.ANCHORARRAY(Sintesi!$C$15),1,$C290)&lt;0)+($E290&gt;=$E289)*($E290&lt;=INDEX($E:$E,MATCH(TRUE,INDEX((ISNUMBER($E:$E)),0),0)))*($E290&gt;INDEX(_xlfn.ANCHORARRAY(Sintesi!$C$14),1,$C290))*($E290&lt;=INDEX(_xlfn.ANCHORARRAY(Sintesi!$C$15),1,$C290))*(INDEX(_xlfn.ANCHORARRAY(Sintesi!$C$15),1,$C290)&gt;0),1,IF(($E290&gt;=$E289)*($E290&lt;=INDEX($E:$E,MATCH(TRUE,INDEX((ISNUMBER($E:$E)),0),0)))*($E290&gt;INDEX(_xlfn.ANCHORARRAY(Sintesi!$C$14),1,$C290))*($E290&lt;INDEX(_xlfn.ANCHORARRAY(Sintesi!$C$16),1,$C290))*(INDEX(_xlfn.ANCHORARRAY(Sintesi!$C$15),1,$C290)&lt;0)+($E290&gt;=$E289)*($E290&lt;=INDEX($E:$E,MATCH(TRUE,INDEX((ISNUMBER($E:$E)),0),0)))*($E290&gt;INDEX(_xlfn.ANCHORARRAY(Sintesi!$C$15),1,$C290))*($E290&lt;INDEX(_xlfn.ANCHORARRAY(Sintesi!$C$16),1,$C290))*(INDEX(_xlfn.ANCHORARRAY(Sintesi!$C$15),1,$C290)&gt;0),2,IF($E290=(INDEX(_xlfn.ANCHORARRAY(Sintesi!$C$16),1,$C290)),3,4)))),0),IF($C290&gt;0,IF(($E290=INDEX(_xlfn.ANCHORARRAY(Sintesi!$C$14),1,$C290))*(INDEX(_xlfn.ANCHORARRAY(Sintesi!$C$15),1,$C290)&gt;0),0,IF(($E290=INDEX(_xlfn.ANCHORARRAY(Sintesi!$C$14),1,$C290))*(INDEX(_xlfn.ANCHORARRAY(Sintesi!$C$15),1,$C290)&lt;0)+($E290&gt;=LOOKUP(2,1/($E:$E&lt;&gt;""),$E:$E))*($E290&lt;=INDEX($E:$E,MATCH(TRUE,INDEX((ISNUMBER($E:$E)),0),0)))*($E290&gt;INDEX(_xlfn.ANCHORARRAY(Sintesi!$C$14),1,$C290))*($E290&lt;=INDEX(_xlfn.ANCHORARRAY(Sintesi!$C$15),1,$C290))*(INDEX(_xlfn.ANCHORARRAY(Sintesi!$C$15),1,$C290)&gt;0),1,IF(($E290&gt;=LOOKUP(2,1/($E:$E&lt;&gt;""),$E:$E))*($E290&lt;=INDEX($E:$E,MATCH(TRUE,INDEX((ISNUMBER($E:$E)),0),0)))*($E290&gt;INDEX(_xlfn.ANCHORARRAY(Sintesi!$C$14),1,$C290))*($E290&lt;INDEX(_xlfn.ANCHORARRAY(Sintesi!$C$16),1,$C290))*(INDEX(_xlfn.ANCHORARRAY(Sintesi!$C$15),1,$C290)&lt;0)+($E290&gt;=LOOKUP(2,1/($E:$E&lt;&gt;""),$E:$E))*($E290&lt;=INDEX($E:$E,MATCH(TRUE,INDEX((ISNUMBER($E:$E)),0),0)))*($E290&gt;INDEX(_xlfn.ANCHORARRAY(Sintesi!$C$15),1,$C290))*($E290&lt;INDEX(_xlfn.ANCHORARRAY(Sintesi!$C$16),1,$C290))*(INDEX(_xlfn.ANCHORARRAY(Sintesi!$C$15),1,$C290)&gt;0),2,IF($E290=(INDEX(_xlfn.ANCHORARRAY(Sintesi!$C$16),1,$C290)),3,4)))),0)),IF(ISNUMBER($E289),IF($C290&gt;0,IF(($E290=INDEX(_xlfn.ANCHORARRAY(Sintesi!$C$14),1,$C290))*(INDEX(_xlfn.ANCHORARRAY(Sintesi!$C$15),1,$C290)&gt;0),0,IF(($E290=INDEX(_xlfn.ANCHORARRAY(Sintesi!$C$14),1,$C290))*(INDEX(_xlfn.ANCHORARRAY(Sintesi!$C$15),1,$C290)&lt;0)+($E290&gt;=$E289)*($E290&lt;=$E291)*($E290&gt;INDEX(_xlfn.ANCHORARRAY(Sintesi!$C$14),1,$C290))*($E290&lt;=INDEX(_xlfn.ANCHORARRAY(Sintesi!$C$15),1,$C290))*(INDEX(_xlfn.ANCHORARRAY(Sintesi!$C$15),1,$C290)&gt;0),1,IF(($E290&gt;=$E289)*($E290&lt;=$E291)*($E290&gt;INDEX(_xlfn.ANCHORARRAY(Sintesi!$C$14),1,$C290))*($E290&lt;INDEX(_xlfn.ANCHORARRAY(Sintesi!$C$16),1,$C290))*(INDEX(_xlfn.ANCHORARRAY(Sintesi!$C$15),1,$C290)&lt;0)+($E290&gt;=$E289)*($E290&lt;=$E291)*($E290&gt;INDEX(_xlfn.ANCHORARRAY(Sintesi!$C$15),1,$C290))*($E290&lt;INDEX(_xlfn.ANCHORARRAY(Sintesi!$C$16),1,$C290))*(INDEX(_xlfn.ANCHORARRAY(Sintesi!$C$15),1,$C290)&gt;0),2,IF($E290=(INDEX(_xlfn.ANCHORARRAY(Sintesi!$C$16),1,$C290)),3,4)))),0),IF($C290&gt;0,IF(($E290=INDEX(_xlfn.ANCHORARRAY(Sintesi!$C$14),1,$C290))*(INDEX(_xlfn.ANCHORARRAY(Sintesi!$C$15),1,$C290)&gt;0),0,IF(($E290=INDEX(_xlfn.ANCHORARRAY(Sintesi!$C$14),1,$C290))*(INDEX(_xlfn.ANCHORARRAY(Sintesi!$C$15),1,$C290)&lt;0)+($E290&gt;=LOOKUP(2,1/($E:$E&lt;&gt;""),$E:$E))*($E290&lt;=$E291)*($E290&gt;INDEX(_xlfn.ANCHORARRAY(Sintesi!$C$14),1,$C290))*($E290&lt;=INDEX(_xlfn.ANCHORARRAY(Sintesi!$C$15),1,$C290))*(INDEX(_xlfn.ANCHORARRAY(Sintesi!$C$15),1,$C290)&gt;0),1,IF(($E290&gt;=LOOKUP(2,1/($E:$E&lt;&gt;""),$E:$E))*($E290&lt;=$E291)*($E290&gt;INDEX(_xlfn.ANCHORARRAY(Sintesi!$C$14),1,$C290))*($E290&lt;INDEX(_xlfn.ANCHORARRAY(Sintesi!$C$16),1,$C290))*(INDEX(_xlfn.ANCHORARRAY(Sintesi!$C$15),1,$C290)&lt;0)+($E290&gt;=LOOKUP(2,1/($E:$E&lt;&gt;""),$E:$E))*($E290&lt;=$E291)*($E290&gt;INDEX(_xlfn.ANCHORARRAY(Sintesi!$C$15),1,$C290))*($E290&lt;INDEX(_xlfn.ANCHORARRAY(Sintesi!$C$16),1,$C290))*(INDEX(_xlfn.ANCHORARRAY(Sintesi!$C$15),1,$C290)&gt;0),2,IF($E290=(INDEX(_xlfn.ANCHORARRAY(Sintesi!$C$16),1,$C290)),3,4)))),0)))</f>
        <v>0</v>
      </c>
      <c r="E290" s="1">
        <f>'Paste cell here'!F290</f>
        <v>0</v>
      </c>
      <c r="F290" s="1">
        <f>'Paste cell here'!C290</f>
        <v>19.439999999999721</v>
      </c>
      <c r="G290" s="1">
        <f>'Paste cell here'!D290</f>
        <v>5.5999999999999375</v>
      </c>
      <c r="H290" s="1">
        <f>'Paste cell here'!E290</f>
        <v>1.3868122812200658</v>
      </c>
      <c r="I290" s="1">
        <f>'Paste cell here'!X290</f>
        <v>0</v>
      </c>
      <c r="J290" s="1">
        <f>'Paste cell here'!Y290+'Paste cell here'!S290</f>
        <v>0</v>
      </c>
      <c r="K290" s="1">
        <f t="shared" si="8"/>
        <v>0</v>
      </c>
      <c r="L290" s="1">
        <f t="shared" si="9"/>
        <v>14.421892337853816</v>
      </c>
      <c r="M290" s="1">
        <f t="array" ref="M290">IF(AND(A290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290&gt;=_xlfn.ANCHORARRAY(Sintesi!$C$9))+(_xlfn.ANCHORARRAY(Sintesi!$C$9)&gt;_xlfn.ANCHORARRAY(Sintesi!$C$10))*(A290&lt;=_xlfn.ANCHORARRAY(Sintesi!$C$10))+(_xlfn.ANCHORARRAY(Sintesi!$C$9)&lt;_xlfn.ANCHORARRAY(Sintesi!$C$10))*(A290&gt;=_xlfn.ANCHORARRAY(Sintesi!$C$9))*(A290&lt;=_xlfn.ANCHORARRAY(Sintesi!$C$10)),0)),0),A290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291&gt;=_xlfn.ANCHORARRAY(Sintesi!$C$9))+(_xlfn.ANCHORARRAY(Sintesi!$C$9)&gt;_xlfn.ANCHORARRAY(Sintesi!$C$10))*(A291&lt;=_xlfn.ANCHORARRAY(Sintesi!$C$10))+(_xlfn.ANCHORARRAY(Sintesi!$C$9)&lt;_xlfn.ANCHORARRAY(Sintesi!$C$10))*(A291&gt;=_xlfn.ANCHORARRAY(Sintesi!$C$9))*(A291&lt;=_xlfn.ANCHORARRAY(Sintesi!$C$10)),0)),0)),IF(L290&lt;_xlfn.IFNA(INDEX(_xlfn.ANCHORARRAY(Sintesi!$C$17),1,MATCH(1,(_xlfn.ANCHORARRAY(Sintesi!$C$9)&gt;_xlfn.ANCHORARRAY(Sintesi!$C$10))*(A289&gt;=_xlfn.ANCHORARRAY(Sintesi!$C$9))+(_xlfn.ANCHORARRAY(Sintesi!$C$9)&gt;_xlfn.ANCHORARRAY(Sintesi!$C$10))*(A289&lt;=_xlfn.ANCHORARRAY(Sintesi!$C$10))+(_xlfn.ANCHORARRAY(Sintesi!$C$9)&lt;_xlfn.ANCHORARRAY(Sintesi!$C$10))*(A289&gt;=_xlfn.ANCHORARRAY(Sintesi!$C$9))*(A289&lt;=_xlfn.ANCHORARRAY(Sintesi!$C$10)),0)),0),1,IF(L290&gt;=_xlfn.IFNA(INDEX(_xlfn.ANCHORARRAY(Sintesi!$C$18),1,MATCH(1,(_xlfn.ANCHORARRAY(Sintesi!$C$9)&gt;_xlfn.ANCHORARRAY(Sintesi!$C$10))*(A289&gt;=_xlfn.ANCHORARRAY(Sintesi!$C$9))+(_xlfn.ANCHORARRAY(Sintesi!$C$9)&gt;_xlfn.ANCHORARRAY(Sintesi!$C$10))*(A289&lt;=_xlfn.ANCHORARRAY(Sintesi!$C$10))+(_xlfn.ANCHORARRAY(Sintesi!$C$9)&lt;_xlfn.ANCHORARRAY(Sintesi!$C$10))*(A289&gt;=_xlfn.ANCHORARRAY(Sintesi!$C$9))*(A289&lt;=_xlfn.ANCHORARRAY(Sintesi!$C$10)),0)),0),0,1-(L290-_xlfn.IFNA(INDEX(_xlfn.ANCHORARRAY(Sintesi!$C$17),1,MATCH(1,(_xlfn.ANCHORARRAY(Sintesi!$C$9)&gt;_xlfn.ANCHORARRAY(Sintesi!$C$10))*(A289&gt;=_xlfn.ANCHORARRAY(Sintesi!$C$9))+(_xlfn.ANCHORARRAY(Sintesi!$C$9)&gt;_xlfn.ANCHORARRAY(Sintesi!$C$10))*(A289&lt;=_xlfn.ANCHORARRAY(Sintesi!$C$10))+(_xlfn.ANCHORARRAY(Sintesi!$C$9)&lt;_xlfn.ANCHORARRAY(Sintesi!$C$10))*(A289&gt;=_xlfn.ANCHORARRAY(Sintesi!$C$9))*(A289&lt;=_xlfn.ANCHORARRAY(Sintesi!$C$10)),0)),0))/(_xlfn.IFNA(INDEX(_xlfn.ANCHORARRAY(Sintesi!$C$18),1,MATCH(1,(_xlfn.ANCHORARRAY(Sintesi!$C$9)&gt;_xlfn.ANCHORARRAY(Sintesi!$C$10))*(A289&gt;=_xlfn.ANCHORARRAY(Sintesi!$C$9))+(_xlfn.ANCHORARRAY(Sintesi!$C$9)&gt;_xlfn.ANCHORARRAY(Sintesi!$C$10))*(A289&lt;=_xlfn.ANCHORARRAY(Sintesi!$C$10))+(_xlfn.ANCHORARRAY(Sintesi!$C$9)&lt;_xlfn.ANCHORARRAY(Sintesi!$C$10))*(A289&gt;=_xlfn.ANCHORARRAY(Sintesi!$C$9))*(A289&lt;=_xlfn.ANCHORARRAY(Sintesi!$C$10)),0)),0)-_xlfn.IFNA(INDEX(_xlfn.ANCHORARRAY(Sintesi!$C$17),1,MATCH(1,(_xlfn.ANCHORARRAY(Sintesi!$C$9)&gt;_xlfn.ANCHORARRAY(Sintesi!$C$10))*(A289&gt;=_xlfn.ANCHORARRAY(Sintesi!$C$9))+(_xlfn.ANCHORARRAY(Sintesi!$C$9)&gt;_xlfn.ANCHORARRAY(Sintesi!$C$10))*(A289&lt;=_xlfn.ANCHORARRAY(Sintesi!$C$10))+(_xlfn.ANCHORARRAY(Sintesi!$C$9)&lt;_xlfn.ANCHORARRAY(Sintesi!$C$10))*(A289&gt;=_xlfn.ANCHORARRAY(Sintesi!$C$9))*(A289&lt;=_xlfn.ANCHORARRAY(Sintesi!$C$10)),0)),0)))),0)</f>
        <v>0</v>
      </c>
    </row>
    <row r="291" spans="1:13">
      <c r="A291" s="1">
        <f>'Paste cell here'!A291</f>
        <v>290</v>
      </c>
      <c r="B291" s="2">
        <f>DATE(Sintesi!$C$4-1,12,31)+A291</f>
        <v>44486</v>
      </c>
      <c r="C291" s="34">
        <f t="array" ref="C291">_xlfn.IFNA(MATCH(1,((_xlfn.ANCHORARRAY(Sintesi!$C$9)&gt;_xlfn.ANCHORARRAY(Sintesi!$C$10))*(A291&gt;=_xlfn.ANCHORARRAY(Sintesi!$C$9))+(_xlfn.ANCHORARRAY(Sintesi!$C$9)&gt;_xlfn.ANCHORARRAY(Sintesi!$C$10))*(A291&lt;=_xlfn.ANCHORARRAY(Sintesi!$C$10))+(_xlfn.ANCHORARRAY(Sintesi!$C$9)&lt;_xlfn.ANCHORARRAY(Sintesi!$C$10))*(A291&gt;=_xlfn.ANCHORARRAY(Sintesi!$C$9))*(A291&lt;=_xlfn.ANCHORARRAY(Sintesi!$C$10)))*(_xlfn.ANCHORARRAY(Sintesi!$C$15)&gt;=0)+(_xlfn.ANCHORARRAY(Sintesi!$C$15)&lt;0),0),0)</f>
        <v>0</v>
      </c>
      <c r="D291" s="1">
        <f t="array" ref="D291">IF(ISBLANK($E292),IF(ISNUMBER($E290),IF($C291&gt;0,IF(($E291=INDEX(_xlfn.ANCHORARRAY(Sintesi!$C$14),1,$C291))*(INDEX(_xlfn.ANCHORARRAY(Sintesi!$C$15),1,$C291)&gt;0),0,IF(($E291=INDEX(_xlfn.ANCHORARRAY(Sintesi!$C$14),1,$C291))*(INDEX(_xlfn.ANCHORARRAY(Sintesi!$C$15),1,$C291)&lt;0)+($E291&gt;=$E290)*($E291&lt;=INDEX($E:$E,MATCH(TRUE,INDEX((ISNUMBER($E:$E)),0),0)))*($E291&gt;INDEX(_xlfn.ANCHORARRAY(Sintesi!$C$14),1,$C291))*($E291&lt;=INDEX(_xlfn.ANCHORARRAY(Sintesi!$C$15),1,$C291))*(INDEX(_xlfn.ANCHORARRAY(Sintesi!$C$15),1,$C291)&gt;0),1,IF(($E291&gt;=$E290)*($E291&lt;=INDEX($E:$E,MATCH(TRUE,INDEX((ISNUMBER($E:$E)),0),0)))*($E291&gt;INDEX(_xlfn.ANCHORARRAY(Sintesi!$C$14),1,$C291))*($E291&lt;INDEX(_xlfn.ANCHORARRAY(Sintesi!$C$16),1,$C291))*(INDEX(_xlfn.ANCHORARRAY(Sintesi!$C$15),1,$C291)&lt;0)+($E291&gt;=$E290)*($E291&lt;=INDEX($E:$E,MATCH(TRUE,INDEX((ISNUMBER($E:$E)),0),0)))*($E291&gt;INDEX(_xlfn.ANCHORARRAY(Sintesi!$C$15),1,$C291))*($E291&lt;INDEX(_xlfn.ANCHORARRAY(Sintesi!$C$16),1,$C291))*(INDEX(_xlfn.ANCHORARRAY(Sintesi!$C$15),1,$C291)&gt;0),2,IF($E291=(INDEX(_xlfn.ANCHORARRAY(Sintesi!$C$16),1,$C291)),3,4)))),0),IF($C291&gt;0,IF(($E291=INDEX(_xlfn.ANCHORARRAY(Sintesi!$C$14),1,$C291))*(INDEX(_xlfn.ANCHORARRAY(Sintesi!$C$15),1,$C291)&gt;0),0,IF(($E291=INDEX(_xlfn.ANCHORARRAY(Sintesi!$C$14),1,$C291))*(INDEX(_xlfn.ANCHORARRAY(Sintesi!$C$15),1,$C291)&lt;0)+($E291&gt;=LOOKUP(2,1/($E:$E&lt;&gt;""),$E:$E))*($E291&lt;=INDEX($E:$E,MATCH(TRUE,INDEX((ISNUMBER($E:$E)),0),0)))*($E291&gt;INDEX(_xlfn.ANCHORARRAY(Sintesi!$C$14),1,$C291))*($E291&lt;=INDEX(_xlfn.ANCHORARRAY(Sintesi!$C$15),1,$C291))*(INDEX(_xlfn.ANCHORARRAY(Sintesi!$C$15),1,$C291)&gt;0),1,IF(($E291&gt;=LOOKUP(2,1/($E:$E&lt;&gt;""),$E:$E))*($E291&lt;=INDEX($E:$E,MATCH(TRUE,INDEX((ISNUMBER($E:$E)),0),0)))*($E291&gt;INDEX(_xlfn.ANCHORARRAY(Sintesi!$C$14),1,$C291))*($E291&lt;INDEX(_xlfn.ANCHORARRAY(Sintesi!$C$16),1,$C291))*(INDEX(_xlfn.ANCHORARRAY(Sintesi!$C$15),1,$C291)&lt;0)+($E291&gt;=LOOKUP(2,1/($E:$E&lt;&gt;""),$E:$E))*($E291&lt;=INDEX($E:$E,MATCH(TRUE,INDEX((ISNUMBER($E:$E)),0),0)))*($E291&gt;INDEX(_xlfn.ANCHORARRAY(Sintesi!$C$15),1,$C291))*($E291&lt;INDEX(_xlfn.ANCHORARRAY(Sintesi!$C$16),1,$C291))*(INDEX(_xlfn.ANCHORARRAY(Sintesi!$C$15),1,$C291)&gt;0),2,IF($E291=(INDEX(_xlfn.ANCHORARRAY(Sintesi!$C$16),1,$C291)),3,4)))),0)),IF(ISNUMBER($E290),IF($C291&gt;0,IF(($E291=INDEX(_xlfn.ANCHORARRAY(Sintesi!$C$14),1,$C291))*(INDEX(_xlfn.ANCHORARRAY(Sintesi!$C$15),1,$C291)&gt;0),0,IF(($E291=INDEX(_xlfn.ANCHORARRAY(Sintesi!$C$14),1,$C291))*(INDEX(_xlfn.ANCHORARRAY(Sintesi!$C$15),1,$C291)&lt;0)+($E291&gt;=$E290)*($E291&lt;=$E292)*($E291&gt;INDEX(_xlfn.ANCHORARRAY(Sintesi!$C$14),1,$C291))*($E291&lt;=INDEX(_xlfn.ANCHORARRAY(Sintesi!$C$15),1,$C291))*(INDEX(_xlfn.ANCHORARRAY(Sintesi!$C$15),1,$C291)&gt;0),1,IF(($E291&gt;=$E290)*($E291&lt;=$E292)*($E291&gt;INDEX(_xlfn.ANCHORARRAY(Sintesi!$C$14),1,$C291))*($E291&lt;INDEX(_xlfn.ANCHORARRAY(Sintesi!$C$16),1,$C291))*(INDEX(_xlfn.ANCHORARRAY(Sintesi!$C$15),1,$C291)&lt;0)+($E291&gt;=$E290)*($E291&lt;=$E292)*($E291&gt;INDEX(_xlfn.ANCHORARRAY(Sintesi!$C$15),1,$C291))*($E291&lt;INDEX(_xlfn.ANCHORARRAY(Sintesi!$C$16),1,$C291))*(INDEX(_xlfn.ANCHORARRAY(Sintesi!$C$15),1,$C291)&gt;0),2,IF($E291=(INDEX(_xlfn.ANCHORARRAY(Sintesi!$C$16),1,$C291)),3,4)))),0),IF($C291&gt;0,IF(($E291=INDEX(_xlfn.ANCHORARRAY(Sintesi!$C$14),1,$C291))*(INDEX(_xlfn.ANCHORARRAY(Sintesi!$C$15),1,$C291)&gt;0),0,IF(($E291=INDEX(_xlfn.ANCHORARRAY(Sintesi!$C$14),1,$C291))*(INDEX(_xlfn.ANCHORARRAY(Sintesi!$C$15),1,$C291)&lt;0)+($E291&gt;=LOOKUP(2,1/($E:$E&lt;&gt;""),$E:$E))*($E291&lt;=$E292)*($E291&gt;INDEX(_xlfn.ANCHORARRAY(Sintesi!$C$14),1,$C291))*($E291&lt;=INDEX(_xlfn.ANCHORARRAY(Sintesi!$C$15),1,$C291))*(INDEX(_xlfn.ANCHORARRAY(Sintesi!$C$15),1,$C291)&gt;0),1,IF(($E291&gt;=LOOKUP(2,1/($E:$E&lt;&gt;""),$E:$E))*($E291&lt;=$E292)*($E291&gt;INDEX(_xlfn.ANCHORARRAY(Sintesi!$C$14),1,$C291))*($E291&lt;INDEX(_xlfn.ANCHORARRAY(Sintesi!$C$16),1,$C291))*(INDEX(_xlfn.ANCHORARRAY(Sintesi!$C$15),1,$C291)&lt;0)+($E291&gt;=LOOKUP(2,1/($E:$E&lt;&gt;""),$E:$E))*($E291&lt;=$E292)*($E291&gt;INDEX(_xlfn.ANCHORARRAY(Sintesi!$C$15),1,$C291))*($E291&lt;INDEX(_xlfn.ANCHORARRAY(Sintesi!$C$16),1,$C291))*(INDEX(_xlfn.ANCHORARRAY(Sintesi!$C$15),1,$C291)&gt;0),2,IF($E291=(INDEX(_xlfn.ANCHORARRAY(Sintesi!$C$16),1,$C291)),3,4)))),0)))</f>
        <v>0</v>
      </c>
      <c r="E291" s="1">
        <f>'Paste cell here'!F291</f>
        <v>0</v>
      </c>
      <c r="F291" s="1">
        <f>'Paste cell here'!C291</f>
        <v>20.079999999999711</v>
      </c>
      <c r="G291" s="1">
        <f>'Paste cell here'!D291</f>
        <v>5.6799999999999251</v>
      </c>
      <c r="H291" s="1">
        <f>'Paste cell here'!E291</f>
        <v>1.3581528043713897</v>
      </c>
      <c r="I291" s="1">
        <f>'Paste cell here'!X291</f>
        <v>0</v>
      </c>
      <c r="J291" s="1">
        <f>'Paste cell here'!Y291+'Paste cell here'!S291</f>
        <v>0</v>
      </c>
      <c r="K291" s="1">
        <f t="shared" si="8"/>
        <v>0</v>
      </c>
      <c r="L291" s="1">
        <f t="shared" si="9"/>
        <v>14.858847519154255</v>
      </c>
      <c r="M291" s="1">
        <f t="array" ref="M291">IF(AND(A291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291&gt;=_xlfn.ANCHORARRAY(Sintesi!$C$9))+(_xlfn.ANCHORARRAY(Sintesi!$C$9)&gt;_xlfn.ANCHORARRAY(Sintesi!$C$10))*(A291&lt;=_xlfn.ANCHORARRAY(Sintesi!$C$10))+(_xlfn.ANCHORARRAY(Sintesi!$C$9)&lt;_xlfn.ANCHORARRAY(Sintesi!$C$10))*(A291&gt;=_xlfn.ANCHORARRAY(Sintesi!$C$9))*(A291&lt;=_xlfn.ANCHORARRAY(Sintesi!$C$10)),0)),0),A291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292&gt;=_xlfn.ANCHORARRAY(Sintesi!$C$9))+(_xlfn.ANCHORARRAY(Sintesi!$C$9)&gt;_xlfn.ANCHORARRAY(Sintesi!$C$10))*(A292&lt;=_xlfn.ANCHORARRAY(Sintesi!$C$10))+(_xlfn.ANCHORARRAY(Sintesi!$C$9)&lt;_xlfn.ANCHORARRAY(Sintesi!$C$10))*(A292&gt;=_xlfn.ANCHORARRAY(Sintesi!$C$9))*(A292&lt;=_xlfn.ANCHORARRAY(Sintesi!$C$10)),0)),0)),IF(L291&lt;_xlfn.IFNA(INDEX(_xlfn.ANCHORARRAY(Sintesi!$C$17),1,MATCH(1,(_xlfn.ANCHORARRAY(Sintesi!$C$9)&gt;_xlfn.ANCHORARRAY(Sintesi!$C$10))*(A290&gt;=_xlfn.ANCHORARRAY(Sintesi!$C$9))+(_xlfn.ANCHORARRAY(Sintesi!$C$9)&gt;_xlfn.ANCHORARRAY(Sintesi!$C$10))*(A290&lt;=_xlfn.ANCHORARRAY(Sintesi!$C$10))+(_xlfn.ANCHORARRAY(Sintesi!$C$9)&lt;_xlfn.ANCHORARRAY(Sintesi!$C$10))*(A290&gt;=_xlfn.ANCHORARRAY(Sintesi!$C$9))*(A290&lt;=_xlfn.ANCHORARRAY(Sintesi!$C$10)),0)),0),1,IF(L291&gt;=_xlfn.IFNA(INDEX(_xlfn.ANCHORARRAY(Sintesi!$C$18),1,MATCH(1,(_xlfn.ANCHORARRAY(Sintesi!$C$9)&gt;_xlfn.ANCHORARRAY(Sintesi!$C$10))*(A290&gt;=_xlfn.ANCHORARRAY(Sintesi!$C$9))+(_xlfn.ANCHORARRAY(Sintesi!$C$9)&gt;_xlfn.ANCHORARRAY(Sintesi!$C$10))*(A290&lt;=_xlfn.ANCHORARRAY(Sintesi!$C$10))+(_xlfn.ANCHORARRAY(Sintesi!$C$9)&lt;_xlfn.ANCHORARRAY(Sintesi!$C$10))*(A290&gt;=_xlfn.ANCHORARRAY(Sintesi!$C$9))*(A290&lt;=_xlfn.ANCHORARRAY(Sintesi!$C$10)),0)),0),0,1-(L291-_xlfn.IFNA(INDEX(_xlfn.ANCHORARRAY(Sintesi!$C$17),1,MATCH(1,(_xlfn.ANCHORARRAY(Sintesi!$C$9)&gt;_xlfn.ANCHORARRAY(Sintesi!$C$10))*(A290&gt;=_xlfn.ANCHORARRAY(Sintesi!$C$9))+(_xlfn.ANCHORARRAY(Sintesi!$C$9)&gt;_xlfn.ANCHORARRAY(Sintesi!$C$10))*(A290&lt;=_xlfn.ANCHORARRAY(Sintesi!$C$10))+(_xlfn.ANCHORARRAY(Sintesi!$C$9)&lt;_xlfn.ANCHORARRAY(Sintesi!$C$10))*(A290&gt;=_xlfn.ANCHORARRAY(Sintesi!$C$9))*(A290&lt;=_xlfn.ANCHORARRAY(Sintesi!$C$10)),0)),0))/(_xlfn.IFNA(INDEX(_xlfn.ANCHORARRAY(Sintesi!$C$18),1,MATCH(1,(_xlfn.ANCHORARRAY(Sintesi!$C$9)&gt;_xlfn.ANCHORARRAY(Sintesi!$C$10))*(A290&gt;=_xlfn.ANCHORARRAY(Sintesi!$C$9))+(_xlfn.ANCHORARRAY(Sintesi!$C$9)&gt;_xlfn.ANCHORARRAY(Sintesi!$C$10))*(A290&lt;=_xlfn.ANCHORARRAY(Sintesi!$C$10))+(_xlfn.ANCHORARRAY(Sintesi!$C$9)&lt;_xlfn.ANCHORARRAY(Sintesi!$C$10))*(A290&gt;=_xlfn.ANCHORARRAY(Sintesi!$C$9))*(A290&lt;=_xlfn.ANCHORARRAY(Sintesi!$C$10)),0)),0)-_xlfn.IFNA(INDEX(_xlfn.ANCHORARRAY(Sintesi!$C$17),1,MATCH(1,(_xlfn.ANCHORARRAY(Sintesi!$C$9)&gt;_xlfn.ANCHORARRAY(Sintesi!$C$10))*(A290&gt;=_xlfn.ANCHORARRAY(Sintesi!$C$9))+(_xlfn.ANCHORARRAY(Sintesi!$C$9)&gt;_xlfn.ANCHORARRAY(Sintesi!$C$10))*(A290&lt;=_xlfn.ANCHORARRAY(Sintesi!$C$10))+(_xlfn.ANCHORARRAY(Sintesi!$C$9)&lt;_xlfn.ANCHORARRAY(Sintesi!$C$10))*(A290&gt;=_xlfn.ANCHORARRAY(Sintesi!$C$9))*(A290&lt;=_xlfn.ANCHORARRAY(Sintesi!$C$10)),0)),0)))),0)</f>
        <v>0</v>
      </c>
    </row>
    <row r="292" spans="1:13">
      <c r="A292" s="1">
        <f>'Paste cell here'!A292</f>
        <v>291</v>
      </c>
      <c r="B292" s="2">
        <f>DATE(Sintesi!$C$4-1,12,31)+A292</f>
        <v>44487</v>
      </c>
      <c r="C292" s="34">
        <f t="array" ref="C292">_xlfn.IFNA(MATCH(1,((_xlfn.ANCHORARRAY(Sintesi!$C$9)&gt;_xlfn.ANCHORARRAY(Sintesi!$C$10))*(A292&gt;=_xlfn.ANCHORARRAY(Sintesi!$C$9))+(_xlfn.ANCHORARRAY(Sintesi!$C$9)&gt;_xlfn.ANCHORARRAY(Sintesi!$C$10))*(A292&lt;=_xlfn.ANCHORARRAY(Sintesi!$C$10))+(_xlfn.ANCHORARRAY(Sintesi!$C$9)&lt;_xlfn.ANCHORARRAY(Sintesi!$C$10))*(A292&gt;=_xlfn.ANCHORARRAY(Sintesi!$C$9))*(A292&lt;=_xlfn.ANCHORARRAY(Sintesi!$C$10)))*(_xlfn.ANCHORARRAY(Sintesi!$C$15)&gt;=0)+(_xlfn.ANCHORARRAY(Sintesi!$C$15)&lt;0),0),0)</f>
        <v>0</v>
      </c>
      <c r="D292" s="1">
        <f t="array" ref="D292">IF(ISBLANK($E293),IF(ISNUMBER($E291),IF($C292&gt;0,IF(($E292=INDEX(_xlfn.ANCHORARRAY(Sintesi!$C$14),1,$C292))*(INDEX(_xlfn.ANCHORARRAY(Sintesi!$C$15),1,$C292)&gt;0),0,IF(($E292=INDEX(_xlfn.ANCHORARRAY(Sintesi!$C$14),1,$C292))*(INDEX(_xlfn.ANCHORARRAY(Sintesi!$C$15),1,$C292)&lt;0)+($E292&gt;=$E291)*($E292&lt;=INDEX($E:$E,MATCH(TRUE,INDEX((ISNUMBER($E:$E)),0),0)))*($E292&gt;INDEX(_xlfn.ANCHORARRAY(Sintesi!$C$14),1,$C292))*($E292&lt;=INDEX(_xlfn.ANCHORARRAY(Sintesi!$C$15),1,$C292))*(INDEX(_xlfn.ANCHORARRAY(Sintesi!$C$15),1,$C292)&gt;0),1,IF(($E292&gt;=$E291)*($E292&lt;=INDEX($E:$E,MATCH(TRUE,INDEX((ISNUMBER($E:$E)),0),0)))*($E292&gt;INDEX(_xlfn.ANCHORARRAY(Sintesi!$C$14),1,$C292))*($E292&lt;INDEX(_xlfn.ANCHORARRAY(Sintesi!$C$16),1,$C292))*(INDEX(_xlfn.ANCHORARRAY(Sintesi!$C$15),1,$C292)&lt;0)+($E292&gt;=$E291)*($E292&lt;=INDEX($E:$E,MATCH(TRUE,INDEX((ISNUMBER($E:$E)),0),0)))*($E292&gt;INDEX(_xlfn.ANCHORARRAY(Sintesi!$C$15),1,$C292))*($E292&lt;INDEX(_xlfn.ANCHORARRAY(Sintesi!$C$16),1,$C292))*(INDEX(_xlfn.ANCHORARRAY(Sintesi!$C$15),1,$C292)&gt;0),2,IF($E292=(INDEX(_xlfn.ANCHORARRAY(Sintesi!$C$16),1,$C292)),3,4)))),0),IF($C292&gt;0,IF(($E292=INDEX(_xlfn.ANCHORARRAY(Sintesi!$C$14),1,$C292))*(INDEX(_xlfn.ANCHORARRAY(Sintesi!$C$15),1,$C292)&gt;0),0,IF(($E292=INDEX(_xlfn.ANCHORARRAY(Sintesi!$C$14),1,$C292))*(INDEX(_xlfn.ANCHORARRAY(Sintesi!$C$15),1,$C292)&lt;0)+($E292&gt;=LOOKUP(2,1/($E:$E&lt;&gt;""),$E:$E))*($E292&lt;=INDEX($E:$E,MATCH(TRUE,INDEX((ISNUMBER($E:$E)),0),0)))*($E292&gt;INDEX(_xlfn.ANCHORARRAY(Sintesi!$C$14),1,$C292))*($E292&lt;=INDEX(_xlfn.ANCHORARRAY(Sintesi!$C$15),1,$C292))*(INDEX(_xlfn.ANCHORARRAY(Sintesi!$C$15),1,$C292)&gt;0),1,IF(($E292&gt;=LOOKUP(2,1/($E:$E&lt;&gt;""),$E:$E))*($E292&lt;=INDEX($E:$E,MATCH(TRUE,INDEX((ISNUMBER($E:$E)),0),0)))*($E292&gt;INDEX(_xlfn.ANCHORARRAY(Sintesi!$C$14),1,$C292))*($E292&lt;INDEX(_xlfn.ANCHORARRAY(Sintesi!$C$16),1,$C292))*(INDEX(_xlfn.ANCHORARRAY(Sintesi!$C$15),1,$C292)&lt;0)+($E292&gt;=LOOKUP(2,1/($E:$E&lt;&gt;""),$E:$E))*($E292&lt;=INDEX($E:$E,MATCH(TRUE,INDEX((ISNUMBER($E:$E)),0),0)))*($E292&gt;INDEX(_xlfn.ANCHORARRAY(Sintesi!$C$15),1,$C292))*($E292&lt;INDEX(_xlfn.ANCHORARRAY(Sintesi!$C$16),1,$C292))*(INDEX(_xlfn.ANCHORARRAY(Sintesi!$C$15),1,$C292)&gt;0),2,IF($E292=(INDEX(_xlfn.ANCHORARRAY(Sintesi!$C$16),1,$C292)),3,4)))),0)),IF(ISNUMBER($E291),IF($C292&gt;0,IF(($E292=INDEX(_xlfn.ANCHORARRAY(Sintesi!$C$14),1,$C292))*(INDEX(_xlfn.ANCHORARRAY(Sintesi!$C$15),1,$C292)&gt;0),0,IF(($E292=INDEX(_xlfn.ANCHORARRAY(Sintesi!$C$14),1,$C292))*(INDEX(_xlfn.ANCHORARRAY(Sintesi!$C$15),1,$C292)&lt;0)+($E292&gt;=$E291)*($E292&lt;=$E293)*($E292&gt;INDEX(_xlfn.ANCHORARRAY(Sintesi!$C$14),1,$C292))*($E292&lt;=INDEX(_xlfn.ANCHORARRAY(Sintesi!$C$15),1,$C292))*(INDEX(_xlfn.ANCHORARRAY(Sintesi!$C$15),1,$C292)&gt;0),1,IF(($E292&gt;=$E291)*($E292&lt;=$E293)*($E292&gt;INDEX(_xlfn.ANCHORARRAY(Sintesi!$C$14),1,$C292))*($E292&lt;INDEX(_xlfn.ANCHORARRAY(Sintesi!$C$16),1,$C292))*(INDEX(_xlfn.ANCHORARRAY(Sintesi!$C$15),1,$C292)&lt;0)+($E292&gt;=$E291)*($E292&lt;=$E293)*($E292&gt;INDEX(_xlfn.ANCHORARRAY(Sintesi!$C$15),1,$C292))*($E292&lt;INDEX(_xlfn.ANCHORARRAY(Sintesi!$C$16),1,$C292))*(INDEX(_xlfn.ANCHORARRAY(Sintesi!$C$15),1,$C292)&gt;0),2,IF($E292=(INDEX(_xlfn.ANCHORARRAY(Sintesi!$C$16),1,$C292)),3,4)))),0),IF($C292&gt;0,IF(($E292=INDEX(_xlfn.ANCHORARRAY(Sintesi!$C$14),1,$C292))*(INDEX(_xlfn.ANCHORARRAY(Sintesi!$C$15),1,$C292)&gt;0),0,IF(($E292=INDEX(_xlfn.ANCHORARRAY(Sintesi!$C$14),1,$C292))*(INDEX(_xlfn.ANCHORARRAY(Sintesi!$C$15),1,$C292)&lt;0)+($E292&gt;=LOOKUP(2,1/($E:$E&lt;&gt;""),$E:$E))*($E292&lt;=$E293)*($E292&gt;INDEX(_xlfn.ANCHORARRAY(Sintesi!$C$14),1,$C292))*($E292&lt;=INDEX(_xlfn.ANCHORARRAY(Sintesi!$C$15),1,$C292))*(INDEX(_xlfn.ANCHORARRAY(Sintesi!$C$15),1,$C292)&gt;0),1,IF(($E292&gt;=LOOKUP(2,1/($E:$E&lt;&gt;""),$E:$E))*($E292&lt;=$E293)*($E292&gt;INDEX(_xlfn.ANCHORARRAY(Sintesi!$C$14),1,$C292))*($E292&lt;INDEX(_xlfn.ANCHORARRAY(Sintesi!$C$16),1,$C292))*(INDEX(_xlfn.ANCHORARRAY(Sintesi!$C$15),1,$C292)&lt;0)+($E292&gt;=LOOKUP(2,1/($E:$E&lt;&gt;""),$E:$E))*($E292&lt;=$E293)*($E292&gt;INDEX(_xlfn.ANCHORARRAY(Sintesi!$C$15),1,$C292))*($E292&lt;INDEX(_xlfn.ANCHORARRAY(Sintesi!$C$16),1,$C292))*(INDEX(_xlfn.ANCHORARRAY(Sintesi!$C$15),1,$C292)&gt;0),2,IF($E292=(INDEX(_xlfn.ANCHORARRAY(Sintesi!$C$16),1,$C292)),3,4)))),0)))</f>
        <v>0</v>
      </c>
      <c r="E292" s="1">
        <f>'Paste cell here'!F292</f>
        <v>0</v>
      </c>
      <c r="F292" s="1">
        <f>'Paste cell here'!C292</f>
        <v>20.059999999999707</v>
      </c>
      <c r="G292" s="1">
        <f>'Paste cell here'!D292</f>
        <v>6.5199999999999241</v>
      </c>
      <c r="H292" s="1">
        <f>'Paste cell here'!E292</f>
        <v>1.3227835409476787</v>
      </c>
      <c r="I292" s="1">
        <f>'Paste cell here'!X292</f>
        <v>0</v>
      </c>
      <c r="J292" s="1">
        <f>'Paste cell here'!Y292+'Paste cell here'!S292</f>
        <v>0</v>
      </c>
      <c r="K292" s="1">
        <f t="shared" si="8"/>
        <v>0</v>
      </c>
      <c r="L292" s="1">
        <f t="shared" si="9"/>
        <v>15.150666347871416</v>
      </c>
      <c r="M292" s="1">
        <f t="array" ref="M292">IF(AND(A292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292&gt;=_xlfn.ANCHORARRAY(Sintesi!$C$9))+(_xlfn.ANCHORARRAY(Sintesi!$C$9)&gt;_xlfn.ANCHORARRAY(Sintesi!$C$10))*(A292&lt;=_xlfn.ANCHORARRAY(Sintesi!$C$10))+(_xlfn.ANCHORARRAY(Sintesi!$C$9)&lt;_xlfn.ANCHORARRAY(Sintesi!$C$10))*(A292&gt;=_xlfn.ANCHORARRAY(Sintesi!$C$9))*(A292&lt;=_xlfn.ANCHORARRAY(Sintesi!$C$10)),0)),0),A292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293&gt;=_xlfn.ANCHORARRAY(Sintesi!$C$9))+(_xlfn.ANCHORARRAY(Sintesi!$C$9)&gt;_xlfn.ANCHORARRAY(Sintesi!$C$10))*(A293&lt;=_xlfn.ANCHORARRAY(Sintesi!$C$10))+(_xlfn.ANCHORARRAY(Sintesi!$C$9)&lt;_xlfn.ANCHORARRAY(Sintesi!$C$10))*(A293&gt;=_xlfn.ANCHORARRAY(Sintesi!$C$9))*(A293&lt;=_xlfn.ANCHORARRAY(Sintesi!$C$10)),0)),0)),IF(L292&lt;_xlfn.IFNA(INDEX(_xlfn.ANCHORARRAY(Sintesi!$C$17),1,MATCH(1,(_xlfn.ANCHORARRAY(Sintesi!$C$9)&gt;_xlfn.ANCHORARRAY(Sintesi!$C$10))*(A291&gt;=_xlfn.ANCHORARRAY(Sintesi!$C$9))+(_xlfn.ANCHORARRAY(Sintesi!$C$9)&gt;_xlfn.ANCHORARRAY(Sintesi!$C$10))*(A291&lt;=_xlfn.ANCHORARRAY(Sintesi!$C$10))+(_xlfn.ANCHORARRAY(Sintesi!$C$9)&lt;_xlfn.ANCHORARRAY(Sintesi!$C$10))*(A291&gt;=_xlfn.ANCHORARRAY(Sintesi!$C$9))*(A291&lt;=_xlfn.ANCHORARRAY(Sintesi!$C$10)),0)),0),1,IF(L292&gt;=_xlfn.IFNA(INDEX(_xlfn.ANCHORARRAY(Sintesi!$C$18),1,MATCH(1,(_xlfn.ANCHORARRAY(Sintesi!$C$9)&gt;_xlfn.ANCHORARRAY(Sintesi!$C$10))*(A291&gt;=_xlfn.ANCHORARRAY(Sintesi!$C$9))+(_xlfn.ANCHORARRAY(Sintesi!$C$9)&gt;_xlfn.ANCHORARRAY(Sintesi!$C$10))*(A291&lt;=_xlfn.ANCHORARRAY(Sintesi!$C$10))+(_xlfn.ANCHORARRAY(Sintesi!$C$9)&lt;_xlfn.ANCHORARRAY(Sintesi!$C$10))*(A291&gt;=_xlfn.ANCHORARRAY(Sintesi!$C$9))*(A291&lt;=_xlfn.ANCHORARRAY(Sintesi!$C$10)),0)),0),0,1-(L292-_xlfn.IFNA(INDEX(_xlfn.ANCHORARRAY(Sintesi!$C$17),1,MATCH(1,(_xlfn.ANCHORARRAY(Sintesi!$C$9)&gt;_xlfn.ANCHORARRAY(Sintesi!$C$10))*(A291&gt;=_xlfn.ANCHORARRAY(Sintesi!$C$9))+(_xlfn.ANCHORARRAY(Sintesi!$C$9)&gt;_xlfn.ANCHORARRAY(Sintesi!$C$10))*(A291&lt;=_xlfn.ANCHORARRAY(Sintesi!$C$10))+(_xlfn.ANCHORARRAY(Sintesi!$C$9)&lt;_xlfn.ANCHORARRAY(Sintesi!$C$10))*(A291&gt;=_xlfn.ANCHORARRAY(Sintesi!$C$9))*(A291&lt;=_xlfn.ANCHORARRAY(Sintesi!$C$10)),0)),0))/(_xlfn.IFNA(INDEX(_xlfn.ANCHORARRAY(Sintesi!$C$18),1,MATCH(1,(_xlfn.ANCHORARRAY(Sintesi!$C$9)&gt;_xlfn.ANCHORARRAY(Sintesi!$C$10))*(A291&gt;=_xlfn.ANCHORARRAY(Sintesi!$C$9))+(_xlfn.ANCHORARRAY(Sintesi!$C$9)&gt;_xlfn.ANCHORARRAY(Sintesi!$C$10))*(A291&lt;=_xlfn.ANCHORARRAY(Sintesi!$C$10))+(_xlfn.ANCHORARRAY(Sintesi!$C$9)&lt;_xlfn.ANCHORARRAY(Sintesi!$C$10))*(A291&gt;=_xlfn.ANCHORARRAY(Sintesi!$C$9))*(A291&lt;=_xlfn.ANCHORARRAY(Sintesi!$C$10)),0)),0)-_xlfn.IFNA(INDEX(_xlfn.ANCHORARRAY(Sintesi!$C$17),1,MATCH(1,(_xlfn.ANCHORARRAY(Sintesi!$C$9)&gt;_xlfn.ANCHORARRAY(Sintesi!$C$10))*(A291&gt;=_xlfn.ANCHORARRAY(Sintesi!$C$9))+(_xlfn.ANCHORARRAY(Sintesi!$C$9)&gt;_xlfn.ANCHORARRAY(Sintesi!$C$10))*(A291&lt;=_xlfn.ANCHORARRAY(Sintesi!$C$10))+(_xlfn.ANCHORARRAY(Sintesi!$C$9)&lt;_xlfn.ANCHORARRAY(Sintesi!$C$10))*(A291&gt;=_xlfn.ANCHORARRAY(Sintesi!$C$9))*(A291&lt;=_xlfn.ANCHORARRAY(Sintesi!$C$10)),0)),0)))),0)</f>
        <v>0</v>
      </c>
    </row>
    <row r="293" spans="1:13">
      <c r="A293" s="1">
        <f>'Paste cell here'!A293</f>
        <v>292</v>
      </c>
      <c r="B293" s="2">
        <f>DATE(Sintesi!$C$4-1,12,31)+A293</f>
        <v>44488</v>
      </c>
      <c r="C293" s="34">
        <f t="array" ref="C293">_xlfn.IFNA(MATCH(1,((_xlfn.ANCHORARRAY(Sintesi!$C$9)&gt;_xlfn.ANCHORARRAY(Sintesi!$C$10))*(A293&gt;=_xlfn.ANCHORARRAY(Sintesi!$C$9))+(_xlfn.ANCHORARRAY(Sintesi!$C$9)&gt;_xlfn.ANCHORARRAY(Sintesi!$C$10))*(A293&lt;=_xlfn.ANCHORARRAY(Sintesi!$C$10))+(_xlfn.ANCHORARRAY(Sintesi!$C$9)&lt;_xlfn.ANCHORARRAY(Sintesi!$C$10))*(A293&gt;=_xlfn.ANCHORARRAY(Sintesi!$C$9))*(A293&lt;=_xlfn.ANCHORARRAY(Sintesi!$C$10)))*(_xlfn.ANCHORARRAY(Sintesi!$C$15)&gt;=0)+(_xlfn.ANCHORARRAY(Sintesi!$C$15)&lt;0),0),0)</f>
        <v>0</v>
      </c>
      <c r="D293" s="1">
        <f t="array" ref="D293">IF(ISBLANK($E294),IF(ISNUMBER($E292),IF($C293&gt;0,IF(($E293=INDEX(_xlfn.ANCHORARRAY(Sintesi!$C$14),1,$C293))*(INDEX(_xlfn.ANCHORARRAY(Sintesi!$C$15),1,$C293)&gt;0),0,IF(($E293=INDEX(_xlfn.ANCHORARRAY(Sintesi!$C$14),1,$C293))*(INDEX(_xlfn.ANCHORARRAY(Sintesi!$C$15),1,$C293)&lt;0)+($E293&gt;=$E292)*($E293&lt;=INDEX($E:$E,MATCH(TRUE,INDEX((ISNUMBER($E:$E)),0),0)))*($E293&gt;INDEX(_xlfn.ANCHORARRAY(Sintesi!$C$14),1,$C293))*($E293&lt;=INDEX(_xlfn.ANCHORARRAY(Sintesi!$C$15),1,$C293))*(INDEX(_xlfn.ANCHORARRAY(Sintesi!$C$15),1,$C293)&gt;0),1,IF(($E293&gt;=$E292)*($E293&lt;=INDEX($E:$E,MATCH(TRUE,INDEX((ISNUMBER($E:$E)),0),0)))*($E293&gt;INDEX(_xlfn.ANCHORARRAY(Sintesi!$C$14),1,$C293))*($E293&lt;INDEX(_xlfn.ANCHORARRAY(Sintesi!$C$16),1,$C293))*(INDEX(_xlfn.ANCHORARRAY(Sintesi!$C$15),1,$C293)&lt;0)+($E293&gt;=$E292)*($E293&lt;=INDEX($E:$E,MATCH(TRUE,INDEX((ISNUMBER($E:$E)),0),0)))*($E293&gt;INDEX(_xlfn.ANCHORARRAY(Sintesi!$C$15),1,$C293))*($E293&lt;INDEX(_xlfn.ANCHORARRAY(Sintesi!$C$16),1,$C293))*(INDEX(_xlfn.ANCHORARRAY(Sintesi!$C$15),1,$C293)&gt;0),2,IF($E293=(INDEX(_xlfn.ANCHORARRAY(Sintesi!$C$16),1,$C293)),3,4)))),0),IF($C293&gt;0,IF(($E293=INDEX(_xlfn.ANCHORARRAY(Sintesi!$C$14),1,$C293))*(INDEX(_xlfn.ANCHORARRAY(Sintesi!$C$15),1,$C293)&gt;0),0,IF(($E293=INDEX(_xlfn.ANCHORARRAY(Sintesi!$C$14),1,$C293))*(INDEX(_xlfn.ANCHORARRAY(Sintesi!$C$15),1,$C293)&lt;0)+($E293&gt;=LOOKUP(2,1/($E:$E&lt;&gt;""),$E:$E))*($E293&lt;=INDEX($E:$E,MATCH(TRUE,INDEX((ISNUMBER($E:$E)),0),0)))*($E293&gt;INDEX(_xlfn.ANCHORARRAY(Sintesi!$C$14),1,$C293))*($E293&lt;=INDEX(_xlfn.ANCHORARRAY(Sintesi!$C$15),1,$C293))*(INDEX(_xlfn.ANCHORARRAY(Sintesi!$C$15),1,$C293)&gt;0),1,IF(($E293&gt;=LOOKUP(2,1/($E:$E&lt;&gt;""),$E:$E))*($E293&lt;=INDEX($E:$E,MATCH(TRUE,INDEX((ISNUMBER($E:$E)),0),0)))*($E293&gt;INDEX(_xlfn.ANCHORARRAY(Sintesi!$C$14),1,$C293))*($E293&lt;INDEX(_xlfn.ANCHORARRAY(Sintesi!$C$16),1,$C293))*(INDEX(_xlfn.ANCHORARRAY(Sintesi!$C$15),1,$C293)&lt;0)+($E293&gt;=LOOKUP(2,1/($E:$E&lt;&gt;""),$E:$E))*($E293&lt;=INDEX($E:$E,MATCH(TRUE,INDEX((ISNUMBER($E:$E)),0),0)))*($E293&gt;INDEX(_xlfn.ANCHORARRAY(Sintesi!$C$15),1,$C293))*($E293&lt;INDEX(_xlfn.ANCHORARRAY(Sintesi!$C$16),1,$C293))*(INDEX(_xlfn.ANCHORARRAY(Sintesi!$C$15),1,$C293)&gt;0),2,IF($E293=(INDEX(_xlfn.ANCHORARRAY(Sintesi!$C$16),1,$C293)),3,4)))),0)),IF(ISNUMBER($E292),IF($C293&gt;0,IF(($E293=INDEX(_xlfn.ANCHORARRAY(Sintesi!$C$14),1,$C293))*(INDEX(_xlfn.ANCHORARRAY(Sintesi!$C$15),1,$C293)&gt;0),0,IF(($E293=INDEX(_xlfn.ANCHORARRAY(Sintesi!$C$14),1,$C293))*(INDEX(_xlfn.ANCHORARRAY(Sintesi!$C$15),1,$C293)&lt;0)+($E293&gt;=$E292)*($E293&lt;=$E294)*($E293&gt;INDEX(_xlfn.ANCHORARRAY(Sintesi!$C$14),1,$C293))*($E293&lt;=INDEX(_xlfn.ANCHORARRAY(Sintesi!$C$15),1,$C293))*(INDEX(_xlfn.ANCHORARRAY(Sintesi!$C$15),1,$C293)&gt;0),1,IF(($E293&gt;=$E292)*($E293&lt;=$E294)*($E293&gt;INDEX(_xlfn.ANCHORARRAY(Sintesi!$C$14),1,$C293))*($E293&lt;INDEX(_xlfn.ANCHORARRAY(Sintesi!$C$16),1,$C293))*(INDEX(_xlfn.ANCHORARRAY(Sintesi!$C$15),1,$C293)&lt;0)+($E293&gt;=$E292)*($E293&lt;=$E294)*($E293&gt;INDEX(_xlfn.ANCHORARRAY(Sintesi!$C$15),1,$C293))*($E293&lt;INDEX(_xlfn.ANCHORARRAY(Sintesi!$C$16),1,$C293))*(INDEX(_xlfn.ANCHORARRAY(Sintesi!$C$15),1,$C293)&gt;0),2,IF($E293=(INDEX(_xlfn.ANCHORARRAY(Sintesi!$C$16),1,$C293)),3,4)))),0),IF($C293&gt;0,IF(($E293=INDEX(_xlfn.ANCHORARRAY(Sintesi!$C$14),1,$C293))*(INDEX(_xlfn.ANCHORARRAY(Sintesi!$C$15),1,$C293)&gt;0),0,IF(($E293=INDEX(_xlfn.ANCHORARRAY(Sintesi!$C$14),1,$C293))*(INDEX(_xlfn.ANCHORARRAY(Sintesi!$C$15),1,$C293)&lt;0)+($E293&gt;=LOOKUP(2,1/($E:$E&lt;&gt;""),$E:$E))*($E293&lt;=$E294)*($E293&gt;INDEX(_xlfn.ANCHORARRAY(Sintesi!$C$14),1,$C293))*($E293&lt;=INDEX(_xlfn.ANCHORARRAY(Sintesi!$C$15),1,$C293))*(INDEX(_xlfn.ANCHORARRAY(Sintesi!$C$15),1,$C293)&gt;0),1,IF(($E293&gt;=LOOKUP(2,1/($E:$E&lt;&gt;""),$E:$E))*($E293&lt;=$E294)*($E293&gt;INDEX(_xlfn.ANCHORARRAY(Sintesi!$C$14),1,$C293))*($E293&lt;INDEX(_xlfn.ANCHORARRAY(Sintesi!$C$16),1,$C293))*(INDEX(_xlfn.ANCHORARRAY(Sintesi!$C$15),1,$C293)&lt;0)+($E293&gt;=LOOKUP(2,1/($E:$E&lt;&gt;""),$E:$E))*($E293&lt;=$E294)*($E293&gt;INDEX(_xlfn.ANCHORARRAY(Sintesi!$C$15),1,$C293))*($E293&lt;INDEX(_xlfn.ANCHORARRAY(Sintesi!$C$16),1,$C293))*(INDEX(_xlfn.ANCHORARRAY(Sintesi!$C$15),1,$C293)&gt;0),2,IF($E293=(INDEX(_xlfn.ANCHORARRAY(Sintesi!$C$16),1,$C293)),3,4)))),0)))</f>
        <v>0</v>
      </c>
      <c r="E293" s="1">
        <f>'Paste cell here'!F293</f>
        <v>0</v>
      </c>
      <c r="F293" s="1">
        <f>'Paste cell here'!C293</f>
        <v>19.659999999999719</v>
      </c>
      <c r="G293" s="1">
        <f>'Paste cell here'!D293</f>
        <v>8.2999999999998941</v>
      </c>
      <c r="H293" s="1">
        <f>'Paste cell here'!E293</f>
        <v>1.1548589289559832</v>
      </c>
      <c r="I293" s="1">
        <f>'Paste cell here'!X293</f>
        <v>0</v>
      </c>
      <c r="J293" s="1">
        <f>'Paste cell here'!Y293+'Paste cell here'!S293</f>
        <v>0</v>
      </c>
      <c r="K293" s="1">
        <f t="shared" si="8"/>
        <v>0</v>
      </c>
      <c r="L293" s="1">
        <f t="shared" si="9"/>
        <v>15.541090820666085</v>
      </c>
      <c r="M293" s="1">
        <f t="array" ref="M293">IF(AND(A293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293&gt;=_xlfn.ANCHORARRAY(Sintesi!$C$9))+(_xlfn.ANCHORARRAY(Sintesi!$C$9)&gt;_xlfn.ANCHORARRAY(Sintesi!$C$10))*(A293&lt;=_xlfn.ANCHORARRAY(Sintesi!$C$10))+(_xlfn.ANCHORARRAY(Sintesi!$C$9)&lt;_xlfn.ANCHORARRAY(Sintesi!$C$10))*(A293&gt;=_xlfn.ANCHORARRAY(Sintesi!$C$9))*(A293&lt;=_xlfn.ANCHORARRAY(Sintesi!$C$10)),0)),0),A293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294&gt;=_xlfn.ANCHORARRAY(Sintesi!$C$9))+(_xlfn.ANCHORARRAY(Sintesi!$C$9)&gt;_xlfn.ANCHORARRAY(Sintesi!$C$10))*(A294&lt;=_xlfn.ANCHORARRAY(Sintesi!$C$10))+(_xlfn.ANCHORARRAY(Sintesi!$C$9)&lt;_xlfn.ANCHORARRAY(Sintesi!$C$10))*(A294&gt;=_xlfn.ANCHORARRAY(Sintesi!$C$9))*(A294&lt;=_xlfn.ANCHORARRAY(Sintesi!$C$10)),0)),0)),IF(L293&lt;_xlfn.IFNA(INDEX(_xlfn.ANCHORARRAY(Sintesi!$C$17),1,MATCH(1,(_xlfn.ANCHORARRAY(Sintesi!$C$9)&gt;_xlfn.ANCHORARRAY(Sintesi!$C$10))*(A292&gt;=_xlfn.ANCHORARRAY(Sintesi!$C$9))+(_xlfn.ANCHORARRAY(Sintesi!$C$9)&gt;_xlfn.ANCHORARRAY(Sintesi!$C$10))*(A292&lt;=_xlfn.ANCHORARRAY(Sintesi!$C$10))+(_xlfn.ANCHORARRAY(Sintesi!$C$9)&lt;_xlfn.ANCHORARRAY(Sintesi!$C$10))*(A292&gt;=_xlfn.ANCHORARRAY(Sintesi!$C$9))*(A292&lt;=_xlfn.ANCHORARRAY(Sintesi!$C$10)),0)),0),1,IF(L293&gt;=_xlfn.IFNA(INDEX(_xlfn.ANCHORARRAY(Sintesi!$C$18),1,MATCH(1,(_xlfn.ANCHORARRAY(Sintesi!$C$9)&gt;_xlfn.ANCHORARRAY(Sintesi!$C$10))*(A292&gt;=_xlfn.ANCHORARRAY(Sintesi!$C$9))+(_xlfn.ANCHORARRAY(Sintesi!$C$9)&gt;_xlfn.ANCHORARRAY(Sintesi!$C$10))*(A292&lt;=_xlfn.ANCHORARRAY(Sintesi!$C$10))+(_xlfn.ANCHORARRAY(Sintesi!$C$9)&lt;_xlfn.ANCHORARRAY(Sintesi!$C$10))*(A292&gt;=_xlfn.ANCHORARRAY(Sintesi!$C$9))*(A292&lt;=_xlfn.ANCHORARRAY(Sintesi!$C$10)),0)),0),0,1-(L293-_xlfn.IFNA(INDEX(_xlfn.ANCHORARRAY(Sintesi!$C$17),1,MATCH(1,(_xlfn.ANCHORARRAY(Sintesi!$C$9)&gt;_xlfn.ANCHORARRAY(Sintesi!$C$10))*(A292&gt;=_xlfn.ANCHORARRAY(Sintesi!$C$9))+(_xlfn.ANCHORARRAY(Sintesi!$C$9)&gt;_xlfn.ANCHORARRAY(Sintesi!$C$10))*(A292&lt;=_xlfn.ANCHORARRAY(Sintesi!$C$10))+(_xlfn.ANCHORARRAY(Sintesi!$C$9)&lt;_xlfn.ANCHORARRAY(Sintesi!$C$10))*(A292&gt;=_xlfn.ANCHORARRAY(Sintesi!$C$9))*(A292&lt;=_xlfn.ANCHORARRAY(Sintesi!$C$10)),0)),0))/(_xlfn.IFNA(INDEX(_xlfn.ANCHORARRAY(Sintesi!$C$18),1,MATCH(1,(_xlfn.ANCHORARRAY(Sintesi!$C$9)&gt;_xlfn.ANCHORARRAY(Sintesi!$C$10))*(A292&gt;=_xlfn.ANCHORARRAY(Sintesi!$C$9))+(_xlfn.ANCHORARRAY(Sintesi!$C$9)&gt;_xlfn.ANCHORARRAY(Sintesi!$C$10))*(A292&lt;=_xlfn.ANCHORARRAY(Sintesi!$C$10))+(_xlfn.ANCHORARRAY(Sintesi!$C$9)&lt;_xlfn.ANCHORARRAY(Sintesi!$C$10))*(A292&gt;=_xlfn.ANCHORARRAY(Sintesi!$C$9))*(A292&lt;=_xlfn.ANCHORARRAY(Sintesi!$C$10)),0)),0)-_xlfn.IFNA(INDEX(_xlfn.ANCHORARRAY(Sintesi!$C$17),1,MATCH(1,(_xlfn.ANCHORARRAY(Sintesi!$C$9)&gt;_xlfn.ANCHORARRAY(Sintesi!$C$10))*(A292&gt;=_xlfn.ANCHORARRAY(Sintesi!$C$9))+(_xlfn.ANCHORARRAY(Sintesi!$C$9)&gt;_xlfn.ANCHORARRAY(Sintesi!$C$10))*(A292&lt;=_xlfn.ANCHORARRAY(Sintesi!$C$10))+(_xlfn.ANCHORARRAY(Sintesi!$C$9)&lt;_xlfn.ANCHORARRAY(Sintesi!$C$10))*(A292&gt;=_xlfn.ANCHORARRAY(Sintesi!$C$9))*(A292&lt;=_xlfn.ANCHORARRAY(Sintesi!$C$10)),0)),0)))),0)</f>
        <v>0</v>
      </c>
    </row>
    <row r="294" spans="1:13">
      <c r="A294" s="1">
        <f>'Paste cell here'!A294</f>
        <v>293</v>
      </c>
      <c r="B294" s="2">
        <f>DATE(Sintesi!$C$4-1,12,31)+A294</f>
        <v>44489</v>
      </c>
      <c r="C294" s="34">
        <f t="array" ref="C294">_xlfn.IFNA(MATCH(1,((_xlfn.ANCHORARRAY(Sintesi!$C$9)&gt;_xlfn.ANCHORARRAY(Sintesi!$C$10))*(A294&gt;=_xlfn.ANCHORARRAY(Sintesi!$C$9))+(_xlfn.ANCHORARRAY(Sintesi!$C$9)&gt;_xlfn.ANCHORARRAY(Sintesi!$C$10))*(A294&lt;=_xlfn.ANCHORARRAY(Sintesi!$C$10))+(_xlfn.ANCHORARRAY(Sintesi!$C$9)&lt;_xlfn.ANCHORARRAY(Sintesi!$C$10))*(A294&gt;=_xlfn.ANCHORARRAY(Sintesi!$C$9))*(A294&lt;=_xlfn.ANCHORARRAY(Sintesi!$C$10)))*(_xlfn.ANCHORARRAY(Sintesi!$C$15)&gt;=0)+(_xlfn.ANCHORARRAY(Sintesi!$C$15)&lt;0),0),0)</f>
        <v>0</v>
      </c>
      <c r="D294" s="1">
        <f t="array" ref="D294">IF(ISBLANK($E295),IF(ISNUMBER($E293),IF($C294&gt;0,IF(($E294=INDEX(_xlfn.ANCHORARRAY(Sintesi!$C$14),1,$C294))*(INDEX(_xlfn.ANCHORARRAY(Sintesi!$C$15),1,$C294)&gt;0),0,IF(($E294=INDEX(_xlfn.ANCHORARRAY(Sintesi!$C$14),1,$C294))*(INDEX(_xlfn.ANCHORARRAY(Sintesi!$C$15),1,$C294)&lt;0)+($E294&gt;=$E293)*($E294&lt;=INDEX($E:$E,MATCH(TRUE,INDEX((ISNUMBER($E:$E)),0),0)))*($E294&gt;INDEX(_xlfn.ANCHORARRAY(Sintesi!$C$14),1,$C294))*($E294&lt;=INDEX(_xlfn.ANCHORARRAY(Sintesi!$C$15),1,$C294))*(INDEX(_xlfn.ANCHORARRAY(Sintesi!$C$15),1,$C294)&gt;0),1,IF(($E294&gt;=$E293)*($E294&lt;=INDEX($E:$E,MATCH(TRUE,INDEX((ISNUMBER($E:$E)),0),0)))*($E294&gt;INDEX(_xlfn.ANCHORARRAY(Sintesi!$C$14),1,$C294))*($E294&lt;INDEX(_xlfn.ANCHORARRAY(Sintesi!$C$16),1,$C294))*(INDEX(_xlfn.ANCHORARRAY(Sintesi!$C$15),1,$C294)&lt;0)+($E294&gt;=$E293)*($E294&lt;=INDEX($E:$E,MATCH(TRUE,INDEX((ISNUMBER($E:$E)),0),0)))*($E294&gt;INDEX(_xlfn.ANCHORARRAY(Sintesi!$C$15),1,$C294))*($E294&lt;INDEX(_xlfn.ANCHORARRAY(Sintesi!$C$16),1,$C294))*(INDEX(_xlfn.ANCHORARRAY(Sintesi!$C$15),1,$C294)&gt;0),2,IF($E294=(INDEX(_xlfn.ANCHORARRAY(Sintesi!$C$16),1,$C294)),3,4)))),0),IF($C294&gt;0,IF(($E294=INDEX(_xlfn.ANCHORARRAY(Sintesi!$C$14),1,$C294))*(INDEX(_xlfn.ANCHORARRAY(Sintesi!$C$15),1,$C294)&gt;0),0,IF(($E294=INDEX(_xlfn.ANCHORARRAY(Sintesi!$C$14),1,$C294))*(INDEX(_xlfn.ANCHORARRAY(Sintesi!$C$15),1,$C294)&lt;0)+($E294&gt;=LOOKUP(2,1/($E:$E&lt;&gt;""),$E:$E))*($E294&lt;=INDEX($E:$E,MATCH(TRUE,INDEX((ISNUMBER($E:$E)),0),0)))*($E294&gt;INDEX(_xlfn.ANCHORARRAY(Sintesi!$C$14),1,$C294))*($E294&lt;=INDEX(_xlfn.ANCHORARRAY(Sintesi!$C$15),1,$C294))*(INDEX(_xlfn.ANCHORARRAY(Sintesi!$C$15),1,$C294)&gt;0),1,IF(($E294&gt;=LOOKUP(2,1/($E:$E&lt;&gt;""),$E:$E))*($E294&lt;=INDEX($E:$E,MATCH(TRUE,INDEX((ISNUMBER($E:$E)),0),0)))*($E294&gt;INDEX(_xlfn.ANCHORARRAY(Sintesi!$C$14),1,$C294))*($E294&lt;INDEX(_xlfn.ANCHORARRAY(Sintesi!$C$16),1,$C294))*(INDEX(_xlfn.ANCHORARRAY(Sintesi!$C$15),1,$C294)&lt;0)+($E294&gt;=LOOKUP(2,1/($E:$E&lt;&gt;""),$E:$E))*($E294&lt;=INDEX($E:$E,MATCH(TRUE,INDEX((ISNUMBER($E:$E)),0),0)))*($E294&gt;INDEX(_xlfn.ANCHORARRAY(Sintesi!$C$15),1,$C294))*($E294&lt;INDEX(_xlfn.ANCHORARRAY(Sintesi!$C$16),1,$C294))*(INDEX(_xlfn.ANCHORARRAY(Sintesi!$C$15),1,$C294)&gt;0),2,IF($E294=(INDEX(_xlfn.ANCHORARRAY(Sintesi!$C$16),1,$C294)),3,4)))),0)),IF(ISNUMBER($E293),IF($C294&gt;0,IF(($E294=INDEX(_xlfn.ANCHORARRAY(Sintesi!$C$14),1,$C294))*(INDEX(_xlfn.ANCHORARRAY(Sintesi!$C$15),1,$C294)&gt;0),0,IF(($E294=INDEX(_xlfn.ANCHORARRAY(Sintesi!$C$14),1,$C294))*(INDEX(_xlfn.ANCHORARRAY(Sintesi!$C$15),1,$C294)&lt;0)+($E294&gt;=$E293)*($E294&lt;=$E295)*($E294&gt;INDEX(_xlfn.ANCHORARRAY(Sintesi!$C$14),1,$C294))*($E294&lt;=INDEX(_xlfn.ANCHORARRAY(Sintesi!$C$15),1,$C294))*(INDEX(_xlfn.ANCHORARRAY(Sintesi!$C$15),1,$C294)&gt;0),1,IF(($E294&gt;=$E293)*($E294&lt;=$E295)*($E294&gt;INDEX(_xlfn.ANCHORARRAY(Sintesi!$C$14),1,$C294))*($E294&lt;INDEX(_xlfn.ANCHORARRAY(Sintesi!$C$16),1,$C294))*(INDEX(_xlfn.ANCHORARRAY(Sintesi!$C$15),1,$C294)&lt;0)+($E294&gt;=$E293)*($E294&lt;=$E295)*($E294&gt;INDEX(_xlfn.ANCHORARRAY(Sintesi!$C$15),1,$C294))*($E294&lt;INDEX(_xlfn.ANCHORARRAY(Sintesi!$C$16),1,$C294))*(INDEX(_xlfn.ANCHORARRAY(Sintesi!$C$15),1,$C294)&gt;0),2,IF($E294=(INDEX(_xlfn.ANCHORARRAY(Sintesi!$C$16),1,$C294)),3,4)))),0),IF($C294&gt;0,IF(($E294=INDEX(_xlfn.ANCHORARRAY(Sintesi!$C$14),1,$C294))*(INDEX(_xlfn.ANCHORARRAY(Sintesi!$C$15),1,$C294)&gt;0),0,IF(($E294=INDEX(_xlfn.ANCHORARRAY(Sintesi!$C$14),1,$C294))*(INDEX(_xlfn.ANCHORARRAY(Sintesi!$C$15),1,$C294)&lt;0)+($E294&gt;=LOOKUP(2,1/($E:$E&lt;&gt;""),$E:$E))*($E294&lt;=$E295)*($E294&gt;INDEX(_xlfn.ANCHORARRAY(Sintesi!$C$14),1,$C294))*($E294&lt;=INDEX(_xlfn.ANCHORARRAY(Sintesi!$C$15),1,$C294))*(INDEX(_xlfn.ANCHORARRAY(Sintesi!$C$15),1,$C294)&gt;0),1,IF(($E294&gt;=LOOKUP(2,1/($E:$E&lt;&gt;""),$E:$E))*($E294&lt;=$E295)*($E294&gt;INDEX(_xlfn.ANCHORARRAY(Sintesi!$C$14),1,$C294))*($E294&lt;INDEX(_xlfn.ANCHORARRAY(Sintesi!$C$16),1,$C294))*(INDEX(_xlfn.ANCHORARRAY(Sintesi!$C$15),1,$C294)&lt;0)+($E294&gt;=LOOKUP(2,1/($E:$E&lt;&gt;""),$E:$E))*($E294&lt;=$E295)*($E294&gt;INDEX(_xlfn.ANCHORARRAY(Sintesi!$C$15),1,$C294))*($E294&lt;INDEX(_xlfn.ANCHORARRAY(Sintesi!$C$16),1,$C294))*(INDEX(_xlfn.ANCHORARRAY(Sintesi!$C$15),1,$C294)&gt;0),2,IF($E294=(INDEX(_xlfn.ANCHORARRAY(Sintesi!$C$16),1,$C294)),3,4)))),0)))</f>
        <v>0</v>
      </c>
      <c r="E294" s="1">
        <f>'Paste cell here'!F294</f>
        <v>0</v>
      </c>
      <c r="F294" s="1">
        <f>'Paste cell here'!C294</f>
        <v>18.919999999999732</v>
      </c>
      <c r="G294" s="1">
        <f>'Paste cell here'!D294</f>
        <v>8.8199999999998866</v>
      </c>
      <c r="H294" s="1">
        <f>'Paste cell here'!E294</f>
        <v>0.9552325225764271</v>
      </c>
      <c r="I294" s="1">
        <f>'Paste cell here'!X294</f>
        <v>0</v>
      </c>
      <c r="J294" s="1">
        <f>'Paste cell here'!Y294+'Paste cell here'!S294</f>
        <v>0</v>
      </c>
      <c r="K294" s="1">
        <f t="shared" si="8"/>
        <v>0</v>
      </c>
      <c r="L294" s="1">
        <f t="shared" si="9"/>
        <v>15.257941662740071</v>
      </c>
      <c r="M294" s="1">
        <f t="array" ref="M294">IF(AND(A294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294&gt;=_xlfn.ANCHORARRAY(Sintesi!$C$9))+(_xlfn.ANCHORARRAY(Sintesi!$C$9)&gt;_xlfn.ANCHORARRAY(Sintesi!$C$10))*(A294&lt;=_xlfn.ANCHORARRAY(Sintesi!$C$10))+(_xlfn.ANCHORARRAY(Sintesi!$C$9)&lt;_xlfn.ANCHORARRAY(Sintesi!$C$10))*(A294&gt;=_xlfn.ANCHORARRAY(Sintesi!$C$9))*(A294&lt;=_xlfn.ANCHORARRAY(Sintesi!$C$10)),0)),0),A294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295&gt;=_xlfn.ANCHORARRAY(Sintesi!$C$9))+(_xlfn.ANCHORARRAY(Sintesi!$C$9)&gt;_xlfn.ANCHORARRAY(Sintesi!$C$10))*(A295&lt;=_xlfn.ANCHORARRAY(Sintesi!$C$10))+(_xlfn.ANCHORARRAY(Sintesi!$C$9)&lt;_xlfn.ANCHORARRAY(Sintesi!$C$10))*(A295&gt;=_xlfn.ANCHORARRAY(Sintesi!$C$9))*(A295&lt;=_xlfn.ANCHORARRAY(Sintesi!$C$10)),0)),0)),IF(L294&lt;_xlfn.IFNA(INDEX(_xlfn.ANCHORARRAY(Sintesi!$C$17),1,MATCH(1,(_xlfn.ANCHORARRAY(Sintesi!$C$9)&gt;_xlfn.ANCHORARRAY(Sintesi!$C$10))*(A293&gt;=_xlfn.ANCHORARRAY(Sintesi!$C$9))+(_xlfn.ANCHORARRAY(Sintesi!$C$9)&gt;_xlfn.ANCHORARRAY(Sintesi!$C$10))*(A293&lt;=_xlfn.ANCHORARRAY(Sintesi!$C$10))+(_xlfn.ANCHORARRAY(Sintesi!$C$9)&lt;_xlfn.ANCHORARRAY(Sintesi!$C$10))*(A293&gt;=_xlfn.ANCHORARRAY(Sintesi!$C$9))*(A293&lt;=_xlfn.ANCHORARRAY(Sintesi!$C$10)),0)),0),1,IF(L294&gt;=_xlfn.IFNA(INDEX(_xlfn.ANCHORARRAY(Sintesi!$C$18),1,MATCH(1,(_xlfn.ANCHORARRAY(Sintesi!$C$9)&gt;_xlfn.ANCHORARRAY(Sintesi!$C$10))*(A293&gt;=_xlfn.ANCHORARRAY(Sintesi!$C$9))+(_xlfn.ANCHORARRAY(Sintesi!$C$9)&gt;_xlfn.ANCHORARRAY(Sintesi!$C$10))*(A293&lt;=_xlfn.ANCHORARRAY(Sintesi!$C$10))+(_xlfn.ANCHORARRAY(Sintesi!$C$9)&lt;_xlfn.ANCHORARRAY(Sintesi!$C$10))*(A293&gt;=_xlfn.ANCHORARRAY(Sintesi!$C$9))*(A293&lt;=_xlfn.ANCHORARRAY(Sintesi!$C$10)),0)),0),0,1-(L294-_xlfn.IFNA(INDEX(_xlfn.ANCHORARRAY(Sintesi!$C$17),1,MATCH(1,(_xlfn.ANCHORARRAY(Sintesi!$C$9)&gt;_xlfn.ANCHORARRAY(Sintesi!$C$10))*(A293&gt;=_xlfn.ANCHORARRAY(Sintesi!$C$9))+(_xlfn.ANCHORARRAY(Sintesi!$C$9)&gt;_xlfn.ANCHORARRAY(Sintesi!$C$10))*(A293&lt;=_xlfn.ANCHORARRAY(Sintesi!$C$10))+(_xlfn.ANCHORARRAY(Sintesi!$C$9)&lt;_xlfn.ANCHORARRAY(Sintesi!$C$10))*(A293&gt;=_xlfn.ANCHORARRAY(Sintesi!$C$9))*(A293&lt;=_xlfn.ANCHORARRAY(Sintesi!$C$10)),0)),0))/(_xlfn.IFNA(INDEX(_xlfn.ANCHORARRAY(Sintesi!$C$18),1,MATCH(1,(_xlfn.ANCHORARRAY(Sintesi!$C$9)&gt;_xlfn.ANCHORARRAY(Sintesi!$C$10))*(A293&gt;=_xlfn.ANCHORARRAY(Sintesi!$C$9))+(_xlfn.ANCHORARRAY(Sintesi!$C$9)&gt;_xlfn.ANCHORARRAY(Sintesi!$C$10))*(A293&lt;=_xlfn.ANCHORARRAY(Sintesi!$C$10))+(_xlfn.ANCHORARRAY(Sintesi!$C$9)&lt;_xlfn.ANCHORARRAY(Sintesi!$C$10))*(A293&gt;=_xlfn.ANCHORARRAY(Sintesi!$C$9))*(A293&lt;=_xlfn.ANCHORARRAY(Sintesi!$C$10)),0)),0)-_xlfn.IFNA(INDEX(_xlfn.ANCHORARRAY(Sintesi!$C$17),1,MATCH(1,(_xlfn.ANCHORARRAY(Sintesi!$C$9)&gt;_xlfn.ANCHORARRAY(Sintesi!$C$10))*(A293&gt;=_xlfn.ANCHORARRAY(Sintesi!$C$9))+(_xlfn.ANCHORARRAY(Sintesi!$C$9)&gt;_xlfn.ANCHORARRAY(Sintesi!$C$10))*(A293&lt;=_xlfn.ANCHORARRAY(Sintesi!$C$10))+(_xlfn.ANCHORARRAY(Sintesi!$C$9)&lt;_xlfn.ANCHORARRAY(Sintesi!$C$10))*(A293&gt;=_xlfn.ANCHORARRAY(Sintesi!$C$9))*(A293&lt;=_xlfn.ANCHORARRAY(Sintesi!$C$10)),0)),0)))),0)</f>
        <v>0</v>
      </c>
    </row>
    <row r="295" spans="1:13">
      <c r="A295" s="1">
        <f>'Paste cell here'!A295</f>
        <v>294</v>
      </c>
      <c r="B295" s="2">
        <f>DATE(Sintesi!$C$4-1,12,31)+A295</f>
        <v>44490</v>
      </c>
      <c r="C295" s="34">
        <f t="array" ref="C295">_xlfn.IFNA(MATCH(1,((_xlfn.ANCHORARRAY(Sintesi!$C$9)&gt;_xlfn.ANCHORARRAY(Sintesi!$C$10))*(A295&gt;=_xlfn.ANCHORARRAY(Sintesi!$C$9))+(_xlfn.ANCHORARRAY(Sintesi!$C$9)&gt;_xlfn.ANCHORARRAY(Sintesi!$C$10))*(A295&lt;=_xlfn.ANCHORARRAY(Sintesi!$C$10))+(_xlfn.ANCHORARRAY(Sintesi!$C$9)&lt;_xlfn.ANCHORARRAY(Sintesi!$C$10))*(A295&gt;=_xlfn.ANCHORARRAY(Sintesi!$C$9))*(A295&lt;=_xlfn.ANCHORARRAY(Sintesi!$C$10)))*(_xlfn.ANCHORARRAY(Sintesi!$C$15)&gt;=0)+(_xlfn.ANCHORARRAY(Sintesi!$C$15)&lt;0),0),0)</f>
        <v>0</v>
      </c>
      <c r="D295" s="1">
        <f t="array" ref="D295">IF(ISBLANK($E296),IF(ISNUMBER($E294),IF($C295&gt;0,IF(($E295=INDEX(_xlfn.ANCHORARRAY(Sintesi!$C$14),1,$C295))*(INDEX(_xlfn.ANCHORARRAY(Sintesi!$C$15),1,$C295)&gt;0),0,IF(($E295=INDEX(_xlfn.ANCHORARRAY(Sintesi!$C$14),1,$C295))*(INDEX(_xlfn.ANCHORARRAY(Sintesi!$C$15),1,$C295)&lt;0)+($E295&gt;=$E294)*($E295&lt;=INDEX($E:$E,MATCH(TRUE,INDEX((ISNUMBER($E:$E)),0),0)))*($E295&gt;INDEX(_xlfn.ANCHORARRAY(Sintesi!$C$14),1,$C295))*($E295&lt;=INDEX(_xlfn.ANCHORARRAY(Sintesi!$C$15),1,$C295))*(INDEX(_xlfn.ANCHORARRAY(Sintesi!$C$15),1,$C295)&gt;0),1,IF(($E295&gt;=$E294)*($E295&lt;=INDEX($E:$E,MATCH(TRUE,INDEX((ISNUMBER($E:$E)),0),0)))*($E295&gt;INDEX(_xlfn.ANCHORARRAY(Sintesi!$C$14),1,$C295))*($E295&lt;INDEX(_xlfn.ANCHORARRAY(Sintesi!$C$16),1,$C295))*(INDEX(_xlfn.ANCHORARRAY(Sintesi!$C$15),1,$C295)&lt;0)+($E295&gt;=$E294)*($E295&lt;=INDEX($E:$E,MATCH(TRUE,INDEX((ISNUMBER($E:$E)),0),0)))*($E295&gt;INDEX(_xlfn.ANCHORARRAY(Sintesi!$C$15),1,$C295))*($E295&lt;INDEX(_xlfn.ANCHORARRAY(Sintesi!$C$16),1,$C295))*(INDEX(_xlfn.ANCHORARRAY(Sintesi!$C$15),1,$C295)&gt;0),2,IF($E295=(INDEX(_xlfn.ANCHORARRAY(Sintesi!$C$16),1,$C295)),3,4)))),0),IF($C295&gt;0,IF(($E295=INDEX(_xlfn.ANCHORARRAY(Sintesi!$C$14),1,$C295))*(INDEX(_xlfn.ANCHORARRAY(Sintesi!$C$15),1,$C295)&gt;0),0,IF(($E295=INDEX(_xlfn.ANCHORARRAY(Sintesi!$C$14),1,$C295))*(INDEX(_xlfn.ANCHORARRAY(Sintesi!$C$15),1,$C295)&lt;0)+($E295&gt;=LOOKUP(2,1/($E:$E&lt;&gt;""),$E:$E))*($E295&lt;=INDEX($E:$E,MATCH(TRUE,INDEX((ISNUMBER($E:$E)),0),0)))*($E295&gt;INDEX(_xlfn.ANCHORARRAY(Sintesi!$C$14),1,$C295))*($E295&lt;=INDEX(_xlfn.ANCHORARRAY(Sintesi!$C$15),1,$C295))*(INDEX(_xlfn.ANCHORARRAY(Sintesi!$C$15),1,$C295)&gt;0),1,IF(($E295&gt;=LOOKUP(2,1/($E:$E&lt;&gt;""),$E:$E))*($E295&lt;=INDEX($E:$E,MATCH(TRUE,INDEX((ISNUMBER($E:$E)),0),0)))*($E295&gt;INDEX(_xlfn.ANCHORARRAY(Sintesi!$C$14),1,$C295))*($E295&lt;INDEX(_xlfn.ANCHORARRAY(Sintesi!$C$16),1,$C295))*(INDEX(_xlfn.ANCHORARRAY(Sintesi!$C$15),1,$C295)&lt;0)+($E295&gt;=LOOKUP(2,1/($E:$E&lt;&gt;""),$E:$E))*($E295&lt;=INDEX($E:$E,MATCH(TRUE,INDEX((ISNUMBER($E:$E)),0),0)))*($E295&gt;INDEX(_xlfn.ANCHORARRAY(Sintesi!$C$15),1,$C295))*($E295&lt;INDEX(_xlfn.ANCHORARRAY(Sintesi!$C$16),1,$C295))*(INDEX(_xlfn.ANCHORARRAY(Sintesi!$C$15),1,$C295)&gt;0),2,IF($E295=(INDEX(_xlfn.ANCHORARRAY(Sintesi!$C$16),1,$C295)),3,4)))),0)),IF(ISNUMBER($E294),IF($C295&gt;0,IF(($E295=INDEX(_xlfn.ANCHORARRAY(Sintesi!$C$14),1,$C295))*(INDEX(_xlfn.ANCHORARRAY(Sintesi!$C$15),1,$C295)&gt;0),0,IF(($E295=INDEX(_xlfn.ANCHORARRAY(Sintesi!$C$14),1,$C295))*(INDEX(_xlfn.ANCHORARRAY(Sintesi!$C$15),1,$C295)&lt;0)+($E295&gt;=$E294)*($E295&lt;=$E296)*($E295&gt;INDEX(_xlfn.ANCHORARRAY(Sintesi!$C$14),1,$C295))*($E295&lt;=INDEX(_xlfn.ANCHORARRAY(Sintesi!$C$15),1,$C295))*(INDEX(_xlfn.ANCHORARRAY(Sintesi!$C$15),1,$C295)&gt;0),1,IF(($E295&gt;=$E294)*($E295&lt;=$E296)*($E295&gt;INDEX(_xlfn.ANCHORARRAY(Sintesi!$C$14),1,$C295))*($E295&lt;INDEX(_xlfn.ANCHORARRAY(Sintesi!$C$16),1,$C295))*(INDEX(_xlfn.ANCHORARRAY(Sintesi!$C$15),1,$C295)&lt;0)+($E295&gt;=$E294)*($E295&lt;=$E296)*($E295&gt;INDEX(_xlfn.ANCHORARRAY(Sintesi!$C$15),1,$C295))*($E295&lt;INDEX(_xlfn.ANCHORARRAY(Sintesi!$C$16),1,$C295))*(INDEX(_xlfn.ANCHORARRAY(Sintesi!$C$15),1,$C295)&gt;0),2,IF($E295=(INDEX(_xlfn.ANCHORARRAY(Sintesi!$C$16),1,$C295)),3,4)))),0),IF($C295&gt;0,IF(($E295=INDEX(_xlfn.ANCHORARRAY(Sintesi!$C$14),1,$C295))*(INDEX(_xlfn.ANCHORARRAY(Sintesi!$C$15),1,$C295)&gt;0),0,IF(($E295=INDEX(_xlfn.ANCHORARRAY(Sintesi!$C$14),1,$C295))*(INDEX(_xlfn.ANCHORARRAY(Sintesi!$C$15),1,$C295)&lt;0)+($E295&gt;=LOOKUP(2,1/($E:$E&lt;&gt;""),$E:$E))*($E295&lt;=$E296)*($E295&gt;INDEX(_xlfn.ANCHORARRAY(Sintesi!$C$14),1,$C295))*($E295&lt;=INDEX(_xlfn.ANCHORARRAY(Sintesi!$C$15),1,$C295))*(INDEX(_xlfn.ANCHORARRAY(Sintesi!$C$15),1,$C295)&gt;0),1,IF(($E295&gt;=LOOKUP(2,1/($E:$E&lt;&gt;""),$E:$E))*($E295&lt;=$E296)*($E295&gt;INDEX(_xlfn.ANCHORARRAY(Sintesi!$C$14),1,$C295))*($E295&lt;INDEX(_xlfn.ANCHORARRAY(Sintesi!$C$16),1,$C295))*(INDEX(_xlfn.ANCHORARRAY(Sintesi!$C$15),1,$C295)&lt;0)+($E295&gt;=LOOKUP(2,1/($E:$E&lt;&gt;""),$E:$E))*($E295&lt;=$E296)*($E295&gt;INDEX(_xlfn.ANCHORARRAY(Sintesi!$C$15),1,$C295))*($E295&lt;INDEX(_xlfn.ANCHORARRAY(Sintesi!$C$16),1,$C295))*(INDEX(_xlfn.ANCHORARRAY(Sintesi!$C$15),1,$C295)&gt;0),2,IF($E295=(INDEX(_xlfn.ANCHORARRAY(Sintesi!$C$16),1,$C295)),3,4)))),0)))</f>
        <v>0</v>
      </c>
      <c r="E295" s="1">
        <f>'Paste cell here'!F295</f>
        <v>0</v>
      </c>
      <c r="F295" s="1">
        <f>'Paste cell here'!C295</f>
        <v>15.639999999999777</v>
      </c>
      <c r="G295" s="1">
        <f>'Paste cell here'!D295</f>
        <v>12.539999999999841</v>
      </c>
      <c r="H295" s="1">
        <f>'Paste cell here'!E295</f>
        <v>0.5830090579225139</v>
      </c>
      <c r="I295" s="1">
        <f>'Paste cell here'!X295</f>
        <v>0</v>
      </c>
      <c r="J295" s="1">
        <f>'Paste cell here'!Y295+'Paste cell here'!S295</f>
        <v>0</v>
      </c>
      <c r="K295" s="1">
        <f t="shared" si="8"/>
        <v>0</v>
      </c>
      <c r="L295" s="1">
        <f t="shared" si="9"/>
        <v>14.51600189648444</v>
      </c>
      <c r="M295" s="1">
        <f t="array" ref="M295">IF(AND(A295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295&gt;=_xlfn.ANCHORARRAY(Sintesi!$C$9))+(_xlfn.ANCHORARRAY(Sintesi!$C$9)&gt;_xlfn.ANCHORARRAY(Sintesi!$C$10))*(A295&lt;=_xlfn.ANCHORARRAY(Sintesi!$C$10))+(_xlfn.ANCHORARRAY(Sintesi!$C$9)&lt;_xlfn.ANCHORARRAY(Sintesi!$C$10))*(A295&gt;=_xlfn.ANCHORARRAY(Sintesi!$C$9))*(A295&lt;=_xlfn.ANCHORARRAY(Sintesi!$C$10)),0)),0),A295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296&gt;=_xlfn.ANCHORARRAY(Sintesi!$C$9))+(_xlfn.ANCHORARRAY(Sintesi!$C$9)&gt;_xlfn.ANCHORARRAY(Sintesi!$C$10))*(A296&lt;=_xlfn.ANCHORARRAY(Sintesi!$C$10))+(_xlfn.ANCHORARRAY(Sintesi!$C$9)&lt;_xlfn.ANCHORARRAY(Sintesi!$C$10))*(A296&gt;=_xlfn.ANCHORARRAY(Sintesi!$C$9))*(A296&lt;=_xlfn.ANCHORARRAY(Sintesi!$C$10)),0)),0)),IF(L295&lt;_xlfn.IFNA(INDEX(_xlfn.ANCHORARRAY(Sintesi!$C$17),1,MATCH(1,(_xlfn.ANCHORARRAY(Sintesi!$C$9)&gt;_xlfn.ANCHORARRAY(Sintesi!$C$10))*(A294&gt;=_xlfn.ANCHORARRAY(Sintesi!$C$9))+(_xlfn.ANCHORARRAY(Sintesi!$C$9)&gt;_xlfn.ANCHORARRAY(Sintesi!$C$10))*(A294&lt;=_xlfn.ANCHORARRAY(Sintesi!$C$10))+(_xlfn.ANCHORARRAY(Sintesi!$C$9)&lt;_xlfn.ANCHORARRAY(Sintesi!$C$10))*(A294&gt;=_xlfn.ANCHORARRAY(Sintesi!$C$9))*(A294&lt;=_xlfn.ANCHORARRAY(Sintesi!$C$10)),0)),0),1,IF(L295&gt;=_xlfn.IFNA(INDEX(_xlfn.ANCHORARRAY(Sintesi!$C$18),1,MATCH(1,(_xlfn.ANCHORARRAY(Sintesi!$C$9)&gt;_xlfn.ANCHORARRAY(Sintesi!$C$10))*(A294&gt;=_xlfn.ANCHORARRAY(Sintesi!$C$9))+(_xlfn.ANCHORARRAY(Sintesi!$C$9)&gt;_xlfn.ANCHORARRAY(Sintesi!$C$10))*(A294&lt;=_xlfn.ANCHORARRAY(Sintesi!$C$10))+(_xlfn.ANCHORARRAY(Sintesi!$C$9)&lt;_xlfn.ANCHORARRAY(Sintesi!$C$10))*(A294&gt;=_xlfn.ANCHORARRAY(Sintesi!$C$9))*(A294&lt;=_xlfn.ANCHORARRAY(Sintesi!$C$10)),0)),0),0,1-(L295-_xlfn.IFNA(INDEX(_xlfn.ANCHORARRAY(Sintesi!$C$17),1,MATCH(1,(_xlfn.ANCHORARRAY(Sintesi!$C$9)&gt;_xlfn.ANCHORARRAY(Sintesi!$C$10))*(A294&gt;=_xlfn.ANCHORARRAY(Sintesi!$C$9))+(_xlfn.ANCHORARRAY(Sintesi!$C$9)&gt;_xlfn.ANCHORARRAY(Sintesi!$C$10))*(A294&lt;=_xlfn.ANCHORARRAY(Sintesi!$C$10))+(_xlfn.ANCHORARRAY(Sintesi!$C$9)&lt;_xlfn.ANCHORARRAY(Sintesi!$C$10))*(A294&gt;=_xlfn.ANCHORARRAY(Sintesi!$C$9))*(A294&lt;=_xlfn.ANCHORARRAY(Sintesi!$C$10)),0)),0))/(_xlfn.IFNA(INDEX(_xlfn.ANCHORARRAY(Sintesi!$C$18),1,MATCH(1,(_xlfn.ANCHORARRAY(Sintesi!$C$9)&gt;_xlfn.ANCHORARRAY(Sintesi!$C$10))*(A294&gt;=_xlfn.ANCHORARRAY(Sintesi!$C$9))+(_xlfn.ANCHORARRAY(Sintesi!$C$9)&gt;_xlfn.ANCHORARRAY(Sintesi!$C$10))*(A294&lt;=_xlfn.ANCHORARRAY(Sintesi!$C$10))+(_xlfn.ANCHORARRAY(Sintesi!$C$9)&lt;_xlfn.ANCHORARRAY(Sintesi!$C$10))*(A294&gt;=_xlfn.ANCHORARRAY(Sintesi!$C$9))*(A294&lt;=_xlfn.ANCHORARRAY(Sintesi!$C$10)),0)),0)-_xlfn.IFNA(INDEX(_xlfn.ANCHORARRAY(Sintesi!$C$17),1,MATCH(1,(_xlfn.ANCHORARRAY(Sintesi!$C$9)&gt;_xlfn.ANCHORARRAY(Sintesi!$C$10))*(A294&gt;=_xlfn.ANCHORARRAY(Sintesi!$C$9))+(_xlfn.ANCHORARRAY(Sintesi!$C$9)&gt;_xlfn.ANCHORARRAY(Sintesi!$C$10))*(A294&lt;=_xlfn.ANCHORARRAY(Sintesi!$C$10))+(_xlfn.ANCHORARRAY(Sintesi!$C$9)&lt;_xlfn.ANCHORARRAY(Sintesi!$C$10))*(A294&gt;=_xlfn.ANCHORARRAY(Sintesi!$C$9))*(A294&lt;=_xlfn.ANCHORARRAY(Sintesi!$C$10)),0)),0)))),0)</f>
        <v>0</v>
      </c>
    </row>
    <row r="296" spans="1:13">
      <c r="A296" s="1">
        <f>'Paste cell here'!A296</f>
        <v>295</v>
      </c>
      <c r="B296" s="2">
        <f>DATE(Sintesi!$C$4-1,12,31)+A296</f>
        <v>44491</v>
      </c>
      <c r="C296" s="34">
        <f t="array" ref="C296">_xlfn.IFNA(MATCH(1,((_xlfn.ANCHORARRAY(Sintesi!$C$9)&gt;_xlfn.ANCHORARRAY(Sintesi!$C$10))*(A296&gt;=_xlfn.ANCHORARRAY(Sintesi!$C$9))+(_xlfn.ANCHORARRAY(Sintesi!$C$9)&gt;_xlfn.ANCHORARRAY(Sintesi!$C$10))*(A296&lt;=_xlfn.ANCHORARRAY(Sintesi!$C$10))+(_xlfn.ANCHORARRAY(Sintesi!$C$9)&lt;_xlfn.ANCHORARRAY(Sintesi!$C$10))*(A296&gt;=_xlfn.ANCHORARRAY(Sintesi!$C$9))*(A296&lt;=_xlfn.ANCHORARRAY(Sintesi!$C$10)))*(_xlfn.ANCHORARRAY(Sintesi!$C$15)&gt;=0)+(_xlfn.ANCHORARRAY(Sintesi!$C$15)&lt;0),0),0)</f>
        <v>0</v>
      </c>
      <c r="D296" s="1">
        <f t="array" ref="D296">IF(ISBLANK($E297),IF(ISNUMBER($E295),IF($C296&gt;0,IF(($E296=INDEX(_xlfn.ANCHORARRAY(Sintesi!$C$14),1,$C296))*(INDEX(_xlfn.ANCHORARRAY(Sintesi!$C$15),1,$C296)&gt;0),0,IF(($E296=INDEX(_xlfn.ANCHORARRAY(Sintesi!$C$14),1,$C296))*(INDEX(_xlfn.ANCHORARRAY(Sintesi!$C$15),1,$C296)&lt;0)+($E296&gt;=$E295)*($E296&lt;=INDEX($E:$E,MATCH(TRUE,INDEX((ISNUMBER($E:$E)),0),0)))*($E296&gt;INDEX(_xlfn.ANCHORARRAY(Sintesi!$C$14),1,$C296))*($E296&lt;=INDEX(_xlfn.ANCHORARRAY(Sintesi!$C$15),1,$C296))*(INDEX(_xlfn.ANCHORARRAY(Sintesi!$C$15),1,$C296)&gt;0),1,IF(($E296&gt;=$E295)*($E296&lt;=INDEX($E:$E,MATCH(TRUE,INDEX((ISNUMBER($E:$E)),0),0)))*($E296&gt;INDEX(_xlfn.ANCHORARRAY(Sintesi!$C$14),1,$C296))*($E296&lt;INDEX(_xlfn.ANCHORARRAY(Sintesi!$C$16),1,$C296))*(INDEX(_xlfn.ANCHORARRAY(Sintesi!$C$15),1,$C296)&lt;0)+($E296&gt;=$E295)*($E296&lt;=INDEX($E:$E,MATCH(TRUE,INDEX((ISNUMBER($E:$E)),0),0)))*($E296&gt;INDEX(_xlfn.ANCHORARRAY(Sintesi!$C$15),1,$C296))*($E296&lt;INDEX(_xlfn.ANCHORARRAY(Sintesi!$C$16),1,$C296))*(INDEX(_xlfn.ANCHORARRAY(Sintesi!$C$15),1,$C296)&gt;0),2,IF($E296=(INDEX(_xlfn.ANCHORARRAY(Sintesi!$C$16),1,$C296)),3,4)))),0),IF($C296&gt;0,IF(($E296=INDEX(_xlfn.ANCHORARRAY(Sintesi!$C$14),1,$C296))*(INDEX(_xlfn.ANCHORARRAY(Sintesi!$C$15),1,$C296)&gt;0),0,IF(($E296=INDEX(_xlfn.ANCHORARRAY(Sintesi!$C$14),1,$C296))*(INDEX(_xlfn.ANCHORARRAY(Sintesi!$C$15),1,$C296)&lt;0)+($E296&gt;=LOOKUP(2,1/($E:$E&lt;&gt;""),$E:$E))*($E296&lt;=INDEX($E:$E,MATCH(TRUE,INDEX((ISNUMBER($E:$E)),0),0)))*($E296&gt;INDEX(_xlfn.ANCHORARRAY(Sintesi!$C$14),1,$C296))*($E296&lt;=INDEX(_xlfn.ANCHORARRAY(Sintesi!$C$15),1,$C296))*(INDEX(_xlfn.ANCHORARRAY(Sintesi!$C$15),1,$C296)&gt;0),1,IF(($E296&gt;=LOOKUP(2,1/($E:$E&lt;&gt;""),$E:$E))*($E296&lt;=INDEX($E:$E,MATCH(TRUE,INDEX((ISNUMBER($E:$E)),0),0)))*($E296&gt;INDEX(_xlfn.ANCHORARRAY(Sintesi!$C$14),1,$C296))*($E296&lt;INDEX(_xlfn.ANCHORARRAY(Sintesi!$C$16),1,$C296))*(INDEX(_xlfn.ANCHORARRAY(Sintesi!$C$15),1,$C296)&lt;0)+($E296&gt;=LOOKUP(2,1/($E:$E&lt;&gt;""),$E:$E))*($E296&lt;=INDEX($E:$E,MATCH(TRUE,INDEX((ISNUMBER($E:$E)),0),0)))*($E296&gt;INDEX(_xlfn.ANCHORARRAY(Sintesi!$C$15),1,$C296))*($E296&lt;INDEX(_xlfn.ANCHORARRAY(Sintesi!$C$16),1,$C296))*(INDEX(_xlfn.ANCHORARRAY(Sintesi!$C$15),1,$C296)&gt;0),2,IF($E296=(INDEX(_xlfn.ANCHORARRAY(Sintesi!$C$16),1,$C296)),3,4)))),0)),IF(ISNUMBER($E295),IF($C296&gt;0,IF(($E296=INDEX(_xlfn.ANCHORARRAY(Sintesi!$C$14),1,$C296))*(INDEX(_xlfn.ANCHORARRAY(Sintesi!$C$15),1,$C296)&gt;0),0,IF(($E296=INDEX(_xlfn.ANCHORARRAY(Sintesi!$C$14),1,$C296))*(INDEX(_xlfn.ANCHORARRAY(Sintesi!$C$15),1,$C296)&lt;0)+($E296&gt;=$E295)*($E296&lt;=$E297)*($E296&gt;INDEX(_xlfn.ANCHORARRAY(Sintesi!$C$14),1,$C296))*($E296&lt;=INDEX(_xlfn.ANCHORARRAY(Sintesi!$C$15),1,$C296))*(INDEX(_xlfn.ANCHORARRAY(Sintesi!$C$15),1,$C296)&gt;0),1,IF(($E296&gt;=$E295)*($E296&lt;=$E297)*($E296&gt;INDEX(_xlfn.ANCHORARRAY(Sintesi!$C$14),1,$C296))*($E296&lt;INDEX(_xlfn.ANCHORARRAY(Sintesi!$C$16),1,$C296))*(INDEX(_xlfn.ANCHORARRAY(Sintesi!$C$15),1,$C296)&lt;0)+($E296&gt;=$E295)*($E296&lt;=$E297)*($E296&gt;INDEX(_xlfn.ANCHORARRAY(Sintesi!$C$15),1,$C296))*($E296&lt;INDEX(_xlfn.ANCHORARRAY(Sintesi!$C$16),1,$C296))*(INDEX(_xlfn.ANCHORARRAY(Sintesi!$C$15),1,$C296)&gt;0),2,IF($E296=(INDEX(_xlfn.ANCHORARRAY(Sintesi!$C$16),1,$C296)),3,4)))),0),IF($C296&gt;0,IF(($E296=INDEX(_xlfn.ANCHORARRAY(Sintesi!$C$14),1,$C296))*(INDEX(_xlfn.ANCHORARRAY(Sintesi!$C$15),1,$C296)&gt;0),0,IF(($E296=INDEX(_xlfn.ANCHORARRAY(Sintesi!$C$14),1,$C296))*(INDEX(_xlfn.ANCHORARRAY(Sintesi!$C$15),1,$C296)&lt;0)+($E296&gt;=LOOKUP(2,1/($E:$E&lt;&gt;""),$E:$E))*($E296&lt;=$E297)*($E296&gt;INDEX(_xlfn.ANCHORARRAY(Sintesi!$C$14),1,$C296))*($E296&lt;=INDEX(_xlfn.ANCHORARRAY(Sintesi!$C$15),1,$C296))*(INDEX(_xlfn.ANCHORARRAY(Sintesi!$C$15),1,$C296)&gt;0),1,IF(($E296&gt;=LOOKUP(2,1/($E:$E&lt;&gt;""),$E:$E))*($E296&lt;=$E297)*($E296&gt;INDEX(_xlfn.ANCHORARRAY(Sintesi!$C$14),1,$C296))*($E296&lt;INDEX(_xlfn.ANCHORARRAY(Sintesi!$C$16),1,$C296))*(INDEX(_xlfn.ANCHORARRAY(Sintesi!$C$15),1,$C296)&lt;0)+($E296&gt;=LOOKUP(2,1/($E:$E&lt;&gt;""),$E:$E))*($E296&lt;=$E297)*($E296&gt;INDEX(_xlfn.ANCHORARRAY(Sintesi!$C$15),1,$C296))*($E296&lt;INDEX(_xlfn.ANCHORARRAY(Sintesi!$C$16),1,$C296))*(INDEX(_xlfn.ANCHORARRAY(Sintesi!$C$15),1,$C296)&gt;0),2,IF($E296=(INDEX(_xlfn.ANCHORARRAY(Sintesi!$C$16),1,$C296)),3,4)))),0)))</f>
        <v>0</v>
      </c>
      <c r="E296" s="1">
        <f>'Paste cell here'!F296</f>
        <v>0</v>
      </c>
      <c r="F296" s="1">
        <f>'Paste cell here'!C296</f>
        <v>20.019999999999712</v>
      </c>
      <c r="G296" s="1">
        <f>'Paste cell here'!D296</f>
        <v>10.539999999999862</v>
      </c>
      <c r="H296" s="1">
        <f>'Paste cell here'!E296</f>
        <v>1.1459451795967293</v>
      </c>
      <c r="I296" s="1">
        <f>'Paste cell here'!X296</f>
        <v>0</v>
      </c>
      <c r="J296" s="1">
        <f>'Paste cell here'!Y296+'Paste cell here'!S296</f>
        <v>0</v>
      </c>
      <c r="K296" s="1">
        <f t="shared" si="8"/>
        <v>0</v>
      </c>
      <c r="L296" s="1">
        <f t="shared" si="9"/>
        <v>16.582741283443124</v>
      </c>
      <c r="M296" s="1">
        <f t="array" ref="M296">IF(AND(A296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296&gt;=_xlfn.ANCHORARRAY(Sintesi!$C$9))+(_xlfn.ANCHORARRAY(Sintesi!$C$9)&gt;_xlfn.ANCHORARRAY(Sintesi!$C$10))*(A296&lt;=_xlfn.ANCHORARRAY(Sintesi!$C$10))+(_xlfn.ANCHORARRAY(Sintesi!$C$9)&lt;_xlfn.ANCHORARRAY(Sintesi!$C$10))*(A296&gt;=_xlfn.ANCHORARRAY(Sintesi!$C$9))*(A296&lt;=_xlfn.ANCHORARRAY(Sintesi!$C$10)),0)),0),A296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297&gt;=_xlfn.ANCHORARRAY(Sintesi!$C$9))+(_xlfn.ANCHORARRAY(Sintesi!$C$9)&gt;_xlfn.ANCHORARRAY(Sintesi!$C$10))*(A297&lt;=_xlfn.ANCHORARRAY(Sintesi!$C$10))+(_xlfn.ANCHORARRAY(Sintesi!$C$9)&lt;_xlfn.ANCHORARRAY(Sintesi!$C$10))*(A297&gt;=_xlfn.ANCHORARRAY(Sintesi!$C$9))*(A297&lt;=_xlfn.ANCHORARRAY(Sintesi!$C$10)),0)),0)),IF(L296&lt;_xlfn.IFNA(INDEX(_xlfn.ANCHORARRAY(Sintesi!$C$17),1,MATCH(1,(_xlfn.ANCHORARRAY(Sintesi!$C$9)&gt;_xlfn.ANCHORARRAY(Sintesi!$C$10))*(A295&gt;=_xlfn.ANCHORARRAY(Sintesi!$C$9))+(_xlfn.ANCHORARRAY(Sintesi!$C$9)&gt;_xlfn.ANCHORARRAY(Sintesi!$C$10))*(A295&lt;=_xlfn.ANCHORARRAY(Sintesi!$C$10))+(_xlfn.ANCHORARRAY(Sintesi!$C$9)&lt;_xlfn.ANCHORARRAY(Sintesi!$C$10))*(A295&gt;=_xlfn.ANCHORARRAY(Sintesi!$C$9))*(A295&lt;=_xlfn.ANCHORARRAY(Sintesi!$C$10)),0)),0),1,IF(L296&gt;=_xlfn.IFNA(INDEX(_xlfn.ANCHORARRAY(Sintesi!$C$18),1,MATCH(1,(_xlfn.ANCHORARRAY(Sintesi!$C$9)&gt;_xlfn.ANCHORARRAY(Sintesi!$C$10))*(A295&gt;=_xlfn.ANCHORARRAY(Sintesi!$C$9))+(_xlfn.ANCHORARRAY(Sintesi!$C$9)&gt;_xlfn.ANCHORARRAY(Sintesi!$C$10))*(A295&lt;=_xlfn.ANCHORARRAY(Sintesi!$C$10))+(_xlfn.ANCHORARRAY(Sintesi!$C$9)&lt;_xlfn.ANCHORARRAY(Sintesi!$C$10))*(A295&gt;=_xlfn.ANCHORARRAY(Sintesi!$C$9))*(A295&lt;=_xlfn.ANCHORARRAY(Sintesi!$C$10)),0)),0),0,1-(L296-_xlfn.IFNA(INDEX(_xlfn.ANCHORARRAY(Sintesi!$C$17),1,MATCH(1,(_xlfn.ANCHORARRAY(Sintesi!$C$9)&gt;_xlfn.ANCHORARRAY(Sintesi!$C$10))*(A295&gt;=_xlfn.ANCHORARRAY(Sintesi!$C$9))+(_xlfn.ANCHORARRAY(Sintesi!$C$9)&gt;_xlfn.ANCHORARRAY(Sintesi!$C$10))*(A295&lt;=_xlfn.ANCHORARRAY(Sintesi!$C$10))+(_xlfn.ANCHORARRAY(Sintesi!$C$9)&lt;_xlfn.ANCHORARRAY(Sintesi!$C$10))*(A295&gt;=_xlfn.ANCHORARRAY(Sintesi!$C$9))*(A295&lt;=_xlfn.ANCHORARRAY(Sintesi!$C$10)),0)),0))/(_xlfn.IFNA(INDEX(_xlfn.ANCHORARRAY(Sintesi!$C$18),1,MATCH(1,(_xlfn.ANCHORARRAY(Sintesi!$C$9)&gt;_xlfn.ANCHORARRAY(Sintesi!$C$10))*(A295&gt;=_xlfn.ANCHORARRAY(Sintesi!$C$9))+(_xlfn.ANCHORARRAY(Sintesi!$C$9)&gt;_xlfn.ANCHORARRAY(Sintesi!$C$10))*(A295&lt;=_xlfn.ANCHORARRAY(Sintesi!$C$10))+(_xlfn.ANCHORARRAY(Sintesi!$C$9)&lt;_xlfn.ANCHORARRAY(Sintesi!$C$10))*(A295&gt;=_xlfn.ANCHORARRAY(Sintesi!$C$9))*(A295&lt;=_xlfn.ANCHORARRAY(Sintesi!$C$10)),0)),0)-_xlfn.IFNA(INDEX(_xlfn.ANCHORARRAY(Sintesi!$C$17),1,MATCH(1,(_xlfn.ANCHORARRAY(Sintesi!$C$9)&gt;_xlfn.ANCHORARRAY(Sintesi!$C$10))*(A295&gt;=_xlfn.ANCHORARRAY(Sintesi!$C$9))+(_xlfn.ANCHORARRAY(Sintesi!$C$9)&gt;_xlfn.ANCHORARRAY(Sintesi!$C$10))*(A295&lt;=_xlfn.ANCHORARRAY(Sintesi!$C$10))+(_xlfn.ANCHORARRAY(Sintesi!$C$9)&lt;_xlfn.ANCHORARRAY(Sintesi!$C$10))*(A295&gt;=_xlfn.ANCHORARRAY(Sintesi!$C$9))*(A295&lt;=_xlfn.ANCHORARRAY(Sintesi!$C$10)),0)),0)))),0)</f>
        <v>0</v>
      </c>
    </row>
    <row r="297" spans="1:13">
      <c r="A297" s="1">
        <f>'Paste cell here'!A297</f>
        <v>296</v>
      </c>
      <c r="B297" s="2">
        <f>DATE(Sintesi!$C$4-1,12,31)+A297</f>
        <v>44492</v>
      </c>
      <c r="C297" s="34">
        <f t="array" ref="C297">_xlfn.IFNA(MATCH(1,((_xlfn.ANCHORARRAY(Sintesi!$C$9)&gt;_xlfn.ANCHORARRAY(Sintesi!$C$10))*(A297&gt;=_xlfn.ANCHORARRAY(Sintesi!$C$9))+(_xlfn.ANCHORARRAY(Sintesi!$C$9)&gt;_xlfn.ANCHORARRAY(Sintesi!$C$10))*(A297&lt;=_xlfn.ANCHORARRAY(Sintesi!$C$10))+(_xlfn.ANCHORARRAY(Sintesi!$C$9)&lt;_xlfn.ANCHORARRAY(Sintesi!$C$10))*(A297&gt;=_xlfn.ANCHORARRAY(Sintesi!$C$9))*(A297&lt;=_xlfn.ANCHORARRAY(Sintesi!$C$10)))*(_xlfn.ANCHORARRAY(Sintesi!$C$15)&gt;=0)+(_xlfn.ANCHORARRAY(Sintesi!$C$15)&lt;0),0),0)</f>
        <v>0</v>
      </c>
      <c r="D297" s="1">
        <f t="array" ref="D297">IF(ISBLANK($E298),IF(ISNUMBER($E296),IF($C297&gt;0,IF(($E297=INDEX(_xlfn.ANCHORARRAY(Sintesi!$C$14),1,$C297))*(INDEX(_xlfn.ANCHORARRAY(Sintesi!$C$15),1,$C297)&gt;0),0,IF(($E297=INDEX(_xlfn.ANCHORARRAY(Sintesi!$C$14),1,$C297))*(INDEX(_xlfn.ANCHORARRAY(Sintesi!$C$15),1,$C297)&lt;0)+($E297&gt;=$E296)*($E297&lt;=INDEX($E:$E,MATCH(TRUE,INDEX((ISNUMBER($E:$E)),0),0)))*($E297&gt;INDEX(_xlfn.ANCHORARRAY(Sintesi!$C$14),1,$C297))*($E297&lt;=INDEX(_xlfn.ANCHORARRAY(Sintesi!$C$15),1,$C297))*(INDEX(_xlfn.ANCHORARRAY(Sintesi!$C$15),1,$C297)&gt;0),1,IF(($E297&gt;=$E296)*($E297&lt;=INDEX($E:$E,MATCH(TRUE,INDEX((ISNUMBER($E:$E)),0),0)))*($E297&gt;INDEX(_xlfn.ANCHORARRAY(Sintesi!$C$14),1,$C297))*($E297&lt;INDEX(_xlfn.ANCHORARRAY(Sintesi!$C$16),1,$C297))*(INDEX(_xlfn.ANCHORARRAY(Sintesi!$C$15),1,$C297)&lt;0)+($E297&gt;=$E296)*($E297&lt;=INDEX($E:$E,MATCH(TRUE,INDEX((ISNUMBER($E:$E)),0),0)))*($E297&gt;INDEX(_xlfn.ANCHORARRAY(Sintesi!$C$15),1,$C297))*($E297&lt;INDEX(_xlfn.ANCHORARRAY(Sintesi!$C$16),1,$C297))*(INDEX(_xlfn.ANCHORARRAY(Sintesi!$C$15),1,$C297)&gt;0),2,IF($E297=(INDEX(_xlfn.ANCHORARRAY(Sintesi!$C$16),1,$C297)),3,4)))),0),IF($C297&gt;0,IF(($E297=INDEX(_xlfn.ANCHORARRAY(Sintesi!$C$14),1,$C297))*(INDEX(_xlfn.ANCHORARRAY(Sintesi!$C$15),1,$C297)&gt;0),0,IF(($E297=INDEX(_xlfn.ANCHORARRAY(Sintesi!$C$14),1,$C297))*(INDEX(_xlfn.ANCHORARRAY(Sintesi!$C$15),1,$C297)&lt;0)+($E297&gt;=LOOKUP(2,1/($E:$E&lt;&gt;""),$E:$E))*($E297&lt;=INDEX($E:$E,MATCH(TRUE,INDEX((ISNUMBER($E:$E)),0),0)))*($E297&gt;INDEX(_xlfn.ANCHORARRAY(Sintesi!$C$14),1,$C297))*($E297&lt;=INDEX(_xlfn.ANCHORARRAY(Sintesi!$C$15),1,$C297))*(INDEX(_xlfn.ANCHORARRAY(Sintesi!$C$15),1,$C297)&gt;0),1,IF(($E297&gt;=LOOKUP(2,1/($E:$E&lt;&gt;""),$E:$E))*($E297&lt;=INDEX($E:$E,MATCH(TRUE,INDEX((ISNUMBER($E:$E)),0),0)))*($E297&gt;INDEX(_xlfn.ANCHORARRAY(Sintesi!$C$14),1,$C297))*($E297&lt;INDEX(_xlfn.ANCHORARRAY(Sintesi!$C$16),1,$C297))*(INDEX(_xlfn.ANCHORARRAY(Sintesi!$C$15),1,$C297)&lt;0)+($E297&gt;=LOOKUP(2,1/($E:$E&lt;&gt;""),$E:$E))*($E297&lt;=INDEX($E:$E,MATCH(TRUE,INDEX((ISNUMBER($E:$E)),0),0)))*($E297&gt;INDEX(_xlfn.ANCHORARRAY(Sintesi!$C$15),1,$C297))*($E297&lt;INDEX(_xlfn.ANCHORARRAY(Sintesi!$C$16),1,$C297))*(INDEX(_xlfn.ANCHORARRAY(Sintesi!$C$15),1,$C297)&gt;0),2,IF($E297=(INDEX(_xlfn.ANCHORARRAY(Sintesi!$C$16),1,$C297)),3,4)))),0)),IF(ISNUMBER($E296),IF($C297&gt;0,IF(($E297=INDEX(_xlfn.ANCHORARRAY(Sintesi!$C$14),1,$C297))*(INDEX(_xlfn.ANCHORARRAY(Sintesi!$C$15),1,$C297)&gt;0),0,IF(($E297=INDEX(_xlfn.ANCHORARRAY(Sintesi!$C$14),1,$C297))*(INDEX(_xlfn.ANCHORARRAY(Sintesi!$C$15),1,$C297)&lt;0)+($E297&gt;=$E296)*($E297&lt;=$E298)*($E297&gt;INDEX(_xlfn.ANCHORARRAY(Sintesi!$C$14),1,$C297))*($E297&lt;=INDEX(_xlfn.ANCHORARRAY(Sintesi!$C$15),1,$C297))*(INDEX(_xlfn.ANCHORARRAY(Sintesi!$C$15),1,$C297)&gt;0),1,IF(($E297&gt;=$E296)*($E297&lt;=$E298)*($E297&gt;INDEX(_xlfn.ANCHORARRAY(Sintesi!$C$14),1,$C297))*($E297&lt;INDEX(_xlfn.ANCHORARRAY(Sintesi!$C$16),1,$C297))*(INDEX(_xlfn.ANCHORARRAY(Sintesi!$C$15),1,$C297)&lt;0)+($E297&gt;=$E296)*($E297&lt;=$E298)*($E297&gt;INDEX(_xlfn.ANCHORARRAY(Sintesi!$C$15),1,$C297))*($E297&lt;INDEX(_xlfn.ANCHORARRAY(Sintesi!$C$16),1,$C297))*(INDEX(_xlfn.ANCHORARRAY(Sintesi!$C$15),1,$C297)&gt;0),2,IF($E297=(INDEX(_xlfn.ANCHORARRAY(Sintesi!$C$16),1,$C297)),3,4)))),0),IF($C297&gt;0,IF(($E297=INDEX(_xlfn.ANCHORARRAY(Sintesi!$C$14),1,$C297))*(INDEX(_xlfn.ANCHORARRAY(Sintesi!$C$15),1,$C297)&gt;0),0,IF(($E297=INDEX(_xlfn.ANCHORARRAY(Sintesi!$C$14),1,$C297))*(INDEX(_xlfn.ANCHORARRAY(Sintesi!$C$15),1,$C297)&lt;0)+($E297&gt;=LOOKUP(2,1/($E:$E&lt;&gt;""),$E:$E))*($E297&lt;=$E298)*($E297&gt;INDEX(_xlfn.ANCHORARRAY(Sintesi!$C$14),1,$C297))*($E297&lt;=INDEX(_xlfn.ANCHORARRAY(Sintesi!$C$15),1,$C297))*(INDEX(_xlfn.ANCHORARRAY(Sintesi!$C$15),1,$C297)&gt;0),1,IF(($E297&gt;=LOOKUP(2,1/($E:$E&lt;&gt;""),$E:$E))*($E297&lt;=$E298)*($E297&gt;INDEX(_xlfn.ANCHORARRAY(Sintesi!$C$14),1,$C297))*($E297&lt;INDEX(_xlfn.ANCHORARRAY(Sintesi!$C$16),1,$C297))*(INDEX(_xlfn.ANCHORARRAY(Sintesi!$C$15),1,$C297)&lt;0)+($E297&gt;=LOOKUP(2,1/($E:$E&lt;&gt;""),$E:$E))*($E297&lt;=$E298)*($E297&gt;INDEX(_xlfn.ANCHORARRAY(Sintesi!$C$15),1,$C297))*($E297&lt;INDEX(_xlfn.ANCHORARRAY(Sintesi!$C$16),1,$C297))*(INDEX(_xlfn.ANCHORARRAY(Sintesi!$C$15),1,$C297)&gt;0),2,IF($E297=(INDEX(_xlfn.ANCHORARRAY(Sintesi!$C$16),1,$C297)),3,4)))),0)))</f>
        <v>0</v>
      </c>
      <c r="E297" s="1">
        <f>'Paste cell here'!F297</f>
        <v>0</v>
      </c>
      <c r="F297" s="1">
        <f>'Paste cell here'!C297</f>
        <v>18.679999999999726</v>
      </c>
      <c r="G297" s="1">
        <f>'Paste cell here'!D297</f>
        <v>9.9799999999998636</v>
      </c>
      <c r="H297" s="1">
        <f>'Paste cell here'!E297</f>
        <v>0.99688039399971518</v>
      </c>
      <c r="I297" s="1">
        <f>'Paste cell here'!X297</f>
        <v>0</v>
      </c>
      <c r="J297" s="1">
        <f>'Paste cell here'!Y297+'Paste cell here'!S297</f>
        <v>0</v>
      </c>
      <c r="K297" s="1">
        <f t="shared" si="8"/>
        <v>0</v>
      </c>
      <c r="L297" s="1">
        <f t="shared" si="9"/>
        <v>15.525553709488934</v>
      </c>
      <c r="M297" s="1">
        <f t="array" ref="M297">IF(AND(A297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297&gt;=_xlfn.ANCHORARRAY(Sintesi!$C$9))+(_xlfn.ANCHORARRAY(Sintesi!$C$9)&gt;_xlfn.ANCHORARRAY(Sintesi!$C$10))*(A297&lt;=_xlfn.ANCHORARRAY(Sintesi!$C$10))+(_xlfn.ANCHORARRAY(Sintesi!$C$9)&lt;_xlfn.ANCHORARRAY(Sintesi!$C$10))*(A297&gt;=_xlfn.ANCHORARRAY(Sintesi!$C$9))*(A297&lt;=_xlfn.ANCHORARRAY(Sintesi!$C$10)),0)),0),A297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298&gt;=_xlfn.ANCHORARRAY(Sintesi!$C$9))+(_xlfn.ANCHORARRAY(Sintesi!$C$9)&gt;_xlfn.ANCHORARRAY(Sintesi!$C$10))*(A298&lt;=_xlfn.ANCHORARRAY(Sintesi!$C$10))+(_xlfn.ANCHORARRAY(Sintesi!$C$9)&lt;_xlfn.ANCHORARRAY(Sintesi!$C$10))*(A298&gt;=_xlfn.ANCHORARRAY(Sintesi!$C$9))*(A298&lt;=_xlfn.ANCHORARRAY(Sintesi!$C$10)),0)),0)),IF(L297&lt;_xlfn.IFNA(INDEX(_xlfn.ANCHORARRAY(Sintesi!$C$17),1,MATCH(1,(_xlfn.ANCHORARRAY(Sintesi!$C$9)&gt;_xlfn.ANCHORARRAY(Sintesi!$C$10))*(A296&gt;=_xlfn.ANCHORARRAY(Sintesi!$C$9))+(_xlfn.ANCHORARRAY(Sintesi!$C$9)&gt;_xlfn.ANCHORARRAY(Sintesi!$C$10))*(A296&lt;=_xlfn.ANCHORARRAY(Sintesi!$C$10))+(_xlfn.ANCHORARRAY(Sintesi!$C$9)&lt;_xlfn.ANCHORARRAY(Sintesi!$C$10))*(A296&gt;=_xlfn.ANCHORARRAY(Sintesi!$C$9))*(A296&lt;=_xlfn.ANCHORARRAY(Sintesi!$C$10)),0)),0),1,IF(L297&gt;=_xlfn.IFNA(INDEX(_xlfn.ANCHORARRAY(Sintesi!$C$18),1,MATCH(1,(_xlfn.ANCHORARRAY(Sintesi!$C$9)&gt;_xlfn.ANCHORARRAY(Sintesi!$C$10))*(A296&gt;=_xlfn.ANCHORARRAY(Sintesi!$C$9))+(_xlfn.ANCHORARRAY(Sintesi!$C$9)&gt;_xlfn.ANCHORARRAY(Sintesi!$C$10))*(A296&lt;=_xlfn.ANCHORARRAY(Sintesi!$C$10))+(_xlfn.ANCHORARRAY(Sintesi!$C$9)&lt;_xlfn.ANCHORARRAY(Sintesi!$C$10))*(A296&gt;=_xlfn.ANCHORARRAY(Sintesi!$C$9))*(A296&lt;=_xlfn.ANCHORARRAY(Sintesi!$C$10)),0)),0),0,1-(L297-_xlfn.IFNA(INDEX(_xlfn.ANCHORARRAY(Sintesi!$C$17),1,MATCH(1,(_xlfn.ANCHORARRAY(Sintesi!$C$9)&gt;_xlfn.ANCHORARRAY(Sintesi!$C$10))*(A296&gt;=_xlfn.ANCHORARRAY(Sintesi!$C$9))+(_xlfn.ANCHORARRAY(Sintesi!$C$9)&gt;_xlfn.ANCHORARRAY(Sintesi!$C$10))*(A296&lt;=_xlfn.ANCHORARRAY(Sintesi!$C$10))+(_xlfn.ANCHORARRAY(Sintesi!$C$9)&lt;_xlfn.ANCHORARRAY(Sintesi!$C$10))*(A296&gt;=_xlfn.ANCHORARRAY(Sintesi!$C$9))*(A296&lt;=_xlfn.ANCHORARRAY(Sintesi!$C$10)),0)),0))/(_xlfn.IFNA(INDEX(_xlfn.ANCHORARRAY(Sintesi!$C$18),1,MATCH(1,(_xlfn.ANCHORARRAY(Sintesi!$C$9)&gt;_xlfn.ANCHORARRAY(Sintesi!$C$10))*(A296&gt;=_xlfn.ANCHORARRAY(Sintesi!$C$9))+(_xlfn.ANCHORARRAY(Sintesi!$C$9)&gt;_xlfn.ANCHORARRAY(Sintesi!$C$10))*(A296&lt;=_xlfn.ANCHORARRAY(Sintesi!$C$10))+(_xlfn.ANCHORARRAY(Sintesi!$C$9)&lt;_xlfn.ANCHORARRAY(Sintesi!$C$10))*(A296&gt;=_xlfn.ANCHORARRAY(Sintesi!$C$9))*(A296&lt;=_xlfn.ANCHORARRAY(Sintesi!$C$10)),0)),0)-_xlfn.IFNA(INDEX(_xlfn.ANCHORARRAY(Sintesi!$C$17),1,MATCH(1,(_xlfn.ANCHORARRAY(Sintesi!$C$9)&gt;_xlfn.ANCHORARRAY(Sintesi!$C$10))*(A296&gt;=_xlfn.ANCHORARRAY(Sintesi!$C$9))+(_xlfn.ANCHORARRAY(Sintesi!$C$9)&gt;_xlfn.ANCHORARRAY(Sintesi!$C$10))*(A296&lt;=_xlfn.ANCHORARRAY(Sintesi!$C$10))+(_xlfn.ANCHORARRAY(Sintesi!$C$9)&lt;_xlfn.ANCHORARRAY(Sintesi!$C$10))*(A296&gt;=_xlfn.ANCHORARRAY(Sintesi!$C$9))*(A296&lt;=_xlfn.ANCHORARRAY(Sintesi!$C$10)),0)),0)))),0)</f>
        <v>0</v>
      </c>
    </row>
    <row r="298" spans="1:13">
      <c r="A298" s="1">
        <f>'Paste cell here'!A298</f>
        <v>297</v>
      </c>
      <c r="B298" s="2">
        <f>DATE(Sintesi!$C$4-1,12,31)+A298</f>
        <v>44493</v>
      </c>
      <c r="C298" s="34">
        <f t="array" ref="C298">_xlfn.IFNA(MATCH(1,((_xlfn.ANCHORARRAY(Sintesi!$C$9)&gt;_xlfn.ANCHORARRAY(Sintesi!$C$10))*(A298&gt;=_xlfn.ANCHORARRAY(Sintesi!$C$9))+(_xlfn.ANCHORARRAY(Sintesi!$C$9)&gt;_xlfn.ANCHORARRAY(Sintesi!$C$10))*(A298&lt;=_xlfn.ANCHORARRAY(Sintesi!$C$10))+(_xlfn.ANCHORARRAY(Sintesi!$C$9)&lt;_xlfn.ANCHORARRAY(Sintesi!$C$10))*(A298&gt;=_xlfn.ANCHORARRAY(Sintesi!$C$9))*(A298&lt;=_xlfn.ANCHORARRAY(Sintesi!$C$10)))*(_xlfn.ANCHORARRAY(Sintesi!$C$15)&gt;=0)+(_xlfn.ANCHORARRAY(Sintesi!$C$15)&lt;0),0),0)</f>
        <v>0</v>
      </c>
      <c r="D298" s="1">
        <f t="array" ref="D298">IF(ISBLANK($E299),IF(ISNUMBER($E297),IF($C298&gt;0,IF(($E298=INDEX(_xlfn.ANCHORARRAY(Sintesi!$C$14),1,$C298))*(INDEX(_xlfn.ANCHORARRAY(Sintesi!$C$15),1,$C298)&gt;0),0,IF(($E298=INDEX(_xlfn.ANCHORARRAY(Sintesi!$C$14),1,$C298))*(INDEX(_xlfn.ANCHORARRAY(Sintesi!$C$15),1,$C298)&lt;0)+($E298&gt;=$E297)*($E298&lt;=INDEX($E:$E,MATCH(TRUE,INDEX((ISNUMBER($E:$E)),0),0)))*($E298&gt;INDEX(_xlfn.ANCHORARRAY(Sintesi!$C$14),1,$C298))*($E298&lt;=INDEX(_xlfn.ANCHORARRAY(Sintesi!$C$15),1,$C298))*(INDEX(_xlfn.ANCHORARRAY(Sintesi!$C$15),1,$C298)&gt;0),1,IF(($E298&gt;=$E297)*($E298&lt;=INDEX($E:$E,MATCH(TRUE,INDEX((ISNUMBER($E:$E)),0),0)))*($E298&gt;INDEX(_xlfn.ANCHORARRAY(Sintesi!$C$14),1,$C298))*($E298&lt;INDEX(_xlfn.ANCHORARRAY(Sintesi!$C$16),1,$C298))*(INDEX(_xlfn.ANCHORARRAY(Sintesi!$C$15),1,$C298)&lt;0)+($E298&gt;=$E297)*($E298&lt;=INDEX($E:$E,MATCH(TRUE,INDEX((ISNUMBER($E:$E)),0),0)))*($E298&gt;INDEX(_xlfn.ANCHORARRAY(Sintesi!$C$15),1,$C298))*($E298&lt;INDEX(_xlfn.ANCHORARRAY(Sintesi!$C$16),1,$C298))*(INDEX(_xlfn.ANCHORARRAY(Sintesi!$C$15),1,$C298)&gt;0),2,IF($E298=(INDEX(_xlfn.ANCHORARRAY(Sintesi!$C$16),1,$C298)),3,4)))),0),IF($C298&gt;0,IF(($E298=INDEX(_xlfn.ANCHORARRAY(Sintesi!$C$14),1,$C298))*(INDEX(_xlfn.ANCHORARRAY(Sintesi!$C$15),1,$C298)&gt;0),0,IF(($E298=INDEX(_xlfn.ANCHORARRAY(Sintesi!$C$14),1,$C298))*(INDEX(_xlfn.ANCHORARRAY(Sintesi!$C$15),1,$C298)&lt;0)+($E298&gt;=LOOKUP(2,1/($E:$E&lt;&gt;""),$E:$E))*($E298&lt;=INDEX($E:$E,MATCH(TRUE,INDEX((ISNUMBER($E:$E)),0),0)))*($E298&gt;INDEX(_xlfn.ANCHORARRAY(Sintesi!$C$14),1,$C298))*($E298&lt;=INDEX(_xlfn.ANCHORARRAY(Sintesi!$C$15),1,$C298))*(INDEX(_xlfn.ANCHORARRAY(Sintesi!$C$15),1,$C298)&gt;0),1,IF(($E298&gt;=LOOKUP(2,1/($E:$E&lt;&gt;""),$E:$E))*($E298&lt;=INDEX($E:$E,MATCH(TRUE,INDEX((ISNUMBER($E:$E)),0),0)))*($E298&gt;INDEX(_xlfn.ANCHORARRAY(Sintesi!$C$14),1,$C298))*($E298&lt;INDEX(_xlfn.ANCHORARRAY(Sintesi!$C$16),1,$C298))*(INDEX(_xlfn.ANCHORARRAY(Sintesi!$C$15),1,$C298)&lt;0)+($E298&gt;=LOOKUP(2,1/($E:$E&lt;&gt;""),$E:$E))*($E298&lt;=INDEX($E:$E,MATCH(TRUE,INDEX((ISNUMBER($E:$E)),0),0)))*($E298&gt;INDEX(_xlfn.ANCHORARRAY(Sintesi!$C$15),1,$C298))*($E298&lt;INDEX(_xlfn.ANCHORARRAY(Sintesi!$C$16),1,$C298))*(INDEX(_xlfn.ANCHORARRAY(Sintesi!$C$15),1,$C298)&gt;0),2,IF($E298=(INDEX(_xlfn.ANCHORARRAY(Sintesi!$C$16),1,$C298)),3,4)))),0)),IF(ISNUMBER($E297),IF($C298&gt;0,IF(($E298=INDEX(_xlfn.ANCHORARRAY(Sintesi!$C$14),1,$C298))*(INDEX(_xlfn.ANCHORARRAY(Sintesi!$C$15),1,$C298)&gt;0),0,IF(($E298=INDEX(_xlfn.ANCHORARRAY(Sintesi!$C$14),1,$C298))*(INDEX(_xlfn.ANCHORARRAY(Sintesi!$C$15),1,$C298)&lt;0)+($E298&gt;=$E297)*($E298&lt;=$E299)*($E298&gt;INDEX(_xlfn.ANCHORARRAY(Sintesi!$C$14),1,$C298))*($E298&lt;=INDEX(_xlfn.ANCHORARRAY(Sintesi!$C$15),1,$C298))*(INDEX(_xlfn.ANCHORARRAY(Sintesi!$C$15),1,$C298)&gt;0),1,IF(($E298&gt;=$E297)*($E298&lt;=$E299)*($E298&gt;INDEX(_xlfn.ANCHORARRAY(Sintesi!$C$14),1,$C298))*($E298&lt;INDEX(_xlfn.ANCHORARRAY(Sintesi!$C$16),1,$C298))*(INDEX(_xlfn.ANCHORARRAY(Sintesi!$C$15),1,$C298)&lt;0)+($E298&gt;=$E297)*($E298&lt;=$E299)*($E298&gt;INDEX(_xlfn.ANCHORARRAY(Sintesi!$C$15),1,$C298))*($E298&lt;INDEX(_xlfn.ANCHORARRAY(Sintesi!$C$16),1,$C298))*(INDEX(_xlfn.ANCHORARRAY(Sintesi!$C$15),1,$C298)&gt;0),2,IF($E298=(INDEX(_xlfn.ANCHORARRAY(Sintesi!$C$16),1,$C298)),3,4)))),0),IF($C298&gt;0,IF(($E298=INDEX(_xlfn.ANCHORARRAY(Sintesi!$C$14),1,$C298))*(INDEX(_xlfn.ANCHORARRAY(Sintesi!$C$15),1,$C298)&gt;0),0,IF(($E298=INDEX(_xlfn.ANCHORARRAY(Sintesi!$C$14),1,$C298))*(INDEX(_xlfn.ANCHORARRAY(Sintesi!$C$15),1,$C298)&lt;0)+($E298&gt;=LOOKUP(2,1/($E:$E&lt;&gt;""),$E:$E))*($E298&lt;=$E299)*($E298&gt;INDEX(_xlfn.ANCHORARRAY(Sintesi!$C$14),1,$C298))*($E298&lt;=INDEX(_xlfn.ANCHORARRAY(Sintesi!$C$15),1,$C298))*(INDEX(_xlfn.ANCHORARRAY(Sintesi!$C$15),1,$C298)&gt;0),1,IF(($E298&gt;=LOOKUP(2,1/($E:$E&lt;&gt;""),$E:$E))*($E298&lt;=$E299)*($E298&gt;INDEX(_xlfn.ANCHORARRAY(Sintesi!$C$14),1,$C298))*($E298&lt;INDEX(_xlfn.ANCHORARRAY(Sintesi!$C$16),1,$C298))*(INDEX(_xlfn.ANCHORARRAY(Sintesi!$C$15),1,$C298)&lt;0)+($E298&gt;=LOOKUP(2,1/($E:$E&lt;&gt;""),$E:$E))*($E298&lt;=$E299)*($E298&gt;INDEX(_xlfn.ANCHORARRAY(Sintesi!$C$15),1,$C298))*($E298&lt;INDEX(_xlfn.ANCHORARRAY(Sintesi!$C$16),1,$C298))*(INDEX(_xlfn.ANCHORARRAY(Sintesi!$C$15),1,$C298)&gt;0),2,IF($E298=(INDEX(_xlfn.ANCHORARRAY(Sintesi!$C$16),1,$C298)),3,4)))),0)))</f>
        <v>0</v>
      </c>
      <c r="E298" s="1">
        <f>'Paste cell here'!F298</f>
        <v>0</v>
      </c>
      <c r="F298" s="1">
        <f>'Paste cell here'!C298</f>
        <v>17.179999999999751</v>
      </c>
      <c r="G298" s="1">
        <f>'Paste cell here'!D298</f>
        <v>9.2199999999998816</v>
      </c>
      <c r="H298" s="1">
        <f>'Paste cell here'!E298</f>
        <v>1.0935239508535008</v>
      </c>
      <c r="I298" s="1">
        <f>'Paste cell here'!X298</f>
        <v>0</v>
      </c>
      <c r="J298" s="1">
        <f>'Paste cell here'!Y298+'Paste cell here'!S298</f>
        <v>0</v>
      </c>
      <c r="K298" s="1">
        <f t="shared" si="8"/>
        <v>0</v>
      </c>
      <c r="L298" s="1">
        <f t="shared" si="9"/>
        <v>14.293862934199073</v>
      </c>
      <c r="M298" s="1">
        <f t="array" ref="M298">IF(AND(A298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298&gt;=_xlfn.ANCHORARRAY(Sintesi!$C$9))+(_xlfn.ANCHORARRAY(Sintesi!$C$9)&gt;_xlfn.ANCHORARRAY(Sintesi!$C$10))*(A298&lt;=_xlfn.ANCHORARRAY(Sintesi!$C$10))+(_xlfn.ANCHORARRAY(Sintesi!$C$9)&lt;_xlfn.ANCHORARRAY(Sintesi!$C$10))*(A298&gt;=_xlfn.ANCHORARRAY(Sintesi!$C$9))*(A298&lt;=_xlfn.ANCHORARRAY(Sintesi!$C$10)),0)),0),A298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299&gt;=_xlfn.ANCHORARRAY(Sintesi!$C$9))+(_xlfn.ANCHORARRAY(Sintesi!$C$9)&gt;_xlfn.ANCHORARRAY(Sintesi!$C$10))*(A299&lt;=_xlfn.ANCHORARRAY(Sintesi!$C$10))+(_xlfn.ANCHORARRAY(Sintesi!$C$9)&lt;_xlfn.ANCHORARRAY(Sintesi!$C$10))*(A299&gt;=_xlfn.ANCHORARRAY(Sintesi!$C$9))*(A299&lt;=_xlfn.ANCHORARRAY(Sintesi!$C$10)),0)),0)),IF(L298&lt;_xlfn.IFNA(INDEX(_xlfn.ANCHORARRAY(Sintesi!$C$17),1,MATCH(1,(_xlfn.ANCHORARRAY(Sintesi!$C$9)&gt;_xlfn.ANCHORARRAY(Sintesi!$C$10))*(A297&gt;=_xlfn.ANCHORARRAY(Sintesi!$C$9))+(_xlfn.ANCHORARRAY(Sintesi!$C$9)&gt;_xlfn.ANCHORARRAY(Sintesi!$C$10))*(A297&lt;=_xlfn.ANCHORARRAY(Sintesi!$C$10))+(_xlfn.ANCHORARRAY(Sintesi!$C$9)&lt;_xlfn.ANCHORARRAY(Sintesi!$C$10))*(A297&gt;=_xlfn.ANCHORARRAY(Sintesi!$C$9))*(A297&lt;=_xlfn.ANCHORARRAY(Sintesi!$C$10)),0)),0),1,IF(L298&gt;=_xlfn.IFNA(INDEX(_xlfn.ANCHORARRAY(Sintesi!$C$18),1,MATCH(1,(_xlfn.ANCHORARRAY(Sintesi!$C$9)&gt;_xlfn.ANCHORARRAY(Sintesi!$C$10))*(A297&gt;=_xlfn.ANCHORARRAY(Sintesi!$C$9))+(_xlfn.ANCHORARRAY(Sintesi!$C$9)&gt;_xlfn.ANCHORARRAY(Sintesi!$C$10))*(A297&lt;=_xlfn.ANCHORARRAY(Sintesi!$C$10))+(_xlfn.ANCHORARRAY(Sintesi!$C$9)&lt;_xlfn.ANCHORARRAY(Sintesi!$C$10))*(A297&gt;=_xlfn.ANCHORARRAY(Sintesi!$C$9))*(A297&lt;=_xlfn.ANCHORARRAY(Sintesi!$C$10)),0)),0),0,1-(L298-_xlfn.IFNA(INDEX(_xlfn.ANCHORARRAY(Sintesi!$C$17),1,MATCH(1,(_xlfn.ANCHORARRAY(Sintesi!$C$9)&gt;_xlfn.ANCHORARRAY(Sintesi!$C$10))*(A297&gt;=_xlfn.ANCHORARRAY(Sintesi!$C$9))+(_xlfn.ANCHORARRAY(Sintesi!$C$9)&gt;_xlfn.ANCHORARRAY(Sintesi!$C$10))*(A297&lt;=_xlfn.ANCHORARRAY(Sintesi!$C$10))+(_xlfn.ANCHORARRAY(Sintesi!$C$9)&lt;_xlfn.ANCHORARRAY(Sintesi!$C$10))*(A297&gt;=_xlfn.ANCHORARRAY(Sintesi!$C$9))*(A297&lt;=_xlfn.ANCHORARRAY(Sintesi!$C$10)),0)),0))/(_xlfn.IFNA(INDEX(_xlfn.ANCHORARRAY(Sintesi!$C$18),1,MATCH(1,(_xlfn.ANCHORARRAY(Sintesi!$C$9)&gt;_xlfn.ANCHORARRAY(Sintesi!$C$10))*(A297&gt;=_xlfn.ANCHORARRAY(Sintesi!$C$9))+(_xlfn.ANCHORARRAY(Sintesi!$C$9)&gt;_xlfn.ANCHORARRAY(Sintesi!$C$10))*(A297&lt;=_xlfn.ANCHORARRAY(Sintesi!$C$10))+(_xlfn.ANCHORARRAY(Sintesi!$C$9)&lt;_xlfn.ANCHORARRAY(Sintesi!$C$10))*(A297&gt;=_xlfn.ANCHORARRAY(Sintesi!$C$9))*(A297&lt;=_xlfn.ANCHORARRAY(Sintesi!$C$10)),0)),0)-_xlfn.IFNA(INDEX(_xlfn.ANCHORARRAY(Sintesi!$C$17),1,MATCH(1,(_xlfn.ANCHORARRAY(Sintesi!$C$9)&gt;_xlfn.ANCHORARRAY(Sintesi!$C$10))*(A297&gt;=_xlfn.ANCHORARRAY(Sintesi!$C$9))+(_xlfn.ANCHORARRAY(Sintesi!$C$9)&gt;_xlfn.ANCHORARRAY(Sintesi!$C$10))*(A297&lt;=_xlfn.ANCHORARRAY(Sintesi!$C$10))+(_xlfn.ANCHORARRAY(Sintesi!$C$9)&lt;_xlfn.ANCHORARRAY(Sintesi!$C$10))*(A297&gt;=_xlfn.ANCHORARRAY(Sintesi!$C$9))*(A297&lt;=_xlfn.ANCHORARRAY(Sintesi!$C$10)),0)),0)))),0)</f>
        <v>0</v>
      </c>
    </row>
    <row r="299" spans="1:13">
      <c r="A299" s="1">
        <f>'Paste cell here'!A299</f>
        <v>298</v>
      </c>
      <c r="B299" s="2">
        <f>DATE(Sintesi!$C$4-1,12,31)+A299</f>
        <v>44494</v>
      </c>
      <c r="C299" s="34">
        <f t="array" ref="C299">_xlfn.IFNA(MATCH(1,((_xlfn.ANCHORARRAY(Sintesi!$C$9)&gt;_xlfn.ANCHORARRAY(Sintesi!$C$10))*(A299&gt;=_xlfn.ANCHORARRAY(Sintesi!$C$9))+(_xlfn.ANCHORARRAY(Sintesi!$C$9)&gt;_xlfn.ANCHORARRAY(Sintesi!$C$10))*(A299&lt;=_xlfn.ANCHORARRAY(Sintesi!$C$10))+(_xlfn.ANCHORARRAY(Sintesi!$C$9)&lt;_xlfn.ANCHORARRAY(Sintesi!$C$10))*(A299&gt;=_xlfn.ANCHORARRAY(Sintesi!$C$9))*(A299&lt;=_xlfn.ANCHORARRAY(Sintesi!$C$10)))*(_xlfn.ANCHORARRAY(Sintesi!$C$15)&gt;=0)+(_xlfn.ANCHORARRAY(Sintesi!$C$15)&lt;0),0),0)</f>
        <v>0</v>
      </c>
      <c r="D299" s="1">
        <f t="array" ref="D299">IF(ISBLANK($E300),IF(ISNUMBER($E298),IF($C299&gt;0,IF(($E299=INDEX(_xlfn.ANCHORARRAY(Sintesi!$C$14),1,$C299))*(INDEX(_xlfn.ANCHORARRAY(Sintesi!$C$15),1,$C299)&gt;0),0,IF(($E299=INDEX(_xlfn.ANCHORARRAY(Sintesi!$C$14),1,$C299))*(INDEX(_xlfn.ANCHORARRAY(Sintesi!$C$15),1,$C299)&lt;0)+($E299&gt;=$E298)*($E299&lt;=INDEX($E:$E,MATCH(TRUE,INDEX((ISNUMBER($E:$E)),0),0)))*($E299&gt;INDEX(_xlfn.ANCHORARRAY(Sintesi!$C$14),1,$C299))*($E299&lt;=INDEX(_xlfn.ANCHORARRAY(Sintesi!$C$15),1,$C299))*(INDEX(_xlfn.ANCHORARRAY(Sintesi!$C$15),1,$C299)&gt;0),1,IF(($E299&gt;=$E298)*($E299&lt;=INDEX($E:$E,MATCH(TRUE,INDEX((ISNUMBER($E:$E)),0),0)))*($E299&gt;INDEX(_xlfn.ANCHORARRAY(Sintesi!$C$14),1,$C299))*($E299&lt;INDEX(_xlfn.ANCHORARRAY(Sintesi!$C$16),1,$C299))*(INDEX(_xlfn.ANCHORARRAY(Sintesi!$C$15),1,$C299)&lt;0)+($E299&gt;=$E298)*($E299&lt;=INDEX($E:$E,MATCH(TRUE,INDEX((ISNUMBER($E:$E)),0),0)))*($E299&gt;INDEX(_xlfn.ANCHORARRAY(Sintesi!$C$15),1,$C299))*($E299&lt;INDEX(_xlfn.ANCHORARRAY(Sintesi!$C$16),1,$C299))*(INDEX(_xlfn.ANCHORARRAY(Sintesi!$C$15),1,$C299)&gt;0),2,IF($E299=(INDEX(_xlfn.ANCHORARRAY(Sintesi!$C$16),1,$C299)),3,4)))),0),IF($C299&gt;0,IF(($E299=INDEX(_xlfn.ANCHORARRAY(Sintesi!$C$14),1,$C299))*(INDEX(_xlfn.ANCHORARRAY(Sintesi!$C$15),1,$C299)&gt;0),0,IF(($E299=INDEX(_xlfn.ANCHORARRAY(Sintesi!$C$14),1,$C299))*(INDEX(_xlfn.ANCHORARRAY(Sintesi!$C$15),1,$C299)&lt;0)+($E299&gt;=LOOKUP(2,1/($E:$E&lt;&gt;""),$E:$E))*($E299&lt;=INDEX($E:$E,MATCH(TRUE,INDEX((ISNUMBER($E:$E)),0),0)))*($E299&gt;INDEX(_xlfn.ANCHORARRAY(Sintesi!$C$14),1,$C299))*($E299&lt;=INDEX(_xlfn.ANCHORARRAY(Sintesi!$C$15),1,$C299))*(INDEX(_xlfn.ANCHORARRAY(Sintesi!$C$15),1,$C299)&gt;0),1,IF(($E299&gt;=LOOKUP(2,1/($E:$E&lt;&gt;""),$E:$E))*($E299&lt;=INDEX($E:$E,MATCH(TRUE,INDEX((ISNUMBER($E:$E)),0),0)))*($E299&gt;INDEX(_xlfn.ANCHORARRAY(Sintesi!$C$14),1,$C299))*($E299&lt;INDEX(_xlfn.ANCHORARRAY(Sintesi!$C$16),1,$C299))*(INDEX(_xlfn.ANCHORARRAY(Sintesi!$C$15),1,$C299)&lt;0)+($E299&gt;=LOOKUP(2,1/($E:$E&lt;&gt;""),$E:$E))*($E299&lt;=INDEX($E:$E,MATCH(TRUE,INDEX((ISNUMBER($E:$E)),0),0)))*($E299&gt;INDEX(_xlfn.ANCHORARRAY(Sintesi!$C$15),1,$C299))*($E299&lt;INDEX(_xlfn.ANCHORARRAY(Sintesi!$C$16),1,$C299))*(INDEX(_xlfn.ANCHORARRAY(Sintesi!$C$15),1,$C299)&gt;0),2,IF($E299=(INDEX(_xlfn.ANCHORARRAY(Sintesi!$C$16),1,$C299)),3,4)))),0)),IF(ISNUMBER($E298),IF($C299&gt;0,IF(($E299=INDEX(_xlfn.ANCHORARRAY(Sintesi!$C$14),1,$C299))*(INDEX(_xlfn.ANCHORARRAY(Sintesi!$C$15),1,$C299)&gt;0),0,IF(($E299=INDEX(_xlfn.ANCHORARRAY(Sintesi!$C$14),1,$C299))*(INDEX(_xlfn.ANCHORARRAY(Sintesi!$C$15),1,$C299)&lt;0)+($E299&gt;=$E298)*($E299&lt;=$E300)*($E299&gt;INDEX(_xlfn.ANCHORARRAY(Sintesi!$C$14),1,$C299))*($E299&lt;=INDEX(_xlfn.ANCHORARRAY(Sintesi!$C$15),1,$C299))*(INDEX(_xlfn.ANCHORARRAY(Sintesi!$C$15),1,$C299)&gt;0),1,IF(($E299&gt;=$E298)*($E299&lt;=$E300)*($E299&gt;INDEX(_xlfn.ANCHORARRAY(Sintesi!$C$14),1,$C299))*($E299&lt;INDEX(_xlfn.ANCHORARRAY(Sintesi!$C$16),1,$C299))*(INDEX(_xlfn.ANCHORARRAY(Sintesi!$C$15),1,$C299)&lt;0)+($E299&gt;=$E298)*($E299&lt;=$E300)*($E299&gt;INDEX(_xlfn.ANCHORARRAY(Sintesi!$C$15),1,$C299))*($E299&lt;INDEX(_xlfn.ANCHORARRAY(Sintesi!$C$16),1,$C299))*(INDEX(_xlfn.ANCHORARRAY(Sintesi!$C$15),1,$C299)&gt;0),2,IF($E299=(INDEX(_xlfn.ANCHORARRAY(Sintesi!$C$16),1,$C299)),3,4)))),0),IF($C299&gt;0,IF(($E299=INDEX(_xlfn.ANCHORARRAY(Sintesi!$C$14),1,$C299))*(INDEX(_xlfn.ANCHORARRAY(Sintesi!$C$15),1,$C299)&gt;0),0,IF(($E299=INDEX(_xlfn.ANCHORARRAY(Sintesi!$C$14),1,$C299))*(INDEX(_xlfn.ANCHORARRAY(Sintesi!$C$15),1,$C299)&lt;0)+($E299&gt;=LOOKUP(2,1/($E:$E&lt;&gt;""),$E:$E))*($E299&lt;=$E300)*($E299&gt;INDEX(_xlfn.ANCHORARRAY(Sintesi!$C$14),1,$C299))*($E299&lt;=INDEX(_xlfn.ANCHORARRAY(Sintesi!$C$15),1,$C299))*(INDEX(_xlfn.ANCHORARRAY(Sintesi!$C$15),1,$C299)&gt;0),1,IF(($E299&gt;=LOOKUP(2,1/($E:$E&lt;&gt;""),$E:$E))*($E299&lt;=$E300)*($E299&gt;INDEX(_xlfn.ANCHORARRAY(Sintesi!$C$14),1,$C299))*($E299&lt;INDEX(_xlfn.ANCHORARRAY(Sintesi!$C$16),1,$C299))*(INDEX(_xlfn.ANCHORARRAY(Sintesi!$C$15),1,$C299)&lt;0)+($E299&gt;=LOOKUP(2,1/($E:$E&lt;&gt;""),$E:$E))*($E299&lt;=$E300)*($E299&gt;INDEX(_xlfn.ANCHORARRAY(Sintesi!$C$15),1,$C299))*($E299&lt;INDEX(_xlfn.ANCHORARRAY(Sintesi!$C$16),1,$C299))*(INDEX(_xlfn.ANCHORARRAY(Sintesi!$C$15),1,$C299)&gt;0),2,IF($E299=(INDEX(_xlfn.ANCHORARRAY(Sintesi!$C$16),1,$C299)),3,4)))),0)))</f>
        <v>0</v>
      </c>
      <c r="E299" s="1">
        <f>'Paste cell here'!F299</f>
        <v>0</v>
      </c>
      <c r="F299" s="1">
        <f>'Paste cell here'!C299</f>
        <v>15.399999999999778</v>
      </c>
      <c r="G299" s="1">
        <f>'Paste cell here'!D299</f>
        <v>6.3399999999999128</v>
      </c>
      <c r="H299" s="1">
        <f>'Paste cell here'!E299</f>
        <v>0.94107921078092227</v>
      </c>
      <c r="I299" s="1">
        <f>'Paste cell here'!X299</f>
        <v>0</v>
      </c>
      <c r="J299" s="1">
        <f>'Paste cell here'!Y299+'Paste cell here'!S299</f>
        <v>0</v>
      </c>
      <c r="K299" s="1">
        <f t="shared" si="8"/>
        <v>0</v>
      </c>
      <c r="L299" s="1">
        <f t="shared" si="9"/>
        <v>12.115024897467846</v>
      </c>
      <c r="M299" s="1">
        <f t="array" ref="M299">IF(AND(A299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299&gt;=_xlfn.ANCHORARRAY(Sintesi!$C$9))+(_xlfn.ANCHORARRAY(Sintesi!$C$9)&gt;_xlfn.ANCHORARRAY(Sintesi!$C$10))*(A299&lt;=_xlfn.ANCHORARRAY(Sintesi!$C$10))+(_xlfn.ANCHORARRAY(Sintesi!$C$9)&lt;_xlfn.ANCHORARRAY(Sintesi!$C$10))*(A299&gt;=_xlfn.ANCHORARRAY(Sintesi!$C$9))*(A299&lt;=_xlfn.ANCHORARRAY(Sintesi!$C$10)),0)),0),A299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300&gt;=_xlfn.ANCHORARRAY(Sintesi!$C$9))+(_xlfn.ANCHORARRAY(Sintesi!$C$9)&gt;_xlfn.ANCHORARRAY(Sintesi!$C$10))*(A300&lt;=_xlfn.ANCHORARRAY(Sintesi!$C$10))+(_xlfn.ANCHORARRAY(Sintesi!$C$9)&lt;_xlfn.ANCHORARRAY(Sintesi!$C$10))*(A300&gt;=_xlfn.ANCHORARRAY(Sintesi!$C$9))*(A300&lt;=_xlfn.ANCHORARRAY(Sintesi!$C$10)),0)),0)),IF(L299&lt;_xlfn.IFNA(INDEX(_xlfn.ANCHORARRAY(Sintesi!$C$17),1,MATCH(1,(_xlfn.ANCHORARRAY(Sintesi!$C$9)&gt;_xlfn.ANCHORARRAY(Sintesi!$C$10))*(A298&gt;=_xlfn.ANCHORARRAY(Sintesi!$C$9))+(_xlfn.ANCHORARRAY(Sintesi!$C$9)&gt;_xlfn.ANCHORARRAY(Sintesi!$C$10))*(A298&lt;=_xlfn.ANCHORARRAY(Sintesi!$C$10))+(_xlfn.ANCHORARRAY(Sintesi!$C$9)&lt;_xlfn.ANCHORARRAY(Sintesi!$C$10))*(A298&gt;=_xlfn.ANCHORARRAY(Sintesi!$C$9))*(A298&lt;=_xlfn.ANCHORARRAY(Sintesi!$C$10)),0)),0),1,IF(L299&gt;=_xlfn.IFNA(INDEX(_xlfn.ANCHORARRAY(Sintesi!$C$18),1,MATCH(1,(_xlfn.ANCHORARRAY(Sintesi!$C$9)&gt;_xlfn.ANCHORARRAY(Sintesi!$C$10))*(A298&gt;=_xlfn.ANCHORARRAY(Sintesi!$C$9))+(_xlfn.ANCHORARRAY(Sintesi!$C$9)&gt;_xlfn.ANCHORARRAY(Sintesi!$C$10))*(A298&lt;=_xlfn.ANCHORARRAY(Sintesi!$C$10))+(_xlfn.ANCHORARRAY(Sintesi!$C$9)&lt;_xlfn.ANCHORARRAY(Sintesi!$C$10))*(A298&gt;=_xlfn.ANCHORARRAY(Sintesi!$C$9))*(A298&lt;=_xlfn.ANCHORARRAY(Sintesi!$C$10)),0)),0),0,1-(L299-_xlfn.IFNA(INDEX(_xlfn.ANCHORARRAY(Sintesi!$C$17),1,MATCH(1,(_xlfn.ANCHORARRAY(Sintesi!$C$9)&gt;_xlfn.ANCHORARRAY(Sintesi!$C$10))*(A298&gt;=_xlfn.ANCHORARRAY(Sintesi!$C$9))+(_xlfn.ANCHORARRAY(Sintesi!$C$9)&gt;_xlfn.ANCHORARRAY(Sintesi!$C$10))*(A298&lt;=_xlfn.ANCHORARRAY(Sintesi!$C$10))+(_xlfn.ANCHORARRAY(Sintesi!$C$9)&lt;_xlfn.ANCHORARRAY(Sintesi!$C$10))*(A298&gt;=_xlfn.ANCHORARRAY(Sintesi!$C$9))*(A298&lt;=_xlfn.ANCHORARRAY(Sintesi!$C$10)),0)),0))/(_xlfn.IFNA(INDEX(_xlfn.ANCHORARRAY(Sintesi!$C$18),1,MATCH(1,(_xlfn.ANCHORARRAY(Sintesi!$C$9)&gt;_xlfn.ANCHORARRAY(Sintesi!$C$10))*(A298&gt;=_xlfn.ANCHORARRAY(Sintesi!$C$9))+(_xlfn.ANCHORARRAY(Sintesi!$C$9)&gt;_xlfn.ANCHORARRAY(Sintesi!$C$10))*(A298&lt;=_xlfn.ANCHORARRAY(Sintesi!$C$10))+(_xlfn.ANCHORARRAY(Sintesi!$C$9)&lt;_xlfn.ANCHORARRAY(Sintesi!$C$10))*(A298&gt;=_xlfn.ANCHORARRAY(Sintesi!$C$9))*(A298&lt;=_xlfn.ANCHORARRAY(Sintesi!$C$10)),0)),0)-_xlfn.IFNA(INDEX(_xlfn.ANCHORARRAY(Sintesi!$C$17),1,MATCH(1,(_xlfn.ANCHORARRAY(Sintesi!$C$9)&gt;_xlfn.ANCHORARRAY(Sintesi!$C$10))*(A298&gt;=_xlfn.ANCHORARRAY(Sintesi!$C$9))+(_xlfn.ANCHORARRAY(Sintesi!$C$9)&gt;_xlfn.ANCHORARRAY(Sintesi!$C$10))*(A298&lt;=_xlfn.ANCHORARRAY(Sintesi!$C$10))+(_xlfn.ANCHORARRAY(Sintesi!$C$9)&lt;_xlfn.ANCHORARRAY(Sintesi!$C$10))*(A298&gt;=_xlfn.ANCHORARRAY(Sintesi!$C$9))*(A298&lt;=_xlfn.ANCHORARRAY(Sintesi!$C$10)),0)),0)))),0)</f>
        <v>0</v>
      </c>
    </row>
    <row r="300" spans="1:13">
      <c r="A300" s="1">
        <f>'Paste cell here'!A300</f>
        <v>299</v>
      </c>
      <c r="B300" s="2">
        <f>DATE(Sintesi!$C$4-1,12,31)+A300</f>
        <v>44495</v>
      </c>
      <c r="C300" s="34">
        <f t="array" ref="C300">_xlfn.IFNA(MATCH(1,((_xlfn.ANCHORARRAY(Sintesi!$C$9)&gt;_xlfn.ANCHORARRAY(Sintesi!$C$10))*(A300&gt;=_xlfn.ANCHORARRAY(Sintesi!$C$9))+(_xlfn.ANCHORARRAY(Sintesi!$C$9)&gt;_xlfn.ANCHORARRAY(Sintesi!$C$10))*(A300&lt;=_xlfn.ANCHORARRAY(Sintesi!$C$10))+(_xlfn.ANCHORARRAY(Sintesi!$C$9)&lt;_xlfn.ANCHORARRAY(Sintesi!$C$10))*(A300&gt;=_xlfn.ANCHORARRAY(Sintesi!$C$9))*(A300&lt;=_xlfn.ANCHORARRAY(Sintesi!$C$10)))*(_xlfn.ANCHORARRAY(Sintesi!$C$15)&gt;=0)+(_xlfn.ANCHORARRAY(Sintesi!$C$15)&lt;0),0),0)</f>
        <v>0</v>
      </c>
      <c r="D300" s="1">
        <f t="array" ref="D300">IF(ISBLANK($E301),IF(ISNUMBER($E299),IF($C300&gt;0,IF(($E300=INDEX(_xlfn.ANCHORARRAY(Sintesi!$C$14),1,$C300))*(INDEX(_xlfn.ANCHORARRAY(Sintesi!$C$15),1,$C300)&gt;0),0,IF(($E300=INDEX(_xlfn.ANCHORARRAY(Sintesi!$C$14),1,$C300))*(INDEX(_xlfn.ANCHORARRAY(Sintesi!$C$15),1,$C300)&lt;0)+($E300&gt;=$E299)*($E300&lt;=INDEX($E:$E,MATCH(TRUE,INDEX((ISNUMBER($E:$E)),0),0)))*($E300&gt;INDEX(_xlfn.ANCHORARRAY(Sintesi!$C$14),1,$C300))*($E300&lt;=INDEX(_xlfn.ANCHORARRAY(Sintesi!$C$15),1,$C300))*(INDEX(_xlfn.ANCHORARRAY(Sintesi!$C$15),1,$C300)&gt;0),1,IF(($E300&gt;=$E299)*($E300&lt;=INDEX($E:$E,MATCH(TRUE,INDEX((ISNUMBER($E:$E)),0),0)))*($E300&gt;INDEX(_xlfn.ANCHORARRAY(Sintesi!$C$14),1,$C300))*($E300&lt;INDEX(_xlfn.ANCHORARRAY(Sintesi!$C$16),1,$C300))*(INDEX(_xlfn.ANCHORARRAY(Sintesi!$C$15),1,$C300)&lt;0)+($E300&gt;=$E299)*($E300&lt;=INDEX($E:$E,MATCH(TRUE,INDEX((ISNUMBER($E:$E)),0),0)))*($E300&gt;INDEX(_xlfn.ANCHORARRAY(Sintesi!$C$15),1,$C300))*($E300&lt;INDEX(_xlfn.ANCHORARRAY(Sintesi!$C$16),1,$C300))*(INDEX(_xlfn.ANCHORARRAY(Sintesi!$C$15),1,$C300)&gt;0),2,IF($E300=(INDEX(_xlfn.ANCHORARRAY(Sintesi!$C$16),1,$C300)),3,4)))),0),IF($C300&gt;0,IF(($E300=INDEX(_xlfn.ANCHORARRAY(Sintesi!$C$14),1,$C300))*(INDEX(_xlfn.ANCHORARRAY(Sintesi!$C$15),1,$C300)&gt;0),0,IF(($E300=INDEX(_xlfn.ANCHORARRAY(Sintesi!$C$14),1,$C300))*(INDEX(_xlfn.ANCHORARRAY(Sintesi!$C$15),1,$C300)&lt;0)+($E300&gt;=LOOKUP(2,1/($E:$E&lt;&gt;""),$E:$E))*($E300&lt;=INDEX($E:$E,MATCH(TRUE,INDEX((ISNUMBER($E:$E)),0),0)))*($E300&gt;INDEX(_xlfn.ANCHORARRAY(Sintesi!$C$14),1,$C300))*($E300&lt;=INDEX(_xlfn.ANCHORARRAY(Sintesi!$C$15),1,$C300))*(INDEX(_xlfn.ANCHORARRAY(Sintesi!$C$15),1,$C300)&gt;0),1,IF(($E300&gt;=LOOKUP(2,1/($E:$E&lt;&gt;""),$E:$E))*($E300&lt;=INDEX($E:$E,MATCH(TRUE,INDEX((ISNUMBER($E:$E)),0),0)))*($E300&gt;INDEX(_xlfn.ANCHORARRAY(Sintesi!$C$14),1,$C300))*($E300&lt;INDEX(_xlfn.ANCHORARRAY(Sintesi!$C$16),1,$C300))*(INDEX(_xlfn.ANCHORARRAY(Sintesi!$C$15),1,$C300)&lt;0)+($E300&gt;=LOOKUP(2,1/($E:$E&lt;&gt;""),$E:$E))*($E300&lt;=INDEX($E:$E,MATCH(TRUE,INDEX((ISNUMBER($E:$E)),0),0)))*($E300&gt;INDEX(_xlfn.ANCHORARRAY(Sintesi!$C$15),1,$C300))*($E300&lt;INDEX(_xlfn.ANCHORARRAY(Sintesi!$C$16),1,$C300))*(INDEX(_xlfn.ANCHORARRAY(Sintesi!$C$15),1,$C300)&gt;0),2,IF($E300=(INDEX(_xlfn.ANCHORARRAY(Sintesi!$C$16),1,$C300)),3,4)))),0)),IF(ISNUMBER($E299),IF($C300&gt;0,IF(($E300=INDEX(_xlfn.ANCHORARRAY(Sintesi!$C$14),1,$C300))*(INDEX(_xlfn.ANCHORARRAY(Sintesi!$C$15),1,$C300)&gt;0),0,IF(($E300=INDEX(_xlfn.ANCHORARRAY(Sintesi!$C$14),1,$C300))*(INDEX(_xlfn.ANCHORARRAY(Sintesi!$C$15),1,$C300)&lt;0)+($E300&gt;=$E299)*($E300&lt;=$E301)*($E300&gt;INDEX(_xlfn.ANCHORARRAY(Sintesi!$C$14),1,$C300))*($E300&lt;=INDEX(_xlfn.ANCHORARRAY(Sintesi!$C$15),1,$C300))*(INDEX(_xlfn.ANCHORARRAY(Sintesi!$C$15),1,$C300)&gt;0),1,IF(($E300&gt;=$E299)*($E300&lt;=$E301)*($E300&gt;INDEX(_xlfn.ANCHORARRAY(Sintesi!$C$14),1,$C300))*($E300&lt;INDEX(_xlfn.ANCHORARRAY(Sintesi!$C$16),1,$C300))*(INDEX(_xlfn.ANCHORARRAY(Sintesi!$C$15),1,$C300)&lt;0)+($E300&gt;=$E299)*($E300&lt;=$E301)*($E300&gt;INDEX(_xlfn.ANCHORARRAY(Sintesi!$C$15),1,$C300))*($E300&lt;INDEX(_xlfn.ANCHORARRAY(Sintesi!$C$16),1,$C300))*(INDEX(_xlfn.ANCHORARRAY(Sintesi!$C$15),1,$C300)&gt;0),2,IF($E300=(INDEX(_xlfn.ANCHORARRAY(Sintesi!$C$16),1,$C300)),3,4)))),0),IF($C300&gt;0,IF(($E300=INDEX(_xlfn.ANCHORARRAY(Sintesi!$C$14),1,$C300))*(INDEX(_xlfn.ANCHORARRAY(Sintesi!$C$15),1,$C300)&gt;0),0,IF(($E300=INDEX(_xlfn.ANCHORARRAY(Sintesi!$C$14),1,$C300))*(INDEX(_xlfn.ANCHORARRAY(Sintesi!$C$15),1,$C300)&lt;0)+($E300&gt;=LOOKUP(2,1/($E:$E&lt;&gt;""),$E:$E))*($E300&lt;=$E301)*($E300&gt;INDEX(_xlfn.ANCHORARRAY(Sintesi!$C$14),1,$C300))*($E300&lt;=INDEX(_xlfn.ANCHORARRAY(Sintesi!$C$15),1,$C300))*(INDEX(_xlfn.ANCHORARRAY(Sintesi!$C$15),1,$C300)&gt;0),1,IF(($E300&gt;=LOOKUP(2,1/($E:$E&lt;&gt;""),$E:$E))*($E300&lt;=$E301)*($E300&gt;INDEX(_xlfn.ANCHORARRAY(Sintesi!$C$14),1,$C300))*($E300&lt;INDEX(_xlfn.ANCHORARRAY(Sintesi!$C$16),1,$C300))*(INDEX(_xlfn.ANCHORARRAY(Sintesi!$C$15),1,$C300)&lt;0)+($E300&gt;=LOOKUP(2,1/($E:$E&lt;&gt;""),$E:$E))*($E300&lt;=$E301)*($E300&gt;INDEX(_xlfn.ANCHORARRAY(Sintesi!$C$15),1,$C300))*($E300&lt;INDEX(_xlfn.ANCHORARRAY(Sintesi!$C$16),1,$C300))*(INDEX(_xlfn.ANCHORARRAY(Sintesi!$C$15),1,$C300)&gt;0),2,IF($E300=(INDEX(_xlfn.ANCHORARRAY(Sintesi!$C$16),1,$C300)),3,4)))),0)))</f>
        <v>0</v>
      </c>
      <c r="E300" s="1">
        <f>'Paste cell here'!F300</f>
        <v>0</v>
      </c>
      <c r="F300" s="1">
        <f>'Paste cell here'!C300</f>
        <v>17.099999999999753</v>
      </c>
      <c r="G300" s="1">
        <f>'Paste cell here'!D300</f>
        <v>4.4799999999999542</v>
      </c>
      <c r="H300" s="1">
        <f>'Paste cell here'!E300</f>
        <v>1.0087676198651931</v>
      </c>
      <c r="I300" s="1">
        <f>'Paste cell here'!X300</f>
        <v>0</v>
      </c>
      <c r="J300" s="1">
        <f>'Paste cell here'!Y300+'Paste cell here'!S300</f>
        <v>0</v>
      </c>
      <c r="K300" s="1">
        <f t="shared" si="8"/>
        <v>0</v>
      </c>
      <c r="L300" s="1">
        <f t="shared" si="9"/>
        <v>12.52423997859214</v>
      </c>
      <c r="M300" s="1">
        <f t="array" ref="M300">IF(AND(A300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300&gt;=_xlfn.ANCHORARRAY(Sintesi!$C$9))+(_xlfn.ANCHORARRAY(Sintesi!$C$9)&gt;_xlfn.ANCHORARRAY(Sintesi!$C$10))*(A300&lt;=_xlfn.ANCHORARRAY(Sintesi!$C$10))+(_xlfn.ANCHORARRAY(Sintesi!$C$9)&lt;_xlfn.ANCHORARRAY(Sintesi!$C$10))*(A300&gt;=_xlfn.ANCHORARRAY(Sintesi!$C$9))*(A300&lt;=_xlfn.ANCHORARRAY(Sintesi!$C$10)),0)),0),A300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301&gt;=_xlfn.ANCHORARRAY(Sintesi!$C$9))+(_xlfn.ANCHORARRAY(Sintesi!$C$9)&gt;_xlfn.ANCHORARRAY(Sintesi!$C$10))*(A301&lt;=_xlfn.ANCHORARRAY(Sintesi!$C$10))+(_xlfn.ANCHORARRAY(Sintesi!$C$9)&lt;_xlfn.ANCHORARRAY(Sintesi!$C$10))*(A301&gt;=_xlfn.ANCHORARRAY(Sintesi!$C$9))*(A301&lt;=_xlfn.ANCHORARRAY(Sintesi!$C$10)),0)),0)),IF(L300&lt;_xlfn.IFNA(INDEX(_xlfn.ANCHORARRAY(Sintesi!$C$17),1,MATCH(1,(_xlfn.ANCHORARRAY(Sintesi!$C$9)&gt;_xlfn.ANCHORARRAY(Sintesi!$C$10))*(A299&gt;=_xlfn.ANCHORARRAY(Sintesi!$C$9))+(_xlfn.ANCHORARRAY(Sintesi!$C$9)&gt;_xlfn.ANCHORARRAY(Sintesi!$C$10))*(A299&lt;=_xlfn.ANCHORARRAY(Sintesi!$C$10))+(_xlfn.ANCHORARRAY(Sintesi!$C$9)&lt;_xlfn.ANCHORARRAY(Sintesi!$C$10))*(A299&gt;=_xlfn.ANCHORARRAY(Sintesi!$C$9))*(A299&lt;=_xlfn.ANCHORARRAY(Sintesi!$C$10)),0)),0),1,IF(L300&gt;=_xlfn.IFNA(INDEX(_xlfn.ANCHORARRAY(Sintesi!$C$18),1,MATCH(1,(_xlfn.ANCHORARRAY(Sintesi!$C$9)&gt;_xlfn.ANCHORARRAY(Sintesi!$C$10))*(A299&gt;=_xlfn.ANCHORARRAY(Sintesi!$C$9))+(_xlfn.ANCHORARRAY(Sintesi!$C$9)&gt;_xlfn.ANCHORARRAY(Sintesi!$C$10))*(A299&lt;=_xlfn.ANCHORARRAY(Sintesi!$C$10))+(_xlfn.ANCHORARRAY(Sintesi!$C$9)&lt;_xlfn.ANCHORARRAY(Sintesi!$C$10))*(A299&gt;=_xlfn.ANCHORARRAY(Sintesi!$C$9))*(A299&lt;=_xlfn.ANCHORARRAY(Sintesi!$C$10)),0)),0),0,1-(L300-_xlfn.IFNA(INDEX(_xlfn.ANCHORARRAY(Sintesi!$C$17),1,MATCH(1,(_xlfn.ANCHORARRAY(Sintesi!$C$9)&gt;_xlfn.ANCHORARRAY(Sintesi!$C$10))*(A299&gt;=_xlfn.ANCHORARRAY(Sintesi!$C$9))+(_xlfn.ANCHORARRAY(Sintesi!$C$9)&gt;_xlfn.ANCHORARRAY(Sintesi!$C$10))*(A299&lt;=_xlfn.ANCHORARRAY(Sintesi!$C$10))+(_xlfn.ANCHORARRAY(Sintesi!$C$9)&lt;_xlfn.ANCHORARRAY(Sintesi!$C$10))*(A299&gt;=_xlfn.ANCHORARRAY(Sintesi!$C$9))*(A299&lt;=_xlfn.ANCHORARRAY(Sintesi!$C$10)),0)),0))/(_xlfn.IFNA(INDEX(_xlfn.ANCHORARRAY(Sintesi!$C$18),1,MATCH(1,(_xlfn.ANCHORARRAY(Sintesi!$C$9)&gt;_xlfn.ANCHORARRAY(Sintesi!$C$10))*(A299&gt;=_xlfn.ANCHORARRAY(Sintesi!$C$9))+(_xlfn.ANCHORARRAY(Sintesi!$C$9)&gt;_xlfn.ANCHORARRAY(Sintesi!$C$10))*(A299&lt;=_xlfn.ANCHORARRAY(Sintesi!$C$10))+(_xlfn.ANCHORARRAY(Sintesi!$C$9)&lt;_xlfn.ANCHORARRAY(Sintesi!$C$10))*(A299&gt;=_xlfn.ANCHORARRAY(Sintesi!$C$9))*(A299&lt;=_xlfn.ANCHORARRAY(Sintesi!$C$10)),0)),0)-_xlfn.IFNA(INDEX(_xlfn.ANCHORARRAY(Sintesi!$C$17),1,MATCH(1,(_xlfn.ANCHORARRAY(Sintesi!$C$9)&gt;_xlfn.ANCHORARRAY(Sintesi!$C$10))*(A299&gt;=_xlfn.ANCHORARRAY(Sintesi!$C$9))+(_xlfn.ANCHORARRAY(Sintesi!$C$9)&gt;_xlfn.ANCHORARRAY(Sintesi!$C$10))*(A299&lt;=_xlfn.ANCHORARRAY(Sintesi!$C$10))+(_xlfn.ANCHORARRAY(Sintesi!$C$9)&lt;_xlfn.ANCHORARRAY(Sintesi!$C$10))*(A299&gt;=_xlfn.ANCHORARRAY(Sintesi!$C$9))*(A299&lt;=_xlfn.ANCHORARRAY(Sintesi!$C$10)),0)),0)))),0)</f>
        <v>0</v>
      </c>
    </row>
    <row r="301" spans="1:13">
      <c r="A301" s="1">
        <f>'Paste cell here'!A301</f>
        <v>300</v>
      </c>
      <c r="B301" s="2">
        <f>DATE(Sintesi!$C$4-1,12,31)+A301</f>
        <v>44496</v>
      </c>
      <c r="C301" s="34">
        <f t="array" ref="C301">_xlfn.IFNA(MATCH(1,((_xlfn.ANCHORARRAY(Sintesi!$C$9)&gt;_xlfn.ANCHORARRAY(Sintesi!$C$10))*(A301&gt;=_xlfn.ANCHORARRAY(Sintesi!$C$9))+(_xlfn.ANCHORARRAY(Sintesi!$C$9)&gt;_xlfn.ANCHORARRAY(Sintesi!$C$10))*(A301&lt;=_xlfn.ANCHORARRAY(Sintesi!$C$10))+(_xlfn.ANCHORARRAY(Sintesi!$C$9)&lt;_xlfn.ANCHORARRAY(Sintesi!$C$10))*(A301&gt;=_xlfn.ANCHORARRAY(Sintesi!$C$9))*(A301&lt;=_xlfn.ANCHORARRAY(Sintesi!$C$10)))*(_xlfn.ANCHORARRAY(Sintesi!$C$15)&gt;=0)+(_xlfn.ANCHORARRAY(Sintesi!$C$15)&lt;0),0),0)</f>
        <v>0</v>
      </c>
      <c r="D301" s="1">
        <f t="array" ref="D301">IF(ISBLANK($E302),IF(ISNUMBER($E300),IF($C301&gt;0,IF(($E301=INDEX(_xlfn.ANCHORARRAY(Sintesi!$C$14),1,$C301))*(INDEX(_xlfn.ANCHORARRAY(Sintesi!$C$15),1,$C301)&gt;0),0,IF(($E301=INDEX(_xlfn.ANCHORARRAY(Sintesi!$C$14),1,$C301))*(INDEX(_xlfn.ANCHORARRAY(Sintesi!$C$15),1,$C301)&lt;0)+($E301&gt;=$E300)*($E301&lt;=INDEX($E:$E,MATCH(TRUE,INDEX((ISNUMBER($E:$E)),0),0)))*($E301&gt;INDEX(_xlfn.ANCHORARRAY(Sintesi!$C$14),1,$C301))*($E301&lt;=INDEX(_xlfn.ANCHORARRAY(Sintesi!$C$15),1,$C301))*(INDEX(_xlfn.ANCHORARRAY(Sintesi!$C$15),1,$C301)&gt;0),1,IF(($E301&gt;=$E300)*($E301&lt;=INDEX($E:$E,MATCH(TRUE,INDEX((ISNUMBER($E:$E)),0),0)))*($E301&gt;INDEX(_xlfn.ANCHORARRAY(Sintesi!$C$14),1,$C301))*($E301&lt;INDEX(_xlfn.ANCHORARRAY(Sintesi!$C$16),1,$C301))*(INDEX(_xlfn.ANCHORARRAY(Sintesi!$C$15),1,$C301)&lt;0)+($E301&gt;=$E300)*($E301&lt;=INDEX($E:$E,MATCH(TRUE,INDEX((ISNUMBER($E:$E)),0),0)))*($E301&gt;INDEX(_xlfn.ANCHORARRAY(Sintesi!$C$15),1,$C301))*($E301&lt;INDEX(_xlfn.ANCHORARRAY(Sintesi!$C$16),1,$C301))*(INDEX(_xlfn.ANCHORARRAY(Sintesi!$C$15),1,$C301)&gt;0),2,IF($E301=(INDEX(_xlfn.ANCHORARRAY(Sintesi!$C$16),1,$C301)),3,4)))),0),IF($C301&gt;0,IF(($E301=INDEX(_xlfn.ANCHORARRAY(Sintesi!$C$14),1,$C301))*(INDEX(_xlfn.ANCHORARRAY(Sintesi!$C$15),1,$C301)&gt;0),0,IF(($E301=INDEX(_xlfn.ANCHORARRAY(Sintesi!$C$14),1,$C301))*(INDEX(_xlfn.ANCHORARRAY(Sintesi!$C$15),1,$C301)&lt;0)+($E301&gt;=LOOKUP(2,1/($E:$E&lt;&gt;""),$E:$E))*($E301&lt;=INDEX($E:$E,MATCH(TRUE,INDEX((ISNUMBER($E:$E)),0),0)))*($E301&gt;INDEX(_xlfn.ANCHORARRAY(Sintesi!$C$14),1,$C301))*($E301&lt;=INDEX(_xlfn.ANCHORARRAY(Sintesi!$C$15),1,$C301))*(INDEX(_xlfn.ANCHORARRAY(Sintesi!$C$15),1,$C301)&gt;0),1,IF(($E301&gt;=LOOKUP(2,1/($E:$E&lt;&gt;""),$E:$E))*($E301&lt;=INDEX($E:$E,MATCH(TRUE,INDEX((ISNUMBER($E:$E)),0),0)))*($E301&gt;INDEX(_xlfn.ANCHORARRAY(Sintesi!$C$14),1,$C301))*($E301&lt;INDEX(_xlfn.ANCHORARRAY(Sintesi!$C$16),1,$C301))*(INDEX(_xlfn.ANCHORARRAY(Sintesi!$C$15),1,$C301)&lt;0)+($E301&gt;=LOOKUP(2,1/($E:$E&lt;&gt;""),$E:$E))*($E301&lt;=INDEX($E:$E,MATCH(TRUE,INDEX((ISNUMBER($E:$E)),0),0)))*($E301&gt;INDEX(_xlfn.ANCHORARRAY(Sintesi!$C$15),1,$C301))*($E301&lt;INDEX(_xlfn.ANCHORARRAY(Sintesi!$C$16),1,$C301))*(INDEX(_xlfn.ANCHORARRAY(Sintesi!$C$15),1,$C301)&gt;0),2,IF($E301=(INDEX(_xlfn.ANCHORARRAY(Sintesi!$C$16),1,$C301)),3,4)))),0)),IF(ISNUMBER($E300),IF($C301&gt;0,IF(($E301=INDEX(_xlfn.ANCHORARRAY(Sintesi!$C$14),1,$C301))*(INDEX(_xlfn.ANCHORARRAY(Sintesi!$C$15),1,$C301)&gt;0),0,IF(($E301=INDEX(_xlfn.ANCHORARRAY(Sintesi!$C$14),1,$C301))*(INDEX(_xlfn.ANCHORARRAY(Sintesi!$C$15),1,$C301)&lt;0)+($E301&gt;=$E300)*($E301&lt;=$E302)*($E301&gt;INDEX(_xlfn.ANCHORARRAY(Sintesi!$C$14),1,$C301))*($E301&lt;=INDEX(_xlfn.ANCHORARRAY(Sintesi!$C$15),1,$C301))*(INDEX(_xlfn.ANCHORARRAY(Sintesi!$C$15),1,$C301)&gt;0),1,IF(($E301&gt;=$E300)*($E301&lt;=$E302)*($E301&gt;INDEX(_xlfn.ANCHORARRAY(Sintesi!$C$14),1,$C301))*($E301&lt;INDEX(_xlfn.ANCHORARRAY(Sintesi!$C$16),1,$C301))*(INDEX(_xlfn.ANCHORARRAY(Sintesi!$C$15),1,$C301)&lt;0)+($E301&gt;=$E300)*($E301&lt;=$E302)*($E301&gt;INDEX(_xlfn.ANCHORARRAY(Sintesi!$C$15),1,$C301))*($E301&lt;INDEX(_xlfn.ANCHORARRAY(Sintesi!$C$16),1,$C301))*(INDEX(_xlfn.ANCHORARRAY(Sintesi!$C$15),1,$C301)&gt;0),2,IF($E301=(INDEX(_xlfn.ANCHORARRAY(Sintesi!$C$16),1,$C301)),3,4)))),0),IF($C301&gt;0,IF(($E301=INDEX(_xlfn.ANCHORARRAY(Sintesi!$C$14),1,$C301))*(INDEX(_xlfn.ANCHORARRAY(Sintesi!$C$15),1,$C301)&gt;0),0,IF(($E301=INDEX(_xlfn.ANCHORARRAY(Sintesi!$C$14),1,$C301))*(INDEX(_xlfn.ANCHORARRAY(Sintesi!$C$15),1,$C301)&lt;0)+($E301&gt;=LOOKUP(2,1/($E:$E&lt;&gt;""),$E:$E))*($E301&lt;=$E302)*($E301&gt;INDEX(_xlfn.ANCHORARRAY(Sintesi!$C$14),1,$C301))*($E301&lt;=INDEX(_xlfn.ANCHORARRAY(Sintesi!$C$15),1,$C301))*(INDEX(_xlfn.ANCHORARRAY(Sintesi!$C$15),1,$C301)&gt;0),1,IF(($E301&gt;=LOOKUP(2,1/($E:$E&lt;&gt;""),$E:$E))*($E301&lt;=$E302)*($E301&gt;INDEX(_xlfn.ANCHORARRAY(Sintesi!$C$14),1,$C301))*($E301&lt;INDEX(_xlfn.ANCHORARRAY(Sintesi!$C$16),1,$C301))*(INDEX(_xlfn.ANCHORARRAY(Sintesi!$C$15),1,$C301)&lt;0)+($E301&gt;=LOOKUP(2,1/($E:$E&lt;&gt;""),$E:$E))*($E301&lt;=$E302)*($E301&gt;INDEX(_xlfn.ANCHORARRAY(Sintesi!$C$15),1,$C301))*($E301&lt;INDEX(_xlfn.ANCHORARRAY(Sintesi!$C$16),1,$C301))*(INDEX(_xlfn.ANCHORARRAY(Sintesi!$C$15),1,$C301)&gt;0),2,IF($E301=(INDEX(_xlfn.ANCHORARRAY(Sintesi!$C$16),1,$C301)),3,4)))),0)))</f>
        <v>0</v>
      </c>
      <c r="E301" s="1">
        <f>'Paste cell here'!F301</f>
        <v>0</v>
      </c>
      <c r="F301" s="1">
        <f>'Paste cell here'!C301</f>
        <v>19.47999999999972</v>
      </c>
      <c r="G301" s="1">
        <f>'Paste cell here'!D301</f>
        <v>5.3999999999999364</v>
      </c>
      <c r="H301" s="1">
        <f>'Paste cell here'!E301</f>
        <v>1.0716120998060237</v>
      </c>
      <c r="I301" s="1">
        <f>'Paste cell here'!X301</f>
        <v>0</v>
      </c>
      <c r="J301" s="1">
        <f>'Paste cell here'!Y301+'Paste cell here'!S301</f>
        <v>0</v>
      </c>
      <c r="K301" s="1">
        <f t="shared" si="8"/>
        <v>0</v>
      </c>
      <c r="L301" s="1">
        <f t="shared" si="9"/>
        <v>14.374873129839722</v>
      </c>
      <c r="M301" s="1">
        <f t="array" ref="M301">IF(AND(A301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301&gt;=_xlfn.ANCHORARRAY(Sintesi!$C$9))+(_xlfn.ANCHORARRAY(Sintesi!$C$9)&gt;_xlfn.ANCHORARRAY(Sintesi!$C$10))*(A301&lt;=_xlfn.ANCHORARRAY(Sintesi!$C$10))+(_xlfn.ANCHORARRAY(Sintesi!$C$9)&lt;_xlfn.ANCHORARRAY(Sintesi!$C$10))*(A301&gt;=_xlfn.ANCHORARRAY(Sintesi!$C$9))*(A301&lt;=_xlfn.ANCHORARRAY(Sintesi!$C$10)),0)),0),A301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302&gt;=_xlfn.ANCHORARRAY(Sintesi!$C$9))+(_xlfn.ANCHORARRAY(Sintesi!$C$9)&gt;_xlfn.ANCHORARRAY(Sintesi!$C$10))*(A302&lt;=_xlfn.ANCHORARRAY(Sintesi!$C$10))+(_xlfn.ANCHORARRAY(Sintesi!$C$9)&lt;_xlfn.ANCHORARRAY(Sintesi!$C$10))*(A302&gt;=_xlfn.ANCHORARRAY(Sintesi!$C$9))*(A302&lt;=_xlfn.ANCHORARRAY(Sintesi!$C$10)),0)),0)),IF(L301&lt;_xlfn.IFNA(INDEX(_xlfn.ANCHORARRAY(Sintesi!$C$17),1,MATCH(1,(_xlfn.ANCHORARRAY(Sintesi!$C$9)&gt;_xlfn.ANCHORARRAY(Sintesi!$C$10))*(A300&gt;=_xlfn.ANCHORARRAY(Sintesi!$C$9))+(_xlfn.ANCHORARRAY(Sintesi!$C$9)&gt;_xlfn.ANCHORARRAY(Sintesi!$C$10))*(A300&lt;=_xlfn.ANCHORARRAY(Sintesi!$C$10))+(_xlfn.ANCHORARRAY(Sintesi!$C$9)&lt;_xlfn.ANCHORARRAY(Sintesi!$C$10))*(A300&gt;=_xlfn.ANCHORARRAY(Sintesi!$C$9))*(A300&lt;=_xlfn.ANCHORARRAY(Sintesi!$C$10)),0)),0),1,IF(L301&gt;=_xlfn.IFNA(INDEX(_xlfn.ANCHORARRAY(Sintesi!$C$18),1,MATCH(1,(_xlfn.ANCHORARRAY(Sintesi!$C$9)&gt;_xlfn.ANCHORARRAY(Sintesi!$C$10))*(A300&gt;=_xlfn.ANCHORARRAY(Sintesi!$C$9))+(_xlfn.ANCHORARRAY(Sintesi!$C$9)&gt;_xlfn.ANCHORARRAY(Sintesi!$C$10))*(A300&lt;=_xlfn.ANCHORARRAY(Sintesi!$C$10))+(_xlfn.ANCHORARRAY(Sintesi!$C$9)&lt;_xlfn.ANCHORARRAY(Sintesi!$C$10))*(A300&gt;=_xlfn.ANCHORARRAY(Sintesi!$C$9))*(A300&lt;=_xlfn.ANCHORARRAY(Sintesi!$C$10)),0)),0),0,1-(L301-_xlfn.IFNA(INDEX(_xlfn.ANCHORARRAY(Sintesi!$C$17),1,MATCH(1,(_xlfn.ANCHORARRAY(Sintesi!$C$9)&gt;_xlfn.ANCHORARRAY(Sintesi!$C$10))*(A300&gt;=_xlfn.ANCHORARRAY(Sintesi!$C$9))+(_xlfn.ANCHORARRAY(Sintesi!$C$9)&gt;_xlfn.ANCHORARRAY(Sintesi!$C$10))*(A300&lt;=_xlfn.ANCHORARRAY(Sintesi!$C$10))+(_xlfn.ANCHORARRAY(Sintesi!$C$9)&lt;_xlfn.ANCHORARRAY(Sintesi!$C$10))*(A300&gt;=_xlfn.ANCHORARRAY(Sintesi!$C$9))*(A300&lt;=_xlfn.ANCHORARRAY(Sintesi!$C$10)),0)),0))/(_xlfn.IFNA(INDEX(_xlfn.ANCHORARRAY(Sintesi!$C$18),1,MATCH(1,(_xlfn.ANCHORARRAY(Sintesi!$C$9)&gt;_xlfn.ANCHORARRAY(Sintesi!$C$10))*(A300&gt;=_xlfn.ANCHORARRAY(Sintesi!$C$9))+(_xlfn.ANCHORARRAY(Sintesi!$C$9)&gt;_xlfn.ANCHORARRAY(Sintesi!$C$10))*(A300&lt;=_xlfn.ANCHORARRAY(Sintesi!$C$10))+(_xlfn.ANCHORARRAY(Sintesi!$C$9)&lt;_xlfn.ANCHORARRAY(Sintesi!$C$10))*(A300&gt;=_xlfn.ANCHORARRAY(Sintesi!$C$9))*(A300&lt;=_xlfn.ANCHORARRAY(Sintesi!$C$10)),0)),0)-_xlfn.IFNA(INDEX(_xlfn.ANCHORARRAY(Sintesi!$C$17),1,MATCH(1,(_xlfn.ANCHORARRAY(Sintesi!$C$9)&gt;_xlfn.ANCHORARRAY(Sintesi!$C$10))*(A300&gt;=_xlfn.ANCHORARRAY(Sintesi!$C$9))+(_xlfn.ANCHORARRAY(Sintesi!$C$9)&gt;_xlfn.ANCHORARRAY(Sintesi!$C$10))*(A300&lt;=_xlfn.ANCHORARRAY(Sintesi!$C$10))+(_xlfn.ANCHORARRAY(Sintesi!$C$9)&lt;_xlfn.ANCHORARRAY(Sintesi!$C$10))*(A300&gt;=_xlfn.ANCHORARRAY(Sintesi!$C$9))*(A300&lt;=_xlfn.ANCHORARRAY(Sintesi!$C$10)),0)),0)))),0)</f>
        <v>0</v>
      </c>
    </row>
    <row r="302" spans="1:13">
      <c r="A302" s="1">
        <f>'Paste cell here'!A302</f>
        <v>301</v>
      </c>
      <c r="B302" s="2">
        <f>DATE(Sintesi!$C$4-1,12,31)+A302</f>
        <v>44497</v>
      </c>
      <c r="C302" s="34">
        <f t="array" ref="C302">_xlfn.IFNA(MATCH(1,((_xlfn.ANCHORARRAY(Sintesi!$C$9)&gt;_xlfn.ANCHORARRAY(Sintesi!$C$10))*(A302&gt;=_xlfn.ANCHORARRAY(Sintesi!$C$9))+(_xlfn.ANCHORARRAY(Sintesi!$C$9)&gt;_xlfn.ANCHORARRAY(Sintesi!$C$10))*(A302&lt;=_xlfn.ANCHORARRAY(Sintesi!$C$10))+(_xlfn.ANCHORARRAY(Sintesi!$C$9)&lt;_xlfn.ANCHORARRAY(Sintesi!$C$10))*(A302&gt;=_xlfn.ANCHORARRAY(Sintesi!$C$9))*(A302&lt;=_xlfn.ANCHORARRAY(Sintesi!$C$10)))*(_xlfn.ANCHORARRAY(Sintesi!$C$15)&gt;=0)+(_xlfn.ANCHORARRAY(Sintesi!$C$15)&lt;0),0),0)</f>
        <v>0</v>
      </c>
      <c r="D302" s="1">
        <f t="array" ref="D302">IF(ISBLANK($E303),IF(ISNUMBER($E301),IF($C302&gt;0,IF(($E302=INDEX(_xlfn.ANCHORARRAY(Sintesi!$C$14),1,$C302))*(INDEX(_xlfn.ANCHORARRAY(Sintesi!$C$15),1,$C302)&gt;0),0,IF(($E302=INDEX(_xlfn.ANCHORARRAY(Sintesi!$C$14),1,$C302))*(INDEX(_xlfn.ANCHORARRAY(Sintesi!$C$15),1,$C302)&lt;0)+($E302&gt;=$E301)*($E302&lt;=INDEX($E:$E,MATCH(TRUE,INDEX((ISNUMBER($E:$E)),0),0)))*($E302&gt;INDEX(_xlfn.ANCHORARRAY(Sintesi!$C$14),1,$C302))*($E302&lt;=INDEX(_xlfn.ANCHORARRAY(Sintesi!$C$15),1,$C302))*(INDEX(_xlfn.ANCHORARRAY(Sintesi!$C$15),1,$C302)&gt;0),1,IF(($E302&gt;=$E301)*($E302&lt;=INDEX($E:$E,MATCH(TRUE,INDEX((ISNUMBER($E:$E)),0),0)))*($E302&gt;INDEX(_xlfn.ANCHORARRAY(Sintesi!$C$14),1,$C302))*($E302&lt;INDEX(_xlfn.ANCHORARRAY(Sintesi!$C$16),1,$C302))*(INDEX(_xlfn.ANCHORARRAY(Sintesi!$C$15),1,$C302)&lt;0)+($E302&gt;=$E301)*($E302&lt;=INDEX($E:$E,MATCH(TRUE,INDEX((ISNUMBER($E:$E)),0),0)))*($E302&gt;INDEX(_xlfn.ANCHORARRAY(Sintesi!$C$15),1,$C302))*($E302&lt;INDEX(_xlfn.ANCHORARRAY(Sintesi!$C$16),1,$C302))*(INDEX(_xlfn.ANCHORARRAY(Sintesi!$C$15),1,$C302)&gt;0),2,IF($E302=(INDEX(_xlfn.ANCHORARRAY(Sintesi!$C$16),1,$C302)),3,4)))),0),IF($C302&gt;0,IF(($E302=INDEX(_xlfn.ANCHORARRAY(Sintesi!$C$14),1,$C302))*(INDEX(_xlfn.ANCHORARRAY(Sintesi!$C$15),1,$C302)&gt;0),0,IF(($E302=INDEX(_xlfn.ANCHORARRAY(Sintesi!$C$14),1,$C302))*(INDEX(_xlfn.ANCHORARRAY(Sintesi!$C$15),1,$C302)&lt;0)+($E302&gt;=LOOKUP(2,1/($E:$E&lt;&gt;""),$E:$E))*($E302&lt;=INDEX($E:$E,MATCH(TRUE,INDEX((ISNUMBER($E:$E)),0),0)))*($E302&gt;INDEX(_xlfn.ANCHORARRAY(Sintesi!$C$14),1,$C302))*($E302&lt;=INDEX(_xlfn.ANCHORARRAY(Sintesi!$C$15),1,$C302))*(INDEX(_xlfn.ANCHORARRAY(Sintesi!$C$15),1,$C302)&gt;0),1,IF(($E302&gt;=LOOKUP(2,1/($E:$E&lt;&gt;""),$E:$E))*($E302&lt;=INDEX($E:$E,MATCH(TRUE,INDEX((ISNUMBER($E:$E)),0),0)))*($E302&gt;INDEX(_xlfn.ANCHORARRAY(Sintesi!$C$14),1,$C302))*($E302&lt;INDEX(_xlfn.ANCHORARRAY(Sintesi!$C$16),1,$C302))*(INDEX(_xlfn.ANCHORARRAY(Sintesi!$C$15),1,$C302)&lt;0)+($E302&gt;=LOOKUP(2,1/($E:$E&lt;&gt;""),$E:$E))*($E302&lt;=INDEX($E:$E,MATCH(TRUE,INDEX((ISNUMBER($E:$E)),0),0)))*($E302&gt;INDEX(_xlfn.ANCHORARRAY(Sintesi!$C$15),1,$C302))*($E302&lt;INDEX(_xlfn.ANCHORARRAY(Sintesi!$C$16),1,$C302))*(INDEX(_xlfn.ANCHORARRAY(Sintesi!$C$15),1,$C302)&gt;0),2,IF($E302=(INDEX(_xlfn.ANCHORARRAY(Sintesi!$C$16),1,$C302)),3,4)))),0)),IF(ISNUMBER($E301),IF($C302&gt;0,IF(($E302=INDEX(_xlfn.ANCHORARRAY(Sintesi!$C$14),1,$C302))*(INDEX(_xlfn.ANCHORARRAY(Sintesi!$C$15),1,$C302)&gt;0),0,IF(($E302=INDEX(_xlfn.ANCHORARRAY(Sintesi!$C$14),1,$C302))*(INDEX(_xlfn.ANCHORARRAY(Sintesi!$C$15),1,$C302)&lt;0)+($E302&gt;=$E301)*($E302&lt;=$E303)*($E302&gt;INDEX(_xlfn.ANCHORARRAY(Sintesi!$C$14),1,$C302))*($E302&lt;=INDEX(_xlfn.ANCHORARRAY(Sintesi!$C$15),1,$C302))*(INDEX(_xlfn.ANCHORARRAY(Sintesi!$C$15),1,$C302)&gt;0),1,IF(($E302&gt;=$E301)*($E302&lt;=$E303)*($E302&gt;INDEX(_xlfn.ANCHORARRAY(Sintesi!$C$14),1,$C302))*($E302&lt;INDEX(_xlfn.ANCHORARRAY(Sintesi!$C$16),1,$C302))*(INDEX(_xlfn.ANCHORARRAY(Sintesi!$C$15),1,$C302)&lt;0)+($E302&gt;=$E301)*($E302&lt;=$E303)*($E302&gt;INDEX(_xlfn.ANCHORARRAY(Sintesi!$C$15),1,$C302))*($E302&lt;INDEX(_xlfn.ANCHORARRAY(Sintesi!$C$16),1,$C302))*(INDEX(_xlfn.ANCHORARRAY(Sintesi!$C$15),1,$C302)&gt;0),2,IF($E302=(INDEX(_xlfn.ANCHORARRAY(Sintesi!$C$16),1,$C302)),3,4)))),0),IF($C302&gt;0,IF(($E302=INDEX(_xlfn.ANCHORARRAY(Sintesi!$C$14),1,$C302))*(INDEX(_xlfn.ANCHORARRAY(Sintesi!$C$15),1,$C302)&gt;0),0,IF(($E302=INDEX(_xlfn.ANCHORARRAY(Sintesi!$C$14),1,$C302))*(INDEX(_xlfn.ANCHORARRAY(Sintesi!$C$15),1,$C302)&lt;0)+($E302&gt;=LOOKUP(2,1/($E:$E&lt;&gt;""),$E:$E))*($E302&lt;=$E303)*($E302&gt;INDEX(_xlfn.ANCHORARRAY(Sintesi!$C$14),1,$C302))*($E302&lt;=INDEX(_xlfn.ANCHORARRAY(Sintesi!$C$15),1,$C302))*(INDEX(_xlfn.ANCHORARRAY(Sintesi!$C$15),1,$C302)&gt;0),1,IF(($E302&gt;=LOOKUP(2,1/($E:$E&lt;&gt;""),$E:$E))*($E302&lt;=$E303)*($E302&gt;INDEX(_xlfn.ANCHORARRAY(Sintesi!$C$14),1,$C302))*($E302&lt;INDEX(_xlfn.ANCHORARRAY(Sintesi!$C$16),1,$C302))*(INDEX(_xlfn.ANCHORARRAY(Sintesi!$C$15),1,$C302)&lt;0)+($E302&gt;=LOOKUP(2,1/($E:$E&lt;&gt;""),$E:$E))*($E302&lt;=$E303)*($E302&gt;INDEX(_xlfn.ANCHORARRAY(Sintesi!$C$15),1,$C302))*($E302&lt;INDEX(_xlfn.ANCHORARRAY(Sintesi!$C$16),1,$C302))*(INDEX(_xlfn.ANCHORARRAY(Sintesi!$C$15),1,$C302)&gt;0),2,IF($E302=(INDEX(_xlfn.ANCHORARRAY(Sintesi!$C$16),1,$C302)),3,4)))),0)))</f>
        <v>0</v>
      </c>
      <c r="E302" s="1">
        <f>'Paste cell here'!F302</f>
        <v>0</v>
      </c>
      <c r="F302" s="1">
        <f>'Paste cell here'!C302</f>
        <v>18.279999999999735</v>
      </c>
      <c r="G302" s="1">
        <f>'Paste cell here'!D302</f>
        <v>4.8999999999999435</v>
      </c>
      <c r="H302" s="1">
        <f>'Paste cell here'!E302</f>
        <v>0.95390464921732965</v>
      </c>
      <c r="I302" s="1">
        <f>'Paste cell here'!X302</f>
        <v>0</v>
      </c>
      <c r="J302" s="1">
        <f>'Paste cell here'!Y302+'Paste cell here'!S302</f>
        <v>0</v>
      </c>
      <c r="K302" s="1">
        <f t="shared" si="8"/>
        <v>0</v>
      </c>
      <c r="L302" s="1">
        <f t="shared" si="9"/>
        <v>13.428679153214167</v>
      </c>
      <c r="M302" s="1">
        <f t="array" ref="M302">IF(AND(A302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302&gt;=_xlfn.ANCHORARRAY(Sintesi!$C$9))+(_xlfn.ANCHORARRAY(Sintesi!$C$9)&gt;_xlfn.ANCHORARRAY(Sintesi!$C$10))*(A302&lt;=_xlfn.ANCHORARRAY(Sintesi!$C$10))+(_xlfn.ANCHORARRAY(Sintesi!$C$9)&lt;_xlfn.ANCHORARRAY(Sintesi!$C$10))*(A302&gt;=_xlfn.ANCHORARRAY(Sintesi!$C$9))*(A302&lt;=_xlfn.ANCHORARRAY(Sintesi!$C$10)),0)),0),A302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303&gt;=_xlfn.ANCHORARRAY(Sintesi!$C$9))+(_xlfn.ANCHORARRAY(Sintesi!$C$9)&gt;_xlfn.ANCHORARRAY(Sintesi!$C$10))*(A303&lt;=_xlfn.ANCHORARRAY(Sintesi!$C$10))+(_xlfn.ANCHORARRAY(Sintesi!$C$9)&lt;_xlfn.ANCHORARRAY(Sintesi!$C$10))*(A303&gt;=_xlfn.ANCHORARRAY(Sintesi!$C$9))*(A303&lt;=_xlfn.ANCHORARRAY(Sintesi!$C$10)),0)),0)),IF(L302&lt;_xlfn.IFNA(INDEX(_xlfn.ANCHORARRAY(Sintesi!$C$17),1,MATCH(1,(_xlfn.ANCHORARRAY(Sintesi!$C$9)&gt;_xlfn.ANCHORARRAY(Sintesi!$C$10))*(A301&gt;=_xlfn.ANCHORARRAY(Sintesi!$C$9))+(_xlfn.ANCHORARRAY(Sintesi!$C$9)&gt;_xlfn.ANCHORARRAY(Sintesi!$C$10))*(A301&lt;=_xlfn.ANCHORARRAY(Sintesi!$C$10))+(_xlfn.ANCHORARRAY(Sintesi!$C$9)&lt;_xlfn.ANCHORARRAY(Sintesi!$C$10))*(A301&gt;=_xlfn.ANCHORARRAY(Sintesi!$C$9))*(A301&lt;=_xlfn.ANCHORARRAY(Sintesi!$C$10)),0)),0),1,IF(L302&gt;=_xlfn.IFNA(INDEX(_xlfn.ANCHORARRAY(Sintesi!$C$18),1,MATCH(1,(_xlfn.ANCHORARRAY(Sintesi!$C$9)&gt;_xlfn.ANCHORARRAY(Sintesi!$C$10))*(A301&gt;=_xlfn.ANCHORARRAY(Sintesi!$C$9))+(_xlfn.ANCHORARRAY(Sintesi!$C$9)&gt;_xlfn.ANCHORARRAY(Sintesi!$C$10))*(A301&lt;=_xlfn.ANCHORARRAY(Sintesi!$C$10))+(_xlfn.ANCHORARRAY(Sintesi!$C$9)&lt;_xlfn.ANCHORARRAY(Sintesi!$C$10))*(A301&gt;=_xlfn.ANCHORARRAY(Sintesi!$C$9))*(A301&lt;=_xlfn.ANCHORARRAY(Sintesi!$C$10)),0)),0),0,1-(L302-_xlfn.IFNA(INDEX(_xlfn.ANCHORARRAY(Sintesi!$C$17),1,MATCH(1,(_xlfn.ANCHORARRAY(Sintesi!$C$9)&gt;_xlfn.ANCHORARRAY(Sintesi!$C$10))*(A301&gt;=_xlfn.ANCHORARRAY(Sintesi!$C$9))+(_xlfn.ANCHORARRAY(Sintesi!$C$9)&gt;_xlfn.ANCHORARRAY(Sintesi!$C$10))*(A301&lt;=_xlfn.ANCHORARRAY(Sintesi!$C$10))+(_xlfn.ANCHORARRAY(Sintesi!$C$9)&lt;_xlfn.ANCHORARRAY(Sintesi!$C$10))*(A301&gt;=_xlfn.ANCHORARRAY(Sintesi!$C$9))*(A301&lt;=_xlfn.ANCHORARRAY(Sintesi!$C$10)),0)),0))/(_xlfn.IFNA(INDEX(_xlfn.ANCHORARRAY(Sintesi!$C$18),1,MATCH(1,(_xlfn.ANCHORARRAY(Sintesi!$C$9)&gt;_xlfn.ANCHORARRAY(Sintesi!$C$10))*(A301&gt;=_xlfn.ANCHORARRAY(Sintesi!$C$9))+(_xlfn.ANCHORARRAY(Sintesi!$C$9)&gt;_xlfn.ANCHORARRAY(Sintesi!$C$10))*(A301&lt;=_xlfn.ANCHORARRAY(Sintesi!$C$10))+(_xlfn.ANCHORARRAY(Sintesi!$C$9)&lt;_xlfn.ANCHORARRAY(Sintesi!$C$10))*(A301&gt;=_xlfn.ANCHORARRAY(Sintesi!$C$9))*(A301&lt;=_xlfn.ANCHORARRAY(Sintesi!$C$10)),0)),0)-_xlfn.IFNA(INDEX(_xlfn.ANCHORARRAY(Sintesi!$C$17),1,MATCH(1,(_xlfn.ANCHORARRAY(Sintesi!$C$9)&gt;_xlfn.ANCHORARRAY(Sintesi!$C$10))*(A301&gt;=_xlfn.ANCHORARRAY(Sintesi!$C$9))+(_xlfn.ANCHORARRAY(Sintesi!$C$9)&gt;_xlfn.ANCHORARRAY(Sintesi!$C$10))*(A301&lt;=_xlfn.ANCHORARRAY(Sintesi!$C$10))+(_xlfn.ANCHORARRAY(Sintesi!$C$9)&lt;_xlfn.ANCHORARRAY(Sintesi!$C$10))*(A301&gt;=_xlfn.ANCHORARRAY(Sintesi!$C$9))*(A301&lt;=_xlfn.ANCHORARRAY(Sintesi!$C$10)),0)),0)))),0)</f>
        <v>0</v>
      </c>
    </row>
    <row r="303" spans="1:13">
      <c r="A303" s="1">
        <f>'Paste cell here'!A303</f>
        <v>302</v>
      </c>
      <c r="B303" s="2">
        <f>DATE(Sintesi!$C$4-1,12,31)+A303</f>
        <v>44498</v>
      </c>
      <c r="C303" s="34">
        <f t="array" ref="C303">_xlfn.IFNA(MATCH(1,((_xlfn.ANCHORARRAY(Sintesi!$C$9)&gt;_xlfn.ANCHORARRAY(Sintesi!$C$10))*(A303&gt;=_xlfn.ANCHORARRAY(Sintesi!$C$9))+(_xlfn.ANCHORARRAY(Sintesi!$C$9)&gt;_xlfn.ANCHORARRAY(Sintesi!$C$10))*(A303&lt;=_xlfn.ANCHORARRAY(Sintesi!$C$10))+(_xlfn.ANCHORARRAY(Sintesi!$C$9)&lt;_xlfn.ANCHORARRAY(Sintesi!$C$10))*(A303&gt;=_xlfn.ANCHORARRAY(Sintesi!$C$9))*(A303&lt;=_xlfn.ANCHORARRAY(Sintesi!$C$10)))*(_xlfn.ANCHORARRAY(Sintesi!$C$15)&gt;=0)+(_xlfn.ANCHORARRAY(Sintesi!$C$15)&lt;0),0),0)</f>
        <v>0</v>
      </c>
      <c r="D303" s="1">
        <f t="array" ref="D303">IF(ISBLANK($E304),IF(ISNUMBER($E302),IF($C303&gt;0,IF(($E303=INDEX(_xlfn.ANCHORARRAY(Sintesi!$C$14),1,$C303))*(INDEX(_xlfn.ANCHORARRAY(Sintesi!$C$15),1,$C303)&gt;0),0,IF(($E303=INDEX(_xlfn.ANCHORARRAY(Sintesi!$C$14),1,$C303))*(INDEX(_xlfn.ANCHORARRAY(Sintesi!$C$15),1,$C303)&lt;0)+($E303&gt;=$E302)*($E303&lt;=INDEX($E:$E,MATCH(TRUE,INDEX((ISNUMBER($E:$E)),0),0)))*($E303&gt;INDEX(_xlfn.ANCHORARRAY(Sintesi!$C$14),1,$C303))*($E303&lt;=INDEX(_xlfn.ANCHORARRAY(Sintesi!$C$15),1,$C303))*(INDEX(_xlfn.ANCHORARRAY(Sintesi!$C$15),1,$C303)&gt;0),1,IF(($E303&gt;=$E302)*($E303&lt;=INDEX($E:$E,MATCH(TRUE,INDEX((ISNUMBER($E:$E)),0),0)))*($E303&gt;INDEX(_xlfn.ANCHORARRAY(Sintesi!$C$14),1,$C303))*($E303&lt;INDEX(_xlfn.ANCHORARRAY(Sintesi!$C$16),1,$C303))*(INDEX(_xlfn.ANCHORARRAY(Sintesi!$C$15),1,$C303)&lt;0)+($E303&gt;=$E302)*($E303&lt;=INDEX($E:$E,MATCH(TRUE,INDEX((ISNUMBER($E:$E)),0),0)))*($E303&gt;INDEX(_xlfn.ANCHORARRAY(Sintesi!$C$15),1,$C303))*($E303&lt;INDEX(_xlfn.ANCHORARRAY(Sintesi!$C$16),1,$C303))*(INDEX(_xlfn.ANCHORARRAY(Sintesi!$C$15),1,$C303)&gt;0),2,IF($E303=(INDEX(_xlfn.ANCHORARRAY(Sintesi!$C$16),1,$C303)),3,4)))),0),IF($C303&gt;0,IF(($E303=INDEX(_xlfn.ANCHORARRAY(Sintesi!$C$14),1,$C303))*(INDEX(_xlfn.ANCHORARRAY(Sintesi!$C$15),1,$C303)&gt;0),0,IF(($E303=INDEX(_xlfn.ANCHORARRAY(Sintesi!$C$14),1,$C303))*(INDEX(_xlfn.ANCHORARRAY(Sintesi!$C$15),1,$C303)&lt;0)+($E303&gt;=LOOKUP(2,1/($E:$E&lt;&gt;""),$E:$E))*($E303&lt;=INDEX($E:$E,MATCH(TRUE,INDEX((ISNUMBER($E:$E)),0),0)))*($E303&gt;INDEX(_xlfn.ANCHORARRAY(Sintesi!$C$14),1,$C303))*($E303&lt;=INDEX(_xlfn.ANCHORARRAY(Sintesi!$C$15),1,$C303))*(INDEX(_xlfn.ANCHORARRAY(Sintesi!$C$15),1,$C303)&gt;0),1,IF(($E303&gt;=LOOKUP(2,1/($E:$E&lt;&gt;""),$E:$E))*($E303&lt;=INDEX($E:$E,MATCH(TRUE,INDEX((ISNUMBER($E:$E)),0),0)))*($E303&gt;INDEX(_xlfn.ANCHORARRAY(Sintesi!$C$14),1,$C303))*($E303&lt;INDEX(_xlfn.ANCHORARRAY(Sintesi!$C$16),1,$C303))*(INDEX(_xlfn.ANCHORARRAY(Sintesi!$C$15),1,$C303)&lt;0)+($E303&gt;=LOOKUP(2,1/($E:$E&lt;&gt;""),$E:$E))*($E303&lt;=INDEX($E:$E,MATCH(TRUE,INDEX((ISNUMBER($E:$E)),0),0)))*($E303&gt;INDEX(_xlfn.ANCHORARRAY(Sintesi!$C$15),1,$C303))*($E303&lt;INDEX(_xlfn.ANCHORARRAY(Sintesi!$C$16),1,$C303))*(INDEX(_xlfn.ANCHORARRAY(Sintesi!$C$15),1,$C303)&gt;0),2,IF($E303=(INDEX(_xlfn.ANCHORARRAY(Sintesi!$C$16),1,$C303)),3,4)))),0)),IF(ISNUMBER($E302),IF($C303&gt;0,IF(($E303=INDEX(_xlfn.ANCHORARRAY(Sintesi!$C$14),1,$C303))*(INDEX(_xlfn.ANCHORARRAY(Sintesi!$C$15),1,$C303)&gt;0),0,IF(($E303=INDEX(_xlfn.ANCHORARRAY(Sintesi!$C$14),1,$C303))*(INDEX(_xlfn.ANCHORARRAY(Sintesi!$C$15),1,$C303)&lt;0)+($E303&gt;=$E302)*($E303&lt;=$E304)*($E303&gt;INDEX(_xlfn.ANCHORARRAY(Sintesi!$C$14),1,$C303))*($E303&lt;=INDEX(_xlfn.ANCHORARRAY(Sintesi!$C$15),1,$C303))*(INDEX(_xlfn.ANCHORARRAY(Sintesi!$C$15),1,$C303)&gt;0),1,IF(($E303&gt;=$E302)*($E303&lt;=$E304)*($E303&gt;INDEX(_xlfn.ANCHORARRAY(Sintesi!$C$14),1,$C303))*($E303&lt;INDEX(_xlfn.ANCHORARRAY(Sintesi!$C$16),1,$C303))*(INDEX(_xlfn.ANCHORARRAY(Sintesi!$C$15),1,$C303)&lt;0)+($E303&gt;=$E302)*($E303&lt;=$E304)*($E303&gt;INDEX(_xlfn.ANCHORARRAY(Sintesi!$C$15),1,$C303))*($E303&lt;INDEX(_xlfn.ANCHORARRAY(Sintesi!$C$16),1,$C303))*(INDEX(_xlfn.ANCHORARRAY(Sintesi!$C$15),1,$C303)&gt;0),2,IF($E303=(INDEX(_xlfn.ANCHORARRAY(Sintesi!$C$16),1,$C303)),3,4)))),0),IF($C303&gt;0,IF(($E303=INDEX(_xlfn.ANCHORARRAY(Sintesi!$C$14),1,$C303))*(INDEX(_xlfn.ANCHORARRAY(Sintesi!$C$15),1,$C303)&gt;0),0,IF(($E303=INDEX(_xlfn.ANCHORARRAY(Sintesi!$C$14),1,$C303))*(INDEX(_xlfn.ANCHORARRAY(Sintesi!$C$15),1,$C303)&lt;0)+($E303&gt;=LOOKUP(2,1/($E:$E&lt;&gt;""),$E:$E))*($E303&lt;=$E304)*($E303&gt;INDEX(_xlfn.ANCHORARRAY(Sintesi!$C$14),1,$C303))*($E303&lt;=INDEX(_xlfn.ANCHORARRAY(Sintesi!$C$15),1,$C303))*(INDEX(_xlfn.ANCHORARRAY(Sintesi!$C$15),1,$C303)&gt;0),1,IF(($E303&gt;=LOOKUP(2,1/($E:$E&lt;&gt;""),$E:$E))*($E303&lt;=$E304)*($E303&gt;INDEX(_xlfn.ANCHORARRAY(Sintesi!$C$14),1,$C303))*($E303&lt;INDEX(_xlfn.ANCHORARRAY(Sintesi!$C$16),1,$C303))*(INDEX(_xlfn.ANCHORARRAY(Sintesi!$C$15),1,$C303)&lt;0)+($E303&gt;=LOOKUP(2,1/($E:$E&lt;&gt;""),$E:$E))*($E303&lt;=$E304)*($E303&gt;INDEX(_xlfn.ANCHORARRAY(Sintesi!$C$15),1,$C303))*($E303&lt;INDEX(_xlfn.ANCHORARRAY(Sintesi!$C$16),1,$C303))*(INDEX(_xlfn.ANCHORARRAY(Sintesi!$C$15),1,$C303)&gt;0),2,IF($E303=(INDEX(_xlfn.ANCHORARRAY(Sintesi!$C$16),1,$C303)),3,4)))),0)))</f>
        <v>0</v>
      </c>
      <c r="E303" s="1">
        <f>'Paste cell here'!F303</f>
        <v>0</v>
      </c>
      <c r="F303" s="1">
        <f>'Paste cell here'!C303</f>
        <v>17.639999999999748</v>
      </c>
      <c r="G303" s="1">
        <f>'Paste cell here'!D303</f>
        <v>5.5599999999999312</v>
      </c>
      <c r="H303" s="1">
        <f>'Paste cell here'!E303</f>
        <v>0.91110279798970273</v>
      </c>
      <c r="I303" s="1">
        <f>'Paste cell here'!X303</f>
        <v>0</v>
      </c>
      <c r="J303" s="1">
        <f>'Paste cell here'!Y303+'Paste cell here'!S303</f>
        <v>0</v>
      </c>
      <c r="K303" s="1">
        <f t="shared" si="8"/>
        <v>0</v>
      </c>
      <c r="L303" s="1">
        <f t="shared" si="9"/>
        <v>13.260033196623837</v>
      </c>
      <c r="M303" s="1">
        <f t="array" ref="M303">IF(AND(A303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303&gt;=_xlfn.ANCHORARRAY(Sintesi!$C$9))+(_xlfn.ANCHORARRAY(Sintesi!$C$9)&gt;_xlfn.ANCHORARRAY(Sintesi!$C$10))*(A303&lt;=_xlfn.ANCHORARRAY(Sintesi!$C$10))+(_xlfn.ANCHORARRAY(Sintesi!$C$9)&lt;_xlfn.ANCHORARRAY(Sintesi!$C$10))*(A303&gt;=_xlfn.ANCHORARRAY(Sintesi!$C$9))*(A303&lt;=_xlfn.ANCHORARRAY(Sintesi!$C$10)),0)),0),A303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304&gt;=_xlfn.ANCHORARRAY(Sintesi!$C$9))+(_xlfn.ANCHORARRAY(Sintesi!$C$9)&gt;_xlfn.ANCHORARRAY(Sintesi!$C$10))*(A304&lt;=_xlfn.ANCHORARRAY(Sintesi!$C$10))+(_xlfn.ANCHORARRAY(Sintesi!$C$9)&lt;_xlfn.ANCHORARRAY(Sintesi!$C$10))*(A304&gt;=_xlfn.ANCHORARRAY(Sintesi!$C$9))*(A304&lt;=_xlfn.ANCHORARRAY(Sintesi!$C$10)),0)),0)),IF(L303&lt;_xlfn.IFNA(INDEX(_xlfn.ANCHORARRAY(Sintesi!$C$17),1,MATCH(1,(_xlfn.ANCHORARRAY(Sintesi!$C$9)&gt;_xlfn.ANCHORARRAY(Sintesi!$C$10))*(A302&gt;=_xlfn.ANCHORARRAY(Sintesi!$C$9))+(_xlfn.ANCHORARRAY(Sintesi!$C$9)&gt;_xlfn.ANCHORARRAY(Sintesi!$C$10))*(A302&lt;=_xlfn.ANCHORARRAY(Sintesi!$C$10))+(_xlfn.ANCHORARRAY(Sintesi!$C$9)&lt;_xlfn.ANCHORARRAY(Sintesi!$C$10))*(A302&gt;=_xlfn.ANCHORARRAY(Sintesi!$C$9))*(A302&lt;=_xlfn.ANCHORARRAY(Sintesi!$C$10)),0)),0),1,IF(L303&gt;=_xlfn.IFNA(INDEX(_xlfn.ANCHORARRAY(Sintesi!$C$18),1,MATCH(1,(_xlfn.ANCHORARRAY(Sintesi!$C$9)&gt;_xlfn.ANCHORARRAY(Sintesi!$C$10))*(A302&gt;=_xlfn.ANCHORARRAY(Sintesi!$C$9))+(_xlfn.ANCHORARRAY(Sintesi!$C$9)&gt;_xlfn.ANCHORARRAY(Sintesi!$C$10))*(A302&lt;=_xlfn.ANCHORARRAY(Sintesi!$C$10))+(_xlfn.ANCHORARRAY(Sintesi!$C$9)&lt;_xlfn.ANCHORARRAY(Sintesi!$C$10))*(A302&gt;=_xlfn.ANCHORARRAY(Sintesi!$C$9))*(A302&lt;=_xlfn.ANCHORARRAY(Sintesi!$C$10)),0)),0),0,1-(L303-_xlfn.IFNA(INDEX(_xlfn.ANCHORARRAY(Sintesi!$C$17),1,MATCH(1,(_xlfn.ANCHORARRAY(Sintesi!$C$9)&gt;_xlfn.ANCHORARRAY(Sintesi!$C$10))*(A302&gt;=_xlfn.ANCHORARRAY(Sintesi!$C$9))+(_xlfn.ANCHORARRAY(Sintesi!$C$9)&gt;_xlfn.ANCHORARRAY(Sintesi!$C$10))*(A302&lt;=_xlfn.ANCHORARRAY(Sintesi!$C$10))+(_xlfn.ANCHORARRAY(Sintesi!$C$9)&lt;_xlfn.ANCHORARRAY(Sintesi!$C$10))*(A302&gt;=_xlfn.ANCHORARRAY(Sintesi!$C$9))*(A302&lt;=_xlfn.ANCHORARRAY(Sintesi!$C$10)),0)),0))/(_xlfn.IFNA(INDEX(_xlfn.ANCHORARRAY(Sintesi!$C$18),1,MATCH(1,(_xlfn.ANCHORARRAY(Sintesi!$C$9)&gt;_xlfn.ANCHORARRAY(Sintesi!$C$10))*(A302&gt;=_xlfn.ANCHORARRAY(Sintesi!$C$9))+(_xlfn.ANCHORARRAY(Sintesi!$C$9)&gt;_xlfn.ANCHORARRAY(Sintesi!$C$10))*(A302&lt;=_xlfn.ANCHORARRAY(Sintesi!$C$10))+(_xlfn.ANCHORARRAY(Sintesi!$C$9)&lt;_xlfn.ANCHORARRAY(Sintesi!$C$10))*(A302&gt;=_xlfn.ANCHORARRAY(Sintesi!$C$9))*(A302&lt;=_xlfn.ANCHORARRAY(Sintesi!$C$10)),0)),0)-_xlfn.IFNA(INDEX(_xlfn.ANCHORARRAY(Sintesi!$C$17),1,MATCH(1,(_xlfn.ANCHORARRAY(Sintesi!$C$9)&gt;_xlfn.ANCHORARRAY(Sintesi!$C$10))*(A302&gt;=_xlfn.ANCHORARRAY(Sintesi!$C$9))+(_xlfn.ANCHORARRAY(Sintesi!$C$9)&gt;_xlfn.ANCHORARRAY(Sintesi!$C$10))*(A302&lt;=_xlfn.ANCHORARRAY(Sintesi!$C$10))+(_xlfn.ANCHORARRAY(Sintesi!$C$9)&lt;_xlfn.ANCHORARRAY(Sintesi!$C$10))*(A302&gt;=_xlfn.ANCHORARRAY(Sintesi!$C$9))*(A302&lt;=_xlfn.ANCHORARRAY(Sintesi!$C$10)),0)),0)))),0)</f>
        <v>0</v>
      </c>
    </row>
    <row r="304" spans="1:13">
      <c r="A304" s="1">
        <f>'Paste cell here'!A304</f>
        <v>303</v>
      </c>
      <c r="B304" s="2">
        <f>DATE(Sintesi!$C$4-1,12,31)+A304</f>
        <v>44499</v>
      </c>
      <c r="C304" s="34">
        <f t="array" ref="C304">_xlfn.IFNA(MATCH(1,((_xlfn.ANCHORARRAY(Sintesi!$C$9)&gt;_xlfn.ANCHORARRAY(Sintesi!$C$10))*(A304&gt;=_xlfn.ANCHORARRAY(Sintesi!$C$9))+(_xlfn.ANCHORARRAY(Sintesi!$C$9)&gt;_xlfn.ANCHORARRAY(Sintesi!$C$10))*(A304&lt;=_xlfn.ANCHORARRAY(Sintesi!$C$10))+(_xlfn.ANCHORARRAY(Sintesi!$C$9)&lt;_xlfn.ANCHORARRAY(Sintesi!$C$10))*(A304&gt;=_xlfn.ANCHORARRAY(Sintesi!$C$9))*(A304&lt;=_xlfn.ANCHORARRAY(Sintesi!$C$10)))*(_xlfn.ANCHORARRAY(Sintesi!$C$15)&gt;=0)+(_xlfn.ANCHORARRAY(Sintesi!$C$15)&lt;0),0),0)</f>
        <v>0</v>
      </c>
      <c r="D304" s="1">
        <f t="array" ref="D304">IF(ISBLANK($E305),IF(ISNUMBER($E303),IF($C304&gt;0,IF(($E304=INDEX(_xlfn.ANCHORARRAY(Sintesi!$C$14),1,$C304))*(INDEX(_xlfn.ANCHORARRAY(Sintesi!$C$15),1,$C304)&gt;0),0,IF(($E304=INDEX(_xlfn.ANCHORARRAY(Sintesi!$C$14),1,$C304))*(INDEX(_xlfn.ANCHORARRAY(Sintesi!$C$15),1,$C304)&lt;0)+($E304&gt;=$E303)*($E304&lt;=INDEX($E:$E,MATCH(TRUE,INDEX((ISNUMBER($E:$E)),0),0)))*($E304&gt;INDEX(_xlfn.ANCHORARRAY(Sintesi!$C$14),1,$C304))*($E304&lt;=INDEX(_xlfn.ANCHORARRAY(Sintesi!$C$15),1,$C304))*(INDEX(_xlfn.ANCHORARRAY(Sintesi!$C$15),1,$C304)&gt;0),1,IF(($E304&gt;=$E303)*($E304&lt;=INDEX($E:$E,MATCH(TRUE,INDEX((ISNUMBER($E:$E)),0),0)))*($E304&gt;INDEX(_xlfn.ANCHORARRAY(Sintesi!$C$14),1,$C304))*($E304&lt;INDEX(_xlfn.ANCHORARRAY(Sintesi!$C$16),1,$C304))*(INDEX(_xlfn.ANCHORARRAY(Sintesi!$C$15),1,$C304)&lt;0)+($E304&gt;=$E303)*($E304&lt;=INDEX($E:$E,MATCH(TRUE,INDEX((ISNUMBER($E:$E)),0),0)))*($E304&gt;INDEX(_xlfn.ANCHORARRAY(Sintesi!$C$15),1,$C304))*($E304&lt;INDEX(_xlfn.ANCHORARRAY(Sintesi!$C$16),1,$C304))*(INDEX(_xlfn.ANCHORARRAY(Sintesi!$C$15),1,$C304)&gt;0),2,IF($E304=(INDEX(_xlfn.ANCHORARRAY(Sintesi!$C$16),1,$C304)),3,4)))),0),IF($C304&gt;0,IF(($E304=INDEX(_xlfn.ANCHORARRAY(Sintesi!$C$14),1,$C304))*(INDEX(_xlfn.ANCHORARRAY(Sintesi!$C$15),1,$C304)&gt;0),0,IF(($E304=INDEX(_xlfn.ANCHORARRAY(Sintesi!$C$14),1,$C304))*(INDEX(_xlfn.ANCHORARRAY(Sintesi!$C$15),1,$C304)&lt;0)+($E304&gt;=LOOKUP(2,1/($E:$E&lt;&gt;""),$E:$E))*($E304&lt;=INDEX($E:$E,MATCH(TRUE,INDEX((ISNUMBER($E:$E)),0),0)))*($E304&gt;INDEX(_xlfn.ANCHORARRAY(Sintesi!$C$14),1,$C304))*($E304&lt;=INDEX(_xlfn.ANCHORARRAY(Sintesi!$C$15),1,$C304))*(INDEX(_xlfn.ANCHORARRAY(Sintesi!$C$15),1,$C304)&gt;0),1,IF(($E304&gt;=LOOKUP(2,1/($E:$E&lt;&gt;""),$E:$E))*($E304&lt;=INDEX($E:$E,MATCH(TRUE,INDEX((ISNUMBER($E:$E)),0),0)))*($E304&gt;INDEX(_xlfn.ANCHORARRAY(Sintesi!$C$14),1,$C304))*($E304&lt;INDEX(_xlfn.ANCHORARRAY(Sintesi!$C$16),1,$C304))*(INDEX(_xlfn.ANCHORARRAY(Sintesi!$C$15),1,$C304)&lt;0)+($E304&gt;=LOOKUP(2,1/($E:$E&lt;&gt;""),$E:$E))*($E304&lt;=INDEX($E:$E,MATCH(TRUE,INDEX((ISNUMBER($E:$E)),0),0)))*($E304&gt;INDEX(_xlfn.ANCHORARRAY(Sintesi!$C$15),1,$C304))*($E304&lt;INDEX(_xlfn.ANCHORARRAY(Sintesi!$C$16),1,$C304))*(INDEX(_xlfn.ANCHORARRAY(Sintesi!$C$15),1,$C304)&gt;0),2,IF($E304=(INDEX(_xlfn.ANCHORARRAY(Sintesi!$C$16),1,$C304)),3,4)))),0)),IF(ISNUMBER($E303),IF($C304&gt;0,IF(($E304=INDEX(_xlfn.ANCHORARRAY(Sintesi!$C$14),1,$C304))*(INDEX(_xlfn.ANCHORARRAY(Sintesi!$C$15),1,$C304)&gt;0),0,IF(($E304=INDEX(_xlfn.ANCHORARRAY(Sintesi!$C$14),1,$C304))*(INDEX(_xlfn.ANCHORARRAY(Sintesi!$C$15),1,$C304)&lt;0)+($E304&gt;=$E303)*($E304&lt;=$E305)*($E304&gt;INDEX(_xlfn.ANCHORARRAY(Sintesi!$C$14),1,$C304))*($E304&lt;=INDEX(_xlfn.ANCHORARRAY(Sintesi!$C$15),1,$C304))*(INDEX(_xlfn.ANCHORARRAY(Sintesi!$C$15),1,$C304)&gt;0),1,IF(($E304&gt;=$E303)*($E304&lt;=$E305)*($E304&gt;INDEX(_xlfn.ANCHORARRAY(Sintesi!$C$14),1,$C304))*($E304&lt;INDEX(_xlfn.ANCHORARRAY(Sintesi!$C$16),1,$C304))*(INDEX(_xlfn.ANCHORARRAY(Sintesi!$C$15),1,$C304)&lt;0)+($E304&gt;=$E303)*($E304&lt;=$E305)*($E304&gt;INDEX(_xlfn.ANCHORARRAY(Sintesi!$C$15),1,$C304))*($E304&lt;INDEX(_xlfn.ANCHORARRAY(Sintesi!$C$16),1,$C304))*(INDEX(_xlfn.ANCHORARRAY(Sintesi!$C$15),1,$C304)&gt;0),2,IF($E304=(INDEX(_xlfn.ANCHORARRAY(Sintesi!$C$16),1,$C304)),3,4)))),0),IF($C304&gt;0,IF(($E304=INDEX(_xlfn.ANCHORARRAY(Sintesi!$C$14),1,$C304))*(INDEX(_xlfn.ANCHORARRAY(Sintesi!$C$15),1,$C304)&gt;0),0,IF(($E304=INDEX(_xlfn.ANCHORARRAY(Sintesi!$C$14),1,$C304))*(INDEX(_xlfn.ANCHORARRAY(Sintesi!$C$15),1,$C304)&lt;0)+($E304&gt;=LOOKUP(2,1/($E:$E&lt;&gt;""),$E:$E))*($E304&lt;=$E305)*($E304&gt;INDEX(_xlfn.ANCHORARRAY(Sintesi!$C$14),1,$C304))*($E304&lt;=INDEX(_xlfn.ANCHORARRAY(Sintesi!$C$15),1,$C304))*(INDEX(_xlfn.ANCHORARRAY(Sintesi!$C$15),1,$C304)&gt;0),1,IF(($E304&gt;=LOOKUP(2,1/($E:$E&lt;&gt;""),$E:$E))*($E304&lt;=$E305)*($E304&gt;INDEX(_xlfn.ANCHORARRAY(Sintesi!$C$14),1,$C304))*($E304&lt;INDEX(_xlfn.ANCHORARRAY(Sintesi!$C$16),1,$C304))*(INDEX(_xlfn.ANCHORARRAY(Sintesi!$C$15),1,$C304)&lt;0)+($E304&gt;=LOOKUP(2,1/($E:$E&lt;&gt;""),$E:$E))*($E304&lt;=$E305)*($E304&gt;INDEX(_xlfn.ANCHORARRAY(Sintesi!$C$15),1,$C304))*($E304&lt;INDEX(_xlfn.ANCHORARRAY(Sintesi!$C$16),1,$C304))*(INDEX(_xlfn.ANCHORARRAY(Sintesi!$C$15),1,$C304)&gt;0),2,IF($E304=(INDEX(_xlfn.ANCHORARRAY(Sintesi!$C$16),1,$C304)),3,4)))),0)))</f>
        <v>0</v>
      </c>
      <c r="E304" s="1">
        <f>'Paste cell here'!F304</f>
        <v>0</v>
      </c>
      <c r="F304" s="1">
        <f>'Paste cell here'!C304</f>
        <v>13.3999999999998</v>
      </c>
      <c r="G304" s="1">
        <f>'Paste cell here'!D304</f>
        <v>9.0399999999998943</v>
      </c>
      <c r="H304" s="1">
        <f>'Paste cell here'!E304</f>
        <v>0.66598490152933809</v>
      </c>
      <c r="I304" s="1">
        <f>'Paste cell here'!X304</f>
        <v>0</v>
      </c>
      <c r="J304" s="1">
        <f>'Paste cell here'!Y304+'Paste cell here'!S304</f>
        <v>0</v>
      </c>
      <c r="K304" s="1">
        <f t="shared" si="8"/>
        <v>0</v>
      </c>
      <c r="L304" s="1">
        <f t="shared" si="9"/>
        <v>11.819151054410494</v>
      </c>
      <c r="M304" s="1">
        <f t="array" ref="M304">IF(AND(A304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304&gt;=_xlfn.ANCHORARRAY(Sintesi!$C$9))+(_xlfn.ANCHORARRAY(Sintesi!$C$9)&gt;_xlfn.ANCHORARRAY(Sintesi!$C$10))*(A304&lt;=_xlfn.ANCHORARRAY(Sintesi!$C$10))+(_xlfn.ANCHORARRAY(Sintesi!$C$9)&lt;_xlfn.ANCHORARRAY(Sintesi!$C$10))*(A304&gt;=_xlfn.ANCHORARRAY(Sintesi!$C$9))*(A304&lt;=_xlfn.ANCHORARRAY(Sintesi!$C$10)),0)),0),A304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305&gt;=_xlfn.ANCHORARRAY(Sintesi!$C$9))+(_xlfn.ANCHORARRAY(Sintesi!$C$9)&gt;_xlfn.ANCHORARRAY(Sintesi!$C$10))*(A305&lt;=_xlfn.ANCHORARRAY(Sintesi!$C$10))+(_xlfn.ANCHORARRAY(Sintesi!$C$9)&lt;_xlfn.ANCHORARRAY(Sintesi!$C$10))*(A305&gt;=_xlfn.ANCHORARRAY(Sintesi!$C$9))*(A305&lt;=_xlfn.ANCHORARRAY(Sintesi!$C$10)),0)),0)),IF(L304&lt;_xlfn.IFNA(INDEX(_xlfn.ANCHORARRAY(Sintesi!$C$17),1,MATCH(1,(_xlfn.ANCHORARRAY(Sintesi!$C$9)&gt;_xlfn.ANCHORARRAY(Sintesi!$C$10))*(A303&gt;=_xlfn.ANCHORARRAY(Sintesi!$C$9))+(_xlfn.ANCHORARRAY(Sintesi!$C$9)&gt;_xlfn.ANCHORARRAY(Sintesi!$C$10))*(A303&lt;=_xlfn.ANCHORARRAY(Sintesi!$C$10))+(_xlfn.ANCHORARRAY(Sintesi!$C$9)&lt;_xlfn.ANCHORARRAY(Sintesi!$C$10))*(A303&gt;=_xlfn.ANCHORARRAY(Sintesi!$C$9))*(A303&lt;=_xlfn.ANCHORARRAY(Sintesi!$C$10)),0)),0),1,IF(L304&gt;=_xlfn.IFNA(INDEX(_xlfn.ANCHORARRAY(Sintesi!$C$18),1,MATCH(1,(_xlfn.ANCHORARRAY(Sintesi!$C$9)&gt;_xlfn.ANCHORARRAY(Sintesi!$C$10))*(A303&gt;=_xlfn.ANCHORARRAY(Sintesi!$C$9))+(_xlfn.ANCHORARRAY(Sintesi!$C$9)&gt;_xlfn.ANCHORARRAY(Sintesi!$C$10))*(A303&lt;=_xlfn.ANCHORARRAY(Sintesi!$C$10))+(_xlfn.ANCHORARRAY(Sintesi!$C$9)&lt;_xlfn.ANCHORARRAY(Sintesi!$C$10))*(A303&gt;=_xlfn.ANCHORARRAY(Sintesi!$C$9))*(A303&lt;=_xlfn.ANCHORARRAY(Sintesi!$C$10)),0)),0),0,1-(L304-_xlfn.IFNA(INDEX(_xlfn.ANCHORARRAY(Sintesi!$C$17),1,MATCH(1,(_xlfn.ANCHORARRAY(Sintesi!$C$9)&gt;_xlfn.ANCHORARRAY(Sintesi!$C$10))*(A303&gt;=_xlfn.ANCHORARRAY(Sintesi!$C$9))+(_xlfn.ANCHORARRAY(Sintesi!$C$9)&gt;_xlfn.ANCHORARRAY(Sintesi!$C$10))*(A303&lt;=_xlfn.ANCHORARRAY(Sintesi!$C$10))+(_xlfn.ANCHORARRAY(Sintesi!$C$9)&lt;_xlfn.ANCHORARRAY(Sintesi!$C$10))*(A303&gt;=_xlfn.ANCHORARRAY(Sintesi!$C$9))*(A303&lt;=_xlfn.ANCHORARRAY(Sintesi!$C$10)),0)),0))/(_xlfn.IFNA(INDEX(_xlfn.ANCHORARRAY(Sintesi!$C$18),1,MATCH(1,(_xlfn.ANCHORARRAY(Sintesi!$C$9)&gt;_xlfn.ANCHORARRAY(Sintesi!$C$10))*(A303&gt;=_xlfn.ANCHORARRAY(Sintesi!$C$9))+(_xlfn.ANCHORARRAY(Sintesi!$C$9)&gt;_xlfn.ANCHORARRAY(Sintesi!$C$10))*(A303&lt;=_xlfn.ANCHORARRAY(Sintesi!$C$10))+(_xlfn.ANCHORARRAY(Sintesi!$C$9)&lt;_xlfn.ANCHORARRAY(Sintesi!$C$10))*(A303&gt;=_xlfn.ANCHORARRAY(Sintesi!$C$9))*(A303&lt;=_xlfn.ANCHORARRAY(Sintesi!$C$10)),0)),0)-_xlfn.IFNA(INDEX(_xlfn.ANCHORARRAY(Sintesi!$C$17),1,MATCH(1,(_xlfn.ANCHORARRAY(Sintesi!$C$9)&gt;_xlfn.ANCHORARRAY(Sintesi!$C$10))*(A303&gt;=_xlfn.ANCHORARRAY(Sintesi!$C$9))+(_xlfn.ANCHORARRAY(Sintesi!$C$9)&gt;_xlfn.ANCHORARRAY(Sintesi!$C$10))*(A303&lt;=_xlfn.ANCHORARRAY(Sintesi!$C$10))+(_xlfn.ANCHORARRAY(Sintesi!$C$9)&lt;_xlfn.ANCHORARRAY(Sintesi!$C$10))*(A303&gt;=_xlfn.ANCHORARRAY(Sintesi!$C$9))*(A303&lt;=_xlfn.ANCHORARRAY(Sintesi!$C$10)),0)),0)))),0)</f>
        <v>0</v>
      </c>
    </row>
    <row r="305" spans="1:13">
      <c r="A305" s="1">
        <f>'Paste cell here'!A305</f>
        <v>304</v>
      </c>
      <c r="B305" s="2">
        <f>DATE(Sintesi!$C$4-1,12,31)+A305</f>
        <v>44500</v>
      </c>
      <c r="C305" s="34">
        <f t="array" ref="C305">_xlfn.IFNA(MATCH(1,((_xlfn.ANCHORARRAY(Sintesi!$C$9)&gt;_xlfn.ANCHORARRAY(Sintesi!$C$10))*(A305&gt;=_xlfn.ANCHORARRAY(Sintesi!$C$9))+(_xlfn.ANCHORARRAY(Sintesi!$C$9)&gt;_xlfn.ANCHORARRAY(Sintesi!$C$10))*(A305&lt;=_xlfn.ANCHORARRAY(Sintesi!$C$10))+(_xlfn.ANCHORARRAY(Sintesi!$C$9)&lt;_xlfn.ANCHORARRAY(Sintesi!$C$10))*(A305&gt;=_xlfn.ANCHORARRAY(Sintesi!$C$9))*(A305&lt;=_xlfn.ANCHORARRAY(Sintesi!$C$10)))*(_xlfn.ANCHORARRAY(Sintesi!$C$15)&gt;=0)+(_xlfn.ANCHORARRAY(Sintesi!$C$15)&lt;0),0),0)</f>
        <v>0</v>
      </c>
      <c r="D305" s="1">
        <f t="array" ref="D305">IF(ISBLANK($E306),IF(ISNUMBER($E304),IF($C305&gt;0,IF(($E305=INDEX(_xlfn.ANCHORARRAY(Sintesi!$C$14),1,$C305))*(INDEX(_xlfn.ANCHORARRAY(Sintesi!$C$15),1,$C305)&gt;0),0,IF(($E305=INDEX(_xlfn.ANCHORARRAY(Sintesi!$C$14),1,$C305))*(INDEX(_xlfn.ANCHORARRAY(Sintesi!$C$15),1,$C305)&lt;0)+($E305&gt;=$E304)*($E305&lt;=INDEX($E:$E,MATCH(TRUE,INDEX((ISNUMBER($E:$E)),0),0)))*($E305&gt;INDEX(_xlfn.ANCHORARRAY(Sintesi!$C$14),1,$C305))*($E305&lt;=INDEX(_xlfn.ANCHORARRAY(Sintesi!$C$15),1,$C305))*(INDEX(_xlfn.ANCHORARRAY(Sintesi!$C$15),1,$C305)&gt;0),1,IF(($E305&gt;=$E304)*($E305&lt;=INDEX($E:$E,MATCH(TRUE,INDEX((ISNUMBER($E:$E)),0),0)))*($E305&gt;INDEX(_xlfn.ANCHORARRAY(Sintesi!$C$14),1,$C305))*($E305&lt;INDEX(_xlfn.ANCHORARRAY(Sintesi!$C$16),1,$C305))*(INDEX(_xlfn.ANCHORARRAY(Sintesi!$C$15),1,$C305)&lt;0)+($E305&gt;=$E304)*($E305&lt;=INDEX($E:$E,MATCH(TRUE,INDEX((ISNUMBER($E:$E)),0),0)))*($E305&gt;INDEX(_xlfn.ANCHORARRAY(Sintesi!$C$15),1,$C305))*($E305&lt;INDEX(_xlfn.ANCHORARRAY(Sintesi!$C$16),1,$C305))*(INDEX(_xlfn.ANCHORARRAY(Sintesi!$C$15),1,$C305)&gt;0),2,IF($E305=(INDEX(_xlfn.ANCHORARRAY(Sintesi!$C$16),1,$C305)),3,4)))),0),IF($C305&gt;0,IF(($E305=INDEX(_xlfn.ANCHORARRAY(Sintesi!$C$14),1,$C305))*(INDEX(_xlfn.ANCHORARRAY(Sintesi!$C$15),1,$C305)&gt;0),0,IF(($E305=INDEX(_xlfn.ANCHORARRAY(Sintesi!$C$14),1,$C305))*(INDEX(_xlfn.ANCHORARRAY(Sintesi!$C$15),1,$C305)&lt;0)+($E305&gt;=LOOKUP(2,1/($E:$E&lt;&gt;""),$E:$E))*($E305&lt;=INDEX($E:$E,MATCH(TRUE,INDEX((ISNUMBER($E:$E)),0),0)))*($E305&gt;INDEX(_xlfn.ANCHORARRAY(Sintesi!$C$14),1,$C305))*($E305&lt;=INDEX(_xlfn.ANCHORARRAY(Sintesi!$C$15),1,$C305))*(INDEX(_xlfn.ANCHORARRAY(Sintesi!$C$15),1,$C305)&gt;0),1,IF(($E305&gt;=LOOKUP(2,1/($E:$E&lt;&gt;""),$E:$E))*($E305&lt;=INDEX($E:$E,MATCH(TRUE,INDEX((ISNUMBER($E:$E)),0),0)))*($E305&gt;INDEX(_xlfn.ANCHORARRAY(Sintesi!$C$14),1,$C305))*($E305&lt;INDEX(_xlfn.ANCHORARRAY(Sintesi!$C$16),1,$C305))*(INDEX(_xlfn.ANCHORARRAY(Sintesi!$C$15),1,$C305)&lt;0)+($E305&gt;=LOOKUP(2,1/($E:$E&lt;&gt;""),$E:$E))*($E305&lt;=INDEX($E:$E,MATCH(TRUE,INDEX((ISNUMBER($E:$E)),0),0)))*($E305&gt;INDEX(_xlfn.ANCHORARRAY(Sintesi!$C$15),1,$C305))*($E305&lt;INDEX(_xlfn.ANCHORARRAY(Sintesi!$C$16),1,$C305))*(INDEX(_xlfn.ANCHORARRAY(Sintesi!$C$15),1,$C305)&gt;0),2,IF($E305=(INDEX(_xlfn.ANCHORARRAY(Sintesi!$C$16),1,$C305)),3,4)))),0)),IF(ISNUMBER($E304),IF($C305&gt;0,IF(($E305=INDEX(_xlfn.ANCHORARRAY(Sintesi!$C$14),1,$C305))*(INDEX(_xlfn.ANCHORARRAY(Sintesi!$C$15),1,$C305)&gt;0),0,IF(($E305=INDEX(_xlfn.ANCHORARRAY(Sintesi!$C$14),1,$C305))*(INDEX(_xlfn.ANCHORARRAY(Sintesi!$C$15),1,$C305)&lt;0)+($E305&gt;=$E304)*($E305&lt;=$E306)*($E305&gt;INDEX(_xlfn.ANCHORARRAY(Sintesi!$C$14),1,$C305))*($E305&lt;=INDEX(_xlfn.ANCHORARRAY(Sintesi!$C$15),1,$C305))*(INDEX(_xlfn.ANCHORARRAY(Sintesi!$C$15),1,$C305)&gt;0),1,IF(($E305&gt;=$E304)*($E305&lt;=$E306)*($E305&gt;INDEX(_xlfn.ANCHORARRAY(Sintesi!$C$14),1,$C305))*($E305&lt;INDEX(_xlfn.ANCHORARRAY(Sintesi!$C$16),1,$C305))*(INDEX(_xlfn.ANCHORARRAY(Sintesi!$C$15),1,$C305)&lt;0)+($E305&gt;=$E304)*($E305&lt;=$E306)*($E305&gt;INDEX(_xlfn.ANCHORARRAY(Sintesi!$C$15),1,$C305))*($E305&lt;INDEX(_xlfn.ANCHORARRAY(Sintesi!$C$16),1,$C305))*(INDEX(_xlfn.ANCHORARRAY(Sintesi!$C$15),1,$C305)&gt;0),2,IF($E305=(INDEX(_xlfn.ANCHORARRAY(Sintesi!$C$16),1,$C305)),3,4)))),0),IF($C305&gt;0,IF(($E305=INDEX(_xlfn.ANCHORARRAY(Sintesi!$C$14),1,$C305))*(INDEX(_xlfn.ANCHORARRAY(Sintesi!$C$15),1,$C305)&gt;0),0,IF(($E305=INDEX(_xlfn.ANCHORARRAY(Sintesi!$C$14),1,$C305))*(INDEX(_xlfn.ANCHORARRAY(Sintesi!$C$15),1,$C305)&lt;0)+($E305&gt;=LOOKUP(2,1/($E:$E&lt;&gt;""),$E:$E))*($E305&lt;=$E306)*($E305&gt;INDEX(_xlfn.ANCHORARRAY(Sintesi!$C$14),1,$C305))*($E305&lt;=INDEX(_xlfn.ANCHORARRAY(Sintesi!$C$15),1,$C305))*(INDEX(_xlfn.ANCHORARRAY(Sintesi!$C$15),1,$C305)&gt;0),1,IF(($E305&gt;=LOOKUP(2,1/($E:$E&lt;&gt;""),$E:$E))*($E305&lt;=$E306)*($E305&gt;INDEX(_xlfn.ANCHORARRAY(Sintesi!$C$14),1,$C305))*($E305&lt;INDEX(_xlfn.ANCHORARRAY(Sintesi!$C$16),1,$C305))*(INDEX(_xlfn.ANCHORARRAY(Sintesi!$C$15),1,$C305)&lt;0)+($E305&gt;=LOOKUP(2,1/($E:$E&lt;&gt;""),$E:$E))*($E305&lt;=$E306)*($E305&gt;INDEX(_xlfn.ANCHORARRAY(Sintesi!$C$15),1,$C305))*($E305&lt;INDEX(_xlfn.ANCHORARRAY(Sintesi!$C$16),1,$C305))*(INDEX(_xlfn.ANCHORARRAY(Sintesi!$C$15),1,$C305)&gt;0),2,IF($E305=(INDEX(_xlfn.ANCHORARRAY(Sintesi!$C$16),1,$C305)),3,4)))),0)))</f>
        <v>0</v>
      </c>
      <c r="E305" s="1">
        <f>'Paste cell here'!F305</f>
        <v>0</v>
      </c>
      <c r="F305" s="1">
        <f>'Paste cell here'!C305</f>
        <v>13.619999999999806</v>
      </c>
      <c r="G305" s="1">
        <f>'Paste cell here'!D305</f>
        <v>10.159999999999856</v>
      </c>
      <c r="H305" s="1">
        <f>'Paste cell here'!E305</f>
        <v>0.61870670104474679</v>
      </c>
      <c r="I305" s="1">
        <f>'Paste cell here'!X305</f>
        <v>0</v>
      </c>
      <c r="J305" s="1">
        <f>'Paste cell here'!Y305+'Paste cell here'!S305</f>
        <v>0</v>
      </c>
      <c r="K305" s="1">
        <f t="shared" si="8"/>
        <v>0</v>
      </c>
      <c r="L305" s="1">
        <f t="shared" si="9"/>
        <v>12.365473084463328</v>
      </c>
      <c r="M305" s="1">
        <f t="array" ref="M305">IF(AND(A305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305&gt;=_xlfn.ANCHORARRAY(Sintesi!$C$9))+(_xlfn.ANCHORARRAY(Sintesi!$C$9)&gt;_xlfn.ANCHORARRAY(Sintesi!$C$10))*(A305&lt;=_xlfn.ANCHORARRAY(Sintesi!$C$10))+(_xlfn.ANCHORARRAY(Sintesi!$C$9)&lt;_xlfn.ANCHORARRAY(Sintesi!$C$10))*(A305&gt;=_xlfn.ANCHORARRAY(Sintesi!$C$9))*(A305&lt;=_xlfn.ANCHORARRAY(Sintesi!$C$10)),0)),0),A305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306&gt;=_xlfn.ANCHORARRAY(Sintesi!$C$9))+(_xlfn.ANCHORARRAY(Sintesi!$C$9)&gt;_xlfn.ANCHORARRAY(Sintesi!$C$10))*(A306&lt;=_xlfn.ANCHORARRAY(Sintesi!$C$10))+(_xlfn.ANCHORARRAY(Sintesi!$C$9)&lt;_xlfn.ANCHORARRAY(Sintesi!$C$10))*(A306&gt;=_xlfn.ANCHORARRAY(Sintesi!$C$9))*(A306&lt;=_xlfn.ANCHORARRAY(Sintesi!$C$10)),0)),0)),IF(L305&lt;_xlfn.IFNA(INDEX(_xlfn.ANCHORARRAY(Sintesi!$C$17),1,MATCH(1,(_xlfn.ANCHORARRAY(Sintesi!$C$9)&gt;_xlfn.ANCHORARRAY(Sintesi!$C$10))*(A304&gt;=_xlfn.ANCHORARRAY(Sintesi!$C$9))+(_xlfn.ANCHORARRAY(Sintesi!$C$9)&gt;_xlfn.ANCHORARRAY(Sintesi!$C$10))*(A304&lt;=_xlfn.ANCHORARRAY(Sintesi!$C$10))+(_xlfn.ANCHORARRAY(Sintesi!$C$9)&lt;_xlfn.ANCHORARRAY(Sintesi!$C$10))*(A304&gt;=_xlfn.ANCHORARRAY(Sintesi!$C$9))*(A304&lt;=_xlfn.ANCHORARRAY(Sintesi!$C$10)),0)),0),1,IF(L305&gt;=_xlfn.IFNA(INDEX(_xlfn.ANCHORARRAY(Sintesi!$C$18),1,MATCH(1,(_xlfn.ANCHORARRAY(Sintesi!$C$9)&gt;_xlfn.ANCHORARRAY(Sintesi!$C$10))*(A304&gt;=_xlfn.ANCHORARRAY(Sintesi!$C$9))+(_xlfn.ANCHORARRAY(Sintesi!$C$9)&gt;_xlfn.ANCHORARRAY(Sintesi!$C$10))*(A304&lt;=_xlfn.ANCHORARRAY(Sintesi!$C$10))+(_xlfn.ANCHORARRAY(Sintesi!$C$9)&lt;_xlfn.ANCHORARRAY(Sintesi!$C$10))*(A304&gt;=_xlfn.ANCHORARRAY(Sintesi!$C$9))*(A304&lt;=_xlfn.ANCHORARRAY(Sintesi!$C$10)),0)),0),0,1-(L305-_xlfn.IFNA(INDEX(_xlfn.ANCHORARRAY(Sintesi!$C$17),1,MATCH(1,(_xlfn.ANCHORARRAY(Sintesi!$C$9)&gt;_xlfn.ANCHORARRAY(Sintesi!$C$10))*(A304&gt;=_xlfn.ANCHORARRAY(Sintesi!$C$9))+(_xlfn.ANCHORARRAY(Sintesi!$C$9)&gt;_xlfn.ANCHORARRAY(Sintesi!$C$10))*(A304&lt;=_xlfn.ANCHORARRAY(Sintesi!$C$10))+(_xlfn.ANCHORARRAY(Sintesi!$C$9)&lt;_xlfn.ANCHORARRAY(Sintesi!$C$10))*(A304&gt;=_xlfn.ANCHORARRAY(Sintesi!$C$9))*(A304&lt;=_xlfn.ANCHORARRAY(Sintesi!$C$10)),0)),0))/(_xlfn.IFNA(INDEX(_xlfn.ANCHORARRAY(Sintesi!$C$18),1,MATCH(1,(_xlfn.ANCHORARRAY(Sintesi!$C$9)&gt;_xlfn.ANCHORARRAY(Sintesi!$C$10))*(A304&gt;=_xlfn.ANCHORARRAY(Sintesi!$C$9))+(_xlfn.ANCHORARRAY(Sintesi!$C$9)&gt;_xlfn.ANCHORARRAY(Sintesi!$C$10))*(A304&lt;=_xlfn.ANCHORARRAY(Sintesi!$C$10))+(_xlfn.ANCHORARRAY(Sintesi!$C$9)&lt;_xlfn.ANCHORARRAY(Sintesi!$C$10))*(A304&gt;=_xlfn.ANCHORARRAY(Sintesi!$C$9))*(A304&lt;=_xlfn.ANCHORARRAY(Sintesi!$C$10)),0)),0)-_xlfn.IFNA(INDEX(_xlfn.ANCHORARRAY(Sintesi!$C$17),1,MATCH(1,(_xlfn.ANCHORARRAY(Sintesi!$C$9)&gt;_xlfn.ANCHORARRAY(Sintesi!$C$10))*(A304&gt;=_xlfn.ANCHORARRAY(Sintesi!$C$9))+(_xlfn.ANCHORARRAY(Sintesi!$C$9)&gt;_xlfn.ANCHORARRAY(Sintesi!$C$10))*(A304&lt;=_xlfn.ANCHORARRAY(Sintesi!$C$10))+(_xlfn.ANCHORARRAY(Sintesi!$C$9)&lt;_xlfn.ANCHORARRAY(Sintesi!$C$10))*(A304&gt;=_xlfn.ANCHORARRAY(Sintesi!$C$9))*(A304&lt;=_xlfn.ANCHORARRAY(Sintesi!$C$10)),0)),0)))),0)</f>
        <v>0</v>
      </c>
    </row>
    <row r="306" spans="1:13">
      <c r="A306" s="1">
        <f>'Paste cell here'!A306</f>
        <v>305</v>
      </c>
      <c r="B306" s="2">
        <f>DATE(Sintesi!$C$4-1,12,31)+A306</f>
        <v>44501</v>
      </c>
      <c r="C306" s="34">
        <f t="array" ref="C306">_xlfn.IFNA(MATCH(1,((_xlfn.ANCHORARRAY(Sintesi!$C$9)&gt;_xlfn.ANCHORARRAY(Sintesi!$C$10))*(A306&gt;=_xlfn.ANCHORARRAY(Sintesi!$C$9))+(_xlfn.ANCHORARRAY(Sintesi!$C$9)&gt;_xlfn.ANCHORARRAY(Sintesi!$C$10))*(A306&lt;=_xlfn.ANCHORARRAY(Sintesi!$C$10))+(_xlfn.ANCHORARRAY(Sintesi!$C$9)&lt;_xlfn.ANCHORARRAY(Sintesi!$C$10))*(A306&gt;=_xlfn.ANCHORARRAY(Sintesi!$C$9))*(A306&lt;=_xlfn.ANCHORARRAY(Sintesi!$C$10)))*(_xlfn.ANCHORARRAY(Sintesi!$C$15)&gt;=0)+(_xlfn.ANCHORARRAY(Sintesi!$C$15)&lt;0),0),0)</f>
        <v>0</v>
      </c>
      <c r="D306" s="1">
        <f t="array" ref="D306">IF(ISBLANK($E307),IF(ISNUMBER($E305),IF($C306&gt;0,IF(($E306=INDEX(_xlfn.ANCHORARRAY(Sintesi!$C$14),1,$C306))*(INDEX(_xlfn.ANCHORARRAY(Sintesi!$C$15),1,$C306)&gt;0),0,IF(($E306=INDEX(_xlfn.ANCHORARRAY(Sintesi!$C$14),1,$C306))*(INDEX(_xlfn.ANCHORARRAY(Sintesi!$C$15),1,$C306)&lt;0)+($E306&gt;=$E305)*($E306&lt;=INDEX($E:$E,MATCH(TRUE,INDEX((ISNUMBER($E:$E)),0),0)))*($E306&gt;INDEX(_xlfn.ANCHORARRAY(Sintesi!$C$14),1,$C306))*($E306&lt;=INDEX(_xlfn.ANCHORARRAY(Sintesi!$C$15),1,$C306))*(INDEX(_xlfn.ANCHORARRAY(Sintesi!$C$15),1,$C306)&gt;0),1,IF(($E306&gt;=$E305)*($E306&lt;=INDEX($E:$E,MATCH(TRUE,INDEX((ISNUMBER($E:$E)),0),0)))*($E306&gt;INDEX(_xlfn.ANCHORARRAY(Sintesi!$C$14),1,$C306))*($E306&lt;INDEX(_xlfn.ANCHORARRAY(Sintesi!$C$16),1,$C306))*(INDEX(_xlfn.ANCHORARRAY(Sintesi!$C$15),1,$C306)&lt;0)+($E306&gt;=$E305)*($E306&lt;=INDEX($E:$E,MATCH(TRUE,INDEX((ISNUMBER($E:$E)),0),0)))*($E306&gt;INDEX(_xlfn.ANCHORARRAY(Sintesi!$C$15),1,$C306))*($E306&lt;INDEX(_xlfn.ANCHORARRAY(Sintesi!$C$16),1,$C306))*(INDEX(_xlfn.ANCHORARRAY(Sintesi!$C$15),1,$C306)&gt;0),2,IF($E306=(INDEX(_xlfn.ANCHORARRAY(Sintesi!$C$16),1,$C306)),3,4)))),0),IF($C306&gt;0,IF(($E306=INDEX(_xlfn.ANCHORARRAY(Sintesi!$C$14),1,$C306))*(INDEX(_xlfn.ANCHORARRAY(Sintesi!$C$15),1,$C306)&gt;0),0,IF(($E306=INDEX(_xlfn.ANCHORARRAY(Sintesi!$C$14),1,$C306))*(INDEX(_xlfn.ANCHORARRAY(Sintesi!$C$15),1,$C306)&lt;0)+($E306&gt;=LOOKUP(2,1/($E:$E&lt;&gt;""),$E:$E))*($E306&lt;=INDEX($E:$E,MATCH(TRUE,INDEX((ISNUMBER($E:$E)),0),0)))*($E306&gt;INDEX(_xlfn.ANCHORARRAY(Sintesi!$C$14),1,$C306))*($E306&lt;=INDEX(_xlfn.ANCHORARRAY(Sintesi!$C$15),1,$C306))*(INDEX(_xlfn.ANCHORARRAY(Sintesi!$C$15),1,$C306)&gt;0),1,IF(($E306&gt;=LOOKUP(2,1/($E:$E&lt;&gt;""),$E:$E))*($E306&lt;=INDEX($E:$E,MATCH(TRUE,INDEX((ISNUMBER($E:$E)),0),0)))*($E306&gt;INDEX(_xlfn.ANCHORARRAY(Sintesi!$C$14),1,$C306))*($E306&lt;INDEX(_xlfn.ANCHORARRAY(Sintesi!$C$16),1,$C306))*(INDEX(_xlfn.ANCHORARRAY(Sintesi!$C$15),1,$C306)&lt;0)+($E306&gt;=LOOKUP(2,1/($E:$E&lt;&gt;""),$E:$E))*($E306&lt;=INDEX($E:$E,MATCH(TRUE,INDEX((ISNUMBER($E:$E)),0),0)))*($E306&gt;INDEX(_xlfn.ANCHORARRAY(Sintesi!$C$15),1,$C306))*($E306&lt;INDEX(_xlfn.ANCHORARRAY(Sintesi!$C$16),1,$C306))*(INDEX(_xlfn.ANCHORARRAY(Sintesi!$C$15),1,$C306)&gt;0),2,IF($E306=(INDEX(_xlfn.ANCHORARRAY(Sintesi!$C$16),1,$C306)),3,4)))),0)),IF(ISNUMBER($E305),IF($C306&gt;0,IF(($E306=INDEX(_xlfn.ANCHORARRAY(Sintesi!$C$14),1,$C306))*(INDEX(_xlfn.ANCHORARRAY(Sintesi!$C$15),1,$C306)&gt;0),0,IF(($E306=INDEX(_xlfn.ANCHORARRAY(Sintesi!$C$14),1,$C306))*(INDEX(_xlfn.ANCHORARRAY(Sintesi!$C$15),1,$C306)&lt;0)+($E306&gt;=$E305)*($E306&lt;=$E307)*($E306&gt;INDEX(_xlfn.ANCHORARRAY(Sintesi!$C$14),1,$C306))*($E306&lt;=INDEX(_xlfn.ANCHORARRAY(Sintesi!$C$15),1,$C306))*(INDEX(_xlfn.ANCHORARRAY(Sintesi!$C$15),1,$C306)&gt;0),1,IF(($E306&gt;=$E305)*($E306&lt;=$E307)*($E306&gt;INDEX(_xlfn.ANCHORARRAY(Sintesi!$C$14),1,$C306))*($E306&lt;INDEX(_xlfn.ANCHORARRAY(Sintesi!$C$16),1,$C306))*(INDEX(_xlfn.ANCHORARRAY(Sintesi!$C$15),1,$C306)&lt;0)+($E306&gt;=$E305)*($E306&lt;=$E307)*($E306&gt;INDEX(_xlfn.ANCHORARRAY(Sintesi!$C$15),1,$C306))*($E306&lt;INDEX(_xlfn.ANCHORARRAY(Sintesi!$C$16),1,$C306))*(INDEX(_xlfn.ANCHORARRAY(Sintesi!$C$15),1,$C306)&gt;0),2,IF($E306=(INDEX(_xlfn.ANCHORARRAY(Sintesi!$C$16),1,$C306)),3,4)))),0),IF($C306&gt;0,IF(($E306=INDEX(_xlfn.ANCHORARRAY(Sintesi!$C$14),1,$C306))*(INDEX(_xlfn.ANCHORARRAY(Sintesi!$C$15),1,$C306)&gt;0),0,IF(($E306=INDEX(_xlfn.ANCHORARRAY(Sintesi!$C$14),1,$C306))*(INDEX(_xlfn.ANCHORARRAY(Sintesi!$C$15),1,$C306)&lt;0)+($E306&gt;=LOOKUP(2,1/($E:$E&lt;&gt;""),$E:$E))*($E306&lt;=$E307)*($E306&gt;INDEX(_xlfn.ANCHORARRAY(Sintesi!$C$14),1,$C306))*($E306&lt;=INDEX(_xlfn.ANCHORARRAY(Sintesi!$C$15),1,$C306))*(INDEX(_xlfn.ANCHORARRAY(Sintesi!$C$15),1,$C306)&gt;0),1,IF(($E306&gt;=LOOKUP(2,1/($E:$E&lt;&gt;""),$E:$E))*($E306&lt;=$E307)*($E306&gt;INDEX(_xlfn.ANCHORARRAY(Sintesi!$C$14),1,$C306))*($E306&lt;INDEX(_xlfn.ANCHORARRAY(Sintesi!$C$16),1,$C306))*(INDEX(_xlfn.ANCHORARRAY(Sintesi!$C$15),1,$C306)&lt;0)+($E306&gt;=LOOKUP(2,1/($E:$E&lt;&gt;""),$E:$E))*($E306&lt;=$E307)*($E306&gt;INDEX(_xlfn.ANCHORARRAY(Sintesi!$C$15),1,$C306))*($E306&lt;INDEX(_xlfn.ANCHORARRAY(Sintesi!$C$16),1,$C306))*(INDEX(_xlfn.ANCHORARRAY(Sintesi!$C$15),1,$C306)&gt;0),2,IF($E306=(INDEX(_xlfn.ANCHORARRAY(Sintesi!$C$16),1,$C306)),3,4)))),0)))</f>
        <v>0</v>
      </c>
      <c r="E306" s="1">
        <f>'Paste cell here'!F306</f>
        <v>0</v>
      </c>
      <c r="F306" s="1">
        <f>'Paste cell here'!C306</f>
        <v>11.299999999999841</v>
      </c>
      <c r="G306" s="1">
        <f>'Paste cell here'!D306</f>
        <v>8.3199999999998759</v>
      </c>
      <c r="H306" s="1">
        <f>'Paste cell here'!E306</f>
        <v>0.44967780771226434</v>
      </c>
      <c r="I306" s="1">
        <f>'Paste cell here'!X306</f>
        <v>0</v>
      </c>
      <c r="J306" s="1">
        <f>'Paste cell here'!Y306+'Paste cell here'!S306</f>
        <v>0</v>
      </c>
      <c r="K306" s="1">
        <f t="shared" si="8"/>
        <v>0</v>
      </c>
      <c r="L306" s="1">
        <f t="shared" si="9"/>
        <v>10.21951150049154</v>
      </c>
      <c r="M306" s="1">
        <f t="array" ref="M306">IF(AND(A306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306&gt;=_xlfn.ANCHORARRAY(Sintesi!$C$9))+(_xlfn.ANCHORARRAY(Sintesi!$C$9)&gt;_xlfn.ANCHORARRAY(Sintesi!$C$10))*(A306&lt;=_xlfn.ANCHORARRAY(Sintesi!$C$10))+(_xlfn.ANCHORARRAY(Sintesi!$C$9)&lt;_xlfn.ANCHORARRAY(Sintesi!$C$10))*(A306&gt;=_xlfn.ANCHORARRAY(Sintesi!$C$9))*(A306&lt;=_xlfn.ANCHORARRAY(Sintesi!$C$10)),0)),0),A306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307&gt;=_xlfn.ANCHORARRAY(Sintesi!$C$9))+(_xlfn.ANCHORARRAY(Sintesi!$C$9)&gt;_xlfn.ANCHORARRAY(Sintesi!$C$10))*(A307&lt;=_xlfn.ANCHORARRAY(Sintesi!$C$10))+(_xlfn.ANCHORARRAY(Sintesi!$C$9)&lt;_xlfn.ANCHORARRAY(Sintesi!$C$10))*(A307&gt;=_xlfn.ANCHORARRAY(Sintesi!$C$9))*(A307&lt;=_xlfn.ANCHORARRAY(Sintesi!$C$10)),0)),0)),IF(L306&lt;_xlfn.IFNA(INDEX(_xlfn.ANCHORARRAY(Sintesi!$C$17),1,MATCH(1,(_xlfn.ANCHORARRAY(Sintesi!$C$9)&gt;_xlfn.ANCHORARRAY(Sintesi!$C$10))*(A305&gt;=_xlfn.ANCHORARRAY(Sintesi!$C$9))+(_xlfn.ANCHORARRAY(Sintesi!$C$9)&gt;_xlfn.ANCHORARRAY(Sintesi!$C$10))*(A305&lt;=_xlfn.ANCHORARRAY(Sintesi!$C$10))+(_xlfn.ANCHORARRAY(Sintesi!$C$9)&lt;_xlfn.ANCHORARRAY(Sintesi!$C$10))*(A305&gt;=_xlfn.ANCHORARRAY(Sintesi!$C$9))*(A305&lt;=_xlfn.ANCHORARRAY(Sintesi!$C$10)),0)),0),1,IF(L306&gt;=_xlfn.IFNA(INDEX(_xlfn.ANCHORARRAY(Sintesi!$C$18),1,MATCH(1,(_xlfn.ANCHORARRAY(Sintesi!$C$9)&gt;_xlfn.ANCHORARRAY(Sintesi!$C$10))*(A305&gt;=_xlfn.ANCHORARRAY(Sintesi!$C$9))+(_xlfn.ANCHORARRAY(Sintesi!$C$9)&gt;_xlfn.ANCHORARRAY(Sintesi!$C$10))*(A305&lt;=_xlfn.ANCHORARRAY(Sintesi!$C$10))+(_xlfn.ANCHORARRAY(Sintesi!$C$9)&lt;_xlfn.ANCHORARRAY(Sintesi!$C$10))*(A305&gt;=_xlfn.ANCHORARRAY(Sintesi!$C$9))*(A305&lt;=_xlfn.ANCHORARRAY(Sintesi!$C$10)),0)),0),0,1-(L306-_xlfn.IFNA(INDEX(_xlfn.ANCHORARRAY(Sintesi!$C$17),1,MATCH(1,(_xlfn.ANCHORARRAY(Sintesi!$C$9)&gt;_xlfn.ANCHORARRAY(Sintesi!$C$10))*(A305&gt;=_xlfn.ANCHORARRAY(Sintesi!$C$9))+(_xlfn.ANCHORARRAY(Sintesi!$C$9)&gt;_xlfn.ANCHORARRAY(Sintesi!$C$10))*(A305&lt;=_xlfn.ANCHORARRAY(Sintesi!$C$10))+(_xlfn.ANCHORARRAY(Sintesi!$C$9)&lt;_xlfn.ANCHORARRAY(Sintesi!$C$10))*(A305&gt;=_xlfn.ANCHORARRAY(Sintesi!$C$9))*(A305&lt;=_xlfn.ANCHORARRAY(Sintesi!$C$10)),0)),0))/(_xlfn.IFNA(INDEX(_xlfn.ANCHORARRAY(Sintesi!$C$18),1,MATCH(1,(_xlfn.ANCHORARRAY(Sintesi!$C$9)&gt;_xlfn.ANCHORARRAY(Sintesi!$C$10))*(A305&gt;=_xlfn.ANCHORARRAY(Sintesi!$C$9))+(_xlfn.ANCHORARRAY(Sintesi!$C$9)&gt;_xlfn.ANCHORARRAY(Sintesi!$C$10))*(A305&lt;=_xlfn.ANCHORARRAY(Sintesi!$C$10))+(_xlfn.ANCHORARRAY(Sintesi!$C$9)&lt;_xlfn.ANCHORARRAY(Sintesi!$C$10))*(A305&gt;=_xlfn.ANCHORARRAY(Sintesi!$C$9))*(A305&lt;=_xlfn.ANCHORARRAY(Sintesi!$C$10)),0)),0)-_xlfn.IFNA(INDEX(_xlfn.ANCHORARRAY(Sintesi!$C$17),1,MATCH(1,(_xlfn.ANCHORARRAY(Sintesi!$C$9)&gt;_xlfn.ANCHORARRAY(Sintesi!$C$10))*(A305&gt;=_xlfn.ANCHORARRAY(Sintesi!$C$9))+(_xlfn.ANCHORARRAY(Sintesi!$C$9)&gt;_xlfn.ANCHORARRAY(Sintesi!$C$10))*(A305&lt;=_xlfn.ANCHORARRAY(Sintesi!$C$10))+(_xlfn.ANCHORARRAY(Sintesi!$C$9)&lt;_xlfn.ANCHORARRAY(Sintesi!$C$10))*(A305&gt;=_xlfn.ANCHORARRAY(Sintesi!$C$9))*(A305&lt;=_xlfn.ANCHORARRAY(Sintesi!$C$10)),0)),0)))),0)</f>
        <v>0</v>
      </c>
    </row>
    <row r="307" spans="1:13">
      <c r="A307" s="1">
        <f>'Paste cell here'!A307</f>
        <v>306</v>
      </c>
      <c r="B307" s="2">
        <f>DATE(Sintesi!$C$4-1,12,31)+A307</f>
        <v>44502</v>
      </c>
      <c r="C307" s="34">
        <f t="array" ref="C307">_xlfn.IFNA(MATCH(1,((_xlfn.ANCHORARRAY(Sintesi!$C$9)&gt;_xlfn.ANCHORARRAY(Sintesi!$C$10))*(A307&gt;=_xlfn.ANCHORARRAY(Sintesi!$C$9))+(_xlfn.ANCHORARRAY(Sintesi!$C$9)&gt;_xlfn.ANCHORARRAY(Sintesi!$C$10))*(A307&lt;=_xlfn.ANCHORARRAY(Sintesi!$C$10))+(_xlfn.ANCHORARRAY(Sintesi!$C$9)&lt;_xlfn.ANCHORARRAY(Sintesi!$C$10))*(A307&gt;=_xlfn.ANCHORARRAY(Sintesi!$C$9))*(A307&lt;=_xlfn.ANCHORARRAY(Sintesi!$C$10)))*(_xlfn.ANCHORARRAY(Sintesi!$C$15)&gt;=0)+(_xlfn.ANCHORARRAY(Sintesi!$C$15)&lt;0),0),0)</f>
        <v>0</v>
      </c>
      <c r="D307" s="1">
        <f t="array" ref="D307">IF(ISBLANK($E308),IF(ISNUMBER($E306),IF($C307&gt;0,IF(($E307=INDEX(_xlfn.ANCHORARRAY(Sintesi!$C$14),1,$C307))*(INDEX(_xlfn.ANCHORARRAY(Sintesi!$C$15),1,$C307)&gt;0),0,IF(($E307=INDEX(_xlfn.ANCHORARRAY(Sintesi!$C$14),1,$C307))*(INDEX(_xlfn.ANCHORARRAY(Sintesi!$C$15),1,$C307)&lt;0)+($E307&gt;=$E306)*($E307&lt;=INDEX($E:$E,MATCH(TRUE,INDEX((ISNUMBER($E:$E)),0),0)))*($E307&gt;INDEX(_xlfn.ANCHORARRAY(Sintesi!$C$14),1,$C307))*($E307&lt;=INDEX(_xlfn.ANCHORARRAY(Sintesi!$C$15),1,$C307))*(INDEX(_xlfn.ANCHORARRAY(Sintesi!$C$15),1,$C307)&gt;0),1,IF(($E307&gt;=$E306)*($E307&lt;=INDEX($E:$E,MATCH(TRUE,INDEX((ISNUMBER($E:$E)),0),0)))*($E307&gt;INDEX(_xlfn.ANCHORARRAY(Sintesi!$C$14),1,$C307))*($E307&lt;INDEX(_xlfn.ANCHORARRAY(Sintesi!$C$16),1,$C307))*(INDEX(_xlfn.ANCHORARRAY(Sintesi!$C$15),1,$C307)&lt;0)+($E307&gt;=$E306)*($E307&lt;=INDEX($E:$E,MATCH(TRUE,INDEX((ISNUMBER($E:$E)),0),0)))*($E307&gt;INDEX(_xlfn.ANCHORARRAY(Sintesi!$C$15),1,$C307))*($E307&lt;INDEX(_xlfn.ANCHORARRAY(Sintesi!$C$16),1,$C307))*(INDEX(_xlfn.ANCHORARRAY(Sintesi!$C$15),1,$C307)&gt;0),2,IF($E307=(INDEX(_xlfn.ANCHORARRAY(Sintesi!$C$16),1,$C307)),3,4)))),0),IF($C307&gt;0,IF(($E307=INDEX(_xlfn.ANCHORARRAY(Sintesi!$C$14),1,$C307))*(INDEX(_xlfn.ANCHORARRAY(Sintesi!$C$15),1,$C307)&gt;0),0,IF(($E307=INDEX(_xlfn.ANCHORARRAY(Sintesi!$C$14),1,$C307))*(INDEX(_xlfn.ANCHORARRAY(Sintesi!$C$15),1,$C307)&lt;0)+($E307&gt;=LOOKUP(2,1/($E:$E&lt;&gt;""),$E:$E))*($E307&lt;=INDEX($E:$E,MATCH(TRUE,INDEX((ISNUMBER($E:$E)),0),0)))*($E307&gt;INDEX(_xlfn.ANCHORARRAY(Sintesi!$C$14),1,$C307))*($E307&lt;=INDEX(_xlfn.ANCHORARRAY(Sintesi!$C$15),1,$C307))*(INDEX(_xlfn.ANCHORARRAY(Sintesi!$C$15),1,$C307)&gt;0),1,IF(($E307&gt;=LOOKUP(2,1/($E:$E&lt;&gt;""),$E:$E))*($E307&lt;=INDEX($E:$E,MATCH(TRUE,INDEX((ISNUMBER($E:$E)),0),0)))*($E307&gt;INDEX(_xlfn.ANCHORARRAY(Sintesi!$C$14),1,$C307))*($E307&lt;INDEX(_xlfn.ANCHORARRAY(Sintesi!$C$16),1,$C307))*(INDEX(_xlfn.ANCHORARRAY(Sintesi!$C$15),1,$C307)&lt;0)+($E307&gt;=LOOKUP(2,1/($E:$E&lt;&gt;""),$E:$E))*($E307&lt;=INDEX($E:$E,MATCH(TRUE,INDEX((ISNUMBER($E:$E)),0),0)))*($E307&gt;INDEX(_xlfn.ANCHORARRAY(Sintesi!$C$15),1,$C307))*($E307&lt;INDEX(_xlfn.ANCHORARRAY(Sintesi!$C$16),1,$C307))*(INDEX(_xlfn.ANCHORARRAY(Sintesi!$C$15),1,$C307)&gt;0),2,IF($E307=(INDEX(_xlfn.ANCHORARRAY(Sintesi!$C$16),1,$C307)),3,4)))),0)),IF(ISNUMBER($E306),IF($C307&gt;0,IF(($E307=INDEX(_xlfn.ANCHORARRAY(Sintesi!$C$14),1,$C307))*(INDEX(_xlfn.ANCHORARRAY(Sintesi!$C$15),1,$C307)&gt;0),0,IF(($E307=INDEX(_xlfn.ANCHORARRAY(Sintesi!$C$14),1,$C307))*(INDEX(_xlfn.ANCHORARRAY(Sintesi!$C$15),1,$C307)&lt;0)+($E307&gt;=$E306)*($E307&lt;=$E308)*($E307&gt;INDEX(_xlfn.ANCHORARRAY(Sintesi!$C$14),1,$C307))*($E307&lt;=INDEX(_xlfn.ANCHORARRAY(Sintesi!$C$15),1,$C307))*(INDEX(_xlfn.ANCHORARRAY(Sintesi!$C$15),1,$C307)&gt;0),1,IF(($E307&gt;=$E306)*($E307&lt;=$E308)*($E307&gt;INDEX(_xlfn.ANCHORARRAY(Sintesi!$C$14),1,$C307))*($E307&lt;INDEX(_xlfn.ANCHORARRAY(Sintesi!$C$16),1,$C307))*(INDEX(_xlfn.ANCHORARRAY(Sintesi!$C$15),1,$C307)&lt;0)+($E307&gt;=$E306)*($E307&lt;=$E308)*($E307&gt;INDEX(_xlfn.ANCHORARRAY(Sintesi!$C$15),1,$C307))*($E307&lt;INDEX(_xlfn.ANCHORARRAY(Sintesi!$C$16),1,$C307))*(INDEX(_xlfn.ANCHORARRAY(Sintesi!$C$15),1,$C307)&gt;0),2,IF($E307=(INDEX(_xlfn.ANCHORARRAY(Sintesi!$C$16),1,$C307)),3,4)))),0),IF($C307&gt;0,IF(($E307=INDEX(_xlfn.ANCHORARRAY(Sintesi!$C$14),1,$C307))*(INDEX(_xlfn.ANCHORARRAY(Sintesi!$C$15),1,$C307)&gt;0),0,IF(($E307=INDEX(_xlfn.ANCHORARRAY(Sintesi!$C$14),1,$C307))*(INDEX(_xlfn.ANCHORARRAY(Sintesi!$C$15),1,$C307)&lt;0)+($E307&gt;=LOOKUP(2,1/($E:$E&lt;&gt;""),$E:$E))*($E307&lt;=$E308)*($E307&gt;INDEX(_xlfn.ANCHORARRAY(Sintesi!$C$14),1,$C307))*($E307&lt;=INDEX(_xlfn.ANCHORARRAY(Sintesi!$C$15),1,$C307))*(INDEX(_xlfn.ANCHORARRAY(Sintesi!$C$15),1,$C307)&gt;0),1,IF(($E307&gt;=LOOKUP(2,1/($E:$E&lt;&gt;""),$E:$E))*($E307&lt;=$E308)*($E307&gt;INDEX(_xlfn.ANCHORARRAY(Sintesi!$C$14),1,$C307))*($E307&lt;INDEX(_xlfn.ANCHORARRAY(Sintesi!$C$16),1,$C307))*(INDEX(_xlfn.ANCHORARRAY(Sintesi!$C$15),1,$C307)&lt;0)+($E307&gt;=LOOKUP(2,1/($E:$E&lt;&gt;""),$E:$E))*($E307&lt;=$E308)*($E307&gt;INDEX(_xlfn.ANCHORARRAY(Sintesi!$C$15),1,$C307))*($E307&lt;INDEX(_xlfn.ANCHORARRAY(Sintesi!$C$16),1,$C307))*(INDEX(_xlfn.ANCHORARRAY(Sintesi!$C$15),1,$C307)&gt;0),2,IF($E307=(INDEX(_xlfn.ANCHORARRAY(Sintesi!$C$16),1,$C307)),3,4)))),0)))</f>
        <v>0</v>
      </c>
      <c r="E307" s="1">
        <f>'Paste cell here'!F307</f>
        <v>0</v>
      </c>
      <c r="F307" s="1">
        <f>'Paste cell here'!C307</f>
        <v>13.699999999999811</v>
      </c>
      <c r="G307" s="1">
        <f>'Paste cell here'!D307</f>
        <v>4.9999999999999254</v>
      </c>
      <c r="H307" s="1">
        <f>'Paste cell here'!E307</f>
        <v>0.68827212359583534</v>
      </c>
      <c r="I307" s="1">
        <f>'Paste cell here'!X307</f>
        <v>0</v>
      </c>
      <c r="J307" s="1">
        <f>'Paste cell here'!Y307+'Paste cell here'!S307</f>
        <v>0</v>
      </c>
      <c r="K307" s="1">
        <f t="shared" si="8"/>
        <v>0</v>
      </c>
      <c r="L307" s="1">
        <f t="shared" si="9"/>
        <v>10.54555370948901</v>
      </c>
      <c r="M307" s="1">
        <f t="array" ref="M307">IF(AND(A307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307&gt;=_xlfn.ANCHORARRAY(Sintesi!$C$9))+(_xlfn.ANCHORARRAY(Sintesi!$C$9)&gt;_xlfn.ANCHORARRAY(Sintesi!$C$10))*(A307&lt;=_xlfn.ANCHORARRAY(Sintesi!$C$10))+(_xlfn.ANCHORARRAY(Sintesi!$C$9)&lt;_xlfn.ANCHORARRAY(Sintesi!$C$10))*(A307&gt;=_xlfn.ANCHORARRAY(Sintesi!$C$9))*(A307&lt;=_xlfn.ANCHORARRAY(Sintesi!$C$10)),0)),0),A307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308&gt;=_xlfn.ANCHORARRAY(Sintesi!$C$9))+(_xlfn.ANCHORARRAY(Sintesi!$C$9)&gt;_xlfn.ANCHORARRAY(Sintesi!$C$10))*(A308&lt;=_xlfn.ANCHORARRAY(Sintesi!$C$10))+(_xlfn.ANCHORARRAY(Sintesi!$C$9)&lt;_xlfn.ANCHORARRAY(Sintesi!$C$10))*(A308&gt;=_xlfn.ANCHORARRAY(Sintesi!$C$9))*(A308&lt;=_xlfn.ANCHORARRAY(Sintesi!$C$10)),0)),0)),IF(L307&lt;_xlfn.IFNA(INDEX(_xlfn.ANCHORARRAY(Sintesi!$C$17),1,MATCH(1,(_xlfn.ANCHORARRAY(Sintesi!$C$9)&gt;_xlfn.ANCHORARRAY(Sintesi!$C$10))*(A306&gt;=_xlfn.ANCHORARRAY(Sintesi!$C$9))+(_xlfn.ANCHORARRAY(Sintesi!$C$9)&gt;_xlfn.ANCHORARRAY(Sintesi!$C$10))*(A306&lt;=_xlfn.ANCHORARRAY(Sintesi!$C$10))+(_xlfn.ANCHORARRAY(Sintesi!$C$9)&lt;_xlfn.ANCHORARRAY(Sintesi!$C$10))*(A306&gt;=_xlfn.ANCHORARRAY(Sintesi!$C$9))*(A306&lt;=_xlfn.ANCHORARRAY(Sintesi!$C$10)),0)),0),1,IF(L307&gt;=_xlfn.IFNA(INDEX(_xlfn.ANCHORARRAY(Sintesi!$C$18),1,MATCH(1,(_xlfn.ANCHORARRAY(Sintesi!$C$9)&gt;_xlfn.ANCHORARRAY(Sintesi!$C$10))*(A306&gt;=_xlfn.ANCHORARRAY(Sintesi!$C$9))+(_xlfn.ANCHORARRAY(Sintesi!$C$9)&gt;_xlfn.ANCHORARRAY(Sintesi!$C$10))*(A306&lt;=_xlfn.ANCHORARRAY(Sintesi!$C$10))+(_xlfn.ANCHORARRAY(Sintesi!$C$9)&lt;_xlfn.ANCHORARRAY(Sintesi!$C$10))*(A306&gt;=_xlfn.ANCHORARRAY(Sintesi!$C$9))*(A306&lt;=_xlfn.ANCHORARRAY(Sintesi!$C$10)),0)),0),0,1-(L307-_xlfn.IFNA(INDEX(_xlfn.ANCHORARRAY(Sintesi!$C$17),1,MATCH(1,(_xlfn.ANCHORARRAY(Sintesi!$C$9)&gt;_xlfn.ANCHORARRAY(Sintesi!$C$10))*(A306&gt;=_xlfn.ANCHORARRAY(Sintesi!$C$9))+(_xlfn.ANCHORARRAY(Sintesi!$C$9)&gt;_xlfn.ANCHORARRAY(Sintesi!$C$10))*(A306&lt;=_xlfn.ANCHORARRAY(Sintesi!$C$10))+(_xlfn.ANCHORARRAY(Sintesi!$C$9)&lt;_xlfn.ANCHORARRAY(Sintesi!$C$10))*(A306&gt;=_xlfn.ANCHORARRAY(Sintesi!$C$9))*(A306&lt;=_xlfn.ANCHORARRAY(Sintesi!$C$10)),0)),0))/(_xlfn.IFNA(INDEX(_xlfn.ANCHORARRAY(Sintesi!$C$18),1,MATCH(1,(_xlfn.ANCHORARRAY(Sintesi!$C$9)&gt;_xlfn.ANCHORARRAY(Sintesi!$C$10))*(A306&gt;=_xlfn.ANCHORARRAY(Sintesi!$C$9))+(_xlfn.ANCHORARRAY(Sintesi!$C$9)&gt;_xlfn.ANCHORARRAY(Sintesi!$C$10))*(A306&lt;=_xlfn.ANCHORARRAY(Sintesi!$C$10))+(_xlfn.ANCHORARRAY(Sintesi!$C$9)&lt;_xlfn.ANCHORARRAY(Sintesi!$C$10))*(A306&gt;=_xlfn.ANCHORARRAY(Sintesi!$C$9))*(A306&lt;=_xlfn.ANCHORARRAY(Sintesi!$C$10)),0)),0)-_xlfn.IFNA(INDEX(_xlfn.ANCHORARRAY(Sintesi!$C$17),1,MATCH(1,(_xlfn.ANCHORARRAY(Sintesi!$C$9)&gt;_xlfn.ANCHORARRAY(Sintesi!$C$10))*(A306&gt;=_xlfn.ANCHORARRAY(Sintesi!$C$9))+(_xlfn.ANCHORARRAY(Sintesi!$C$9)&gt;_xlfn.ANCHORARRAY(Sintesi!$C$10))*(A306&lt;=_xlfn.ANCHORARRAY(Sintesi!$C$10))+(_xlfn.ANCHORARRAY(Sintesi!$C$9)&lt;_xlfn.ANCHORARRAY(Sintesi!$C$10))*(A306&gt;=_xlfn.ANCHORARRAY(Sintesi!$C$9))*(A306&lt;=_xlfn.ANCHORARRAY(Sintesi!$C$10)),0)),0)))),0)</f>
        <v>0</v>
      </c>
    </row>
    <row r="308" spans="1:13">
      <c r="A308" s="1">
        <f>'Paste cell here'!A308</f>
        <v>307</v>
      </c>
      <c r="B308" s="2">
        <f>DATE(Sintesi!$C$4-1,12,31)+A308</f>
        <v>44503</v>
      </c>
      <c r="C308" s="34">
        <f t="array" ref="C308">_xlfn.IFNA(MATCH(1,((_xlfn.ANCHORARRAY(Sintesi!$C$9)&gt;_xlfn.ANCHORARRAY(Sintesi!$C$10))*(A308&gt;=_xlfn.ANCHORARRAY(Sintesi!$C$9))+(_xlfn.ANCHORARRAY(Sintesi!$C$9)&gt;_xlfn.ANCHORARRAY(Sintesi!$C$10))*(A308&lt;=_xlfn.ANCHORARRAY(Sintesi!$C$10))+(_xlfn.ANCHORARRAY(Sintesi!$C$9)&lt;_xlfn.ANCHORARRAY(Sintesi!$C$10))*(A308&gt;=_xlfn.ANCHORARRAY(Sintesi!$C$9))*(A308&lt;=_xlfn.ANCHORARRAY(Sintesi!$C$10)))*(_xlfn.ANCHORARRAY(Sintesi!$C$15)&gt;=0)+(_xlfn.ANCHORARRAY(Sintesi!$C$15)&lt;0),0),0)</f>
        <v>0</v>
      </c>
      <c r="D308" s="1">
        <f t="array" ref="D308">IF(ISBLANK($E309),IF(ISNUMBER($E307),IF($C308&gt;0,IF(($E308=INDEX(_xlfn.ANCHORARRAY(Sintesi!$C$14),1,$C308))*(INDEX(_xlfn.ANCHORARRAY(Sintesi!$C$15),1,$C308)&gt;0),0,IF(($E308=INDEX(_xlfn.ANCHORARRAY(Sintesi!$C$14),1,$C308))*(INDEX(_xlfn.ANCHORARRAY(Sintesi!$C$15),1,$C308)&lt;0)+($E308&gt;=$E307)*($E308&lt;=INDEX($E:$E,MATCH(TRUE,INDEX((ISNUMBER($E:$E)),0),0)))*($E308&gt;INDEX(_xlfn.ANCHORARRAY(Sintesi!$C$14),1,$C308))*($E308&lt;=INDEX(_xlfn.ANCHORARRAY(Sintesi!$C$15),1,$C308))*(INDEX(_xlfn.ANCHORARRAY(Sintesi!$C$15),1,$C308)&gt;0),1,IF(($E308&gt;=$E307)*($E308&lt;=INDEX($E:$E,MATCH(TRUE,INDEX((ISNUMBER($E:$E)),0),0)))*($E308&gt;INDEX(_xlfn.ANCHORARRAY(Sintesi!$C$14),1,$C308))*($E308&lt;INDEX(_xlfn.ANCHORARRAY(Sintesi!$C$16),1,$C308))*(INDEX(_xlfn.ANCHORARRAY(Sintesi!$C$15),1,$C308)&lt;0)+($E308&gt;=$E307)*($E308&lt;=INDEX($E:$E,MATCH(TRUE,INDEX((ISNUMBER($E:$E)),0),0)))*($E308&gt;INDEX(_xlfn.ANCHORARRAY(Sintesi!$C$15),1,$C308))*($E308&lt;INDEX(_xlfn.ANCHORARRAY(Sintesi!$C$16),1,$C308))*(INDEX(_xlfn.ANCHORARRAY(Sintesi!$C$15),1,$C308)&gt;0),2,IF($E308=(INDEX(_xlfn.ANCHORARRAY(Sintesi!$C$16),1,$C308)),3,4)))),0),IF($C308&gt;0,IF(($E308=INDEX(_xlfn.ANCHORARRAY(Sintesi!$C$14),1,$C308))*(INDEX(_xlfn.ANCHORARRAY(Sintesi!$C$15),1,$C308)&gt;0),0,IF(($E308=INDEX(_xlfn.ANCHORARRAY(Sintesi!$C$14),1,$C308))*(INDEX(_xlfn.ANCHORARRAY(Sintesi!$C$15),1,$C308)&lt;0)+($E308&gt;=LOOKUP(2,1/($E:$E&lt;&gt;""),$E:$E))*($E308&lt;=INDEX($E:$E,MATCH(TRUE,INDEX((ISNUMBER($E:$E)),0),0)))*($E308&gt;INDEX(_xlfn.ANCHORARRAY(Sintesi!$C$14),1,$C308))*($E308&lt;=INDEX(_xlfn.ANCHORARRAY(Sintesi!$C$15),1,$C308))*(INDEX(_xlfn.ANCHORARRAY(Sintesi!$C$15),1,$C308)&gt;0),1,IF(($E308&gt;=LOOKUP(2,1/($E:$E&lt;&gt;""),$E:$E))*($E308&lt;=INDEX($E:$E,MATCH(TRUE,INDEX((ISNUMBER($E:$E)),0),0)))*($E308&gt;INDEX(_xlfn.ANCHORARRAY(Sintesi!$C$14),1,$C308))*($E308&lt;INDEX(_xlfn.ANCHORARRAY(Sintesi!$C$16),1,$C308))*(INDEX(_xlfn.ANCHORARRAY(Sintesi!$C$15),1,$C308)&lt;0)+($E308&gt;=LOOKUP(2,1/($E:$E&lt;&gt;""),$E:$E))*($E308&lt;=INDEX($E:$E,MATCH(TRUE,INDEX((ISNUMBER($E:$E)),0),0)))*($E308&gt;INDEX(_xlfn.ANCHORARRAY(Sintesi!$C$15),1,$C308))*($E308&lt;INDEX(_xlfn.ANCHORARRAY(Sintesi!$C$16),1,$C308))*(INDEX(_xlfn.ANCHORARRAY(Sintesi!$C$15),1,$C308)&gt;0),2,IF($E308=(INDEX(_xlfn.ANCHORARRAY(Sintesi!$C$16),1,$C308)),3,4)))),0)),IF(ISNUMBER($E307),IF($C308&gt;0,IF(($E308=INDEX(_xlfn.ANCHORARRAY(Sintesi!$C$14),1,$C308))*(INDEX(_xlfn.ANCHORARRAY(Sintesi!$C$15),1,$C308)&gt;0),0,IF(($E308=INDEX(_xlfn.ANCHORARRAY(Sintesi!$C$14),1,$C308))*(INDEX(_xlfn.ANCHORARRAY(Sintesi!$C$15),1,$C308)&lt;0)+($E308&gt;=$E307)*($E308&lt;=$E309)*($E308&gt;INDEX(_xlfn.ANCHORARRAY(Sintesi!$C$14),1,$C308))*($E308&lt;=INDEX(_xlfn.ANCHORARRAY(Sintesi!$C$15),1,$C308))*(INDEX(_xlfn.ANCHORARRAY(Sintesi!$C$15),1,$C308)&gt;0),1,IF(($E308&gt;=$E307)*($E308&lt;=$E309)*($E308&gt;INDEX(_xlfn.ANCHORARRAY(Sintesi!$C$14),1,$C308))*($E308&lt;INDEX(_xlfn.ANCHORARRAY(Sintesi!$C$16),1,$C308))*(INDEX(_xlfn.ANCHORARRAY(Sintesi!$C$15),1,$C308)&lt;0)+($E308&gt;=$E307)*($E308&lt;=$E309)*($E308&gt;INDEX(_xlfn.ANCHORARRAY(Sintesi!$C$15),1,$C308))*($E308&lt;INDEX(_xlfn.ANCHORARRAY(Sintesi!$C$16),1,$C308))*(INDEX(_xlfn.ANCHORARRAY(Sintesi!$C$15),1,$C308)&gt;0),2,IF($E308=(INDEX(_xlfn.ANCHORARRAY(Sintesi!$C$16),1,$C308)),3,4)))),0),IF($C308&gt;0,IF(($E308=INDEX(_xlfn.ANCHORARRAY(Sintesi!$C$14),1,$C308))*(INDEX(_xlfn.ANCHORARRAY(Sintesi!$C$15),1,$C308)&gt;0),0,IF(($E308=INDEX(_xlfn.ANCHORARRAY(Sintesi!$C$14),1,$C308))*(INDEX(_xlfn.ANCHORARRAY(Sintesi!$C$15),1,$C308)&lt;0)+($E308&gt;=LOOKUP(2,1/($E:$E&lt;&gt;""),$E:$E))*($E308&lt;=$E309)*($E308&gt;INDEX(_xlfn.ANCHORARRAY(Sintesi!$C$14),1,$C308))*($E308&lt;=INDEX(_xlfn.ANCHORARRAY(Sintesi!$C$15),1,$C308))*(INDEX(_xlfn.ANCHORARRAY(Sintesi!$C$15),1,$C308)&gt;0),1,IF(($E308&gt;=LOOKUP(2,1/($E:$E&lt;&gt;""),$E:$E))*($E308&lt;=$E309)*($E308&gt;INDEX(_xlfn.ANCHORARRAY(Sintesi!$C$14),1,$C308))*($E308&lt;INDEX(_xlfn.ANCHORARRAY(Sintesi!$C$16),1,$C308))*(INDEX(_xlfn.ANCHORARRAY(Sintesi!$C$15),1,$C308)&lt;0)+($E308&gt;=LOOKUP(2,1/($E:$E&lt;&gt;""),$E:$E))*($E308&lt;=$E309)*($E308&gt;INDEX(_xlfn.ANCHORARRAY(Sintesi!$C$15),1,$C308))*($E308&lt;INDEX(_xlfn.ANCHORARRAY(Sintesi!$C$16),1,$C308))*(INDEX(_xlfn.ANCHORARRAY(Sintesi!$C$15),1,$C308)&gt;0),2,IF($E308=(INDEX(_xlfn.ANCHORARRAY(Sintesi!$C$16),1,$C308)),3,4)))),0)))</f>
        <v>0</v>
      </c>
      <c r="E308" s="1">
        <f>'Paste cell here'!F308</f>
        <v>0</v>
      </c>
      <c r="F308" s="1">
        <f>'Paste cell here'!C308</f>
        <v>11.959999999999818</v>
      </c>
      <c r="G308" s="1">
        <f>'Paste cell here'!D308</f>
        <v>7.6599999999998971</v>
      </c>
      <c r="H308" s="1">
        <f>'Paste cell here'!E308</f>
        <v>0.5180207366245192</v>
      </c>
      <c r="I308" s="1">
        <f>'Paste cell here'!X308</f>
        <v>0</v>
      </c>
      <c r="J308" s="1">
        <f>'Paste cell here'!Y308+'Paste cell here'!S308</f>
        <v>0</v>
      </c>
      <c r="K308" s="1">
        <f t="shared" si="8"/>
        <v>0</v>
      </c>
      <c r="L308" s="1">
        <f t="shared" si="9"/>
        <v>10.400905856414028</v>
      </c>
      <c r="M308" s="1">
        <f t="array" ref="M308">IF(AND(A308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308&gt;=_xlfn.ANCHORARRAY(Sintesi!$C$9))+(_xlfn.ANCHORARRAY(Sintesi!$C$9)&gt;_xlfn.ANCHORARRAY(Sintesi!$C$10))*(A308&lt;=_xlfn.ANCHORARRAY(Sintesi!$C$10))+(_xlfn.ANCHORARRAY(Sintesi!$C$9)&lt;_xlfn.ANCHORARRAY(Sintesi!$C$10))*(A308&gt;=_xlfn.ANCHORARRAY(Sintesi!$C$9))*(A308&lt;=_xlfn.ANCHORARRAY(Sintesi!$C$10)),0)),0),A308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309&gt;=_xlfn.ANCHORARRAY(Sintesi!$C$9))+(_xlfn.ANCHORARRAY(Sintesi!$C$9)&gt;_xlfn.ANCHORARRAY(Sintesi!$C$10))*(A309&lt;=_xlfn.ANCHORARRAY(Sintesi!$C$10))+(_xlfn.ANCHORARRAY(Sintesi!$C$9)&lt;_xlfn.ANCHORARRAY(Sintesi!$C$10))*(A309&gt;=_xlfn.ANCHORARRAY(Sintesi!$C$9))*(A309&lt;=_xlfn.ANCHORARRAY(Sintesi!$C$10)),0)),0)),IF(L308&lt;_xlfn.IFNA(INDEX(_xlfn.ANCHORARRAY(Sintesi!$C$17),1,MATCH(1,(_xlfn.ANCHORARRAY(Sintesi!$C$9)&gt;_xlfn.ANCHORARRAY(Sintesi!$C$10))*(A307&gt;=_xlfn.ANCHORARRAY(Sintesi!$C$9))+(_xlfn.ANCHORARRAY(Sintesi!$C$9)&gt;_xlfn.ANCHORARRAY(Sintesi!$C$10))*(A307&lt;=_xlfn.ANCHORARRAY(Sintesi!$C$10))+(_xlfn.ANCHORARRAY(Sintesi!$C$9)&lt;_xlfn.ANCHORARRAY(Sintesi!$C$10))*(A307&gt;=_xlfn.ANCHORARRAY(Sintesi!$C$9))*(A307&lt;=_xlfn.ANCHORARRAY(Sintesi!$C$10)),0)),0),1,IF(L308&gt;=_xlfn.IFNA(INDEX(_xlfn.ANCHORARRAY(Sintesi!$C$18),1,MATCH(1,(_xlfn.ANCHORARRAY(Sintesi!$C$9)&gt;_xlfn.ANCHORARRAY(Sintesi!$C$10))*(A307&gt;=_xlfn.ANCHORARRAY(Sintesi!$C$9))+(_xlfn.ANCHORARRAY(Sintesi!$C$9)&gt;_xlfn.ANCHORARRAY(Sintesi!$C$10))*(A307&lt;=_xlfn.ANCHORARRAY(Sintesi!$C$10))+(_xlfn.ANCHORARRAY(Sintesi!$C$9)&lt;_xlfn.ANCHORARRAY(Sintesi!$C$10))*(A307&gt;=_xlfn.ANCHORARRAY(Sintesi!$C$9))*(A307&lt;=_xlfn.ANCHORARRAY(Sintesi!$C$10)),0)),0),0,1-(L308-_xlfn.IFNA(INDEX(_xlfn.ANCHORARRAY(Sintesi!$C$17),1,MATCH(1,(_xlfn.ANCHORARRAY(Sintesi!$C$9)&gt;_xlfn.ANCHORARRAY(Sintesi!$C$10))*(A307&gt;=_xlfn.ANCHORARRAY(Sintesi!$C$9))+(_xlfn.ANCHORARRAY(Sintesi!$C$9)&gt;_xlfn.ANCHORARRAY(Sintesi!$C$10))*(A307&lt;=_xlfn.ANCHORARRAY(Sintesi!$C$10))+(_xlfn.ANCHORARRAY(Sintesi!$C$9)&lt;_xlfn.ANCHORARRAY(Sintesi!$C$10))*(A307&gt;=_xlfn.ANCHORARRAY(Sintesi!$C$9))*(A307&lt;=_xlfn.ANCHORARRAY(Sintesi!$C$10)),0)),0))/(_xlfn.IFNA(INDEX(_xlfn.ANCHORARRAY(Sintesi!$C$18),1,MATCH(1,(_xlfn.ANCHORARRAY(Sintesi!$C$9)&gt;_xlfn.ANCHORARRAY(Sintesi!$C$10))*(A307&gt;=_xlfn.ANCHORARRAY(Sintesi!$C$9))+(_xlfn.ANCHORARRAY(Sintesi!$C$9)&gt;_xlfn.ANCHORARRAY(Sintesi!$C$10))*(A307&lt;=_xlfn.ANCHORARRAY(Sintesi!$C$10))+(_xlfn.ANCHORARRAY(Sintesi!$C$9)&lt;_xlfn.ANCHORARRAY(Sintesi!$C$10))*(A307&gt;=_xlfn.ANCHORARRAY(Sintesi!$C$9))*(A307&lt;=_xlfn.ANCHORARRAY(Sintesi!$C$10)),0)),0)-_xlfn.IFNA(INDEX(_xlfn.ANCHORARRAY(Sintesi!$C$17),1,MATCH(1,(_xlfn.ANCHORARRAY(Sintesi!$C$9)&gt;_xlfn.ANCHORARRAY(Sintesi!$C$10))*(A307&gt;=_xlfn.ANCHORARRAY(Sintesi!$C$9))+(_xlfn.ANCHORARRAY(Sintesi!$C$9)&gt;_xlfn.ANCHORARRAY(Sintesi!$C$10))*(A307&lt;=_xlfn.ANCHORARRAY(Sintesi!$C$10))+(_xlfn.ANCHORARRAY(Sintesi!$C$9)&lt;_xlfn.ANCHORARRAY(Sintesi!$C$10))*(A307&gt;=_xlfn.ANCHORARRAY(Sintesi!$C$9))*(A307&lt;=_xlfn.ANCHORARRAY(Sintesi!$C$10)),0)),0)))),0)</f>
        <v>0</v>
      </c>
    </row>
    <row r="309" spans="1:13">
      <c r="A309" s="1">
        <f>'Paste cell here'!A309</f>
        <v>308</v>
      </c>
      <c r="B309" s="2">
        <f>DATE(Sintesi!$C$4-1,12,31)+A309</f>
        <v>44504</v>
      </c>
      <c r="C309" s="34">
        <f t="array" ref="C309">_xlfn.IFNA(MATCH(1,((_xlfn.ANCHORARRAY(Sintesi!$C$9)&gt;_xlfn.ANCHORARRAY(Sintesi!$C$10))*(A309&gt;=_xlfn.ANCHORARRAY(Sintesi!$C$9))+(_xlfn.ANCHORARRAY(Sintesi!$C$9)&gt;_xlfn.ANCHORARRAY(Sintesi!$C$10))*(A309&lt;=_xlfn.ANCHORARRAY(Sintesi!$C$10))+(_xlfn.ANCHORARRAY(Sintesi!$C$9)&lt;_xlfn.ANCHORARRAY(Sintesi!$C$10))*(A309&gt;=_xlfn.ANCHORARRAY(Sintesi!$C$9))*(A309&lt;=_xlfn.ANCHORARRAY(Sintesi!$C$10)))*(_xlfn.ANCHORARRAY(Sintesi!$C$15)&gt;=0)+(_xlfn.ANCHORARRAY(Sintesi!$C$15)&lt;0),0),0)</f>
        <v>0</v>
      </c>
      <c r="D309" s="1">
        <f t="array" ref="D309">IF(ISBLANK($E310),IF(ISNUMBER($E308),IF($C309&gt;0,IF(($E309=INDEX(_xlfn.ANCHORARRAY(Sintesi!$C$14),1,$C309))*(INDEX(_xlfn.ANCHORARRAY(Sintesi!$C$15),1,$C309)&gt;0),0,IF(($E309=INDEX(_xlfn.ANCHORARRAY(Sintesi!$C$14),1,$C309))*(INDEX(_xlfn.ANCHORARRAY(Sintesi!$C$15),1,$C309)&lt;0)+($E309&gt;=$E308)*($E309&lt;=INDEX($E:$E,MATCH(TRUE,INDEX((ISNUMBER($E:$E)),0),0)))*($E309&gt;INDEX(_xlfn.ANCHORARRAY(Sintesi!$C$14),1,$C309))*($E309&lt;=INDEX(_xlfn.ANCHORARRAY(Sintesi!$C$15),1,$C309))*(INDEX(_xlfn.ANCHORARRAY(Sintesi!$C$15),1,$C309)&gt;0),1,IF(($E309&gt;=$E308)*($E309&lt;=INDEX($E:$E,MATCH(TRUE,INDEX((ISNUMBER($E:$E)),0),0)))*($E309&gt;INDEX(_xlfn.ANCHORARRAY(Sintesi!$C$14),1,$C309))*($E309&lt;INDEX(_xlfn.ANCHORARRAY(Sintesi!$C$16),1,$C309))*(INDEX(_xlfn.ANCHORARRAY(Sintesi!$C$15),1,$C309)&lt;0)+($E309&gt;=$E308)*($E309&lt;=INDEX($E:$E,MATCH(TRUE,INDEX((ISNUMBER($E:$E)),0),0)))*($E309&gt;INDEX(_xlfn.ANCHORARRAY(Sintesi!$C$15),1,$C309))*($E309&lt;INDEX(_xlfn.ANCHORARRAY(Sintesi!$C$16),1,$C309))*(INDEX(_xlfn.ANCHORARRAY(Sintesi!$C$15),1,$C309)&gt;0),2,IF($E309=(INDEX(_xlfn.ANCHORARRAY(Sintesi!$C$16),1,$C309)),3,4)))),0),IF($C309&gt;0,IF(($E309=INDEX(_xlfn.ANCHORARRAY(Sintesi!$C$14),1,$C309))*(INDEX(_xlfn.ANCHORARRAY(Sintesi!$C$15),1,$C309)&gt;0),0,IF(($E309=INDEX(_xlfn.ANCHORARRAY(Sintesi!$C$14),1,$C309))*(INDEX(_xlfn.ANCHORARRAY(Sintesi!$C$15),1,$C309)&lt;0)+($E309&gt;=LOOKUP(2,1/($E:$E&lt;&gt;""),$E:$E))*($E309&lt;=INDEX($E:$E,MATCH(TRUE,INDEX((ISNUMBER($E:$E)),0),0)))*($E309&gt;INDEX(_xlfn.ANCHORARRAY(Sintesi!$C$14),1,$C309))*($E309&lt;=INDEX(_xlfn.ANCHORARRAY(Sintesi!$C$15),1,$C309))*(INDEX(_xlfn.ANCHORARRAY(Sintesi!$C$15),1,$C309)&gt;0),1,IF(($E309&gt;=LOOKUP(2,1/($E:$E&lt;&gt;""),$E:$E))*($E309&lt;=INDEX($E:$E,MATCH(TRUE,INDEX((ISNUMBER($E:$E)),0),0)))*($E309&gt;INDEX(_xlfn.ANCHORARRAY(Sintesi!$C$14),1,$C309))*($E309&lt;INDEX(_xlfn.ANCHORARRAY(Sintesi!$C$16),1,$C309))*(INDEX(_xlfn.ANCHORARRAY(Sintesi!$C$15),1,$C309)&lt;0)+($E309&gt;=LOOKUP(2,1/($E:$E&lt;&gt;""),$E:$E))*($E309&lt;=INDEX($E:$E,MATCH(TRUE,INDEX((ISNUMBER($E:$E)),0),0)))*($E309&gt;INDEX(_xlfn.ANCHORARRAY(Sintesi!$C$15),1,$C309))*($E309&lt;INDEX(_xlfn.ANCHORARRAY(Sintesi!$C$16),1,$C309))*(INDEX(_xlfn.ANCHORARRAY(Sintesi!$C$15),1,$C309)&gt;0),2,IF($E309=(INDEX(_xlfn.ANCHORARRAY(Sintesi!$C$16),1,$C309)),3,4)))),0)),IF(ISNUMBER($E308),IF($C309&gt;0,IF(($E309=INDEX(_xlfn.ANCHORARRAY(Sintesi!$C$14),1,$C309))*(INDEX(_xlfn.ANCHORARRAY(Sintesi!$C$15),1,$C309)&gt;0),0,IF(($E309=INDEX(_xlfn.ANCHORARRAY(Sintesi!$C$14),1,$C309))*(INDEX(_xlfn.ANCHORARRAY(Sintesi!$C$15),1,$C309)&lt;0)+($E309&gt;=$E308)*($E309&lt;=$E310)*($E309&gt;INDEX(_xlfn.ANCHORARRAY(Sintesi!$C$14),1,$C309))*($E309&lt;=INDEX(_xlfn.ANCHORARRAY(Sintesi!$C$15),1,$C309))*(INDEX(_xlfn.ANCHORARRAY(Sintesi!$C$15),1,$C309)&gt;0),1,IF(($E309&gt;=$E308)*($E309&lt;=$E310)*($E309&gt;INDEX(_xlfn.ANCHORARRAY(Sintesi!$C$14),1,$C309))*($E309&lt;INDEX(_xlfn.ANCHORARRAY(Sintesi!$C$16),1,$C309))*(INDEX(_xlfn.ANCHORARRAY(Sintesi!$C$15),1,$C309)&lt;0)+($E309&gt;=$E308)*($E309&lt;=$E310)*($E309&gt;INDEX(_xlfn.ANCHORARRAY(Sintesi!$C$15),1,$C309))*($E309&lt;INDEX(_xlfn.ANCHORARRAY(Sintesi!$C$16),1,$C309))*(INDEX(_xlfn.ANCHORARRAY(Sintesi!$C$15),1,$C309)&gt;0),2,IF($E309=(INDEX(_xlfn.ANCHORARRAY(Sintesi!$C$16),1,$C309)),3,4)))),0),IF($C309&gt;0,IF(($E309=INDEX(_xlfn.ANCHORARRAY(Sintesi!$C$14),1,$C309))*(INDEX(_xlfn.ANCHORARRAY(Sintesi!$C$15),1,$C309)&gt;0),0,IF(($E309=INDEX(_xlfn.ANCHORARRAY(Sintesi!$C$14),1,$C309))*(INDEX(_xlfn.ANCHORARRAY(Sintesi!$C$15),1,$C309)&lt;0)+($E309&gt;=LOOKUP(2,1/($E:$E&lt;&gt;""),$E:$E))*($E309&lt;=$E310)*($E309&gt;INDEX(_xlfn.ANCHORARRAY(Sintesi!$C$14),1,$C309))*($E309&lt;=INDEX(_xlfn.ANCHORARRAY(Sintesi!$C$15),1,$C309))*(INDEX(_xlfn.ANCHORARRAY(Sintesi!$C$15),1,$C309)&gt;0),1,IF(($E309&gt;=LOOKUP(2,1/($E:$E&lt;&gt;""),$E:$E))*($E309&lt;=$E310)*($E309&gt;INDEX(_xlfn.ANCHORARRAY(Sintesi!$C$14),1,$C309))*($E309&lt;INDEX(_xlfn.ANCHORARRAY(Sintesi!$C$16),1,$C309))*(INDEX(_xlfn.ANCHORARRAY(Sintesi!$C$15),1,$C309)&lt;0)+($E309&gt;=LOOKUP(2,1/($E:$E&lt;&gt;""),$E:$E))*($E309&lt;=$E310)*($E309&gt;INDEX(_xlfn.ANCHORARRAY(Sintesi!$C$15),1,$C309))*($E309&lt;INDEX(_xlfn.ANCHORARRAY(Sintesi!$C$16),1,$C309))*(INDEX(_xlfn.ANCHORARRAY(Sintesi!$C$15),1,$C309)&gt;0),2,IF($E309=(INDEX(_xlfn.ANCHORARRAY(Sintesi!$C$16),1,$C309)),3,4)))),0)))</f>
        <v>0</v>
      </c>
      <c r="E309" s="1">
        <f>'Paste cell here'!F309</f>
        <v>0</v>
      </c>
      <c r="F309" s="1">
        <f>'Paste cell here'!C309</f>
        <v>16.519999999999769</v>
      </c>
      <c r="G309" s="1">
        <f>'Paste cell here'!D309</f>
        <v>6.0799999999999237</v>
      </c>
      <c r="H309" s="1">
        <f>'Paste cell here'!E309</f>
        <v>0.97438567009289467</v>
      </c>
      <c r="I309" s="1">
        <f>'Paste cell here'!X309</f>
        <v>0</v>
      </c>
      <c r="J309" s="1">
        <f>'Paste cell here'!Y309+'Paste cell here'!S309</f>
        <v>0</v>
      </c>
      <c r="K309" s="1">
        <f t="shared" si="8"/>
        <v>0</v>
      </c>
      <c r="L309" s="1">
        <f t="shared" si="9"/>
        <v>12.734664451386811</v>
      </c>
      <c r="M309" s="1">
        <f t="array" ref="M309">IF(AND(A309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309&gt;=_xlfn.ANCHORARRAY(Sintesi!$C$9))+(_xlfn.ANCHORARRAY(Sintesi!$C$9)&gt;_xlfn.ANCHORARRAY(Sintesi!$C$10))*(A309&lt;=_xlfn.ANCHORARRAY(Sintesi!$C$10))+(_xlfn.ANCHORARRAY(Sintesi!$C$9)&lt;_xlfn.ANCHORARRAY(Sintesi!$C$10))*(A309&gt;=_xlfn.ANCHORARRAY(Sintesi!$C$9))*(A309&lt;=_xlfn.ANCHORARRAY(Sintesi!$C$10)),0)),0),A309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310&gt;=_xlfn.ANCHORARRAY(Sintesi!$C$9))+(_xlfn.ANCHORARRAY(Sintesi!$C$9)&gt;_xlfn.ANCHORARRAY(Sintesi!$C$10))*(A310&lt;=_xlfn.ANCHORARRAY(Sintesi!$C$10))+(_xlfn.ANCHORARRAY(Sintesi!$C$9)&lt;_xlfn.ANCHORARRAY(Sintesi!$C$10))*(A310&gt;=_xlfn.ANCHORARRAY(Sintesi!$C$9))*(A310&lt;=_xlfn.ANCHORARRAY(Sintesi!$C$10)),0)),0)),IF(L309&lt;_xlfn.IFNA(INDEX(_xlfn.ANCHORARRAY(Sintesi!$C$17),1,MATCH(1,(_xlfn.ANCHORARRAY(Sintesi!$C$9)&gt;_xlfn.ANCHORARRAY(Sintesi!$C$10))*(A308&gt;=_xlfn.ANCHORARRAY(Sintesi!$C$9))+(_xlfn.ANCHORARRAY(Sintesi!$C$9)&gt;_xlfn.ANCHORARRAY(Sintesi!$C$10))*(A308&lt;=_xlfn.ANCHORARRAY(Sintesi!$C$10))+(_xlfn.ANCHORARRAY(Sintesi!$C$9)&lt;_xlfn.ANCHORARRAY(Sintesi!$C$10))*(A308&gt;=_xlfn.ANCHORARRAY(Sintesi!$C$9))*(A308&lt;=_xlfn.ANCHORARRAY(Sintesi!$C$10)),0)),0),1,IF(L309&gt;=_xlfn.IFNA(INDEX(_xlfn.ANCHORARRAY(Sintesi!$C$18),1,MATCH(1,(_xlfn.ANCHORARRAY(Sintesi!$C$9)&gt;_xlfn.ANCHORARRAY(Sintesi!$C$10))*(A308&gt;=_xlfn.ANCHORARRAY(Sintesi!$C$9))+(_xlfn.ANCHORARRAY(Sintesi!$C$9)&gt;_xlfn.ANCHORARRAY(Sintesi!$C$10))*(A308&lt;=_xlfn.ANCHORARRAY(Sintesi!$C$10))+(_xlfn.ANCHORARRAY(Sintesi!$C$9)&lt;_xlfn.ANCHORARRAY(Sintesi!$C$10))*(A308&gt;=_xlfn.ANCHORARRAY(Sintesi!$C$9))*(A308&lt;=_xlfn.ANCHORARRAY(Sintesi!$C$10)),0)),0),0,1-(L309-_xlfn.IFNA(INDEX(_xlfn.ANCHORARRAY(Sintesi!$C$17),1,MATCH(1,(_xlfn.ANCHORARRAY(Sintesi!$C$9)&gt;_xlfn.ANCHORARRAY(Sintesi!$C$10))*(A308&gt;=_xlfn.ANCHORARRAY(Sintesi!$C$9))+(_xlfn.ANCHORARRAY(Sintesi!$C$9)&gt;_xlfn.ANCHORARRAY(Sintesi!$C$10))*(A308&lt;=_xlfn.ANCHORARRAY(Sintesi!$C$10))+(_xlfn.ANCHORARRAY(Sintesi!$C$9)&lt;_xlfn.ANCHORARRAY(Sintesi!$C$10))*(A308&gt;=_xlfn.ANCHORARRAY(Sintesi!$C$9))*(A308&lt;=_xlfn.ANCHORARRAY(Sintesi!$C$10)),0)),0))/(_xlfn.IFNA(INDEX(_xlfn.ANCHORARRAY(Sintesi!$C$18),1,MATCH(1,(_xlfn.ANCHORARRAY(Sintesi!$C$9)&gt;_xlfn.ANCHORARRAY(Sintesi!$C$10))*(A308&gt;=_xlfn.ANCHORARRAY(Sintesi!$C$9))+(_xlfn.ANCHORARRAY(Sintesi!$C$9)&gt;_xlfn.ANCHORARRAY(Sintesi!$C$10))*(A308&lt;=_xlfn.ANCHORARRAY(Sintesi!$C$10))+(_xlfn.ANCHORARRAY(Sintesi!$C$9)&lt;_xlfn.ANCHORARRAY(Sintesi!$C$10))*(A308&gt;=_xlfn.ANCHORARRAY(Sintesi!$C$9))*(A308&lt;=_xlfn.ANCHORARRAY(Sintesi!$C$10)),0)),0)-_xlfn.IFNA(INDEX(_xlfn.ANCHORARRAY(Sintesi!$C$17),1,MATCH(1,(_xlfn.ANCHORARRAY(Sintesi!$C$9)&gt;_xlfn.ANCHORARRAY(Sintesi!$C$10))*(A308&gt;=_xlfn.ANCHORARRAY(Sintesi!$C$9))+(_xlfn.ANCHORARRAY(Sintesi!$C$9)&gt;_xlfn.ANCHORARRAY(Sintesi!$C$10))*(A308&lt;=_xlfn.ANCHORARRAY(Sintesi!$C$10))+(_xlfn.ANCHORARRAY(Sintesi!$C$9)&lt;_xlfn.ANCHORARRAY(Sintesi!$C$10))*(A308&gt;=_xlfn.ANCHORARRAY(Sintesi!$C$9))*(A308&lt;=_xlfn.ANCHORARRAY(Sintesi!$C$10)),0)),0)))),0)</f>
        <v>0</v>
      </c>
    </row>
    <row r="310" spans="1:13">
      <c r="A310" s="1">
        <f>'Paste cell here'!A310</f>
        <v>309</v>
      </c>
      <c r="B310" s="2">
        <f>DATE(Sintesi!$C$4-1,12,31)+A310</f>
        <v>44505</v>
      </c>
      <c r="C310" s="34">
        <f t="array" ref="C310">_xlfn.IFNA(MATCH(1,((_xlfn.ANCHORARRAY(Sintesi!$C$9)&gt;_xlfn.ANCHORARRAY(Sintesi!$C$10))*(A310&gt;=_xlfn.ANCHORARRAY(Sintesi!$C$9))+(_xlfn.ANCHORARRAY(Sintesi!$C$9)&gt;_xlfn.ANCHORARRAY(Sintesi!$C$10))*(A310&lt;=_xlfn.ANCHORARRAY(Sintesi!$C$10))+(_xlfn.ANCHORARRAY(Sintesi!$C$9)&lt;_xlfn.ANCHORARRAY(Sintesi!$C$10))*(A310&gt;=_xlfn.ANCHORARRAY(Sintesi!$C$9))*(A310&lt;=_xlfn.ANCHORARRAY(Sintesi!$C$10)))*(_xlfn.ANCHORARRAY(Sintesi!$C$15)&gt;=0)+(_xlfn.ANCHORARRAY(Sintesi!$C$15)&lt;0),0),0)</f>
        <v>0</v>
      </c>
      <c r="D310" s="1">
        <f t="array" ref="D310">IF(ISBLANK($E311),IF(ISNUMBER($E309),IF($C310&gt;0,IF(($E310=INDEX(_xlfn.ANCHORARRAY(Sintesi!$C$14),1,$C310))*(INDEX(_xlfn.ANCHORARRAY(Sintesi!$C$15),1,$C310)&gt;0),0,IF(($E310=INDEX(_xlfn.ANCHORARRAY(Sintesi!$C$14),1,$C310))*(INDEX(_xlfn.ANCHORARRAY(Sintesi!$C$15),1,$C310)&lt;0)+($E310&gt;=$E309)*($E310&lt;=INDEX($E:$E,MATCH(TRUE,INDEX((ISNUMBER($E:$E)),0),0)))*($E310&gt;INDEX(_xlfn.ANCHORARRAY(Sintesi!$C$14),1,$C310))*($E310&lt;=INDEX(_xlfn.ANCHORARRAY(Sintesi!$C$15),1,$C310))*(INDEX(_xlfn.ANCHORARRAY(Sintesi!$C$15),1,$C310)&gt;0),1,IF(($E310&gt;=$E309)*($E310&lt;=INDEX($E:$E,MATCH(TRUE,INDEX((ISNUMBER($E:$E)),0),0)))*($E310&gt;INDEX(_xlfn.ANCHORARRAY(Sintesi!$C$14),1,$C310))*($E310&lt;INDEX(_xlfn.ANCHORARRAY(Sintesi!$C$16),1,$C310))*(INDEX(_xlfn.ANCHORARRAY(Sintesi!$C$15),1,$C310)&lt;0)+($E310&gt;=$E309)*($E310&lt;=INDEX($E:$E,MATCH(TRUE,INDEX((ISNUMBER($E:$E)),0),0)))*($E310&gt;INDEX(_xlfn.ANCHORARRAY(Sintesi!$C$15),1,$C310))*($E310&lt;INDEX(_xlfn.ANCHORARRAY(Sintesi!$C$16),1,$C310))*(INDEX(_xlfn.ANCHORARRAY(Sintesi!$C$15),1,$C310)&gt;0),2,IF($E310=(INDEX(_xlfn.ANCHORARRAY(Sintesi!$C$16),1,$C310)),3,4)))),0),IF($C310&gt;0,IF(($E310=INDEX(_xlfn.ANCHORARRAY(Sintesi!$C$14),1,$C310))*(INDEX(_xlfn.ANCHORARRAY(Sintesi!$C$15),1,$C310)&gt;0),0,IF(($E310=INDEX(_xlfn.ANCHORARRAY(Sintesi!$C$14),1,$C310))*(INDEX(_xlfn.ANCHORARRAY(Sintesi!$C$15),1,$C310)&lt;0)+($E310&gt;=LOOKUP(2,1/($E:$E&lt;&gt;""),$E:$E))*($E310&lt;=INDEX($E:$E,MATCH(TRUE,INDEX((ISNUMBER($E:$E)),0),0)))*($E310&gt;INDEX(_xlfn.ANCHORARRAY(Sintesi!$C$14),1,$C310))*($E310&lt;=INDEX(_xlfn.ANCHORARRAY(Sintesi!$C$15),1,$C310))*(INDEX(_xlfn.ANCHORARRAY(Sintesi!$C$15),1,$C310)&gt;0),1,IF(($E310&gt;=LOOKUP(2,1/($E:$E&lt;&gt;""),$E:$E))*($E310&lt;=INDEX($E:$E,MATCH(TRUE,INDEX((ISNUMBER($E:$E)),0),0)))*($E310&gt;INDEX(_xlfn.ANCHORARRAY(Sintesi!$C$14),1,$C310))*($E310&lt;INDEX(_xlfn.ANCHORARRAY(Sintesi!$C$16),1,$C310))*(INDEX(_xlfn.ANCHORARRAY(Sintesi!$C$15),1,$C310)&lt;0)+($E310&gt;=LOOKUP(2,1/($E:$E&lt;&gt;""),$E:$E))*($E310&lt;=INDEX($E:$E,MATCH(TRUE,INDEX((ISNUMBER($E:$E)),0),0)))*($E310&gt;INDEX(_xlfn.ANCHORARRAY(Sintesi!$C$15),1,$C310))*($E310&lt;INDEX(_xlfn.ANCHORARRAY(Sintesi!$C$16),1,$C310))*(INDEX(_xlfn.ANCHORARRAY(Sintesi!$C$15),1,$C310)&gt;0),2,IF($E310=(INDEX(_xlfn.ANCHORARRAY(Sintesi!$C$16),1,$C310)),3,4)))),0)),IF(ISNUMBER($E309),IF($C310&gt;0,IF(($E310=INDEX(_xlfn.ANCHORARRAY(Sintesi!$C$14),1,$C310))*(INDEX(_xlfn.ANCHORARRAY(Sintesi!$C$15),1,$C310)&gt;0),0,IF(($E310=INDEX(_xlfn.ANCHORARRAY(Sintesi!$C$14),1,$C310))*(INDEX(_xlfn.ANCHORARRAY(Sintesi!$C$15),1,$C310)&lt;0)+($E310&gt;=$E309)*($E310&lt;=$E311)*($E310&gt;INDEX(_xlfn.ANCHORARRAY(Sintesi!$C$14),1,$C310))*($E310&lt;=INDEX(_xlfn.ANCHORARRAY(Sintesi!$C$15),1,$C310))*(INDEX(_xlfn.ANCHORARRAY(Sintesi!$C$15),1,$C310)&gt;0),1,IF(($E310&gt;=$E309)*($E310&lt;=$E311)*($E310&gt;INDEX(_xlfn.ANCHORARRAY(Sintesi!$C$14),1,$C310))*($E310&lt;INDEX(_xlfn.ANCHORARRAY(Sintesi!$C$16),1,$C310))*(INDEX(_xlfn.ANCHORARRAY(Sintesi!$C$15),1,$C310)&lt;0)+($E310&gt;=$E309)*($E310&lt;=$E311)*($E310&gt;INDEX(_xlfn.ANCHORARRAY(Sintesi!$C$15),1,$C310))*($E310&lt;INDEX(_xlfn.ANCHORARRAY(Sintesi!$C$16),1,$C310))*(INDEX(_xlfn.ANCHORARRAY(Sintesi!$C$15),1,$C310)&gt;0),2,IF($E310=(INDEX(_xlfn.ANCHORARRAY(Sintesi!$C$16),1,$C310)),3,4)))),0),IF($C310&gt;0,IF(($E310=INDEX(_xlfn.ANCHORARRAY(Sintesi!$C$14),1,$C310))*(INDEX(_xlfn.ANCHORARRAY(Sintesi!$C$15),1,$C310)&gt;0),0,IF(($E310=INDEX(_xlfn.ANCHORARRAY(Sintesi!$C$14),1,$C310))*(INDEX(_xlfn.ANCHORARRAY(Sintesi!$C$15),1,$C310)&lt;0)+($E310&gt;=LOOKUP(2,1/($E:$E&lt;&gt;""),$E:$E))*($E310&lt;=$E311)*($E310&gt;INDEX(_xlfn.ANCHORARRAY(Sintesi!$C$14),1,$C310))*($E310&lt;=INDEX(_xlfn.ANCHORARRAY(Sintesi!$C$15),1,$C310))*(INDEX(_xlfn.ANCHORARRAY(Sintesi!$C$15),1,$C310)&gt;0),1,IF(($E310&gt;=LOOKUP(2,1/($E:$E&lt;&gt;""),$E:$E))*($E310&lt;=$E311)*($E310&gt;INDEX(_xlfn.ANCHORARRAY(Sintesi!$C$14),1,$C310))*($E310&lt;INDEX(_xlfn.ANCHORARRAY(Sintesi!$C$16),1,$C310))*(INDEX(_xlfn.ANCHORARRAY(Sintesi!$C$15),1,$C310)&lt;0)+($E310&gt;=LOOKUP(2,1/($E:$E&lt;&gt;""),$E:$E))*($E310&lt;=$E311)*($E310&gt;INDEX(_xlfn.ANCHORARRAY(Sintesi!$C$15),1,$C310))*($E310&lt;INDEX(_xlfn.ANCHORARRAY(Sintesi!$C$16),1,$C310))*(INDEX(_xlfn.ANCHORARRAY(Sintesi!$C$15),1,$C310)&gt;0),2,IF($E310=(INDEX(_xlfn.ANCHORARRAY(Sintesi!$C$16),1,$C310)),3,4)))),0)))</f>
        <v>0</v>
      </c>
      <c r="E310" s="1">
        <f>'Paste cell here'!F310</f>
        <v>0</v>
      </c>
      <c r="F310" s="1">
        <f>'Paste cell here'!C310</f>
        <v>15.119999999999784</v>
      </c>
      <c r="G310" s="1">
        <f>'Paste cell here'!D310</f>
        <v>2.7799999999999656</v>
      </c>
      <c r="H310" s="1">
        <f>'Paste cell here'!E310</f>
        <v>0.73938881367765141</v>
      </c>
      <c r="I310" s="1">
        <f>'Paste cell here'!X310</f>
        <v>0</v>
      </c>
      <c r="J310" s="1">
        <f>'Paste cell here'!Y310+'Paste cell here'!S310</f>
        <v>0</v>
      </c>
      <c r="K310" s="1">
        <f t="shared" si="8"/>
        <v>0</v>
      </c>
      <c r="L310" s="1">
        <f t="shared" si="9"/>
        <v>10.645762387941943</v>
      </c>
      <c r="M310" s="1">
        <f t="array" ref="M310">IF(AND(A310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310&gt;=_xlfn.ANCHORARRAY(Sintesi!$C$9))+(_xlfn.ANCHORARRAY(Sintesi!$C$9)&gt;_xlfn.ANCHORARRAY(Sintesi!$C$10))*(A310&lt;=_xlfn.ANCHORARRAY(Sintesi!$C$10))+(_xlfn.ANCHORARRAY(Sintesi!$C$9)&lt;_xlfn.ANCHORARRAY(Sintesi!$C$10))*(A310&gt;=_xlfn.ANCHORARRAY(Sintesi!$C$9))*(A310&lt;=_xlfn.ANCHORARRAY(Sintesi!$C$10)),0)),0),A310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311&gt;=_xlfn.ANCHORARRAY(Sintesi!$C$9))+(_xlfn.ANCHORARRAY(Sintesi!$C$9)&gt;_xlfn.ANCHORARRAY(Sintesi!$C$10))*(A311&lt;=_xlfn.ANCHORARRAY(Sintesi!$C$10))+(_xlfn.ANCHORARRAY(Sintesi!$C$9)&lt;_xlfn.ANCHORARRAY(Sintesi!$C$10))*(A311&gt;=_xlfn.ANCHORARRAY(Sintesi!$C$9))*(A311&lt;=_xlfn.ANCHORARRAY(Sintesi!$C$10)),0)),0)),IF(L310&lt;_xlfn.IFNA(INDEX(_xlfn.ANCHORARRAY(Sintesi!$C$17),1,MATCH(1,(_xlfn.ANCHORARRAY(Sintesi!$C$9)&gt;_xlfn.ANCHORARRAY(Sintesi!$C$10))*(A309&gt;=_xlfn.ANCHORARRAY(Sintesi!$C$9))+(_xlfn.ANCHORARRAY(Sintesi!$C$9)&gt;_xlfn.ANCHORARRAY(Sintesi!$C$10))*(A309&lt;=_xlfn.ANCHORARRAY(Sintesi!$C$10))+(_xlfn.ANCHORARRAY(Sintesi!$C$9)&lt;_xlfn.ANCHORARRAY(Sintesi!$C$10))*(A309&gt;=_xlfn.ANCHORARRAY(Sintesi!$C$9))*(A309&lt;=_xlfn.ANCHORARRAY(Sintesi!$C$10)),0)),0),1,IF(L310&gt;=_xlfn.IFNA(INDEX(_xlfn.ANCHORARRAY(Sintesi!$C$18),1,MATCH(1,(_xlfn.ANCHORARRAY(Sintesi!$C$9)&gt;_xlfn.ANCHORARRAY(Sintesi!$C$10))*(A309&gt;=_xlfn.ANCHORARRAY(Sintesi!$C$9))+(_xlfn.ANCHORARRAY(Sintesi!$C$9)&gt;_xlfn.ANCHORARRAY(Sintesi!$C$10))*(A309&lt;=_xlfn.ANCHORARRAY(Sintesi!$C$10))+(_xlfn.ANCHORARRAY(Sintesi!$C$9)&lt;_xlfn.ANCHORARRAY(Sintesi!$C$10))*(A309&gt;=_xlfn.ANCHORARRAY(Sintesi!$C$9))*(A309&lt;=_xlfn.ANCHORARRAY(Sintesi!$C$10)),0)),0),0,1-(L310-_xlfn.IFNA(INDEX(_xlfn.ANCHORARRAY(Sintesi!$C$17),1,MATCH(1,(_xlfn.ANCHORARRAY(Sintesi!$C$9)&gt;_xlfn.ANCHORARRAY(Sintesi!$C$10))*(A309&gt;=_xlfn.ANCHORARRAY(Sintesi!$C$9))+(_xlfn.ANCHORARRAY(Sintesi!$C$9)&gt;_xlfn.ANCHORARRAY(Sintesi!$C$10))*(A309&lt;=_xlfn.ANCHORARRAY(Sintesi!$C$10))+(_xlfn.ANCHORARRAY(Sintesi!$C$9)&lt;_xlfn.ANCHORARRAY(Sintesi!$C$10))*(A309&gt;=_xlfn.ANCHORARRAY(Sintesi!$C$9))*(A309&lt;=_xlfn.ANCHORARRAY(Sintesi!$C$10)),0)),0))/(_xlfn.IFNA(INDEX(_xlfn.ANCHORARRAY(Sintesi!$C$18),1,MATCH(1,(_xlfn.ANCHORARRAY(Sintesi!$C$9)&gt;_xlfn.ANCHORARRAY(Sintesi!$C$10))*(A309&gt;=_xlfn.ANCHORARRAY(Sintesi!$C$9))+(_xlfn.ANCHORARRAY(Sintesi!$C$9)&gt;_xlfn.ANCHORARRAY(Sintesi!$C$10))*(A309&lt;=_xlfn.ANCHORARRAY(Sintesi!$C$10))+(_xlfn.ANCHORARRAY(Sintesi!$C$9)&lt;_xlfn.ANCHORARRAY(Sintesi!$C$10))*(A309&gt;=_xlfn.ANCHORARRAY(Sintesi!$C$9))*(A309&lt;=_xlfn.ANCHORARRAY(Sintesi!$C$10)),0)),0)-_xlfn.IFNA(INDEX(_xlfn.ANCHORARRAY(Sintesi!$C$17),1,MATCH(1,(_xlfn.ANCHORARRAY(Sintesi!$C$9)&gt;_xlfn.ANCHORARRAY(Sintesi!$C$10))*(A309&gt;=_xlfn.ANCHORARRAY(Sintesi!$C$9))+(_xlfn.ANCHORARRAY(Sintesi!$C$9)&gt;_xlfn.ANCHORARRAY(Sintesi!$C$10))*(A309&lt;=_xlfn.ANCHORARRAY(Sintesi!$C$10))+(_xlfn.ANCHORARRAY(Sintesi!$C$9)&lt;_xlfn.ANCHORARRAY(Sintesi!$C$10))*(A309&gt;=_xlfn.ANCHORARRAY(Sintesi!$C$9))*(A309&lt;=_xlfn.ANCHORARRAY(Sintesi!$C$10)),0)),0)))),0)</f>
        <v>0</v>
      </c>
    </row>
    <row r="311" spans="1:13">
      <c r="A311" s="1">
        <f>'Paste cell here'!A311</f>
        <v>310</v>
      </c>
      <c r="B311" s="2">
        <f>DATE(Sintesi!$C$4-1,12,31)+A311</f>
        <v>44506</v>
      </c>
      <c r="C311" s="34">
        <f t="array" ref="C311">_xlfn.IFNA(MATCH(1,((_xlfn.ANCHORARRAY(Sintesi!$C$9)&gt;_xlfn.ANCHORARRAY(Sintesi!$C$10))*(A311&gt;=_xlfn.ANCHORARRAY(Sintesi!$C$9))+(_xlfn.ANCHORARRAY(Sintesi!$C$9)&gt;_xlfn.ANCHORARRAY(Sintesi!$C$10))*(A311&lt;=_xlfn.ANCHORARRAY(Sintesi!$C$10))+(_xlfn.ANCHORARRAY(Sintesi!$C$9)&lt;_xlfn.ANCHORARRAY(Sintesi!$C$10))*(A311&gt;=_xlfn.ANCHORARRAY(Sintesi!$C$9))*(A311&lt;=_xlfn.ANCHORARRAY(Sintesi!$C$10)))*(_xlfn.ANCHORARRAY(Sintesi!$C$15)&gt;=0)+(_xlfn.ANCHORARRAY(Sintesi!$C$15)&lt;0),0),0)</f>
        <v>0</v>
      </c>
      <c r="D311" s="1">
        <f t="array" ref="D311">IF(ISBLANK($E312),IF(ISNUMBER($E310),IF($C311&gt;0,IF(($E311=INDEX(_xlfn.ANCHORARRAY(Sintesi!$C$14),1,$C311))*(INDEX(_xlfn.ANCHORARRAY(Sintesi!$C$15),1,$C311)&gt;0),0,IF(($E311=INDEX(_xlfn.ANCHORARRAY(Sintesi!$C$14),1,$C311))*(INDEX(_xlfn.ANCHORARRAY(Sintesi!$C$15),1,$C311)&lt;0)+($E311&gt;=$E310)*($E311&lt;=INDEX($E:$E,MATCH(TRUE,INDEX((ISNUMBER($E:$E)),0),0)))*($E311&gt;INDEX(_xlfn.ANCHORARRAY(Sintesi!$C$14),1,$C311))*($E311&lt;=INDEX(_xlfn.ANCHORARRAY(Sintesi!$C$15),1,$C311))*(INDEX(_xlfn.ANCHORARRAY(Sintesi!$C$15),1,$C311)&gt;0),1,IF(($E311&gt;=$E310)*($E311&lt;=INDEX($E:$E,MATCH(TRUE,INDEX((ISNUMBER($E:$E)),0),0)))*($E311&gt;INDEX(_xlfn.ANCHORARRAY(Sintesi!$C$14),1,$C311))*($E311&lt;INDEX(_xlfn.ANCHORARRAY(Sintesi!$C$16),1,$C311))*(INDEX(_xlfn.ANCHORARRAY(Sintesi!$C$15),1,$C311)&lt;0)+($E311&gt;=$E310)*($E311&lt;=INDEX($E:$E,MATCH(TRUE,INDEX((ISNUMBER($E:$E)),0),0)))*($E311&gt;INDEX(_xlfn.ANCHORARRAY(Sintesi!$C$15),1,$C311))*($E311&lt;INDEX(_xlfn.ANCHORARRAY(Sintesi!$C$16),1,$C311))*(INDEX(_xlfn.ANCHORARRAY(Sintesi!$C$15),1,$C311)&gt;0),2,IF($E311=(INDEX(_xlfn.ANCHORARRAY(Sintesi!$C$16),1,$C311)),3,4)))),0),IF($C311&gt;0,IF(($E311=INDEX(_xlfn.ANCHORARRAY(Sintesi!$C$14),1,$C311))*(INDEX(_xlfn.ANCHORARRAY(Sintesi!$C$15),1,$C311)&gt;0),0,IF(($E311=INDEX(_xlfn.ANCHORARRAY(Sintesi!$C$14),1,$C311))*(INDEX(_xlfn.ANCHORARRAY(Sintesi!$C$15),1,$C311)&lt;0)+($E311&gt;=LOOKUP(2,1/($E:$E&lt;&gt;""),$E:$E))*($E311&lt;=INDEX($E:$E,MATCH(TRUE,INDEX((ISNUMBER($E:$E)),0),0)))*($E311&gt;INDEX(_xlfn.ANCHORARRAY(Sintesi!$C$14),1,$C311))*($E311&lt;=INDEX(_xlfn.ANCHORARRAY(Sintesi!$C$15),1,$C311))*(INDEX(_xlfn.ANCHORARRAY(Sintesi!$C$15),1,$C311)&gt;0),1,IF(($E311&gt;=LOOKUP(2,1/($E:$E&lt;&gt;""),$E:$E))*($E311&lt;=INDEX($E:$E,MATCH(TRUE,INDEX((ISNUMBER($E:$E)),0),0)))*($E311&gt;INDEX(_xlfn.ANCHORARRAY(Sintesi!$C$14),1,$C311))*($E311&lt;INDEX(_xlfn.ANCHORARRAY(Sintesi!$C$16),1,$C311))*(INDEX(_xlfn.ANCHORARRAY(Sintesi!$C$15),1,$C311)&lt;0)+($E311&gt;=LOOKUP(2,1/($E:$E&lt;&gt;""),$E:$E))*($E311&lt;=INDEX($E:$E,MATCH(TRUE,INDEX((ISNUMBER($E:$E)),0),0)))*($E311&gt;INDEX(_xlfn.ANCHORARRAY(Sintesi!$C$15),1,$C311))*($E311&lt;INDEX(_xlfn.ANCHORARRAY(Sintesi!$C$16),1,$C311))*(INDEX(_xlfn.ANCHORARRAY(Sintesi!$C$15),1,$C311)&gt;0),2,IF($E311=(INDEX(_xlfn.ANCHORARRAY(Sintesi!$C$16),1,$C311)),3,4)))),0)),IF(ISNUMBER($E310),IF($C311&gt;0,IF(($E311=INDEX(_xlfn.ANCHORARRAY(Sintesi!$C$14),1,$C311))*(INDEX(_xlfn.ANCHORARRAY(Sintesi!$C$15),1,$C311)&gt;0),0,IF(($E311=INDEX(_xlfn.ANCHORARRAY(Sintesi!$C$14),1,$C311))*(INDEX(_xlfn.ANCHORARRAY(Sintesi!$C$15),1,$C311)&lt;0)+($E311&gt;=$E310)*($E311&lt;=$E312)*($E311&gt;INDEX(_xlfn.ANCHORARRAY(Sintesi!$C$14),1,$C311))*($E311&lt;=INDEX(_xlfn.ANCHORARRAY(Sintesi!$C$15),1,$C311))*(INDEX(_xlfn.ANCHORARRAY(Sintesi!$C$15),1,$C311)&gt;0),1,IF(($E311&gt;=$E310)*($E311&lt;=$E312)*($E311&gt;INDEX(_xlfn.ANCHORARRAY(Sintesi!$C$14),1,$C311))*($E311&lt;INDEX(_xlfn.ANCHORARRAY(Sintesi!$C$16),1,$C311))*(INDEX(_xlfn.ANCHORARRAY(Sintesi!$C$15),1,$C311)&lt;0)+($E311&gt;=$E310)*($E311&lt;=$E312)*($E311&gt;INDEX(_xlfn.ANCHORARRAY(Sintesi!$C$15),1,$C311))*($E311&lt;INDEX(_xlfn.ANCHORARRAY(Sintesi!$C$16),1,$C311))*(INDEX(_xlfn.ANCHORARRAY(Sintesi!$C$15),1,$C311)&gt;0),2,IF($E311=(INDEX(_xlfn.ANCHORARRAY(Sintesi!$C$16),1,$C311)),3,4)))),0),IF($C311&gt;0,IF(($E311=INDEX(_xlfn.ANCHORARRAY(Sintesi!$C$14),1,$C311))*(INDEX(_xlfn.ANCHORARRAY(Sintesi!$C$15),1,$C311)&gt;0),0,IF(($E311=INDEX(_xlfn.ANCHORARRAY(Sintesi!$C$14),1,$C311))*(INDEX(_xlfn.ANCHORARRAY(Sintesi!$C$15),1,$C311)&lt;0)+($E311&gt;=LOOKUP(2,1/($E:$E&lt;&gt;""),$E:$E))*($E311&lt;=$E312)*($E311&gt;INDEX(_xlfn.ANCHORARRAY(Sintesi!$C$14),1,$C311))*($E311&lt;=INDEX(_xlfn.ANCHORARRAY(Sintesi!$C$15),1,$C311))*(INDEX(_xlfn.ANCHORARRAY(Sintesi!$C$15),1,$C311)&gt;0),1,IF(($E311&gt;=LOOKUP(2,1/($E:$E&lt;&gt;""),$E:$E))*($E311&lt;=$E312)*($E311&gt;INDEX(_xlfn.ANCHORARRAY(Sintesi!$C$14),1,$C311))*($E311&lt;INDEX(_xlfn.ANCHORARRAY(Sintesi!$C$16),1,$C311))*(INDEX(_xlfn.ANCHORARRAY(Sintesi!$C$15),1,$C311)&lt;0)+($E311&gt;=LOOKUP(2,1/($E:$E&lt;&gt;""),$E:$E))*($E311&lt;=$E312)*($E311&gt;INDEX(_xlfn.ANCHORARRAY(Sintesi!$C$15),1,$C311))*($E311&lt;INDEX(_xlfn.ANCHORARRAY(Sintesi!$C$16),1,$C311))*(INDEX(_xlfn.ANCHORARRAY(Sintesi!$C$15),1,$C311)&gt;0),2,IF($E311=(INDEX(_xlfn.ANCHORARRAY(Sintesi!$C$16),1,$C311)),3,4)))),0)))</f>
        <v>0</v>
      </c>
      <c r="E311" s="1">
        <f>'Paste cell here'!F311</f>
        <v>0</v>
      </c>
      <c r="F311" s="1">
        <f>'Paste cell here'!C311</f>
        <v>15.699999999999775</v>
      </c>
      <c r="G311" s="1">
        <f>'Paste cell here'!D311</f>
        <v>1.8399999999999852</v>
      </c>
      <c r="H311" s="1">
        <f>'Paste cell here'!E311</f>
        <v>0.71510087589365023</v>
      </c>
      <c r="I311" s="1">
        <f>'Paste cell here'!X311</f>
        <v>0</v>
      </c>
      <c r="J311" s="1">
        <f>'Paste cell here'!Y311+'Paste cell here'!S311</f>
        <v>0</v>
      </c>
      <c r="K311" s="1">
        <f t="shared" si="8"/>
        <v>0</v>
      </c>
      <c r="L311" s="1">
        <f t="shared" si="9"/>
        <v>10.674640737186024</v>
      </c>
      <c r="M311" s="1">
        <f t="array" ref="M311">IF(AND(A311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311&gt;=_xlfn.ANCHORARRAY(Sintesi!$C$9))+(_xlfn.ANCHORARRAY(Sintesi!$C$9)&gt;_xlfn.ANCHORARRAY(Sintesi!$C$10))*(A311&lt;=_xlfn.ANCHORARRAY(Sintesi!$C$10))+(_xlfn.ANCHORARRAY(Sintesi!$C$9)&lt;_xlfn.ANCHORARRAY(Sintesi!$C$10))*(A311&gt;=_xlfn.ANCHORARRAY(Sintesi!$C$9))*(A311&lt;=_xlfn.ANCHORARRAY(Sintesi!$C$10)),0)),0),A311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312&gt;=_xlfn.ANCHORARRAY(Sintesi!$C$9))+(_xlfn.ANCHORARRAY(Sintesi!$C$9)&gt;_xlfn.ANCHORARRAY(Sintesi!$C$10))*(A312&lt;=_xlfn.ANCHORARRAY(Sintesi!$C$10))+(_xlfn.ANCHORARRAY(Sintesi!$C$9)&lt;_xlfn.ANCHORARRAY(Sintesi!$C$10))*(A312&gt;=_xlfn.ANCHORARRAY(Sintesi!$C$9))*(A312&lt;=_xlfn.ANCHORARRAY(Sintesi!$C$10)),0)),0)),IF(L311&lt;_xlfn.IFNA(INDEX(_xlfn.ANCHORARRAY(Sintesi!$C$17),1,MATCH(1,(_xlfn.ANCHORARRAY(Sintesi!$C$9)&gt;_xlfn.ANCHORARRAY(Sintesi!$C$10))*(A310&gt;=_xlfn.ANCHORARRAY(Sintesi!$C$9))+(_xlfn.ANCHORARRAY(Sintesi!$C$9)&gt;_xlfn.ANCHORARRAY(Sintesi!$C$10))*(A310&lt;=_xlfn.ANCHORARRAY(Sintesi!$C$10))+(_xlfn.ANCHORARRAY(Sintesi!$C$9)&lt;_xlfn.ANCHORARRAY(Sintesi!$C$10))*(A310&gt;=_xlfn.ANCHORARRAY(Sintesi!$C$9))*(A310&lt;=_xlfn.ANCHORARRAY(Sintesi!$C$10)),0)),0),1,IF(L311&gt;=_xlfn.IFNA(INDEX(_xlfn.ANCHORARRAY(Sintesi!$C$18),1,MATCH(1,(_xlfn.ANCHORARRAY(Sintesi!$C$9)&gt;_xlfn.ANCHORARRAY(Sintesi!$C$10))*(A310&gt;=_xlfn.ANCHORARRAY(Sintesi!$C$9))+(_xlfn.ANCHORARRAY(Sintesi!$C$9)&gt;_xlfn.ANCHORARRAY(Sintesi!$C$10))*(A310&lt;=_xlfn.ANCHORARRAY(Sintesi!$C$10))+(_xlfn.ANCHORARRAY(Sintesi!$C$9)&lt;_xlfn.ANCHORARRAY(Sintesi!$C$10))*(A310&gt;=_xlfn.ANCHORARRAY(Sintesi!$C$9))*(A310&lt;=_xlfn.ANCHORARRAY(Sintesi!$C$10)),0)),0),0,1-(L311-_xlfn.IFNA(INDEX(_xlfn.ANCHORARRAY(Sintesi!$C$17),1,MATCH(1,(_xlfn.ANCHORARRAY(Sintesi!$C$9)&gt;_xlfn.ANCHORARRAY(Sintesi!$C$10))*(A310&gt;=_xlfn.ANCHORARRAY(Sintesi!$C$9))+(_xlfn.ANCHORARRAY(Sintesi!$C$9)&gt;_xlfn.ANCHORARRAY(Sintesi!$C$10))*(A310&lt;=_xlfn.ANCHORARRAY(Sintesi!$C$10))+(_xlfn.ANCHORARRAY(Sintesi!$C$9)&lt;_xlfn.ANCHORARRAY(Sintesi!$C$10))*(A310&gt;=_xlfn.ANCHORARRAY(Sintesi!$C$9))*(A310&lt;=_xlfn.ANCHORARRAY(Sintesi!$C$10)),0)),0))/(_xlfn.IFNA(INDEX(_xlfn.ANCHORARRAY(Sintesi!$C$18),1,MATCH(1,(_xlfn.ANCHORARRAY(Sintesi!$C$9)&gt;_xlfn.ANCHORARRAY(Sintesi!$C$10))*(A310&gt;=_xlfn.ANCHORARRAY(Sintesi!$C$9))+(_xlfn.ANCHORARRAY(Sintesi!$C$9)&gt;_xlfn.ANCHORARRAY(Sintesi!$C$10))*(A310&lt;=_xlfn.ANCHORARRAY(Sintesi!$C$10))+(_xlfn.ANCHORARRAY(Sintesi!$C$9)&lt;_xlfn.ANCHORARRAY(Sintesi!$C$10))*(A310&gt;=_xlfn.ANCHORARRAY(Sintesi!$C$9))*(A310&lt;=_xlfn.ANCHORARRAY(Sintesi!$C$10)),0)),0)-_xlfn.IFNA(INDEX(_xlfn.ANCHORARRAY(Sintesi!$C$17),1,MATCH(1,(_xlfn.ANCHORARRAY(Sintesi!$C$9)&gt;_xlfn.ANCHORARRAY(Sintesi!$C$10))*(A310&gt;=_xlfn.ANCHORARRAY(Sintesi!$C$9))+(_xlfn.ANCHORARRAY(Sintesi!$C$9)&gt;_xlfn.ANCHORARRAY(Sintesi!$C$10))*(A310&lt;=_xlfn.ANCHORARRAY(Sintesi!$C$10))+(_xlfn.ANCHORARRAY(Sintesi!$C$9)&lt;_xlfn.ANCHORARRAY(Sintesi!$C$10))*(A310&gt;=_xlfn.ANCHORARRAY(Sintesi!$C$9))*(A310&lt;=_xlfn.ANCHORARRAY(Sintesi!$C$10)),0)),0)))),0)</f>
        <v>0</v>
      </c>
    </row>
    <row r="312" spans="1:13">
      <c r="A312" s="1">
        <f>'Paste cell here'!A312</f>
        <v>311</v>
      </c>
      <c r="B312" s="2">
        <f>DATE(Sintesi!$C$4-1,12,31)+A312</f>
        <v>44507</v>
      </c>
      <c r="C312" s="34">
        <f t="array" ref="C312">_xlfn.IFNA(MATCH(1,((_xlfn.ANCHORARRAY(Sintesi!$C$9)&gt;_xlfn.ANCHORARRAY(Sintesi!$C$10))*(A312&gt;=_xlfn.ANCHORARRAY(Sintesi!$C$9))+(_xlfn.ANCHORARRAY(Sintesi!$C$9)&gt;_xlfn.ANCHORARRAY(Sintesi!$C$10))*(A312&lt;=_xlfn.ANCHORARRAY(Sintesi!$C$10))+(_xlfn.ANCHORARRAY(Sintesi!$C$9)&lt;_xlfn.ANCHORARRAY(Sintesi!$C$10))*(A312&gt;=_xlfn.ANCHORARRAY(Sintesi!$C$9))*(A312&lt;=_xlfn.ANCHORARRAY(Sintesi!$C$10)))*(_xlfn.ANCHORARRAY(Sintesi!$C$15)&gt;=0)+(_xlfn.ANCHORARRAY(Sintesi!$C$15)&lt;0),0),0)</f>
        <v>0</v>
      </c>
      <c r="D312" s="1">
        <f t="array" ref="D312">IF(ISBLANK($E313),IF(ISNUMBER($E311),IF($C312&gt;0,IF(($E312=INDEX(_xlfn.ANCHORARRAY(Sintesi!$C$14),1,$C312))*(INDEX(_xlfn.ANCHORARRAY(Sintesi!$C$15),1,$C312)&gt;0),0,IF(($E312=INDEX(_xlfn.ANCHORARRAY(Sintesi!$C$14),1,$C312))*(INDEX(_xlfn.ANCHORARRAY(Sintesi!$C$15),1,$C312)&lt;0)+($E312&gt;=$E311)*($E312&lt;=INDEX($E:$E,MATCH(TRUE,INDEX((ISNUMBER($E:$E)),0),0)))*($E312&gt;INDEX(_xlfn.ANCHORARRAY(Sintesi!$C$14),1,$C312))*($E312&lt;=INDEX(_xlfn.ANCHORARRAY(Sintesi!$C$15),1,$C312))*(INDEX(_xlfn.ANCHORARRAY(Sintesi!$C$15),1,$C312)&gt;0),1,IF(($E312&gt;=$E311)*($E312&lt;=INDEX($E:$E,MATCH(TRUE,INDEX((ISNUMBER($E:$E)),0),0)))*($E312&gt;INDEX(_xlfn.ANCHORARRAY(Sintesi!$C$14),1,$C312))*($E312&lt;INDEX(_xlfn.ANCHORARRAY(Sintesi!$C$16),1,$C312))*(INDEX(_xlfn.ANCHORARRAY(Sintesi!$C$15),1,$C312)&lt;0)+($E312&gt;=$E311)*($E312&lt;=INDEX($E:$E,MATCH(TRUE,INDEX((ISNUMBER($E:$E)),0),0)))*($E312&gt;INDEX(_xlfn.ANCHORARRAY(Sintesi!$C$15),1,$C312))*($E312&lt;INDEX(_xlfn.ANCHORARRAY(Sintesi!$C$16),1,$C312))*(INDEX(_xlfn.ANCHORARRAY(Sintesi!$C$15),1,$C312)&gt;0),2,IF($E312=(INDEX(_xlfn.ANCHORARRAY(Sintesi!$C$16),1,$C312)),3,4)))),0),IF($C312&gt;0,IF(($E312=INDEX(_xlfn.ANCHORARRAY(Sintesi!$C$14),1,$C312))*(INDEX(_xlfn.ANCHORARRAY(Sintesi!$C$15),1,$C312)&gt;0),0,IF(($E312=INDEX(_xlfn.ANCHORARRAY(Sintesi!$C$14),1,$C312))*(INDEX(_xlfn.ANCHORARRAY(Sintesi!$C$15),1,$C312)&lt;0)+($E312&gt;=LOOKUP(2,1/($E:$E&lt;&gt;""),$E:$E))*($E312&lt;=INDEX($E:$E,MATCH(TRUE,INDEX((ISNUMBER($E:$E)),0),0)))*($E312&gt;INDEX(_xlfn.ANCHORARRAY(Sintesi!$C$14),1,$C312))*($E312&lt;=INDEX(_xlfn.ANCHORARRAY(Sintesi!$C$15),1,$C312))*(INDEX(_xlfn.ANCHORARRAY(Sintesi!$C$15),1,$C312)&gt;0),1,IF(($E312&gt;=LOOKUP(2,1/($E:$E&lt;&gt;""),$E:$E))*($E312&lt;=INDEX($E:$E,MATCH(TRUE,INDEX((ISNUMBER($E:$E)),0),0)))*($E312&gt;INDEX(_xlfn.ANCHORARRAY(Sintesi!$C$14),1,$C312))*($E312&lt;INDEX(_xlfn.ANCHORARRAY(Sintesi!$C$16),1,$C312))*(INDEX(_xlfn.ANCHORARRAY(Sintesi!$C$15),1,$C312)&lt;0)+($E312&gt;=LOOKUP(2,1/($E:$E&lt;&gt;""),$E:$E))*($E312&lt;=INDEX($E:$E,MATCH(TRUE,INDEX((ISNUMBER($E:$E)),0),0)))*($E312&gt;INDEX(_xlfn.ANCHORARRAY(Sintesi!$C$15),1,$C312))*($E312&lt;INDEX(_xlfn.ANCHORARRAY(Sintesi!$C$16),1,$C312))*(INDEX(_xlfn.ANCHORARRAY(Sintesi!$C$15),1,$C312)&gt;0),2,IF($E312=(INDEX(_xlfn.ANCHORARRAY(Sintesi!$C$16),1,$C312)),3,4)))),0)),IF(ISNUMBER($E311),IF($C312&gt;0,IF(($E312=INDEX(_xlfn.ANCHORARRAY(Sintesi!$C$14),1,$C312))*(INDEX(_xlfn.ANCHORARRAY(Sintesi!$C$15),1,$C312)&gt;0),0,IF(($E312=INDEX(_xlfn.ANCHORARRAY(Sintesi!$C$14),1,$C312))*(INDEX(_xlfn.ANCHORARRAY(Sintesi!$C$15),1,$C312)&lt;0)+($E312&gt;=$E311)*($E312&lt;=$E313)*($E312&gt;INDEX(_xlfn.ANCHORARRAY(Sintesi!$C$14),1,$C312))*($E312&lt;=INDEX(_xlfn.ANCHORARRAY(Sintesi!$C$15),1,$C312))*(INDEX(_xlfn.ANCHORARRAY(Sintesi!$C$15),1,$C312)&gt;0),1,IF(($E312&gt;=$E311)*($E312&lt;=$E313)*($E312&gt;INDEX(_xlfn.ANCHORARRAY(Sintesi!$C$14),1,$C312))*($E312&lt;INDEX(_xlfn.ANCHORARRAY(Sintesi!$C$16),1,$C312))*(INDEX(_xlfn.ANCHORARRAY(Sintesi!$C$15),1,$C312)&lt;0)+($E312&gt;=$E311)*($E312&lt;=$E313)*($E312&gt;INDEX(_xlfn.ANCHORARRAY(Sintesi!$C$15),1,$C312))*($E312&lt;INDEX(_xlfn.ANCHORARRAY(Sintesi!$C$16),1,$C312))*(INDEX(_xlfn.ANCHORARRAY(Sintesi!$C$15),1,$C312)&gt;0),2,IF($E312=(INDEX(_xlfn.ANCHORARRAY(Sintesi!$C$16),1,$C312)),3,4)))),0),IF($C312&gt;0,IF(($E312=INDEX(_xlfn.ANCHORARRAY(Sintesi!$C$14),1,$C312))*(INDEX(_xlfn.ANCHORARRAY(Sintesi!$C$15),1,$C312)&gt;0),0,IF(($E312=INDEX(_xlfn.ANCHORARRAY(Sintesi!$C$14),1,$C312))*(INDEX(_xlfn.ANCHORARRAY(Sintesi!$C$15),1,$C312)&lt;0)+($E312&gt;=LOOKUP(2,1/($E:$E&lt;&gt;""),$E:$E))*($E312&lt;=$E313)*($E312&gt;INDEX(_xlfn.ANCHORARRAY(Sintesi!$C$14),1,$C312))*($E312&lt;=INDEX(_xlfn.ANCHORARRAY(Sintesi!$C$15),1,$C312))*(INDEX(_xlfn.ANCHORARRAY(Sintesi!$C$15),1,$C312)&gt;0),1,IF(($E312&gt;=LOOKUP(2,1/($E:$E&lt;&gt;""),$E:$E))*($E312&lt;=$E313)*($E312&gt;INDEX(_xlfn.ANCHORARRAY(Sintesi!$C$14),1,$C312))*($E312&lt;INDEX(_xlfn.ANCHORARRAY(Sintesi!$C$16),1,$C312))*(INDEX(_xlfn.ANCHORARRAY(Sintesi!$C$15),1,$C312)&lt;0)+($E312&gt;=LOOKUP(2,1/($E:$E&lt;&gt;""),$E:$E))*($E312&lt;=$E313)*($E312&gt;INDEX(_xlfn.ANCHORARRAY(Sintesi!$C$15),1,$C312))*($E312&lt;INDEX(_xlfn.ANCHORARRAY(Sintesi!$C$16),1,$C312))*(INDEX(_xlfn.ANCHORARRAY(Sintesi!$C$15),1,$C312)&gt;0),2,IF($E312=(INDEX(_xlfn.ANCHORARRAY(Sintesi!$C$16),1,$C312)),3,4)))),0)))</f>
        <v>0</v>
      </c>
      <c r="E312" s="1">
        <f>'Paste cell here'!F312</f>
        <v>0</v>
      </c>
      <c r="F312" s="1">
        <f>'Paste cell here'!C312</f>
        <v>15.059999999999791</v>
      </c>
      <c r="G312" s="1">
        <f>'Paste cell here'!D312</f>
        <v>1.6999999999999802</v>
      </c>
      <c r="H312" s="1">
        <f>'Paste cell here'!E312</f>
        <v>0.73606247658042057</v>
      </c>
      <c r="I312" s="1">
        <f>'Paste cell here'!X312</f>
        <v>0</v>
      </c>
      <c r="J312" s="1">
        <f>'Paste cell here'!Y312+'Paste cell here'!S312</f>
        <v>0</v>
      </c>
      <c r="K312" s="1">
        <f t="shared" si="8"/>
        <v>0</v>
      </c>
      <c r="L312" s="1">
        <f t="shared" si="9"/>
        <v>10.215930753882059</v>
      </c>
      <c r="M312" s="1">
        <f t="array" ref="M312">IF(AND(A312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312&gt;=_xlfn.ANCHORARRAY(Sintesi!$C$9))+(_xlfn.ANCHORARRAY(Sintesi!$C$9)&gt;_xlfn.ANCHORARRAY(Sintesi!$C$10))*(A312&lt;=_xlfn.ANCHORARRAY(Sintesi!$C$10))+(_xlfn.ANCHORARRAY(Sintesi!$C$9)&lt;_xlfn.ANCHORARRAY(Sintesi!$C$10))*(A312&gt;=_xlfn.ANCHORARRAY(Sintesi!$C$9))*(A312&lt;=_xlfn.ANCHORARRAY(Sintesi!$C$10)),0)),0),A312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313&gt;=_xlfn.ANCHORARRAY(Sintesi!$C$9))+(_xlfn.ANCHORARRAY(Sintesi!$C$9)&gt;_xlfn.ANCHORARRAY(Sintesi!$C$10))*(A313&lt;=_xlfn.ANCHORARRAY(Sintesi!$C$10))+(_xlfn.ANCHORARRAY(Sintesi!$C$9)&lt;_xlfn.ANCHORARRAY(Sintesi!$C$10))*(A313&gt;=_xlfn.ANCHORARRAY(Sintesi!$C$9))*(A313&lt;=_xlfn.ANCHORARRAY(Sintesi!$C$10)),0)),0)),IF(L312&lt;_xlfn.IFNA(INDEX(_xlfn.ANCHORARRAY(Sintesi!$C$17),1,MATCH(1,(_xlfn.ANCHORARRAY(Sintesi!$C$9)&gt;_xlfn.ANCHORARRAY(Sintesi!$C$10))*(A311&gt;=_xlfn.ANCHORARRAY(Sintesi!$C$9))+(_xlfn.ANCHORARRAY(Sintesi!$C$9)&gt;_xlfn.ANCHORARRAY(Sintesi!$C$10))*(A311&lt;=_xlfn.ANCHORARRAY(Sintesi!$C$10))+(_xlfn.ANCHORARRAY(Sintesi!$C$9)&lt;_xlfn.ANCHORARRAY(Sintesi!$C$10))*(A311&gt;=_xlfn.ANCHORARRAY(Sintesi!$C$9))*(A311&lt;=_xlfn.ANCHORARRAY(Sintesi!$C$10)),0)),0),1,IF(L312&gt;=_xlfn.IFNA(INDEX(_xlfn.ANCHORARRAY(Sintesi!$C$18),1,MATCH(1,(_xlfn.ANCHORARRAY(Sintesi!$C$9)&gt;_xlfn.ANCHORARRAY(Sintesi!$C$10))*(A311&gt;=_xlfn.ANCHORARRAY(Sintesi!$C$9))+(_xlfn.ANCHORARRAY(Sintesi!$C$9)&gt;_xlfn.ANCHORARRAY(Sintesi!$C$10))*(A311&lt;=_xlfn.ANCHORARRAY(Sintesi!$C$10))+(_xlfn.ANCHORARRAY(Sintesi!$C$9)&lt;_xlfn.ANCHORARRAY(Sintesi!$C$10))*(A311&gt;=_xlfn.ANCHORARRAY(Sintesi!$C$9))*(A311&lt;=_xlfn.ANCHORARRAY(Sintesi!$C$10)),0)),0),0,1-(L312-_xlfn.IFNA(INDEX(_xlfn.ANCHORARRAY(Sintesi!$C$17),1,MATCH(1,(_xlfn.ANCHORARRAY(Sintesi!$C$9)&gt;_xlfn.ANCHORARRAY(Sintesi!$C$10))*(A311&gt;=_xlfn.ANCHORARRAY(Sintesi!$C$9))+(_xlfn.ANCHORARRAY(Sintesi!$C$9)&gt;_xlfn.ANCHORARRAY(Sintesi!$C$10))*(A311&lt;=_xlfn.ANCHORARRAY(Sintesi!$C$10))+(_xlfn.ANCHORARRAY(Sintesi!$C$9)&lt;_xlfn.ANCHORARRAY(Sintesi!$C$10))*(A311&gt;=_xlfn.ANCHORARRAY(Sintesi!$C$9))*(A311&lt;=_xlfn.ANCHORARRAY(Sintesi!$C$10)),0)),0))/(_xlfn.IFNA(INDEX(_xlfn.ANCHORARRAY(Sintesi!$C$18),1,MATCH(1,(_xlfn.ANCHORARRAY(Sintesi!$C$9)&gt;_xlfn.ANCHORARRAY(Sintesi!$C$10))*(A311&gt;=_xlfn.ANCHORARRAY(Sintesi!$C$9))+(_xlfn.ANCHORARRAY(Sintesi!$C$9)&gt;_xlfn.ANCHORARRAY(Sintesi!$C$10))*(A311&lt;=_xlfn.ANCHORARRAY(Sintesi!$C$10))+(_xlfn.ANCHORARRAY(Sintesi!$C$9)&lt;_xlfn.ANCHORARRAY(Sintesi!$C$10))*(A311&gt;=_xlfn.ANCHORARRAY(Sintesi!$C$9))*(A311&lt;=_xlfn.ANCHORARRAY(Sintesi!$C$10)),0)),0)-_xlfn.IFNA(INDEX(_xlfn.ANCHORARRAY(Sintesi!$C$17),1,MATCH(1,(_xlfn.ANCHORARRAY(Sintesi!$C$9)&gt;_xlfn.ANCHORARRAY(Sintesi!$C$10))*(A311&gt;=_xlfn.ANCHORARRAY(Sintesi!$C$9))+(_xlfn.ANCHORARRAY(Sintesi!$C$9)&gt;_xlfn.ANCHORARRAY(Sintesi!$C$10))*(A311&lt;=_xlfn.ANCHORARRAY(Sintesi!$C$10))+(_xlfn.ANCHORARRAY(Sintesi!$C$9)&lt;_xlfn.ANCHORARRAY(Sintesi!$C$10))*(A311&gt;=_xlfn.ANCHORARRAY(Sintesi!$C$9))*(A311&lt;=_xlfn.ANCHORARRAY(Sintesi!$C$10)),0)),0)))),0)</f>
        <v>0</v>
      </c>
    </row>
    <row r="313" spans="1:13">
      <c r="A313" s="1">
        <f>'Paste cell here'!A313</f>
        <v>312</v>
      </c>
      <c r="B313" s="2">
        <f>DATE(Sintesi!$C$4-1,12,31)+A313</f>
        <v>44508</v>
      </c>
      <c r="C313" s="34">
        <f t="array" ref="C313">_xlfn.IFNA(MATCH(1,((_xlfn.ANCHORARRAY(Sintesi!$C$9)&gt;_xlfn.ANCHORARRAY(Sintesi!$C$10))*(A313&gt;=_xlfn.ANCHORARRAY(Sintesi!$C$9))+(_xlfn.ANCHORARRAY(Sintesi!$C$9)&gt;_xlfn.ANCHORARRAY(Sintesi!$C$10))*(A313&lt;=_xlfn.ANCHORARRAY(Sintesi!$C$10))+(_xlfn.ANCHORARRAY(Sintesi!$C$9)&lt;_xlfn.ANCHORARRAY(Sintesi!$C$10))*(A313&gt;=_xlfn.ANCHORARRAY(Sintesi!$C$9))*(A313&lt;=_xlfn.ANCHORARRAY(Sintesi!$C$10)))*(_xlfn.ANCHORARRAY(Sintesi!$C$15)&gt;=0)+(_xlfn.ANCHORARRAY(Sintesi!$C$15)&lt;0),0),0)</f>
        <v>0</v>
      </c>
      <c r="D313" s="1">
        <f t="array" ref="D313">IF(ISBLANK($E314),IF(ISNUMBER($E312),IF($C313&gt;0,IF(($E313=INDEX(_xlfn.ANCHORARRAY(Sintesi!$C$14),1,$C313))*(INDEX(_xlfn.ANCHORARRAY(Sintesi!$C$15),1,$C313)&gt;0),0,IF(($E313=INDEX(_xlfn.ANCHORARRAY(Sintesi!$C$14),1,$C313))*(INDEX(_xlfn.ANCHORARRAY(Sintesi!$C$15),1,$C313)&lt;0)+($E313&gt;=$E312)*($E313&lt;=INDEX($E:$E,MATCH(TRUE,INDEX((ISNUMBER($E:$E)),0),0)))*($E313&gt;INDEX(_xlfn.ANCHORARRAY(Sintesi!$C$14),1,$C313))*($E313&lt;=INDEX(_xlfn.ANCHORARRAY(Sintesi!$C$15),1,$C313))*(INDEX(_xlfn.ANCHORARRAY(Sintesi!$C$15),1,$C313)&gt;0),1,IF(($E313&gt;=$E312)*($E313&lt;=INDEX($E:$E,MATCH(TRUE,INDEX((ISNUMBER($E:$E)),0),0)))*($E313&gt;INDEX(_xlfn.ANCHORARRAY(Sintesi!$C$14),1,$C313))*($E313&lt;INDEX(_xlfn.ANCHORARRAY(Sintesi!$C$16),1,$C313))*(INDEX(_xlfn.ANCHORARRAY(Sintesi!$C$15),1,$C313)&lt;0)+($E313&gt;=$E312)*($E313&lt;=INDEX($E:$E,MATCH(TRUE,INDEX((ISNUMBER($E:$E)),0),0)))*($E313&gt;INDEX(_xlfn.ANCHORARRAY(Sintesi!$C$15),1,$C313))*($E313&lt;INDEX(_xlfn.ANCHORARRAY(Sintesi!$C$16),1,$C313))*(INDEX(_xlfn.ANCHORARRAY(Sintesi!$C$15),1,$C313)&gt;0),2,IF($E313=(INDEX(_xlfn.ANCHORARRAY(Sintesi!$C$16),1,$C313)),3,4)))),0),IF($C313&gt;0,IF(($E313=INDEX(_xlfn.ANCHORARRAY(Sintesi!$C$14),1,$C313))*(INDEX(_xlfn.ANCHORARRAY(Sintesi!$C$15),1,$C313)&gt;0),0,IF(($E313=INDEX(_xlfn.ANCHORARRAY(Sintesi!$C$14),1,$C313))*(INDEX(_xlfn.ANCHORARRAY(Sintesi!$C$15),1,$C313)&lt;0)+($E313&gt;=LOOKUP(2,1/($E:$E&lt;&gt;""),$E:$E))*($E313&lt;=INDEX($E:$E,MATCH(TRUE,INDEX((ISNUMBER($E:$E)),0),0)))*($E313&gt;INDEX(_xlfn.ANCHORARRAY(Sintesi!$C$14),1,$C313))*($E313&lt;=INDEX(_xlfn.ANCHORARRAY(Sintesi!$C$15),1,$C313))*(INDEX(_xlfn.ANCHORARRAY(Sintesi!$C$15),1,$C313)&gt;0),1,IF(($E313&gt;=LOOKUP(2,1/($E:$E&lt;&gt;""),$E:$E))*($E313&lt;=INDEX($E:$E,MATCH(TRUE,INDEX((ISNUMBER($E:$E)),0),0)))*($E313&gt;INDEX(_xlfn.ANCHORARRAY(Sintesi!$C$14),1,$C313))*($E313&lt;INDEX(_xlfn.ANCHORARRAY(Sintesi!$C$16),1,$C313))*(INDEX(_xlfn.ANCHORARRAY(Sintesi!$C$15),1,$C313)&lt;0)+($E313&gt;=LOOKUP(2,1/($E:$E&lt;&gt;""),$E:$E))*($E313&lt;=INDEX($E:$E,MATCH(TRUE,INDEX((ISNUMBER($E:$E)),0),0)))*($E313&gt;INDEX(_xlfn.ANCHORARRAY(Sintesi!$C$15),1,$C313))*($E313&lt;INDEX(_xlfn.ANCHORARRAY(Sintesi!$C$16),1,$C313))*(INDEX(_xlfn.ANCHORARRAY(Sintesi!$C$15),1,$C313)&gt;0),2,IF($E313=(INDEX(_xlfn.ANCHORARRAY(Sintesi!$C$16),1,$C313)),3,4)))),0)),IF(ISNUMBER($E312),IF($C313&gt;0,IF(($E313=INDEX(_xlfn.ANCHORARRAY(Sintesi!$C$14),1,$C313))*(INDEX(_xlfn.ANCHORARRAY(Sintesi!$C$15),1,$C313)&gt;0),0,IF(($E313=INDEX(_xlfn.ANCHORARRAY(Sintesi!$C$14),1,$C313))*(INDEX(_xlfn.ANCHORARRAY(Sintesi!$C$15),1,$C313)&lt;0)+($E313&gt;=$E312)*($E313&lt;=$E314)*($E313&gt;INDEX(_xlfn.ANCHORARRAY(Sintesi!$C$14),1,$C313))*($E313&lt;=INDEX(_xlfn.ANCHORARRAY(Sintesi!$C$15),1,$C313))*(INDEX(_xlfn.ANCHORARRAY(Sintesi!$C$15),1,$C313)&gt;0),1,IF(($E313&gt;=$E312)*($E313&lt;=$E314)*($E313&gt;INDEX(_xlfn.ANCHORARRAY(Sintesi!$C$14),1,$C313))*($E313&lt;INDEX(_xlfn.ANCHORARRAY(Sintesi!$C$16),1,$C313))*(INDEX(_xlfn.ANCHORARRAY(Sintesi!$C$15),1,$C313)&lt;0)+($E313&gt;=$E312)*($E313&lt;=$E314)*($E313&gt;INDEX(_xlfn.ANCHORARRAY(Sintesi!$C$15),1,$C313))*($E313&lt;INDEX(_xlfn.ANCHORARRAY(Sintesi!$C$16),1,$C313))*(INDEX(_xlfn.ANCHORARRAY(Sintesi!$C$15),1,$C313)&gt;0),2,IF($E313=(INDEX(_xlfn.ANCHORARRAY(Sintesi!$C$16),1,$C313)),3,4)))),0),IF($C313&gt;0,IF(($E313=INDEX(_xlfn.ANCHORARRAY(Sintesi!$C$14),1,$C313))*(INDEX(_xlfn.ANCHORARRAY(Sintesi!$C$15),1,$C313)&gt;0),0,IF(($E313=INDEX(_xlfn.ANCHORARRAY(Sintesi!$C$14),1,$C313))*(INDEX(_xlfn.ANCHORARRAY(Sintesi!$C$15),1,$C313)&lt;0)+($E313&gt;=LOOKUP(2,1/($E:$E&lt;&gt;""),$E:$E))*($E313&lt;=$E314)*($E313&gt;INDEX(_xlfn.ANCHORARRAY(Sintesi!$C$14),1,$C313))*($E313&lt;=INDEX(_xlfn.ANCHORARRAY(Sintesi!$C$15),1,$C313))*(INDEX(_xlfn.ANCHORARRAY(Sintesi!$C$15),1,$C313)&gt;0),1,IF(($E313&gt;=LOOKUP(2,1/($E:$E&lt;&gt;""),$E:$E))*($E313&lt;=$E314)*($E313&gt;INDEX(_xlfn.ANCHORARRAY(Sintesi!$C$14),1,$C313))*($E313&lt;INDEX(_xlfn.ANCHORARRAY(Sintesi!$C$16),1,$C313))*(INDEX(_xlfn.ANCHORARRAY(Sintesi!$C$15),1,$C313)&lt;0)+($E313&gt;=LOOKUP(2,1/($E:$E&lt;&gt;""),$E:$E))*($E313&lt;=$E314)*($E313&gt;INDEX(_xlfn.ANCHORARRAY(Sintesi!$C$15),1,$C313))*($E313&lt;INDEX(_xlfn.ANCHORARRAY(Sintesi!$C$16),1,$C313))*(INDEX(_xlfn.ANCHORARRAY(Sintesi!$C$15),1,$C313)&gt;0),2,IF($E313=(INDEX(_xlfn.ANCHORARRAY(Sintesi!$C$16),1,$C313)),3,4)))),0)))</f>
        <v>0</v>
      </c>
      <c r="E313" s="1">
        <f>'Paste cell here'!F313</f>
        <v>0</v>
      </c>
      <c r="F313" s="1">
        <f>'Paste cell here'!C313</f>
        <v>9.7399999999998634</v>
      </c>
      <c r="G313" s="1">
        <f>'Paste cell here'!D313</f>
        <v>4.2799999999999443</v>
      </c>
      <c r="H313" s="1">
        <f>'Paste cell here'!E313</f>
        <v>0.48775621548595083</v>
      </c>
      <c r="I313" s="1">
        <f>'Paste cell here'!X313</f>
        <v>0</v>
      </c>
      <c r="J313" s="1">
        <f>'Paste cell here'!Y313+'Paste cell here'!S313</f>
        <v>0</v>
      </c>
      <c r="K313" s="1">
        <f t="shared" si="8"/>
        <v>0</v>
      </c>
      <c r="L313" s="1">
        <f t="shared" si="9"/>
        <v>7.7603130176792945</v>
      </c>
      <c r="M313" s="1">
        <f t="array" ref="M313">IF(AND(A313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313&gt;=_xlfn.ANCHORARRAY(Sintesi!$C$9))+(_xlfn.ANCHORARRAY(Sintesi!$C$9)&gt;_xlfn.ANCHORARRAY(Sintesi!$C$10))*(A313&lt;=_xlfn.ANCHORARRAY(Sintesi!$C$10))+(_xlfn.ANCHORARRAY(Sintesi!$C$9)&lt;_xlfn.ANCHORARRAY(Sintesi!$C$10))*(A313&gt;=_xlfn.ANCHORARRAY(Sintesi!$C$9))*(A313&lt;=_xlfn.ANCHORARRAY(Sintesi!$C$10)),0)),0),A313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314&gt;=_xlfn.ANCHORARRAY(Sintesi!$C$9))+(_xlfn.ANCHORARRAY(Sintesi!$C$9)&gt;_xlfn.ANCHORARRAY(Sintesi!$C$10))*(A314&lt;=_xlfn.ANCHORARRAY(Sintesi!$C$10))+(_xlfn.ANCHORARRAY(Sintesi!$C$9)&lt;_xlfn.ANCHORARRAY(Sintesi!$C$10))*(A314&gt;=_xlfn.ANCHORARRAY(Sintesi!$C$9))*(A314&lt;=_xlfn.ANCHORARRAY(Sintesi!$C$10)),0)),0)),IF(L313&lt;_xlfn.IFNA(INDEX(_xlfn.ANCHORARRAY(Sintesi!$C$17),1,MATCH(1,(_xlfn.ANCHORARRAY(Sintesi!$C$9)&gt;_xlfn.ANCHORARRAY(Sintesi!$C$10))*(A312&gt;=_xlfn.ANCHORARRAY(Sintesi!$C$9))+(_xlfn.ANCHORARRAY(Sintesi!$C$9)&gt;_xlfn.ANCHORARRAY(Sintesi!$C$10))*(A312&lt;=_xlfn.ANCHORARRAY(Sintesi!$C$10))+(_xlfn.ANCHORARRAY(Sintesi!$C$9)&lt;_xlfn.ANCHORARRAY(Sintesi!$C$10))*(A312&gt;=_xlfn.ANCHORARRAY(Sintesi!$C$9))*(A312&lt;=_xlfn.ANCHORARRAY(Sintesi!$C$10)),0)),0),1,IF(L313&gt;=_xlfn.IFNA(INDEX(_xlfn.ANCHORARRAY(Sintesi!$C$18),1,MATCH(1,(_xlfn.ANCHORARRAY(Sintesi!$C$9)&gt;_xlfn.ANCHORARRAY(Sintesi!$C$10))*(A312&gt;=_xlfn.ANCHORARRAY(Sintesi!$C$9))+(_xlfn.ANCHORARRAY(Sintesi!$C$9)&gt;_xlfn.ANCHORARRAY(Sintesi!$C$10))*(A312&lt;=_xlfn.ANCHORARRAY(Sintesi!$C$10))+(_xlfn.ANCHORARRAY(Sintesi!$C$9)&lt;_xlfn.ANCHORARRAY(Sintesi!$C$10))*(A312&gt;=_xlfn.ANCHORARRAY(Sintesi!$C$9))*(A312&lt;=_xlfn.ANCHORARRAY(Sintesi!$C$10)),0)),0),0,1-(L313-_xlfn.IFNA(INDEX(_xlfn.ANCHORARRAY(Sintesi!$C$17),1,MATCH(1,(_xlfn.ANCHORARRAY(Sintesi!$C$9)&gt;_xlfn.ANCHORARRAY(Sintesi!$C$10))*(A312&gt;=_xlfn.ANCHORARRAY(Sintesi!$C$9))+(_xlfn.ANCHORARRAY(Sintesi!$C$9)&gt;_xlfn.ANCHORARRAY(Sintesi!$C$10))*(A312&lt;=_xlfn.ANCHORARRAY(Sintesi!$C$10))+(_xlfn.ANCHORARRAY(Sintesi!$C$9)&lt;_xlfn.ANCHORARRAY(Sintesi!$C$10))*(A312&gt;=_xlfn.ANCHORARRAY(Sintesi!$C$9))*(A312&lt;=_xlfn.ANCHORARRAY(Sintesi!$C$10)),0)),0))/(_xlfn.IFNA(INDEX(_xlfn.ANCHORARRAY(Sintesi!$C$18),1,MATCH(1,(_xlfn.ANCHORARRAY(Sintesi!$C$9)&gt;_xlfn.ANCHORARRAY(Sintesi!$C$10))*(A312&gt;=_xlfn.ANCHORARRAY(Sintesi!$C$9))+(_xlfn.ANCHORARRAY(Sintesi!$C$9)&gt;_xlfn.ANCHORARRAY(Sintesi!$C$10))*(A312&lt;=_xlfn.ANCHORARRAY(Sintesi!$C$10))+(_xlfn.ANCHORARRAY(Sintesi!$C$9)&lt;_xlfn.ANCHORARRAY(Sintesi!$C$10))*(A312&gt;=_xlfn.ANCHORARRAY(Sintesi!$C$9))*(A312&lt;=_xlfn.ANCHORARRAY(Sintesi!$C$10)),0)),0)-_xlfn.IFNA(INDEX(_xlfn.ANCHORARRAY(Sintesi!$C$17),1,MATCH(1,(_xlfn.ANCHORARRAY(Sintesi!$C$9)&gt;_xlfn.ANCHORARRAY(Sintesi!$C$10))*(A312&gt;=_xlfn.ANCHORARRAY(Sintesi!$C$9))+(_xlfn.ANCHORARRAY(Sintesi!$C$9)&gt;_xlfn.ANCHORARRAY(Sintesi!$C$10))*(A312&lt;=_xlfn.ANCHORARRAY(Sintesi!$C$10))+(_xlfn.ANCHORARRAY(Sintesi!$C$9)&lt;_xlfn.ANCHORARRAY(Sintesi!$C$10))*(A312&gt;=_xlfn.ANCHORARRAY(Sintesi!$C$9))*(A312&lt;=_xlfn.ANCHORARRAY(Sintesi!$C$10)),0)),0)))),0)</f>
        <v>0</v>
      </c>
    </row>
    <row r="314" spans="1:13">
      <c r="A314" s="1">
        <f>'Paste cell here'!A314</f>
        <v>313</v>
      </c>
      <c r="B314" s="2">
        <f>DATE(Sintesi!$C$4-1,12,31)+A314</f>
        <v>44509</v>
      </c>
      <c r="C314" s="34">
        <f t="array" ref="C314">_xlfn.IFNA(MATCH(1,((_xlfn.ANCHORARRAY(Sintesi!$C$9)&gt;_xlfn.ANCHORARRAY(Sintesi!$C$10))*(A314&gt;=_xlfn.ANCHORARRAY(Sintesi!$C$9))+(_xlfn.ANCHORARRAY(Sintesi!$C$9)&gt;_xlfn.ANCHORARRAY(Sintesi!$C$10))*(A314&lt;=_xlfn.ANCHORARRAY(Sintesi!$C$10))+(_xlfn.ANCHORARRAY(Sintesi!$C$9)&lt;_xlfn.ANCHORARRAY(Sintesi!$C$10))*(A314&gt;=_xlfn.ANCHORARRAY(Sintesi!$C$9))*(A314&lt;=_xlfn.ANCHORARRAY(Sintesi!$C$10)))*(_xlfn.ANCHORARRAY(Sintesi!$C$15)&gt;=0)+(_xlfn.ANCHORARRAY(Sintesi!$C$15)&lt;0),0),0)</f>
        <v>0</v>
      </c>
      <c r="D314" s="1">
        <f t="array" ref="D314">IF(ISBLANK($E315),IF(ISNUMBER($E313),IF($C314&gt;0,IF(($E314=INDEX(_xlfn.ANCHORARRAY(Sintesi!$C$14),1,$C314))*(INDEX(_xlfn.ANCHORARRAY(Sintesi!$C$15),1,$C314)&gt;0),0,IF(($E314=INDEX(_xlfn.ANCHORARRAY(Sintesi!$C$14),1,$C314))*(INDEX(_xlfn.ANCHORARRAY(Sintesi!$C$15),1,$C314)&lt;0)+($E314&gt;=$E313)*($E314&lt;=INDEX($E:$E,MATCH(TRUE,INDEX((ISNUMBER($E:$E)),0),0)))*($E314&gt;INDEX(_xlfn.ANCHORARRAY(Sintesi!$C$14),1,$C314))*($E314&lt;=INDEX(_xlfn.ANCHORARRAY(Sintesi!$C$15),1,$C314))*(INDEX(_xlfn.ANCHORARRAY(Sintesi!$C$15),1,$C314)&gt;0),1,IF(($E314&gt;=$E313)*($E314&lt;=INDEX($E:$E,MATCH(TRUE,INDEX((ISNUMBER($E:$E)),0),0)))*($E314&gt;INDEX(_xlfn.ANCHORARRAY(Sintesi!$C$14),1,$C314))*($E314&lt;INDEX(_xlfn.ANCHORARRAY(Sintesi!$C$16),1,$C314))*(INDEX(_xlfn.ANCHORARRAY(Sintesi!$C$15),1,$C314)&lt;0)+($E314&gt;=$E313)*($E314&lt;=INDEX($E:$E,MATCH(TRUE,INDEX((ISNUMBER($E:$E)),0),0)))*($E314&gt;INDEX(_xlfn.ANCHORARRAY(Sintesi!$C$15),1,$C314))*($E314&lt;INDEX(_xlfn.ANCHORARRAY(Sintesi!$C$16),1,$C314))*(INDEX(_xlfn.ANCHORARRAY(Sintesi!$C$15),1,$C314)&gt;0),2,IF($E314=(INDEX(_xlfn.ANCHORARRAY(Sintesi!$C$16),1,$C314)),3,4)))),0),IF($C314&gt;0,IF(($E314=INDEX(_xlfn.ANCHORARRAY(Sintesi!$C$14),1,$C314))*(INDEX(_xlfn.ANCHORARRAY(Sintesi!$C$15),1,$C314)&gt;0),0,IF(($E314=INDEX(_xlfn.ANCHORARRAY(Sintesi!$C$14),1,$C314))*(INDEX(_xlfn.ANCHORARRAY(Sintesi!$C$15),1,$C314)&lt;0)+($E314&gt;=LOOKUP(2,1/($E:$E&lt;&gt;""),$E:$E))*($E314&lt;=INDEX($E:$E,MATCH(TRUE,INDEX((ISNUMBER($E:$E)),0),0)))*($E314&gt;INDEX(_xlfn.ANCHORARRAY(Sintesi!$C$14),1,$C314))*($E314&lt;=INDEX(_xlfn.ANCHORARRAY(Sintesi!$C$15),1,$C314))*(INDEX(_xlfn.ANCHORARRAY(Sintesi!$C$15),1,$C314)&gt;0),1,IF(($E314&gt;=LOOKUP(2,1/($E:$E&lt;&gt;""),$E:$E))*($E314&lt;=INDEX($E:$E,MATCH(TRUE,INDEX((ISNUMBER($E:$E)),0),0)))*($E314&gt;INDEX(_xlfn.ANCHORARRAY(Sintesi!$C$14),1,$C314))*($E314&lt;INDEX(_xlfn.ANCHORARRAY(Sintesi!$C$16),1,$C314))*(INDEX(_xlfn.ANCHORARRAY(Sintesi!$C$15),1,$C314)&lt;0)+($E314&gt;=LOOKUP(2,1/($E:$E&lt;&gt;""),$E:$E))*($E314&lt;=INDEX($E:$E,MATCH(TRUE,INDEX((ISNUMBER($E:$E)),0),0)))*($E314&gt;INDEX(_xlfn.ANCHORARRAY(Sintesi!$C$15),1,$C314))*($E314&lt;INDEX(_xlfn.ANCHORARRAY(Sintesi!$C$16),1,$C314))*(INDEX(_xlfn.ANCHORARRAY(Sintesi!$C$15),1,$C314)&gt;0),2,IF($E314=(INDEX(_xlfn.ANCHORARRAY(Sintesi!$C$16),1,$C314)),3,4)))),0)),IF(ISNUMBER($E313),IF($C314&gt;0,IF(($E314=INDEX(_xlfn.ANCHORARRAY(Sintesi!$C$14),1,$C314))*(INDEX(_xlfn.ANCHORARRAY(Sintesi!$C$15),1,$C314)&gt;0),0,IF(($E314=INDEX(_xlfn.ANCHORARRAY(Sintesi!$C$14),1,$C314))*(INDEX(_xlfn.ANCHORARRAY(Sintesi!$C$15),1,$C314)&lt;0)+($E314&gt;=$E313)*($E314&lt;=$E315)*($E314&gt;INDEX(_xlfn.ANCHORARRAY(Sintesi!$C$14),1,$C314))*($E314&lt;=INDEX(_xlfn.ANCHORARRAY(Sintesi!$C$15),1,$C314))*(INDEX(_xlfn.ANCHORARRAY(Sintesi!$C$15),1,$C314)&gt;0),1,IF(($E314&gt;=$E313)*($E314&lt;=$E315)*($E314&gt;INDEX(_xlfn.ANCHORARRAY(Sintesi!$C$14),1,$C314))*($E314&lt;INDEX(_xlfn.ANCHORARRAY(Sintesi!$C$16),1,$C314))*(INDEX(_xlfn.ANCHORARRAY(Sintesi!$C$15),1,$C314)&lt;0)+($E314&gt;=$E313)*($E314&lt;=$E315)*($E314&gt;INDEX(_xlfn.ANCHORARRAY(Sintesi!$C$15),1,$C314))*($E314&lt;INDEX(_xlfn.ANCHORARRAY(Sintesi!$C$16),1,$C314))*(INDEX(_xlfn.ANCHORARRAY(Sintesi!$C$15),1,$C314)&gt;0),2,IF($E314=(INDEX(_xlfn.ANCHORARRAY(Sintesi!$C$16),1,$C314)),3,4)))),0),IF($C314&gt;0,IF(($E314=INDEX(_xlfn.ANCHORARRAY(Sintesi!$C$14),1,$C314))*(INDEX(_xlfn.ANCHORARRAY(Sintesi!$C$15),1,$C314)&gt;0),0,IF(($E314=INDEX(_xlfn.ANCHORARRAY(Sintesi!$C$14),1,$C314))*(INDEX(_xlfn.ANCHORARRAY(Sintesi!$C$15),1,$C314)&lt;0)+($E314&gt;=LOOKUP(2,1/($E:$E&lt;&gt;""),$E:$E))*($E314&lt;=$E315)*($E314&gt;INDEX(_xlfn.ANCHORARRAY(Sintesi!$C$14),1,$C314))*($E314&lt;=INDEX(_xlfn.ANCHORARRAY(Sintesi!$C$15),1,$C314))*(INDEX(_xlfn.ANCHORARRAY(Sintesi!$C$15),1,$C314)&gt;0),1,IF(($E314&gt;=LOOKUP(2,1/($E:$E&lt;&gt;""),$E:$E))*($E314&lt;=$E315)*($E314&gt;INDEX(_xlfn.ANCHORARRAY(Sintesi!$C$14),1,$C314))*($E314&lt;INDEX(_xlfn.ANCHORARRAY(Sintesi!$C$16),1,$C314))*(INDEX(_xlfn.ANCHORARRAY(Sintesi!$C$15),1,$C314)&lt;0)+($E314&gt;=LOOKUP(2,1/($E:$E&lt;&gt;""),$E:$E))*($E314&lt;=$E315)*($E314&gt;INDEX(_xlfn.ANCHORARRAY(Sintesi!$C$15),1,$C314))*($E314&lt;INDEX(_xlfn.ANCHORARRAY(Sintesi!$C$16),1,$C314))*(INDEX(_xlfn.ANCHORARRAY(Sintesi!$C$15),1,$C314)&gt;0),2,IF($E314=(INDEX(_xlfn.ANCHORARRAY(Sintesi!$C$16),1,$C314)),3,4)))),0)))</f>
        <v>0</v>
      </c>
      <c r="E314" s="1">
        <f>'Paste cell here'!F314</f>
        <v>0</v>
      </c>
      <c r="F314" s="1">
        <f>'Paste cell here'!C314</f>
        <v>13.199999999999807</v>
      </c>
      <c r="G314" s="1">
        <f>'Paste cell here'!D314</f>
        <v>4.0799999999999557</v>
      </c>
      <c r="H314" s="1">
        <f>'Paste cell here'!E314</f>
        <v>0.6070358941905436</v>
      </c>
      <c r="I314" s="1">
        <f>'Paste cell here'!X314</f>
        <v>0</v>
      </c>
      <c r="J314" s="1">
        <f>'Paste cell here'!Y314+'Paste cell here'!S314</f>
        <v>0</v>
      </c>
      <c r="K314" s="1">
        <f t="shared" si="8"/>
        <v>0</v>
      </c>
      <c r="L314" s="1">
        <f t="shared" si="9"/>
        <v>9.8932700954643558</v>
      </c>
      <c r="M314" s="1">
        <f t="array" ref="M314">IF(AND(A314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314&gt;=_xlfn.ANCHORARRAY(Sintesi!$C$9))+(_xlfn.ANCHORARRAY(Sintesi!$C$9)&gt;_xlfn.ANCHORARRAY(Sintesi!$C$10))*(A314&lt;=_xlfn.ANCHORARRAY(Sintesi!$C$10))+(_xlfn.ANCHORARRAY(Sintesi!$C$9)&lt;_xlfn.ANCHORARRAY(Sintesi!$C$10))*(A314&gt;=_xlfn.ANCHORARRAY(Sintesi!$C$9))*(A314&lt;=_xlfn.ANCHORARRAY(Sintesi!$C$10)),0)),0),A314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315&gt;=_xlfn.ANCHORARRAY(Sintesi!$C$9))+(_xlfn.ANCHORARRAY(Sintesi!$C$9)&gt;_xlfn.ANCHORARRAY(Sintesi!$C$10))*(A315&lt;=_xlfn.ANCHORARRAY(Sintesi!$C$10))+(_xlfn.ANCHORARRAY(Sintesi!$C$9)&lt;_xlfn.ANCHORARRAY(Sintesi!$C$10))*(A315&gt;=_xlfn.ANCHORARRAY(Sintesi!$C$9))*(A315&lt;=_xlfn.ANCHORARRAY(Sintesi!$C$10)),0)),0)),IF(L314&lt;_xlfn.IFNA(INDEX(_xlfn.ANCHORARRAY(Sintesi!$C$17),1,MATCH(1,(_xlfn.ANCHORARRAY(Sintesi!$C$9)&gt;_xlfn.ANCHORARRAY(Sintesi!$C$10))*(A313&gt;=_xlfn.ANCHORARRAY(Sintesi!$C$9))+(_xlfn.ANCHORARRAY(Sintesi!$C$9)&gt;_xlfn.ANCHORARRAY(Sintesi!$C$10))*(A313&lt;=_xlfn.ANCHORARRAY(Sintesi!$C$10))+(_xlfn.ANCHORARRAY(Sintesi!$C$9)&lt;_xlfn.ANCHORARRAY(Sintesi!$C$10))*(A313&gt;=_xlfn.ANCHORARRAY(Sintesi!$C$9))*(A313&lt;=_xlfn.ANCHORARRAY(Sintesi!$C$10)),0)),0),1,IF(L314&gt;=_xlfn.IFNA(INDEX(_xlfn.ANCHORARRAY(Sintesi!$C$18),1,MATCH(1,(_xlfn.ANCHORARRAY(Sintesi!$C$9)&gt;_xlfn.ANCHORARRAY(Sintesi!$C$10))*(A313&gt;=_xlfn.ANCHORARRAY(Sintesi!$C$9))+(_xlfn.ANCHORARRAY(Sintesi!$C$9)&gt;_xlfn.ANCHORARRAY(Sintesi!$C$10))*(A313&lt;=_xlfn.ANCHORARRAY(Sintesi!$C$10))+(_xlfn.ANCHORARRAY(Sintesi!$C$9)&lt;_xlfn.ANCHORARRAY(Sintesi!$C$10))*(A313&gt;=_xlfn.ANCHORARRAY(Sintesi!$C$9))*(A313&lt;=_xlfn.ANCHORARRAY(Sintesi!$C$10)),0)),0),0,1-(L314-_xlfn.IFNA(INDEX(_xlfn.ANCHORARRAY(Sintesi!$C$17),1,MATCH(1,(_xlfn.ANCHORARRAY(Sintesi!$C$9)&gt;_xlfn.ANCHORARRAY(Sintesi!$C$10))*(A313&gt;=_xlfn.ANCHORARRAY(Sintesi!$C$9))+(_xlfn.ANCHORARRAY(Sintesi!$C$9)&gt;_xlfn.ANCHORARRAY(Sintesi!$C$10))*(A313&lt;=_xlfn.ANCHORARRAY(Sintesi!$C$10))+(_xlfn.ANCHORARRAY(Sintesi!$C$9)&lt;_xlfn.ANCHORARRAY(Sintesi!$C$10))*(A313&gt;=_xlfn.ANCHORARRAY(Sintesi!$C$9))*(A313&lt;=_xlfn.ANCHORARRAY(Sintesi!$C$10)),0)),0))/(_xlfn.IFNA(INDEX(_xlfn.ANCHORARRAY(Sintesi!$C$18),1,MATCH(1,(_xlfn.ANCHORARRAY(Sintesi!$C$9)&gt;_xlfn.ANCHORARRAY(Sintesi!$C$10))*(A313&gt;=_xlfn.ANCHORARRAY(Sintesi!$C$9))+(_xlfn.ANCHORARRAY(Sintesi!$C$9)&gt;_xlfn.ANCHORARRAY(Sintesi!$C$10))*(A313&lt;=_xlfn.ANCHORARRAY(Sintesi!$C$10))+(_xlfn.ANCHORARRAY(Sintesi!$C$9)&lt;_xlfn.ANCHORARRAY(Sintesi!$C$10))*(A313&gt;=_xlfn.ANCHORARRAY(Sintesi!$C$9))*(A313&lt;=_xlfn.ANCHORARRAY(Sintesi!$C$10)),0)),0)-_xlfn.IFNA(INDEX(_xlfn.ANCHORARRAY(Sintesi!$C$17),1,MATCH(1,(_xlfn.ANCHORARRAY(Sintesi!$C$9)&gt;_xlfn.ANCHORARRAY(Sintesi!$C$10))*(A313&gt;=_xlfn.ANCHORARRAY(Sintesi!$C$9))+(_xlfn.ANCHORARRAY(Sintesi!$C$9)&gt;_xlfn.ANCHORARRAY(Sintesi!$C$10))*(A313&lt;=_xlfn.ANCHORARRAY(Sintesi!$C$10))+(_xlfn.ANCHORARRAY(Sintesi!$C$9)&lt;_xlfn.ANCHORARRAY(Sintesi!$C$10))*(A313&gt;=_xlfn.ANCHORARRAY(Sintesi!$C$9))*(A313&lt;=_xlfn.ANCHORARRAY(Sintesi!$C$10)),0)),0)))),0)</f>
        <v>0</v>
      </c>
    </row>
    <row r="315" spans="1:13">
      <c r="A315" s="1">
        <f>'Paste cell here'!A315</f>
        <v>314</v>
      </c>
      <c r="B315" s="2">
        <f>DATE(Sintesi!$C$4-1,12,31)+A315</f>
        <v>44510</v>
      </c>
      <c r="C315" s="34">
        <f t="array" ref="C315">_xlfn.IFNA(MATCH(1,((_xlfn.ANCHORARRAY(Sintesi!$C$9)&gt;_xlfn.ANCHORARRAY(Sintesi!$C$10))*(A315&gt;=_xlfn.ANCHORARRAY(Sintesi!$C$9))+(_xlfn.ANCHORARRAY(Sintesi!$C$9)&gt;_xlfn.ANCHORARRAY(Sintesi!$C$10))*(A315&lt;=_xlfn.ANCHORARRAY(Sintesi!$C$10))+(_xlfn.ANCHORARRAY(Sintesi!$C$9)&lt;_xlfn.ANCHORARRAY(Sintesi!$C$10))*(A315&gt;=_xlfn.ANCHORARRAY(Sintesi!$C$9))*(A315&lt;=_xlfn.ANCHORARRAY(Sintesi!$C$10)))*(_xlfn.ANCHORARRAY(Sintesi!$C$15)&gt;=0)+(_xlfn.ANCHORARRAY(Sintesi!$C$15)&lt;0),0),0)</f>
        <v>0</v>
      </c>
      <c r="D315" s="1">
        <f t="array" ref="D315">IF(ISBLANK($E316),IF(ISNUMBER($E314),IF($C315&gt;0,IF(($E315=INDEX(_xlfn.ANCHORARRAY(Sintesi!$C$14),1,$C315))*(INDEX(_xlfn.ANCHORARRAY(Sintesi!$C$15),1,$C315)&gt;0),0,IF(($E315=INDEX(_xlfn.ANCHORARRAY(Sintesi!$C$14),1,$C315))*(INDEX(_xlfn.ANCHORARRAY(Sintesi!$C$15),1,$C315)&lt;0)+($E315&gt;=$E314)*($E315&lt;=INDEX($E:$E,MATCH(TRUE,INDEX((ISNUMBER($E:$E)),0),0)))*($E315&gt;INDEX(_xlfn.ANCHORARRAY(Sintesi!$C$14),1,$C315))*($E315&lt;=INDEX(_xlfn.ANCHORARRAY(Sintesi!$C$15),1,$C315))*(INDEX(_xlfn.ANCHORARRAY(Sintesi!$C$15),1,$C315)&gt;0),1,IF(($E315&gt;=$E314)*($E315&lt;=INDEX($E:$E,MATCH(TRUE,INDEX((ISNUMBER($E:$E)),0),0)))*($E315&gt;INDEX(_xlfn.ANCHORARRAY(Sintesi!$C$14),1,$C315))*($E315&lt;INDEX(_xlfn.ANCHORARRAY(Sintesi!$C$16),1,$C315))*(INDEX(_xlfn.ANCHORARRAY(Sintesi!$C$15),1,$C315)&lt;0)+($E315&gt;=$E314)*($E315&lt;=INDEX($E:$E,MATCH(TRUE,INDEX((ISNUMBER($E:$E)),0),0)))*($E315&gt;INDEX(_xlfn.ANCHORARRAY(Sintesi!$C$15),1,$C315))*($E315&lt;INDEX(_xlfn.ANCHORARRAY(Sintesi!$C$16),1,$C315))*(INDEX(_xlfn.ANCHORARRAY(Sintesi!$C$15),1,$C315)&gt;0),2,IF($E315=(INDEX(_xlfn.ANCHORARRAY(Sintesi!$C$16),1,$C315)),3,4)))),0),IF($C315&gt;0,IF(($E315=INDEX(_xlfn.ANCHORARRAY(Sintesi!$C$14),1,$C315))*(INDEX(_xlfn.ANCHORARRAY(Sintesi!$C$15),1,$C315)&gt;0),0,IF(($E315=INDEX(_xlfn.ANCHORARRAY(Sintesi!$C$14),1,$C315))*(INDEX(_xlfn.ANCHORARRAY(Sintesi!$C$15),1,$C315)&lt;0)+($E315&gt;=LOOKUP(2,1/($E:$E&lt;&gt;""),$E:$E))*($E315&lt;=INDEX($E:$E,MATCH(TRUE,INDEX((ISNUMBER($E:$E)),0),0)))*($E315&gt;INDEX(_xlfn.ANCHORARRAY(Sintesi!$C$14),1,$C315))*($E315&lt;=INDEX(_xlfn.ANCHORARRAY(Sintesi!$C$15),1,$C315))*(INDEX(_xlfn.ANCHORARRAY(Sintesi!$C$15),1,$C315)&gt;0),1,IF(($E315&gt;=LOOKUP(2,1/($E:$E&lt;&gt;""),$E:$E))*($E315&lt;=INDEX($E:$E,MATCH(TRUE,INDEX((ISNUMBER($E:$E)),0),0)))*($E315&gt;INDEX(_xlfn.ANCHORARRAY(Sintesi!$C$14),1,$C315))*($E315&lt;INDEX(_xlfn.ANCHORARRAY(Sintesi!$C$16),1,$C315))*(INDEX(_xlfn.ANCHORARRAY(Sintesi!$C$15),1,$C315)&lt;0)+($E315&gt;=LOOKUP(2,1/($E:$E&lt;&gt;""),$E:$E))*($E315&lt;=INDEX($E:$E,MATCH(TRUE,INDEX((ISNUMBER($E:$E)),0),0)))*($E315&gt;INDEX(_xlfn.ANCHORARRAY(Sintesi!$C$15),1,$C315))*($E315&lt;INDEX(_xlfn.ANCHORARRAY(Sintesi!$C$16),1,$C315))*(INDEX(_xlfn.ANCHORARRAY(Sintesi!$C$15),1,$C315)&gt;0),2,IF($E315=(INDEX(_xlfn.ANCHORARRAY(Sintesi!$C$16),1,$C315)),3,4)))),0)),IF(ISNUMBER($E314),IF($C315&gt;0,IF(($E315=INDEX(_xlfn.ANCHORARRAY(Sintesi!$C$14),1,$C315))*(INDEX(_xlfn.ANCHORARRAY(Sintesi!$C$15),1,$C315)&gt;0),0,IF(($E315=INDEX(_xlfn.ANCHORARRAY(Sintesi!$C$14),1,$C315))*(INDEX(_xlfn.ANCHORARRAY(Sintesi!$C$15),1,$C315)&lt;0)+($E315&gt;=$E314)*($E315&lt;=$E316)*($E315&gt;INDEX(_xlfn.ANCHORARRAY(Sintesi!$C$14),1,$C315))*($E315&lt;=INDEX(_xlfn.ANCHORARRAY(Sintesi!$C$15),1,$C315))*(INDEX(_xlfn.ANCHORARRAY(Sintesi!$C$15),1,$C315)&gt;0),1,IF(($E315&gt;=$E314)*($E315&lt;=$E316)*($E315&gt;INDEX(_xlfn.ANCHORARRAY(Sintesi!$C$14),1,$C315))*($E315&lt;INDEX(_xlfn.ANCHORARRAY(Sintesi!$C$16),1,$C315))*(INDEX(_xlfn.ANCHORARRAY(Sintesi!$C$15),1,$C315)&lt;0)+($E315&gt;=$E314)*($E315&lt;=$E316)*($E315&gt;INDEX(_xlfn.ANCHORARRAY(Sintesi!$C$15),1,$C315))*($E315&lt;INDEX(_xlfn.ANCHORARRAY(Sintesi!$C$16),1,$C315))*(INDEX(_xlfn.ANCHORARRAY(Sintesi!$C$15),1,$C315)&gt;0),2,IF($E315=(INDEX(_xlfn.ANCHORARRAY(Sintesi!$C$16),1,$C315)),3,4)))),0),IF($C315&gt;0,IF(($E315=INDEX(_xlfn.ANCHORARRAY(Sintesi!$C$14),1,$C315))*(INDEX(_xlfn.ANCHORARRAY(Sintesi!$C$15),1,$C315)&gt;0),0,IF(($E315=INDEX(_xlfn.ANCHORARRAY(Sintesi!$C$14),1,$C315))*(INDEX(_xlfn.ANCHORARRAY(Sintesi!$C$15),1,$C315)&lt;0)+($E315&gt;=LOOKUP(2,1/($E:$E&lt;&gt;""),$E:$E))*($E315&lt;=$E316)*($E315&gt;INDEX(_xlfn.ANCHORARRAY(Sintesi!$C$14),1,$C315))*($E315&lt;=INDEX(_xlfn.ANCHORARRAY(Sintesi!$C$15),1,$C315))*(INDEX(_xlfn.ANCHORARRAY(Sintesi!$C$15),1,$C315)&gt;0),1,IF(($E315&gt;=LOOKUP(2,1/($E:$E&lt;&gt;""),$E:$E))*($E315&lt;=$E316)*($E315&gt;INDEX(_xlfn.ANCHORARRAY(Sintesi!$C$14),1,$C315))*($E315&lt;INDEX(_xlfn.ANCHORARRAY(Sintesi!$C$16),1,$C315))*(INDEX(_xlfn.ANCHORARRAY(Sintesi!$C$15),1,$C315)&lt;0)+($E315&gt;=LOOKUP(2,1/($E:$E&lt;&gt;""),$E:$E))*($E315&lt;=$E316)*($E315&gt;INDEX(_xlfn.ANCHORARRAY(Sintesi!$C$15),1,$C315))*($E315&lt;INDEX(_xlfn.ANCHORARRAY(Sintesi!$C$16),1,$C315))*(INDEX(_xlfn.ANCHORARRAY(Sintesi!$C$15),1,$C315)&gt;0),2,IF($E315=(INDEX(_xlfn.ANCHORARRAY(Sintesi!$C$16),1,$C315)),3,4)))),0)))</f>
        <v>0</v>
      </c>
      <c r="E315" s="1">
        <f>'Paste cell here'!F315</f>
        <v>0</v>
      </c>
      <c r="F315" s="1">
        <f>'Paste cell here'!C315</f>
        <v>14.519999999999788</v>
      </c>
      <c r="G315" s="1">
        <f>'Paste cell here'!D315</f>
        <v>9.6599999999998651</v>
      </c>
      <c r="H315" s="1">
        <f>'Paste cell here'!E315</f>
        <v>0.6920637356660474</v>
      </c>
      <c r="I315" s="1">
        <f>'Paste cell here'!X315</f>
        <v>0</v>
      </c>
      <c r="J315" s="1">
        <f>'Paste cell here'!Y315+'Paste cell here'!S315</f>
        <v>0</v>
      </c>
      <c r="K315" s="1">
        <f t="shared" si="8"/>
        <v>0</v>
      </c>
      <c r="L315" s="1">
        <f t="shared" si="9"/>
        <v>12.757861037714447</v>
      </c>
      <c r="M315" s="1">
        <f t="array" ref="M315">IF(AND(A315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315&gt;=_xlfn.ANCHORARRAY(Sintesi!$C$9))+(_xlfn.ANCHORARRAY(Sintesi!$C$9)&gt;_xlfn.ANCHORARRAY(Sintesi!$C$10))*(A315&lt;=_xlfn.ANCHORARRAY(Sintesi!$C$10))+(_xlfn.ANCHORARRAY(Sintesi!$C$9)&lt;_xlfn.ANCHORARRAY(Sintesi!$C$10))*(A315&gt;=_xlfn.ANCHORARRAY(Sintesi!$C$9))*(A315&lt;=_xlfn.ANCHORARRAY(Sintesi!$C$10)),0)),0),A315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316&gt;=_xlfn.ANCHORARRAY(Sintesi!$C$9))+(_xlfn.ANCHORARRAY(Sintesi!$C$9)&gt;_xlfn.ANCHORARRAY(Sintesi!$C$10))*(A316&lt;=_xlfn.ANCHORARRAY(Sintesi!$C$10))+(_xlfn.ANCHORARRAY(Sintesi!$C$9)&lt;_xlfn.ANCHORARRAY(Sintesi!$C$10))*(A316&gt;=_xlfn.ANCHORARRAY(Sintesi!$C$9))*(A316&lt;=_xlfn.ANCHORARRAY(Sintesi!$C$10)),0)),0)),IF(L315&lt;_xlfn.IFNA(INDEX(_xlfn.ANCHORARRAY(Sintesi!$C$17),1,MATCH(1,(_xlfn.ANCHORARRAY(Sintesi!$C$9)&gt;_xlfn.ANCHORARRAY(Sintesi!$C$10))*(A314&gt;=_xlfn.ANCHORARRAY(Sintesi!$C$9))+(_xlfn.ANCHORARRAY(Sintesi!$C$9)&gt;_xlfn.ANCHORARRAY(Sintesi!$C$10))*(A314&lt;=_xlfn.ANCHORARRAY(Sintesi!$C$10))+(_xlfn.ANCHORARRAY(Sintesi!$C$9)&lt;_xlfn.ANCHORARRAY(Sintesi!$C$10))*(A314&gt;=_xlfn.ANCHORARRAY(Sintesi!$C$9))*(A314&lt;=_xlfn.ANCHORARRAY(Sintesi!$C$10)),0)),0),1,IF(L315&gt;=_xlfn.IFNA(INDEX(_xlfn.ANCHORARRAY(Sintesi!$C$18),1,MATCH(1,(_xlfn.ANCHORARRAY(Sintesi!$C$9)&gt;_xlfn.ANCHORARRAY(Sintesi!$C$10))*(A314&gt;=_xlfn.ANCHORARRAY(Sintesi!$C$9))+(_xlfn.ANCHORARRAY(Sintesi!$C$9)&gt;_xlfn.ANCHORARRAY(Sintesi!$C$10))*(A314&lt;=_xlfn.ANCHORARRAY(Sintesi!$C$10))+(_xlfn.ANCHORARRAY(Sintesi!$C$9)&lt;_xlfn.ANCHORARRAY(Sintesi!$C$10))*(A314&gt;=_xlfn.ANCHORARRAY(Sintesi!$C$9))*(A314&lt;=_xlfn.ANCHORARRAY(Sintesi!$C$10)),0)),0),0,1-(L315-_xlfn.IFNA(INDEX(_xlfn.ANCHORARRAY(Sintesi!$C$17),1,MATCH(1,(_xlfn.ANCHORARRAY(Sintesi!$C$9)&gt;_xlfn.ANCHORARRAY(Sintesi!$C$10))*(A314&gt;=_xlfn.ANCHORARRAY(Sintesi!$C$9))+(_xlfn.ANCHORARRAY(Sintesi!$C$9)&gt;_xlfn.ANCHORARRAY(Sintesi!$C$10))*(A314&lt;=_xlfn.ANCHORARRAY(Sintesi!$C$10))+(_xlfn.ANCHORARRAY(Sintesi!$C$9)&lt;_xlfn.ANCHORARRAY(Sintesi!$C$10))*(A314&gt;=_xlfn.ANCHORARRAY(Sintesi!$C$9))*(A314&lt;=_xlfn.ANCHORARRAY(Sintesi!$C$10)),0)),0))/(_xlfn.IFNA(INDEX(_xlfn.ANCHORARRAY(Sintesi!$C$18),1,MATCH(1,(_xlfn.ANCHORARRAY(Sintesi!$C$9)&gt;_xlfn.ANCHORARRAY(Sintesi!$C$10))*(A314&gt;=_xlfn.ANCHORARRAY(Sintesi!$C$9))+(_xlfn.ANCHORARRAY(Sintesi!$C$9)&gt;_xlfn.ANCHORARRAY(Sintesi!$C$10))*(A314&lt;=_xlfn.ANCHORARRAY(Sintesi!$C$10))+(_xlfn.ANCHORARRAY(Sintesi!$C$9)&lt;_xlfn.ANCHORARRAY(Sintesi!$C$10))*(A314&gt;=_xlfn.ANCHORARRAY(Sintesi!$C$9))*(A314&lt;=_xlfn.ANCHORARRAY(Sintesi!$C$10)),0)),0)-_xlfn.IFNA(INDEX(_xlfn.ANCHORARRAY(Sintesi!$C$17),1,MATCH(1,(_xlfn.ANCHORARRAY(Sintesi!$C$9)&gt;_xlfn.ANCHORARRAY(Sintesi!$C$10))*(A314&gt;=_xlfn.ANCHORARRAY(Sintesi!$C$9))+(_xlfn.ANCHORARRAY(Sintesi!$C$9)&gt;_xlfn.ANCHORARRAY(Sintesi!$C$10))*(A314&lt;=_xlfn.ANCHORARRAY(Sintesi!$C$10))+(_xlfn.ANCHORARRAY(Sintesi!$C$9)&lt;_xlfn.ANCHORARRAY(Sintesi!$C$10))*(A314&gt;=_xlfn.ANCHORARRAY(Sintesi!$C$9))*(A314&lt;=_xlfn.ANCHORARRAY(Sintesi!$C$10)),0)),0)))),0)</f>
        <v>0</v>
      </c>
    </row>
    <row r="316" spans="1:13">
      <c r="A316" s="1">
        <f>'Paste cell here'!A316</f>
        <v>315</v>
      </c>
      <c r="B316" s="2">
        <f>DATE(Sintesi!$C$4-1,12,31)+A316</f>
        <v>44511</v>
      </c>
      <c r="C316" s="34">
        <f t="array" ref="C316">_xlfn.IFNA(MATCH(1,((_xlfn.ANCHORARRAY(Sintesi!$C$9)&gt;_xlfn.ANCHORARRAY(Sintesi!$C$10))*(A316&gt;=_xlfn.ANCHORARRAY(Sintesi!$C$9))+(_xlfn.ANCHORARRAY(Sintesi!$C$9)&gt;_xlfn.ANCHORARRAY(Sintesi!$C$10))*(A316&lt;=_xlfn.ANCHORARRAY(Sintesi!$C$10))+(_xlfn.ANCHORARRAY(Sintesi!$C$9)&lt;_xlfn.ANCHORARRAY(Sintesi!$C$10))*(A316&gt;=_xlfn.ANCHORARRAY(Sintesi!$C$9))*(A316&lt;=_xlfn.ANCHORARRAY(Sintesi!$C$10)))*(_xlfn.ANCHORARRAY(Sintesi!$C$15)&gt;=0)+(_xlfn.ANCHORARRAY(Sintesi!$C$15)&lt;0),0),0)</f>
        <v>0</v>
      </c>
      <c r="D316" s="1">
        <f t="array" ref="D316">IF(ISBLANK($E317),IF(ISNUMBER($E315),IF($C316&gt;0,IF(($E316=INDEX(_xlfn.ANCHORARRAY(Sintesi!$C$14),1,$C316))*(INDEX(_xlfn.ANCHORARRAY(Sintesi!$C$15),1,$C316)&gt;0),0,IF(($E316=INDEX(_xlfn.ANCHORARRAY(Sintesi!$C$14),1,$C316))*(INDEX(_xlfn.ANCHORARRAY(Sintesi!$C$15),1,$C316)&lt;0)+($E316&gt;=$E315)*($E316&lt;=INDEX($E:$E,MATCH(TRUE,INDEX((ISNUMBER($E:$E)),0),0)))*($E316&gt;INDEX(_xlfn.ANCHORARRAY(Sintesi!$C$14),1,$C316))*($E316&lt;=INDEX(_xlfn.ANCHORARRAY(Sintesi!$C$15),1,$C316))*(INDEX(_xlfn.ANCHORARRAY(Sintesi!$C$15),1,$C316)&gt;0),1,IF(($E316&gt;=$E315)*($E316&lt;=INDEX($E:$E,MATCH(TRUE,INDEX((ISNUMBER($E:$E)),0),0)))*($E316&gt;INDEX(_xlfn.ANCHORARRAY(Sintesi!$C$14),1,$C316))*($E316&lt;INDEX(_xlfn.ANCHORARRAY(Sintesi!$C$16),1,$C316))*(INDEX(_xlfn.ANCHORARRAY(Sintesi!$C$15),1,$C316)&lt;0)+($E316&gt;=$E315)*($E316&lt;=INDEX($E:$E,MATCH(TRUE,INDEX((ISNUMBER($E:$E)),0),0)))*($E316&gt;INDEX(_xlfn.ANCHORARRAY(Sintesi!$C$15),1,$C316))*($E316&lt;INDEX(_xlfn.ANCHORARRAY(Sintesi!$C$16),1,$C316))*(INDEX(_xlfn.ANCHORARRAY(Sintesi!$C$15),1,$C316)&gt;0),2,IF($E316=(INDEX(_xlfn.ANCHORARRAY(Sintesi!$C$16),1,$C316)),3,4)))),0),IF($C316&gt;0,IF(($E316=INDEX(_xlfn.ANCHORARRAY(Sintesi!$C$14),1,$C316))*(INDEX(_xlfn.ANCHORARRAY(Sintesi!$C$15),1,$C316)&gt;0),0,IF(($E316=INDEX(_xlfn.ANCHORARRAY(Sintesi!$C$14),1,$C316))*(INDEX(_xlfn.ANCHORARRAY(Sintesi!$C$15),1,$C316)&lt;0)+($E316&gt;=LOOKUP(2,1/($E:$E&lt;&gt;""),$E:$E))*($E316&lt;=INDEX($E:$E,MATCH(TRUE,INDEX((ISNUMBER($E:$E)),0),0)))*($E316&gt;INDEX(_xlfn.ANCHORARRAY(Sintesi!$C$14),1,$C316))*($E316&lt;=INDEX(_xlfn.ANCHORARRAY(Sintesi!$C$15),1,$C316))*(INDEX(_xlfn.ANCHORARRAY(Sintesi!$C$15),1,$C316)&gt;0),1,IF(($E316&gt;=LOOKUP(2,1/($E:$E&lt;&gt;""),$E:$E))*($E316&lt;=INDEX($E:$E,MATCH(TRUE,INDEX((ISNUMBER($E:$E)),0),0)))*($E316&gt;INDEX(_xlfn.ANCHORARRAY(Sintesi!$C$14),1,$C316))*($E316&lt;INDEX(_xlfn.ANCHORARRAY(Sintesi!$C$16),1,$C316))*(INDEX(_xlfn.ANCHORARRAY(Sintesi!$C$15),1,$C316)&lt;0)+($E316&gt;=LOOKUP(2,1/($E:$E&lt;&gt;""),$E:$E))*($E316&lt;=INDEX($E:$E,MATCH(TRUE,INDEX((ISNUMBER($E:$E)),0),0)))*($E316&gt;INDEX(_xlfn.ANCHORARRAY(Sintesi!$C$15),1,$C316))*($E316&lt;INDEX(_xlfn.ANCHORARRAY(Sintesi!$C$16),1,$C316))*(INDEX(_xlfn.ANCHORARRAY(Sintesi!$C$15),1,$C316)&gt;0),2,IF($E316=(INDEX(_xlfn.ANCHORARRAY(Sintesi!$C$16),1,$C316)),3,4)))),0)),IF(ISNUMBER($E315),IF($C316&gt;0,IF(($E316=INDEX(_xlfn.ANCHORARRAY(Sintesi!$C$14),1,$C316))*(INDEX(_xlfn.ANCHORARRAY(Sintesi!$C$15),1,$C316)&gt;0),0,IF(($E316=INDEX(_xlfn.ANCHORARRAY(Sintesi!$C$14),1,$C316))*(INDEX(_xlfn.ANCHORARRAY(Sintesi!$C$15),1,$C316)&lt;0)+($E316&gt;=$E315)*($E316&lt;=$E317)*($E316&gt;INDEX(_xlfn.ANCHORARRAY(Sintesi!$C$14),1,$C316))*($E316&lt;=INDEX(_xlfn.ANCHORARRAY(Sintesi!$C$15),1,$C316))*(INDEX(_xlfn.ANCHORARRAY(Sintesi!$C$15),1,$C316)&gt;0),1,IF(($E316&gt;=$E315)*($E316&lt;=$E317)*($E316&gt;INDEX(_xlfn.ANCHORARRAY(Sintesi!$C$14),1,$C316))*($E316&lt;INDEX(_xlfn.ANCHORARRAY(Sintesi!$C$16),1,$C316))*(INDEX(_xlfn.ANCHORARRAY(Sintesi!$C$15),1,$C316)&lt;0)+($E316&gt;=$E315)*($E316&lt;=$E317)*($E316&gt;INDEX(_xlfn.ANCHORARRAY(Sintesi!$C$15),1,$C316))*($E316&lt;INDEX(_xlfn.ANCHORARRAY(Sintesi!$C$16),1,$C316))*(INDEX(_xlfn.ANCHORARRAY(Sintesi!$C$15),1,$C316)&gt;0),2,IF($E316=(INDEX(_xlfn.ANCHORARRAY(Sintesi!$C$16),1,$C316)),3,4)))),0),IF($C316&gt;0,IF(($E316=INDEX(_xlfn.ANCHORARRAY(Sintesi!$C$14),1,$C316))*(INDEX(_xlfn.ANCHORARRAY(Sintesi!$C$15),1,$C316)&gt;0),0,IF(($E316=INDEX(_xlfn.ANCHORARRAY(Sintesi!$C$14),1,$C316))*(INDEX(_xlfn.ANCHORARRAY(Sintesi!$C$15),1,$C316)&lt;0)+($E316&gt;=LOOKUP(2,1/($E:$E&lt;&gt;""),$E:$E))*($E316&lt;=$E317)*($E316&gt;INDEX(_xlfn.ANCHORARRAY(Sintesi!$C$14),1,$C316))*($E316&lt;=INDEX(_xlfn.ANCHORARRAY(Sintesi!$C$15),1,$C316))*(INDEX(_xlfn.ANCHORARRAY(Sintesi!$C$15),1,$C316)&gt;0),1,IF(($E316&gt;=LOOKUP(2,1/($E:$E&lt;&gt;""),$E:$E))*($E316&lt;=$E317)*($E316&gt;INDEX(_xlfn.ANCHORARRAY(Sintesi!$C$14),1,$C316))*($E316&lt;INDEX(_xlfn.ANCHORARRAY(Sintesi!$C$16),1,$C316))*(INDEX(_xlfn.ANCHORARRAY(Sintesi!$C$15),1,$C316)&lt;0)+($E316&gt;=LOOKUP(2,1/($E:$E&lt;&gt;""),$E:$E))*($E316&lt;=$E317)*($E316&gt;INDEX(_xlfn.ANCHORARRAY(Sintesi!$C$15),1,$C316))*($E316&lt;INDEX(_xlfn.ANCHORARRAY(Sintesi!$C$16),1,$C316))*(INDEX(_xlfn.ANCHORARRAY(Sintesi!$C$15),1,$C316)&gt;0),2,IF($E316=(INDEX(_xlfn.ANCHORARRAY(Sintesi!$C$16),1,$C316)),3,4)))),0)))</f>
        <v>0</v>
      </c>
      <c r="E316" s="1">
        <f>'Paste cell here'!F316</f>
        <v>0</v>
      </c>
      <c r="F316" s="1">
        <f>'Paste cell here'!C316</f>
        <v>15.979999999999778</v>
      </c>
      <c r="G316" s="1">
        <f>'Paste cell here'!D316</f>
        <v>8.5799999999998953</v>
      </c>
      <c r="H316" s="1">
        <f>'Paste cell here'!E316</f>
        <v>0.6629232213677575</v>
      </c>
      <c r="I316" s="1">
        <f>'Paste cell here'!X316</f>
        <v>0</v>
      </c>
      <c r="J316" s="1">
        <f>'Paste cell here'!Y316+'Paste cell here'!S316</f>
        <v>0</v>
      </c>
      <c r="K316" s="1">
        <f t="shared" si="8"/>
        <v>0</v>
      </c>
      <c r="L316" s="1">
        <f t="shared" si="9"/>
        <v>13.296907752898644</v>
      </c>
      <c r="M316" s="1">
        <f t="array" ref="M316">IF(AND(A316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316&gt;=_xlfn.ANCHORARRAY(Sintesi!$C$9))+(_xlfn.ANCHORARRAY(Sintesi!$C$9)&gt;_xlfn.ANCHORARRAY(Sintesi!$C$10))*(A316&lt;=_xlfn.ANCHORARRAY(Sintesi!$C$10))+(_xlfn.ANCHORARRAY(Sintesi!$C$9)&lt;_xlfn.ANCHORARRAY(Sintesi!$C$10))*(A316&gt;=_xlfn.ANCHORARRAY(Sintesi!$C$9))*(A316&lt;=_xlfn.ANCHORARRAY(Sintesi!$C$10)),0)),0),A316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317&gt;=_xlfn.ANCHORARRAY(Sintesi!$C$9))+(_xlfn.ANCHORARRAY(Sintesi!$C$9)&gt;_xlfn.ANCHORARRAY(Sintesi!$C$10))*(A317&lt;=_xlfn.ANCHORARRAY(Sintesi!$C$10))+(_xlfn.ANCHORARRAY(Sintesi!$C$9)&lt;_xlfn.ANCHORARRAY(Sintesi!$C$10))*(A317&gt;=_xlfn.ANCHORARRAY(Sintesi!$C$9))*(A317&lt;=_xlfn.ANCHORARRAY(Sintesi!$C$10)),0)),0)),IF(L316&lt;_xlfn.IFNA(INDEX(_xlfn.ANCHORARRAY(Sintesi!$C$17),1,MATCH(1,(_xlfn.ANCHORARRAY(Sintesi!$C$9)&gt;_xlfn.ANCHORARRAY(Sintesi!$C$10))*(A315&gt;=_xlfn.ANCHORARRAY(Sintesi!$C$9))+(_xlfn.ANCHORARRAY(Sintesi!$C$9)&gt;_xlfn.ANCHORARRAY(Sintesi!$C$10))*(A315&lt;=_xlfn.ANCHORARRAY(Sintesi!$C$10))+(_xlfn.ANCHORARRAY(Sintesi!$C$9)&lt;_xlfn.ANCHORARRAY(Sintesi!$C$10))*(A315&gt;=_xlfn.ANCHORARRAY(Sintesi!$C$9))*(A315&lt;=_xlfn.ANCHORARRAY(Sintesi!$C$10)),0)),0),1,IF(L316&gt;=_xlfn.IFNA(INDEX(_xlfn.ANCHORARRAY(Sintesi!$C$18),1,MATCH(1,(_xlfn.ANCHORARRAY(Sintesi!$C$9)&gt;_xlfn.ANCHORARRAY(Sintesi!$C$10))*(A315&gt;=_xlfn.ANCHORARRAY(Sintesi!$C$9))+(_xlfn.ANCHORARRAY(Sintesi!$C$9)&gt;_xlfn.ANCHORARRAY(Sintesi!$C$10))*(A315&lt;=_xlfn.ANCHORARRAY(Sintesi!$C$10))+(_xlfn.ANCHORARRAY(Sintesi!$C$9)&lt;_xlfn.ANCHORARRAY(Sintesi!$C$10))*(A315&gt;=_xlfn.ANCHORARRAY(Sintesi!$C$9))*(A315&lt;=_xlfn.ANCHORARRAY(Sintesi!$C$10)),0)),0),0,1-(L316-_xlfn.IFNA(INDEX(_xlfn.ANCHORARRAY(Sintesi!$C$17),1,MATCH(1,(_xlfn.ANCHORARRAY(Sintesi!$C$9)&gt;_xlfn.ANCHORARRAY(Sintesi!$C$10))*(A315&gt;=_xlfn.ANCHORARRAY(Sintesi!$C$9))+(_xlfn.ANCHORARRAY(Sintesi!$C$9)&gt;_xlfn.ANCHORARRAY(Sintesi!$C$10))*(A315&lt;=_xlfn.ANCHORARRAY(Sintesi!$C$10))+(_xlfn.ANCHORARRAY(Sintesi!$C$9)&lt;_xlfn.ANCHORARRAY(Sintesi!$C$10))*(A315&gt;=_xlfn.ANCHORARRAY(Sintesi!$C$9))*(A315&lt;=_xlfn.ANCHORARRAY(Sintesi!$C$10)),0)),0))/(_xlfn.IFNA(INDEX(_xlfn.ANCHORARRAY(Sintesi!$C$18),1,MATCH(1,(_xlfn.ANCHORARRAY(Sintesi!$C$9)&gt;_xlfn.ANCHORARRAY(Sintesi!$C$10))*(A315&gt;=_xlfn.ANCHORARRAY(Sintesi!$C$9))+(_xlfn.ANCHORARRAY(Sintesi!$C$9)&gt;_xlfn.ANCHORARRAY(Sintesi!$C$10))*(A315&lt;=_xlfn.ANCHORARRAY(Sintesi!$C$10))+(_xlfn.ANCHORARRAY(Sintesi!$C$9)&lt;_xlfn.ANCHORARRAY(Sintesi!$C$10))*(A315&gt;=_xlfn.ANCHORARRAY(Sintesi!$C$9))*(A315&lt;=_xlfn.ANCHORARRAY(Sintesi!$C$10)),0)),0)-_xlfn.IFNA(INDEX(_xlfn.ANCHORARRAY(Sintesi!$C$17),1,MATCH(1,(_xlfn.ANCHORARRAY(Sintesi!$C$9)&gt;_xlfn.ANCHORARRAY(Sintesi!$C$10))*(A315&gt;=_xlfn.ANCHORARRAY(Sintesi!$C$9))+(_xlfn.ANCHORARRAY(Sintesi!$C$9)&gt;_xlfn.ANCHORARRAY(Sintesi!$C$10))*(A315&lt;=_xlfn.ANCHORARRAY(Sintesi!$C$10))+(_xlfn.ANCHORARRAY(Sintesi!$C$9)&lt;_xlfn.ANCHORARRAY(Sintesi!$C$10))*(A315&gt;=_xlfn.ANCHORARRAY(Sintesi!$C$9))*(A315&lt;=_xlfn.ANCHORARRAY(Sintesi!$C$10)),0)),0)))),0)</f>
        <v>0</v>
      </c>
    </row>
    <row r="317" spans="1:13">
      <c r="A317" s="1">
        <f>'Paste cell here'!A317</f>
        <v>316</v>
      </c>
      <c r="B317" s="2">
        <f>DATE(Sintesi!$C$4-1,12,31)+A317</f>
        <v>44512</v>
      </c>
      <c r="C317" s="34">
        <f t="array" ref="C317">_xlfn.IFNA(MATCH(1,((_xlfn.ANCHORARRAY(Sintesi!$C$9)&gt;_xlfn.ANCHORARRAY(Sintesi!$C$10))*(A317&gt;=_xlfn.ANCHORARRAY(Sintesi!$C$9))+(_xlfn.ANCHORARRAY(Sintesi!$C$9)&gt;_xlfn.ANCHORARRAY(Sintesi!$C$10))*(A317&lt;=_xlfn.ANCHORARRAY(Sintesi!$C$10))+(_xlfn.ANCHORARRAY(Sintesi!$C$9)&lt;_xlfn.ANCHORARRAY(Sintesi!$C$10))*(A317&gt;=_xlfn.ANCHORARRAY(Sintesi!$C$9))*(A317&lt;=_xlfn.ANCHORARRAY(Sintesi!$C$10)))*(_xlfn.ANCHORARRAY(Sintesi!$C$15)&gt;=0)+(_xlfn.ANCHORARRAY(Sintesi!$C$15)&lt;0),0),0)</f>
        <v>0</v>
      </c>
      <c r="D317" s="1">
        <f t="array" ref="D317">IF(ISBLANK($E318),IF(ISNUMBER($E316),IF($C317&gt;0,IF(($E317=INDEX(_xlfn.ANCHORARRAY(Sintesi!$C$14),1,$C317))*(INDEX(_xlfn.ANCHORARRAY(Sintesi!$C$15),1,$C317)&gt;0),0,IF(($E317=INDEX(_xlfn.ANCHORARRAY(Sintesi!$C$14),1,$C317))*(INDEX(_xlfn.ANCHORARRAY(Sintesi!$C$15),1,$C317)&lt;0)+($E317&gt;=$E316)*($E317&lt;=INDEX($E:$E,MATCH(TRUE,INDEX((ISNUMBER($E:$E)),0),0)))*($E317&gt;INDEX(_xlfn.ANCHORARRAY(Sintesi!$C$14),1,$C317))*($E317&lt;=INDEX(_xlfn.ANCHORARRAY(Sintesi!$C$15),1,$C317))*(INDEX(_xlfn.ANCHORARRAY(Sintesi!$C$15),1,$C317)&gt;0),1,IF(($E317&gt;=$E316)*($E317&lt;=INDEX($E:$E,MATCH(TRUE,INDEX((ISNUMBER($E:$E)),0),0)))*($E317&gt;INDEX(_xlfn.ANCHORARRAY(Sintesi!$C$14),1,$C317))*($E317&lt;INDEX(_xlfn.ANCHORARRAY(Sintesi!$C$16),1,$C317))*(INDEX(_xlfn.ANCHORARRAY(Sintesi!$C$15),1,$C317)&lt;0)+($E317&gt;=$E316)*($E317&lt;=INDEX($E:$E,MATCH(TRUE,INDEX((ISNUMBER($E:$E)),0),0)))*($E317&gt;INDEX(_xlfn.ANCHORARRAY(Sintesi!$C$15),1,$C317))*($E317&lt;INDEX(_xlfn.ANCHORARRAY(Sintesi!$C$16),1,$C317))*(INDEX(_xlfn.ANCHORARRAY(Sintesi!$C$15),1,$C317)&gt;0),2,IF($E317=(INDEX(_xlfn.ANCHORARRAY(Sintesi!$C$16),1,$C317)),3,4)))),0),IF($C317&gt;0,IF(($E317=INDEX(_xlfn.ANCHORARRAY(Sintesi!$C$14),1,$C317))*(INDEX(_xlfn.ANCHORARRAY(Sintesi!$C$15),1,$C317)&gt;0),0,IF(($E317=INDEX(_xlfn.ANCHORARRAY(Sintesi!$C$14),1,$C317))*(INDEX(_xlfn.ANCHORARRAY(Sintesi!$C$15),1,$C317)&lt;0)+($E317&gt;=LOOKUP(2,1/($E:$E&lt;&gt;""),$E:$E))*($E317&lt;=INDEX($E:$E,MATCH(TRUE,INDEX((ISNUMBER($E:$E)),0),0)))*($E317&gt;INDEX(_xlfn.ANCHORARRAY(Sintesi!$C$14),1,$C317))*($E317&lt;=INDEX(_xlfn.ANCHORARRAY(Sintesi!$C$15),1,$C317))*(INDEX(_xlfn.ANCHORARRAY(Sintesi!$C$15),1,$C317)&gt;0),1,IF(($E317&gt;=LOOKUP(2,1/($E:$E&lt;&gt;""),$E:$E))*($E317&lt;=INDEX($E:$E,MATCH(TRUE,INDEX((ISNUMBER($E:$E)),0),0)))*($E317&gt;INDEX(_xlfn.ANCHORARRAY(Sintesi!$C$14),1,$C317))*($E317&lt;INDEX(_xlfn.ANCHORARRAY(Sintesi!$C$16),1,$C317))*(INDEX(_xlfn.ANCHORARRAY(Sintesi!$C$15),1,$C317)&lt;0)+($E317&gt;=LOOKUP(2,1/($E:$E&lt;&gt;""),$E:$E))*($E317&lt;=INDEX($E:$E,MATCH(TRUE,INDEX((ISNUMBER($E:$E)),0),0)))*($E317&gt;INDEX(_xlfn.ANCHORARRAY(Sintesi!$C$15),1,$C317))*($E317&lt;INDEX(_xlfn.ANCHORARRAY(Sintesi!$C$16),1,$C317))*(INDEX(_xlfn.ANCHORARRAY(Sintesi!$C$15),1,$C317)&gt;0),2,IF($E317=(INDEX(_xlfn.ANCHORARRAY(Sintesi!$C$16),1,$C317)),3,4)))),0)),IF(ISNUMBER($E316),IF($C317&gt;0,IF(($E317=INDEX(_xlfn.ANCHORARRAY(Sintesi!$C$14),1,$C317))*(INDEX(_xlfn.ANCHORARRAY(Sintesi!$C$15),1,$C317)&gt;0),0,IF(($E317=INDEX(_xlfn.ANCHORARRAY(Sintesi!$C$14),1,$C317))*(INDEX(_xlfn.ANCHORARRAY(Sintesi!$C$15),1,$C317)&lt;0)+($E317&gt;=$E316)*($E317&lt;=$E318)*($E317&gt;INDEX(_xlfn.ANCHORARRAY(Sintesi!$C$14),1,$C317))*($E317&lt;=INDEX(_xlfn.ANCHORARRAY(Sintesi!$C$15),1,$C317))*(INDEX(_xlfn.ANCHORARRAY(Sintesi!$C$15),1,$C317)&gt;0),1,IF(($E317&gt;=$E316)*($E317&lt;=$E318)*($E317&gt;INDEX(_xlfn.ANCHORARRAY(Sintesi!$C$14),1,$C317))*($E317&lt;INDEX(_xlfn.ANCHORARRAY(Sintesi!$C$16),1,$C317))*(INDEX(_xlfn.ANCHORARRAY(Sintesi!$C$15),1,$C317)&lt;0)+($E317&gt;=$E316)*($E317&lt;=$E318)*($E317&gt;INDEX(_xlfn.ANCHORARRAY(Sintesi!$C$15),1,$C317))*($E317&lt;INDEX(_xlfn.ANCHORARRAY(Sintesi!$C$16),1,$C317))*(INDEX(_xlfn.ANCHORARRAY(Sintesi!$C$15),1,$C317)&gt;0),2,IF($E317=(INDEX(_xlfn.ANCHORARRAY(Sintesi!$C$16),1,$C317)),3,4)))),0),IF($C317&gt;0,IF(($E317=INDEX(_xlfn.ANCHORARRAY(Sintesi!$C$14),1,$C317))*(INDEX(_xlfn.ANCHORARRAY(Sintesi!$C$15),1,$C317)&gt;0),0,IF(($E317=INDEX(_xlfn.ANCHORARRAY(Sintesi!$C$14),1,$C317))*(INDEX(_xlfn.ANCHORARRAY(Sintesi!$C$15),1,$C317)&lt;0)+($E317&gt;=LOOKUP(2,1/($E:$E&lt;&gt;""),$E:$E))*($E317&lt;=$E318)*($E317&gt;INDEX(_xlfn.ANCHORARRAY(Sintesi!$C$14),1,$C317))*($E317&lt;=INDEX(_xlfn.ANCHORARRAY(Sintesi!$C$15),1,$C317))*(INDEX(_xlfn.ANCHORARRAY(Sintesi!$C$15),1,$C317)&gt;0),1,IF(($E317&gt;=LOOKUP(2,1/($E:$E&lt;&gt;""),$E:$E))*($E317&lt;=$E318)*($E317&gt;INDEX(_xlfn.ANCHORARRAY(Sintesi!$C$14),1,$C317))*($E317&lt;INDEX(_xlfn.ANCHORARRAY(Sintesi!$C$16),1,$C317))*(INDEX(_xlfn.ANCHORARRAY(Sintesi!$C$15),1,$C317)&lt;0)+($E317&gt;=LOOKUP(2,1/($E:$E&lt;&gt;""),$E:$E))*($E317&lt;=$E318)*($E317&gt;INDEX(_xlfn.ANCHORARRAY(Sintesi!$C$15),1,$C317))*($E317&lt;INDEX(_xlfn.ANCHORARRAY(Sintesi!$C$16),1,$C317))*(INDEX(_xlfn.ANCHORARRAY(Sintesi!$C$15),1,$C317)&gt;0),2,IF($E317=(INDEX(_xlfn.ANCHORARRAY(Sintesi!$C$16),1,$C317)),3,4)))),0)))</f>
        <v>0</v>
      </c>
      <c r="E317" s="1">
        <f>'Paste cell here'!F317</f>
        <v>0</v>
      </c>
      <c r="F317" s="1">
        <f>'Paste cell here'!C317</f>
        <v>16.799999999999766</v>
      </c>
      <c r="G317" s="1">
        <f>'Paste cell here'!D317</f>
        <v>6.9199999999999129</v>
      </c>
      <c r="H317" s="1">
        <f>'Paste cell here'!E317</f>
        <v>0.59926110867481819</v>
      </c>
      <c r="I317" s="1">
        <f>'Paste cell here'!X317</f>
        <v>0</v>
      </c>
      <c r="J317" s="1">
        <f>'Paste cell here'!Y317+'Paste cell here'!S317</f>
        <v>0</v>
      </c>
      <c r="K317" s="1">
        <f t="shared" si="8"/>
        <v>0</v>
      </c>
      <c r="L317" s="1">
        <f t="shared" si="9"/>
        <v>13.217709270086356</v>
      </c>
      <c r="M317" s="1">
        <f t="array" ref="M317">IF(AND(A317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317&gt;=_xlfn.ANCHORARRAY(Sintesi!$C$9))+(_xlfn.ANCHORARRAY(Sintesi!$C$9)&gt;_xlfn.ANCHORARRAY(Sintesi!$C$10))*(A317&lt;=_xlfn.ANCHORARRAY(Sintesi!$C$10))+(_xlfn.ANCHORARRAY(Sintesi!$C$9)&lt;_xlfn.ANCHORARRAY(Sintesi!$C$10))*(A317&gt;=_xlfn.ANCHORARRAY(Sintesi!$C$9))*(A317&lt;=_xlfn.ANCHORARRAY(Sintesi!$C$10)),0)),0),A317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318&gt;=_xlfn.ANCHORARRAY(Sintesi!$C$9))+(_xlfn.ANCHORARRAY(Sintesi!$C$9)&gt;_xlfn.ANCHORARRAY(Sintesi!$C$10))*(A318&lt;=_xlfn.ANCHORARRAY(Sintesi!$C$10))+(_xlfn.ANCHORARRAY(Sintesi!$C$9)&lt;_xlfn.ANCHORARRAY(Sintesi!$C$10))*(A318&gt;=_xlfn.ANCHORARRAY(Sintesi!$C$9))*(A318&lt;=_xlfn.ANCHORARRAY(Sintesi!$C$10)),0)),0)),IF(L317&lt;_xlfn.IFNA(INDEX(_xlfn.ANCHORARRAY(Sintesi!$C$17),1,MATCH(1,(_xlfn.ANCHORARRAY(Sintesi!$C$9)&gt;_xlfn.ANCHORARRAY(Sintesi!$C$10))*(A316&gt;=_xlfn.ANCHORARRAY(Sintesi!$C$9))+(_xlfn.ANCHORARRAY(Sintesi!$C$9)&gt;_xlfn.ANCHORARRAY(Sintesi!$C$10))*(A316&lt;=_xlfn.ANCHORARRAY(Sintesi!$C$10))+(_xlfn.ANCHORARRAY(Sintesi!$C$9)&lt;_xlfn.ANCHORARRAY(Sintesi!$C$10))*(A316&gt;=_xlfn.ANCHORARRAY(Sintesi!$C$9))*(A316&lt;=_xlfn.ANCHORARRAY(Sintesi!$C$10)),0)),0),1,IF(L317&gt;=_xlfn.IFNA(INDEX(_xlfn.ANCHORARRAY(Sintesi!$C$18),1,MATCH(1,(_xlfn.ANCHORARRAY(Sintesi!$C$9)&gt;_xlfn.ANCHORARRAY(Sintesi!$C$10))*(A316&gt;=_xlfn.ANCHORARRAY(Sintesi!$C$9))+(_xlfn.ANCHORARRAY(Sintesi!$C$9)&gt;_xlfn.ANCHORARRAY(Sintesi!$C$10))*(A316&lt;=_xlfn.ANCHORARRAY(Sintesi!$C$10))+(_xlfn.ANCHORARRAY(Sintesi!$C$9)&lt;_xlfn.ANCHORARRAY(Sintesi!$C$10))*(A316&gt;=_xlfn.ANCHORARRAY(Sintesi!$C$9))*(A316&lt;=_xlfn.ANCHORARRAY(Sintesi!$C$10)),0)),0),0,1-(L317-_xlfn.IFNA(INDEX(_xlfn.ANCHORARRAY(Sintesi!$C$17),1,MATCH(1,(_xlfn.ANCHORARRAY(Sintesi!$C$9)&gt;_xlfn.ANCHORARRAY(Sintesi!$C$10))*(A316&gt;=_xlfn.ANCHORARRAY(Sintesi!$C$9))+(_xlfn.ANCHORARRAY(Sintesi!$C$9)&gt;_xlfn.ANCHORARRAY(Sintesi!$C$10))*(A316&lt;=_xlfn.ANCHORARRAY(Sintesi!$C$10))+(_xlfn.ANCHORARRAY(Sintesi!$C$9)&lt;_xlfn.ANCHORARRAY(Sintesi!$C$10))*(A316&gt;=_xlfn.ANCHORARRAY(Sintesi!$C$9))*(A316&lt;=_xlfn.ANCHORARRAY(Sintesi!$C$10)),0)),0))/(_xlfn.IFNA(INDEX(_xlfn.ANCHORARRAY(Sintesi!$C$18),1,MATCH(1,(_xlfn.ANCHORARRAY(Sintesi!$C$9)&gt;_xlfn.ANCHORARRAY(Sintesi!$C$10))*(A316&gt;=_xlfn.ANCHORARRAY(Sintesi!$C$9))+(_xlfn.ANCHORARRAY(Sintesi!$C$9)&gt;_xlfn.ANCHORARRAY(Sintesi!$C$10))*(A316&lt;=_xlfn.ANCHORARRAY(Sintesi!$C$10))+(_xlfn.ANCHORARRAY(Sintesi!$C$9)&lt;_xlfn.ANCHORARRAY(Sintesi!$C$10))*(A316&gt;=_xlfn.ANCHORARRAY(Sintesi!$C$9))*(A316&lt;=_xlfn.ANCHORARRAY(Sintesi!$C$10)),0)),0)-_xlfn.IFNA(INDEX(_xlfn.ANCHORARRAY(Sintesi!$C$17),1,MATCH(1,(_xlfn.ANCHORARRAY(Sintesi!$C$9)&gt;_xlfn.ANCHORARRAY(Sintesi!$C$10))*(A316&gt;=_xlfn.ANCHORARRAY(Sintesi!$C$9))+(_xlfn.ANCHORARRAY(Sintesi!$C$9)&gt;_xlfn.ANCHORARRAY(Sintesi!$C$10))*(A316&lt;=_xlfn.ANCHORARRAY(Sintesi!$C$10))+(_xlfn.ANCHORARRAY(Sintesi!$C$9)&lt;_xlfn.ANCHORARRAY(Sintesi!$C$10))*(A316&gt;=_xlfn.ANCHORARRAY(Sintesi!$C$9))*(A316&lt;=_xlfn.ANCHORARRAY(Sintesi!$C$10)),0)),0)))),0)</f>
        <v>0</v>
      </c>
    </row>
    <row r="318" spans="1:13">
      <c r="A318" s="1">
        <f>'Paste cell here'!A318</f>
        <v>317</v>
      </c>
      <c r="B318" s="2">
        <f>DATE(Sintesi!$C$4-1,12,31)+A318</f>
        <v>44513</v>
      </c>
      <c r="C318" s="34">
        <f t="array" ref="C318">_xlfn.IFNA(MATCH(1,((_xlfn.ANCHORARRAY(Sintesi!$C$9)&gt;_xlfn.ANCHORARRAY(Sintesi!$C$10))*(A318&gt;=_xlfn.ANCHORARRAY(Sintesi!$C$9))+(_xlfn.ANCHORARRAY(Sintesi!$C$9)&gt;_xlfn.ANCHORARRAY(Sintesi!$C$10))*(A318&lt;=_xlfn.ANCHORARRAY(Sintesi!$C$10))+(_xlfn.ANCHORARRAY(Sintesi!$C$9)&lt;_xlfn.ANCHORARRAY(Sintesi!$C$10))*(A318&gt;=_xlfn.ANCHORARRAY(Sintesi!$C$9))*(A318&lt;=_xlfn.ANCHORARRAY(Sintesi!$C$10)))*(_xlfn.ANCHORARRAY(Sintesi!$C$15)&gt;=0)+(_xlfn.ANCHORARRAY(Sintesi!$C$15)&lt;0),0),0)</f>
        <v>0</v>
      </c>
      <c r="D318" s="1">
        <f t="array" ref="D318">IF(ISBLANK($E319),IF(ISNUMBER($E317),IF($C318&gt;0,IF(($E318=INDEX(_xlfn.ANCHORARRAY(Sintesi!$C$14),1,$C318))*(INDEX(_xlfn.ANCHORARRAY(Sintesi!$C$15),1,$C318)&gt;0),0,IF(($E318=INDEX(_xlfn.ANCHORARRAY(Sintesi!$C$14),1,$C318))*(INDEX(_xlfn.ANCHORARRAY(Sintesi!$C$15),1,$C318)&lt;0)+($E318&gt;=$E317)*($E318&lt;=INDEX($E:$E,MATCH(TRUE,INDEX((ISNUMBER($E:$E)),0),0)))*($E318&gt;INDEX(_xlfn.ANCHORARRAY(Sintesi!$C$14),1,$C318))*($E318&lt;=INDEX(_xlfn.ANCHORARRAY(Sintesi!$C$15),1,$C318))*(INDEX(_xlfn.ANCHORARRAY(Sintesi!$C$15),1,$C318)&gt;0),1,IF(($E318&gt;=$E317)*($E318&lt;=INDEX($E:$E,MATCH(TRUE,INDEX((ISNUMBER($E:$E)),0),0)))*($E318&gt;INDEX(_xlfn.ANCHORARRAY(Sintesi!$C$14),1,$C318))*($E318&lt;INDEX(_xlfn.ANCHORARRAY(Sintesi!$C$16),1,$C318))*(INDEX(_xlfn.ANCHORARRAY(Sintesi!$C$15),1,$C318)&lt;0)+($E318&gt;=$E317)*($E318&lt;=INDEX($E:$E,MATCH(TRUE,INDEX((ISNUMBER($E:$E)),0),0)))*($E318&gt;INDEX(_xlfn.ANCHORARRAY(Sintesi!$C$15),1,$C318))*($E318&lt;INDEX(_xlfn.ANCHORARRAY(Sintesi!$C$16),1,$C318))*(INDEX(_xlfn.ANCHORARRAY(Sintesi!$C$15),1,$C318)&gt;0),2,IF($E318=(INDEX(_xlfn.ANCHORARRAY(Sintesi!$C$16),1,$C318)),3,4)))),0),IF($C318&gt;0,IF(($E318=INDEX(_xlfn.ANCHORARRAY(Sintesi!$C$14),1,$C318))*(INDEX(_xlfn.ANCHORARRAY(Sintesi!$C$15),1,$C318)&gt;0),0,IF(($E318=INDEX(_xlfn.ANCHORARRAY(Sintesi!$C$14),1,$C318))*(INDEX(_xlfn.ANCHORARRAY(Sintesi!$C$15),1,$C318)&lt;0)+($E318&gt;=LOOKUP(2,1/($E:$E&lt;&gt;""),$E:$E))*($E318&lt;=INDEX($E:$E,MATCH(TRUE,INDEX((ISNUMBER($E:$E)),0),0)))*($E318&gt;INDEX(_xlfn.ANCHORARRAY(Sintesi!$C$14),1,$C318))*($E318&lt;=INDEX(_xlfn.ANCHORARRAY(Sintesi!$C$15),1,$C318))*(INDEX(_xlfn.ANCHORARRAY(Sintesi!$C$15),1,$C318)&gt;0),1,IF(($E318&gt;=LOOKUP(2,1/($E:$E&lt;&gt;""),$E:$E))*($E318&lt;=INDEX($E:$E,MATCH(TRUE,INDEX((ISNUMBER($E:$E)),0),0)))*($E318&gt;INDEX(_xlfn.ANCHORARRAY(Sintesi!$C$14),1,$C318))*($E318&lt;INDEX(_xlfn.ANCHORARRAY(Sintesi!$C$16),1,$C318))*(INDEX(_xlfn.ANCHORARRAY(Sintesi!$C$15),1,$C318)&lt;0)+($E318&gt;=LOOKUP(2,1/($E:$E&lt;&gt;""),$E:$E))*($E318&lt;=INDEX($E:$E,MATCH(TRUE,INDEX((ISNUMBER($E:$E)),0),0)))*($E318&gt;INDEX(_xlfn.ANCHORARRAY(Sintesi!$C$15),1,$C318))*($E318&lt;INDEX(_xlfn.ANCHORARRAY(Sintesi!$C$16),1,$C318))*(INDEX(_xlfn.ANCHORARRAY(Sintesi!$C$15),1,$C318)&gt;0),2,IF($E318=(INDEX(_xlfn.ANCHORARRAY(Sintesi!$C$16),1,$C318)),3,4)))),0)),IF(ISNUMBER($E317),IF($C318&gt;0,IF(($E318=INDEX(_xlfn.ANCHORARRAY(Sintesi!$C$14),1,$C318))*(INDEX(_xlfn.ANCHORARRAY(Sintesi!$C$15),1,$C318)&gt;0),0,IF(($E318=INDEX(_xlfn.ANCHORARRAY(Sintesi!$C$14),1,$C318))*(INDEX(_xlfn.ANCHORARRAY(Sintesi!$C$15),1,$C318)&lt;0)+($E318&gt;=$E317)*($E318&lt;=$E319)*($E318&gt;INDEX(_xlfn.ANCHORARRAY(Sintesi!$C$14),1,$C318))*($E318&lt;=INDEX(_xlfn.ANCHORARRAY(Sintesi!$C$15),1,$C318))*(INDEX(_xlfn.ANCHORARRAY(Sintesi!$C$15),1,$C318)&gt;0),1,IF(($E318&gt;=$E317)*($E318&lt;=$E319)*($E318&gt;INDEX(_xlfn.ANCHORARRAY(Sintesi!$C$14),1,$C318))*($E318&lt;INDEX(_xlfn.ANCHORARRAY(Sintesi!$C$16),1,$C318))*(INDEX(_xlfn.ANCHORARRAY(Sintesi!$C$15),1,$C318)&lt;0)+($E318&gt;=$E317)*($E318&lt;=$E319)*($E318&gt;INDEX(_xlfn.ANCHORARRAY(Sintesi!$C$15),1,$C318))*($E318&lt;INDEX(_xlfn.ANCHORARRAY(Sintesi!$C$16),1,$C318))*(INDEX(_xlfn.ANCHORARRAY(Sintesi!$C$15),1,$C318)&gt;0),2,IF($E318=(INDEX(_xlfn.ANCHORARRAY(Sintesi!$C$16),1,$C318)),3,4)))),0),IF($C318&gt;0,IF(($E318=INDEX(_xlfn.ANCHORARRAY(Sintesi!$C$14),1,$C318))*(INDEX(_xlfn.ANCHORARRAY(Sintesi!$C$15),1,$C318)&gt;0),0,IF(($E318=INDEX(_xlfn.ANCHORARRAY(Sintesi!$C$14),1,$C318))*(INDEX(_xlfn.ANCHORARRAY(Sintesi!$C$15),1,$C318)&lt;0)+($E318&gt;=LOOKUP(2,1/($E:$E&lt;&gt;""),$E:$E))*($E318&lt;=$E319)*($E318&gt;INDEX(_xlfn.ANCHORARRAY(Sintesi!$C$14),1,$C318))*($E318&lt;=INDEX(_xlfn.ANCHORARRAY(Sintesi!$C$15),1,$C318))*(INDEX(_xlfn.ANCHORARRAY(Sintesi!$C$15),1,$C318)&gt;0),1,IF(($E318&gt;=LOOKUP(2,1/($E:$E&lt;&gt;""),$E:$E))*($E318&lt;=$E319)*($E318&gt;INDEX(_xlfn.ANCHORARRAY(Sintesi!$C$14),1,$C318))*($E318&lt;INDEX(_xlfn.ANCHORARRAY(Sintesi!$C$16),1,$C318))*(INDEX(_xlfn.ANCHORARRAY(Sintesi!$C$15),1,$C318)&lt;0)+($E318&gt;=LOOKUP(2,1/($E:$E&lt;&gt;""),$E:$E))*($E318&lt;=$E319)*($E318&gt;INDEX(_xlfn.ANCHORARRAY(Sintesi!$C$15),1,$C318))*($E318&lt;INDEX(_xlfn.ANCHORARRAY(Sintesi!$C$16),1,$C318))*(INDEX(_xlfn.ANCHORARRAY(Sintesi!$C$15),1,$C318)&gt;0),2,IF($E318=(INDEX(_xlfn.ANCHORARRAY(Sintesi!$C$16),1,$C318)),3,4)))),0)))</f>
        <v>0</v>
      </c>
      <c r="E318" s="1">
        <f>'Paste cell here'!F318</f>
        <v>0</v>
      </c>
      <c r="F318" s="1">
        <f>'Paste cell here'!C318</f>
        <v>14.219999999999825</v>
      </c>
      <c r="G318" s="1">
        <f>'Paste cell here'!D318</f>
        <v>7.6599999999998927</v>
      </c>
      <c r="H318" s="1">
        <f>'Paste cell here'!E318</f>
        <v>0.54458657207211547</v>
      </c>
      <c r="I318" s="1">
        <f>'Paste cell here'!X318</f>
        <v>0</v>
      </c>
      <c r="J318" s="1">
        <f>'Paste cell here'!Y318+'Paste cell here'!S318</f>
        <v>0</v>
      </c>
      <c r="K318" s="1">
        <f t="shared" si="8"/>
        <v>0</v>
      </c>
      <c r="L318" s="1">
        <f t="shared" si="9"/>
        <v>11.841474980947996</v>
      </c>
      <c r="M318" s="1">
        <f t="array" ref="M318">IF(AND(A318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318&gt;=_xlfn.ANCHORARRAY(Sintesi!$C$9))+(_xlfn.ANCHORARRAY(Sintesi!$C$9)&gt;_xlfn.ANCHORARRAY(Sintesi!$C$10))*(A318&lt;=_xlfn.ANCHORARRAY(Sintesi!$C$10))+(_xlfn.ANCHORARRAY(Sintesi!$C$9)&lt;_xlfn.ANCHORARRAY(Sintesi!$C$10))*(A318&gt;=_xlfn.ANCHORARRAY(Sintesi!$C$9))*(A318&lt;=_xlfn.ANCHORARRAY(Sintesi!$C$10)),0)),0),A318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319&gt;=_xlfn.ANCHORARRAY(Sintesi!$C$9))+(_xlfn.ANCHORARRAY(Sintesi!$C$9)&gt;_xlfn.ANCHORARRAY(Sintesi!$C$10))*(A319&lt;=_xlfn.ANCHORARRAY(Sintesi!$C$10))+(_xlfn.ANCHORARRAY(Sintesi!$C$9)&lt;_xlfn.ANCHORARRAY(Sintesi!$C$10))*(A319&gt;=_xlfn.ANCHORARRAY(Sintesi!$C$9))*(A319&lt;=_xlfn.ANCHORARRAY(Sintesi!$C$10)),0)),0)),IF(L318&lt;_xlfn.IFNA(INDEX(_xlfn.ANCHORARRAY(Sintesi!$C$17),1,MATCH(1,(_xlfn.ANCHORARRAY(Sintesi!$C$9)&gt;_xlfn.ANCHORARRAY(Sintesi!$C$10))*(A317&gt;=_xlfn.ANCHORARRAY(Sintesi!$C$9))+(_xlfn.ANCHORARRAY(Sintesi!$C$9)&gt;_xlfn.ANCHORARRAY(Sintesi!$C$10))*(A317&lt;=_xlfn.ANCHORARRAY(Sintesi!$C$10))+(_xlfn.ANCHORARRAY(Sintesi!$C$9)&lt;_xlfn.ANCHORARRAY(Sintesi!$C$10))*(A317&gt;=_xlfn.ANCHORARRAY(Sintesi!$C$9))*(A317&lt;=_xlfn.ANCHORARRAY(Sintesi!$C$10)),0)),0),1,IF(L318&gt;=_xlfn.IFNA(INDEX(_xlfn.ANCHORARRAY(Sintesi!$C$18),1,MATCH(1,(_xlfn.ANCHORARRAY(Sintesi!$C$9)&gt;_xlfn.ANCHORARRAY(Sintesi!$C$10))*(A317&gt;=_xlfn.ANCHORARRAY(Sintesi!$C$9))+(_xlfn.ANCHORARRAY(Sintesi!$C$9)&gt;_xlfn.ANCHORARRAY(Sintesi!$C$10))*(A317&lt;=_xlfn.ANCHORARRAY(Sintesi!$C$10))+(_xlfn.ANCHORARRAY(Sintesi!$C$9)&lt;_xlfn.ANCHORARRAY(Sintesi!$C$10))*(A317&gt;=_xlfn.ANCHORARRAY(Sintesi!$C$9))*(A317&lt;=_xlfn.ANCHORARRAY(Sintesi!$C$10)),0)),0),0,1-(L318-_xlfn.IFNA(INDEX(_xlfn.ANCHORARRAY(Sintesi!$C$17),1,MATCH(1,(_xlfn.ANCHORARRAY(Sintesi!$C$9)&gt;_xlfn.ANCHORARRAY(Sintesi!$C$10))*(A317&gt;=_xlfn.ANCHORARRAY(Sintesi!$C$9))+(_xlfn.ANCHORARRAY(Sintesi!$C$9)&gt;_xlfn.ANCHORARRAY(Sintesi!$C$10))*(A317&lt;=_xlfn.ANCHORARRAY(Sintesi!$C$10))+(_xlfn.ANCHORARRAY(Sintesi!$C$9)&lt;_xlfn.ANCHORARRAY(Sintesi!$C$10))*(A317&gt;=_xlfn.ANCHORARRAY(Sintesi!$C$9))*(A317&lt;=_xlfn.ANCHORARRAY(Sintesi!$C$10)),0)),0))/(_xlfn.IFNA(INDEX(_xlfn.ANCHORARRAY(Sintesi!$C$18),1,MATCH(1,(_xlfn.ANCHORARRAY(Sintesi!$C$9)&gt;_xlfn.ANCHORARRAY(Sintesi!$C$10))*(A317&gt;=_xlfn.ANCHORARRAY(Sintesi!$C$9))+(_xlfn.ANCHORARRAY(Sintesi!$C$9)&gt;_xlfn.ANCHORARRAY(Sintesi!$C$10))*(A317&lt;=_xlfn.ANCHORARRAY(Sintesi!$C$10))+(_xlfn.ANCHORARRAY(Sintesi!$C$9)&lt;_xlfn.ANCHORARRAY(Sintesi!$C$10))*(A317&gt;=_xlfn.ANCHORARRAY(Sintesi!$C$9))*(A317&lt;=_xlfn.ANCHORARRAY(Sintesi!$C$10)),0)),0)-_xlfn.IFNA(INDEX(_xlfn.ANCHORARRAY(Sintesi!$C$17),1,MATCH(1,(_xlfn.ANCHORARRAY(Sintesi!$C$9)&gt;_xlfn.ANCHORARRAY(Sintesi!$C$10))*(A317&gt;=_xlfn.ANCHORARRAY(Sintesi!$C$9))+(_xlfn.ANCHORARRAY(Sintesi!$C$9)&gt;_xlfn.ANCHORARRAY(Sintesi!$C$10))*(A317&lt;=_xlfn.ANCHORARRAY(Sintesi!$C$10))+(_xlfn.ANCHORARRAY(Sintesi!$C$9)&lt;_xlfn.ANCHORARRAY(Sintesi!$C$10))*(A317&gt;=_xlfn.ANCHORARRAY(Sintesi!$C$9))*(A317&lt;=_xlfn.ANCHORARRAY(Sintesi!$C$10)),0)),0)))),0)</f>
        <v>0</v>
      </c>
    </row>
    <row r="319" spans="1:13">
      <c r="A319" s="1">
        <f>'Paste cell here'!A319</f>
        <v>318</v>
      </c>
      <c r="B319" s="2">
        <f>DATE(Sintesi!$C$4-1,12,31)+A319</f>
        <v>44514</v>
      </c>
      <c r="C319" s="34">
        <f t="array" ref="C319">_xlfn.IFNA(MATCH(1,((_xlfn.ANCHORARRAY(Sintesi!$C$9)&gt;_xlfn.ANCHORARRAY(Sintesi!$C$10))*(A319&gt;=_xlfn.ANCHORARRAY(Sintesi!$C$9))+(_xlfn.ANCHORARRAY(Sintesi!$C$9)&gt;_xlfn.ANCHORARRAY(Sintesi!$C$10))*(A319&lt;=_xlfn.ANCHORARRAY(Sintesi!$C$10))+(_xlfn.ANCHORARRAY(Sintesi!$C$9)&lt;_xlfn.ANCHORARRAY(Sintesi!$C$10))*(A319&gt;=_xlfn.ANCHORARRAY(Sintesi!$C$9))*(A319&lt;=_xlfn.ANCHORARRAY(Sintesi!$C$10)))*(_xlfn.ANCHORARRAY(Sintesi!$C$15)&gt;=0)+(_xlfn.ANCHORARRAY(Sintesi!$C$15)&lt;0),0),0)</f>
        <v>0</v>
      </c>
      <c r="D319" s="1">
        <f t="array" ref="D319">IF(ISBLANK($E320),IF(ISNUMBER($E318),IF($C319&gt;0,IF(($E319=INDEX(_xlfn.ANCHORARRAY(Sintesi!$C$14),1,$C319))*(INDEX(_xlfn.ANCHORARRAY(Sintesi!$C$15),1,$C319)&gt;0),0,IF(($E319=INDEX(_xlfn.ANCHORARRAY(Sintesi!$C$14),1,$C319))*(INDEX(_xlfn.ANCHORARRAY(Sintesi!$C$15),1,$C319)&lt;0)+($E319&gt;=$E318)*($E319&lt;=INDEX($E:$E,MATCH(TRUE,INDEX((ISNUMBER($E:$E)),0),0)))*($E319&gt;INDEX(_xlfn.ANCHORARRAY(Sintesi!$C$14),1,$C319))*($E319&lt;=INDEX(_xlfn.ANCHORARRAY(Sintesi!$C$15),1,$C319))*(INDEX(_xlfn.ANCHORARRAY(Sintesi!$C$15),1,$C319)&gt;0),1,IF(($E319&gt;=$E318)*($E319&lt;=INDEX($E:$E,MATCH(TRUE,INDEX((ISNUMBER($E:$E)),0),0)))*($E319&gt;INDEX(_xlfn.ANCHORARRAY(Sintesi!$C$14),1,$C319))*($E319&lt;INDEX(_xlfn.ANCHORARRAY(Sintesi!$C$16),1,$C319))*(INDEX(_xlfn.ANCHORARRAY(Sintesi!$C$15),1,$C319)&lt;0)+($E319&gt;=$E318)*($E319&lt;=INDEX($E:$E,MATCH(TRUE,INDEX((ISNUMBER($E:$E)),0),0)))*($E319&gt;INDEX(_xlfn.ANCHORARRAY(Sintesi!$C$15),1,$C319))*($E319&lt;INDEX(_xlfn.ANCHORARRAY(Sintesi!$C$16),1,$C319))*(INDEX(_xlfn.ANCHORARRAY(Sintesi!$C$15),1,$C319)&gt;0),2,IF($E319=(INDEX(_xlfn.ANCHORARRAY(Sintesi!$C$16),1,$C319)),3,4)))),0),IF($C319&gt;0,IF(($E319=INDEX(_xlfn.ANCHORARRAY(Sintesi!$C$14),1,$C319))*(INDEX(_xlfn.ANCHORARRAY(Sintesi!$C$15),1,$C319)&gt;0),0,IF(($E319=INDEX(_xlfn.ANCHORARRAY(Sintesi!$C$14),1,$C319))*(INDEX(_xlfn.ANCHORARRAY(Sintesi!$C$15),1,$C319)&lt;0)+($E319&gt;=LOOKUP(2,1/($E:$E&lt;&gt;""),$E:$E))*($E319&lt;=INDEX($E:$E,MATCH(TRUE,INDEX((ISNUMBER($E:$E)),0),0)))*($E319&gt;INDEX(_xlfn.ANCHORARRAY(Sintesi!$C$14),1,$C319))*($E319&lt;=INDEX(_xlfn.ANCHORARRAY(Sintesi!$C$15),1,$C319))*(INDEX(_xlfn.ANCHORARRAY(Sintesi!$C$15),1,$C319)&gt;0),1,IF(($E319&gt;=LOOKUP(2,1/($E:$E&lt;&gt;""),$E:$E))*($E319&lt;=INDEX($E:$E,MATCH(TRUE,INDEX((ISNUMBER($E:$E)),0),0)))*($E319&gt;INDEX(_xlfn.ANCHORARRAY(Sintesi!$C$14),1,$C319))*($E319&lt;INDEX(_xlfn.ANCHORARRAY(Sintesi!$C$16),1,$C319))*(INDEX(_xlfn.ANCHORARRAY(Sintesi!$C$15),1,$C319)&lt;0)+($E319&gt;=LOOKUP(2,1/($E:$E&lt;&gt;""),$E:$E))*($E319&lt;=INDEX($E:$E,MATCH(TRUE,INDEX((ISNUMBER($E:$E)),0),0)))*($E319&gt;INDEX(_xlfn.ANCHORARRAY(Sintesi!$C$15),1,$C319))*($E319&lt;INDEX(_xlfn.ANCHORARRAY(Sintesi!$C$16),1,$C319))*(INDEX(_xlfn.ANCHORARRAY(Sintesi!$C$15),1,$C319)&gt;0),2,IF($E319=(INDEX(_xlfn.ANCHORARRAY(Sintesi!$C$16),1,$C319)),3,4)))),0)),IF(ISNUMBER($E318),IF($C319&gt;0,IF(($E319=INDEX(_xlfn.ANCHORARRAY(Sintesi!$C$14),1,$C319))*(INDEX(_xlfn.ANCHORARRAY(Sintesi!$C$15),1,$C319)&gt;0),0,IF(($E319=INDEX(_xlfn.ANCHORARRAY(Sintesi!$C$14),1,$C319))*(INDEX(_xlfn.ANCHORARRAY(Sintesi!$C$15),1,$C319)&lt;0)+($E319&gt;=$E318)*($E319&lt;=$E320)*($E319&gt;INDEX(_xlfn.ANCHORARRAY(Sintesi!$C$14),1,$C319))*($E319&lt;=INDEX(_xlfn.ANCHORARRAY(Sintesi!$C$15),1,$C319))*(INDEX(_xlfn.ANCHORARRAY(Sintesi!$C$15),1,$C319)&gt;0),1,IF(($E319&gt;=$E318)*($E319&lt;=$E320)*($E319&gt;INDEX(_xlfn.ANCHORARRAY(Sintesi!$C$14),1,$C319))*($E319&lt;INDEX(_xlfn.ANCHORARRAY(Sintesi!$C$16),1,$C319))*(INDEX(_xlfn.ANCHORARRAY(Sintesi!$C$15),1,$C319)&lt;0)+($E319&gt;=$E318)*($E319&lt;=$E320)*($E319&gt;INDEX(_xlfn.ANCHORARRAY(Sintesi!$C$15),1,$C319))*($E319&lt;INDEX(_xlfn.ANCHORARRAY(Sintesi!$C$16),1,$C319))*(INDEX(_xlfn.ANCHORARRAY(Sintesi!$C$15),1,$C319)&gt;0),2,IF($E319=(INDEX(_xlfn.ANCHORARRAY(Sintesi!$C$16),1,$C319)),3,4)))),0),IF($C319&gt;0,IF(($E319=INDEX(_xlfn.ANCHORARRAY(Sintesi!$C$14),1,$C319))*(INDEX(_xlfn.ANCHORARRAY(Sintesi!$C$15),1,$C319)&gt;0),0,IF(($E319=INDEX(_xlfn.ANCHORARRAY(Sintesi!$C$14),1,$C319))*(INDEX(_xlfn.ANCHORARRAY(Sintesi!$C$15),1,$C319)&lt;0)+($E319&gt;=LOOKUP(2,1/($E:$E&lt;&gt;""),$E:$E))*($E319&lt;=$E320)*($E319&gt;INDEX(_xlfn.ANCHORARRAY(Sintesi!$C$14),1,$C319))*($E319&lt;=INDEX(_xlfn.ANCHORARRAY(Sintesi!$C$15),1,$C319))*(INDEX(_xlfn.ANCHORARRAY(Sintesi!$C$15),1,$C319)&gt;0),1,IF(($E319&gt;=LOOKUP(2,1/($E:$E&lt;&gt;""),$E:$E))*($E319&lt;=$E320)*($E319&gt;INDEX(_xlfn.ANCHORARRAY(Sintesi!$C$14),1,$C319))*($E319&lt;INDEX(_xlfn.ANCHORARRAY(Sintesi!$C$16),1,$C319))*(INDEX(_xlfn.ANCHORARRAY(Sintesi!$C$15),1,$C319)&lt;0)+($E319&gt;=LOOKUP(2,1/($E:$E&lt;&gt;""),$E:$E))*($E319&lt;=$E320)*($E319&gt;INDEX(_xlfn.ANCHORARRAY(Sintesi!$C$15),1,$C319))*($E319&lt;INDEX(_xlfn.ANCHORARRAY(Sintesi!$C$16),1,$C319))*(INDEX(_xlfn.ANCHORARRAY(Sintesi!$C$15),1,$C319)&gt;0),2,IF($E319=(INDEX(_xlfn.ANCHORARRAY(Sintesi!$C$16),1,$C319)),3,4)))),0)))</f>
        <v>0</v>
      </c>
      <c r="E319" s="1">
        <f>'Paste cell here'!F319</f>
        <v>0</v>
      </c>
      <c r="F319" s="1">
        <f>'Paste cell here'!C319</f>
        <v>11.119999999999838</v>
      </c>
      <c r="G319" s="1">
        <f>'Paste cell here'!D319</f>
        <v>10.19999999999985</v>
      </c>
      <c r="H319" s="1">
        <f>'Paste cell here'!E319</f>
        <v>0.41721719341670743</v>
      </c>
      <c r="I319" s="1">
        <f>'Paste cell here'!X319</f>
        <v>0</v>
      </c>
      <c r="J319" s="1">
        <f>'Paste cell here'!Y319+'Paste cell here'!S319</f>
        <v>0</v>
      </c>
      <c r="K319" s="1">
        <f t="shared" si="8"/>
        <v>0</v>
      </c>
      <c r="L319" s="1">
        <f t="shared" si="9"/>
        <v>10.786426369279155</v>
      </c>
      <c r="M319" s="1">
        <f t="array" ref="M319">IF(AND(A319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319&gt;=_xlfn.ANCHORARRAY(Sintesi!$C$9))+(_xlfn.ANCHORARRAY(Sintesi!$C$9)&gt;_xlfn.ANCHORARRAY(Sintesi!$C$10))*(A319&lt;=_xlfn.ANCHORARRAY(Sintesi!$C$10))+(_xlfn.ANCHORARRAY(Sintesi!$C$9)&lt;_xlfn.ANCHORARRAY(Sintesi!$C$10))*(A319&gt;=_xlfn.ANCHORARRAY(Sintesi!$C$9))*(A319&lt;=_xlfn.ANCHORARRAY(Sintesi!$C$10)),0)),0),A319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320&gt;=_xlfn.ANCHORARRAY(Sintesi!$C$9))+(_xlfn.ANCHORARRAY(Sintesi!$C$9)&gt;_xlfn.ANCHORARRAY(Sintesi!$C$10))*(A320&lt;=_xlfn.ANCHORARRAY(Sintesi!$C$10))+(_xlfn.ANCHORARRAY(Sintesi!$C$9)&lt;_xlfn.ANCHORARRAY(Sintesi!$C$10))*(A320&gt;=_xlfn.ANCHORARRAY(Sintesi!$C$9))*(A320&lt;=_xlfn.ANCHORARRAY(Sintesi!$C$10)),0)),0)),IF(L319&lt;_xlfn.IFNA(INDEX(_xlfn.ANCHORARRAY(Sintesi!$C$17),1,MATCH(1,(_xlfn.ANCHORARRAY(Sintesi!$C$9)&gt;_xlfn.ANCHORARRAY(Sintesi!$C$10))*(A318&gt;=_xlfn.ANCHORARRAY(Sintesi!$C$9))+(_xlfn.ANCHORARRAY(Sintesi!$C$9)&gt;_xlfn.ANCHORARRAY(Sintesi!$C$10))*(A318&lt;=_xlfn.ANCHORARRAY(Sintesi!$C$10))+(_xlfn.ANCHORARRAY(Sintesi!$C$9)&lt;_xlfn.ANCHORARRAY(Sintesi!$C$10))*(A318&gt;=_xlfn.ANCHORARRAY(Sintesi!$C$9))*(A318&lt;=_xlfn.ANCHORARRAY(Sintesi!$C$10)),0)),0),1,IF(L319&gt;=_xlfn.IFNA(INDEX(_xlfn.ANCHORARRAY(Sintesi!$C$18),1,MATCH(1,(_xlfn.ANCHORARRAY(Sintesi!$C$9)&gt;_xlfn.ANCHORARRAY(Sintesi!$C$10))*(A318&gt;=_xlfn.ANCHORARRAY(Sintesi!$C$9))+(_xlfn.ANCHORARRAY(Sintesi!$C$9)&gt;_xlfn.ANCHORARRAY(Sintesi!$C$10))*(A318&lt;=_xlfn.ANCHORARRAY(Sintesi!$C$10))+(_xlfn.ANCHORARRAY(Sintesi!$C$9)&lt;_xlfn.ANCHORARRAY(Sintesi!$C$10))*(A318&gt;=_xlfn.ANCHORARRAY(Sintesi!$C$9))*(A318&lt;=_xlfn.ANCHORARRAY(Sintesi!$C$10)),0)),0),0,1-(L319-_xlfn.IFNA(INDEX(_xlfn.ANCHORARRAY(Sintesi!$C$17),1,MATCH(1,(_xlfn.ANCHORARRAY(Sintesi!$C$9)&gt;_xlfn.ANCHORARRAY(Sintesi!$C$10))*(A318&gt;=_xlfn.ANCHORARRAY(Sintesi!$C$9))+(_xlfn.ANCHORARRAY(Sintesi!$C$9)&gt;_xlfn.ANCHORARRAY(Sintesi!$C$10))*(A318&lt;=_xlfn.ANCHORARRAY(Sintesi!$C$10))+(_xlfn.ANCHORARRAY(Sintesi!$C$9)&lt;_xlfn.ANCHORARRAY(Sintesi!$C$10))*(A318&gt;=_xlfn.ANCHORARRAY(Sintesi!$C$9))*(A318&lt;=_xlfn.ANCHORARRAY(Sintesi!$C$10)),0)),0))/(_xlfn.IFNA(INDEX(_xlfn.ANCHORARRAY(Sintesi!$C$18),1,MATCH(1,(_xlfn.ANCHORARRAY(Sintesi!$C$9)&gt;_xlfn.ANCHORARRAY(Sintesi!$C$10))*(A318&gt;=_xlfn.ANCHORARRAY(Sintesi!$C$9))+(_xlfn.ANCHORARRAY(Sintesi!$C$9)&gt;_xlfn.ANCHORARRAY(Sintesi!$C$10))*(A318&lt;=_xlfn.ANCHORARRAY(Sintesi!$C$10))+(_xlfn.ANCHORARRAY(Sintesi!$C$9)&lt;_xlfn.ANCHORARRAY(Sintesi!$C$10))*(A318&gt;=_xlfn.ANCHORARRAY(Sintesi!$C$9))*(A318&lt;=_xlfn.ANCHORARRAY(Sintesi!$C$10)),0)),0)-_xlfn.IFNA(INDEX(_xlfn.ANCHORARRAY(Sintesi!$C$17),1,MATCH(1,(_xlfn.ANCHORARRAY(Sintesi!$C$9)&gt;_xlfn.ANCHORARRAY(Sintesi!$C$10))*(A318&gt;=_xlfn.ANCHORARRAY(Sintesi!$C$9))+(_xlfn.ANCHORARRAY(Sintesi!$C$9)&gt;_xlfn.ANCHORARRAY(Sintesi!$C$10))*(A318&lt;=_xlfn.ANCHORARRAY(Sintesi!$C$10))+(_xlfn.ANCHORARRAY(Sintesi!$C$9)&lt;_xlfn.ANCHORARRAY(Sintesi!$C$10))*(A318&gt;=_xlfn.ANCHORARRAY(Sintesi!$C$9))*(A318&lt;=_xlfn.ANCHORARRAY(Sintesi!$C$10)),0)),0)))),0)</f>
        <v>0</v>
      </c>
    </row>
    <row r="320" spans="1:13">
      <c r="A320" s="1">
        <f>'Paste cell here'!A320</f>
        <v>319</v>
      </c>
      <c r="B320" s="2">
        <f>DATE(Sintesi!$C$4-1,12,31)+A320</f>
        <v>44515</v>
      </c>
      <c r="C320" s="34">
        <f t="array" ref="C320">_xlfn.IFNA(MATCH(1,((_xlfn.ANCHORARRAY(Sintesi!$C$9)&gt;_xlfn.ANCHORARRAY(Sintesi!$C$10))*(A320&gt;=_xlfn.ANCHORARRAY(Sintesi!$C$9))+(_xlfn.ANCHORARRAY(Sintesi!$C$9)&gt;_xlfn.ANCHORARRAY(Sintesi!$C$10))*(A320&lt;=_xlfn.ANCHORARRAY(Sintesi!$C$10))+(_xlfn.ANCHORARRAY(Sintesi!$C$9)&lt;_xlfn.ANCHORARRAY(Sintesi!$C$10))*(A320&gt;=_xlfn.ANCHORARRAY(Sintesi!$C$9))*(A320&lt;=_xlfn.ANCHORARRAY(Sintesi!$C$10)))*(_xlfn.ANCHORARRAY(Sintesi!$C$15)&gt;=0)+(_xlfn.ANCHORARRAY(Sintesi!$C$15)&lt;0),0),0)</f>
        <v>0</v>
      </c>
      <c r="D320" s="1">
        <f t="array" ref="D320">IF(ISBLANK($E321),IF(ISNUMBER($E319),IF($C320&gt;0,IF(($E320=INDEX(_xlfn.ANCHORARRAY(Sintesi!$C$14),1,$C320))*(INDEX(_xlfn.ANCHORARRAY(Sintesi!$C$15),1,$C320)&gt;0),0,IF(($E320=INDEX(_xlfn.ANCHORARRAY(Sintesi!$C$14),1,$C320))*(INDEX(_xlfn.ANCHORARRAY(Sintesi!$C$15),1,$C320)&lt;0)+($E320&gt;=$E319)*($E320&lt;=INDEX($E:$E,MATCH(TRUE,INDEX((ISNUMBER($E:$E)),0),0)))*($E320&gt;INDEX(_xlfn.ANCHORARRAY(Sintesi!$C$14),1,$C320))*($E320&lt;=INDEX(_xlfn.ANCHORARRAY(Sintesi!$C$15),1,$C320))*(INDEX(_xlfn.ANCHORARRAY(Sintesi!$C$15),1,$C320)&gt;0),1,IF(($E320&gt;=$E319)*($E320&lt;=INDEX($E:$E,MATCH(TRUE,INDEX((ISNUMBER($E:$E)),0),0)))*($E320&gt;INDEX(_xlfn.ANCHORARRAY(Sintesi!$C$14),1,$C320))*($E320&lt;INDEX(_xlfn.ANCHORARRAY(Sintesi!$C$16),1,$C320))*(INDEX(_xlfn.ANCHORARRAY(Sintesi!$C$15),1,$C320)&lt;0)+($E320&gt;=$E319)*($E320&lt;=INDEX($E:$E,MATCH(TRUE,INDEX((ISNUMBER($E:$E)),0),0)))*($E320&gt;INDEX(_xlfn.ANCHORARRAY(Sintesi!$C$15),1,$C320))*($E320&lt;INDEX(_xlfn.ANCHORARRAY(Sintesi!$C$16),1,$C320))*(INDEX(_xlfn.ANCHORARRAY(Sintesi!$C$15),1,$C320)&gt;0),2,IF($E320=(INDEX(_xlfn.ANCHORARRAY(Sintesi!$C$16),1,$C320)),3,4)))),0),IF($C320&gt;0,IF(($E320=INDEX(_xlfn.ANCHORARRAY(Sintesi!$C$14),1,$C320))*(INDEX(_xlfn.ANCHORARRAY(Sintesi!$C$15),1,$C320)&gt;0),0,IF(($E320=INDEX(_xlfn.ANCHORARRAY(Sintesi!$C$14),1,$C320))*(INDEX(_xlfn.ANCHORARRAY(Sintesi!$C$15),1,$C320)&lt;0)+($E320&gt;=LOOKUP(2,1/($E:$E&lt;&gt;""),$E:$E))*($E320&lt;=INDEX($E:$E,MATCH(TRUE,INDEX((ISNUMBER($E:$E)),0),0)))*($E320&gt;INDEX(_xlfn.ANCHORARRAY(Sintesi!$C$14),1,$C320))*($E320&lt;=INDEX(_xlfn.ANCHORARRAY(Sintesi!$C$15),1,$C320))*(INDEX(_xlfn.ANCHORARRAY(Sintesi!$C$15),1,$C320)&gt;0),1,IF(($E320&gt;=LOOKUP(2,1/($E:$E&lt;&gt;""),$E:$E))*($E320&lt;=INDEX($E:$E,MATCH(TRUE,INDEX((ISNUMBER($E:$E)),0),0)))*($E320&gt;INDEX(_xlfn.ANCHORARRAY(Sintesi!$C$14),1,$C320))*($E320&lt;INDEX(_xlfn.ANCHORARRAY(Sintesi!$C$16),1,$C320))*(INDEX(_xlfn.ANCHORARRAY(Sintesi!$C$15),1,$C320)&lt;0)+($E320&gt;=LOOKUP(2,1/($E:$E&lt;&gt;""),$E:$E))*($E320&lt;=INDEX($E:$E,MATCH(TRUE,INDEX((ISNUMBER($E:$E)),0),0)))*($E320&gt;INDEX(_xlfn.ANCHORARRAY(Sintesi!$C$15),1,$C320))*($E320&lt;INDEX(_xlfn.ANCHORARRAY(Sintesi!$C$16),1,$C320))*(INDEX(_xlfn.ANCHORARRAY(Sintesi!$C$15),1,$C320)&gt;0),2,IF($E320=(INDEX(_xlfn.ANCHORARRAY(Sintesi!$C$16),1,$C320)),3,4)))),0)),IF(ISNUMBER($E319),IF($C320&gt;0,IF(($E320=INDEX(_xlfn.ANCHORARRAY(Sintesi!$C$14),1,$C320))*(INDEX(_xlfn.ANCHORARRAY(Sintesi!$C$15),1,$C320)&gt;0),0,IF(($E320=INDEX(_xlfn.ANCHORARRAY(Sintesi!$C$14),1,$C320))*(INDEX(_xlfn.ANCHORARRAY(Sintesi!$C$15),1,$C320)&lt;0)+($E320&gt;=$E319)*($E320&lt;=$E321)*($E320&gt;INDEX(_xlfn.ANCHORARRAY(Sintesi!$C$14),1,$C320))*($E320&lt;=INDEX(_xlfn.ANCHORARRAY(Sintesi!$C$15),1,$C320))*(INDEX(_xlfn.ANCHORARRAY(Sintesi!$C$15),1,$C320)&gt;0),1,IF(($E320&gt;=$E319)*($E320&lt;=$E321)*($E320&gt;INDEX(_xlfn.ANCHORARRAY(Sintesi!$C$14),1,$C320))*($E320&lt;INDEX(_xlfn.ANCHORARRAY(Sintesi!$C$16),1,$C320))*(INDEX(_xlfn.ANCHORARRAY(Sintesi!$C$15),1,$C320)&lt;0)+($E320&gt;=$E319)*($E320&lt;=$E321)*($E320&gt;INDEX(_xlfn.ANCHORARRAY(Sintesi!$C$15),1,$C320))*($E320&lt;INDEX(_xlfn.ANCHORARRAY(Sintesi!$C$16),1,$C320))*(INDEX(_xlfn.ANCHORARRAY(Sintesi!$C$15),1,$C320)&gt;0),2,IF($E320=(INDEX(_xlfn.ANCHORARRAY(Sintesi!$C$16),1,$C320)),3,4)))),0),IF($C320&gt;0,IF(($E320=INDEX(_xlfn.ANCHORARRAY(Sintesi!$C$14),1,$C320))*(INDEX(_xlfn.ANCHORARRAY(Sintesi!$C$15),1,$C320)&gt;0),0,IF(($E320=INDEX(_xlfn.ANCHORARRAY(Sintesi!$C$14),1,$C320))*(INDEX(_xlfn.ANCHORARRAY(Sintesi!$C$15),1,$C320)&lt;0)+($E320&gt;=LOOKUP(2,1/($E:$E&lt;&gt;""),$E:$E))*($E320&lt;=$E321)*($E320&gt;INDEX(_xlfn.ANCHORARRAY(Sintesi!$C$14),1,$C320))*($E320&lt;=INDEX(_xlfn.ANCHORARRAY(Sintesi!$C$15),1,$C320))*(INDEX(_xlfn.ANCHORARRAY(Sintesi!$C$15),1,$C320)&gt;0),1,IF(($E320&gt;=LOOKUP(2,1/($E:$E&lt;&gt;""),$E:$E))*($E320&lt;=$E321)*($E320&gt;INDEX(_xlfn.ANCHORARRAY(Sintesi!$C$14),1,$C320))*($E320&lt;INDEX(_xlfn.ANCHORARRAY(Sintesi!$C$16),1,$C320))*(INDEX(_xlfn.ANCHORARRAY(Sintesi!$C$15),1,$C320)&lt;0)+($E320&gt;=LOOKUP(2,1/($E:$E&lt;&gt;""),$E:$E))*($E320&lt;=$E321)*($E320&gt;INDEX(_xlfn.ANCHORARRAY(Sintesi!$C$15),1,$C320))*($E320&lt;INDEX(_xlfn.ANCHORARRAY(Sintesi!$C$16),1,$C320))*(INDEX(_xlfn.ANCHORARRAY(Sintesi!$C$15),1,$C320)&gt;0),2,IF($E320=(INDEX(_xlfn.ANCHORARRAY(Sintesi!$C$16),1,$C320)),3,4)))),0)))</f>
        <v>0</v>
      </c>
      <c r="E320" s="1">
        <f>'Paste cell here'!F320</f>
        <v>0</v>
      </c>
      <c r="F320" s="1">
        <f>'Paste cell here'!C320</f>
        <v>12.359999999999816</v>
      </c>
      <c r="G320" s="1">
        <f>'Paste cell here'!D320</f>
        <v>9.6599999999998598</v>
      </c>
      <c r="H320" s="1">
        <f>'Paste cell here'!E320</f>
        <v>0.46532337718157685</v>
      </c>
      <c r="I320" s="1">
        <f>'Paste cell here'!X320</f>
        <v>0</v>
      </c>
      <c r="J320" s="1">
        <f>'Paste cell here'!Y320+'Paste cell here'!S320</f>
        <v>0</v>
      </c>
      <c r="K320" s="1">
        <f t="shared" si="8"/>
        <v>0</v>
      </c>
      <c r="L320" s="1">
        <f t="shared" si="9"/>
        <v>11.381033909841294</v>
      </c>
      <c r="M320" s="1">
        <f t="array" ref="M320">IF(AND(A320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320&gt;=_xlfn.ANCHORARRAY(Sintesi!$C$9))+(_xlfn.ANCHORARRAY(Sintesi!$C$9)&gt;_xlfn.ANCHORARRAY(Sintesi!$C$10))*(A320&lt;=_xlfn.ANCHORARRAY(Sintesi!$C$10))+(_xlfn.ANCHORARRAY(Sintesi!$C$9)&lt;_xlfn.ANCHORARRAY(Sintesi!$C$10))*(A320&gt;=_xlfn.ANCHORARRAY(Sintesi!$C$9))*(A320&lt;=_xlfn.ANCHORARRAY(Sintesi!$C$10)),0)),0),A320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321&gt;=_xlfn.ANCHORARRAY(Sintesi!$C$9))+(_xlfn.ANCHORARRAY(Sintesi!$C$9)&gt;_xlfn.ANCHORARRAY(Sintesi!$C$10))*(A321&lt;=_xlfn.ANCHORARRAY(Sintesi!$C$10))+(_xlfn.ANCHORARRAY(Sintesi!$C$9)&lt;_xlfn.ANCHORARRAY(Sintesi!$C$10))*(A321&gt;=_xlfn.ANCHORARRAY(Sintesi!$C$9))*(A321&lt;=_xlfn.ANCHORARRAY(Sintesi!$C$10)),0)),0)),IF(L320&lt;_xlfn.IFNA(INDEX(_xlfn.ANCHORARRAY(Sintesi!$C$17),1,MATCH(1,(_xlfn.ANCHORARRAY(Sintesi!$C$9)&gt;_xlfn.ANCHORARRAY(Sintesi!$C$10))*(A319&gt;=_xlfn.ANCHORARRAY(Sintesi!$C$9))+(_xlfn.ANCHORARRAY(Sintesi!$C$9)&gt;_xlfn.ANCHORARRAY(Sintesi!$C$10))*(A319&lt;=_xlfn.ANCHORARRAY(Sintesi!$C$10))+(_xlfn.ANCHORARRAY(Sintesi!$C$9)&lt;_xlfn.ANCHORARRAY(Sintesi!$C$10))*(A319&gt;=_xlfn.ANCHORARRAY(Sintesi!$C$9))*(A319&lt;=_xlfn.ANCHORARRAY(Sintesi!$C$10)),0)),0),1,IF(L320&gt;=_xlfn.IFNA(INDEX(_xlfn.ANCHORARRAY(Sintesi!$C$18),1,MATCH(1,(_xlfn.ANCHORARRAY(Sintesi!$C$9)&gt;_xlfn.ANCHORARRAY(Sintesi!$C$10))*(A319&gt;=_xlfn.ANCHORARRAY(Sintesi!$C$9))+(_xlfn.ANCHORARRAY(Sintesi!$C$9)&gt;_xlfn.ANCHORARRAY(Sintesi!$C$10))*(A319&lt;=_xlfn.ANCHORARRAY(Sintesi!$C$10))+(_xlfn.ANCHORARRAY(Sintesi!$C$9)&lt;_xlfn.ANCHORARRAY(Sintesi!$C$10))*(A319&gt;=_xlfn.ANCHORARRAY(Sintesi!$C$9))*(A319&lt;=_xlfn.ANCHORARRAY(Sintesi!$C$10)),0)),0),0,1-(L320-_xlfn.IFNA(INDEX(_xlfn.ANCHORARRAY(Sintesi!$C$17),1,MATCH(1,(_xlfn.ANCHORARRAY(Sintesi!$C$9)&gt;_xlfn.ANCHORARRAY(Sintesi!$C$10))*(A319&gt;=_xlfn.ANCHORARRAY(Sintesi!$C$9))+(_xlfn.ANCHORARRAY(Sintesi!$C$9)&gt;_xlfn.ANCHORARRAY(Sintesi!$C$10))*(A319&lt;=_xlfn.ANCHORARRAY(Sintesi!$C$10))+(_xlfn.ANCHORARRAY(Sintesi!$C$9)&lt;_xlfn.ANCHORARRAY(Sintesi!$C$10))*(A319&gt;=_xlfn.ANCHORARRAY(Sintesi!$C$9))*(A319&lt;=_xlfn.ANCHORARRAY(Sintesi!$C$10)),0)),0))/(_xlfn.IFNA(INDEX(_xlfn.ANCHORARRAY(Sintesi!$C$18),1,MATCH(1,(_xlfn.ANCHORARRAY(Sintesi!$C$9)&gt;_xlfn.ANCHORARRAY(Sintesi!$C$10))*(A319&gt;=_xlfn.ANCHORARRAY(Sintesi!$C$9))+(_xlfn.ANCHORARRAY(Sintesi!$C$9)&gt;_xlfn.ANCHORARRAY(Sintesi!$C$10))*(A319&lt;=_xlfn.ANCHORARRAY(Sintesi!$C$10))+(_xlfn.ANCHORARRAY(Sintesi!$C$9)&lt;_xlfn.ANCHORARRAY(Sintesi!$C$10))*(A319&gt;=_xlfn.ANCHORARRAY(Sintesi!$C$9))*(A319&lt;=_xlfn.ANCHORARRAY(Sintesi!$C$10)),0)),0)-_xlfn.IFNA(INDEX(_xlfn.ANCHORARRAY(Sintesi!$C$17),1,MATCH(1,(_xlfn.ANCHORARRAY(Sintesi!$C$9)&gt;_xlfn.ANCHORARRAY(Sintesi!$C$10))*(A319&gt;=_xlfn.ANCHORARRAY(Sintesi!$C$9))+(_xlfn.ANCHORARRAY(Sintesi!$C$9)&gt;_xlfn.ANCHORARRAY(Sintesi!$C$10))*(A319&lt;=_xlfn.ANCHORARRAY(Sintesi!$C$10))+(_xlfn.ANCHORARRAY(Sintesi!$C$9)&lt;_xlfn.ANCHORARRAY(Sintesi!$C$10))*(A319&gt;=_xlfn.ANCHORARRAY(Sintesi!$C$9))*(A319&lt;=_xlfn.ANCHORARRAY(Sintesi!$C$10)),0)),0)))),0)</f>
        <v>0</v>
      </c>
    </row>
    <row r="321" spans="1:13">
      <c r="A321" s="1">
        <f>'Paste cell here'!A321</f>
        <v>320</v>
      </c>
      <c r="B321" s="2">
        <f>DATE(Sintesi!$C$4-1,12,31)+A321</f>
        <v>44516</v>
      </c>
      <c r="C321" s="34">
        <f t="array" ref="C321">_xlfn.IFNA(MATCH(1,((_xlfn.ANCHORARRAY(Sintesi!$C$9)&gt;_xlfn.ANCHORARRAY(Sintesi!$C$10))*(A321&gt;=_xlfn.ANCHORARRAY(Sintesi!$C$9))+(_xlfn.ANCHORARRAY(Sintesi!$C$9)&gt;_xlfn.ANCHORARRAY(Sintesi!$C$10))*(A321&lt;=_xlfn.ANCHORARRAY(Sintesi!$C$10))+(_xlfn.ANCHORARRAY(Sintesi!$C$9)&lt;_xlfn.ANCHORARRAY(Sintesi!$C$10))*(A321&gt;=_xlfn.ANCHORARRAY(Sintesi!$C$9))*(A321&lt;=_xlfn.ANCHORARRAY(Sintesi!$C$10)))*(_xlfn.ANCHORARRAY(Sintesi!$C$15)&gt;=0)+(_xlfn.ANCHORARRAY(Sintesi!$C$15)&lt;0),0),0)</f>
        <v>0</v>
      </c>
      <c r="D321" s="1">
        <f t="array" ref="D321">IF(ISBLANK($E322),IF(ISNUMBER($E320),IF($C321&gt;0,IF(($E321=INDEX(_xlfn.ANCHORARRAY(Sintesi!$C$14),1,$C321))*(INDEX(_xlfn.ANCHORARRAY(Sintesi!$C$15),1,$C321)&gt;0),0,IF(($E321=INDEX(_xlfn.ANCHORARRAY(Sintesi!$C$14),1,$C321))*(INDEX(_xlfn.ANCHORARRAY(Sintesi!$C$15),1,$C321)&lt;0)+($E321&gt;=$E320)*($E321&lt;=INDEX($E:$E,MATCH(TRUE,INDEX((ISNUMBER($E:$E)),0),0)))*($E321&gt;INDEX(_xlfn.ANCHORARRAY(Sintesi!$C$14),1,$C321))*($E321&lt;=INDEX(_xlfn.ANCHORARRAY(Sintesi!$C$15),1,$C321))*(INDEX(_xlfn.ANCHORARRAY(Sintesi!$C$15),1,$C321)&gt;0),1,IF(($E321&gt;=$E320)*($E321&lt;=INDEX($E:$E,MATCH(TRUE,INDEX((ISNUMBER($E:$E)),0),0)))*($E321&gt;INDEX(_xlfn.ANCHORARRAY(Sintesi!$C$14),1,$C321))*($E321&lt;INDEX(_xlfn.ANCHORARRAY(Sintesi!$C$16),1,$C321))*(INDEX(_xlfn.ANCHORARRAY(Sintesi!$C$15),1,$C321)&lt;0)+($E321&gt;=$E320)*($E321&lt;=INDEX($E:$E,MATCH(TRUE,INDEX((ISNUMBER($E:$E)),0),0)))*($E321&gt;INDEX(_xlfn.ANCHORARRAY(Sintesi!$C$15),1,$C321))*($E321&lt;INDEX(_xlfn.ANCHORARRAY(Sintesi!$C$16),1,$C321))*(INDEX(_xlfn.ANCHORARRAY(Sintesi!$C$15),1,$C321)&gt;0),2,IF($E321=(INDEX(_xlfn.ANCHORARRAY(Sintesi!$C$16),1,$C321)),3,4)))),0),IF($C321&gt;0,IF(($E321=INDEX(_xlfn.ANCHORARRAY(Sintesi!$C$14),1,$C321))*(INDEX(_xlfn.ANCHORARRAY(Sintesi!$C$15),1,$C321)&gt;0),0,IF(($E321=INDEX(_xlfn.ANCHORARRAY(Sintesi!$C$14),1,$C321))*(INDEX(_xlfn.ANCHORARRAY(Sintesi!$C$15),1,$C321)&lt;0)+($E321&gt;=LOOKUP(2,1/($E:$E&lt;&gt;""),$E:$E))*($E321&lt;=INDEX($E:$E,MATCH(TRUE,INDEX((ISNUMBER($E:$E)),0),0)))*($E321&gt;INDEX(_xlfn.ANCHORARRAY(Sintesi!$C$14),1,$C321))*($E321&lt;=INDEX(_xlfn.ANCHORARRAY(Sintesi!$C$15),1,$C321))*(INDEX(_xlfn.ANCHORARRAY(Sintesi!$C$15),1,$C321)&gt;0),1,IF(($E321&gt;=LOOKUP(2,1/($E:$E&lt;&gt;""),$E:$E))*($E321&lt;=INDEX($E:$E,MATCH(TRUE,INDEX((ISNUMBER($E:$E)),0),0)))*($E321&gt;INDEX(_xlfn.ANCHORARRAY(Sintesi!$C$14),1,$C321))*($E321&lt;INDEX(_xlfn.ANCHORARRAY(Sintesi!$C$16),1,$C321))*(INDEX(_xlfn.ANCHORARRAY(Sintesi!$C$15),1,$C321)&lt;0)+($E321&gt;=LOOKUP(2,1/($E:$E&lt;&gt;""),$E:$E))*($E321&lt;=INDEX($E:$E,MATCH(TRUE,INDEX((ISNUMBER($E:$E)),0),0)))*($E321&gt;INDEX(_xlfn.ANCHORARRAY(Sintesi!$C$15),1,$C321))*($E321&lt;INDEX(_xlfn.ANCHORARRAY(Sintesi!$C$16),1,$C321))*(INDEX(_xlfn.ANCHORARRAY(Sintesi!$C$15),1,$C321)&gt;0),2,IF($E321=(INDEX(_xlfn.ANCHORARRAY(Sintesi!$C$16),1,$C321)),3,4)))),0)),IF(ISNUMBER($E320),IF($C321&gt;0,IF(($E321=INDEX(_xlfn.ANCHORARRAY(Sintesi!$C$14),1,$C321))*(INDEX(_xlfn.ANCHORARRAY(Sintesi!$C$15),1,$C321)&gt;0),0,IF(($E321=INDEX(_xlfn.ANCHORARRAY(Sintesi!$C$14),1,$C321))*(INDEX(_xlfn.ANCHORARRAY(Sintesi!$C$15),1,$C321)&lt;0)+($E321&gt;=$E320)*($E321&lt;=$E322)*($E321&gt;INDEX(_xlfn.ANCHORARRAY(Sintesi!$C$14),1,$C321))*($E321&lt;=INDEX(_xlfn.ANCHORARRAY(Sintesi!$C$15),1,$C321))*(INDEX(_xlfn.ANCHORARRAY(Sintesi!$C$15),1,$C321)&gt;0),1,IF(($E321&gt;=$E320)*($E321&lt;=$E322)*($E321&gt;INDEX(_xlfn.ANCHORARRAY(Sintesi!$C$14),1,$C321))*($E321&lt;INDEX(_xlfn.ANCHORARRAY(Sintesi!$C$16),1,$C321))*(INDEX(_xlfn.ANCHORARRAY(Sintesi!$C$15),1,$C321)&lt;0)+($E321&gt;=$E320)*($E321&lt;=$E322)*($E321&gt;INDEX(_xlfn.ANCHORARRAY(Sintesi!$C$15),1,$C321))*($E321&lt;INDEX(_xlfn.ANCHORARRAY(Sintesi!$C$16),1,$C321))*(INDEX(_xlfn.ANCHORARRAY(Sintesi!$C$15),1,$C321)&gt;0),2,IF($E321=(INDEX(_xlfn.ANCHORARRAY(Sintesi!$C$16),1,$C321)),3,4)))),0),IF($C321&gt;0,IF(($E321=INDEX(_xlfn.ANCHORARRAY(Sintesi!$C$14),1,$C321))*(INDEX(_xlfn.ANCHORARRAY(Sintesi!$C$15),1,$C321)&gt;0),0,IF(($E321=INDEX(_xlfn.ANCHORARRAY(Sintesi!$C$14),1,$C321))*(INDEX(_xlfn.ANCHORARRAY(Sintesi!$C$15),1,$C321)&lt;0)+($E321&gt;=LOOKUP(2,1/($E:$E&lt;&gt;""),$E:$E))*($E321&lt;=$E322)*($E321&gt;INDEX(_xlfn.ANCHORARRAY(Sintesi!$C$14),1,$C321))*($E321&lt;=INDEX(_xlfn.ANCHORARRAY(Sintesi!$C$15),1,$C321))*(INDEX(_xlfn.ANCHORARRAY(Sintesi!$C$15),1,$C321)&gt;0),1,IF(($E321&gt;=LOOKUP(2,1/($E:$E&lt;&gt;""),$E:$E))*($E321&lt;=$E322)*($E321&gt;INDEX(_xlfn.ANCHORARRAY(Sintesi!$C$14),1,$C321))*($E321&lt;INDEX(_xlfn.ANCHORARRAY(Sintesi!$C$16),1,$C321))*(INDEX(_xlfn.ANCHORARRAY(Sintesi!$C$15),1,$C321)&lt;0)+($E321&gt;=LOOKUP(2,1/($E:$E&lt;&gt;""),$E:$E))*($E321&lt;=$E322)*($E321&gt;INDEX(_xlfn.ANCHORARRAY(Sintesi!$C$15),1,$C321))*($E321&lt;INDEX(_xlfn.ANCHORARRAY(Sintesi!$C$16),1,$C321))*(INDEX(_xlfn.ANCHORARRAY(Sintesi!$C$15),1,$C321)&gt;0),2,IF($E321=(INDEX(_xlfn.ANCHORARRAY(Sintesi!$C$16),1,$C321)),3,4)))),0)))</f>
        <v>0</v>
      </c>
      <c r="E321" s="1">
        <f>'Paste cell here'!F321</f>
        <v>0</v>
      </c>
      <c r="F321" s="1">
        <f>'Paste cell here'!C321</f>
        <v>13.619999999999806</v>
      </c>
      <c r="G321" s="1">
        <f>'Paste cell here'!D321</f>
        <v>8.1799999999998896</v>
      </c>
      <c r="H321" s="1">
        <f>'Paste cell here'!E321</f>
        <v>0.5534663715220387</v>
      </c>
      <c r="I321" s="1">
        <f>'Paste cell here'!X321</f>
        <v>0</v>
      </c>
      <c r="J321" s="1">
        <f>'Paste cell here'!Y321+'Paste cell here'!S321</f>
        <v>0</v>
      </c>
      <c r="K321" s="1">
        <f t="shared" si="8"/>
        <v>0</v>
      </c>
      <c r="L321" s="1">
        <f t="shared" si="9"/>
        <v>11.647564618347078</v>
      </c>
      <c r="M321" s="1">
        <f t="array" ref="M321">IF(AND(A321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321&gt;=_xlfn.ANCHORARRAY(Sintesi!$C$9))+(_xlfn.ANCHORARRAY(Sintesi!$C$9)&gt;_xlfn.ANCHORARRAY(Sintesi!$C$10))*(A321&lt;=_xlfn.ANCHORARRAY(Sintesi!$C$10))+(_xlfn.ANCHORARRAY(Sintesi!$C$9)&lt;_xlfn.ANCHORARRAY(Sintesi!$C$10))*(A321&gt;=_xlfn.ANCHORARRAY(Sintesi!$C$9))*(A321&lt;=_xlfn.ANCHORARRAY(Sintesi!$C$10)),0)),0),A321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322&gt;=_xlfn.ANCHORARRAY(Sintesi!$C$9))+(_xlfn.ANCHORARRAY(Sintesi!$C$9)&gt;_xlfn.ANCHORARRAY(Sintesi!$C$10))*(A322&lt;=_xlfn.ANCHORARRAY(Sintesi!$C$10))+(_xlfn.ANCHORARRAY(Sintesi!$C$9)&lt;_xlfn.ANCHORARRAY(Sintesi!$C$10))*(A322&gt;=_xlfn.ANCHORARRAY(Sintesi!$C$9))*(A322&lt;=_xlfn.ANCHORARRAY(Sintesi!$C$10)),0)),0)),IF(L321&lt;_xlfn.IFNA(INDEX(_xlfn.ANCHORARRAY(Sintesi!$C$17),1,MATCH(1,(_xlfn.ANCHORARRAY(Sintesi!$C$9)&gt;_xlfn.ANCHORARRAY(Sintesi!$C$10))*(A320&gt;=_xlfn.ANCHORARRAY(Sintesi!$C$9))+(_xlfn.ANCHORARRAY(Sintesi!$C$9)&gt;_xlfn.ANCHORARRAY(Sintesi!$C$10))*(A320&lt;=_xlfn.ANCHORARRAY(Sintesi!$C$10))+(_xlfn.ANCHORARRAY(Sintesi!$C$9)&lt;_xlfn.ANCHORARRAY(Sintesi!$C$10))*(A320&gt;=_xlfn.ANCHORARRAY(Sintesi!$C$9))*(A320&lt;=_xlfn.ANCHORARRAY(Sintesi!$C$10)),0)),0),1,IF(L321&gt;=_xlfn.IFNA(INDEX(_xlfn.ANCHORARRAY(Sintesi!$C$18),1,MATCH(1,(_xlfn.ANCHORARRAY(Sintesi!$C$9)&gt;_xlfn.ANCHORARRAY(Sintesi!$C$10))*(A320&gt;=_xlfn.ANCHORARRAY(Sintesi!$C$9))+(_xlfn.ANCHORARRAY(Sintesi!$C$9)&gt;_xlfn.ANCHORARRAY(Sintesi!$C$10))*(A320&lt;=_xlfn.ANCHORARRAY(Sintesi!$C$10))+(_xlfn.ANCHORARRAY(Sintesi!$C$9)&lt;_xlfn.ANCHORARRAY(Sintesi!$C$10))*(A320&gt;=_xlfn.ANCHORARRAY(Sintesi!$C$9))*(A320&lt;=_xlfn.ANCHORARRAY(Sintesi!$C$10)),0)),0),0,1-(L321-_xlfn.IFNA(INDEX(_xlfn.ANCHORARRAY(Sintesi!$C$17),1,MATCH(1,(_xlfn.ANCHORARRAY(Sintesi!$C$9)&gt;_xlfn.ANCHORARRAY(Sintesi!$C$10))*(A320&gt;=_xlfn.ANCHORARRAY(Sintesi!$C$9))+(_xlfn.ANCHORARRAY(Sintesi!$C$9)&gt;_xlfn.ANCHORARRAY(Sintesi!$C$10))*(A320&lt;=_xlfn.ANCHORARRAY(Sintesi!$C$10))+(_xlfn.ANCHORARRAY(Sintesi!$C$9)&lt;_xlfn.ANCHORARRAY(Sintesi!$C$10))*(A320&gt;=_xlfn.ANCHORARRAY(Sintesi!$C$9))*(A320&lt;=_xlfn.ANCHORARRAY(Sintesi!$C$10)),0)),0))/(_xlfn.IFNA(INDEX(_xlfn.ANCHORARRAY(Sintesi!$C$18),1,MATCH(1,(_xlfn.ANCHORARRAY(Sintesi!$C$9)&gt;_xlfn.ANCHORARRAY(Sintesi!$C$10))*(A320&gt;=_xlfn.ANCHORARRAY(Sintesi!$C$9))+(_xlfn.ANCHORARRAY(Sintesi!$C$9)&gt;_xlfn.ANCHORARRAY(Sintesi!$C$10))*(A320&lt;=_xlfn.ANCHORARRAY(Sintesi!$C$10))+(_xlfn.ANCHORARRAY(Sintesi!$C$9)&lt;_xlfn.ANCHORARRAY(Sintesi!$C$10))*(A320&gt;=_xlfn.ANCHORARRAY(Sintesi!$C$9))*(A320&lt;=_xlfn.ANCHORARRAY(Sintesi!$C$10)),0)),0)-_xlfn.IFNA(INDEX(_xlfn.ANCHORARRAY(Sintesi!$C$17),1,MATCH(1,(_xlfn.ANCHORARRAY(Sintesi!$C$9)&gt;_xlfn.ANCHORARRAY(Sintesi!$C$10))*(A320&gt;=_xlfn.ANCHORARRAY(Sintesi!$C$9))+(_xlfn.ANCHORARRAY(Sintesi!$C$9)&gt;_xlfn.ANCHORARRAY(Sintesi!$C$10))*(A320&lt;=_xlfn.ANCHORARRAY(Sintesi!$C$10))+(_xlfn.ANCHORARRAY(Sintesi!$C$9)&lt;_xlfn.ANCHORARRAY(Sintesi!$C$10))*(A320&gt;=_xlfn.ANCHORARRAY(Sintesi!$C$9))*(A320&lt;=_xlfn.ANCHORARRAY(Sintesi!$C$10)),0)),0)))),0)</f>
        <v>0</v>
      </c>
    </row>
    <row r="322" spans="1:13">
      <c r="A322" s="1">
        <f>'Paste cell here'!A322</f>
        <v>321</v>
      </c>
      <c r="B322" s="2">
        <f>DATE(Sintesi!$C$4-1,12,31)+A322</f>
        <v>44517</v>
      </c>
      <c r="C322" s="34">
        <f t="array" ref="C322">_xlfn.IFNA(MATCH(1,((_xlfn.ANCHORARRAY(Sintesi!$C$9)&gt;_xlfn.ANCHORARRAY(Sintesi!$C$10))*(A322&gt;=_xlfn.ANCHORARRAY(Sintesi!$C$9))+(_xlfn.ANCHORARRAY(Sintesi!$C$9)&gt;_xlfn.ANCHORARRAY(Sintesi!$C$10))*(A322&lt;=_xlfn.ANCHORARRAY(Sintesi!$C$10))+(_xlfn.ANCHORARRAY(Sintesi!$C$9)&lt;_xlfn.ANCHORARRAY(Sintesi!$C$10))*(A322&gt;=_xlfn.ANCHORARRAY(Sintesi!$C$9))*(A322&lt;=_xlfn.ANCHORARRAY(Sintesi!$C$10)))*(_xlfn.ANCHORARRAY(Sintesi!$C$15)&gt;=0)+(_xlfn.ANCHORARRAY(Sintesi!$C$15)&lt;0),0),0)</f>
        <v>0</v>
      </c>
      <c r="D322" s="1">
        <f t="array" ref="D322">IF(ISBLANK($E323),IF(ISNUMBER($E321),IF($C322&gt;0,IF(($E322=INDEX(_xlfn.ANCHORARRAY(Sintesi!$C$14),1,$C322))*(INDEX(_xlfn.ANCHORARRAY(Sintesi!$C$15),1,$C322)&gt;0),0,IF(($E322=INDEX(_xlfn.ANCHORARRAY(Sintesi!$C$14),1,$C322))*(INDEX(_xlfn.ANCHORARRAY(Sintesi!$C$15),1,$C322)&lt;0)+($E322&gt;=$E321)*($E322&lt;=INDEX($E:$E,MATCH(TRUE,INDEX((ISNUMBER($E:$E)),0),0)))*($E322&gt;INDEX(_xlfn.ANCHORARRAY(Sintesi!$C$14),1,$C322))*($E322&lt;=INDEX(_xlfn.ANCHORARRAY(Sintesi!$C$15),1,$C322))*(INDEX(_xlfn.ANCHORARRAY(Sintesi!$C$15),1,$C322)&gt;0),1,IF(($E322&gt;=$E321)*($E322&lt;=INDEX($E:$E,MATCH(TRUE,INDEX((ISNUMBER($E:$E)),0),0)))*($E322&gt;INDEX(_xlfn.ANCHORARRAY(Sintesi!$C$14),1,$C322))*($E322&lt;INDEX(_xlfn.ANCHORARRAY(Sintesi!$C$16),1,$C322))*(INDEX(_xlfn.ANCHORARRAY(Sintesi!$C$15),1,$C322)&lt;0)+($E322&gt;=$E321)*($E322&lt;=INDEX($E:$E,MATCH(TRUE,INDEX((ISNUMBER($E:$E)),0),0)))*($E322&gt;INDEX(_xlfn.ANCHORARRAY(Sintesi!$C$15),1,$C322))*($E322&lt;INDEX(_xlfn.ANCHORARRAY(Sintesi!$C$16),1,$C322))*(INDEX(_xlfn.ANCHORARRAY(Sintesi!$C$15),1,$C322)&gt;0),2,IF($E322=(INDEX(_xlfn.ANCHORARRAY(Sintesi!$C$16),1,$C322)),3,4)))),0),IF($C322&gt;0,IF(($E322=INDEX(_xlfn.ANCHORARRAY(Sintesi!$C$14),1,$C322))*(INDEX(_xlfn.ANCHORARRAY(Sintesi!$C$15),1,$C322)&gt;0),0,IF(($E322=INDEX(_xlfn.ANCHORARRAY(Sintesi!$C$14),1,$C322))*(INDEX(_xlfn.ANCHORARRAY(Sintesi!$C$15),1,$C322)&lt;0)+($E322&gt;=LOOKUP(2,1/($E:$E&lt;&gt;""),$E:$E))*($E322&lt;=INDEX($E:$E,MATCH(TRUE,INDEX((ISNUMBER($E:$E)),0),0)))*($E322&gt;INDEX(_xlfn.ANCHORARRAY(Sintesi!$C$14),1,$C322))*($E322&lt;=INDEX(_xlfn.ANCHORARRAY(Sintesi!$C$15),1,$C322))*(INDEX(_xlfn.ANCHORARRAY(Sintesi!$C$15),1,$C322)&gt;0),1,IF(($E322&gt;=LOOKUP(2,1/($E:$E&lt;&gt;""),$E:$E))*($E322&lt;=INDEX($E:$E,MATCH(TRUE,INDEX((ISNUMBER($E:$E)),0),0)))*($E322&gt;INDEX(_xlfn.ANCHORARRAY(Sintesi!$C$14),1,$C322))*($E322&lt;INDEX(_xlfn.ANCHORARRAY(Sintesi!$C$16),1,$C322))*(INDEX(_xlfn.ANCHORARRAY(Sintesi!$C$15),1,$C322)&lt;0)+($E322&gt;=LOOKUP(2,1/($E:$E&lt;&gt;""),$E:$E))*($E322&lt;=INDEX($E:$E,MATCH(TRUE,INDEX((ISNUMBER($E:$E)),0),0)))*($E322&gt;INDEX(_xlfn.ANCHORARRAY(Sintesi!$C$15),1,$C322))*($E322&lt;INDEX(_xlfn.ANCHORARRAY(Sintesi!$C$16),1,$C322))*(INDEX(_xlfn.ANCHORARRAY(Sintesi!$C$15),1,$C322)&gt;0),2,IF($E322=(INDEX(_xlfn.ANCHORARRAY(Sintesi!$C$16),1,$C322)),3,4)))),0)),IF(ISNUMBER($E321),IF($C322&gt;0,IF(($E322=INDEX(_xlfn.ANCHORARRAY(Sintesi!$C$14),1,$C322))*(INDEX(_xlfn.ANCHORARRAY(Sintesi!$C$15),1,$C322)&gt;0),0,IF(($E322=INDEX(_xlfn.ANCHORARRAY(Sintesi!$C$14),1,$C322))*(INDEX(_xlfn.ANCHORARRAY(Sintesi!$C$15),1,$C322)&lt;0)+($E322&gt;=$E321)*($E322&lt;=$E323)*($E322&gt;INDEX(_xlfn.ANCHORARRAY(Sintesi!$C$14),1,$C322))*($E322&lt;=INDEX(_xlfn.ANCHORARRAY(Sintesi!$C$15),1,$C322))*(INDEX(_xlfn.ANCHORARRAY(Sintesi!$C$15),1,$C322)&gt;0),1,IF(($E322&gt;=$E321)*($E322&lt;=$E323)*($E322&gt;INDEX(_xlfn.ANCHORARRAY(Sintesi!$C$14),1,$C322))*($E322&lt;INDEX(_xlfn.ANCHORARRAY(Sintesi!$C$16),1,$C322))*(INDEX(_xlfn.ANCHORARRAY(Sintesi!$C$15),1,$C322)&lt;0)+($E322&gt;=$E321)*($E322&lt;=$E323)*($E322&gt;INDEX(_xlfn.ANCHORARRAY(Sintesi!$C$15),1,$C322))*($E322&lt;INDEX(_xlfn.ANCHORARRAY(Sintesi!$C$16),1,$C322))*(INDEX(_xlfn.ANCHORARRAY(Sintesi!$C$15),1,$C322)&gt;0),2,IF($E322=(INDEX(_xlfn.ANCHORARRAY(Sintesi!$C$16),1,$C322)),3,4)))),0),IF($C322&gt;0,IF(($E322=INDEX(_xlfn.ANCHORARRAY(Sintesi!$C$14),1,$C322))*(INDEX(_xlfn.ANCHORARRAY(Sintesi!$C$15),1,$C322)&gt;0),0,IF(($E322=INDEX(_xlfn.ANCHORARRAY(Sintesi!$C$14),1,$C322))*(INDEX(_xlfn.ANCHORARRAY(Sintesi!$C$15),1,$C322)&lt;0)+($E322&gt;=LOOKUP(2,1/($E:$E&lt;&gt;""),$E:$E))*($E322&lt;=$E323)*($E322&gt;INDEX(_xlfn.ANCHORARRAY(Sintesi!$C$14),1,$C322))*($E322&lt;=INDEX(_xlfn.ANCHORARRAY(Sintesi!$C$15),1,$C322))*(INDEX(_xlfn.ANCHORARRAY(Sintesi!$C$15),1,$C322)&gt;0),1,IF(($E322&gt;=LOOKUP(2,1/($E:$E&lt;&gt;""),$E:$E))*($E322&lt;=$E323)*($E322&gt;INDEX(_xlfn.ANCHORARRAY(Sintesi!$C$14),1,$C322))*($E322&lt;INDEX(_xlfn.ANCHORARRAY(Sintesi!$C$16),1,$C322))*(INDEX(_xlfn.ANCHORARRAY(Sintesi!$C$15),1,$C322)&lt;0)+($E322&gt;=LOOKUP(2,1/($E:$E&lt;&gt;""),$E:$E))*($E322&lt;=$E323)*($E322&gt;INDEX(_xlfn.ANCHORARRAY(Sintesi!$C$15),1,$C322))*($E322&lt;INDEX(_xlfn.ANCHORARRAY(Sintesi!$C$16),1,$C322))*(INDEX(_xlfn.ANCHORARRAY(Sintesi!$C$15),1,$C322)&gt;0),2,IF($E322=(INDEX(_xlfn.ANCHORARRAY(Sintesi!$C$16),1,$C322)),3,4)))),0)))</f>
        <v>0</v>
      </c>
      <c r="E322" s="1">
        <f>'Paste cell here'!F322</f>
        <v>0</v>
      </c>
      <c r="F322" s="1">
        <f>'Paste cell here'!C322</f>
        <v>13.339999999999812</v>
      </c>
      <c r="G322" s="1">
        <f>'Paste cell here'!D322</f>
        <v>8.4199999999998809</v>
      </c>
      <c r="H322" s="1">
        <f>'Paste cell here'!E322</f>
        <v>0.51151567477169002</v>
      </c>
      <c r="I322" s="1">
        <f>'Paste cell here'!X322</f>
        <v>0</v>
      </c>
      <c r="J322" s="1">
        <f>'Paste cell here'!Y322+'Paste cell here'!S322</f>
        <v>0</v>
      </c>
      <c r="K322" s="1">
        <f t="shared" ref="K322:K366" si="10">I322/H322</f>
        <v>0</v>
      </c>
      <c r="L322" s="1">
        <f t="shared" ref="L322:L366" si="11">AVERAGE(($F322+$G322)/2-($F322-$G322)/2*COS(PI()*(8-VLOOKUP(MONTH(B322),$O$1:$Q$13,3))/(VLOOKUP(MONTH(B322),$O$1:$Q$13,2)-VLOOKUP(MONTH(B322),$O$1:$Q$13,3))),($F322+$G322)/2-($F322-$G322)/2*COS(PI()*(9-VLOOKUP(MONTH(B322),$O$1:$Q$13,3))/(VLOOKUP(MONTH(B322),$O$1:$Q$13,2)-VLOOKUP(MONTH(B322),$O$1:$Q$13,3))),($F322+$G322)/2-($F322-$G322)/2*COS(PI()*(10-VLOOKUP(MONTH(B322),$O$1:$Q$13,3))/(VLOOKUP(MONTH(B322),$O$1:$Q$13,2)-VLOOKUP(MONTH(B322),$O$1:$Q$13,3))),($F322+$G322)/2-($F322-$G322)/2*COS(PI()*(11-VLOOKUP(MONTH(B322),$O$1:$Q$13,3))/(VLOOKUP(MONTH(B322),$O$1:$Q$13,2)-VLOOKUP(MONTH(B322),$O$1:$Q$13,3))),($F322+$G322)/2-($F322-$G322)/2*COS(PI()*(12-VLOOKUP(MONTH(B322),$O$1:$Q$13,3))/(VLOOKUP(MONTH(B322),$O$1:$Q$13,2)-VLOOKUP(MONTH(B322),$O$1:$Q$13,3))),($F322+$G322)/2-($F322-$G322)/2*COS(PI()*(13-VLOOKUP(MONTH(B322),$O$1:$Q$13,3))/(VLOOKUP(MONTH(B322),$O$1:$Q$13,2)-VLOOKUP(MONTH(B322),$O$1:$Q$13,3))),($F322+$G322)/2-($F322-$G322)/2*COS(PI()*(14-VLOOKUP(MONTH(B322),$O$1:$Q$13,3))/(VLOOKUP(MONTH(B322),$O$1:$Q$13,2)-VLOOKUP(MONTH(B322),$O$1:$Q$13,3))))</f>
        <v>11.556106235710944</v>
      </c>
      <c r="M322" s="1">
        <f t="array" ref="M322">IF(AND(A322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322&gt;=_xlfn.ANCHORARRAY(Sintesi!$C$9))+(_xlfn.ANCHORARRAY(Sintesi!$C$9)&gt;_xlfn.ANCHORARRAY(Sintesi!$C$10))*(A322&lt;=_xlfn.ANCHORARRAY(Sintesi!$C$10))+(_xlfn.ANCHORARRAY(Sintesi!$C$9)&lt;_xlfn.ANCHORARRAY(Sintesi!$C$10))*(A322&gt;=_xlfn.ANCHORARRAY(Sintesi!$C$9))*(A322&lt;=_xlfn.ANCHORARRAY(Sintesi!$C$10)),0)),0),A322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323&gt;=_xlfn.ANCHORARRAY(Sintesi!$C$9))+(_xlfn.ANCHORARRAY(Sintesi!$C$9)&gt;_xlfn.ANCHORARRAY(Sintesi!$C$10))*(A323&lt;=_xlfn.ANCHORARRAY(Sintesi!$C$10))+(_xlfn.ANCHORARRAY(Sintesi!$C$9)&lt;_xlfn.ANCHORARRAY(Sintesi!$C$10))*(A323&gt;=_xlfn.ANCHORARRAY(Sintesi!$C$9))*(A323&lt;=_xlfn.ANCHORARRAY(Sintesi!$C$10)),0)),0)),IF(L322&lt;_xlfn.IFNA(INDEX(_xlfn.ANCHORARRAY(Sintesi!$C$17),1,MATCH(1,(_xlfn.ANCHORARRAY(Sintesi!$C$9)&gt;_xlfn.ANCHORARRAY(Sintesi!$C$10))*(A321&gt;=_xlfn.ANCHORARRAY(Sintesi!$C$9))+(_xlfn.ANCHORARRAY(Sintesi!$C$9)&gt;_xlfn.ANCHORARRAY(Sintesi!$C$10))*(A321&lt;=_xlfn.ANCHORARRAY(Sintesi!$C$10))+(_xlfn.ANCHORARRAY(Sintesi!$C$9)&lt;_xlfn.ANCHORARRAY(Sintesi!$C$10))*(A321&gt;=_xlfn.ANCHORARRAY(Sintesi!$C$9))*(A321&lt;=_xlfn.ANCHORARRAY(Sintesi!$C$10)),0)),0),1,IF(L322&gt;=_xlfn.IFNA(INDEX(_xlfn.ANCHORARRAY(Sintesi!$C$18),1,MATCH(1,(_xlfn.ANCHORARRAY(Sintesi!$C$9)&gt;_xlfn.ANCHORARRAY(Sintesi!$C$10))*(A321&gt;=_xlfn.ANCHORARRAY(Sintesi!$C$9))+(_xlfn.ANCHORARRAY(Sintesi!$C$9)&gt;_xlfn.ANCHORARRAY(Sintesi!$C$10))*(A321&lt;=_xlfn.ANCHORARRAY(Sintesi!$C$10))+(_xlfn.ANCHORARRAY(Sintesi!$C$9)&lt;_xlfn.ANCHORARRAY(Sintesi!$C$10))*(A321&gt;=_xlfn.ANCHORARRAY(Sintesi!$C$9))*(A321&lt;=_xlfn.ANCHORARRAY(Sintesi!$C$10)),0)),0),0,1-(L322-_xlfn.IFNA(INDEX(_xlfn.ANCHORARRAY(Sintesi!$C$17),1,MATCH(1,(_xlfn.ANCHORARRAY(Sintesi!$C$9)&gt;_xlfn.ANCHORARRAY(Sintesi!$C$10))*(A321&gt;=_xlfn.ANCHORARRAY(Sintesi!$C$9))+(_xlfn.ANCHORARRAY(Sintesi!$C$9)&gt;_xlfn.ANCHORARRAY(Sintesi!$C$10))*(A321&lt;=_xlfn.ANCHORARRAY(Sintesi!$C$10))+(_xlfn.ANCHORARRAY(Sintesi!$C$9)&lt;_xlfn.ANCHORARRAY(Sintesi!$C$10))*(A321&gt;=_xlfn.ANCHORARRAY(Sintesi!$C$9))*(A321&lt;=_xlfn.ANCHORARRAY(Sintesi!$C$10)),0)),0))/(_xlfn.IFNA(INDEX(_xlfn.ANCHORARRAY(Sintesi!$C$18),1,MATCH(1,(_xlfn.ANCHORARRAY(Sintesi!$C$9)&gt;_xlfn.ANCHORARRAY(Sintesi!$C$10))*(A321&gt;=_xlfn.ANCHORARRAY(Sintesi!$C$9))+(_xlfn.ANCHORARRAY(Sintesi!$C$9)&gt;_xlfn.ANCHORARRAY(Sintesi!$C$10))*(A321&lt;=_xlfn.ANCHORARRAY(Sintesi!$C$10))+(_xlfn.ANCHORARRAY(Sintesi!$C$9)&lt;_xlfn.ANCHORARRAY(Sintesi!$C$10))*(A321&gt;=_xlfn.ANCHORARRAY(Sintesi!$C$9))*(A321&lt;=_xlfn.ANCHORARRAY(Sintesi!$C$10)),0)),0)-_xlfn.IFNA(INDEX(_xlfn.ANCHORARRAY(Sintesi!$C$17),1,MATCH(1,(_xlfn.ANCHORARRAY(Sintesi!$C$9)&gt;_xlfn.ANCHORARRAY(Sintesi!$C$10))*(A321&gt;=_xlfn.ANCHORARRAY(Sintesi!$C$9))+(_xlfn.ANCHORARRAY(Sintesi!$C$9)&gt;_xlfn.ANCHORARRAY(Sintesi!$C$10))*(A321&lt;=_xlfn.ANCHORARRAY(Sintesi!$C$10))+(_xlfn.ANCHORARRAY(Sintesi!$C$9)&lt;_xlfn.ANCHORARRAY(Sintesi!$C$10))*(A321&gt;=_xlfn.ANCHORARRAY(Sintesi!$C$9))*(A321&lt;=_xlfn.ANCHORARRAY(Sintesi!$C$10)),0)),0)))),0)</f>
        <v>0</v>
      </c>
    </row>
    <row r="323" spans="1:13">
      <c r="A323" s="1">
        <f>'Paste cell here'!A323</f>
        <v>322</v>
      </c>
      <c r="B323" s="2">
        <f>DATE(Sintesi!$C$4-1,12,31)+A323</f>
        <v>44518</v>
      </c>
      <c r="C323" s="34">
        <f t="array" ref="C323">_xlfn.IFNA(MATCH(1,((_xlfn.ANCHORARRAY(Sintesi!$C$9)&gt;_xlfn.ANCHORARRAY(Sintesi!$C$10))*(A323&gt;=_xlfn.ANCHORARRAY(Sintesi!$C$9))+(_xlfn.ANCHORARRAY(Sintesi!$C$9)&gt;_xlfn.ANCHORARRAY(Sintesi!$C$10))*(A323&lt;=_xlfn.ANCHORARRAY(Sintesi!$C$10))+(_xlfn.ANCHORARRAY(Sintesi!$C$9)&lt;_xlfn.ANCHORARRAY(Sintesi!$C$10))*(A323&gt;=_xlfn.ANCHORARRAY(Sintesi!$C$9))*(A323&lt;=_xlfn.ANCHORARRAY(Sintesi!$C$10)))*(_xlfn.ANCHORARRAY(Sintesi!$C$15)&gt;=0)+(_xlfn.ANCHORARRAY(Sintesi!$C$15)&lt;0),0),0)</f>
        <v>0</v>
      </c>
      <c r="D323" s="1">
        <f t="array" ref="D323">IF(ISBLANK($E324),IF(ISNUMBER($E322),IF($C323&gt;0,IF(($E323=INDEX(_xlfn.ANCHORARRAY(Sintesi!$C$14),1,$C323))*(INDEX(_xlfn.ANCHORARRAY(Sintesi!$C$15),1,$C323)&gt;0),0,IF(($E323=INDEX(_xlfn.ANCHORARRAY(Sintesi!$C$14),1,$C323))*(INDEX(_xlfn.ANCHORARRAY(Sintesi!$C$15),1,$C323)&lt;0)+($E323&gt;=$E322)*($E323&lt;=INDEX($E:$E,MATCH(TRUE,INDEX((ISNUMBER($E:$E)),0),0)))*($E323&gt;INDEX(_xlfn.ANCHORARRAY(Sintesi!$C$14),1,$C323))*($E323&lt;=INDEX(_xlfn.ANCHORARRAY(Sintesi!$C$15),1,$C323))*(INDEX(_xlfn.ANCHORARRAY(Sintesi!$C$15),1,$C323)&gt;0),1,IF(($E323&gt;=$E322)*($E323&lt;=INDEX($E:$E,MATCH(TRUE,INDEX((ISNUMBER($E:$E)),0),0)))*($E323&gt;INDEX(_xlfn.ANCHORARRAY(Sintesi!$C$14),1,$C323))*($E323&lt;INDEX(_xlfn.ANCHORARRAY(Sintesi!$C$16),1,$C323))*(INDEX(_xlfn.ANCHORARRAY(Sintesi!$C$15),1,$C323)&lt;0)+($E323&gt;=$E322)*($E323&lt;=INDEX($E:$E,MATCH(TRUE,INDEX((ISNUMBER($E:$E)),0),0)))*($E323&gt;INDEX(_xlfn.ANCHORARRAY(Sintesi!$C$15),1,$C323))*($E323&lt;INDEX(_xlfn.ANCHORARRAY(Sintesi!$C$16),1,$C323))*(INDEX(_xlfn.ANCHORARRAY(Sintesi!$C$15),1,$C323)&gt;0),2,IF($E323=(INDEX(_xlfn.ANCHORARRAY(Sintesi!$C$16),1,$C323)),3,4)))),0),IF($C323&gt;0,IF(($E323=INDEX(_xlfn.ANCHORARRAY(Sintesi!$C$14),1,$C323))*(INDEX(_xlfn.ANCHORARRAY(Sintesi!$C$15),1,$C323)&gt;0),0,IF(($E323=INDEX(_xlfn.ANCHORARRAY(Sintesi!$C$14),1,$C323))*(INDEX(_xlfn.ANCHORARRAY(Sintesi!$C$15),1,$C323)&lt;0)+($E323&gt;=LOOKUP(2,1/($E:$E&lt;&gt;""),$E:$E))*($E323&lt;=INDEX($E:$E,MATCH(TRUE,INDEX((ISNUMBER($E:$E)),0),0)))*($E323&gt;INDEX(_xlfn.ANCHORARRAY(Sintesi!$C$14),1,$C323))*($E323&lt;=INDEX(_xlfn.ANCHORARRAY(Sintesi!$C$15),1,$C323))*(INDEX(_xlfn.ANCHORARRAY(Sintesi!$C$15),1,$C323)&gt;0),1,IF(($E323&gt;=LOOKUP(2,1/($E:$E&lt;&gt;""),$E:$E))*($E323&lt;=INDEX($E:$E,MATCH(TRUE,INDEX((ISNUMBER($E:$E)),0),0)))*($E323&gt;INDEX(_xlfn.ANCHORARRAY(Sintesi!$C$14),1,$C323))*($E323&lt;INDEX(_xlfn.ANCHORARRAY(Sintesi!$C$16),1,$C323))*(INDEX(_xlfn.ANCHORARRAY(Sintesi!$C$15),1,$C323)&lt;0)+($E323&gt;=LOOKUP(2,1/($E:$E&lt;&gt;""),$E:$E))*($E323&lt;=INDEX($E:$E,MATCH(TRUE,INDEX((ISNUMBER($E:$E)),0),0)))*($E323&gt;INDEX(_xlfn.ANCHORARRAY(Sintesi!$C$15),1,$C323))*($E323&lt;INDEX(_xlfn.ANCHORARRAY(Sintesi!$C$16),1,$C323))*(INDEX(_xlfn.ANCHORARRAY(Sintesi!$C$15),1,$C323)&gt;0),2,IF($E323=(INDEX(_xlfn.ANCHORARRAY(Sintesi!$C$16),1,$C323)),3,4)))),0)),IF(ISNUMBER($E322),IF($C323&gt;0,IF(($E323=INDEX(_xlfn.ANCHORARRAY(Sintesi!$C$14),1,$C323))*(INDEX(_xlfn.ANCHORARRAY(Sintesi!$C$15),1,$C323)&gt;0),0,IF(($E323=INDEX(_xlfn.ANCHORARRAY(Sintesi!$C$14),1,$C323))*(INDEX(_xlfn.ANCHORARRAY(Sintesi!$C$15),1,$C323)&lt;0)+($E323&gt;=$E322)*($E323&lt;=$E324)*($E323&gt;INDEX(_xlfn.ANCHORARRAY(Sintesi!$C$14),1,$C323))*($E323&lt;=INDEX(_xlfn.ANCHORARRAY(Sintesi!$C$15),1,$C323))*(INDEX(_xlfn.ANCHORARRAY(Sintesi!$C$15),1,$C323)&gt;0),1,IF(($E323&gt;=$E322)*($E323&lt;=$E324)*($E323&gt;INDEX(_xlfn.ANCHORARRAY(Sintesi!$C$14),1,$C323))*($E323&lt;INDEX(_xlfn.ANCHORARRAY(Sintesi!$C$16),1,$C323))*(INDEX(_xlfn.ANCHORARRAY(Sintesi!$C$15),1,$C323)&lt;0)+($E323&gt;=$E322)*($E323&lt;=$E324)*($E323&gt;INDEX(_xlfn.ANCHORARRAY(Sintesi!$C$15),1,$C323))*($E323&lt;INDEX(_xlfn.ANCHORARRAY(Sintesi!$C$16),1,$C323))*(INDEX(_xlfn.ANCHORARRAY(Sintesi!$C$15),1,$C323)&gt;0),2,IF($E323=(INDEX(_xlfn.ANCHORARRAY(Sintesi!$C$16),1,$C323)),3,4)))),0),IF($C323&gt;0,IF(($E323=INDEX(_xlfn.ANCHORARRAY(Sintesi!$C$14),1,$C323))*(INDEX(_xlfn.ANCHORARRAY(Sintesi!$C$15),1,$C323)&gt;0),0,IF(($E323=INDEX(_xlfn.ANCHORARRAY(Sintesi!$C$14),1,$C323))*(INDEX(_xlfn.ANCHORARRAY(Sintesi!$C$15),1,$C323)&lt;0)+($E323&gt;=LOOKUP(2,1/($E:$E&lt;&gt;""),$E:$E))*($E323&lt;=$E324)*($E323&gt;INDEX(_xlfn.ANCHORARRAY(Sintesi!$C$14),1,$C323))*($E323&lt;=INDEX(_xlfn.ANCHORARRAY(Sintesi!$C$15),1,$C323))*(INDEX(_xlfn.ANCHORARRAY(Sintesi!$C$15),1,$C323)&gt;0),1,IF(($E323&gt;=LOOKUP(2,1/($E:$E&lt;&gt;""),$E:$E))*($E323&lt;=$E324)*($E323&gt;INDEX(_xlfn.ANCHORARRAY(Sintesi!$C$14),1,$C323))*($E323&lt;INDEX(_xlfn.ANCHORARRAY(Sintesi!$C$16),1,$C323))*(INDEX(_xlfn.ANCHORARRAY(Sintesi!$C$15),1,$C323)&lt;0)+($E323&gt;=LOOKUP(2,1/($E:$E&lt;&gt;""),$E:$E))*($E323&lt;=$E324)*($E323&gt;INDEX(_xlfn.ANCHORARRAY(Sintesi!$C$15),1,$C323))*($E323&lt;INDEX(_xlfn.ANCHORARRAY(Sintesi!$C$16),1,$C323))*(INDEX(_xlfn.ANCHORARRAY(Sintesi!$C$15),1,$C323)&gt;0),2,IF($E323=(INDEX(_xlfn.ANCHORARRAY(Sintesi!$C$16),1,$C323)),3,4)))),0)))</f>
        <v>0</v>
      </c>
      <c r="E323" s="1">
        <f>'Paste cell here'!F323</f>
        <v>0</v>
      </c>
      <c r="F323" s="1">
        <f>'Paste cell here'!C323</f>
        <v>16.179999999999779</v>
      </c>
      <c r="G323" s="1">
        <f>'Paste cell here'!D323</f>
        <v>7.1799999999998985</v>
      </c>
      <c r="H323" s="1">
        <f>'Paste cell here'!E323</f>
        <v>0.48779467147831507</v>
      </c>
      <c r="I323" s="1">
        <f>'Paste cell here'!X323</f>
        <v>0</v>
      </c>
      <c r="J323" s="1">
        <f>'Paste cell here'!Y323+'Paste cell here'!S323</f>
        <v>0</v>
      </c>
      <c r="K323" s="1">
        <f t="shared" si="10"/>
        <v>0</v>
      </c>
      <c r="L323" s="1">
        <f t="shared" si="11"/>
        <v>12.916779699471364</v>
      </c>
      <c r="M323" s="1">
        <f t="array" ref="M323">IF(AND(A323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323&gt;=_xlfn.ANCHORARRAY(Sintesi!$C$9))+(_xlfn.ANCHORARRAY(Sintesi!$C$9)&gt;_xlfn.ANCHORARRAY(Sintesi!$C$10))*(A323&lt;=_xlfn.ANCHORARRAY(Sintesi!$C$10))+(_xlfn.ANCHORARRAY(Sintesi!$C$9)&lt;_xlfn.ANCHORARRAY(Sintesi!$C$10))*(A323&gt;=_xlfn.ANCHORARRAY(Sintesi!$C$9))*(A323&lt;=_xlfn.ANCHORARRAY(Sintesi!$C$10)),0)),0),A323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324&gt;=_xlfn.ANCHORARRAY(Sintesi!$C$9))+(_xlfn.ANCHORARRAY(Sintesi!$C$9)&gt;_xlfn.ANCHORARRAY(Sintesi!$C$10))*(A324&lt;=_xlfn.ANCHORARRAY(Sintesi!$C$10))+(_xlfn.ANCHORARRAY(Sintesi!$C$9)&lt;_xlfn.ANCHORARRAY(Sintesi!$C$10))*(A324&gt;=_xlfn.ANCHORARRAY(Sintesi!$C$9))*(A324&lt;=_xlfn.ANCHORARRAY(Sintesi!$C$10)),0)),0)),IF(L323&lt;_xlfn.IFNA(INDEX(_xlfn.ANCHORARRAY(Sintesi!$C$17),1,MATCH(1,(_xlfn.ANCHORARRAY(Sintesi!$C$9)&gt;_xlfn.ANCHORARRAY(Sintesi!$C$10))*(A322&gt;=_xlfn.ANCHORARRAY(Sintesi!$C$9))+(_xlfn.ANCHORARRAY(Sintesi!$C$9)&gt;_xlfn.ANCHORARRAY(Sintesi!$C$10))*(A322&lt;=_xlfn.ANCHORARRAY(Sintesi!$C$10))+(_xlfn.ANCHORARRAY(Sintesi!$C$9)&lt;_xlfn.ANCHORARRAY(Sintesi!$C$10))*(A322&gt;=_xlfn.ANCHORARRAY(Sintesi!$C$9))*(A322&lt;=_xlfn.ANCHORARRAY(Sintesi!$C$10)),0)),0),1,IF(L323&gt;=_xlfn.IFNA(INDEX(_xlfn.ANCHORARRAY(Sintesi!$C$18),1,MATCH(1,(_xlfn.ANCHORARRAY(Sintesi!$C$9)&gt;_xlfn.ANCHORARRAY(Sintesi!$C$10))*(A322&gt;=_xlfn.ANCHORARRAY(Sintesi!$C$9))+(_xlfn.ANCHORARRAY(Sintesi!$C$9)&gt;_xlfn.ANCHORARRAY(Sintesi!$C$10))*(A322&lt;=_xlfn.ANCHORARRAY(Sintesi!$C$10))+(_xlfn.ANCHORARRAY(Sintesi!$C$9)&lt;_xlfn.ANCHORARRAY(Sintesi!$C$10))*(A322&gt;=_xlfn.ANCHORARRAY(Sintesi!$C$9))*(A322&lt;=_xlfn.ANCHORARRAY(Sintesi!$C$10)),0)),0),0,1-(L323-_xlfn.IFNA(INDEX(_xlfn.ANCHORARRAY(Sintesi!$C$17),1,MATCH(1,(_xlfn.ANCHORARRAY(Sintesi!$C$9)&gt;_xlfn.ANCHORARRAY(Sintesi!$C$10))*(A322&gt;=_xlfn.ANCHORARRAY(Sintesi!$C$9))+(_xlfn.ANCHORARRAY(Sintesi!$C$9)&gt;_xlfn.ANCHORARRAY(Sintesi!$C$10))*(A322&lt;=_xlfn.ANCHORARRAY(Sintesi!$C$10))+(_xlfn.ANCHORARRAY(Sintesi!$C$9)&lt;_xlfn.ANCHORARRAY(Sintesi!$C$10))*(A322&gt;=_xlfn.ANCHORARRAY(Sintesi!$C$9))*(A322&lt;=_xlfn.ANCHORARRAY(Sintesi!$C$10)),0)),0))/(_xlfn.IFNA(INDEX(_xlfn.ANCHORARRAY(Sintesi!$C$18),1,MATCH(1,(_xlfn.ANCHORARRAY(Sintesi!$C$9)&gt;_xlfn.ANCHORARRAY(Sintesi!$C$10))*(A322&gt;=_xlfn.ANCHORARRAY(Sintesi!$C$9))+(_xlfn.ANCHORARRAY(Sintesi!$C$9)&gt;_xlfn.ANCHORARRAY(Sintesi!$C$10))*(A322&lt;=_xlfn.ANCHORARRAY(Sintesi!$C$10))+(_xlfn.ANCHORARRAY(Sintesi!$C$9)&lt;_xlfn.ANCHORARRAY(Sintesi!$C$10))*(A322&gt;=_xlfn.ANCHORARRAY(Sintesi!$C$9))*(A322&lt;=_xlfn.ANCHORARRAY(Sintesi!$C$10)),0)),0)-_xlfn.IFNA(INDEX(_xlfn.ANCHORARRAY(Sintesi!$C$17),1,MATCH(1,(_xlfn.ANCHORARRAY(Sintesi!$C$9)&gt;_xlfn.ANCHORARRAY(Sintesi!$C$10))*(A322&gt;=_xlfn.ANCHORARRAY(Sintesi!$C$9))+(_xlfn.ANCHORARRAY(Sintesi!$C$9)&gt;_xlfn.ANCHORARRAY(Sintesi!$C$10))*(A322&lt;=_xlfn.ANCHORARRAY(Sintesi!$C$10))+(_xlfn.ANCHORARRAY(Sintesi!$C$9)&lt;_xlfn.ANCHORARRAY(Sintesi!$C$10))*(A322&gt;=_xlfn.ANCHORARRAY(Sintesi!$C$9))*(A322&lt;=_xlfn.ANCHORARRAY(Sintesi!$C$10)),0)),0)))),0)</f>
        <v>0</v>
      </c>
    </row>
    <row r="324" spans="1:13">
      <c r="A324" s="1">
        <f>'Paste cell here'!A324</f>
        <v>323</v>
      </c>
      <c r="B324" s="2">
        <f>DATE(Sintesi!$C$4-1,12,31)+A324</f>
        <v>44519</v>
      </c>
      <c r="C324" s="34">
        <f t="array" ref="C324">_xlfn.IFNA(MATCH(1,((_xlfn.ANCHORARRAY(Sintesi!$C$9)&gt;_xlfn.ANCHORARRAY(Sintesi!$C$10))*(A324&gt;=_xlfn.ANCHORARRAY(Sintesi!$C$9))+(_xlfn.ANCHORARRAY(Sintesi!$C$9)&gt;_xlfn.ANCHORARRAY(Sintesi!$C$10))*(A324&lt;=_xlfn.ANCHORARRAY(Sintesi!$C$10))+(_xlfn.ANCHORARRAY(Sintesi!$C$9)&lt;_xlfn.ANCHORARRAY(Sintesi!$C$10))*(A324&gt;=_xlfn.ANCHORARRAY(Sintesi!$C$9))*(A324&lt;=_xlfn.ANCHORARRAY(Sintesi!$C$10)))*(_xlfn.ANCHORARRAY(Sintesi!$C$15)&gt;=0)+(_xlfn.ANCHORARRAY(Sintesi!$C$15)&lt;0),0),0)</f>
        <v>0</v>
      </c>
      <c r="D324" s="1">
        <f t="array" ref="D324">IF(ISBLANK($E325),IF(ISNUMBER($E323),IF($C324&gt;0,IF(($E324=INDEX(_xlfn.ANCHORARRAY(Sintesi!$C$14),1,$C324))*(INDEX(_xlfn.ANCHORARRAY(Sintesi!$C$15),1,$C324)&gt;0),0,IF(($E324=INDEX(_xlfn.ANCHORARRAY(Sintesi!$C$14),1,$C324))*(INDEX(_xlfn.ANCHORARRAY(Sintesi!$C$15),1,$C324)&lt;0)+($E324&gt;=$E323)*($E324&lt;=INDEX($E:$E,MATCH(TRUE,INDEX((ISNUMBER($E:$E)),0),0)))*($E324&gt;INDEX(_xlfn.ANCHORARRAY(Sintesi!$C$14),1,$C324))*($E324&lt;=INDEX(_xlfn.ANCHORARRAY(Sintesi!$C$15),1,$C324))*(INDEX(_xlfn.ANCHORARRAY(Sintesi!$C$15),1,$C324)&gt;0),1,IF(($E324&gt;=$E323)*($E324&lt;=INDEX($E:$E,MATCH(TRUE,INDEX((ISNUMBER($E:$E)),0),0)))*($E324&gt;INDEX(_xlfn.ANCHORARRAY(Sintesi!$C$14),1,$C324))*($E324&lt;INDEX(_xlfn.ANCHORARRAY(Sintesi!$C$16),1,$C324))*(INDEX(_xlfn.ANCHORARRAY(Sintesi!$C$15),1,$C324)&lt;0)+($E324&gt;=$E323)*($E324&lt;=INDEX($E:$E,MATCH(TRUE,INDEX((ISNUMBER($E:$E)),0),0)))*($E324&gt;INDEX(_xlfn.ANCHORARRAY(Sintesi!$C$15),1,$C324))*($E324&lt;INDEX(_xlfn.ANCHORARRAY(Sintesi!$C$16),1,$C324))*(INDEX(_xlfn.ANCHORARRAY(Sintesi!$C$15),1,$C324)&gt;0),2,IF($E324=(INDEX(_xlfn.ANCHORARRAY(Sintesi!$C$16),1,$C324)),3,4)))),0),IF($C324&gt;0,IF(($E324=INDEX(_xlfn.ANCHORARRAY(Sintesi!$C$14),1,$C324))*(INDEX(_xlfn.ANCHORARRAY(Sintesi!$C$15),1,$C324)&gt;0),0,IF(($E324=INDEX(_xlfn.ANCHORARRAY(Sintesi!$C$14),1,$C324))*(INDEX(_xlfn.ANCHORARRAY(Sintesi!$C$15),1,$C324)&lt;0)+($E324&gt;=LOOKUP(2,1/($E:$E&lt;&gt;""),$E:$E))*($E324&lt;=INDEX($E:$E,MATCH(TRUE,INDEX((ISNUMBER($E:$E)),0),0)))*($E324&gt;INDEX(_xlfn.ANCHORARRAY(Sintesi!$C$14),1,$C324))*($E324&lt;=INDEX(_xlfn.ANCHORARRAY(Sintesi!$C$15),1,$C324))*(INDEX(_xlfn.ANCHORARRAY(Sintesi!$C$15),1,$C324)&gt;0),1,IF(($E324&gt;=LOOKUP(2,1/($E:$E&lt;&gt;""),$E:$E))*($E324&lt;=INDEX($E:$E,MATCH(TRUE,INDEX((ISNUMBER($E:$E)),0),0)))*($E324&gt;INDEX(_xlfn.ANCHORARRAY(Sintesi!$C$14),1,$C324))*($E324&lt;INDEX(_xlfn.ANCHORARRAY(Sintesi!$C$16),1,$C324))*(INDEX(_xlfn.ANCHORARRAY(Sintesi!$C$15),1,$C324)&lt;0)+($E324&gt;=LOOKUP(2,1/($E:$E&lt;&gt;""),$E:$E))*($E324&lt;=INDEX($E:$E,MATCH(TRUE,INDEX((ISNUMBER($E:$E)),0),0)))*($E324&gt;INDEX(_xlfn.ANCHORARRAY(Sintesi!$C$15),1,$C324))*($E324&lt;INDEX(_xlfn.ANCHORARRAY(Sintesi!$C$16),1,$C324))*(INDEX(_xlfn.ANCHORARRAY(Sintesi!$C$15),1,$C324)&gt;0),2,IF($E324=(INDEX(_xlfn.ANCHORARRAY(Sintesi!$C$16),1,$C324)),3,4)))),0)),IF(ISNUMBER($E323),IF($C324&gt;0,IF(($E324=INDEX(_xlfn.ANCHORARRAY(Sintesi!$C$14),1,$C324))*(INDEX(_xlfn.ANCHORARRAY(Sintesi!$C$15),1,$C324)&gt;0),0,IF(($E324=INDEX(_xlfn.ANCHORARRAY(Sintesi!$C$14),1,$C324))*(INDEX(_xlfn.ANCHORARRAY(Sintesi!$C$15),1,$C324)&lt;0)+($E324&gt;=$E323)*($E324&lt;=$E325)*($E324&gt;INDEX(_xlfn.ANCHORARRAY(Sintesi!$C$14),1,$C324))*($E324&lt;=INDEX(_xlfn.ANCHORARRAY(Sintesi!$C$15),1,$C324))*(INDEX(_xlfn.ANCHORARRAY(Sintesi!$C$15),1,$C324)&gt;0),1,IF(($E324&gt;=$E323)*($E324&lt;=$E325)*($E324&gt;INDEX(_xlfn.ANCHORARRAY(Sintesi!$C$14),1,$C324))*($E324&lt;INDEX(_xlfn.ANCHORARRAY(Sintesi!$C$16),1,$C324))*(INDEX(_xlfn.ANCHORARRAY(Sintesi!$C$15),1,$C324)&lt;0)+($E324&gt;=$E323)*($E324&lt;=$E325)*($E324&gt;INDEX(_xlfn.ANCHORARRAY(Sintesi!$C$15),1,$C324))*($E324&lt;INDEX(_xlfn.ANCHORARRAY(Sintesi!$C$16),1,$C324))*(INDEX(_xlfn.ANCHORARRAY(Sintesi!$C$15),1,$C324)&gt;0),2,IF($E324=(INDEX(_xlfn.ANCHORARRAY(Sintesi!$C$16),1,$C324)),3,4)))),0),IF($C324&gt;0,IF(($E324=INDEX(_xlfn.ANCHORARRAY(Sintesi!$C$14),1,$C324))*(INDEX(_xlfn.ANCHORARRAY(Sintesi!$C$15),1,$C324)&gt;0),0,IF(($E324=INDEX(_xlfn.ANCHORARRAY(Sintesi!$C$14),1,$C324))*(INDEX(_xlfn.ANCHORARRAY(Sintesi!$C$15),1,$C324)&lt;0)+($E324&gt;=LOOKUP(2,1/($E:$E&lt;&gt;""),$E:$E))*($E324&lt;=$E325)*($E324&gt;INDEX(_xlfn.ANCHORARRAY(Sintesi!$C$14),1,$C324))*($E324&lt;=INDEX(_xlfn.ANCHORARRAY(Sintesi!$C$15),1,$C324))*(INDEX(_xlfn.ANCHORARRAY(Sintesi!$C$15),1,$C324)&gt;0),1,IF(($E324&gt;=LOOKUP(2,1/($E:$E&lt;&gt;""),$E:$E))*($E324&lt;=$E325)*($E324&gt;INDEX(_xlfn.ANCHORARRAY(Sintesi!$C$14),1,$C324))*($E324&lt;INDEX(_xlfn.ANCHORARRAY(Sintesi!$C$16),1,$C324))*(INDEX(_xlfn.ANCHORARRAY(Sintesi!$C$15),1,$C324)&lt;0)+($E324&gt;=LOOKUP(2,1/($E:$E&lt;&gt;""),$E:$E))*($E324&lt;=$E325)*($E324&gt;INDEX(_xlfn.ANCHORARRAY(Sintesi!$C$15),1,$C324))*($E324&lt;INDEX(_xlfn.ANCHORARRAY(Sintesi!$C$16),1,$C324))*(INDEX(_xlfn.ANCHORARRAY(Sintesi!$C$15),1,$C324)&gt;0),2,IF($E324=(INDEX(_xlfn.ANCHORARRAY(Sintesi!$C$16),1,$C324)),3,4)))),0)))</f>
        <v>0</v>
      </c>
      <c r="E324" s="1">
        <f>'Paste cell here'!F324</f>
        <v>0</v>
      </c>
      <c r="F324" s="1">
        <f>'Paste cell here'!C324</f>
        <v>12.799999999999812</v>
      </c>
      <c r="G324" s="1">
        <f>'Paste cell here'!D324</f>
        <v>9.7399999999998688</v>
      </c>
      <c r="H324" s="1">
        <f>'Paste cell here'!E324</f>
        <v>0.55088075739514009</v>
      </c>
      <c r="I324" s="1">
        <f>'Paste cell here'!X324</f>
        <v>0</v>
      </c>
      <c r="J324" s="1">
        <f>'Paste cell here'!Y324+'Paste cell here'!S324</f>
        <v>0</v>
      </c>
      <c r="K324" s="1">
        <f t="shared" si="10"/>
        <v>0</v>
      </c>
      <c r="L324" s="1">
        <f t="shared" si="11"/>
        <v>11.690505097820155</v>
      </c>
      <c r="M324" s="1">
        <f t="array" ref="M324">IF(AND(A324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324&gt;=_xlfn.ANCHORARRAY(Sintesi!$C$9))+(_xlfn.ANCHORARRAY(Sintesi!$C$9)&gt;_xlfn.ANCHORARRAY(Sintesi!$C$10))*(A324&lt;=_xlfn.ANCHORARRAY(Sintesi!$C$10))+(_xlfn.ANCHORARRAY(Sintesi!$C$9)&lt;_xlfn.ANCHORARRAY(Sintesi!$C$10))*(A324&gt;=_xlfn.ANCHORARRAY(Sintesi!$C$9))*(A324&lt;=_xlfn.ANCHORARRAY(Sintesi!$C$10)),0)),0),A324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325&gt;=_xlfn.ANCHORARRAY(Sintesi!$C$9))+(_xlfn.ANCHORARRAY(Sintesi!$C$9)&gt;_xlfn.ANCHORARRAY(Sintesi!$C$10))*(A325&lt;=_xlfn.ANCHORARRAY(Sintesi!$C$10))+(_xlfn.ANCHORARRAY(Sintesi!$C$9)&lt;_xlfn.ANCHORARRAY(Sintesi!$C$10))*(A325&gt;=_xlfn.ANCHORARRAY(Sintesi!$C$9))*(A325&lt;=_xlfn.ANCHORARRAY(Sintesi!$C$10)),0)),0)),IF(L324&lt;_xlfn.IFNA(INDEX(_xlfn.ANCHORARRAY(Sintesi!$C$17),1,MATCH(1,(_xlfn.ANCHORARRAY(Sintesi!$C$9)&gt;_xlfn.ANCHORARRAY(Sintesi!$C$10))*(A323&gt;=_xlfn.ANCHORARRAY(Sintesi!$C$9))+(_xlfn.ANCHORARRAY(Sintesi!$C$9)&gt;_xlfn.ANCHORARRAY(Sintesi!$C$10))*(A323&lt;=_xlfn.ANCHORARRAY(Sintesi!$C$10))+(_xlfn.ANCHORARRAY(Sintesi!$C$9)&lt;_xlfn.ANCHORARRAY(Sintesi!$C$10))*(A323&gt;=_xlfn.ANCHORARRAY(Sintesi!$C$9))*(A323&lt;=_xlfn.ANCHORARRAY(Sintesi!$C$10)),0)),0),1,IF(L324&gt;=_xlfn.IFNA(INDEX(_xlfn.ANCHORARRAY(Sintesi!$C$18),1,MATCH(1,(_xlfn.ANCHORARRAY(Sintesi!$C$9)&gt;_xlfn.ANCHORARRAY(Sintesi!$C$10))*(A323&gt;=_xlfn.ANCHORARRAY(Sintesi!$C$9))+(_xlfn.ANCHORARRAY(Sintesi!$C$9)&gt;_xlfn.ANCHORARRAY(Sintesi!$C$10))*(A323&lt;=_xlfn.ANCHORARRAY(Sintesi!$C$10))+(_xlfn.ANCHORARRAY(Sintesi!$C$9)&lt;_xlfn.ANCHORARRAY(Sintesi!$C$10))*(A323&gt;=_xlfn.ANCHORARRAY(Sintesi!$C$9))*(A323&lt;=_xlfn.ANCHORARRAY(Sintesi!$C$10)),0)),0),0,1-(L324-_xlfn.IFNA(INDEX(_xlfn.ANCHORARRAY(Sintesi!$C$17),1,MATCH(1,(_xlfn.ANCHORARRAY(Sintesi!$C$9)&gt;_xlfn.ANCHORARRAY(Sintesi!$C$10))*(A323&gt;=_xlfn.ANCHORARRAY(Sintesi!$C$9))+(_xlfn.ANCHORARRAY(Sintesi!$C$9)&gt;_xlfn.ANCHORARRAY(Sintesi!$C$10))*(A323&lt;=_xlfn.ANCHORARRAY(Sintesi!$C$10))+(_xlfn.ANCHORARRAY(Sintesi!$C$9)&lt;_xlfn.ANCHORARRAY(Sintesi!$C$10))*(A323&gt;=_xlfn.ANCHORARRAY(Sintesi!$C$9))*(A323&lt;=_xlfn.ANCHORARRAY(Sintesi!$C$10)),0)),0))/(_xlfn.IFNA(INDEX(_xlfn.ANCHORARRAY(Sintesi!$C$18),1,MATCH(1,(_xlfn.ANCHORARRAY(Sintesi!$C$9)&gt;_xlfn.ANCHORARRAY(Sintesi!$C$10))*(A323&gt;=_xlfn.ANCHORARRAY(Sintesi!$C$9))+(_xlfn.ANCHORARRAY(Sintesi!$C$9)&gt;_xlfn.ANCHORARRAY(Sintesi!$C$10))*(A323&lt;=_xlfn.ANCHORARRAY(Sintesi!$C$10))+(_xlfn.ANCHORARRAY(Sintesi!$C$9)&lt;_xlfn.ANCHORARRAY(Sintesi!$C$10))*(A323&gt;=_xlfn.ANCHORARRAY(Sintesi!$C$9))*(A323&lt;=_xlfn.ANCHORARRAY(Sintesi!$C$10)),0)),0)-_xlfn.IFNA(INDEX(_xlfn.ANCHORARRAY(Sintesi!$C$17),1,MATCH(1,(_xlfn.ANCHORARRAY(Sintesi!$C$9)&gt;_xlfn.ANCHORARRAY(Sintesi!$C$10))*(A323&gt;=_xlfn.ANCHORARRAY(Sintesi!$C$9))+(_xlfn.ANCHORARRAY(Sintesi!$C$9)&gt;_xlfn.ANCHORARRAY(Sintesi!$C$10))*(A323&lt;=_xlfn.ANCHORARRAY(Sintesi!$C$10))+(_xlfn.ANCHORARRAY(Sintesi!$C$9)&lt;_xlfn.ANCHORARRAY(Sintesi!$C$10))*(A323&gt;=_xlfn.ANCHORARRAY(Sintesi!$C$9))*(A323&lt;=_xlfn.ANCHORARRAY(Sintesi!$C$10)),0)),0)))),0)</f>
        <v>0</v>
      </c>
    </row>
    <row r="325" spans="1:13">
      <c r="A325" s="1">
        <f>'Paste cell here'!A325</f>
        <v>324</v>
      </c>
      <c r="B325" s="2">
        <f>DATE(Sintesi!$C$4-1,12,31)+A325</f>
        <v>44520</v>
      </c>
      <c r="C325" s="34">
        <f t="array" ref="C325">_xlfn.IFNA(MATCH(1,((_xlfn.ANCHORARRAY(Sintesi!$C$9)&gt;_xlfn.ANCHORARRAY(Sintesi!$C$10))*(A325&gt;=_xlfn.ANCHORARRAY(Sintesi!$C$9))+(_xlfn.ANCHORARRAY(Sintesi!$C$9)&gt;_xlfn.ANCHORARRAY(Sintesi!$C$10))*(A325&lt;=_xlfn.ANCHORARRAY(Sintesi!$C$10))+(_xlfn.ANCHORARRAY(Sintesi!$C$9)&lt;_xlfn.ANCHORARRAY(Sintesi!$C$10))*(A325&gt;=_xlfn.ANCHORARRAY(Sintesi!$C$9))*(A325&lt;=_xlfn.ANCHORARRAY(Sintesi!$C$10)))*(_xlfn.ANCHORARRAY(Sintesi!$C$15)&gt;=0)+(_xlfn.ANCHORARRAY(Sintesi!$C$15)&lt;0),0),0)</f>
        <v>0</v>
      </c>
      <c r="D325" s="1">
        <f t="array" ref="D325">IF(ISBLANK($E326),IF(ISNUMBER($E324),IF($C325&gt;0,IF(($E325=INDEX(_xlfn.ANCHORARRAY(Sintesi!$C$14),1,$C325))*(INDEX(_xlfn.ANCHORARRAY(Sintesi!$C$15),1,$C325)&gt;0),0,IF(($E325=INDEX(_xlfn.ANCHORARRAY(Sintesi!$C$14),1,$C325))*(INDEX(_xlfn.ANCHORARRAY(Sintesi!$C$15),1,$C325)&lt;0)+($E325&gt;=$E324)*($E325&lt;=INDEX($E:$E,MATCH(TRUE,INDEX((ISNUMBER($E:$E)),0),0)))*($E325&gt;INDEX(_xlfn.ANCHORARRAY(Sintesi!$C$14),1,$C325))*($E325&lt;=INDEX(_xlfn.ANCHORARRAY(Sintesi!$C$15),1,$C325))*(INDEX(_xlfn.ANCHORARRAY(Sintesi!$C$15),1,$C325)&gt;0),1,IF(($E325&gt;=$E324)*($E325&lt;=INDEX($E:$E,MATCH(TRUE,INDEX((ISNUMBER($E:$E)),0),0)))*($E325&gt;INDEX(_xlfn.ANCHORARRAY(Sintesi!$C$14),1,$C325))*($E325&lt;INDEX(_xlfn.ANCHORARRAY(Sintesi!$C$16),1,$C325))*(INDEX(_xlfn.ANCHORARRAY(Sintesi!$C$15),1,$C325)&lt;0)+($E325&gt;=$E324)*($E325&lt;=INDEX($E:$E,MATCH(TRUE,INDEX((ISNUMBER($E:$E)),0),0)))*($E325&gt;INDEX(_xlfn.ANCHORARRAY(Sintesi!$C$15),1,$C325))*($E325&lt;INDEX(_xlfn.ANCHORARRAY(Sintesi!$C$16),1,$C325))*(INDEX(_xlfn.ANCHORARRAY(Sintesi!$C$15),1,$C325)&gt;0),2,IF($E325=(INDEX(_xlfn.ANCHORARRAY(Sintesi!$C$16),1,$C325)),3,4)))),0),IF($C325&gt;0,IF(($E325=INDEX(_xlfn.ANCHORARRAY(Sintesi!$C$14),1,$C325))*(INDEX(_xlfn.ANCHORARRAY(Sintesi!$C$15),1,$C325)&gt;0),0,IF(($E325=INDEX(_xlfn.ANCHORARRAY(Sintesi!$C$14),1,$C325))*(INDEX(_xlfn.ANCHORARRAY(Sintesi!$C$15),1,$C325)&lt;0)+($E325&gt;=LOOKUP(2,1/($E:$E&lt;&gt;""),$E:$E))*($E325&lt;=INDEX($E:$E,MATCH(TRUE,INDEX((ISNUMBER($E:$E)),0),0)))*($E325&gt;INDEX(_xlfn.ANCHORARRAY(Sintesi!$C$14),1,$C325))*($E325&lt;=INDEX(_xlfn.ANCHORARRAY(Sintesi!$C$15),1,$C325))*(INDEX(_xlfn.ANCHORARRAY(Sintesi!$C$15),1,$C325)&gt;0),1,IF(($E325&gt;=LOOKUP(2,1/($E:$E&lt;&gt;""),$E:$E))*($E325&lt;=INDEX($E:$E,MATCH(TRUE,INDEX((ISNUMBER($E:$E)),0),0)))*($E325&gt;INDEX(_xlfn.ANCHORARRAY(Sintesi!$C$14),1,$C325))*($E325&lt;INDEX(_xlfn.ANCHORARRAY(Sintesi!$C$16),1,$C325))*(INDEX(_xlfn.ANCHORARRAY(Sintesi!$C$15),1,$C325)&lt;0)+($E325&gt;=LOOKUP(2,1/($E:$E&lt;&gt;""),$E:$E))*($E325&lt;=INDEX($E:$E,MATCH(TRUE,INDEX((ISNUMBER($E:$E)),0),0)))*($E325&gt;INDEX(_xlfn.ANCHORARRAY(Sintesi!$C$15),1,$C325))*($E325&lt;INDEX(_xlfn.ANCHORARRAY(Sintesi!$C$16),1,$C325))*(INDEX(_xlfn.ANCHORARRAY(Sintesi!$C$15),1,$C325)&gt;0),2,IF($E325=(INDEX(_xlfn.ANCHORARRAY(Sintesi!$C$16),1,$C325)),3,4)))),0)),IF(ISNUMBER($E324),IF($C325&gt;0,IF(($E325=INDEX(_xlfn.ANCHORARRAY(Sintesi!$C$14),1,$C325))*(INDEX(_xlfn.ANCHORARRAY(Sintesi!$C$15),1,$C325)&gt;0),0,IF(($E325=INDEX(_xlfn.ANCHORARRAY(Sintesi!$C$14),1,$C325))*(INDEX(_xlfn.ANCHORARRAY(Sintesi!$C$15),1,$C325)&lt;0)+($E325&gt;=$E324)*($E325&lt;=$E326)*($E325&gt;INDEX(_xlfn.ANCHORARRAY(Sintesi!$C$14),1,$C325))*($E325&lt;=INDEX(_xlfn.ANCHORARRAY(Sintesi!$C$15),1,$C325))*(INDEX(_xlfn.ANCHORARRAY(Sintesi!$C$15),1,$C325)&gt;0),1,IF(($E325&gt;=$E324)*($E325&lt;=$E326)*($E325&gt;INDEX(_xlfn.ANCHORARRAY(Sintesi!$C$14),1,$C325))*($E325&lt;INDEX(_xlfn.ANCHORARRAY(Sintesi!$C$16),1,$C325))*(INDEX(_xlfn.ANCHORARRAY(Sintesi!$C$15),1,$C325)&lt;0)+($E325&gt;=$E324)*($E325&lt;=$E326)*($E325&gt;INDEX(_xlfn.ANCHORARRAY(Sintesi!$C$15),1,$C325))*($E325&lt;INDEX(_xlfn.ANCHORARRAY(Sintesi!$C$16),1,$C325))*(INDEX(_xlfn.ANCHORARRAY(Sintesi!$C$15),1,$C325)&gt;0),2,IF($E325=(INDEX(_xlfn.ANCHORARRAY(Sintesi!$C$16),1,$C325)),3,4)))),0),IF($C325&gt;0,IF(($E325=INDEX(_xlfn.ANCHORARRAY(Sintesi!$C$14),1,$C325))*(INDEX(_xlfn.ANCHORARRAY(Sintesi!$C$15),1,$C325)&gt;0),0,IF(($E325=INDEX(_xlfn.ANCHORARRAY(Sintesi!$C$14),1,$C325))*(INDEX(_xlfn.ANCHORARRAY(Sintesi!$C$15),1,$C325)&lt;0)+($E325&gt;=LOOKUP(2,1/($E:$E&lt;&gt;""),$E:$E))*($E325&lt;=$E326)*($E325&gt;INDEX(_xlfn.ANCHORARRAY(Sintesi!$C$14),1,$C325))*($E325&lt;=INDEX(_xlfn.ANCHORARRAY(Sintesi!$C$15),1,$C325))*(INDEX(_xlfn.ANCHORARRAY(Sintesi!$C$15),1,$C325)&gt;0),1,IF(($E325&gt;=LOOKUP(2,1/($E:$E&lt;&gt;""),$E:$E))*($E325&lt;=$E326)*($E325&gt;INDEX(_xlfn.ANCHORARRAY(Sintesi!$C$14),1,$C325))*($E325&lt;INDEX(_xlfn.ANCHORARRAY(Sintesi!$C$16),1,$C325))*(INDEX(_xlfn.ANCHORARRAY(Sintesi!$C$15),1,$C325)&lt;0)+($E325&gt;=LOOKUP(2,1/($E:$E&lt;&gt;""),$E:$E))*($E325&lt;=$E326)*($E325&gt;INDEX(_xlfn.ANCHORARRAY(Sintesi!$C$15),1,$C325))*($E325&lt;INDEX(_xlfn.ANCHORARRAY(Sintesi!$C$16),1,$C325))*(INDEX(_xlfn.ANCHORARRAY(Sintesi!$C$15),1,$C325)&gt;0),2,IF($E325=(INDEX(_xlfn.ANCHORARRAY(Sintesi!$C$16),1,$C325)),3,4)))),0)))</f>
        <v>0</v>
      </c>
      <c r="E325" s="1">
        <f>'Paste cell here'!F325</f>
        <v>0</v>
      </c>
      <c r="F325" s="1">
        <f>'Paste cell here'!C325</f>
        <v>9.5799999999998633</v>
      </c>
      <c r="G325" s="1">
        <f>'Paste cell here'!D325</f>
        <v>6.9399999999999036</v>
      </c>
      <c r="H325" s="1">
        <f>'Paste cell here'!E325</f>
        <v>0.45485848873273865</v>
      </c>
      <c r="I325" s="1">
        <f>'Paste cell here'!X325</f>
        <v>0</v>
      </c>
      <c r="J325" s="1">
        <f>'Paste cell here'!Y325+'Paste cell here'!S325</f>
        <v>0</v>
      </c>
      <c r="K325" s="1">
        <f t="shared" si="10"/>
        <v>0</v>
      </c>
      <c r="L325" s="1">
        <f t="shared" si="11"/>
        <v>8.6227887118448638</v>
      </c>
      <c r="M325" s="1">
        <f t="array" ref="M325">IF(AND(A325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325&gt;=_xlfn.ANCHORARRAY(Sintesi!$C$9))+(_xlfn.ANCHORARRAY(Sintesi!$C$9)&gt;_xlfn.ANCHORARRAY(Sintesi!$C$10))*(A325&lt;=_xlfn.ANCHORARRAY(Sintesi!$C$10))+(_xlfn.ANCHORARRAY(Sintesi!$C$9)&lt;_xlfn.ANCHORARRAY(Sintesi!$C$10))*(A325&gt;=_xlfn.ANCHORARRAY(Sintesi!$C$9))*(A325&lt;=_xlfn.ANCHORARRAY(Sintesi!$C$10)),0)),0),A325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326&gt;=_xlfn.ANCHORARRAY(Sintesi!$C$9))+(_xlfn.ANCHORARRAY(Sintesi!$C$9)&gt;_xlfn.ANCHORARRAY(Sintesi!$C$10))*(A326&lt;=_xlfn.ANCHORARRAY(Sintesi!$C$10))+(_xlfn.ANCHORARRAY(Sintesi!$C$9)&lt;_xlfn.ANCHORARRAY(Sintesi!$C$10))*(A326&gt;=_xlfn.ANCHORARRAY(Sintesi!$C$9))*(A326&lt;=_xlfn.ANCHORARRAY(Sintesi!$C$10)),0)),0)),IF(L325&lt;_xlfn.IFNA(INDEX(_xlfn.ANCHORARRAY(Sintesi!$C$17),1,MATCH(1,(_xlfn.ANCHORARRAY(Sintesi!$C$9)&gt;_xlfn.ANCHORARRAY(Sintesi!$C$10))*(A324&gt;=_xlfn.ANCHORARRAY(Sintesi!$C$9))+(_xlfn.ANCHORARRAY(Sintesi!$C$9)&gt;_xlfn.ANCHORARRAY(Sintesi!$C$10))*(A324&lt;=_xlfn.ANCHORARRAY(Sintesi!$C$10))+(_xlfn.ANCHORARRAY(Sintesi!$C$9)&lt;_xlfn.ANCHORARRAY(Sintesi!$C$10))*(A324&gt;=_xlfn.ANCHORARRAY(Sintesi!$C$9))*(A324&lt;=_xlfn.ANCHORARRAY(Sintesi!$C$10)),0)),0),1,IF(L325&gt;=_xlfn.IFNA(INDEX(_xlfn.ANCHORARRAY(Sintesi!$C$18),1,MATCH(1,(_xlfn.ANCHORARRAY(Sintesi!$C$9)&gt;_xlfn.ANCHORARRAY(Sintesi!$C$10))*(A324&gt;=_xlfn.ANCHORARRAY(Sintesi!$C$9))+(_xlfn.ANCHORARRAY(Sintesi!$C$9)&gt;_xlfn.ANCHORARRAY(Sintesi!$C$10))*(A324&lt;=_xlfn.ANCHORARRAY(Sintesi!$C$10))+(_xlfn.ANCHORARRAY(Sintesi!$C$9)&lt;_xlfn.ANCHORARRAY(Sintesi!$C$10))*(A324&gt;=_xlfn.ANCHORARRAY(Sintesi!$C$9))*(A324&lt;=_xlfn.ANCHORARRAY(Sintesi!$C$10)),0)),0),0,1-(L325-_xlfn.IFNA(INDEX(_xlfn.ANCHORARRAY(Sintesi!$C$17),1,MATCH(1,(_xlfn.ANCHORARRAY(Sintesi!$C$9)&gt;_xlfn.ANCHORARRAY(Sintesi!$C$10))*(A324&gt;=_xlfn.ANCHORARRAY(Sintesi!$C$9))+(_xlfn.ANCHORARRAY(Sintesi!$C$9)&gt;_xlfn.ANCHORARRAY(Sintesi!$C$10))*(A324&lt;=_xlfn.ANCHORARRAY(Sintesi!$C$10))+(_xlfn.ANCHORARRAY(Sintesi!$C$9)&lt;_xlfn.ANCHORARRAY(Sintesi!$C$10))*(A324&gt;=_xlfn.ANCHORARRAY(Sintesi!$C$9))*(A324&lt;=_xlfn.ANCHORARRAY(Sintesi!$C$10)),0)),0))/(_xlfn.IFNA(INDEX(_xlfn.ANCHORARRAY(Sintesi!$C$18),1,MATCH(1,(_xlfn.ANCHORARRAY(Sintesi!$C$9)&gt;_xlfn.ANCHORARRAY(Sintesi!$C$10))*(A324&gt;=_xlfn.ANCHORARRAY(Sintesi!$C$9))+(_xlfn.ANCHORARRAY(Sintesi!$C$9)&gt;_xlfn.ANCHORARRAY(Sintesi!$C$10))*(A324&lt;=_xlfn.ANCHORARRAY(Sintesi!$C$10))+(_xlfn.ANCHORARRAY(Sintesi!$C$9)&lt;_xlfn.ANCHORARRAY(Sintesi!$C$10))*(A324&gt;=_xlfn.ANCHORARRAY(Sintesi!$C$9))*(A324&lt;=_xlfn.ANCHORARRAY(Sintesi!$C$10)),0)),0)-_xlfn.IFNA(INDEX(_xlfn.ANCHORARRAY(Sintesi!$C$17),1,MATCH(1,(_xlfn.ANCHORARRAY(Sintesi!$C$9)&gt;_xlfn.ANCHORARRAY(Sintesi!$C$10))*(A324&gt;=_xlfn.ANCHORARRAY(Sintesi!$C$9))+(_xlfn.ANCHORARRAY(Sintesi!$C$9)&gt;_xlfn.ANCHORARRAY(Sintesi!$C$10))*(A324&lt;=_xlfn.ANCHORARRAY(Sintesi!$C$10))+(_xlfn.ANCHORARRAY(Sintesi!$C$9)&lt;_xlfn.ANCHORARRAY(Sintesi!$C$10))*(A324&gt;=_xlfn.ANCHORARRAY(Sintesi!$C$9))*(A324&lt;=_xlfn.ANCHORARRAY(Sintesi!$C$10)),0)),0)))),0)</f>
        <v>0</v>
      </c>
    </row>
    <row r="326" spans="1:13">
      <c r="A326" s="1">
        <f>'Paste cell here'!A326</f>
        <v>325</v>
      </c>
      <c r="B326" s="2">
        <f>DATE(Sintesi!$C$4-1,12,31)+A326</f>
        <v>44521</v>
      </c>
      <c r="C326" s="34">
        <f t="array" ref="C326">_xlfn.IFNA(MATCH(1,((_xlfn.ANCHORARRAY(Sintesi!$C$9)&gt;_xlfn.ANCHORARRAY(Sintesi!$C$10))*(A326&gt;=_xlfn.ANCHORARRAY(Sintesi!$C$9))+(_xlfn.ANCHORARRAY(Sintesi!$C$9)&gt;_xlfn.ANCHORARRAY(Sintesi!$C$10))*(A326&lt;=_xlfn.ANCHORARRAY(Sintesi!$C$10))+(_xlfn.ANCHORARRAY(Sintesi!$C$9)&lt;_xlfn.ANCHORARRAY(Sintesi!$C$10))*(A326&gt;=_xlfn.ANCHORARRAY(Sintesi!$C$9))*(A326&lt;=_xlfn.ANCHORARRAY(Sintesi!$C$10)))*(_xlfn.ANCHORARRAY(Sintesi!$C$15)&gt;=0)+(_xlfn.ANCHORARRAY(Sintesi!$C$15)&lt;0),0),0)</f>
        <v>0</v>
      </c>
      <c r="D326" s="1">
        <f t="array" ref="D326">IF(ISBLANK($E327),IF(ISNUMBER($E325),IF($C326&gt;0,IF(($E326=INDEX(_xlfn.ANCHORARRAY(Sintesi!$C$14),1,$C326))*(INDEX(_xlfn.ANCHORARRAY(Sintesi!$C$15),1,$C326)&gt;0),0,IF(($E326=INDEX(_xlfn.ANCHORARRAY(Sintesi!$C$14),1,$C326))*(INDEX(_xlfn.ANCHORARRAY(Sintesi!$C$15),1,$C326)&lt;0)+($E326&gt;=$E325)*($E326&lt;=INDEX($E:$E,MATCH(TRUE,INDEX((ISNUMBER($E:$E)),0),0)))*($E326&gt;INDEX(_xlfn.ANCHORARRAY(Sintesi!$C$14),1,$C326))*($E326&lt;=INDEX(_xlfn.ANCHORARRAY(Sintesi!$C$15),1,$C326))*(INDEX(_xlfn.ANCHORARRAY(Sintesi!$C$15),1,$C326)&gt;0),1,IF(($E326&gt;=$E325)*($E326&lt;=INDEX($E:$E,MATCH(TRUE,INDEX((ISNUMBER($E:$E)),0),0)))*($E326&gt;INDEX(_xlfn.ANCHORARRAY(Sintesi!$C$14),1,$C326))*($E326&lt;INDEX(_xlfn.ANCHORARRAY(Sintesi!$C$16),1,$C326))*(INDEX(_xlfn.ANCHORARRAY(Sintesi!$C$15),1,$C326)&lt;0)+($E326&gt;=$E325)*($E326&lt;=INDEX($E:$E,MATCH(TRUE,INDEX((ISNUMBER($E:$E)),0),0)))*($E326&gt;INDEX(_xlfn.ANCHORARRAY(Sintesi!$C$15),1,$C326))*($E326&lt;INDEX(_xlfn.ANCHORARRAY(Sintesi!$C$16),1,$C326))*(INDEX(_xlfn.ANCHORARRAY(Sintesi!$C$15),1,$C326)&gt;0),2,IF($E326=(INDEX(_xlfn.ANCHORARRAY(Sintesi!$C$16),1,$C326)),3,4)))),0),IF($C326&gt;0,IF(($E326=INDEX(_xlfn.ANCHORARRAY(Sintesi!$C$14),1,$C326))*(INDEX(_xlfn.ANCHORARRAY(Sintesi!$C$15),1,$C326)&gt;0),0,IF(($E326=INDEX(_xlfn.ANCHORARRAY(Sintesi!$C$14),1,$C326))*(INDEX(_xlfn.ANCHORARRAY(Sintesi!$C$15),1,$C326)&lt;0)+($E326&gt;=LOOKUP(2,1/($E:$E&lt;&gt;""),$E:$E))*($E326&lt;=INDEX($E:$E,MATCH(TRUE,INDEX((ISNUMBER($E:$E)),0),0)))*($E326&gt;INDEX(_xlfn.ANCHORARRAY(Sintesi!$C$14),1,$C326))*($E326&lt;=INDEX(_xlfn.ANCHORARRAY(Sintesi!$C$15),1,$C326))*(INDEX(_xlfn.ANCHORARRAY(Sintesi!$C$15),1,$C326)&gt;0),1,IF(($E326&gt;=LOOKUP(2,1/($E:$E&lt;&gt;""),$E:$E))*($E326&lt;=INDEX($E:$E,MATCH(TRUE,INDEX((ISNUMBER($E:$E)),0),0)))*($E326&gt;INDEX(_xlfn.ANCHORARRAY(Sintesi!$C$14),1,$C326))*($E326&lt;INDEX(_xlfn.ANCHORARRAY(Sintesi!$C$16),1,$C326))*(INDEX(_xlfn.ANCHORARRAY(Sintesi!$C$15),1,$C326)&lt;0)+($E326&gt;=LOOKUP(2,1/($E:$E&lt;&gt;""),$E:$E))*($E326&lt;=INDEX($E:$E,MATCH(TRUE,INDEX((ISNUMBER($E:$E)),0),0)))*($E326&gt;INDEX(_xlfn.ANCHORARRAY(Sintesi!$C$15),1,$C326))*($E326&lt;INDEX(_xlfn.ANCHORARRAY(Sintesi!$C$16),1,$C326))*(INDEX(_xlfn.ANCHORARRAY(Sintesi!$C$15),1,$C326)&gt;0),2,IF($E326=(INDEX(_xlfn.ANCHORARRAY(Sintesi!$C$16),1,$C326)),3,4)))),0)),IF(ISNUMBER($E325),IF($C326&gt;0,IF(($E326=INDEX(_xlfn.ANCHORARRAY(Sintesi!$C$14),1,$C326))*(INDEX(_xlfn.ANCHORARRAY(Sintesi!$C$15),1,$C326)&gt;0),0,IF(($E326=INDEX(_xlfn.ANCHORARRAY(Sintesi!$C$14),1,$C326))*(INDEX(_xlfn.ANCHORARRAY(Sintesi!$C$15),1,$C326)&lt;0)+($E326&gt;=$E325)*($E326&lt;=$E327)*($E326&gt;INDEX(_xlfn.ANCHORARRAY(Sintesi!$C$14),1,$C326))*($E326&lt;=INDEX(_xlfn.ANCHORARRAY(Sintesi!$C$15),1,$C326))*(INDEX(_xlfn.ANCHORARRAY(Sintesi!$C$15),1,$C326)&gt;0),1,IF(($E326&gt;=$E325)*($E326&lt;=$E327)*($E326&gt;INDEX(_xlfn.ANCHORARRAY(Sintesi!$C$14),1,$C326))*($E326&lt;INDEX(_xlfn.ANCHORARRAY(Sintesi!$C$16),1,$C326))*(INDEX(_xlfn.ANCHORARRAY(Sintesi!$C$15),1,$C326)&lt;0)+($E326&gt;=$E325)*($E326&lt;=$E327)*($E326&gt;INDEX(_xlfn.ANCHORARRAY(Sintesi!$C$15),1,$C326))*($E326&lt;INDEX(_xlfn.ANCHORARRAY(Sintesi!$C$16),1,$C326))*(INDEX(_xlfn.ANCHORARRAY(Sintesi!$C$15),1,$C326)&gt;0),2,IF($E326=(INDEX(_xlfn.ANCHORARRAY(Sintesi!$C$16),1,$C326)),3,4)))),0),IF($C326&gt;0,IF(($E326=INDEX(_xlfn.ANCHORARRAY(Sintesi!$C$14),1,$C326))*(INDEX(_xlfn.ANCHORARRAY(Sintesi!$C$15),1,$C326)&gt;0),0,IF(($E326=INDEX(_xlfn.ANCHORARRAY(Sintesi!$C$14),1,$C326))*(INDEX(_xlfn.ANCHORARRAY(Sintesi!$C$15),1,$C326)&lt;0)+($E326&gt;=LOOKUP(2,1/($E:$E&lt;&gt;""),$E:$E))*($E326&lt;=$E327)*($E326&gt;INDEX(_xlfn.ANCHORARRAY(Sintesi!$C$14),1,$C326))*($E326&lt;=INDEX(_xlfn.ANCHORARRAY(Sintesi!$C$15),1,$C326))*(INDEX(_xlfn.ANCHORARRAY(Sintesi!$C$15),1,$C326)&gt;0),1,IF(($E326&gt;=LOOKUP(2,1/($E:$E&lt;&gt;""),$E:$E))*($E326&lt;=$E327)*($E326&gt;INDEX(_xlfn.ANCHORARRAY(Sintesi!$C$14),1,$C326))*($E326&lt;INDEX(_xlfn.ANCHORARRAY(Sintesi!$C$16),1,$C326))*(INDEX(_xlfn.ANCHORARRAY(Sintesi!$C$15),1,$C326)&lt;0)+($E326&gt;=LOOKUP(2,1/($E:$E&lt;&gt;""),$E:$E))*($E326&lt;=$E327)*($E326&gt;INDEX(_xlfn.ANCHORARRAY(Sintesi!$C$15),1,$C326))*($E326&lt;INDEX(_xlfn.ANCHORARRAY(Sintesi!$C$16),1,$C326))*(INDEX(_xlfn.ANCHORARRAY(Sintesi!$C$15),1,$C326)&gt;0),2,IF($E326=(INDEX(_xlfn.ANCHORARRAY(Sintesi!$C$16),1,$C326)),3,4)))),0)))</f>
        <v>0</v>
      </c>
      <c r="E326" s="1">
        <f>'Paste cell here'!F326</f>
        <v>0</v>
      </c>
      <c r="F326" s="1">
        <f>'Paste cell here'!C326</f>
        <v>9.3399999999998702</v>
      </c>
      <c r="G326" s="1">
        <f>'Paste cell here'!D326</f>
        <v>6.4199999999999084</v>
      </c>
      <c r="H326" s="1">
        <f>'Paste cell here'!E326</f>
        <v>0.44686172059728674</v>
      </c>
      <c r="I326" s="1">
        <f>'Paste cell here'!X326</f>
        <v>0</v>
      </c>
      <c r="J326" s="1">
        <f>'Paste cell here'!Y326+'Paste cell here'!S326</f>
        <v>0</v>
      </c>
      <c r="K326" s="1">
        <f t="shared" si="10"/>
        <v>0</v>
      </c>
      <c r="L326" s="1">
        <f t="shared" si="11"/>
        <v>8.2812663024950943</v>
      </c>
      <c r="M326" s="1">
        <f t="array" ref="M326">IF(AND(A326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326&gt;=_xlfn.ANCHORARRAY(Sintesi!$C$9))+(_xlfn.ANCHORARRAY(Sintesi!$C$9)&gt;_xlfn.ANCHORARRAY(Sintesi!$C$10))*(A326&lt;=_xlfn.ANCHORARRAY(Sintesi!$C$10))+(_xlfn.ANCHORARRAY(Sintesi!$C$9)&lt;_xlfn.ANCHORARRAY(Sintesi!$C$10))*(A326&gt;=_xlfn.ANCHORARRAY(Sintesi!$C$9))*(A326&lt;=_xlfn.ANCHORARRAY(Sintesi!$C$10)),0)),0),A326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327&gt;=_xlfn.ANCHORARRAY(Sintesi!$C$9))+(_xlfn.ANCHORARRAY(Sintesi!$C$9)&gt;_xlfn.ANCHORARRAY(Sintesi!$C$10))*(A327&lt;=_xlfn.ANCHORARRAY(Sintesi!$C$10))+(_xlfn.ANCHORARRAY(Sintesi!$C$9)&lt;_xlfn.ANCHORARRAY(Sintesi!$C$10))*(A327&gt;=_xlfn.ANCHORARRAY(Sintesi!$C$9))*(A327&lt;=_xlfn.ANCHORARRAY(Sintesi!$C$10)),0)),0)),IF(L326&lt;_xlfn.IFNA(INDEX(_xlfn.ANCHORARRAY(Sintesi!$C$17),1,MATCH(1,(_xlfn.ANCHORARRAY(Sintesi!$C$9)&gt;_xlfn.ANCHORARRAY(Sintesi!$C$10))*(A325&gt;=_xlfn.ANCHORARRAY(Sintesi!$C$9))+(_xlfn.ANCHORARRAY(Sintesi!$C$9)&gt;_xlfn.ANCHORARRAY(Sintesi!$C$10))*(A325&lt;=_xlfn.ANCHORARRAY(Sintesi!$C$10))+(_xlfn.ANCHORARRAY(Sintesi!$C$9)&lt;_xlfn.ANCHORARRAY(Sintesi!$C$10))*(A325&gt;=_xlfn.ANCHORARRAY(Sintesi!$C$9))*(A325&lt;=_xlfn.ANCHORARRAY(Sintesi!$C$10)),0)),0),1,IF(L326&gt;=_xlfn.IFNA(INDEX(_xlfn.ANCHORARRAY(Sintesi!$C$18),1,MATCH(1,(_xlfn.ANCHORARRAY(Sintesi!$C$9)&gt;_xlfn.ANCHORARRAY(Sintesi!$C$10))*(A325&gt;=_xlfn.ANCHORARRAY(Sintesi!$C$9))+(_xlfn.ANCHORARRAY(Sintesi!$C$9)&gt;_xlfn.ANCHORARRAY(Sintesi!$C$10))*(A325&lt;=_xlfn.ANCHORARRAY(Sintesi!$C$10))+(_xlfn.ANCHORARRAY(Sintesi!$C$9)&lt;_xlfn.ANCHORARRAY(Sintesi!$C$10))*(A325&gt;=_xlfn.ANCHORARRAY(Sintesi!$C$9))*(A325&lt;=_xlfn.ANCHORARRAY(Sintesi!$C$10)),0)),0),0,1-(L326-_xlfn.IFNA(INDEX(_xlfn.ANCHORARRAY(Sintesi!$C$17),1,MATCH(1,(_xlfn.ANCHORARRAY(Sintesi!$C$9)&gt;_xlfn.ANCHORARRAY(Sintesi!$C$10))*(A325&gt;=_xlfn.ANCHORARRAY(Sintesi!$C$9))+(_xlfn.ANCHORARRAY(Sintesi!$C$9)&gt;_xlfn.ANCHORARRAY(Sintesi!$C$10))*(A325&lt;=_xlfn.ANCHORARRAY(Sintesi!$C$10))+(_xlfn.ANCHORARRAY(Sintesi!$C$9)&lt;_xlfn.ANCHORARRAY(Sintesi!$C$10))*(A325&gt;=_xlfn.ANCHORARRAY(Sintesi!$C$9))*(A325&lt;=_xlfn.ANCHORARRAY(Sintesi!$C$10)),0)),0))/(_xlfn.IFNA(INDEX(_xlfn.ANCHORARRAY(Sintesi!$C$18),1,MATCH(1,(_xlfn.ANCHORARRAY(Sintesi!$C$9)&gt;_xlfn.ANCHORARRAY(Sintesi!$C$10))*(A325&gt;=_xlfn.ANCHORARRAY(Sintesi!$C$9))+(_xlfn.ANCHORARRAY(Sintesi!$C$9)&gt;_xlfn.ANCHORARRAY(Sintesi!$C$10))*(A325&lt;=_xlfn.ANCHORARRAY(Sintesi!$C$10))+(_xlfn.ANCHORARRAY(Sintesi!$C$9)&lt;_xlfn.ANCHORARRAY(Sintesi!$C$10))*(A325&gt;=_xlfn.ANCHORARRAY(Sintesi!$C$9))*(A325&lt;=_xlfn.ANCHORARRAY(Sintesi!$C$10)),0)),0)-_xlfn.IFNA(INDEX(_xlfn.ANCHORARRAY(Sintesi!$C$17),1,MATCH(1,(_xlfn.ANCHORARRAY(Sintesi!$C$9)&gt;_xlfn.ANCHORARRAY(Sintesi!$C$10))*(A325&gt;=_xlfn.ANCHORARRAY(Sintesi!$C$9))+(_xlfn.ANCHORARRAY(Sintesi!$C$9)&gt;_xlfn.ANCHORARRAY(Sintesi!$C$10))*(A325&lt;=_xlfn.ANCHORARRAY(Sintesi!$C$10))+(_xlfn.ANCHORARRAY(Sintesi!$C$9)&lt;_xlfn.ANCHORARRAY(Sintesi!$C$10))*(A325&gt;=_xlfn.ANCHORARRAY(Sintesi!$C$9))*(A325&lt;=_xlfn.ANCHORARRAY(Sintesi!$C$10)),0)),0)))),0)</f>
        <v>0</v>
      </c>
    </row>
    <row r="327" spans="1:13">
      <c r="A327" s="1">
        <f>'Paste cell here'!A327</f>
        <v>326</v>
      </c>
      <c r="B327" s="2">
        <f>DATE(Sintesi!$C$4-1,12,31)+A327</f>
        <v>44522</v>
      </c>
      <c r="C327" s="34">
        <f t="array" ref="C327">_xlfn.IFNA(MATCH(1,((_xlfn.ANCHORARRAY(Sintesi!$C$9)&gt;_xlfn.ANCHORARRAY(Sintesi!$C$10))*(A327&gt;=_xlfn.ANCHORARRAY(Sintesi!$C$9))+(_xlfn.ANCHORARRAY(Sintesi!$C$9)&gt;_xlfn.ANCHORARRAY(Sintesi!$C$10))*(A327&lt;=_xlfn.ANCHORARRAY(Sintesi!$C$10))+(_xlfn.ANCHORARRAY(Sintesi!$C$9)&lt;_xlfn.ANCHORARRAY(Sintesi!$C$10))*(A327&gt;=_xlfn.ANCHORARRAY(Sintesi!$C$9))*(A327&lt;=_xlfn.ANCHORARRAY(Sintesi!$C$10)))*(_xlfn.ANCHORARRAY(Sintesi!$C$15)&gt;=0)+(_xlfn.ANCHORARRAY(Sintesi!$C$15)&lt;0),0),0)</f>
        <v>0</v>
      </c>
      <c r="D327" s="1">
        <f t="array" ref="D327">IF(ISBLANK($E328),IF(ISNUMBER($E326),IF($C327&gt;0,IF(($E327=INDEX(_xlfn.ANCHORARRAY(Sintesi!$C$14),1,$C327))*(INDEX(_xlfn.ANCHORARRAY(Sintesi!$C$15),1,$C327)&gt;0),0,IF(($E327=INDEX(_xlfn.ANCHORARRAY(Sintesi!$C$14),1,$C327))*(INDEX(_xlfn.ANCHORARRAY(Sintesi!$C$15),1,$C327)&lt;0)+($E327&gt;=$E326)*($E327&lt;=INDEX($E:$E,MATCH(TRUE,INDEX((ISNUMBER($E:$E)),0),0)))*($E327&gt;INDEX(_xlfn.ANCHORARRAY(Sintesi!$C$14),1,$C327))*($E327&lt;=INDEX(_xlfn.ANCHORARRAY(Sintesi!$C$15),1,$C327))*(INDEX(_xlfn.ANCHORARRAY(Sintesi!$C$15),1,$C327)&gt;0),1,IF(($E327&gt;=$E326)*($E327&lt;=INDEX($E:$E,MATCH(TRUE,INDEX((ISNUMBER($E:$E)),0),0)))*($E327&gt;INDEX(_xlfn.ANCHORARRAY(Sintesi!$C$14),1,$C327))*($E327&lt;INDEX(_xlfn.ANCHORARRAY(Sintesi!$C$16),1,$C327))*(INDEX(_xlfn.ANCHORARRAY(Sintesi!$C$15),1,$C327)&lt;0)+($E327&gt;=$E326)*($E327&lt;=INDEX($E:$E,MATCH(TRUE,INDEX((ISNUMBER($E:$E)),0),0)))*($E327&gt;INDEX(_xlfn.ANCHORARRAY(Sintesi!$C$15),1,$C327))*($E327&lt;INDEX(_xlfn.ANCHORARRAY(Sintesi!$C$16),1,$C327))*(INDEX(_xlfn.ANCHORARRAY(Sintesi!$C$15),1,$C327)&gt;0),2,IF($E327=(INDEX(_xlfn.ANCHORARRAY(Sintesi!$C$16),1,$C327)),3,4)))),0),IF($C327&gt;0,IF(($E327=INDEX(_xlfn.ANCHORARRAY(Sintesi!$C$14),1,$C327))*(INDEX(_xlfn.ANCHORARRAY(Sintesi!$C$15),1,$C327)&gt;0),0,IF(($E327=INDEX(_xlfn.ANCHORARRAY(Sintesi!$C$14),1,$C327))*(INDEX(_xlfn.ANCHORARRAY(Sintesi!$C$15),1,$C327)&lt;0)+($E327&gt;=LOOKUP(2,1/($E:$E&lt;&gt;""),$E:$E))*($E327&lt;=INDEX($E:$E,MATCH(TRUE,INDEX((ISNUMBER($E:$E)),0),0)))*($E327&gt;INDEX(_xlfn.ANCHORARRAY(Sintesi!$C$14),1,$C327))*($E327&lt;=INDEX(_xlfn.ANCHORARRAY(Sintesi!$C$15),1,$C327))*(INDEX(_xlfn.ANCHORARRAY(Sintesi!$C$15),1,$C327)&gt;0),1,IF(($E327&gt;=LOOKUP(2,1/($E:$E&lt;&gt;""),$E:$E))*($E327&lt;=INDEX($E:$E,MATCH(TRUE,INDEX((ISNUMBER($E:$E)),0),0)))*($E327&gt;INDEX(_xlfn.ANCHORARRAY(Sintesi!$C$14),1,$C327))*($E327&lt;INDEX(_xlfn.ANCHORARRAY(Sintesi!$C$16),1,$C327))*(INDEX(_xlfn.ANCHORARRAY(Sintesi!$C$15),1,$C327)&lt;0)+($E327&gt;=LOOKUP(2,1/($E:$E&lt;&gt;""),$E:$E))*($E327&lt;=INDEX($E:$E,MATCH(TRUE,INDEX((ISNUMBER($E:$E)),0),0)))*($E327&gt;INDEX(_xlfn.ANCHORARRAY(Sintesi!$C$15),1,$C327))*($E327&lt;INDEX(_xlfn.ANCHORARRAY(Sintesi!$C$16),1,$C327))*(INDEX(_xlfn.ANCHORARRAY(Sintesi!$C$15),1,$C327)&gt;0),2,IF($E327=(INDEX(_xlfn.ANCHORARRAY(Sintesi!$C$16),1,$C327)),3,4)))),0)),IF(ISNUMBER($E326),IF($C327&gt;0,IF(($E327=INDEX(_xlfn.ANCHORARRAY(Sintesi!$C$14),1,$C327))*(INDEX(_xlfn.ANCHORARRAY(Sintesi!$C$15),1,$C327)&gt;0),0,IF(($E327=INDEX(_xlfn.ANCHORARRAY(Sintesi!$C$14),1,$C327))*(INDEX(_xlfn.ANCHORARRAY(Sintesi!$C$15),1,$C327)&lt;0)+($E327&gt;=$E326)*($E327&lt;=$E328)*($E327&gt;INDEX(_xlfn.ANCHORARRAY(Sintesi!$C$14),1,$C327))*($E327&lt;=INDEX(_xlfn.ANCHORARRAY(Sintesi!$C$15),1,$C327))*(INDEX(_xlfn.ANCHORARRAY(Sintesi!$C$15),1,$C327)&gt;0),1,IF(($E327&gt;=$E326)*($E327&lt;=$E328)*($E327&gt;INDEX(_xlfn.ANCHORARRAY(Sintesi!$C$14),1,$C327))*($E327&lt;INDEX(_xlfn.ANCHORARRAY(Sintesi!$C$16),1,$C327))*(INDEX(_xlfn.ANCHORARRAY(Sintesi!$C$15),1,$C327)&lt;0)+($E327&gt;=$E326)*($E327&lt;=$E328)*($E327&gt;INDEX(_xlfn.ANCHORARRAY(Sintesi!$C$15),1,$C327))*($E327&lt;INDEX(_xlfn.ANCHORARRAY(Sintesi!$C$16),1,$C327))*(INDEX(_xlfn.ANCHORARRAY(Sintesi!$C$15),1,$C327)&gt;0),2,IF($E327=(INDEX(_xlfn.ANCHORARRAY(Sintesi!$C$16),1,$C327)),3,4)))),0),IF($C327&gt;0,IF(($E327=INDEX(_xlfn.ANCHORARRAY(Sintesi!$C$14),1,$C327))*(INDEX(_xlfn.ANCHORARRAY(Sintesi!$C$15),1,$C327)&gt;0),0,IF(($E327=INDEX(_xlfn.ANCHORARRAY(Sintesi!$C$14),1,$C327))*(INDEX(_xlfn.ANCHORARRAY(Sintesi!$C$15),1,$C327)&lt;0)+($E327&gt;=LOOKUP(2,1/($E:$E&lt;&gt;""),$E:$E))*($E327&lt;=$E328)*($E327&gt;INDEX(_xlfn.ANCHORARRAY(Sintesi!$C$14),1,$C327))*($E327&lt;=INDEX(_xlfn.ANCHORARRAY(Sintesi!$C$15),1,$C327))*(INDEX(_xlfn.ANCHORARRAY(Sintesi!$C$15),1,$C327)&gt;0),1,IF(($E327&gt;=LOOKUP(2,1/($E:$E&lt;&gt;""),$E:$E))*($E327&lt;=$E328)*($E327&gt;INDEX(_xlfn.ANCHORARRAY(Sintesi!$C$14),1,$C327))*($E327&lt;INDEX(_xlfn.ANCHORARRAY(Sintesi!$C$16),1,$C327))*(INDEX(_xlfn.ANCHORARRAY(Sintesi!$C$15),1,$C327)&lt;0)+($E327&gt;=LOOKUP(2,1/($E:$E&lt;&gt;""),$E:$E))*($E327&lt;=$E328)*($E327&gt;INDEX(_xlfn.ANCHORARRAY(Sintesi!$C$15),1,$C327))*($E327&lt;INDEX(_xlfn.ANCHORARRAY(Sintesi!$C$16),1,$C327))*(INDEX(_xlfn.ANCHORARRAY(Sintesi!$C$15),1,$C327)&gt;0),2,IF($E327=(INDEX(_xlfn.ANCHORARRAY(Sintesi!$C$16),1,$C327)),3,4)))),0)))</f>
        <v>0</v>
      </c>
      <c r="E327" s="1">
        <f>'Paste cell here'!F327</f>
        <v>0</v>
      </c>
      <c r="F327" s="1">
        <f>'Paste cell here'!C327</f>
        <v>10.159999999999854</v>
      </c>
      <c r="G327" s="1">
        <f>'Paste cell here'!D327</f>
        <v>7.0799999999998962</v>
      </c>
      <c r="H327" s="1">
        <f>'Paste cell here'!E327</f>
        <v>0.40826890583569242</v>
      </c>
      <c r="I327" s="1">
        <f>'Paste cell here'!X327</f>
        <v>0</v>
      </c>
      <c r="J327" s="1">
        <f>'Paste cell here'!Y327+'Paste cell here'!S327</f>
        <v>0</v>
      </c>
      <c r="K327" s="1">
        <f t="shared" si="10"/>
        <v>0</v>
      </c>
      <c r="L327" s="1">
        <f t="shared" si="11"/>
        <v>9.0432534971523513</v>
      </c>
      <c r="M327" s="1">
        <f t="array" ref="M327">IF(AND(A327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327&gt;=_xlfn.ANCHORARRAY(Sintesi!$C$9))+(_xlfn.ANCHORARRAY(Sintesi!$C$9)&gt;_xlfn.ANCHORARRAY(Sintesi!$C$10))*(A327&lt;=_xlfn.ANCHORARRAY(Sintesi!$C$10))+(_xlfn.ANCHORARRAY(Sintesi!$C$9)&lt;_xlfn.ANCHORARRAY(Sintesi!$C$10))*(A327&gt;=_xlfn.ANCHORARRAY(Sintesi!$C$9))*(A327&lt;=_xlfn.ANCHORARRAY(Sintesi!$C$10)),0)),0),A327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328&gt;=_xlfn.ANCHORARRAY(Sintesi!$C$9))+(_xlfn.ANCHORARRAY(Sintesi!$C$9)&gt;_xlfn.ANCHORARRAY(Sintesi!$C$10))*(A328&lt;=_xlfn.ANCHORARRAY(Sintesi!$C$10))+(_xlfn.ANCHORARRAY(Sintesi!$C$9)&lt;_xlfn.ANCHORARRAY(Sintesi!$C$10))*(A328&gt;=_xlfn.ANCHORARRAY(Sintesi!$C$9))*(A328&lt;=_xlfn.ANCHORARRAY(Sintesi!$C$10)),0)),0)),IF(L327&lt;_xlfn.IFNA(INDEX(_xlfn.ANCHORARRAY(Sintesi!$C$17),1,MATCH(1,(_xlfn.ANCHORARRAY(Sintesi!$C$9)&gt;_xlfn.ANCHORARRAY(Sintesi!$C$10))*(A326&gt;=_xlfn.ANCHORARRAY(Sintesi!$C$9))+(_xlfn.ANCHORARRAY(Sintesi!$C$9)&gt;_xlfn.ANCHORARRAY(Sintesi!$C$10))*(A326&lt;=_xlfn.ANCHORARRAY(Sintesi!$C$10))+(_xlfn.ANCHORARRAY(Sintesi!$C$9)&lt;_xlfn.ANCHORARRAY(Sintesi!$C$10))*(A326&gt;=_xlfn.ANCHORARRAY(Sintesi!$C$9))*(A326&lt;=_xlfn.ANCHORARRAY(Sintesi!$C$10)),0)),0),1,IF(L327&gt;=_xlfn.IFNA(INDEX(_xlfn.ANCHORARRAY(Sintesi!$C$18),1,MATCH(1,(_xlfn.ANCHORARRAY(Sintesi!$C$9)&gt;_xlfn.ANCHORARRAY(Sintesi!$C$10))*(A326&gt;=_xlfn.ANCHORARRAY(Sintesi!$C$9))+(_xlfn.ANCHORARRAY(Sintesi!$C$9)&gt;_xlfn.ANCHORARRAY(Sintesi!$C$10))*(A326&lt;=_xlfn.ANCHORARRAY(Sintesi!$C$10))+(_xlfn.ANCHORARRAY(Sintesi!$C$9)&lt;_xlfn.ANCHORARRAY(Sintesi!$C$10))*(A326&gt;=_xlfn.ANCHORARRAY(Sintesi!$C$9))*(A326&lt;=_xlfn.ANCHORARRAY(Sintesi!$C$10)),0)),0),0,1-(L327-_xlfn.IFNA(INDEX(_xlfn.ANCHORARRAY(Sintesi!$C$17),1,MATCH(1,(_xlfn.ANCHORARRAY(Sintesi!$C$9)&gt;_xlfn.ANCHORARRAY(Sintesi!$C$10))*(A326&gt;=_xlfn.ANCHORARRAY(Sintesi!$C$9))+(_xlfn.ANCHORARRAY(Sintesi!$C$9)&gt;_xlfn.ANCHORARRAY(Sintesi!$C$10))*(A326&lt;=_xlfn.ANCHORARRAY(Sintesi!$C$10))+(_xlfn.ANCHORARRAY(Sintesi!$C$9)&lt;_xlfn.ANCHORARRAY(Sintesi!$C$10))*(A326&gt;=_xlfn.ANCHORARRAY(Sintesi!$C$9))*(A326&lt;=_xlfn.ANCHORARRAY(Sintesi!$C$10)),0)),0))/(_xlfn.IFNA(INDEX(_xlfn.ANCHORARRAY(Sintesi!$C$18),1,MATCH(1,(_xlfn.ANCHORARRAY(Sintesi!$C$9)&gt;_xlfn.ANCHORARRAY(Sintesi!$C$10))*(A326&gt;=_xlfn.ANCHORARRAY(Sintesi!$C$9))+(_xlfn.ANCHORARRAY(Sintesi!$C$9)&gt;_xlfn.ANCHORARRAY(Sintesi!$C$10))*(A326&lt;=_xlfn.ANCHORARRAY(Sintesi!$C$10))+(_xlfn.ANCHORARRAY(Sintesi!$C$9)&lt;_xlfn.ANCHORARRAY(Sintesi!$C$10))*(A326&gt;=_xlfn.ANCHORARRAY(Sintesi!$C$9))*(A326&lt;=_xlfn.ANCHORARRAY(Sintesi!$C$10)),0)),0)-_xlfn.IFNA(INDEX(_xlfn.ANCHORARRAY(Sintesi!$C$17),1,MATCH(1,(_xlfn.ANCHORARRAY(Sintesi!$C$9)&gt;_xlfn.ANCHORARRAY(Sintesi!$C$10))*(A326&gt;=_xlfn.ANCHORARRAY(Sintesi!$C$9))+(_xlfn.ANCHORARRAY(Sintesi!$C$9)&gt;_xlfn.ANCHORARRAY(Sintesi!$C$10))*(A326&lt;=_xlfn.ANCHORARRAY(Sintesi!$C$10))+(_xlfn.ANCHORARRAY(Sintesi!$C$9)&lt;_xlfn.ANCHORARRAY(Sintesi!$C$10))*(A326&gt;=_xlfn.ANCHORARRAY(Sintesi!$C$9))*(A326&lt;=_xlfn.ANCHORARRAY(Sintesi!$C$10)),0)),0)))),0)</f>
        <v>0</v>
      </c>
    </row>
    <row r="328" spans="1:13">
      <c r="A328" s="1">
        <f>'Paste cell here'!A328</f>
        <v>327</v>
      </c>
      <c r="B328" s="2">
        <f>DATE(Sintesi!$C$4-1,12,31)+A328</f>
        <v>44523</v>
      </c>
      <c r="C328" s="34">
        <f t="array" ref="C328">_xlfn.IFNA(MATCH(1,((_xlfn.ANCHORARRAY(Sintesi!$C$9)&gt;_xlfn.ANCHORARRAY(Sintesi!$C$10))*(A328&gt;=_xlfn.ANCHORARRAY(Sintesi!$C$9))+(_xlfn.ANCHORARRAY(Sintesi!$C$9)&gt;_xlfn.ANCHORARRAY(Sintesi!$C$10))*(A328&lt;=_xlfn.ANCHORARRAY(Sintesi!$C$10))+(_xlfn.ANCHORARRAY(Sintesi!$C$9)&lt;_xlfn.ANCHORARRAY(Sintesi!$C$10))*(A328&gt;=_xlfn.ANCHORARRAY(Sintesi!$C$9))*(A328&lt;=_xlfn.ANCHORARRAY(Sintesi!$C$10)))*(_xlfn.ANCHORARRAY(Sintesi!$C$15)&gt;=0)+(_xlfn.ANCHORARRAY(Sintesi!$C$15)&lt;0),0),0)</f>
        <v>0</v>
      </c>
      <c r="D328" s="1">
        <f t="array" ref="D328">IF(ISBLANK($E329),IF(ISNUMBER($E327),IF($C328&gt;0,IF(($E328=INDEX(_xlfn.ANCHORARRAY(Sintesi!$C$14),1,$C328))*(INDEX(_xlfn.ANCHORARRAY(Sintesi!$C$15),1,$C328)&gt;0),0,IF(($E328=INDEX(_xlfn.ANCHORARRAY(Sintesi!$C$14),1,$C328))*(INDEX(_xlfn.ANCHORARRAY(Sintesi!$C$15),1,$C328)&lt;0)+($E328&gt;=$E327)*($E328&lt;=INDEX($E:$E,MATCH(TRUE,INDEX((ISNUMBER($E:$E)),0),0)))*($E328&gt;INDEX(_xlfn.ANCHORARRAY(Sintesi!$C$14),1,$C328))*($E328&lt;=INDEX(_xlfn.ANCHORARRAY(Sintesi!$C$15),1,$C328))*(INDEX(_xlfn.ANCHORARRAY(Sintesi!$C$15),1,$C328)&gt;0),1,IF(($E328&gt;=$E327)*($E328&lt;=INDEX($E:$E,MATCH(TRUE,INDEX((ISNUMBER($E:$E)),0),0)))*($E328&gt;INDEX(_xlfn.ANCHORARRAY(Sintesi!$C$14),1,$C328))*($E328&lt;INDEX(_xlfn.ANCHORARRAY(Sintesi!$C$16),1,$C328))*(INDEX(_xlfn.ANCHORARRAY(Sintesi!$C$15),1,$C328)&lt;0)+($E328&gt;=$E327)*($E328&lt;=INDEX($E:$E,MATCH(TRUE,INDEX((ISNUMBER($E:$E)),0),0)))*($E328&gt;INDEX(_xlfn.ANCHORARRAY(Sintesi!$C$15),1,$C328))*($E328&lt;INDEX(_xlfn.ANCHORARRAY(Sintesi!$C$16),1,$C328))*(INDEX(_xlfn.ANCHORARRAY(Sintesi!$C$15),1,$C328)&gt;0),2,IF($E328=(INDEX(_xlfn.ANCHORARRAY(Sintesi!$C$16),1,$C328)),3,4)))),0),IF($C328&gt;0,IF(($E328=INDEX(_xlfn.ANCHORARRAY(Sintesi!$C$14),1,$C328))*(INDEX(_xlfn.ANCHORARRAY(Sintesi!$C$15),1,$C328)&gt;0),0,IF(($E328=INDEX(_xlfn.ANCHORARRAY(Sintesi!$C$14),1,$C328))*(INDEX(_xlfn.ANCHORARRAY(Sintesi!$C$15),1,$C328)&lt;0)+($E328&gt;=LOOKUP(2,1/($E:$E&lt;&gt;""),$E:$E))*($E328&lt;=INDEX($E:$E,MATCH(TRUE,INDEX((ISNUMBER($E:$E)),0),0)))*($E328&gt;INDEX(_xlfn.ANCHORARRAY(Sintesi!$C$14),1,$C328))*($E328&lt;=INDEX(_xlfn.ANCHORARRAY(Sintesi!$C$15),1,$C328))*(INDEX(_xlfn.ANCHORARRAY(Sintesi!$C$15),1,$C328)&gt;0),1,IF(($E328&gt;=LOOKUP(2,1/($E:$E&lt;&gt;""),$E:$E))*($E328&lt;=INDEX($E:$E,MATCH(TRUE,INDEX((ISNUMBER($E:$E)),0),0)))*($E328&gt;INDEX(_xlfn.ANCHORARRAY(Sintesi!$C$14),1,$C328))*($E328&lt;INDEX(_xlfn.ANCHORARRAY(Sintesi!$C$16),1,$C328))*(INDEX(_xlfn.ANCHORARRAY(Sintesi!$C$15),1,$C328)&lt;0)+($E328&gt;=LOOKUP(2,1/($E:$E&lt;&gt;""),$E:$E))*($E328&lt;=INDEX($E:$E,MATCH(TRUE,INDEX((ISNUMBER($E:$E)),0),0)))*($E328&gt;INDEX(_xlfn.ANCHORARRAY(Sintesi!$C$15),1,$C328))*($E328&lt;INDEX(_xlfn.ANCHORARRAY(Sintesi!$C$16),1,$C328))*(INDEX(_xlfn.ANCHORARRAY(Sintesi!$C$15),1,$C328)&gt;0),2,IF($E328=(INDEX(_xlfn.ANCHORARRAY(Sintesi!$C$16),1,$C328)),3,4)))),0)),IF(ISNUMBER($E327),IF($C328&gt;0,IF(($E328=INDEX(_xlfn.ANCHORARRAY(Sintesi!$C$14),1,$C328))*(INDEX(_xlfn.ANCHORARRAY(Sintesi!$C$15),1,$C328)&gt;0),0,IF(($E328=INDEX(_xlfn.ANCHORARRAY(Sintesi!$C$14),1,$C328))*(INDEX(_xlfn.ANCHORARRAY(Sintesi!$C$15),1,$C328)&lt;0)+($E328&gt;=$E327)*($E328&lt;=$E329)*($E328&gt;INDEX(_xlfn.ANCHORARRAY(Sintesi!$C$14),1,$C328))*($E328&lt;=INDEX(_xlfn.ANCHORARRAY(Sintesi!$C$15),1,$C328))*(INDEX(_xlfn.ANCHORARRAY(Sintesi!$C$15),1,$C328)&gt;0),1,IF(($E328&gt;=$E327)*($E328&lt;=$E329)*($E328&gt;INDEX(_xlfn.ANCHORARRAY(Sintesi!$C$14),1,$C328))*($E328&lt;INDEX(_xlfn.ANCHORARRAY(Sintesi!$C$16),1,$C328))*(INDEX(_xlfn.ANCHORARRAY(Sintesi!$C$15),1,$C328)&lt;0)+($E328&gt;=$E327)*($E328&lt;=$E329)*($E328&gt;INDEX(_xlfn.ANCHORARRAY(Sintesi!$C$15),1,$C328))*($E328&lt;INDEX(_xlfn.ANCHORARRAY(Sintesi!$C$16),1,$C328))*(INDEX(_xlfn.ANCHORARRAY(Sintesi!$C$15),1,$C328)&gt;0),2,IF($E328=(INDEX(_xlfn.ANCHORARRAY(Sintesi!$C$16),1,$C328)),3,4)))),0),IF($C328&gt;0,IF(($E328=INDEX(_xlfn.ANCHORARRAY(Sintesi!$C$14),1,$C328))*(INDEX(_xlfn.ANCHORARRAY(Sintesi!$C$15),1,$C328)&gt;0),0,IF(($E328=INDEX(_xlfn.ANCHORARRAY(Sintesi!$C$14),1,$C328))*(INDEX(_xlfn.ANCHORARRAY(Sintesi!$C$15),1,$C328)&lt;0)+($E328&gt;=LOOKUP(2,1/($E:$E&lt;&gt;""),$E:$E))*($E328&lt;=$E329)*($E328&gt;INDEX(_xlfn.ANCHORARRAY(Sintesi!$C$14),1,$C328))*($E328&lt;=INDEX(_xlfn.ANCHORARRAY(Sintesi!$C$15),1,$C328))*(INDEX(_xlfn.ANCHORARRAY(Sintesi!$C$15),1,$C328)&gt;0),1,IF(($E328&gt;=LOOKUP(2,1/($E:$E&lt;&gt;""),$E:$E))*($E328&lt;=$E329)*($E328&gt;INDEX(_xlfn.ANCHORARRAY(Sintesi!$C$14),1,$C328))*($E328&lt;INDEX(_xlfn.ANCHORARRAY(Sintesi!$C$16),1,$C328))*(INDEX(_xlfn.ANCHORARRAY(Sintesi!$C$15),1,$C328)&lt;0)+($E328&gt;=LOOKUP(2,1/($E:$E&lt;&gt;""),$E:$E))*($E328&lt;=$E329)*($E328&gt;INDEX(_xlfn.ANCHORARRAY(Sintesi!$C$15),1,$C328))*($E328&lt;INDEX(_xlfn.ANCHORARRAY(Sintesi!$C$16),1,$C328))*(INDEX(_xlfn.ANCHORARRAY(Sintesi!$C$15),1,$C328)&gt;0),2,IF($E328=(INDEX(_xlfn.ANCHORARRAY(Sintesi!$C$16),1,$C328)),3,4)))),0)))</f>
        <v>0</v>
      </c>
      <c r="E328" s="1">
        <f>'Paste cell here'!F328</f>
        <v>0</v>
      </c>
      <c r="F328" s="1">
        <f>'Paste cell here'!C328</f>
        <v>14.43999999999979</v>
      </c>
      <c r="G328" s="1">
        <f>'Paste cell here'!D328</f>
        <v>6.6199999999998971</v>
      </c>
      <c r="H328" s="1">
        <f>'Paste cell here'!E328</f>
        <v>0.55393521174209848</v>
      </c>
      <c r="I328" s="1">
        <f>'Paste cell here'!X328</f>
        <v>0</v>
      </c>
      <c r="J328" s="1">
        <f>'Paste cell here'!Y328+'Paste cell here'!S328</f>
        <v>0</v>
      </c>
      <c r="K328" s="1">
        <f t="shared" si="10"/>
        <v>0</v>
      </c>
      <c r="L328" s="1">
        <f t="shared" si="11"/>
        <v>11.604624138873989</v>
      </c>
      <c r="M328" s="1">
        <f t="array" ref="M328">IF(AND(A328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328&gt;=_xlfn.ANCHORARRAY(Sintesi!$C$9))+(_xlfn.ANCHORARRAY(Sintesi!$C$9)&gt;_xlfn.ANCHORARRAY(Sintesi!$C$10))*(A328&lt;=_xlfn.ANCHORARRAY(Sintesi!$C$10))+(_xlfn.ANCHORARRAY(Sintesi!$C$9)&lt;_xlfn.ANCHORARRAY(Sintesi!$C$10))*(A328&gt;=_xlfn.ANCHORARRAY(Sintesi!$C$9))*(A328&lt;=_xlfn.ANCHORARRAY(Sintesi!$C$10)),0)),0),A328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329&gt;=_xlfn.ANCHORARRAY(Sintesi!$C$9))+(_xlfn.ANCHORARRAY(Sintesi!$C$9)&gt;_xlfn.ANCHORARRAY(Sintesi!$C$10))*(A329&lt;=_xlfn.ANCHORARRAY(Sintesi!$C$10))+(_xlfn.ANCHORARRAY(Sintesi!$C$9)&lt;_xlfn.ANCHORARRAY(Sintesi!$C$10))*(A329&gt;=_xlfn.ANCHORARRAY(Sintesi!$C$9))*(A329&lt;=_xlfn.ANCHORARRAY(Sintesi!$C$10)),0)),0)),IF(L328&lt;_xlfn.IFNA(INDEX(_xlfn.ANCHORARRAY(Sintesi!$C$17),1,MATCH(1,(_xlfn.ANCHORARRAY(Sintesi!$C$9)&gt;_xlfn.ANCHORARRAY(Sintesi!$C$10))*(A327&gt;=_xlfn.ANCHORARRAY(Sintesi!$C$9))+(_xlfn.ANCHORARRAY(Sintesi!$C$9)&gt;_xlfn.ANCHORARRAY(Sintesi!$C$10))*(A327&lt;=_xlfn.ANCHORARRAY(Sintesi!$C$10))+(_xlfn.ANCHORARRAY(Sintesi!$C$9)&lt;_xlfn.ANCHORARRAY(Sintesi!$C$10))*(A327&gt;=_xlfn.ANCHORARRAY(Sintesi!$C$9))*(A327&lt;=_xlfn.ANCHORARRAY(Sintesi!$C$10)),0)),0),1,IF(L328&gt;=_xlfn.IFNA(INDEX(_xlfn.ANCHORARRAY(Sintesi!$C$18),1,MATCH(1,(_xlfn.ANCHORARRAY(Sintesi!$C$9)&gt;_xlfn.ANCHORARRAY(Sintesi!$C$10))*(A327&gt;=_xlfn.ANCHORARRAY(Sintesi!$C$9))+(_xlfn.ANCHORARRAY(Sintesi!$C$9)&gt;_xlfn.ANCHORARRAY(Sintesi!$C$10))*(A327&lt;=_xlfn.ANCHORARRAY(Sintesi!$C$10))+(_xlfn.ANCHORARRAY(Sintesi!$C$9)&lt;_xlfn.ANCHORARRAY(Sintesi!$C$10))*(A327&gt;=_xlfn.ANCHORARRAY(Sintesi!$C$9))*(A327&lt;=_xlfn.ANCHORARRAY(Sintesi!$C$10)),0)),0),0,1-(L328-_xlfn.IFNA(INDEX(_xlfn.ANCHORARRAY(Sintesi!$C$17),1,MATCH(1,(_xlfn.ANCHORARRAY(Sintesi!$C$9)&gt;_xlfn.ANCHORARRAY(Sintesi!$C$10))*(A327&gt;=_xlfn.ANCHORARRAY(Sintesi!$C$9))+(_xlfn.ANCHORARRAY(Sintesi!$C$9)&gt;_xlfn.ANCHORARRAY(Sintesi!$C$10))*(A327&lt;=_xlfn.ANCHORARRAY(Sintesi!$C$10))+(_xlfn.ANCHORARRAY(Sintesi!$C$9)&lt;_xlfn.ANCHORARRAY(Sintesi!$C$10))*(A327&gt;=_xlfn.ANCHORARRAY(Sintesi!$C$9))*(A327&lt;=_xlfn.ANCHORARRAY(Sintesi!$C$10)),0)),0))/(_xlfn.IFNA(INDEX(_xlfn.ANCHORARRAY(Sintesi!$C$18),1,MATCH(1,(_xlfn.ANCHORARRAY(Sintesi!$C$9)&gt;_xlfn.ANCHORARRAY(Sintesi!$C$10))*(A327&gt;=_xlfn.ANCHORARRAY(Sintesi!$C$9))+(_xlfn.ANCHORARRAY(Sintesi!$C$9)&gt;_xlfn.ANCHORARRAY(Sintesi!$C$10))*(A327&lt;=_xlfn.ANCHORARRAY(Sintesi!$C$10))+(_xlfn.ANCHORARRAY(Sintesi!$C$9)&lt;_xlfn.ANCHORARRAY(Sintesi!$C$10))*(A327&gt;=_xlfn.ANCHORARRAY(Sintesi!$C$9))*(A327&lt;=_xlfn.ANCHORARRAY(Sintesi!$C$10)),0)),0)-_xlfn.IFNA(INDEX(_xlfn.ANCHORARRAY(Sintesi!$C$17),1,MATCH(1,(_xlfn.ANCHORARRAY(Sintesi!$C$9)&gt;_xlfn.ANCHORARRAY(Sintesi!$C$10))*(A327&gt;=_xlfn.ANCHORARRAY(Sintesi!$C$9))+(_xlfn.ANCHORARRAY(Sintesi!$C$9)&gt;_xlfn.ANCHORARRAY(Sintesi!$C$10))*(A327&lt;=_xlfn.ANCHORARRAY(Sintesi!$C$10))+(_xlfn.ANCHORARRAY(Sintesi!$C$9)&lt;_xlfn.ANCHORARRAY(Sintesi!$C$10))*(A327&gt;=_xlfn.ANCHORARRAY(Sintesi!$C$9))*(A327&lt;=_xlfn.ANCHORARRAY(Sintesi!$C$10)),0)),0)))),0)</f>
        <v>0</v>
      </c>
    </row>
    <row r="329" spans="1:13">
      <c r="A329" s="1">
        <f>'Paste cell here'!A329</f>
        <v>328</v>
      </c>
      <c r="B329" s="2">
        <f>DATE(Sintesi!$C$4-1,12,31)+A329</f>
        <v>44524</v>
      </c>
      <c r="C329" s="34">
        <f t="array" ref="C329">_xlfn.IFNA(MATCH(1,((_xlfn.ANCHORARRAY(Sintesi!$C$9)&gt;_xlfn.ANCHORARRAY(Sintesi!$C$10))*(A329&gt;=_xlfn.ANCHORARRAY(Sintesi!$C$9))+(_xlfn.ANCHORARRAY(Sintesi!$C$9)&gt;_xlfn.ANCHORARRAY(Sintesi!$C$10))*(A329&lt;=_xlfn.ANCHORARRAY(Sintesi!$C$10))+(_xlfn.ANCHORARRAY(Sintesi!$C$9)&lt;_xlfn.ANCHORARRAY(Sintesi!$C$10))*(A329&gt;=_xlfn.ANCHORARRAY(Sintesi!$C$9))*(A329&lt;=_xlfn.ANCHORARRAY(Sintesi!$C$10)))*(_xlfn.ANCHORARRAY(Sintesi!$C$15)&gt;=0)+(_xlfn.ANCHORARRAY(Sintesi!$C$15)&lt;0),0),0)</f>
        <v>0</v>
      </c>
      <c r="D329" s="1">
        <f t="array" ref="D329">IF(ISBLANK($E330),IF(ISNUMBER($E328),IF($C329&gt;0,IF(($E329=INDEX(_xlfn.ANCHORARRAY(Sintesi!$C$14),1,$C329))*(INDEX(_xlfn.ANCHORARRAY(Sintesi!$C$15),1,$C329)&gt;0),0,IF(($E329=INDEX(_xlfn.ANCHORARRAY(Sintesi!$C$14),1,$C329))*(INDEX(_xlfn.ANCHORARRAY(Sintesi!$C$15),1,$C329)&lt;0)+($E329&gt;=$E328)*($E329&lt;=INDEX($E:$E,MATCH(TRUE,INDEX((ISNUMBER($E:$E)),0),0)))*($E329&gt;INDEX(_xlfn.ANCHORARRAY(Sintesi!$C$14),1,$C329))*($E329&lt;=INDEX(_xlfn.ANCHORARRAY(Sintesi!$C$15),1,$C329))*(INDEX(_xlfn.ANCHORARRAY(Sintesi!$C$15),1,$C329)&gt;0),1,IF(($E329&gt;=$E328)*($E329&lt;=INDEX($E:$E,MATCH(TRUE,INDEX((ISNUMBER($E:$E)),0),0)))*($E329&gt;INDEX(_xlfn.ANCHORARRAY(Sintesi!$C$14),1,$C329))*($E329&lt;INDEX(_xlfn.ANCHORARRAY(Sintesi!$C$16),1,$C329))*(INDEX(_xlfn.ANCHORARRAY(Sintesi!$C$15),1,$C329)&lt;0)+($E329&gt;=$E328)*($E329&lt;=INDEX($E:$E,MATCH(TRUE,INDEX((ISNUMBER($E:$E)),0),0)))*($E329&gt;INDEX(_xlfn.ANCHORARRAY(Sintesi!$C$15),1,$C329))*($E329&lt;INDEX(_xlfn.ANCHORARRAY(Sintesi!$C$16),1,$C329))*(INDEX(_xlfn.ANCHORARRAY(Sintesi!$C$15),1,$C329)&gt;0),2,IF($E329=(INDEX(_xlfn.ANCHORARRAY(Sintesi!$C$16),1,$C329)),3,4)))),0),IF($C329&gt;0,IF(($E329=INDEX(_xlfn.ANCHORARRAY(Sintesi!$C$14),1,$C329))*(INDEX(_xlfn.ANCHORARRAY(Sintesi!$C$15),1,$C329)&gt;0),0,IF(($E329=INDEX(_xlfn.ANCHORARRAY(Sintesi!$C$14),1,$C329))*(INDEX(_xlfn.ANCHORARRAY(Sintesi!$C$15),1,$C329)&lt;0)+($E329&gt;=LOOKUP(2,1/($E:$E&lt;&gt;""),$E:$E))*($E329&lt;=INDEX($E:$E,MATCH(TRUE,INDEX((ISNUMBER($E:$E)),0),0)))*($E329&gt;INDEX(_xlfn.ANCHORARRAY(Sintesi!$C$14),1,$C329))*($E329&lt;=INDEX(_xlfn.ANCHORARRAY(Sintesi!$C$15),1,$C329))*(INDEX(_xlfn.ANCHORARRAY(Sintesi!$C$15),1,$C329)&gt;0),1,IF(($E329&gt;=LOOKUP(2,1/($E:$E&lt;&gt;""),$E:$E))*($E329&lt;=INDEX($E:$E,MATCH(TRUE,INDEX((ISNUMBER($E:$E)),0),0)))*($E329&gt;INDEX(_xlfn.ANCHORARRAY(Sintesi!$C$14),1,$C329))*($E329&lt;INDEX(_xlfn.ANCHORARRAY(Sintesi!$C$16),1,$C329))*(INDEX(_xlfn.ANCHORARRAY(Sintesi!$C$15),1,$C329)&lt;0)+($E329&gt;=LOOKUP(2,1/($E:$E&lt;&gt;""),$E:$E))*($E329&lt;=INDEX($E:$E,MATCH(TRUE,INDEX((ISNUMBER($E:$E)),0),0)))*($E329&gt;INDEX(_xlfn.ANCHORARRAY(Sintesi!$C$15),1,$C329))*($E329&lt;INDEX(_xlfn.ANCHORARRAY(Sintesi!$C$16),1,$C329))*(INDEX(_xlfn.ANCHORARRAY(Sintesi!$C$15),1,$C329)&gt;0),2,IF($E329=(INDEX(_xlfn.ANCHORARRAY(Sintesi!$C$16),1,$C329)),3,4)))),0)),IF(ISNUMBER($E328),IF($C329&gt;0,IF(($E329=INDEX(_xlfn.ANCHORARRAY(Sintesi!$C$14),1,$C329))*(INDEX(_xlfn.ANCHORARRAY(Sintesi!$C$15),1,$C329)&gt;0),0,IF(($E329=INDEX(_xlfn.ANCHORARRAY(Sintesi!$C$14),1,$C329))*(INDEX(_xlfn.ANCHORARRAY(Sintesi!$C$15),1,$C329)&lt;0)+($E329&gt;=$E328)*($E329&lt;=$E330)*($E329&gt;INDEX(_xlfn.ANCHORARRAY(Sintesi!$C$14),1,$C329))*($E329&lt;=INDEX(_xlfn.ANCHORARRAY(Sintesi!$C$15),1,$C329))*(INDEX(_xlfn.ANCHORARRAY(Sintesi!$C$15),1,$C329)&gt;0),1,IF(($E329&gt;=$E328)*($E329&lt;=$E330)*($E329&gt;INDEX(_xlfn.ANCHORARRAY(Sintesi!$C$14),1,$C329))*($E329&lt;INDEX(_xlfn.ANCHORARRAY(Sintesi!$C$16),1,$C329))*(INDEX(_xlfn.ANCHORARRAY(Sintesi!$C$15),1,$C329)&lt;0)+($E329&gt;=$E328)*($E329&lt;=$E330)*($E329&gt;INDEX(_xlfn.ANCHORARRAY(Sintesi!$C$15),1,$C329))*($E329&lt;INDEX(_xlfn.ANCHORARRAY(Sintesi!$C$16),1,$C329))*(INDEX(_xlfn.ANCHORARRAY(Sintesi!$C$15),1,$C329)&gt;0),2,IF($E329=(INDEX(_xlfn.ANCHORARRAY(Sintesi!$C$16),1,$C329)),3,4)))),0),IF($C329&gt;0,IF(($E329=INDEX(_xlfn.ANCHORARRAY(Sintesi!$C$14),1,$C329))*(INDEX(_xlfn.ANCHORARRAY(Sintesi!$C$15),1,$C329)&gt;0),0,IF(($E329=INDEX(_xlfn.ANCHORARRAY(Sintesi!$C$14),1,$C329))*(INDEX(_xlfn.ANCHORARRAY(Sintesi!$C$15),1,$C329)&lt;0)+($E329&gt;=LOOKUP(2,1/($E:$E&lt;&gt;""),$E:$E))*($E329&lt;=$E330)*($E329&gt;INDEX(_xlfn.ANCHORARRAY(Sintesi!$C$14),1,$C329))*($E329&lt;=INDEX(_xlfn.ANCHORARRAY(Sintesi!$C$15),1,$C329))*(INDEX(_xlfn.ANCHORARRAY(Sintesi!$C$15),1,$C329)&gt;0),1,IF(($E329&gt;=LOOKUP(2,1/($E:$E&lt;&gt;""),$E:$E))*($E329&lt;=$E330)*($E329&gt;INDEX(_xlfn.ANCHORARRAY(Sintesi!$C$14),1,$C329))*($E329&lt;INDEX(_xlfn.ANCHORARRAY(Sintesi!$C$16),1,$C329))*(INDEX(_xlfn.ANCHORARRAY(Sintesi!$C$15),1,$C329)&lt;0)+($E329&gt;=LOOKUP(2,1/($E:$E&lt;&gt;""),$E:$E))*($E329&lt;=$E330)*($E329&gt;INDEX(_xlfn.ANCHORARRAY(Sintesi!$C$15),1,$C329))*($E329&lt;INDEX(_xlfn.ANCHORARRAY(Sintesi!$C$16),1,$C329))*(INDEX(_xlfn.ANCHORARRAY(Sintesi!$C$15),1,$C329)&gt;0),2,IF($E329=(INDEX(_xlfn.ANCHORARRAY(Sintesi!$C$16),1,$C329)),3,4)))),0)))</f>
        <v>0</v>
      </c>
      <c r="E329" s="1">
        <f>'Paste cell here'!F329</f>
        <v>0</v>
      </c>
      <c r="F329" s="1">
        <f>'Paste cell here'!C329</f>
        <v>12.719999999999818</v>
      </c>
      <c r="G329" s="1">
        <f>'Paste cell here'!D329</f>
        <v>3.5399999999999654</v>
      </c>
      <c r="H329" s="1">
        <f>'Paste cell here'!E329</f>
        <v>0.36013645557667601</v>
      </c>
      <c r="I329" s="1">
        <f>'Paste cell here'!X329</f>
        <v>0</v>
      </c>
      <c r="J329" s="1">
        <f>'Paste cell here'!Y329+'Paste cell here'!S329</f>
        <v>0</v>
      </c>
      <c r="K329" s="1">
        <f t="shared" si="10"/>
        <v>0</v>
      </c>
      <c r="L329" s="1">
        <f t="shared" si="11"/>
        <v>9.3915152934608432</v>
      </c>
      <c r="M329" s="1">
        <f t="array" ref="M329">IF(AND(A329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329&gt;=_xlfn.ANCHORARRAY(Sintesi!$C$9))+(_xlfn.ANCHORARRAY(Sintesi!$C$9)&gt;_xlfn.ANCHORARRAY(Sintesi!$C$10))*(A329&lt;=_xlfn.ANCHORARRAY(Sintesi!$C$10))+(_xlfn.ANCHORARRAY(Sintesi!$C$9)&lt;_xlfn.ANCHORARRAY(Sintesi!$C$10))*(A329&gt;=_xlfn.ANCHORARRAY(Sintesi!$C$9))*(A329&lt;=_xlfn.ANCHORARRAY(Sintesi!$C$10)),0)),0),A329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330&gt;=_xlfn.ANCHORARRAY(Sintesi!$C$9))+(_xlfn.ANCHORARRAY(Sintesi!$C$9)&gt;_xlfn.ANCHORARRAY(Sintesi!$C$10))*(A330&lt;=_xlfn.ANCHORARRAY(Sintesi!$C$10))+(_xlfn.ANCHORARRAY(Sintesi!$C$9)&lt;_xlfn.ANCHORARRAY(Sintesi!$C$10))*(A330&gt;=_xlfn.ANCHORARRAY(Sintesi!$C$9))*(A330&lt;=_xlfn.ANCHORARRAY(Sintesi!$C$10)),0)),0)),IF(L329&lt;_xlfn.IFNA(INDEX(_xlfn.ANCHORARRAY(Sintesi!$C$17),1,MATCH(1,(_xlfn.ANCHORARRAY(Sintesi!$C$9)&gt;_xlfn.ANCHORARRAY(Sintesi!$C$10))*(A328&gt;=_xlfn.ANCHORARRAY(Sintesi!$C$9))+(_xlfn.ANCHORARRAY(Sintesi!$C$9)&gt;_xlfn.ANCHORARRAY(Sintesi!$C$10))*(A328&lt;=_xlfn.ANCHORARRAY(Sintesi!$C$10))+(_xlfn.ANCHORARRAY(Sintesi!$C$9)&lt;_xlfn.ANCHORARRAY(Sintesi!$C$10))*(A328&gt;=_xlfn.ANCHORARRAY(Sintesi!$C$9))*(A328&lt;=_xlfn.ANCHORARRAY(Sintesi!$C$10)),0)),0),1,IF(L329&gt;=_xlfn.IFNA(INDEX(_xlfn.ANCHORARRAY(Sintesi!$C$18),1,MATCH(1,(_xlfn.ANCHORARRAY(Sintesi!$C$9)&gt;_xlfn.ANCHORARRAY(Sintesi!$C$10))*(A328&gt;=_xlfn.ANCHORARRAY(Sintesi!$C$9))+(_xlfn.ANCHORARRAY(Sintesi!$C$9)&gt;_xlfn.ANCHORARRAY(Sintesi!$C$10))*(A328&lt;=_xlfn.ANCHORARRAY(Sintesi!$C$10))+(_xlfn.ANCHORARRAY(Sintesi!$C$9)&lt;_xlfn.ANCHORARRAY(Sintesi!$C$10))*(A328&gt;=_xlfn.ANCHORARRAY(Sintesi!$C$9))*(A328&lt;=_xlfn.ANCHORARRAY(Sintesi!$C$10)),0)),0),0,1-(L329-_xlfn.IFNA(INDEX(_xlfn.ANCHORARRAY(Sintesi!$C$17),1,MATCH(1,(_xlfn.ANCHORARRAY(Sintesi!$C$9)&gt;_xlfn.ANCHORARRAY(Sintesi!$C$10))*(A328&gt;=_xlfn.ANCHORARRAY(Sintesi!$C$9))+(_xlfn.ANCHORARRAY(Sintesi!$C$9)&gt;_xlfn.ANCHORARRAY(Sintesi!$C$10))*(A328&lt;=_xlfn.ANCHORARRAY(Sintesi!$C$10))+(_xlfn.ANCHORARRAY(Sintesi!$C$9)&lt;_xlfn.ANCHORARRAY(Sintesi!$C$10))*(A328&gt;=_xlfn.ANCHORARRAY(Sintesi!$C$9))*(A328&lt;=_xlfn.ANCHORARRAY(Sintesi!$C$10)),0)),0))/(_xlfn.IFNA(INDEX(_xlfn.ANCHORARRAY(Sintesi!$C$18),1,MATCH(1,(_xlfn.ANCHORARRAY(Sintesi!$C$9)&gt;_xlfn.ANCHORARRAY(Sintesi!$C$10))*(A328&gt;=_xlfn.ANCHORARRAY(Sintesi!$C$9))+(_xlfn.ANCHORARRAY(Sintesi!$C$9)&gt;_xlfn.ANCHORARRAY(Sintesi!$C$10))*(A328&lt;=_xlfn.ANCHORARRAY(Sintesi!$C$10))+(_xlfn.ANCHORARRAY(Sintesi!$C$9)&lt;_xlfn.ANCHORARRAY(Sintesi!$C$10))*(A328&gt;=_xlfn.ANCHORARRAY(Sintesi!$C$9))*(A328&lt;=_xlfn.ANCHORARRAY(Sintesi!$C$10)),0)),0)-_xlfn.IFNA(INDEX(_xlfn.ANCHORARRAY(Sintesi!$C$17),1,MATCH(1,(_xlfn.ANCHORARRAY(Sintesi!$C$9)&gt;_xlfn.ANCHORARRAY(Sintesi!$C$10))*(A328&gt;=_xlfn.ANCHORARRAY(Sintesi!$C$9))+(_xlfn.ANCHORARRAY(Sintesi!$C$9)&gt;_xlfn.ANCHORARRAY(Sintesi!$C$10))*(A328&lt;=_xlfn.ANCHORARRAY(Sintesi!$C$10))+(_xlfn.ANCHORARRAY(Sintesi!$C$9)&lt;_xlfn.ANCHORARRAY(Sintesi!$C$10))*(A328&gt;=_xlfn.ANCHORARRAY(Sintesi!$C$9))*(A328&lt;=_xlfn.ANCHORARRAY(Sintesi!$C$10)),0)),0)))),0)</f>
        <v>0</v>
      </c>
    </row>
    <row r="330" spans="1:13">
      <c r="A330" s="1">
        <f>'Paste cell here'!A330</f>
        <v>329</v>
      </c>
      <c r="B330" s="2">
        <f>DATE(Sintesi!$C$4-1,12,31)+A330</f>
        <v>44525</v>
      </c>
      <c r="C330" s="34">
        <f t="array" ref="C330">_xlfn.IFNA(MATCH(1,((_xlfn.ANCHORARRAY(Sintesi!$C$9)&gt;_xlfn.ANCHORARRAY(Sintesi!$C$10))*(A330&gt;=_xlfn.ANCHORARRAY(Sintesi!$C$9))+(_xlfn.ANCHORARRAY(Sintesi!$C$9)&gt;_xlfn.ANCHORARRAY(Sintesi!$C$10))*(A330&lt;=_xlfn.ANCHORARRAY(Sintesi!$C$10))+(_xlfn.ANCHORARRAY(Sintesi!$C$9)&lt;_xlfn.ANCHORARRAY(Sintesi!$C$10))*(A330&gt;=_xlfn.ANCHORARRAY(Sintesi!$C$9))*(A330&lt;=_xlfn.ANCHORARRAY(Sintesi!$C$10)))*(_xlfn.ANCHORARRAY(Sintesi!$C$15)&gt;=0)+(_xlfn.ANCHORARRAY(Sintesi!$C$15)&lt;0),0),0)</f>
        <v>0</v>
      </c>
      <c r="D330" s="1">
        <f t="array" ref="D330">IF(ISBLANK($E331),IF(ISNUMBER($E329),IF($C330&gt;0,IF(($E330=INDEX(_xlfn.ANCHORARRAY(Sintesi!$C$14),1,$C330))*(INDEX(_xlfn.ANCHORARRAY(Sintesi!$C$15),1,$C330)&gt;0),0,IF(($E330=INDEX(_xlfn.ANCHORARRAY(Sintesi!$C$14),1,$C330))*(INDEX(_xlfn.ANCHORARRAY(Sintesi!$C$15),1,$C330)&lt;0)+($E330&gt;=$E329)*($E330&lt;=INDEX($E:$E,MATCH(TRUE,INDEX((ISNUMBER($E:$E)),0),0)))*($E330&gt;INDEX(_xlfn.ANCHORARRAY(Sintesi!$C$14),1,$C330))*($E330&lt;=INDEX(_xlfn.ANCHORARRAY(Sintesi!$C$15),1,$C330))*(INDEX(_xlfn.ANCHORARRAY(Sintesi!$C$15),1,$C330)&gt;0),1,IF(($E330&gt;=$E329)*($E330&lt;=INDEX($E:$E,MATCH(TRUE,INDEX((ISNUMBER($E:$E)),0),0)))*($E330&gt;INDEX(_xlfn.ANCHORARRAY(Sintesi!$C$14),1,$C330))*($E330&lt;INDEX(_xlfn.ANCHORARRAY(Sintesi!$C$16),1,$C330))*(INDEX(_xlfn.ANCHORARRAY(Sintesi!$C$15),1,$C330)&lt;0)+($E330&gt;=$E329)*($E330&lt;=INDEX($E:$E,MATCH(TRUE,INDEX((ISNUMBER($E:$E)),0),0)))*($E330&gt;INDEX(_xlfn.ANCHORARRAY(Sintesi!$C$15),1,$C330))*($E330&lt;INDEX(_xlfn.ANCHORARRAY(Sintesi!$C$16),1,$C330))*(INDEX(_xlfn.ANCHORARRAY(Sintesi!$C$15),1,$C330)&gt;0),2,IF($E330=(INDEX(_xlfn.ANCHORARRAY(Sintesi!$C$16),1,$C330)),3,4)))),0),IF($C330&gt;0,IF(($E330=INDEX(_xlfn.ANCHORARRAY(Sintesi!$C$14),1,$C330))*(INDEX(_xlfn.ANCHORARRAY(Sintesi!$C$15),1,$C330)&gt;0),0,IF(($E330=INDEX(_xlfn.ANCHORARRAY(Sintesi!$C$14),1,$C330))*(INDEX(_xlfn.ANCHORARRAY(Sintesi!$C$15),1,$C330)&lt;0)+($E330&gt;=LOOKUP(2,1/($E:$E&lt;&gt;""),$E:$E))*($E330&lt;=INDEX($E:$E,MATCH(TRUE,INDEX((ISNUMBER($E:$E)),0),0)))*($E330&gt;INDEX(_xlfn.ANCHORARRAY(Sintesi!$C$14),1,$C330))*($E330&lt;=INDEX(_xlfn.ANCHORARRAY(Sintesi!$C$15),1,$C330))*(INDEX(_xlfn.ANCHORARRAY(Sintesi!$C$15),1,$C330)&gt;0),1,IF(($E330&gt;=LOOKUP(2,1/($E:$E&lt;&gt;""),$E:$E))*($E330&lt;=INDEX($E:$E,MATCH(TRUE,INDEX((ISNUMBER($E:$E)),0),0)))*($E330&gt;INDEX(_xlfn.ANCHORARRAY(Sintesi!$C$14),1,$C330))*($E330&lt;INDEX(_xlfn.ANCHORARRAY(Sintesi!$C$16),1,$C330))*(INDEX(_xlfn.ANCHORARRAY(Sintesi!$C$15),1,$C330)&lt;0)+($E330&gt;=LOOKUP(2,1/($E:$E&lt;&gt;""),$E:$E))*($E330&lt;=INDEX($E:$E,MATCH(TRUE,INDEX((ISNUMBER($E:$E)),0),0)))*($E330&gt;INDEX(_xlfn.ANCHORARRAY(Sintesi!$C$15),1,$C330))*($E330&lt;INDEX(_xlfn.ANCHORARRAY(Sintesi!$C$16),1,$C330))*(INDEX(_xlfn.ANCHORARRAY(Sintesi!$C$15),1,$C330)&gt;0),2,IF($E330=(INDEX(_xlfn.ANCHORARRAY(Sintesi!$C$16),1,$C330)),3,4)))),0)),IF(ISNUMBER($E329),IF($C330&gt;0,IF(($E330=INDEX(_xlfn.ANCHORARRAY(Sintesi!$C$14),1,$C330))*(INDEX(_xlfn.ANCHORARRAY(Sintesi!$C$15),1,$C330)&gt;0),0,IF(($E330=INDEX(_xlfn.ANCHORARRAY(Sintesi!$C$14),1,$C330))*(INDEX(_xlfn.ANCHORARRAY(Sintesi!$C$15),1,$C330)&lt;0)+($E330&gt;=$E329)*($E330&lt;=$E331)*($E330&gt;INDEX(_xlfn.ANCHORARRAY(Sintesi!$C$14),1,$C330))*($E330&lt;=INDEX(_xlfn.ANCHORARRAY(Sintesi!$C$15),1,$C330))*(INDEX(_xlfn.ANCHORARRAY(Sintesi!$C$15),1,$C330)&gt;0),1,IF(($E330&gt;=$E329)*($E330&lt;=$E331)*($E330&gt;INDEX(_xlfn.ANCHORARRAY(Sintesi!$C$14),1,$C330))*($E330&lt;INDEX(_xlfn.ANCHORARRAY(Sintesi!$C$16),1,$C330))*(INDEX(_xlfn.ANCHORARRAY(Sintesi!$C$15),1,$C330)&lt;0)+($E330&gt;=$E329)*($E330&lt;=$E331)*($E330&gt;INDEX(_xlfn.ANCHORARRAY(Sintesi!$C$15),1,$C330))*($E330&lt;INDEX(_xlfn.ANCHORARRAY(Sintesi!$C$16),1,$C330))*(INDEX(_xlfn.ANCHORARRAY(Sintesi!$C$15),1,$C330)&gt;0),2,IF($E330=(INDEX(_xlfn.ANCHORARRAY(Sintesi!$C$16),1,$C330)),3,4)))),0),IF($C330&gt;0,IF(($E330=INDEX(_xlfn.ANCHORARRAY(Sintesi!$C$14),1,$C330))*(INDEX(_xlfn.ANCHORARRAY(Sintesi!$C$15),1,$C330)&gt;0),0,IF(($E330=INDEX(_xlfn.ANCHORARRAY(Sintesi!$C$14),1,$C330))*(INDEX(_xlfn.ANCHORARRAY(Sintesi!$C$15),1,$C330)&lt;0)+($E330&gt;=LOOKUP(2,1/($E:$E&lt;&gt;""),$E:$E))*($E330&lt;=$E331)*($E330&gt;INDEX(_xlfn.ANCHORARRAY(Sintesi!$C$14),1,$C330))*($E330&lt;=INDEX(_xlfn.ANCHORARRAY(Sintesi!$C$15),1,$C330))*(INDEX(_xlfn.ANCHORARRAY(Sintesi!$C$15),1,$C330)&gt;0),1,IF(($E330&gt;=LOOKUP(2,1/($E:$E&lt;&gt;""),$E:$E))*($E330&lt;=$E331)*($E330&gt;INDEX(_xlfn.ANCHORARRAY(Sintesi!$C$14),1,$C330))*($E330&lt;INDEX(_xlfn.ANCHORARRAY(Sintesi!$C$16),1,$C330))*(INDEX(_xlfn.ANCHORARRAY(Sintesi!$C$15),1,$C330)&lt;0)+($E330&gt;=LOOKUP(2,1/($E:$E&lt;&gt;""),$E:$E))*($E330&lt;=$E331)*($E330&gt;INDEX(_xlfn.ANCHORARRAY(Sintesi!$C$15),1,$C330))*($E330&lt;INDEX(_xlfn.ANCHORARRAY(Sintesi!$C$16),1,$C330))*(INDEX(_xlfn.ANCHORARRAY(Sintesi!$C$15),1,$C330)&gt;0),2,IF($E330=(INDEX(_xlfn.ANCHORARRAY(Sintesi!$C$16),1,$C330)),3,4)))),0)))</f>
        <v>0</v>
      </c>
      <c r="E330" s="1">
        <f>'Paste cell here'!F330</f>
        <v>0</v>
      </c>
      <c r="F330" s="1">
        <f>'Paste cell here'!C330</f>
        <v>6.7199999999999127</v>
      </c>
      <c r="G330" s="1">
        <f>'Paste cell here'!D330</f>
        <v>5.4199999999999307</v>
      </c>
      <c r="H330" s="1">
        <f>'Paste cell here'!E330</f>
        <v>0.46264220636049391</v>
      </c>
      <c r="I330" s="1">
        <f>'Paste cell here'!X330</f>
        <v>0</v>
      </c>
      <c r="J330" s="1">
        <f>'Paste cell here'!Y330+'Paste cell here'!S330</f>
        <v>0</v>
      </c>
      <c r="K330" s="1">
        <f t="shared" si="10"/>
        <v>0</v>
      </c>
      <c r="L330" s="1">
        <f t="shared" si="11"/>
        <v>6.248645956590253</v>
      </c>
      <c r="M330" s="1">
        <f t="array" ref="M330">IF(AND(A330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330&gt;=_xlfn.ANCHORARRAY(Sintesi!$C$9))+(_xlfn.ANCHORARRAY(Sintesi!$C$9)&gt;_xlfn.ANCHORARRAY(Sintesi!$C$10))*(A330&lt;=_xlfn.ANCHORARRAY(Sintesi!$C$10))+(_xlfn.ANCHORARRAY(Sintesi!$C$9)&lt;_xlfn.ANCHORARRAY(Sintesi!$C$10))*(A330&gt;=_xlfn.ANCHORARRAY(Sintesi!$C$9))*(A330&lt;=_xlfn.ANCHORARRAY(Sintesi!$C$10)),0)),0),A330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331&gt;=_xlfn.ANCHORARRAY(Sintesi!$C$9))+(_xlfn.ANCHORARRAY(Sintesi!$C$9)&gt;_xlfn.ANCHORARRAY(Sintesi!$C$10))*(A331&lt;=_xlfn.ANCHORARRAY(Sintesi!$C$10))+(_xlfn.ANCHORARRAY(Sintesi!$C$9)&lt;_xlfn.ANCHORARRAY(Sintesi!$C$10))*(A331&gt;=_xlfn.ANCHORARRAY(Sintesi!$C$9))*(A331&lt;=_xlfn.ANCHORARRAY(Sintesi!$C$10)),0)),0)),IF(L330&lt;_xlfn.IFNA(INDEX(_xlfn.ANCHORARRAY(Sintesi!$C$17),1,MATCH(1,(_xlfn.ANCHORARRAY(Sintesi!$C$9)&gt;_xlfn.ANCHORARRAY(Sintesi!$C$10))*(A329&gt;=_xlfn.ANCHORARRAY(Sintesi!$C$9))+(_xlfn.ANCHORARRAY(Sintesi!$C$9)&gt;_xlfn.ANCHORARRAY(Sintesi!$C$10))*(A329&lt;=_xlfn.ANCHORARRAY(Sintesi!$C$10))+(_xlfn.ANCHORARRAY(Sintesi!$C$9)&lt;_xlfn.ANCHORARRAY(Sintesi!$C$10))*(A329&gt;=_xlfn.ANCHORARRAY(Sintesi!$C$9))*(A329&lt;=_xlfn.ANCHORARRAY(Sintesi!$C$10)),0)),0),1,IF(L330&gt;=_xlfn.IFNA(INDEX(_xlfn.ANCHORARRAY(Sintesi!$C$18),1,MATCH(1,(_xlfn.ANCHORARRAY(Sintesi!$C$9)&gt;_xlfn.ANCHORARRAY(Sintesi!$C$10))*(A329&gt;=_xlfn.ANCHORARRAY(Sintesi!$C$9))+(_xlfn.ANCHORARRAY(Sintesi!$C$9)&gt;_xlfn.ANCHORARRAY(Sintesi!$C$10))*(A329&lt;=_xlfn.ANCHORARRAY(Sintesi!$C$10))+(_xlfn.ANCHORARRAY(Sintesi!$C$9)&lt;_xlfn.ANCHORARRAY(Sintesi!$C$10))*(A329&gt;=_xlfn.ANCHORARRAY(Sintesi!$C$9))*(A329&lt;=_xlfn.ANCHORARRAY(Sintesi!$C$10)),0)),0),0,1-(L330-_xlfn.IFNA(INDEX(_xlfn.ANCHORARRAY(Sintesi!$C$17),1,MATCH(1,(_xlfn.ANCHORARRAY(Sintesi!$C$9)&gt;_xlfn.ANCHORARRAY(Sintesi!$C$10))*(A329&gt;=_xlfn.ANCHORARRAY(Sintesi!$C$9))+(_xlfn.ANCHORARRAY(Sintesi!$C$9)&gt;_xlfn.ANCHORARRAY(Sintesi!$C$10))*(A329&lt;=_xlfn.ANCHORARRAY(Sintesi!$C$10))+(_xlfn.ANCHORARRAY(Sintesi!$C$9)&lt;_xlfn.ANCHORARRAY(Sintesi!$C$10))*(A329&gt;=_xlfn.ANCHORARRAY(Sintesi!$C$9))*(A329&lt;=_xlfn.ANCHORARRAY(Sintesi!$C$10)),0)),0))/(_xlfn.IFNA(INDEX(_xlfn.ANCHORARRAY(Sintesi!$C$18),1,MATCH(1,(_xlfn.ANCHORARRAY(Sintesi!$C$9)&gt;_xlfn.ANCHORARRAY(Sintesi!$C$10))*(A329&gt;=_xlfn.ANCHORARRAY(Sintesi!$C$9))+(_xlfn.ANCHORARRAY(Sintesi!$C$9)&gt;_xlfn.ANCHORARRAY(Sintesi!$C$10))*(A329&lt;=_xlfn.ANCHORARRAY(Sintesi!$C$10))+(_xlfn.ANCHORARRAY(Sintesi!$C$9)&lt;_xlfn.ANCHORARRAY(Sintesi!$C$10))*(A329&gt;=_xlfn.ANCHORARRAY(Sintesi!$C$9))*(A329&lt;=_xlfn.ANCHORARRAY(Sintesi!$C$10)),0)),0)-_xlfn.IFNA(INDEX(_xlfn.ANCHORARRAY(Sintesi!$C$17),1,MATCH(1,(_xlfn.ANCHORARRAY(Sintesi!$C$9)&gt;_xlfn.ANCHORARRAY(Sintesi!$C$10))*(A329&gt;=_xlfn.ANCHORARRAY(Sintesi!$C$9))+(_xlfn.ANCHORARRAY(Sintesi!$C$9)&gt;_xlfn.ANCHORARRAY(Sintesi!$C$10))*(A329&lt;=_xlfn.ANCHORARRAY(Sintesi!$C$10))+(_xlfn.ANCHORARRAY(Sintesi!$C$9)&lt;_xlfn.ANCHORARRAY(Sintesi!$C$10))*(A329&gt;=_xlfn.ANCHORARRAY(Sintesi!$C$9))*(A329&lt;=_xlfn.ANCHORARRAY(Sintesi!$C$10)),0)),0)))),0)</f>
        <v>0</v>
      </c>
    </row>
    <row r="331" spans="1:13">
      <c r="A331" s="1">
        <f>'Paste cell here'!A331</f>
        <v>330</v>
      </c>
      <c r="B331" s="2">
        <f>DATE(Sintesi!$C$4-1,12,31)+A331</f>
        <v>44526</v>
      </c>
      <c r="C331" s="34">
        <f t="array" ref="C331">_xlfn.IFNA(MATCH(1,((_xlfn.ANCHORARRAY(Sintesi!$C$9)&gt;_xlfn.ANCHORARRAY(Sintesi!$C$10))*(A331&gt;=_xlfn.ANCHORARRAY(Sintesi!$C$9))+(_xlfn.ANCHORARRAY(Sintesi!$C$9)&gt;_xlfn.ANCHORARRAY(Sintesi!$C$10))*(A331&lt;=_xlfn.ANCHORARRAY(Sintesi!$C$10))+(_xlfn.ANCHORARRAY(Sintesi!$C$9)&lt;_xlfn.ANCHORARRAY(Sintesi!$C$10))*(A331&gt;=_xlfn.ANCHORARRAY(Sintesi!$C$9))*(A331&lt;=_xlfn.ANCHORARRAY(Sintesi!$C$10)))*(_xlfn.ANCHORARRAY(Sintesi!$C$15)&gt;=0)+(_xlfn.ANCHORARRAY(Sintesi!$C$15)&lt;0),0),0)</f>
        <v>0</v>
      </c>
      <c r="D331" s="1">
        <f t="array" ref="D331">IF(ISBLANK($E332),IF(ISNUMBER($E330),IF($C331&gt;0,IF(($E331=INDEX(_xlfn.ANCHORARRAY(Sintesi!$C$14),1,$C331))*(INDEX(_xlfn.ANCHORARRAY(Sintesi!$C$15),1,$C331)&gt;0),0,IF(($E331=INDEX(_xlfn.ANCHORARRAY(Sintesi!$C$14),1,$C331))*(INDEX(_xlfn.ANCHORARRAY(Sintesi!$C$15),1,$C331)&lt;0)+($E331&gt;=$E330)*($E331&lt;=INDEX($E:$E,MATCH(TRUE,INDEX((ISNUMBER($E:$E)),0),0)))*($E331&gt;INDEX(_xlfn.ANCHORARRAY(Sintesi!$C$14),1,$C331))*($E331&lt;=INDEX(_xlfn.ANCHORARRAY(Sintesi!$C$15),1,$C331))*(INDEX(_xlfn.ANCHORARRAY(Sintesi!$C$15),1,$C331)&gt;0),1,IF(($E331&gt;=$E330)*($E331&lt;=INDEX($E:$E,MATCH(TRUE,INDEX((ISNUMBER($E:$E)),0),0)))*($E331&gt;INDEX(_xlfn.ANCHORARRAY(Sintesi!$C$14),1,$C331))*($E331&lt;INDEX(_xlfn.ANCHORARRAY(Sintesi!$C$16),1,$C331))*(INDEX(_xlfn.ANCHORARRAY(Sintesi!$C$15),1,$C331)&lt;0)+($E331&gt;=$E330)*($E331&lt;=INDEX($E:$E,MATCH(TRUE,INDEX((ISNUMBER($E:$E)),0),0)))*($E331&gt;INDEX(_xlfn.ANCHORARRAY(Sintesi!$C$15),1,$C331))*($E331&lt;INDEX(_xlfn.ANCHORARRAY(Sintesi!$C$16),1,$C331))*(INDEX(_xlfn.ANCHORARRAY(Sintesi!$C$15),1,$C331)&gt;0),2,IF($E331=(INDEX(_xlfn.ANCHORARRAY(Sintesi!$C$16),1,$C331)),3,4)))),0),IF($C331&gt;0,IF(($E331=INDEX(_xlfn.ANCHORARRAY(Sintesi!$C$14),1,$C331))*(INDEX(_xlfn.ANCHORARRAY(Sintesi!$C$15),1,$C331)&gt;0),0,IF(($E331=INDEX(_xlfn.ANCHORARRAY(Sintesi!$C$14),1,$C331))*(INDEX(_xlfn.ANCHORARRAY(Sintesi!$C$15),1,$C331)&lt;0)+($E331&gt;=LOOKUP(2,1/($E:$E&lt;&gt;""),$E:$E))*($E331&lt;=INDEX($E:$E,MATCH(TRUE,INDEX((ISNUMBER($E:$E)),0),0)))*($E331&gt;INDEX(_xlfn.ANCHORARRAY(Sintesi!$C$14),1,$C331))*($E331&lt;=INDEX(_xlfn.ANCHORARRAY(Sintesi!$C$15),1,$C331))*(INDEX(_xlfn.ANCHORARRAY(Sintesi!$C$15),1,$C331)&gt;0),1,IF(($E331&gt;=LOOKUP(2,1/($E:$E&lt;&gt;""),$E:$E))*($E331&lt;=INDEX($E:$E,MATCH(TRUE,INDEX((ISNUMBER($E:$E)),0),0)))*($E331&gt;INDEX(_xlfn.ANCHORARRAY(Sintesi!$C$14),1,$C331))*($E331&lt;INDEX(_xlfn.ANCHORARRAY(Sintesi!$C$16),1,$C331))*(INDEX(_xlfn.ANCHORARRAY(Sintesi!$C$15),1,$C331)&lt;0)+($E331&gt;=LOOKUP(2,1/($E:$E&lt;&gt;""),$E:$E))*($E331&lt;=INDEX($E:$E,MATCH(TRUE,INDEX((ISNUMBER($E:$E)),0),0)))*($E331&gt;INDEX(_xlfn.ANCHORARRAY(Sintesi!$C$15),1,$C331))*($E331&lt;INDEX(_xlfn.ANCHORARRAY(Sintesi!$C$16),1,$C331))*(INDEX(_xlfn.ANCHORARRAY(Sintesi!$C$15),1,$C331)&gt;0),2,IF($E331=(INDEX(_xlfn.ANCHORARRAY(Sintesi!$C$16),1,$C331)),3,4)))),0)),IF(ISNUMBER($E330),IF($C331&gt;0,IF(($E331=INDEX(_xlfn.ANCHORARRAY(Sintesi!$C$14),1,$C331))*(INDEX(_xlfn.ANCHORARRAY(Sintesi!$C$15),1,$C331)&gt;0),0,IF(($E331=INDEX(_xlfn.ANCHORARRAY(Sintesi!$C$14),1,$C331))*(INDEX(_xlfn.ANCHORARRAY(Sintesi!$C$15),1,$C331)&lt;0)+($E331&gt;=$E330)*($E331&lt;=$E332)*($E331&gt;INDEX(_xlfn.ANCHORARRAY(Sintesi!$C$14),1,$C331))*($E331&lt;=INDEX(_xlfn.ANCHORARRAY(Sintesi!$C$15),1,$C331))*(INDEX(_xlfn.ANCHORARRAY(Sintesi!$C$15),1,$C331)&gt;0),1,IF(($E331&gt;=$E330)*($E331&lt;=$E332)*($E331&gt;INDEX(_xlfn.ANCHORARRAY(Sintesi!$C$14),1,$C331))*($E331&lt;INDEX(_xlfn.ANCHORARRAY(Sintesi!$C$16),1,$C331))*(INDEX(_xlfn.ANCHORARRAY(Sintesi!$C$15),1,$C331)&lt;0)+($E331&gt;=$E330)*($E331&lt;=$E332)*($E331&gt;INDEX(_xlfn.ANCHORARRAY(Sintesi!$C$15),1,$C331))*($E331&lt;INDEX(_xlfn.ANCHORARRAY(Sintesi!$C$16),1,$C331))*(INDEX(_xlfn.ANCHORARRAY(Sintesi!$C$15),1,$C331)&gt;0),2,IF($E331=(INDEX(_xlfn.ANCHORARRAY(Sintesi!$C$16),1,$C331)),3,4)))),0),IF($C331&gt;0,IF(($E331=INDEX(_xlfn.ANCHORARRAY(Sintesi!$C$14),1,$C331))*(INDEX(_xlfn.ANCHORARRAY(Sintesi!$C$15),1,$C331)&gt;0),0,IF(($E331=INDEX(_xlfn.ANCHORARRAY(Sintesi!$C$14),1,$C331))*(INDEX(_xlfn.ANCHORARRAY(Sintesi!$C$15),1,$C331)&lt;0)+($E331&gt;=LOOKUP(2,1/($E:$E&lt;&gt;""),$E:$E))*($E331&lt;=$E332)*($E331&gt;INDEX(_xlfn.ANCHORARRAY(Sintesi!$C$14),1,$C331))*($E331&lt;=INDEX(_xlfn.ANCHORARRAY(Sintesi!$C$15),1,$C331))*(INDEX(_xlfn.ANCHORARRAY(Sintesi!$C$15),1,$C331)&gt;0),1,IF(($E331&gt;=LOOKUP(2,1/($E:$E&lt;&gt;""),$E:$E))*($E331&lt;=$E332)*($E331&gt;INDEX(_xlfn.ANCHORARRAY(Sintesi!$C$14),1,$C331))*($E331&lt;INDEX(_xlfn.ANCHORARRAY(Sintesi!$C$16),1,$C331))*(INDEX(_xlfn.ANCHORARRAY(Sintesi!$C$15),1,$C331)&lt;0)+($E331&gt;=LOOKUP(2,1/($E:$E&lt;&gt;""),$E:$E))*($E331&lt;=$E332)*($E331&gt;INDEX(_xlfn.ANCHORARRAY(Sintesi!$C$15),1,$C331))*($E331&lt;INDEX(_xlfn.ANCHORARRAY(Sintesi!$C$16),1,$C331))*(INDEX(_xlfn.ANCHORARRAY(Sintesi!$C$15),1,$C331)&gt;0),2,IF($E331=(INDEX(_xlfn.ANCHORARRAY(Sintesi!$C$16),1,$C331)),3,4)))),0)))</f>
        <v>0</v>
      </c>
      <c r="E331" s="1">
        <f>'Paste cell here'!F331</f>
        <v>0</v>
      </c>
      <c r="F331" s="1">
        <f>'Paste cell here'!C331</f>
        <v>11.479999999999837</v>
      </c>
      <c r="G331" s="1">
        <f>'Paste cell here'!D331</f>
        <v>5.5999999999999286</v>
      </c>
      <c r="H331" s="1">
        <f>'Paste cell here'!E331</f>
        <v>0.37731528837611156</v>
      </c>
      <c r="I331" s="1">
        <f>'Paste cell here'!X331</f>
        <v>0</v>
      </c>
      <c r="J331" s="1">
        <f>'Paste cell here'!Y331+'Paste cell here'!S331</f>
        <v>0</v>
      </c>
      <c r="K331" s="1">
        <f t="shared" si="10"/>
        <v>0</v>
      </c>
      <c r="L331" s="1">
        <f t="shared" si="11"/>
        <v>9.3480294036546088</v>
      </c>
      <c r="M331" s="1">
        <f t="array" ref="M331">IF(AND(A331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331&gt;=_xlfn.ANCHORARRAY(Sintesi!$C$9))+(_xlfn.ANCHORARRAY(Sintesi!$C$9)&gt;_xlfn.ANCHORARRAY(Sintesi!$C$10))*(A331&lt;=_xlfn.ANCHORARRAY(Sintesi!$C$10))+(_xlfn.ANCHORARRAY(Sintesi!$C$9)&lt;_xlfn.ANCHORARRAY(Sintesi!$C$10))*(A331&gt;=_xlfn.ANCHORARRAY(Sintesi!$C$9))*(A331&lt;=_xlfn.ANCHORARRAY(Sintesi!$C$10)),0)),0),A331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332&gt;=_xlfn.ANCHORARRAY(Sintesi!$C$9))+(_xlfn.ANCHORARRAY(Sintesi!$C$9)&gt;_xlfn.ANCHORARRAY(Sintesi!$C$10))*(A332&lt;=_xlfn.ANCHORARRAY(Sintesi!$C$10))+(_xlfn.ANCHORARRAY(Sintesi!$C$9)&lt;_xlfn.ANCHORARRAY(Sintesi!$C$10))*(A332&gt;=_xlfn.ANCHORARRAY(Sintesi!$C$9))*(A332&lt;=_xlfn.ANCHORARRAY(Sintesi!$C$10)),0)),0)),IF(L331&lt;_xlfn.IFNA(INDEX(_xlfn.ANCHORARRAY(Sintesi!$C$17),1,MATCH(1,(_xlfn.ANCHORARRAY(Sintesi!$C$9)&gt;_xlfn.ANCHORARRAY(Sintesi!$C$10))*(A330&gt;=_xlfn.ANCHORARRAY(Sintesi!$C$9))+(_xlfn.ANCHORARRAY(Sintesi!$C$9)&gt;_xlfn.ANCHORARRAY(Sintesi!$C$10))*(A330&lt;=_xlfn.ANCHORARRAY(Sintesi!$C$10))+(_xlfn.ANCHORARRAY(Sintesi!$C$9)&lt;_xlfn.ANCHORARRAY(Sintesi!$C$10))*(A330&gt;=_xlfn.ANCHORARRAY(Sintesi!$C$9))*(A330&lt;=_xlfn.ANCHORARRAY(Sintesi!$C$10)),0)),0),1,IF(L331&gt;=_xlfn.IFNA(INDEX(_xlfn.ANCHORARRAY(Sintesi!$C$18),1,MATCH(1,(_xlfn.ANCHORARRAY(Sintesi!$C$9)&gt;_xlfn.ANCHORARRAY(Sintesi!$C$10))*(A330&gt;=_xlfn.ANCHORARRAY(Sintesi!$C$9))+(_xlfn.ANCHORARRAY(Sintesi!$C$9)&gt;_xlfn.ANCHORARRAY(Sintesi!$C$10))*(A330&lt;=_xlfn.ANCHORARRAY(Sintesi!$C$10))+(_xlfn.ANCHORARRAY(Sintesi!$C$9)&lt;_xlfn.ANCHORARRAY(Sintesi!$C$10))*(A330&gt;=_xlfn.ANCHORARRAY(Sintesi!$C$9))*(A330&lt;=_xlfn.ANCHORARRAY(Sintesi!$C$10)),0)),0),0,1-(L331-_xlfn.IFNA(INDEX(_xlfn.ANCHORARRAY(Sintesi!$C$17),1,MATCH(1,(_xlfn.ANCHORARRAY(Sintesi!$C$9)&gt;_xlfn.ANCHORARRAY(Sintesi!$C$10))*(A330&gt;=_xlfn.ANCHORARRAY(Sintesi!$C$9))+(_xlfn.ANCHORARRAY(Sintesi!$C$9)&gt;_xlfn.ANCHORARRAY(Sintesi!$C$10))*(A330&lt;=_xlfn.ANCHORARRAY(Sintesi!$C$10))+(_xlfn.ANCHORARRAY(Sintesi!$C$9)&lt;_xlfn.ANCHORARRAY(Sintesi!$C$10))*(A330&gt;=_xlfn.ANCHORARRAY(Sintesi!$C$9))*(A330&lt;=_xlfn.ANCHORARRAY(Sintesi!$C$10)),0)),0))/(_xlfn.IFNA(INDEX(_xlfn.ANCHORARRAY(Sintesi!$C$18),1,MATCH(1,(_xlfn.ANCHORARRAY(Sintesi!$C$9)&gt;_xlfn.ANCHORARRAY(Sintesi!$C$10))*(A330&gt;=_xlfn.ANCHORARRAY(Sintesi!$C$9))+(_xlfn.ANCHORARRAY(Sintesi!$C$9)&gt;_xlfn.ANCHORARRAY(Sintesi!$C$10))*(A330&lt;=_xlfn.ANCHORARRAY(Sintesi!$C$10))+(_xlfn.ANCHORARRAY(Sintesi!$C$9)&lt;_xlfn.ANCHORARRAY(Sintesi!$C$10))*(A330&gt;=_xlfn.ANCHORARRAY(Sintesi!$C$9))*(A330&lt;=_xlfn.ANCHORARRAY(Sintesi!$C$10)),0)),0)-_xlfn.IFNA(INDEX(_xlfn.ANCHORARRAY(Sintesi!$C$17),1,MATCH(1,(_xlfn.ANCHORARRAY(Sintesi!$C$9)&gt;_xlfn.ANCHORARRAY(Sintesi!$C$10))*(A330&gt;=_xlfn.ANCHORARRAY(Sintesi!$C$9))+(_xlfn.ANCHORARRAY(Sintesi!$C$9)&gt;_xlfn.ANCHORARRAY(Sintesi!$C$10))*(A330&lt;=_xlfn.ANCHORARRAY(Sintesi!$C$10))+(_xlfn.ANCHORARRAY(Sintesi!$C$9)&lt;_xlfn.ANCHORARRAY(Sintesi!$C$10))*(A330&gt;=_xlfn.ANCHORARRAY(Sintesi!$C$9))*(A330&lt;=_xlfn.ANCHORARRAY(Sintesi!$C$10)),0)),0)))),0)</f>
        <v>0</v>
      </c>
    </row>
    <row r="332" spans="1:13">
      <c r="A332" s="1">
        <f>'Paste cell here'!A332</f>
        <v>331</v>
      </c>
      <c r="B332" s="2">
        <f>DATE(Sintesi!$C$4-1,12,31)+A332</f>
        <v>44527</v>
      </c>
      <c r="C332" s="34">
        <f t="array" ref="C332">_xlfn.IFNA(MATCH(1,((_xlfn.ANCHORARRAY(Sintesi!$C$9)&gt;_xlfn.ANCHORARRAY(Sintesi!$C$10))*(A332&gt;=_xlfn.ANCHORARRAY(Sintesi!$C$9))+(_xlfn.ANCHORARRAY(Sintesi!$C$9)&gt;_xlfn.ANCHORARRAY(Sintesi!$C$10))*(A332&lt;=_xlfn.ANCHORARRAY(Sintesi!$C$10))+(_xlfn.ANCHORARRAY(Sintesi!$C$9)&lt;_xlfn.ANCHORARRAY(Sintesi!$C$10))*(A332&gt;=_xlfn.ANCHORARRAY(Sintesi!$C$9))*(A332&lt;=_xlfn.ANCHORARRAY(Sintesi!$C$10)))*(_xlfn.ANCHORARRAY(Sintesi!$C$15)&gt;=0)+(_xlfn.ANCHORARRAY(Sintesi!$C$15)&lt;0),0),0)</f>
        <v>0</v>
      </c>
      <c r="D332" s="1">
        <f t="array" ref="D332">IF(ISBLANK($E333),IF(ISNUMBER($E331),IF($C332&gt;0,IF(($E332=INDEX(_xlfn.ANCHORARRAY(Sintesi!$C$14),1,$C332))*(INDEX(_xlfn.ANCHORARRAY(Sintesi!$C$15),1,$C332)&gt;0),0,IF(($E332=INDEX(_xlfn.ANCHORARRAY(Sintesi!$C$14),1,$C332))*(INDEX(_xlfn.ANCHORARRAY(Sintesi!$C$15),1,$C332)&lt;0)+($E332&gt;=$E331)*($E332&lt;=INDEX($E:$E,MATCH(TRUE,INDEX((ISNUMBER($E:$E)),0),0)))*($E332&gt;INDEX(_xlfn.ANCHORARRAY(Sintesi!$C$14),1,$C332))*($E332&lt;=INDEX(_xlfn.ANCHORARRAY(Sintesi!$C$15),1,$C332))*(INDEX(_xlfn.ANCHORARRAY(Sintesi!$C$15),1,$C332)&gt;0),1,IF(($E332&gt;=$E331)*($E332&lt;=INDEX($E:$E,MATCH(TRUE,INDEX((ISNUMBER($E:$E)),0),0)))*($E332&gt;INDEX(_xlfn.ANCHORARRAY(Sintesi!$C$14),1,$C332))*($E332&lt;INDEX(_xlfn.ANCHORARRAY(Sintesi!$C$16),1,$C332))*(INDEX(_xlfn.ANCHORARRAY(Sintesi!$C$15),1,$C332)&lt;0)+($E332&gt;=$E331)*($E332&lt;=INDEX($E:$E,MATCH(TRUE,INDEX((ISNUMBER($E:$E)),0),0)))*($E332&gt;INDEX(_xlfn.ANCHORARRAY(Sintesi!$C$15),1,$C332))*($E332&lt;INDEX(_xlfn.ANCHORARRAY(Sintesi!$C$16),1,$C332))*(INDEX(_xlfn.ANCHORARRAY(Sintesi!$C$15),1,$C332)&gt;0),2,IF($E332=(INDEX(_xlfn.ANCHORARRAY(Sintesi!$C$16),1,$C332)),3,4)))),0),IF($C332&gt;0,IF(($E332=INDEX(_xlfn.ANCHORARRAY(Sintesi!$C$14),1,$C332))*(INDEX(_xlfn.ANCHORARRAY(Sintesi!$C$15),1,$C332)&gt;0),0,IF(($E332=INDEX(_xlfn.ANCHORARRAY(Sintesi!$C$14),1,$C332))*(INDEX(_xlfn.ANCHORARRAY(Sintesi!$C$15),1,$C332)&lt;0)+($E332&gt;=LOOKUP(2,1/($E:$E&lt;&gt;""),$E:$E))*($E332&lt;=INDEX($E:$E,MATCH(TRUE,INDEX((ISNUMBER($E:$E)),0),0)))*($E332&gt;INDEX(_xlfn.ANCHORARRAY(Sintesi!$C$14),1,$C332))*($E332&lt;=INDEX(_xlfn.ANCHORARRAY(Sintesi!$C$15),1,$C332))*(INDEX(_xlfn.ANCHORARRAY(Sintesi!$C$15),1,$C332)&gt;0),1,IF(($E332&gt;=LOOKUP(2,1/($E:$E&lt;&gt;""),$E:$E))*($E332&lt;=INDEX($E:$E,MATCH(TRUE,INDEX((ISNUMBER($E:$E)),0),0)))*($E332&gt;INDEX(_xlfn.ANCHORARRAY(Sintesi!$C$14),1,$C332))*($E332&lt;INDEX(_xlfn.ANCHORARRAY(Sintesi!$C$16),1,$C332))*(INDEX(_xlfn.ANCHORARRAY(Sintesi!$C$15),1,$C332)&lt;0)+($E332&gt;=LOOKUP(2,1/($E:$E&lt;&gt;""),$E:$E))*($E332&lt;=INDEX($E:$E,MATCH(TRUE,INDEX((ISNUMBER($E:$E)),0),0)))*($E332&gt;INDEX(_xlfn.ANCHORARRAY(Sintesi!$C$15),1,$C332))*($E332&lt;INDEX(_xlfn.ANCHORARRAY(Sintesi!$C$16),1,$C332))*(INDEX(_xlfn.ANCHORARRAY(Sintesi!$C$15),1,$C332)&gt;0),2,IF($E332=(INDEX(_xlfn.ANCHORARRAY(Sintesi!$C$16),1,$C332)),3,4)))),0)),IF(ISNUMBER($E331),IF($C332&gt;0,IF(($E332=INDEX(_xlfn.ANCHORARRAY(Sintesi!$C$14),1,$C332))*(INDEX(_xlfn.ANCHORARRAY(Sintesi!$C$15),1,$C332)&gt;0),0,IF(($E332=INDEX(_xlfn.ANCHORARRAY(Sintesi!$C$14),1,$C332))*(INDEX(_xlfn.ANCHORARRAY(Sintesi!$C$15),1,$C332)&lt;0)+($E332&gt;=$E331)*($E332&lt;=$E333)*($E332&gt;INDEX(_xlfn.ANCHORARRAY(Sintesi!$C$14),1,$C332))*($E332&lt;=INDEX(_xlfn.ANCHORARRAY(Sintesi!$C$15),1,$C332))*(INDEX(_xlfn.ANCHORARRAY(Sintesi!$C$15),1,$C332)&gt;0),1,IF(($E332&gt;=$E331)*($E332&lt;=$E333)*($E332&gt;INDEX(_xlfn.ANCHORARRAY(Sintesi!$C$14),1,$C332))*($E332&lt;INDEX(_xlfn.ANCHORARRAY(Sintesi!$C$16),1,$C332))*(INDEX(_xlfn.ANCHORARRAY(Sintesi!$C$15),1,$C332)&lt;0)+($E332&gt;=$E331)*($E332&lt;=$E333)*($E332&gt;INDEX(_xlfn.ANCHORARRAY(Sintesi!$C$15),1,$C332))*($E332&lt;INDEX(_xlfn.ANCHORARRAY(Sintesi!$C$16),1,$C332))*(INDEX(_xlfn.ANCHORARRAY(Sintesi!$C$15),1,$C332)&gt;0),2,IF($E332=(INDEX(_xlfn.ANCHORARRAY(Sintesi!$C$16),1,$C332)),3,4)))),0),IF($C332&gt;0,IF(($E332=INDEX(_xlfn.ANCHORARRAY(Sintesi!$C$14),1,$C332))*(INDEX(_xlfn.ANCHORARRAY(Sintesi!$C$15),1,$C332)&gt;0),0,IF(($E332=INDEX(_xlfn.ANCHORARRAY(Sintesi!$C$14),1,$C332))*(INDEX(_xlfn.ANCHORARRAY(Sintesi!$C$15),1,$C332)&lt;0)+($E332&gt;=LOOKUP(2,1/($E:$E&lt;&gt;""),$E:$E))*($E332&lt;=$E333)*($E332&gt;INDEX(_xlfn.ANCHORARRAY(Sintesi!$C$14),1,$C332))*($E332&lt;=INDEX(_xlfn.ANCHORARRAY(Sintesi!$C$15),1,$C332))*(INDEX(_xlfn.ANCHORARRAY(Sintesi!$C$15),1,$C332)&gt;0),1,IF(($E332&gt;=LOOKUP(2,1/($E:$E&lt;&gt;""),$E:$E))*($E332&lt;=$E333)*($E332&gt;INDEX(_xlfn.ANCHORARRAY(Sintesi!$C$14),1,$C332))*($E332&lt;INDEX(_xlfn.ANCHORARRAY(Sintesi!$C$16),1,$C332))*(INDEX(_xlfn.ANCHORARRAY(Sintesi!$C$15),1,$C332)&lt;0)+($E332&gt;=LOOKUP(2,1/($E:$E&lt;&gt;""),$E:$E))*($E332&lt;=$E333)*($E332&gt;INDEX(_xlfn.ANCHORARRAY(Sintesi!$C$15),1,$C332))*($E332&lt;INDEX(_xlfn.ANCHORARRAY(Sintesi!$C$16),1,$C332))*(INDEX(_xlfn.ANCHORARRAY(Sintesi!$C$15),1,$C332)&gt;0),2,IF($E332=(INDEX(_xlfn.ANCHORARRAY(Sintesi!$C$16),1,$C332)),3,4)))),0)))</f>
        <v>0</v>
      </c>
      <c r="E332" s="1">
        <f>'Paste cell here'!F332</f>
        <v>0</v>
      </c>
      <c r="F332" s="1">
        <f>'Paste cell here'!C332</f>
        <v>10.319999999999837</v>
      </c>
      <c r="G332" s="1">
        <f>'Paste cell here'!D332</f>
        <v>5.7199999999999092</v>
      </c>
      <c r="H332" s="1">
        <f>'Paste cell here'!E332</f>
        <v>0.40950043585545132</v>
      </c>
      <c r="I332" s="1">
        <f>'Paste cell here'!X332</f>
        <v>0</v>
      </c>
      <c r="J332" s="1">
        <f>'Paste cell here'!Y332+'Paste cell here'!S332</f>
        <v>0</v>
      </c>
      <c r="K332" s="1">
        <f t="shared" si="10"/>
        <v>0</v>
      </c>
      <c r="L332" s="1">
        <f t="shared" si="11"/>
        <v>8.6521318463964292</v>
      </c>
      <c r="M332" s="1">
        <f t="array" ref="M332">IF(AND(A332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332&gt;=_xlfn.ANCHORARRAY(Sintesi!$C$9))+(_xlfn.ANCHORARRAY(Sintesi!$C$9)&gt;_xlfn.ANCHORARRAY(Sintesi!$C$10))*(A332&lt;=_xlfn.ANCHORARRAY(Sintesi!$C$10))+(_xlfn.ANCHORARRAY(Sintesi!$C$9)&lt;_xlfn.ANCHORARRAY(Sintesi!$C$10))*(A332&gt;=_xlfn.ANCHORARRAY(Sintesi!$C$9))*(A332&lt;=_xlfn.ANCHORARRAY(Sintesi!$C$10)),0)),0),A332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333&gt;=_xlfn.ANCHORARRAY(Sintesi!$C$9))+(_xlfn.ANCHORARRAY(Sintesi!$C$9)&gt;_xlfn.ANCHORARRAY(Sintesi!$C$10))*(A333&lt;=_xlfn.ANCHORARRAY(Sintesi!$C$10))+(_xlfn.ANCHORARRAY(Sintesi!$C$9)&lt;_xlfn.ANCHORARRAY(Sintesi!$C$10))*(A333&gt;=_xlfn.ANCHORARRAY(Sintesi!$C$9))*(A333&lt;=_xlfn.ANCHORARRAY(Sintesi!$C$10)),0)),0)),IF(L332&lt;_xlfn.IFNA(INDEX(_xlfn.ANCHORARRAY(Sintesi!$C$17),1,MATCH(1,(_xlfn.ANCHORARRAY(Sintesi!$C$9)&gt;_xlfn.ANCHORARRAY(Sintesi!$C$10))*(A331&gt;=_xlfn.ANCHORARRAY(Sintesi!$C$9))+(_xlfn.ANCHORARRAY(Sintesi!$C$9)&gt;_xlfn.ANCHORARRAY(Sintesi!$C$10))*(A331&lt;=_xlfn.ANCHORARRAY(Sintesi!$C$10))+(_xlfn.ANCHORARRAY(Sintesi!$C$9)&lt;_xlfn.ANCHORARRAY(Sintesi!$C$10))*(A331&gt;=_xlfn.ANCHORARRAY(Sintesi!$C$9))*(A331&lt;=_xlfn.ANCHORARRAY(Sintesi!$C$10)),0)),0),1,IF(L332&gt;=_xlfn.IFNA(INDEX(_xlfn.ANCHORARRAY(Sintesi!$C$18),1,MATCH(1,(_xlfn.ANCHORARRAY(Sintesi!$C$9)&gt;_xlfn.ANCHORARRAY(Sintesi!$C$10))*(A331&gt;=_xlfn.ANCHORARRAY(Sintesi!$C$9))+(_xlfn.ANCHORARRAY(Sintesi!$C$9)&gt;_xlfn.ANCHORARRAY(Sintesi!$C$10))*(A331&lt;=_xlfn.ANCHORARRAY(Sintesi!$C$10))+(_xlfn.ANCHORARRAY(Sintesi!$C$9)&lt;_xlfn.ANCHORARRAY(Sintesi!$C$10))*(A331&gt;=_xlfn.ANCHORARRAY(Sintesi!$C$9))*(A331&lt;=_xlfn.ANCHORARRAY(Sintesi!$C$10)),0)),0),0,1-(L332-_xlfn.IFNA(INDEX(_xlfn.ANCHORARRAY(Sintesi!$C$17),1,MATCH(1,(_xlfn.ANCHORARRAY(Sintesi!$C$9)&gt;_xlfn.ANCHORARRAY(Sintesi!$C$10))*(A331&gt;=_xlfn.ANCHORARRAY(Sintesi!$C$9))+(_xlfn.ANCHORARRAY(Sintesi!$C$9)&gt;_xlfn.ANCHORARRAY(Sintesi!$C$10))*(A331&lt;=_xlfn.ANCHORARRAY(Sintesi!$C$10))+(_xlfn.ANCHORARRAY(Sintesi!$C$9)&lt;_xlfn.ANCHORARRAY(Sintesi!$C$10))*(A331&gt;=_xlfn.ANCHORARRAY(Sintesi!$C$9))*(A331&lt;=_xlfn.ANCHORARRAY(Sintesi!$C$10)),0)),0))/(_xlfn.IFNA(INDEX(_xlfn.ANCHORARRAY(Sintesi!$C$18),1,MATCH(1,(_xlfn.ANCHORARRAY(Sintesi!$C$9)&gt;_xlfn.ANCHORARRAY(Sintesi!$C$10))*(A331&gt;=_xlfn.ANCHORARRAY(Sintesi!$C$9))+(_xlfn.ANCHORARRAY(Sintesi!$C$9)&gt;_xlfn.ANCHORARRAY(Sintesi!$C$10))*(A331&lt;=_xlfn.ANCHORARRAY(Sintesi!$C$10))+(_xlfn.ANCHORARRAY(Sintesi!$C$9)&lt;_xlfn.ANCHORARRAY(Sintesi!$C$10))*(A331&gt;=_xlfn.ANCHORARRAY(Sintesi!$C$9))*(A331&lt;=_xlfn.ANCHORARRAY(Sintesi!$C$10)),0)),0)-_xlfn.IFNA(INDEX(_xlfn.ANCHORARRAY(Sintesi!$C$17),1,MATCH(1,(_xlfn.ANCHORARRAY(Sintesi!$C$9)&gt;_xlfn.ANCHORARRAY(Sintesi!$C$10))*(A331&gt;=_xlfn.ANCHORARRAY(Sintesi!$C$9))+(_xlfn.ANCHORARRAY(Sintesi!$C$9)&gt;_xlfn.ANCHORARRAY(Sintesi!$C$10))*(A331&lt;=_xlfn.ANCHORARRAY(Sintesi!$C$10))+(_xlfn.ANCHORARRAY(Sintesi!$C$9)&lt;_xlfn.ANCHORARRAY(Sintesi!$C$10))*(A331&gt;=_xlfn.ANCHORARRAY(Sintesi!$C$9))*(A331&lt;=_xlfn.ANCHORARRAY(Sintesi!$C$10)),0)),0)))),0)</f>
        <v>0</v>
      </c>
    </row>
    <row r="333" spans="1:13">
      <c r="A333" s="1">
        <f>'Paste cell here'!A333</f>
        <v>332</v>
      </c>
      <c r="B333" s="2">
        <f>DATE(Sintesi!$C$4-1,12,31)+A333</f>
        <v>44528</v>
      </c>
      <c r="C333" s="34">
        <f t="array" ref="C333">_xlfn.IFNA(MATCH(1,((_xlfn.ANCHORARRAY(Sintesi!$C$9)&gt;_xlfn.ANCHORARRAY(Sintesi!$C$10))*(A333&gt;=_xlfn.ANCHORARRAY(Sintesi!$C$9))+(_xlfn.ANCHORARRAY(Sintesi!$C$9)&gt;_xlfn.ANCHORARRAY(Sintesi!$C$10))*(A333&lt;=_xlfn.ANCHORARRAY(Sintesi!$C$10))+(_xlfn.ANCHORARRAY(Sintesi!$C$9)&lt;_xlfn.ANCHORARRAY(Sintesi!$C$10))*(A333&gt;=_xlfn.ANCHORARRAY(Sintesi!$C$9))*(A333&lt;=_xlfn.ANCHORARRAY(Sintesi!$C$10)))*(_xlfn.ANCHORARRAY(Sintesi!$C$15)&gt;=0)+(_xlfn.ANCHORARRAY(Sintesi!$C$15)&lt;0),0),0)</f>
        <v>0</v>
      </c>
      <c r="D333" s="1">
        <f t="array" ref="D333">IF(ISBLANK($E334),IF(ISNUMBER($E332),IF($C333&gt;0,IF(($E333=INDEX(_xlfn.ANCHORARRAY(Sintesi!$C$14),1,$C333))*(INDEX(_xlfn.ANCHORARRAY(Sintesi!$C$15),1,$C333)&gt;0),0,IF(($E333=INDEX(_xlfn.ANCHORARRAY(Sintesi!$C$14),1,$C333))*(INDEX(_xlfn.ANCHORARRAY(Sintesi!$C$15),1,$C333)&lt;0)+($E333&gt;=$E332)*($E333&lt;=INDEX($E:$E,MATCH(TRUE,INDEX((ISNUMBER($E:$E)),0),0)))*($E333&gt;INDEX(_xlfn.ANCHORARRAY(Sintesi!$C$14),1,$C333))*($E333&lt;=INDEX(_xlfn.ANCHORARRAY(Sintesi!$C$15),1,$C333))*(INDEX(_xlfn.ANCHORARRAY(Sintesi!$C$15),1,$C333)&gt;0),1,IF(($E333&gt;=$E332)*($E333&lt;=INDEX($E:$E,MATCH(TRUE,INDEX((ISNUMBER($E:$E)),0),0)))*($E333&gt;INDEX(_xlfn.ANCHORARRAY(Sintesi!$C$14),1,$C333))*($E333&lt;INDEX(_xlfn.ANCHORARRAY(Sintesi!$C$16),1,$C333))*(INDEX(_xlfn.ANCHORARRAY(Sintesi!$C$15),1,$C333)&lt;0)+($E333&gt;=$E332)*($E333&lt;=INDEX($E:$E,MATCH(TRUE,INDEX((ISNUMBER($E:$E)),0),0)))*($E333&gt;INDEX(_xlfn.ANCHORARRAY(Sintesi!$C$15),1,$C333))*($E333&lt;INDEX(_xlfn.ANCHORARRAY(Sintesi!$C$16),1,$C333))*(INDEX(_xlfn.ANCHORARRAY(Sintesi!$C$15),1,$C333)&gt;0),2,IF($E333=(INDEX(_xlfn.ANCHORARRAY(Sintesi!$C$16),1,$C333)),3,4)))),0),IF($C333&gt;0,IF(($E333=INDEX(_xlfn.ANCHORARRAY(Sintesi!$C$14),1,$C333))*(INDEX(_xlfn.ANCHORARRAY(Sintesi!$C$15),1,$C333)&gt;0),0,IF(($E333=INDEX(_xlfn.ANCHORARRAY(Sintesi!$C$14),1,$C333))*(INDEX(_xlfn.ANCHORARRAY(Sintesi!$C$15),1,$C333)&lt;0)+($E333&gt;=LOOKUP(2,1/($E:$E&lt;&gt;""),$E:$E))*($E333&lt;=INDEX($E:$E,MATCH(TRUE,INDEX((ISNUMBER($E:$E)),0),0)))*($E333&gt;INDEX(_xlfn.ANCHORARRAY(Sintesi!$C$14),1,$C333))*($E333&lt;=INDEX(_xlfn.ANCHORARRAY(Sintesi!$C$15),1,$C333))*(INDEX(_xlfn.ANCHORARRAY(Sintesi!$C$15),1,$C333)&gt;0),1,IF(($E333&gt;=LOOKUP(2,1/($E:$E&lt;&gt;""),$E:$E))*($E333&lt;=INDEX($E:$E,MATCH(TRUE,INDEX((ISNUMBER($E:$E)),0),0)))*($E333&gt;INDEX(_xlfn.ANCHORARRAY(Sintesi!$C$14),1,$C333))*($E333&lt;INDEX(_xlfn.ANCHORARRAY(Sintesi!$C$16),1,$C333))*(INDEX(_xlfn.ANCHORARRAY(Sintesi!$C$15),1,$C333)&lt;0)+($E333&gt;=LOOKUP(2,1/($E:$E&lt;&gt;""),$E:$E))*($E333&lt;=INDEX($E:$E,MATCH(TRUE,INDEX((ISNUMBER($E:$E)),0),0)))*($E333&gt;INDEX(_xlfn.ANCHORARRAY(Sintesi!$C$15),1,$C333))*($E333&lt;INDEX(_xlfn.ANCHORARRAY(Sintesi!$C$16),1,$C333))*(INDEX(_xlfn.ANCHORARRAY(Sintesi!$C$15),1,$C333)&gt;0),2,IF($E333=(INDEX(_xlfn.ANCHORARRAY(Sintesi!$C$16),1,$C333)),3,4)))),0)),IF(ISNUMBER($E332),IF($C333&gt;0,IF(($E333=INDEX(_xlfn.ANCHORARRAY(Sintesi!$C$14),1,$C333))*(INDEX(_xlfn.ANCHORARRAY(Sintesi!$C$15),1,$C333)&gt;0),0,IF(($E333=INDEX(_xlfn.ANCHORARRAY(Sintesi!$C$14),1,$C333))*(INDEX(_xlfn.ANCHORARRAY(Sintesi!$C$15),1,$C333)&lt;0)+($E333&gt;=$E332)*($E333&lt;=$E334)*($E333&gt;INDEX(_xlfn.ANCHORARRAY(Sintesi!$C$14),1,$C333))*($E333&lt;=INDEX(_xlfn.ANCHORARRAY(Sintesi!$C$15),1,$C333))*(INDEX(_xlfn.ANCHORARRAY(Sintesi!$C$15),1,$C333)&gt;0),1,IF(($E333&gt;=$E332)*($E333&lt;=$E334)*($E333&gt;INDEX(_xlfn.ANCHORARRAY(Sintesi!$C$14),1,$C333))*($E333&lt;INDEX(_xlfn.ANCHORARRAY(Sintesi!$C$16),1,$C333))*(INDEX(_xlfn.ANCHORARRAY(Sintesi!$C$15),1,$C333)&lt;0)+($E333&gt;=$E332)*($E333&lt;=$E334)*($E333&gt;INDEX(_xlfn.ANCHORARRAY(Sintesi!$C$15),1,$C333))*($E333&lt;INDEX(_xlfn.ANCHORARRAY(Sintesi!$C$16),1,$C333))*(INDEX(_xlfn.ANCHORARRAY(Sintesi!$C$15),1,$C333)&gt;0),2,IF($E333=(INDEX(_xlfn.ANCHORARRAY(Sintesi!$C$16),1,$C333)),3,4)))),0),IF($C333&gt;0,IF(($E333=INDEX(_xlfn.ANCHORARRAY(Sintesi!$C$14),1,$C333))*(INDEX(_xlfn.ANCHORARRAY(Sintesi!$C$15),1,$C333)&gt;0),0,IF(($E333=INDEX(_xlfn.ANCHORARRAY(Sintesi!$C$14),1,$C333))*(INDEX(_xlfn.ANCHORARRAY(Sintesi!$C$15),1,$C333)&lt;0)+($E333&gt;=LOOKUP(2,1/($E:$E&lt;&gt;""),$E:$E))*($E333&lt;=$E334)*($E333&gt;INDEX(_xlfn.ANCHORARRAY(Sintesi!$C$14),1,$C333))*($E333&lt;=INDEX(_xlfn.ANCHORARRAY(Sintesi!$C$15),1,$C333))*(INDEX(_xlfn.ANCHORARRAY(Sintesi!$C$15),1,$C333)&gt;0),1,IF(($E333&gt;=LOOKUP(2,1/($E:$E&lt;&gt;""),$E:$E))*($E333&lt;=$E334)*($E333&gt;INDEX(_xlfn.ANCHORARRAY(Sintesi!$C$14),1,$C333))*($E333&lt;INDEX(_xlfn.ANCHORARRAY(Sintesi!$C$16),1,$C333))*(INDEX(_xlfn.ANCHORARRAY(Sintesi!$C$15),1,$C333)&lt;0)+($E333&gt;=LOOKUP(2,1/($E:$E&lt;&gt;""),$E:$E))*($E333&lt;=$E334)*($E333&gt;INDEX(_xlfn.ANCHORARRAY(Sintesi!$C$15),1,$C333))*($E333&lt;INDEX(_xlfn.ANCHORARRAY(Sintesi!$C$16),1,$C333))*(INDEX(_xlfn.ANCHORARRAY(Sintesi!$C$15),1,$C333)&gt;0),2,IF($E333=(INDEX(_xlfn.ANCHORARRAY(Sintesi!$C$16),1,$C333)),3,4)))),0)))</f>
        <v>0</v>
      </c>
      <c r="E333" s="1">
        <f>'Paste cell here'!F333</f>
        <v>0</v>
      </c>
      <c r="F333" s="1">
        <f>'Paste cell here'!C333</f>
        <v>7.4199999999998978</v>
      </c>
      <c r="G333" s="1">
        <f>'Paste cell here'!D333</f>
        <v>1.4800000000000011</v>
      </c>
      <c r="H333" s="1">
        <f>'Paste cell here'!E333</f>
        <v>0.44710322208031128</v>
      </c>
      <c r="I333" s="1">
        <f>'Paste cell here'!X333</f>
        <v>0</v>
      </c>
      <c r="J333" s="1">
        <f>'Paste cell here'!Y333+'Paste cell here'!S333</f>
        <v>0</v>
      </c>
      <c r="K333" s="1">
        <f t="shared" si="10"/>
        <v>0</v>
      </c>
      <c r="L333" s="1">
        <f t="shared" si="11"/>
        <v>5.266274601651153</v>
      </c>
      <c r="M333" s="1">
        <f t="array" ref="M333">IF(AND(A333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333&gt;=_xlfn.ANCHORARRAY(Sintesi!$C$9))+(_xlfn.ANCHORARRAY(Sintesi!$C$9)&gt;_xlfn.ANCHORARRAY(Sintesi!$C$10))*(A333&lt;=_xlfn.ANCHORARRAY(Sintesi!$C$10))+(_xlfn.ANCHORARRAY(Sintesi!$C$9)&lt;_xlfn.ANCHORARRAY(Sintesi!$C$10))*(A333&gt;=_xlfn.ANCHORARRAY(Sintesi!$C$9))*(A333&lt;=_xlfn.ANCHORARRAY(Sintesi!$C$10)),0)),0),A333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334&gt;=_xlfn.ANCHORARRAY(Sintesi!$C$9))+(_xlfn.ANCHORARRAY(Sintesi!$C$9)&gt;_xlfn.ANCHORARRAY(Sintesi!$C$10))*(A334&lt;=_xlfn.ANCHORARRAY(Sintesi!$C$10))+(_xlfn.ANCHORARRAY(Sintesi!$C$9)&lt;_xlfn.ANCHORARRAY(Sintesi!$C$10))*(A334&gt;=_xlfn.ANCHORARRAY(Sintesi!$C$9))*(A334&lt;=_xlfn.ANCHORARRAY(Sintesi!$C$10)),0)),0)),IF(L333&lt;_xlfn.IFNA(INDEX(_xlfn.ANCHORARRAY(Sintesi!$C$17),1,MATCH(1,(_xlfn.ANCHORARRAY(Sintesi!$C$9)&gt;_xlfn.ANCHORARRAY(Sintesi!$C$10))*(A332&gt;=_xlfn.ANCHORARRAY(Sintesi!$C$9))+(_xlfn.ANCHORARRAY(Sintesi!$C$9)&gt;_xlfn.ANCHORARRAY(Sintesi!$C$10))*(A332&lt;=_xlfn.ANCHORARRAY(Sintesi!$C$10))+(_xlfn.ANCHORARRAY(Sintesi!$C$9)&lt;_xlfn.ANCHORARRAY(Sintesi!$C$10))*(A332&gt;=_xlfn.ANCHORARRAY(Sintesi!$C$9))*(A332&lt;=_xlfn.ANCHORARRAY(Sintesi!$C$10)),0)),0),1,IF(L333&gt;=_xlfn.IFNA(INDEX(_xlfn.ANCHORARRAY(Sintesi!$C$18),1,MATCH(1,(_xlfn.ANCHORARRAY(Sintesi!$C$9)&gt;_xlfn.ANCHORARRAY(Sintesi!$C$10))*(A332&gt;=_xlfn.ANCHORARRAY(Sintesi!$C$9))+(_xlfn.ANCHORARRAY(Sintesi!$C$9)&gt;_xlfn.ANCHORARRAY(Sintesi!$C$10))*(A332&lt;=_xlfn.ANCHORARRAY(Sintesi!$C$10))+(_xlfn.ANCHORARRAY(Sintesi!$C$9)&lt;_xlfn.ANCHORARRAY(Sintesi!$C$10))*(A332&gt;=_xlfn.ANCHORARRAY(Sintesi!$C$9))*(A332&lt;=_xlfn.ANCHORARRAY(Sintesi!$C$10)),0)),0),0,1-(L333-_xlfn.IFNA(INDEX(_xlfn.ANCHORARRAY(Sintesi!$C$17),1,MATCH(1,(_xlfn.ANCHORARRAY(Sintesi!$C$9)&gt;_xlfn.ANCHORARRAY(Sintesi!$C$10))*(A332&gt;=_xlfn.ANCHORARRAY(Sintesi!$C$9))+(_xlfn.ANCHORARRAY(Sintesi!$C$9)&gt;_xlfn.ANCHORARRAY(Sintesi!$C$10))*(A332&lt;=_xlfn.ANCHORARRAY(Sintesi!$C$10))+(_xlfn.ANCHORARRAY(Sintesi!$C$9)&lt;_xlfn.ANCHORARRAY(Sintesi!$C$10))*(A332&gt;=_xlfn.ANCHORARRAY(Sintesi!$C$9))*(A332&lt;=_xlfn.ANCHORARRAY(Sintesi!$C$10)),0)),0))/(_xlfn.IFNA(INDEX(_xlfn.ANCHORARRAY(Sintesi!$C$18),1,MATCH(1,(_xlfn.ANCHORARRAY(Sintesi!$C$9)&gt;_xlfn.ANCHORARRAY(Sintesi!$C$10))*(A332&gt;=_xlfn.ANCHORARRAY(Sintesi!$C$9))+(_xlfn.ANCHORARRAY(Sintesi!$C$9)&gt;_xlfn.ANCHORARRAY(Sintesi!$C$10))*(A332&lt;=_xlfn.ANCHORARRAY(Sintesi!$C$10))+(_xlfn.ANCHORARRAY(Sintesi!$C$9)&lt;_xlfn.ANCHORARRAY(Sintesi!$C$10))*(A332&gt;=_xlfn.ANCHORARRAY(Sintesi!$C$9))*(A332&lt;=_xlfn.ANCHORARRAY(Sintesi!$C$10)),0)),0)-_xlfn.IFNA(INDEX(_xlfn.ANCHORARRAY(Sintesi!$C$17),1,MATCH(1,(_xlfn.ANCHORARRAY(Sintesi!$C$9)&gt;_xlfn.ANCHORARRAY(Sintesi!$C$10))*(A332&gt;=_xlfn.ANCHORARRAY(Sintesi!$C$9))+(_xlfn.ANCHORARRAY(Sintesi!$C$9)&gt;_xlfn.ANCHORARRAY(Sintesi!$C$10))*(A332&lt;=_xlfn.ANCHORARRAY(Sintesi!$C$10))+(_xlfn.ANCHORARRAY(Sintesi!$C$9)&lt;_xlfn.ANCHORARRAY(Sintesi!$C$10))*(A332&gt;=_xlfn.ANCHORARRAY(Sintesi!$C$9))*(A332&lt;=_xlfn.ANCHORARRAY(Sintesi!$C$10)),0)),0)))),0)</f>
        <v>0</v>
      </c>
    </row>
    <row r="334" spans="1:13">
      <c r="A334" s="1">
        <f>'Paste cell here'!A334</f>
        <v>333</v>
      </c>
      <c r="B334" s="2">
        <f>DATE(Sintesi!$C$4-1,12,31)+A334</f>
        <v>44529</v>
      </c>
      <c r="C334" s="34">
        <f t="array" ref="C334">_xlfn.IFNA(MATCH(1,((_xlfn.ANCHORARRAY(Sintesi!$C$9)&gt;_xlfn.ANCHORARRAY(Sintesi!$C$10))*(A334&gt;=_xlfn.ANCHORARRAY(Sintesi!$C$9))+(_xlfn.ANCHORARRAY(Sintesi!$C$9)&gt;_xlfn.ANCHORARRAY(Sintesi!$C$10))*(A334&lt;=_xlfn.ANCHORARRAY(Sintesi!$C$10))+(_xlfn.ANCHORARRAY(Sintesi!$C$9)&lt;_xlfn.ANCHORARRAY(Sintesi!$C$10))*(A334&gt;=_xlfn.ANCHORARRAY(Sintesi!$C$9))*(A334&lt;=_xlfn.ANCHORARRAY(Sintesi!$C$10)))*(_xlfn.ANCHORARRAY(Sintesi!$C$15)&gt;=0)+(_xlfn.ANCHORARRAY(Sintesi!$C$15)&lt;0),0),0)</f>
        <v>0</v>
      </c>
      <c r="D334" s="1">
        <f t="array" ref="D334">IF(ISBLANK($E335),IF(ISNUMBER($E333),IF($C334&gt;0,IF(($E334=INDEX(_xlfn.ANCHORARRAY(Sintesi!$C$14),1,$C334))*(INDEX(_xlfn.ANCHORARRAY(Sintesi!$C$15),1,$C334)&gt;0),0,IF(($E334=INDEX(_xlfn.ANCHORARRAY(Sintesi!$C$14),1,$C334))*(INDEX(_xlfn.ANCHORARRAY(Sintesi!$C$15),1,$C334)&lt;0)+($E334&gt;=$E333)*($E334&lt;=INDEX($E:$E,MATCH(TRUE,INDEX((ISNUMBER($E:$E)),0),0)))*($E334&gt;INDEX(_xlfn.ANCHORARRAY(Sintesi!$C$14),1,$C334))*($E334&lt;=INDEX(_xlfn.ANCHORARRAY(Sintesi!$C$15),1,$C334))*(INDEX(_xlfn.ANCHORARRAY(Sintesi!$C$15),1,$C334)&gt;0),1,IF(($E334&gt;=$E333)*($E334&lt;=INDEX($E:$E,MATCH(TRUE,INDEX((ISNUMBER($E:$E)),0),0)))*($E334&gt;INDEX(_xlfn.ANCHORARRAY(Sintesi!$C$14),1,$C334))*($E334&lt;INDEX(_xlfn.ANCHORARRAY(Sintesi!$C$16),1,$C334))*(INDEX(_xlfn.ANCHORARRAY(Sintesi!$C$15),1,$C334)&lt;0)+($E334&gt;=$E333)*($E334&lt;=INDEX($E:$E,MATCH(TRUE,INDEX((ISNUMBER($E:$E)),0),0)))*($E334&gt;INDEX(_xlfn.ANCHORARRAY(Sintesi!$C$15),1,$C334))*($E334&lt;INDEX(_xlfn.ANCHORARRAY(Sintesi!$C$16),1,$C334))*(INDEX(_xlfn.ANCHORARRAY(Sintesi!$C$15),1,$C334)&gt;0),2,IF($E334=(INDEX(_xlfn.ANCHORARRAY(Sintesi!$C$16),1,$C334)),3,4)))),0),IF($C334&gt;0,IF(($E334=INDEX(_xlfn.ANCHORARRAY(Sintesi!$C$14),1,$C334))*(INDEX(_xlfn.ANCHORARRAY(Sintesi!$C$15),1,$C334)&gt;0),0,IF(($E334=INDEX(_xlfn.ANCHORARRAY(Sintesi!$C$14),1,$C334))*(INDEX(_xlfn.ANCHORARRAY(Sintesi!$C$15),1,$C334)&lt;0)+($E334&gt;=LOOKUP(2,1/($E:$E&lt;&gt;""),$E:$E))*($E334&lt;=INDEX($E:$E,MATCH(TRUE,INDEX((ISNUMBER($E:$E)),0),0)))*($E334&gt;INDEX(_xlfn.ANCHORARRAY(Sintesi!$C$14),1,$C334))*($E334&lt;=INDEX(_xlfn.ANCHORARRAY(Sintesi!$C$15),1,$C334))*(INDEX(_xlfn.ANCHORARRAY(Sintesi!$C$15),1,$C334)&gt;0),1,IF(($E334&gt;=LOOKUP(2,1/($E:$E&lt;&gt;""),$E:$E))*($E334&lt;=INDEX($E:$E,MATCH(TRUE,INDEX((ISNUMBER($E:$E)),0),0)))*($E334&gt;INDEX(_xlfn.ANCHORARRAY(Sintesi!$C$14),1,$C334))*($E334&lt;INDEX(_xlfn.ANCHORARRAY(Sintesi!$C$16),1,$C334))*(INDEX(_xlfn.ANCHORARRAY(Sintesi!$C$15),1,$C334)&lt;0)+($E334&gt;=LOOKUP(2,1/($E:$E&lt;&gt;""),$E:$E))*($E334&lt;=INDEX($E:$E,MATCH(TRUE,INDEX((ISNUMBER($E:$E)),0),0)))*($E334&gt;INDEX(_xlfn.ANCHORARRAY(Sintesi!$C$15),1,$C334))*($E334&lt;INDEX(_xlfn.ANCHORARRAY(Sintesi!$C$16),1,$C334))*(INDEX(_xlfn.ANCHORARRAY(Sintesi!$C$15),1,$C334)&gt;0),2,IF($E334=(INDEX(_xlfn.ANCHORARRAY(Sintesi!$C$16),1,$C334)),3,4)))),0)),IF(ISNUMBER($E333),IF($C334&gt;0,IF(($E334=INDEX(_xlfn.ANCHORARRAY(Sintesi!$C$14),1,$C334))*(INDEX(_xlfn.ANCHORARRAY(Sintesi!$C$15),1,$C334)&gt;0),0,IF(($E334=INDEX(_xlfn.ANCHORARRAY(Sintesi!$C$14),1,$C334))*(INDEX(_xlfn.ANCHORARRAY(Sintesi!$C$15),1,$C334)&lt;0)+($E334&gt;=$E333)*($E334&lt;=$E335)*($E334&gt;INDEX(_xlfn.ANCHORARRAY(Sintesi!$C$14),1,$C334))*($E334&lt;=INDEX(_xlfn.ANCHORARRAY(Sintesi!$C$15),1,$C334))*(INDEX(_xlfn.ANCHORARRAY(Sintesi!$C$15),1,$C334)&gt;0),1,IF(($E334&gt;=$E333)*($E334&lt;=$E335)*($E334&gt;INDEX(_xlfn.ANCHORARRAY(Sintesi!$C$14),1,$C334))*($E334&lt;INDEX(_xlfn.ANCHORARRAY(Sintesi!$C$16),1,$C334))*(INDEX(_xlfn.ANCHORARRAY(Sintesi!$C$15),1,$C334)&lt;0)+($E334&gt;=$E333)*($E334&lt;=$E335)*($E334&gt;INDEX(_xlfn.ANCHORARRAY(Sintesi!$C$15),1,$C334))*($E334&lt;INDEX(_xlfn.ANCHORARRAY(Sintesi!$C$16),1,$C334))*(INDEX(_xlfn.ANCHORARRAY(Sintesi!$C$15),1,$C334)&gt;0),2,IF($E334=(INDEX(_xlfn.ANCHORARRAY(Sintesi!$C$16),1,$C334)),3,4)))),0),IF($C334&gt;0,IF(($E334=INDEX(_xlfn.ANCHORARRAY(Sintesi!$C$14),1,$C334))*(INDEX(_xlfn.ANCHORARRAY(Sintesi!$C$15),1,$C334)&gt;0),0,IF(($E334=INDEX(_xlfn.ANCHORARRAY(Sintesi!$C$14),1,$C334))*(INDEX(_xlfn.ANCHORARRAY(Sintesi!$C$15),1,$C334)&lt;0)+($E334&gt;=LOOKUP(2,1/($E:$E&lt;&gt;""),$E:$E))*($E334&lt;=$E335)*($E334&gt;INDEX(_xlfn.ANCHORARRAY(Sintesi!$C$14),1,$C334))*($E334&lt;=INDEX(_xlfn.ANCHORARRAY(Sintesi!$C$15),1,$C334))*(INDEX(_xlfn.ANCHORARRAY(Sintesi!$C$15),1,$C334)&gt;0),1,IF(($E334&gt;=LOOKUP(2,1/($E:$E&lt;&gt;""),$E:$E))*($E334&lt;=$E335)*($E334&gt;INDEX(_xlfn.ANCHORARRAY(Sintesi!$C$14),1,$C334))*($E334&lt;INDEX(_xlfn.ANCHORARRAY(Sintesi!$C$16),1,$C334))*(INDEX(_xlfn.ANCHORARRAY(Sintesi!$C$15),1,$C334)&lt;0)+($E334&gt;=LOOKUP(2,1/($E:$E&lt;&gt;""),$E:$E))*($E334&lt;=$E335)*($E334&gt;INDEX(_xlfn.ANCHORARRAY(Sintesi!$C$15),1,$C334))*($E334&lt;INDEX(_xlfn.ANCHORARRAY(Sintesi!$C$16),1,$C334))*(INDEX(_xlfn.ANCHORARRAY(Sintesi!$C$15),1,$C334)&gt;0),2,IF($E334=(INDEX(_xlfn.ANCHORARRAY(Sintesi!$C$16),1,$C334)),3,4)))),0)))</f>
        <v>0</v>
      </c>
      <c r="E334" s="1">
        <f>'Paste cell here'!F334</f>
        <v>0</v>
      </c>
      <c r="F334" s="1">
        <f>'Paste cell here'!C334</f>
        <v>10.399999999999864</v>
      </c>
      <c r="G334" s="1">
        <f>'Paste cell here'!D334</f>
        <v>-1.2599999999999669</v>
      </c>
      <c r="H334" s="1">
        <f>'Paste cell here'!E334</f>
        <v>0.97059699943131372</v>
      </c>
      <c r="I334" s="1">
        <f>'Paste cell here'!X334</f>
        <v>0</v>
      </c>
      <c r="J334" s="1">
        <f>'Paste cell here'!Y334+'Paste cell here'!S334</f>
        <v>0</v>
      </c>
      <c r="K334" s="1">
        <f t="shared" si="10"/>
        <v>0</v>
      </c>
      <c r="L334" s="1">
        <f t="shared" si="11"/>
        <v>6.1723168106486117</v>
      </c>
      <c r="M334" s="1">
        <f t="array" ref="M334">IF(AND(A334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334&gt;=_xlfn.ANCHORARRAY(Sintesi!$C$9))+(_xlfn.ANCHORARRAY(Sintesi!$C$9)&gt;_xlfn.ANCHORARRAY(Sintesi!$C$10))*(A334&lt;=_xlfn.ANCHORARRAY(Sintesi!$C$10))+(_xlfn.ANCHORARRAY(Sintesi!$C$9)&lt;_xlfn.ANCHORARRAY(Sintesi!$C$10))*(A334&gt;=_xlfn.ANCHORARRAY(Sintesi!$C$9))*(A334&lt;=_xlfn.ANCHORARRAY(Sintesi!$C$10)),0)),0),A334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335&gt;=_xlfn.ANCHORARRAY(Sintesi!$C$9))+(_xlfn.ANCHORARRAY(Sintesi!$C$9)&gt;_xlfn.ANCHORARRAY(Sintesi!$C$10))*(A335&lt;=_xlfn.ANCHORARRAY(Sintesi!$C$10))+(_xlfn.ANCHORARRAY(Sintesi!$C$9)&lt;_xlfn.ANCHORARRAY(Sintesi!$C$10))*(A335&gt;=_xlfn.ANCHORARRAY(Sintesi!$C$9))*(A335&lt;=_xlfn.ANCHORARRAY(Sintesi!$C$10)),0)),0)),IF(L334&lt;_xlfn.IFNA(INDEX(_xlfn.ANCHORARRAY(Sintesi!$C$17),1,MATCH(1,(_xlfn.ANCHORARRAY(Sintesi!$C$9)&gt;_xlfn.ANCHORARRAY(Sintesi!$C$10))*(A333&gt;=_xlfn.ANCHORARRAY(Sintesi!$C$9))+(_xlfn.ANCHORARRAY(Sintesi!$C$9)&gt;_xlfn.ANCHORARRAY(Sintesi!$C$10))*(A333&lt;=_xlfn.ANCHORARRAY(Sintesi!$C$10))+(_xlfn.ANCHORARRAY(Sintesi!$C$9)&lt;_xlfn.ANCHORARRAY(Sintesi!$C$10))*(A333&gt;=_xlfn.ANCHORARRAY(Sintesi!$C$9))*(A333&lt;=_xlfn.ANCHORARRAY(Sintesi!$C$10)),0)),0),1,IF(L334&gt;=_xlfn.IFNA(INDEX(_xlfn.ANCHORARRAY(Sintesi!$C$18),1,MATCH(1,(_xlfn.ANCHORARRAY(Sintesi!$C$9)&gt;_xlfn.ANCHORARRAY(Sintesi!$C$10))*(A333&gt;=_xlfn.ANCHORARRAY(Sintesi!$C$9))+(_xlfn.ANCHORARRAY(Sintesi!$C$9)&gt;_xlfn.ANCHORARRAY(Sintesi!$C$10))*(A333&lt;=_xlfn.ANCHORARRAY(Sintesi!$C$10))+(_xlfn.ANCHORARRAY(Sintesi!$C$9)&lt;_xlfn.ANCHORARRAY(Sintesi!$C$10))*(A333&gt;=_xlfn.ANCHORARRAY(Sintesi!$C$9))*(A333&lt;=_xlfn.ANCHORARRAY(Sintesi!$C$10)),0)),0),0,1-(L334-_xlfn.IFNA(INDEX(_xlfn.ANCHORARRAY(Sintesi!$C$17),1,MATCH(1,(_xlfn.ANCHORARRAY(Sintesi!$C$9)&gt;_xlfn.ANCHORARRAY(Sintesi!$C$10))*(A333&gt;=_xlfn.ANCHORARRAY(Sintesi!$C$9))+(_xlfn.ANCHORARRAY(Sintesi!$C$9)&gt;_xlfn.ANCHORARRAY(Sintesi!$C$10))*(A333&lt;=_xlfn.ANCHORARRAY(Sintesi!$C$10))+(_xlfn.ANCHORARRAY(Sintesi!$C$9)&lt;_xlfn.ANCHORARRAY(Sintesi!$C$10))*(A333&gt;=_xlfn.ANCHORARRAY(Sintesi!$C$9))*(A333&lt;=_xlfn.ANCHORARRAY(Sintesi!$C$10)),0)),0))/(_xlfn.IFNA(INDEX(_xlfn.ANCHORARRAY(Sintesi!$C$18),1,MATCH(1,(_xlfn.ANCHORARRAY(Sintesi!$C$9)&gt;_xlfn.ANCHORARRAY(Sintesi!$C$10))*(A333&gt;=_xlfn.ANCHORARRAY(Sintesi!$C$9))+(_xlfn.ANCHORARRAY(Sintesi!$C$9)&gt;_xlfn.ANCHORARRAY(Sintesi!$C$10))*(A333&lt;=_xlfn.ANCHORARRAY(Sintesi!$C$10))+(_xlfn.ANCHORARRAY(Sintesi!$C$9)&lt;_xlfn.ANCHORARRAY(Sintesi!$C$10))*(A333&gt;=_xlfn.ANCHORARRAY(Sintesi!$C$9))*(A333&lt;=_xlfn.ANCHORARRAY(Sintesi!$C$10)),0)),0)-_xlfn.IFNA(INDEX(_xlfn.ANCHORARRAY(Sintesi!$C$17),1,MATCH(1,(_xlfn.ANCHORARRAY(Sintesi!$C$9)&gt;_xlfn.ANCHORARRAY(Sintesi!$C$10))*(A333&gt;=_xlfn.ANCHORARRAY(Sintesi!$C$9))+(_xlfn.ANCHORARRAY(Sintesi!$C$9)&gt;_xlfn.ANCHORARRAY(Sintesi!$C$10))*(A333&lt;=_xlfn.ANCHORARRAY(Sintesi!$C$10))+(_xlfn.ANCHORARRAY(Sintesi!$C$9)&lt;_xlfn.ANCHORARRAY(Sintesi!$C$10))*(A333&gt;=_xlfn.ANCHORARRAY(Sintesi!$C$9))*(A333&lt;=_xlfn.ANCHORARRAY(Sintesi!$C$10)),0)),0)))),0)</f>
        <v>0</v>
      </c>
    </row>
    <row r="335" spans="1:13">
      <c r="A335" s="1">
        <f>'Paste cell here'!A335</f>
        <v>334</v>
      </c>
      <c r="B335" s="2">
        <f>DATE(Sintesi!$C$4-1,12,31)+A335</f>
        <v>44530</v>
      </c>
      <c r="C335" s="34">
        <f t="array" ref="C335">_xlfn.IFNA(MATCH(1,((_xlfn.ANCHORARRAY(Sintesi!$C$9)&gt;_xlfn.ANCHORARRAY(Sintesi!$C$10))*(A335&gt;=_xlfn.ANCHORARRAY(Sintesi!$C$9))+(_xlfn.ANCHORARRAY(Sintesi!$C$9)&gt;_xlfn.ANCHORARRAY(Sintesi!$C$10))*(A335&lt;=_xlfn.ANCHORARRAY(Sintesi!$C$10))+(_xlfn.ANCHORARRAY(Sintesi!$C$9)&lt;_xlfn.ANCHORARRAY(Sintesi!$C$10))*(A335&gt;=_xlfn.ANCHORARRAY(Sintesi!$C$9))*(A335&lt;=_xlfn.ANCHORARRAY(Sintesi!$C$10)))*(_xlfn.ANCHORARRAY(Sintesi!$C$15)&gt;=0)+(_xlfn.ANCHORARRAY(Sintesi!$C$15)&lt;0),0),0)</f>
        <v>0</v>
      </c>
      <c r="D335" s="1">
        <f t="array" ref="D335">IF(ISBLANK($E336),IF(ISNUMBER($E334),IF($C335&gt;0,IF(($E335=INDEX(_xlfn.ANCHORARRAY(Sintesi!$C$14),1,$C335))*(INDEX(_xlfn.ANCHORARRAY(Sintesi!$C$15),1,$C335)&gt;0),0,IF(($E335=INDEX(_xlfn.ANCHORARRAY(Sintesi!$C$14),1,$C335))*(INDEX(_xlfn.ANCHORARRAY(Sintesi!$C$15),1,$C335)&lt;0)+($E335&gt;=$E334)*($E335&lt;=INDEX($E:$E,MATCH(TRUE,INDEX((ISNUMBER($E:$E)),0),0)))*($E335&gt;INDEX(_xlfn.ANCHORARRAY(Sintesi!$C$14),1,$C335))*($E335&lt;=INDEX(_xlfn.ANCHORARRAY(Sintesi!$C$15),1,$C335))*(INDEX(_xlfn.ANCHORARRAY(Sintesi!$C$15),1,$C335)&gt;0),1,IF(($E335&gt;=$E334)*($E335&lt;=INDEX($E:$E,MATCH(TRUE,INDEX((ISNUMBER($E:$E)),0),0)))*($E335&gt;INDEX(_xlfn.ANCHORARRAY(Sintesi!$C$14),1,$C335))*($E335&lt;INDEX(_xlfn.ANCHORARRAY(Sintesi!$C$16),1,$C335))*(INDEX(_xlfn.ANCHORARRAY(Sintesi!$C$15),1,$C335)&lt;0)+($E335&gt;=$E334)*($E335&lt;=INDEX($E:$E,MATCH(TRUE,INDEX((ISNUMBER($E:$E)),0),0)))*($E335&gt;INDEX(_xlfn.ANCHORARRAY(Sintesi!$C$15),1,$C335))*($E335&lt;INDEX(_xlfn.ANCHORARRAY(Sintesi!$C$16),1,$C335))*(INDEX(_xlfn.ANCHORARRAY(Sintesi!$C$15),1,$C335)&gt;0),2,IF($E335=(INDEX(_xlfn.ANCHORARRAY(Sintesi!$C$16),1,$C335)),3,4)))),0),IF($C335&gt;0,IF(($E335=INDEX(_xlfn.ANCHORARRAY(Sintesi!$C$14),1,$C335))*(INDEX(_xlfn.ANCHORARRAY(Sintesi!$C$15),1,$C335)&gt;0),0,IF(($E335=INDEX(_xlfn.ANCHORARRAY(Sintesi!$C$14),1,$C335))*(INDEX(_xlfn.ANCHORARRAY(Sintesi!$C$15),1,$C335)&lt;0)+($E335&gt;=LOOKUP(2,1/($E:$E&lt;&gt;""),$E:$E))*($E335&lt;=INDEX($E:$E,MATCH(TRUE,INDEX((ISNUMBER($E:$E)),0),0)))*($E335&gt;INDEX(_xlfn.ANCHORARRAY(Sintesi!$C$14),1,$C335))*($E335&lt;=INDEX(_xlfn.ANCHORARRAY(Sintesi!$C$15),1,$C335))*(INDEX(_xlfn.ANCHORARRAY(Sintesi!$C$15),1,$C335)&gt;0),1,IF(($E335&gt;=LOOKUP(2,1/($E:$E&lt;&gt;""),$E:$E))*($E335&lt;=INDEX($E:$E,MATCH(TRUE,INDEX((ISNUMBER($E:$E)),0),0)))*($E335&gt;INDEX(_xlfn.ANCHORARRAY(Sintesi!$C$14),1,$C335))*($E335&lt;INDEX(_xlfn.ANCHORARRAY(Sintesi!$C$16),1,$C335))*(INDEX(_xlfn.ANCHORARRAY(Sintesi!$C$15),1,$C335)&lt;0)+($E335&gt;=LOOKUP(2,1/($E:$E&lt;&gt;""),$E:$E))*($E335&lt;=INDEX($E:$E,MATCH(TRUE,INDEX((ISNUMBER($E:$E)),0),0)))*($E335&gt;INDEX(_xlfn.ANCHORARRAY(Sintesi!$C$15),1,$C335))*($E335&lt;INDEX(_xlfn.ANCHORARRAY(Sintesi!$C$16),1,$C335))*(INDEX(_xlfn.ANCHORARRAY(Sintesi!$C$15),1,$C335)&gt;0),2,IF($E335=(INDEX(_xlfn.ANCHORARRAY(Sintesi!$C$16),1,$C335)),3,4)))),0)),IF(ISNUMBER($E334),IF($C335&gt;0,IF(($E335=INDEX(_xlfn.ANCHORARRAY(Sintesi!$C$14),1,$C335))*(INDEX(_xlfn.ANCHORARRAY(Sintesi!$C$15),1,$C335)&gt;0),0,IF(($E335=INDEX(_xlfn.ANCHORARRAY(Sintesi!$C$14),1,$C335))*(INDEX(_xlfn.ANCHORARRAY(Sintesi!$C$15),1,$C335)&lt;0)+($E335&gt;=$E334)*($E335&lt;=$E336)*($E335&gt;INDEX(_xlfn.ANCHORARRAY(Sintesi!$C$14),1,$C335))*($E335&lt;=INDEX(_xlfn.ANCHORARRAY(Sintesi!$C$15),1,$C335))*(INDEX(_xlfn.ANCHORARRAY(Sintesi!$C$15),1,$C335)&gt;0),1,IF(($E335&gt;=$E334)*($E335&lt;=$E336)*($E335&gt;INDEX(_xlfn.ANCHORARRAY(Sintesi!$C$14),1,$C335))*($E335&lt;INDEX(_xlfn.ANCHORARRAY(Sintesi!$C$16),1,$C335))*(INDEX(_xlfn.ANCHORARRAY(Sintesi!$C$15),1,$C335)&lt;0)+($E335&gt;=$E334)*($E335&lt;=$E336)*($E335&gt;INDEX(_xlfn.ANCHORARRAY(Sintesi!$C$15),1,$C335))*($E335&lt;INDEX(_xlfn.ANCHORARRAY(Sintesi!$C$16),1,$C335))*(INDEX(_xlfn.ANCHORARRAY(Sintesi!$C$15),1,$C335)&gt;0),2,IF($E335=(INDEX(_xlfn.ANCHORARRAY(Sintesi!$C$16),1,$C335)),3,4)))),0),IF($C335&gt;0,IF(($E335=INDEX(_xlfn.ANCHORARRAY(Sintesi!$C$14),1,$C335))*(INDEX(_xlfn.ANCHORARRAY(Sintesi!$C$15),1,$C335)&gt;0),0,IF(($E335=INDEX(_xlfn.ANCHORARRAY(Sintesi!$C$14),1,$C335))*(INDEX(_xlfn.ANCHORARRAY(Sintesi!$C$15),1,$C335)&lt;0)+($E335&gt;=LOOKUP(2,1/($E:$E&lt;&gt;""),$E:$E))*($E335&lt;=$E336)*($E335&gt;INDEX(_xlfn.ANCHORARRAY(Sintesi!$C$14),1,$C335))*($E335&lt;=INDEX(_xlfn.ANCHORARRAY(Sintesi!$C$15),1,$C335))*(INDEX(_xlfn.ANCHORARRAY(Sintesi!$C$15),1,$C335)&gt;0),1,IF(($E335&gt;=LOOKUP(2,1/($E:$E&lt;&gt;""),$E:$E))*($E335&lt;=$E336)*($E335&gt;INDEX(_xlfn.ANCHORARRAY(Sintesi!$C$14),1,$C335))*($E335&lt;INDEX(_xlfn.ANCHORARRAY(Sintesi!$C$16),1,$C335))*(INDEX(_xlfn.ANCHORARRAY(Sintesi!$C$15),1,$C335)&lt;0)+($E335&gt;=LOOKUP(2,1/($E:$E&lt;&gt;""),$E:$E))*($E335&lt;=$E336)*($E335&gt;INDEX(_xlfn.ANCHORARRAY(Sintesi!$C$15),1,$C335))*($E335&lt;INDEX(_xlfn.ANCHORARRAY(Sintesi!$C$16),1,$C335))*(INDEX(_xlfn.ANCHORARRAY(Sintesi!$C$15),1,$C335)&gt;0),2,IF($E335=(INDEX(_xlfn.ANCHORARRAY(Sintesi!$C$16),1,$C335)),3,4)))),0)))</f>
        <v>0</v>
      </c>
      <c r="E335" s="1">
        <f>'Paste cell here'!F335</f>
        <v>0</v>
      </c>
      <c r="F335" s="1">
        <f>'Paste cell here'!C335</f>
        <v>11.059999999999841</v>
      </c>
      <c r="G335" s="1">
        <f>'Paste cell here'!D335</f>
        <v>1.7999999999999998</v>
      </c>
      <c r="H335" s="1">
        <f>'Paste cell here'!E335</f>
        <v>1.1913153681305217</v>
      </c>
      <c r="I335" s="1">
        <f>'Paste cell here'!X335</f>
        <v>0</v>
      </c>
      <c r="J335" s="1">
        <f>'Paste cell here'!Y335+'Paste cell here'!S335</f>
        <v>0</v>
      </c>
      <c r="K335" s="1">
        <f t="shared" si="10"/>
        <v>0</v>
      </c>
      <c r="L335" s="1">
        <f t="shared" si="11"/>
        <v>7.7025088907895052</v>
      </c>
      <c r="M335" s="1">
        <f t="array" ref="M335">IF(AND(A335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335&gt;=_xlfn.ANCHORARRAY(Sintesi!$C$9))+(_xlfn.ANCHORARRAY(Sintesi!$C$9)&gt;_xlfn.ANCHORARRAY(Sintesi!$C$10))*(A335&lt;=_xlfn.ANCHORARRAY(Sintesi!$C$10))+(_xlfn.ANCHORARRAY(Sintesi!$C$9)&lt;_xlfn.ANCHORARRAY(Sintesi!$C$10))*(A335&gt;=_xlfn.ANCHORARRAY(Sintesi!$C$9))*(A335&lt;=_xlfn.ANCHORARRAY(Sintesi!$C$10)),0)),0),A335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336&gt;=_xlfn.ANCHORARRAY(Sintesi!$C$9))+(_xlfn.ANCHORARRAY(Sintesi!$C$9)&gt;_xlfn.ANCHORARRAY(Sintesi!$C$10))*(A336&lt;=_xlfn.ANCHORARRAY(Sintesi!$C$10))+(_xlfn.ANCHORARRAY(Sintesi!$C$9)&lt;_xlfn.ANCHORARRAY(Sintesi!$C$10))*(A336&gt;=_xlfn.ANCHORARRAY(Sintesi!$C$9))*(A336&lt;=_xlfn.ANCHORARRAY(Sintesi!$C$10)),0)),0)),IF(L335&lt;_xlfn.IFNA(INDEX(_xlfn.ANCHORARRAY(Sintesi!$C$17),1,MATCH(1,(_xlfn.ANCHORARRAY(Sintesi!$C$9)&gt;_xlfn.ANCHORARRAY(Sintesi!$C$10))*(A334&gt;=_xlfn.ANCHORARRAY(Sintesi!$C$9))+(_xlfn.ANCHORARRAY(Sintesi!$C$9)&gt;_xlfn.ANCHORARRAY(Sintesi!$C$10))*(A334&lt;=_xlfn.ANCHORARRAY(Sintesi!$C$10))+(_xlfn.ANCHORARRAY(Sintesi!$C$9)&lt;_xlfn.ANCHORARRAY(Sintesi!$C$10))*(A334&gt;=_xlfn.ANCHORARRAY(Sintesi!$C$9))*(A334&lt;=_xlfn.ANCHORARRAY(Sintesi!$C$10)),0)),0),1,IF(L335&gt;=_xlfn.IFNA(INDEX(_xlfn.ANCHORARRAY(Sintesi!$C$18),1,MATCH(1,(_xlfn.ANCHORARRAY(Sintesi!$C$9)&gt;_xlfn.ANCHORARRAY(Sintesi!$C$10))*(A334&gt;=_xlfn.ANCHORARRAY(Sintesi!$C$9))+(_xlfn.ANCHORARRAY(Sintesi!$C$9)&gt;_xlfn.ANCHORARRAY(Sintesi!$C$10))*(A334&lt;=_xlfn.ANCHORARRAY(Sintesi!$C$10))+(_xlfn.ANCHORARRAY(Sintesi!$C$9)&lt;_xlfn.ANCHORARRAY(Sintesi!$C$10))*(A334&gt;=_xlfn.ANCHORARRAY(Sintesi!$C$9))*(A334&lt;=_xlfn.ANCHORARRAY(Sintesi!$C$10)),0)),0),0,1-(L335-_xlfn.IFNA(INDEX(_xlfn.ANCHORARRAY(Sintesi!$C$17),1,MATCH(1,(_xlfn.ANCHORARRAY(Sintesi!$C$9)&gt;_xlfn.ANCHORARRAY(Sintesi!$C$10))*(A334&gt;=_xlfn.ANCHORARRAY(Sintesi!$C$9))+(_xlfn.ANCHORARRAY(Sintesi!$C$9)&gt;_xlfn.ANCHORARRAY(Sintesi!$C$10))*(A334&lt;=_xlfn.ANCHORARRAY(Sintesi!$C$10))+(_xlfn.ANCHORARRAY(Sintesi!$C$9)&lt;_xlfn.ANCHORARRAY(Sintesi!$C$10))*(A334&gt;=_xlfn.ANCHORARRAY(Sintesi!$C$9))*(A334&lt;=_xlfn.ANCHORARRAY(Sintesi!$C$10)),0)),0))/(_xlfn.IFNA(INDEX(_xlfn.ANCHORARRAY(Sintesi!$C$18),1,MATCH(1,(_xlfn.ANCHORARRAY(Sintesi!$C$9)&gt;_xlfn.ANCHORARRAY(Sintesi!$C$10))*(A334&gt;=_xlfn.ANCHORARRAY(Sintesi!$C$9))+(_xlfn.ANCHORARRAY(Sintesi!$C$9)&gt;_xlfn.ANCHORARRAY(Sintesi!$C$10))*(A334&lt;=_xlfn.ANCHORARRAY(Sintesi!$C$10))+(_xlfn.ANCHORARRAY(Sintesi!$C$9)&lt;_xlfn.ANCHORARRAY(Sintesi!$C$10))*(A334&gt;=_xlfn.ANCHORARRAY(Sintesi!$C$9))*(A334&lt;=_xlfn.ANCHORARRAY(Sintesi!$C$10)),0)),0)-_xlfn.IFNA(INDEX(_xlfn.ANCHORARRAY(Sintesi!$C$17),1,MATCH(1,(_xlfn.ANCHORARRAY(Sintesi!$C$9)&gt;_xlfn.ANCHORARRAY(Sintesi!$C$10))*(A334&gt;=_xlfn.ANCHORARRAY(Sintesi!$C$9))+(_xlfn.ANCHORARRAY(Sintesi!$C$9)&gt;_xlfn.ANCHORARRAY(Sintesi!$C$10))*(A334&lt;=_xlfn.ANCHORARRAY(Sintesi!$C$10))+(_xlfn.ANCHORARRAY(Sintesi!$C$9)&lt;_xlfn.ANCHORARRAY(Sintesi!$C$10))*(A334&gt;=_xlfn.ANCHORARRAY(Sintesi!$C$9))*(A334&lt;=_xlfn.ANCHORARRAY(Sintesi!$C$10)),0)),0)))),0)</f>
        <v>0</v>
      </c>
    </row>
    <row r="336" spans="1:13">
      <c r="A336" s="1">
        <f>'Paste cell here'!A336</f>
        <v>335</v>
      </c>
      <c r="B336" s="2">
        <f>DATE(Sintesi!$C$4-1,12,31)+A336</f>
        <v>44531</v>
      </c>
      <c r="C336" s="34">
        <f t="array" ref="C336">_xlfn.IFNA(MATCH(1,((_xlfn.ANCHORARRAY(Sintesi!$C$9)&gt;_xlfn.ANCHORARRAY(Sintesi!$C$10))*(A336&gt;=_xlfn.ANCHORARRAY(Sintesi!$C$9))+(_xlfn.ANCHORARRAY(Sintesi!$C$9)&gt;_xlfn.ANCHORARRAY(Sintesi!$C$10))*(A336&lt;=_xlfn.ANCHORARRAY(Sintesi!$C$10))+(_xlfn.ANCHORARRAY(Sintesi!$C$9)&lt;_xlfn.ANCHORARRAY(Sintesi!$C$10))*(A336&gt;=_xlfn.ANCHORARRAY(Sintesi!$C$9))*(A336&lt;=_xlfn.ANCHORARRAY(Sintesi!$C$10)))*(_xlfn.ANCHORARRAY(Sintesi!$C$15)&gt;=0)+(_xlfn.ANCHORARRAY(Sintesi!$C$15)&lt;0),0),0)</f>
        <v>0</v>
      </c>
      <c r="D336" s="1">
        <f t="array" ref="D336">IF(ISBLANK($E337),IF(ISNUMBER($E335),IF($C336&gt;0,IF(($E336=INDEX(_xlfn.ANCHORARRAY(Sintesi!$C$14),1,$C336))*(INDEX(_xlfn.ANCHORARRAY(Sintesi!$C$15),1,$C336)&gt;0),0,IF(($E336=INDEX(_xlfn.ANCHORARRAY(Sintesi!$C$14),1,$C336))*(INDEX(_xlfn.ANCHORARRAY(Sintesi!$C$15),1,$C336)&lt;0)+($E336&gt;=$E335)*($E336&lt;=INDEX($E:$E,MATCH(TRUE,INDEX((ISNUMBER($E:$E)),0),0)))*($E336&gt;INDEX(_xlfn.ANCHORARRAY(Sintesi!$C$14),1,$C336))*($E336&lt;=INDEX(_xlfn.ANCHORARRAY(Sintesi!$C$15),1,$C336))*(INDEX(_xlfn.ANCHORARRAY(Sintesi!$C$15),1,$C336)&gt;0),1,IF(($E336&gt;=$E335)*($E336&lt;=INDEX($E:$E,MATCH(TRUE,INDEX((ISNUMBER($E:$E)),0),0)))*($E336&gt;INDEX(_xlfn.ANCHORARRAY(Sintesi!$C$14),1,$C336))*($E336&lt;INDEX(_xlfn.ANCHORARRAY(Sintesi!$C$16),1,$C336))*(INDEX(_xlfn.ANCHORARRAY(Sintesi!$C$15),1,$C336)&lt;0)+($E336&gt;=$E335)*($E336&lt;=INDEX($E:$E,MATCH(TRUE,INDEX((ISNUMBER($E:$E)),0),0)))*($E336&gt;INDEX(_xlfn.ANCHORARRAY(Sintesi!$C$15),1,$C336))*($E336&lt;INDEX(_xlfn.ANCHORARRAY(Sintesi!$C$16),1,$C336))*(INDEX(_xlfn.ANCHORARRAY(Sintesi!$C$15),1,$C336)&gt;0),2,IF($E336=(INDEX(_xlfn.ANCHORARRAY(Sintesi!$C$16),1,$C336)),3,4)))),0),IF($C336&gt;0,IF(($E336=INDEX(_xlfn.ANCHORARRAY(Sintesi!$C$14),1,$C336))*(INDEX(_xlfn.ANCHORARRAY(Sintesi!$C$15),1,$C336)&gt;0),0,IF(($E336=INDEX(_xlfn.ANCHORARRAY(Sintesi!$C$14),1,$C336))*(INDEX(_xlfn.ANCHORARRAY(Sintesi!$C$15),1,$C336)&lt;0)+($E336&gt;=LOOKUP(2,1/($E:$E&lt;&gt;""),$E:$E))*($E336&lt;=INDEX($E:$E,MATCH(TRUE,INDEX((ISNUMBER($E:$E)),0),0)))*($E336&gt;INDEX(_xlfn.ANCHORARRAY(Sintesi!$C$14),1,$C336))*($E336&lt;=INDEX(_xlfn.ANCHORARRAY(Sintesi!$C$15),1,$C336))*(INDEX(_xlfn.ANCHORARRAY(Sintesi!$C$15),1,$C336)&gt;0),1,IF(($E336&gt;=LOOKUP(2,1/($E:$E&lt;&gt;""),$E:$E))*($E336&lt;=INDEX($E:$E,MATCH(TRUE,INDEX((ISNUMBER($E:$E)),0),0)))*($E336&gt;INDEX(_xlfn.ANCHORARRAY(Sintesi!$C$14),1,$C336))*($E336&lt;INDEX(_xlfn.ANCHORARRAY(Sintesi!$C$16),1,$C336))*(INDEX(_xlfn.ANCHORARRAY(Sintesi!$C$15),1,$C336)&lt;0)+($E336&gt;=LOOKUP(2,1/($E:$E&lt;&gt;""),$E:$E))*($E336&lt;=INDEX($E:$E,MATCH(TRUE,INDEX((ISNUMBER($E:$E)),0),0)))*($E336&gt;INDEX(_xlfn.ANCHORARRAY(Sintesi!$C$15),1,$C336))*($E336&lt;INDEX(_xlfn.ANCHORARRAY(Sintesi!$C$16),1,$C336))*(INDEX(_xlfn.ANCHORARRAY(Sintesi!$C$15),1,$C336)&gt;0),2,IF($E336=(INDEX(_xlfn.ANCHORARRAY(Sintesi!$C$16),1,$C336)),3,4)))),0)),IF(ISNUMBER($E335),IF($C336&gt;0,IF(($E336=INDEX(_xlfn.ANCHORARRAY(Sintesi!$C$14),1,$C336))*(INDEX(_xlfn.ANCHORARRAY(Sintesi!$C$15),1,$C336)&gt;0),0,IF(($E336=INDEX(_xlfn.ANCHORARRAY(Sintesi!$C$14),1,$C336))*(INDEX(_xlfn.ANCHORARRAY(Sintesi!$C$15),1,$C336)&lt;0)+($E336&gt;=$E335)*($E336&lt;=$E337)*($E336&gt;INDEX(_xlfn.ANCHORARRAY(Sintesi!$C$14),1,$C336))*($E336&lt;=INDEX(_xlfn.ANCHORARRAY(Sintesi!$C$15),1,$C336))*(INDEX(_xlfn.ANCHORARRAY(Sintesi!$C$15),1,$C336)&gt;0),1,IF(($E336&gt;=$E335)*($E336&lt;=$E337)*($E336&gt;INDEX(_xlfn.ANCHORARRAY(Sintesi!$C$14),1,$C336))*($E336&lt;INDEX(_xlfn.ANCHORARRAY(Sintesi!$C$16),1,$C336))*(INDEX(_xlfn.ANCHORARRAY(Sintesi!$C$15),1,$C336)&lt;0)+($E336&gt;=$E335)*($E336&lt;=$E337)*($E336&gt;INDEX(_xlfn.ANCHORARRAY(Sintesi!$C$15),1,$C336))*($E336&lt;INDEX(_xlfn.ANCHORARRAY(Sintesi!$C$16),1,$C336))*(INDEX(_xlfn.ANCHORARRAY(Sintesi!$C$15),1,$C336)&gt;0),2,IF($E336=(INDEX(_xlfn.ANCHORARRAY(Sintesi!$C$16),1,$C336)),3,4)))),0),IF($C336&gt;0,IF(($E336=INDEX(_xlfn.ANCHORARRAY(Sintesi!$C$14),1,$C336))*(INDEX(_xlfn.ANCHORARRAY(Sintesi!$C$15),1,$C336)&gt;0),0,IF(($E336=INDEX(_xlfn.ANCHORARRAY(Sintesi!$C$14),1,$C336))*(INDEX(_xlfn.ANCHORARRAY(Sintesi!$C$15),1,$C336)&lt;0)+($E336&gt;=LOOKUP(2,1/($E:$E&lt;&gt;""),$E:$E))*($E336&lt;=$E337)*($E336&gt;INDEX(_xlfn.ANCHORARRAY(Sintesi!$C$14),1,$C336))*($E336&lt;=INDEX(_xlfn.ANCHORARRAY(Sintesi!$C$15),1,$C336))*(INDEX(_xlfn.ANCHORARRAY(Sintesi!$C$15),1,$C336)&gt;0),1,IF(($E336&gt;=LOOKUP(2,1/($E:$E&lt;&gt;""),$E:$E))*($E336&lt;=$E337)*($E336&gt;INDEX(_xlfn.ANCHORARRAY(Sintesi!$C$14),1,$C336))*($E336&lt;INDEX(_xlfn.ANCHORARRAY(Sintesi!$C$16),1,$C336))*(INDEX(_xlfn.ANCHORARRAY(Sintesi!$C$15),1,$C336)&lt;0)+($E336&gt;=LOOKUP(2,1/($E:$E&lt;&gt;""),$E:$E))*($E336&lt;=$E337)*($E336&gt;INDEX(_xlfn.ANCHORARRAY(Sintesi!$C$15),1,$C336))*($E336&lt;INDEX(_xlfn.ANCHORARRAY(Sintesi!$C$16),1,$C336))*(INDEX(_xlfn.ANCHORARRAY(Sintesi!$C$15),1,$C336)&gt;0),2,IF($E336=(INDEX(_xlfn.ANCHORARRAY(Sintesi!$C$16),1,$C336)),3,4)))),0)))</f>
        <v>0</v>
      </c>
      <c r="E336" s="1">
        <f>'Paste cell here'!F336</f>
        <v>0</v>
      </c>
      <c r="F336" s="1">
        <f>'Paste cell here'!C336</f>
        <v>8.2199999999998923</v>
      </c>
      <c r="G336" s="1">
        <f>'Paste cell here'!D336</f>
        <v>1.6800000000000068</v>
      </c>
      <c r="H336" s="1">
        <f>'Paste cell here'!E336</f>
        <v>0.56080187476484189</v>
      </c>
      <c r="I336" s="1">
        <f>'Paste cell here'!X336</f>
        <v>0</v>
      </c>
      <c r="J336" s="1">
        <f>'Paste cell here'!Y336+'Paste cell here'!S336</f>
        <v>0</v>
      </c>
      <c r="K336" s="1">
        <f t="shared" si="10"/>
        <v>0</v>
      </c>
      <c r="L336" s="1">
        <f t="shared" si="11"/>
        <v>5.4171428571427986</v>
      </c>
      <c r="M336" s="1">
        <f t="array" ref="M336">IF(AND(A336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336&gt;=_xlfn.ANCHORARRAY(Sintesi!$C$9))+(_xlfn.ANCHORARRAY(Sintesi!$C$9)&gt;_xlfn.ANCHORARRAY(Sintesi!$C$10))*(A336&lt;=_xlfn.ANCHORARRAY(Sintesi!$C$10))+(_xlfn.ANCHORARRAY(Sintesi!$C$9)&lt;_xlfn.ANCHORARRAY(Sintesi!$C$10))*(A336&gt;=_xlfn.ANCHORARRAY(Sintesi!$C$9))*(A336&lt;=_xlfn.ANCHORARRAY(Sintesi!$C$10)),0)),0),A336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337&gt;=_xlfn.ANCHORARRAY(Sintesi!$C$9))+(_xlfn.ANCHORARRAY(Sintesi!$C$9)&gt;_xlfn.ANCHORARRAY(Sintesi!$C$10))*(A337&lt;=_xlfn.ANCHORARRAY(Sintesi!$C$10))+(_xlfn.ANCHORARRAY(Sintesi!$C$9)&lt;_xlfn.ANCHORARRAY(Sintesi!$C$10))*(A337&gt;=_xlfn.ANCHORARRAY(Sintesi!$C$9))*(A337&lt;=_xlfn.ANCHORARRAY(Sintesi!$C$10)),0)),0)),IF(L336&lt;_xlfn.IFNA(INDEX(_xlfn.ANCHORARRAY(Sintesi!$C$17),1,MATCH(1,(_xlfn.ANCHORARRAY(Sintesi!$C$9)&gt;_xlfn.ANCHORARRAY(Sintesi!$C$10))*(A335&gt;=_xlfn.ANCHORARRAY(Sintesi!$C$9))+(_xlfn.ANCHORARRAY(Sintesi!$C$9)&gt;_xlfn.ANCHORARRAY(Sintesi!$C$10))*(A335&lt;=_xlfn.ANCHORARRAY(Sintesi!$C$10))+(_xlfn.ANCHORARRAY(Sintesi!$C$9)&lt;_xlfn.ANCHORARRAY(Sintesi!$C$10))*(A335&gt;=_xlfn.ANCHORARRAY(Sintesi!$C$9))*(A335&lt;=_xlfn.ANCHORARRAY(Sintesi!$C$10)),0)),0),1,IF(L336&gt;=_xlfn.IFNA(INDEX(_xlfn.ANCHORARRAY(Sintesi!$C$18),1,MATCH(1,(_xlfn.ANCHORARRAY(Sintesi!$C$9)&gt;_xlfn.ANCHORARRAY(Sintesi!$C$10))*(A335&gt;=_xlfn.ANCHORARRAY(Sintesi!$C$9))+(_xlfn.ANCHORARRAY(Sintesi!$C$9)&gt;_xlfn.ANCHORARRAY(Sintesi!$C$10))*(A335&lt;=_xlfn.ANCHORARRAY(Sintesi!$C$10))+(_xlfn.ANCHORARRAY(Sintesi!$C$9)&lt;_xlfn.ANCHORARRAY(Sintesi!$C$10))*(A335&gt;=_xlfn.ANCHORARRAY(Sintesi!$C$9))*(A335&lt;=_xlfn.ANCHORARRAY(Sintesi!$C$10)),0)),0),0,1-(L336-_xlfn.IFNA(INDEX(_xlfn.ANCHORARRAY(Sintesi!$C$17),1,MATCH(1,(_xlfn.ANCHORARRAY(Sintesi!$C$9)&gt;_xlfn.ANCHORARRAY(Sintesi!$C$10))*(A335&gt;=_xlfn.ANCHORARRAY(Sintesi!$C$9))+(_xlfn.ANCHORARRAY(Sintesi!$C$9)&gt;_xlfn.ANCHORARRAY(Sintesi!$C$10))*(A335&lt;=_xlfn.ANCHORARRAY(Sintesi!$C$10))+(_xlfn.ANCHORARRAY(Sintesi!$C$9)&lt;_xlfn.ANCHORARRAY(Sintesi!$C$10))*(A335&gt;=_xlfn.ANCHORARRAY(Sintesi!$C$9))*(A335&lt;=_xlfn.ANCHORARRAY(Sintesi!$C$10)),0)),0))/(_xlfn.IFNA(INDEX(_xlfn.ANCHORARRAY(Sintesi!$C$18),1,MATCH(1,(_xlfn.ANCHORARRAY(Sintesi!$C$9)&gt;_xlfn.ANCHORARRAY(Sintesi!$C$10))*(A335&gt;=_xlfn.ANCHORARRAY(Sintesi!$C$9))+(_xlfn.ANCHORARRAY(Sintesi!$C$9)&gt;_xlfn.ANCHORARRAY(Sintesi!$C$10))*(A335&lt;=_xlfn.ANCHORARRAY(Sintesi!$C$10))+(_xlfn.ANCHORARRAY(Sintesi!$C$9)&lt;_xlfn.ANCHORARRAY(Sintesi!$C$10))*(A335&gt;=_xlfn.ANCHORARRAY(Sintesi!$C$9))*(A335&lt;=_xlfn.ANCHORARRAY(Sintesi!$C$10)),0)),0)-_xlfn.IFNA(INDEX(_xlfn.ANCHORARRAY(Sintesi!$C$17),1,MATCH(1,(_xlfn.ANCHORARRAY(Sintesi!$C$9)&gt;_xlfn.ANCHORARRAY(Sintesi!$C$10))*(A335&gt;=_xlfn.ANCHORARRAY(Sintesi!$C$9))+(_xlfn.ANCHORARRAY(Sintesi!$C$9)&gt;_xlfn.ANCHORARRAY(Sintesi!$C$10))*(A335&lt;=_xlfn.ANCHORARRAY(Sintesi!$C$10))+(_xlfn.ANCHORARRAY(Sintesi!$C$9)&lt;_xlfn.ANCHORARRAY(Sintesi!$C$10))*(A335&gt;=_xlfn.ANCHORARRAY(Sintesi!$C$9))*(A335&lt;=_xlfn.ANCHORARRAY(Sintesi!$C$10)),0)),0)))),0)</f>
        <v>0</v>
      </c>
    </row>
    <row r="337" spans="1:13">
      <c r="A337" s="1">
        <f>'Paste cell here'!A337</f>
        <v>336</v>
      </c>
      <c r="B337" s="2">
        <f>DATE(Sintesi!$C$4-1,12,31)+A337</f>
        <v>44532</v>
      </c>
      <c r="C337" s="34">
        <f t="array" ref="C337">_xlfn.IFNA(MATCH(1,((_xlfn.ANCHORARRAY(Sintesi!$C$9)&gt;_xlfn.ANCHORARRAY(Sintesi!$C$10))*(A337&gt;=_xlfn.ANCHORARRAY(Sintesi!$C$9))+(_xlfn.ANCHORARRAY(Sintesi!$C$9)&gt;_xlfn.ANCHORARRAY(Sintesi!$C$10))*(A337&lt;=_xlfn.ANCHORARRAY(Sintesi!$C$10))+(_xlfn.ANCHORARRAY(Sintesi!$C$9)&lt;_xlfn.ANCHORARRAY(Sintesi!$C$10))*(A337&gt;=_xlfn.ANCHORARRAY(Sintesi!$C$9))*(A337&lt;=_xlfn.ANCHORARRAY(Sintesi!$C$10)))*(_xlfn.ANCHORARRAY(Sintesi!$C$15)&gt;=0)+(_xlfn.ANCHORARRAY(Sintesi!$C$15)&lt;0),0),0)</f>
        <v>0</v>
      </c>
      <c r="D337" s="1">
        <f t="array" ref="D337">IF(ISBLANK($E338),IF(ISNUMBER($E336),IF($C337&gt;0,IF(($E337=INDEX(_xlfn.ANCHORARRAY(Sintesi!$C$14),1,$C337))*(INDEX(_xlfn.ANCHORARRAY(Sintesi!$C$15),1,$C337)&gt;0),0,IF(($E337=INDEX(_xlfn.ANCHORARRAY(Sintesi!$C$14),1,$C337))*(INDEX(_xlfn.ANCHORARRAY(Sintesi!$C$15),1,$C337)&lt;0)+($E337&gt;=$E336)*($E337&lt;=INDEX($E:$E,MATCH(TRUE,INDEX((ISNUMBER($E:$E)),0),0)))*($E337&gt;INDEX(_xlfn.ANCHORARRAY(Sintesi!$C$14),1,$C337))*($E337&lt;=INDEX(_xlfn.ANCHORARRAY(Sintesi!$C$15),1,$C337))*(INDEX(_xlfn.ANCHORARRAY(Sintesi!$C$15),1,$C337)&gt;0),1,IF(($E337&gt;=$E336)*($E337&lt;=INDEX($E:$E,MATCH(TRUE,INDEX((ISNUMBER($E:$E)),0),0)))*($E337&gt;INDEX(_xlfn.ANCHORARRAY(Sintesi!$C$14),1,$C337))*($E337&lt;INDEX(_xlfn.ANCHORARRAY(Sintesi!$C$16),1,$C337))*(INDEX(_xlfn.ANCHORARRAY(Sintesi!$C$15),1,$C337)&lt;0)+($E337&gt;=$E336)*($E337&lt;=INDEX($E:$E,MATCH(TRUE,INDEX((ISNUMBER($E:$E)),0),0)))*($E337&gt;INDEX(_xlfn.ANCHORARRAY(Sintesi!$C$15),1,$C337))*($E337&lt;INDEX(_xlfn.ANCHORARRAY(Sintesi!$C$16),1,$C337))*(INDEX(_xlfn.ANCHORARRAY(Sintesi!$C$15),1,$C337)&gt;0),2,IF($E337=(INDEX(_xlfn.ANCHORARRAY(Sintesi!$C$16),1,$C337)),3,4)))),0),IF($C337&gt;0,IF(($E337=INDEX(_xlfn.ANCHORARRAY(Sintesi!$C$14),1,$C337))*(INDEX(_xlfn.ANCHORARRAY(Sintesi!$C$15),1,$C337)&gt;0),0,IF(($E337=INDEX(_xlfn.ANCHORARRAY(Sintesi!$C$14),1,$C337))*(INDEX(_xlfn.ANCHORARRAY(Sintesi!$C$15),1,$C337)&lt;0)+($E337&gt;=LOOKUP(2,1/($E:$E&lt;&gt;""),$E:$E))*($E337&lt;=INDEX($E:$E,MATCH(TRUE,INDEX((ISNUMBER($E:$E)),0),0)))*($E337&gt;INDEX(_xlfn.ANCHORARRAY(Sintesi!$C$14),1,$C337))*($E337&lt;=INDEX(_xlfn.ANCHORARRAY(Sintesi!$C$15),1,$C337))*(INDEX(_xlfn.ANCHORARRAY(Sintesi!$C$15),1,$C337)&gt;0),1,IF(($E337&gt;=LOOKUP(2,1/($E:$E&lt;&gt;""),$E:$E))*($E337&lt;=INDEX($E:$E,MATCH(TRUE,INDEX((ISNUMBER($E:$E)),0),0)))*($E337&gt;INDEX(_xlfn.ANCHORARRAY(Sintesi!$C$14),1,$C337))*($E337&lt;INDEX(_xlfn.ANCHORARRAY(Sintesi!$C$16),1,$C337))*(INDEX(_xlfn.ANCHORARRAY(Sintesi!$C$15),1,$C337)&lt;0)+($E337&gt;=LOOKUP(2,1/($E:$E&lt;&gt;""),$E:$E))*($E337&lt;=INDEX($E:$E,MATCH(TRUE,INDEX((ISNUMBER($E:$E)),0),0)))*($E337&gt;INDEX(_xlfn.ANCHORARRAY(Sintesi!$C$15),1,$C337))*($E337&lt;INDEX(_xlfn.ANCHORARRAY(Sintesi!$C$16),1,$C337))*(INDEX(_xlfn.ANCHORARRAY(Sintesi!$C$15),1,$C337)&gt;0),2,IF($E337=(INDEX(_xlfn.ANCHORARRAY(Sintesi!$C$16),1,$C337)),3,4)))),0)),IF(ISNUMBER($E336),IF($C337&gt;0,IF(($E337=INDEX(_xlfn.ANCHORARRAY(Sintesi!$C$14),1,$C337))*(INDEX(_xlfn.ANCHORARRAY(Sintesi!$C$15),1,$C337)&gt;0),0,IF(($E337=INDEX(_xlfn.ANCHORARRAY(Sintesi!$C$14),1,$C337))*(INDEX(_xlfn.ANCHORARRAY(Sintesi!$C$15),1,$C337)&lt;0)+($E337&gt;=$E336)*($E337&lt;=$E338)*($E337&gt;INDEX(_xlfn.ANCHORARRAY(Sintesi!$C$14),1,$C337))*($E337&lt;=INDEX(_xlfn.ANCHORARRAY(Sintesi!$C$15),1,$C337))*(INDEX(_xlfn.ANCHORARRAY(Sintesi!$C$15),1,$C337)&gt;0),1,IF(($E337&gt;=$E336)*($E337&lt;=$E338)*($E337&gt;INDEX(_xlfn.ANCHORARRAY(Sintesi!$C$14),1,$C337))*($E337&lt;INDEX(_xlfn.ANCHORARRAY(Sintesi!$C$16),1,$C337))*(INDEX(_xlfn.ANCHORARRAY(Sintesi!$C$15),1,$C337)&lt;0)+($E337&gt;=$E336)*($E337&lt;=$E338)*($E337&gt;INDEX(_xlfn.ANCHORARRAY(Sintesi!$C$15),1,$C337))*($E337&lt;INDEX(_xlfn.ANCHORARRAY(Sintesi!$C$16),1,$C337))*(INDEX(_xlfn.ANCHORARRAY(Sintesi!$C$15),1,$C337)&gt;0),2,IF($E337=(INDEX(_xlfn.ANCHORARRAY(Sintesi!$C$16),1,$C337)),3,4)))),0),IF($C337&gt;0,IF(($E337=INDEX(_xlfn.ANCHORARRAY(Sintesi!$C$14),1,$C337))*(INDEX(_xlfn.ANCHORARRAY(Sintesi!$C$15),1,$C337)&gt;0),0,IF(($E337=INDEX(_xlfn.ANCHORARRAY(Sintesi!$C$14),1,$C337))*(INDEX(_xlfn.ANCHORARRAY(Sintesi!$C$15),1,$C337)&lt;0)+($E337&gt;=LOOKUP(2,1/($E:$E&lt;&gt;""),$E:$E))*($E337&lt;=$E338)*($E337&gt;INDEX(_xlfn.ANCHORARRAY(Sintesi!$C$14),1,$C337))*($E337&lt;=INDEX(_xlfn.ANCHORARRAY(Sintesi!$C$15),1,$C337))*(INDEX(_xlfn.ANCHORARRAY(Sintesi!$C$15),1,$C337)&gt;0),1,IF(($E337&gt;=LOOKUP(2,1/($E:$E&lt;&gt;""),$E:$E))*($E337&lt;=$E338)*($E337&gt;INDEX(_xlfn.ANCHORARRAY(Sintesi!$C$14),1,$C337))*($E337&lt;INDEX(_xlfn.ANCHORARRAY(Sintesi!$C$16),1,$C337))*(INDEX(_xlfn.ANCHORARRAY(Sintesi!$C$15),1,$C337)&lt;0)+($E337&gt;=LOOKUP(2,1/($E:$E&lt;&gt;""),$E:$E))*($E337&lt;=$E338)*($E337&gt;INDEX(_xlfn.ANCHORARRAY(Sintesi!$C$15),1,$C337))*($E337&lt;INDEX(_xlfn.ANCHORARRAY(Sintesi!$C$16),1,$C337))*(INDEX(_xlfn.ANCHORARRAY(Sintesi!$C$15),1,$C337)&gt;0),2,IF($E337=(INDEX(_xlfn.ANCHORARRAY(Sintesi!$C$16),1,$C337)),3,4)))),0)))</f>
        <v>0</v>
      </c>
      <c r="E337" s="1">
        <f>'Paste cell here'!F337</f>
        <v>0</v>
      </c>
      <c r="F337" s="1">
        <f>'Paste cell here'!C337</f>
        <v>9.6799999999998683</v>
      </c>
      <c r="G337" s="1">
        <f>'Paste cell here'!D337</f>
        <v>2.69999999999997</v>
      </c>
      <c r="H337" s="1">
        <f>'Paste cell here'!E337</f>
        <v>0.29014923813877219</v>
      </c>
      <c r="I337" s="1">
        <f>'Paste cell here'!X337</f>
        <v>0</v>
      </c>
      <c r="J337" s="1">
        <f>'Paste cell here'!Y337+'Paste cell here'!S337</f>
        <v>0</v>
      </c>
      <c r="K337" s="1">
        <f t="shared" si="10"/>
        <v>0</v>
      </c>
      <c r="L337" s="1">
        <f t="shared" si="11"/>
        <v>6.6885714285713407</v>
      </c>
      <c r="M337" s="1">
        <f t="array" ref="M337">IF(AND(A337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337&gt;=_xlfn.ANCHORARRAY(Sintesi!$C$9))+(_xlfn.ANCHORARRAY(Sintesi!$C$9)&gt;_xlfn.ANCHORARRAY(Sintesi!$C$10))*(A337&lt;=_xlfn.ANCHORARRAY(Sintesi!$C$10))+(_xlfn.ANCHORARRAY(Sintesi!$C$9)&lt;_xlfn.ANCHORARRAY(Sintesi!$C$10))*(A337&gt;=_xlfn.ANCHORARRAY(Sintesi!$C$9))*(A337&lt;=_xlfn.ANCHORARRAY(Sintesi!$C$10)),0)),0),A337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338&gt;=_xlfn.ANCHORARRAY(Sintesi!$C$9))+(_xlfn.ANCHORARRAY(Sintesi!$C$9)&gt;_xlfn.ANCHORARRAY(Sintesi!$C$10))*(A338&lt;=_xlfn.ANCHORARRAY(Sintesi!$C$10))+(_xlfn.ANCHORARRAY(Sintesi!$C$9)&lt;_xlfn.ANCHORARRAY(Sintesi!$C$10))*(A338&gt;=_xlfn.ANCHORARRAY(Sintesi!$C$9))*(A338&lt;=_xlfn.ANCHORARRAY(Sintesi!$C$10)),0)),0)),IF(L337&lt;_xlfn.IFNA(INDEX(_xlfn.ANCHORARRAY(Sintesi!$C$17),1,MATCH(1,(_xlfn.ANCHORARRAY(Sintesi!$C$9)&gt;_xlfn.ANCHORARRAY(Sintesi!$C$10))*(A336&gt;=_xlfn.ANCHORARRAY(Sintesi!$C$9))+(_xlfn.ANCHORARRAY(Sintesi!$C$9)&gt;_xlfn.ANCHORARRAY(Sintesi!$C$10))*(A336&lt;=_xlfn.ANCHORARRAY(Sintesi!$C$10))+(_xlfn.ANCHORARRAY(Sintesi!$C$9)&lt;_xlfn.ANCHORARRAY(Sintesi!$C$10))*(A336&gt;=_xlfn.ANCHORARRAY(Sintesi!$C$9))*(A336&lt;=_xlfn.ANCHORARRAY(Sintesi!$C$10)),0)),0),1,IF(L337&gt;=_xlfn.IFNA(INDEX(_xlfn.ANCHORARRAY(Sintesi!$C$18),1,MATCH(1,(_xlfn.ANCHORARRAY(Sintesi!$C$9)&gt;_xlfn.ANCHORARRAY(Sintesi!$C$10))*(A336&gt;=_xlfn.ANCHORARRAY(Sintesi!$C$9))+(_xlfn.ANCHORARRAY(Sintesi!$C$9)&gt;_xlfn.ANCHORARRAY(Sintesi!$C$10))*(A336&lt;=_xlfn.ANCHORARRAY(Sintesi!$C$10))+(_xlfn.ANCHORARRAY(Sintesi!$C$9)&lt;_xlfn.ANCHORARRAY(Sintesi!$C$10))*(A336&gt;=_xlfn.ANCHORARRAY(Sintesi!$C$9))*(A336&lt;=_xlfn.ANCHORARRAY(Sintesi!$C$10)),0)),0),0,1-(L337-_xlfn.IFNA(INDEX(_xlfn.ANCHORARRAY(Sintesi!$C$17),1,MATCH(1,(_xlfn.ANCHORARRAY(Sintesi!$C$9)&gt;_xlfn.ANCHORARRAY(Sintesi!$C$10))*(A336&gt;=_xlfn.ANCHORARRAY(Sintesi!$C$9))+(_xlfn.ANCHORARRAY(Sintesi!$C$9)&gt;_xlfn.ANCHORARRAY(Sintesi!$C$10))*(A336&lt;=_xlfn.ANCHORARRAY(Sintesi!$C$10))+(_xlfn.ANCHORARRAY(Sintesi!$C$9)&lt;_xlfn.ANCHORARRAY(Sintesi!$C$10))*(A336&gt;=_xlfn.ANCHORARRAY(Sintesi!$C$9))*(A336&lt;=_xlfn.ANCHORARRAY(Sintesi!$C$10)),0)),0))/(_xlfn.IFNA(INDEX(_xlfn.ANCHORARRAY(Sintesi!$C$18),1,MATCH(1,(_xlfn.ANCHORARRAY(Sintesi!$C$9)&gt;_xlfn.ANCHORARRAY(Sintesi!$C$10))*(A336&gt;=_xlfn.ANCHORARRAY(Sintesi!$C$9))+(_xlfn.ANCHORARRAY(Sintesi!$C$9)&gt;_xlfn.ANCHORARRAY(Sintesi!$C$10))*(A336&lt;=_xlfn.ANCHORARRAY(Sintesi!$C$10))+(_xlfn.ANCHORARRAY(Sintesi!$C$9)&lt;_xlfn.ANCHORARRAY(Sintesi!$C$10))*(A336&gt;=_xlfn.ANCHORARRAY(Sintesi!$C$9))*(A336&lt;=_xlfn.ANCHORARRAY(Sintesi!$C$10)),0)),0)-_xlfn.IFNA(INDEX(_xlfn.ANCHORARRAY(Sintesi!$C$17),1,MATCH(1,(_xlfn.ANCHORARRAY(Sintesi!$C$9)&gt;_xlfn.ANCHORARRAY(Sintesi!$C$10))*(A336&gt;=_xlfn.ANCHORARRAY(Sintesi!$C$9))+(_xlfn.ANCHORARRAY(Sintesi!$C$9)&gt;_xlfn.ANCHORARRAY(Sintesi!$C$10))*(A336&lt;=_xlfn.ANCHORARRAY(Sintesi!$C$10))+(_xlfn.ANCHORARRAY(Sintesi!$C$9)&lt;_xlfn.ANCHORARRAY(Sintesi!$C$10))*(A336&gt;=_xlfn.ANCHORARRAY(Sintesi!$C$9))*(A336&lt;=_xlfn.ANCHORARRAY(Sintesi!$C$10)),0)),0)))),0)</f>
        <v>0</v>
      </c>
    </row>
    <row r="338" spans="1:13">
      <c r="A338" s="1">
        <f>'Paste cell here'!A338</f>
        <v>337</v>
      </c>
      <c r="B338" s="2">
        <f>DATE(Sintesi!$C$4-1,12,31)+A338</f>
        <v>44533</v>
      </c>
      <c r="C338" s="34">
        <f t="array" ref="C338">_xlfn.IFNA(MATCH(1,((_xlfn.ANCHORARRAY(Sintesi!$C$9)&gt;_xlfn.ANCHORARRAY(Sintesi!$C$10))*(A338&gt;=_xlfn.ANCHORARRAY(Sintesi!$C$9))+(_xlfn.ANCHORARRAY(Sintesi!$C$9)&gt;_xlfn.ANCHORARRAY(Sintesi!$C$10))*(A338&lt;=_xlfn.ANCHORARRAY(Sintesi!$C$10))+(_xlfn.ANCHORARRAY(Sintesi!$C$9)&lt;_xlfn.ANCHORARRAY(Sintesi!$C$10))*(A338&gt;=_xlfn.ANCHORARRAY(Sintesi!$C$9))*(A338&lt;=_xlfn.ANCHORARRAY(Sintesi!$C$10)))*(_xlfn.ANCHORARRAY(Sintesi!$C$15)&gt;=0)+(_xlfn.ANCHORARRAY(Sintesi!$C$15)&lt;0),0),0)</f>
        <v>0</v>
      </c>
      <c r="D338" s="1">
        <f t="array" ref="D338">IF(ISBLANK($E339),IF(ISNUMBER($E337),IF($C338&gt;0,IF(($E338=INDEX(_xlfn.ANCHORARRAY(Sintesi!$C$14),1,$C338))*(INDEX(_xlfn.ANCHORARRAY(Sintesi!$C$15),1,$C338)&gt;0),0,IF(($E338=INDEX(_xlfn.ANCHORARRAY(Sintesi!$C$14),1,$C338))*(INDEX(_xlfn.ANCHORARRAY(Sintesi!$C$15),1,$C338)&lt;0)+($E338&gt;=$E337)*($E338&lt;=INDEX($E:$E,MATCH(TRUE,INDEX((ISNUMBER($E:$E)),0),0)))*($E338&gt;INDEX(_xlfn.ANCHORARRAY(Sintesi!$C$14),1,$C338))*($E338&lt;=INDEX(_xlfn.ANCHORARRAY(Sintesi!$C$15),1,$C338))*(INDEX(_xlfn.ANCHORARRAY(Sintesi!$C$15),1,$C338)&gt;0),1,IF(($E338&gt;=$E337)*($E338&lt;=INDEX($E:$E,MATCH(TRUE,INDEX((ISNUMBER($E:$E)),0),0)))*($E338&gt;INDEX(_xlfn.ANCHORARRAY(Sintesi!$C$14),1,$C338))*($E338&lt;INDEX(_xlfn.ANCHORARRAY(Sintesi!$C$16),1,$C338))*(INDEX(_xlfn.ANCHORARRAY(Sintesi!$C$15),1,$C338)&lt;0)+($E338&gt;=$E337)*($E338&lt;=INDEX($E:$E,MATCH(TRUE,INDEX((ISNUMBER($E:$E)),0),0)))*($E338&gt;INDEX(_xlfn.ANCHORARRAY(Sintesi!$C$15),1,$C338))*($E338&lt;INDEX(_xlfn.ANCHORARRAY(Sintesi!$C$16),1,$C338))*(INDEX(_xlfn.ANCHORARRAY(Sintesi!$C$15),1,$C338)&gt;0),2,IF($E338=(INDEX(_xlfn.ANCHORARRAY(Sintesi!$C$16),1,$C338)),3,4)))),0),IF($C338&gt;0,IF(($E338=INDEX(_xlfn.ANCHORARRAY(Sintesi!$C$14),1,$C338))*(INDEX(_xlfn.ANCHORARRAY(Sintesi!$C$15),1,$C338)&gt;0),0,IF(($E338=INDEX(_xlfn.ANCHORARRAY(Sintesi!$C$14),1,$C338))*(INDEX(_xlfn.ANCHORARRAY(Sintesi!$C$15),1,$C338)&lt;0)+($E338&gt;=LOOKUP(2,1/($E:$E&lt;&gt;""),$E:$E))*($E338&lt;=INDEX($E:$E,MATCH(TRUE,INDEX((ISNUMBER($E:$E)),0),0)))*($E338&gt;INDEX(_xlfn.ANCHORARRAY(Sintesi!$C$14),1,$C338))*($E338&lt;=INDEX(_xlfn.ANCHORARRAY(Sintesi!$C$15),1,$C338))*(INDEX(_xlfn.ANCHORARRAY(Sintesi!$C$15),1,$C338)&gt;0),1,IF(($E338&gt;=LOOKUP(2,1/($E:$E&lt;&gt;""),$E:$E))*($E338&lt;=INDEX($E:$E,MATCH(TRUE,INDEX((ISNUMBER($E:$E)),0),0)))*($E338&gt;INDEX(_xlfn.ANCHORARRAY(Sintesi!$C$14),1,$C338))*($E338&lt;INDEX(_xlfn.ANCHORARRAY(Sintesi!$C$16),1,$C338))*(INDEX(_xlfn.ANCHORARRAY(Sintesi!$C$15),1,$C338)&lt;0)+($E338&gt;=LOOKUP(2,1/($E:$E&lt;&gt;""),$E:$E))*($E338&lt;=INDEX($E:$E,MATCH(TRUE,INDEX((ISNUMBER($E:$E)),0),0)))*($E338&gt;INDEX(_xlfn.ANCHORARRAY(Sintesi!$C$15),1,$C338))*($E338&lt;INDEX(_xlfn.ANCHORARRAY(Sintesi!$C$16),1,$C338))*(INDEX(_xlfn.ANCHORARRAY(Sintesi!$C$15),1,$C338)&gt;0),2,IF($E338=(INDEX(_xlfn.ANCHORARRAY(Sintesi!$C$16),1,$C338)),3,4)))),0)),IF(ISNUMBER($E337),IF($C338&gt;0,IF(($E338=INDEX(_xlfn.ANCHORARRAY(Sintesi!$C$14),1,$C338))*(INDEX(_xlfn.ANCHORARRAY(Sintesi!$C$15),1,$C338)&gt;0),0,IF(($E338=INDEX(_xlfn.ANCHORARRAY(Sintesi!$C$14),1,$C338))*(INDEX(_xlfn.ANCHORARRAY(Sintesi!$C$15),1,$C338)&lt;0)+($E338&gt;=$E337)*($E338&lt;=$E339)*($E338&gt;INDEX(_xlfn.ANCHORARRAY(Sintesi!$C$14),1,$C338))*($E338&lt;=INDEX(_xlfn.ANCHORARRAY(Sintesi!$C$15),1,$C338))*(INDEX(_xlfn.ANCHORARRAY(Sintesi!$C$15),1,$C338)&gt;0),1,IF(($E338&gt;=$E337)*($E338&lt;=$E339)*($E338&gt;INDEX(_xlfn.ANCHORARRAY(Sintesi!$C$14),1,$C338))*($E338&lt;INDEX(_xlfn.ANCHORARRAY(Sintesi!$C$16),1,$C338))*(INDEX(_xlfn.ANCHORARRAY(Sintesi!$C$15),1,$C338)&lt;0)+($E338&gt;=$E337)*($E338&lt;=$E339)*($E338&gt;INDEX(_xlfn.ANCHORARRAY(Sintesi!$C$15),1,$C338))*($E338&lt;INDEX(_xlfn.ANCHORARRAY(Sintesi!$C$16),1,$C338))*(INDEX(_xlfn.ANCHORARRAY(Sintesi!$C$15),1,$C338)&gt;0),2,IF($E338=(INDEX(_xlfn.ANCHORARRAY(Sintesi!$C$16),1,$C338)),3,4)))),0),IF($C338&gt;0,IF(($E338=INDEX(_xlfn.ANCHORARRAY(Sintesi!$C$14),1,$C338))*(INDEX(_xlfn.ANCHORARRAY(Sintesi!$C$15),1,$C338)&gt;0),0,IF(($E338=INDEX(_xlfn.ANCHORARRAY(Sintesi!$C$14),1,$C338))*(INDEX(_xlfn.ANCHORARRAY(Sintesi!$C$15),1,$C338)&lt;0)+($E338&gt;=LOOKUP(2,1/($E:$E&lt;&gt;""),$E:$E))*($E338&lt;=$E339)*($E338&gt;INDEX(_xlfn.ANCHORARRAY(Sintesi!$C$14),1,$C338))*($E338&lt;=INDEX(_xlfn.ANCHORARRAY(Sintesi!$C$15),1,$C338))*(INDEX(_xlfn.ANCHORARRAY(Sintesi!$C$15),1,$C338)&gt;0),1,IF(($E338&gt;=LOOKUP(2,1/($E:$E&lt;&gt;""),$E:$E))*($E338&lt;=$E339)*($E338&gt;INDEX(_xlfn.ANCHORARRAY(Sintesi!$C$14),1,$C338))*($E338&lt;INDEX(_xlfn.ANCHORARRAY(Sintesi!$C$16),1,$C338))*(INDEX(_xlfn.ANCHORARRAY(Sintesi!$C$15),1,$C338)&lt;0)+($E338&gt;=LOOKUP(2,1/($E:$E&lt;&gt;""),$E:$E))*($E338&lt;=$E339)*($E338&gt;INDEX(_xlfn.ANCHORARRAY(Sintesi!$C$15),1,$C338))*($E338&lt;INDEX(_xlfn.ANCHORARRAY(Sintesi!$C$16),1,$C338))*(INDEX(_xlfn.ANCHORARRAY(Sintesi!$C$15),1,$C338)&gt;0),2,IF($E338=(INDEX(_xlfn.ANCHORARRAY(Sintesi!$C$16),1,$C338)),3,4)))),0)))</f>
        <v>0</v>
      </c>
      <c r="E338" s="1">
        <f>'Paste cell here'!F338</f>
        <v>0</v>
      </c>
      <c r="F338" s="1">
        <f>'Paste cell here'!C338</f>
        <v>11.33999999999984</v>
      </c>
      <c r="G338" s="1">
        <f>'Paste cell here'!D338</f>
        <v>0.80000000000000138</v>
      </c>
      <c r="H338" s="1">
        <f>'Paste cell here'!E338</f>
        <v>0.29059996370734542</v>
      </c>
      <c r="I338" s="1">
        <f>'Paste cell here'!X338</f>
        <v>0</v>
      </c>
      <c r="J338" s="1">
        <f>'Paste cell here'!Y338+'Paste cell here'!S338</f>
        <v>0</v>
      </c>
      <c r="K338" s="1">
        <f t="shared" si="10"/>
        <v>0</v>
      </c>
      <c r="L338" s="1">
        <f t="shared" si="11"/>
        <v>6.8228571428570515</v>
      </c>
      <c r="M338" s="1">
        <f t="array" ref="M338">IF(AND(A338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338&gt;=_xlfn.ANCHORARRAY(Sintesi!$C$9))+(_xlfn.ANCHORARRAY(Sintesi!$C$9)&gt;_xlfn.ANCHORARRAY(Sintesi!$C$10))*(A338&lt;=_xlfn.ANCHORARRAY(Sintesi!$C$10))+(_xlfn.ANCHORARRAY(Sintesi!$C$9)&lt;_xlfn.ANCHORARRAY(Sintesi!$C$10))*(A338&gt;=_xlfn.ANCHORARRAY(Sintesi!$C$9))*(A338&lt;=_xlfn.ANCHORARRAY(Sintesi!$C$10)),0)),0),A338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339&gt;=_xlfn.ANCHORARRAY(Sintesi!$C$9))+(_xlfn.ANCHORARRAY(Sintesi!$C$9)&gt;_xlfn.ANCHORARRAY(Sintesi!$C$10))*(A339&lt;=_xlfn.ANCHORARRAY(Sintesi!$C$10))+(_xlfn.ANCHORARRAY(Sintesi!$C$9)&lt;_xlfn.ANCHORARRAY(Sintesi!$C$10))*(A339&gt;=_xlfn.ANCHORARRAY(Sintesi!$C$9))*(A339&lt;=_xlfn.ANCHORARRAY(Sintesi!$C$10)),0)),0)),IF(L338&lt;_xlfn.IFNA(INDEX(_xlfn.ANCHORARRAY(Sintesi!$C$17),1,MATCH(1,(_xlfn.ANCHORARRAY(Sintesi!$C$9)&gt;_xlfn.ANCHORARRAY(Sintesi!$C$10))*(A337&gt;=_xlfn.ANCHORARRAY(Sintesi!$C$9))+(_xlfn.ANCHORARRAY(Sintesi!$C$9)&gt;_xlfn.ANCHORARRAY(Sintesi!$C$10))*(A337&lt;=_xlfn.ANCHORARRAY(Sintesi!$C$10))+(_xlfn.ANCHORARRAY(Sintesi!$C$9)&lt;_xlfn.ANCHORARRAY(Sintesi!$C$10))*(A337&gt;=_xlfn.ANCHORARRAY(Sintesi!$C$9))*(A337&lt;=_xlfn.ANCHORARRAY(Sintesi!$C$10)),0)),0),1,IF(L338&gt;=_xlfn.IFNA(INDEX(_xlfn.ANCHORARRAY(Sintesi!$C$18),1,MATCH(1,(_xlfn.ANCHORARRAY(Sintesi!$C$9)&gt;_xlfn.ANCHORARRAY(Sintesi!$C$10))*(A337&gt;=_xlfn.ANCHORARRAY(Sintesi!$C$9))+(_xlfn.ANCHORARRAY(Sintesi!$C$9)&gt;_xlfn.ANCHORARRAY(Sintesi!$C$10))*(A337&lt;=_xlfn.ANCHORARRAY(Sintesi!$C$10))+(_xlfn.ANCHORARRAY(Sintesi!$C$9)&lt;_xlfn.ANCHORARRAY(Sintesi!$C$10))*(A337&gt;=_xlfn.ANCHORARRAY(Sintesi!$C$9))*(A337&lt;=_xlfn.ANCHORARRAY(Sintesi!$C$10)),0)),0),0,1-(L338-_xlfn.IFNA(INDEX(_xlfn.ANCHORARRAY(Sintesi!$C$17),1,MATCH(1,(_xlfn.ANCHORARRAY(Sintesi!$C$9)&gt;_xlfn.ANCHORARRAY(Sintesi!$C$10))*(A337&gt;=_xlfn.ANCHORARRAY(Sintesi!$C$9))+(_xlfn.ANCHORARRAY(Sintesi!$C$9)&gt;_xlfn.ANCHORARRAY(Sintesi!$C$10))*(A337&lt;=_xlfn.ANCHORARRAY(Sintesi!$C$10))+(_xlfn.ANCHORARRAY(Sintesi!$C$9)&lt;_xlfn.ANCHORARRAY(Sintesi!$C$10))*(A337&gt;=_xlfn.ANCHORARRAY(Sintesi!$C$9))*(A337&lt;=_xlfn.ANCHORARRAY(Sintesi!$C$10)),0)),0))/(_xlfn.IFNA(INDEX(_xlfn.ANCHORARRAY(Sintesi!$C$18),1,MATCH(1,(_xlfn.ANCHORARRAY(Sintesi!$C$9)&gt;_xlfn.ANCHORARRAY(Sintesi!$C$10))*(A337&gt;=_xlfn.ANCHORARRAY(Sintesi!$C$9))+(_xlfn.ANCHORARRAY(Sintesi!$C$9)&gt;_xlfn.ANCHORARRAY(Sintesi!$C$10))*(A337&lt;=_xlfn.ANCHORARRAY(Sintesi!$C$10))+(_xlfn.ANCHORARRAY(Sintesi!$C$9)&lt;_xlfn.ANCHORARRAY(Sintesi!$C$10))*(A337&gt;=_xlfn.ANCHORARRAY(Sintesi!$C$9))*(A337&lt;=_xlfn.ANCHORARRAY(Sintesi!$C$10)),0)),0)-_xlfn.IFNA(INDEX(_xlfn.ANCHORARRAY(Sintesi!$C$17),1,MATCH(1,(_xlfn.ANCHORARRAY(Sintesi!$C$9)&gt;_xlfn.ANCHORARRAY(Sintesi!$C$10))*(A337&gt;=_xlfn.ANCHORARRAY(Sintesi!$C$9))+(_xlfn.ANCHORARRAY(Sintesi!$C$9)&gt;_xlfn.ANCHORARRAY(Sintesi!$C$10))*(A337&lt;=_xlfn.ANCHORARRAY(Sintesi!$C$10))+(_xlfn.ANCHORARRAY(Sintesi!$C$9)&lt;_xlfn.ANCHORARRAY(Sintesi!$C$10))*(A337&gt;=_xlfn.ANCHORARRAY(Sintesi!$C$9))*(A337&lt;=_xlfn.ANCHORARRAY(Sintesi!$C$10)),0)),0)))),0)</f>
        <v>0</v>
      </c>
    </row>
    <row r="339" spans="1:13">
      <c r="A339" s="1">
        <f>'Paste cell here'!A339</f>
        <v>338</v>
      </c>
      <c r="B339" s="2">
        <f>DATE(Sintesi!$C$4-1,12,31)+A339</f>
        <v>44534</v>
      </c>
      <c r="C339" s="34">
        <f t="array" ref="C339">_xlfn.IFNA(MATCH(1,((_xlfn.ANCHORARRAY(Sintesi!$C$9)&gt;_xlfn.ANCHORARRAY(Sintesi!$C$10))*(A339&gt;=_xlfn.ANCHORARRAY(Sintesi!$C$9))+(_xlfn.ANCHORARRAY(Sintesi!$C$9)&gt;_xlfn.ANCHORARRAY(Sintesi!$C$10))*(A339&lt;=_xlfn.ANCHORARRAY(Sintesi!$C$10))+(_xlfn.ANCHORARRAY(Sintesi!$C$9)&lt;_xlfn.ANCHORARRAY(Sintesi!$C$10))*(A339&gt;=_xlfn.ANCHORARRAY(Sintesi!$C$9))*(A339&lt;=_xlfn.ANCHORARRAY(Sintesi!$C$10)))*(_xlfn.ANCHORARRAY(Sintesi!$C$15)&gt;=0)+(_xlfn.ANCHORARRAY(Sintesi!$C$15)&lt;0),0),0)</f>
        <v>0</v>
      </c>
      <c r="D339" s="1">
        <f t="array" ref="D339">IF(ISBLANK($E340),IF(ISNUMBER($E338),IF($C339&gt;0,IF(($E339=INDEX(_xlfn.ANCHORARRAY(Sintesi!$C$14),1,$C339))*(INDEX(_xlfn.ANCHORARRAY(Sintesi!$C$15),1,$C339)&gt;0),0,IF(($E339=INDEX(_xlfn.ANCHORARRAY(Sintesi!$C$14),1,$C339))*(INDEX(_xlfn.ANCHORARRAY(Sintesi!$C$15),1,$C339)&lt;0)+($E339&gt;=$E338)*($E339&lt;=INDEX($E:$E,MATCH(TRUE,INDEX((ISNUMBER($E:$E)),0),0)))*($E339&gt;INDEX(_xlfn.ANCHORARRAY(Sintesi!$C$14),1,$C339))*($E339&lt;=INDEX(_xlfn.ANCHORARRAY(Sintesi!$C$15),1,$C339))*(INDEX(_xlfn.ANCHORARRAY(Sintesi!$C$15),1,$C339)&gt;0),1,IF(($E339&gt;=$E338)*($E339&lt;=INDEX($E:$E,MATCH(TRUE,INDEX((ISNUMBER($E:$E)),0),0)))*($E339&gt;INDEX(_xlfn.ANCHORARRAY(Sintesi!$C$14),1,$C339))*($E339&lt;INDEX(_xlfn.ANCHORARRAY(Sintesi!$C$16),1,$C339))*(INDEX(_xlfn.ANCHORARRAY(Sintesi!$C$15),1,$C339)&lt;0)+($E339&gt;=$E338)*($E339&lt;=INDEX($E:$E,MATCH(TRUE,INDEX((ISNUMBER($E:$E)),0),0)))*($E339&gt;INDEX(_xlfn.ANCHORARRAY(Sintesi!$C$15),1,$C339))*($E339&lt;INDEX(_xlfn.ANCHORARRAY(Sintesi!$C$16),1,$C339))*(INDEX(_xlfn.ANCHORARRAY(Sintesi!$C$15),1,$C339)&gt;0),2,IF($E339=(INDEX(_xlfn.ANCHORARRAY(Sintesi!$C$16),1,$C339)),3,4)))),0),IF($C339&gt;0,IF(($E339=INDEX(_xlfn.ANCHORARRAY(Sintesi!$C$14),1,$C339))*(INDEX(_xlfn.ANCHORARRAY(Sintesi!$C$15),1,$C339)&gt;0),0,IF(($E339=INDEX(_xlfn.ANCHORARRAY(Sintesi!$C$14),1,$C339))*(INDEX(_xlfn.ANCHORARRAY(Sintesi!$C$15),1,$C339)&lt;0)+($E339&gt;=LOOKUP(2,1/($E:$E&lt;&gt;""),$E:$E))*($E339&lt;=INDEX($E:$E,MATCH(TRUE,INDEX((ISNUMBER($E:$E)),0),0)))*($E339&gt;INDEX(_xlfn.ANCHORARRAY(Sintesi!$C$14),1,$C339))*($E339&lt;=INDEX(_xlfn.ANCHORARRAY(Sintesi!$C$15),1,$C339))*(INDEX(_xlfn.ANCHORARRAY(Sintesi!$C$15),1,$C339)&gt;0),1,IF(($E339&gt;=LOOKUP(2,1/($E:$E&lt;&gt;""),$E:$E))*($E339&lt;=INDEX($E:$E,MATCH(TRUE,INDEX((ISNUMBER($E:$E)),0),0)))*($E339&gt;INDEX(_xlfn.ANCHORARRAY(Sintesi!$C$14),1,$C339))*($E339&lt;INDEX(_xlfn.ANCHORARRAY(Sintesi!$C$16),1,$C339))*(INDEX(_xlfn.ANCHORARRAY(Sintesi!$C$15),1,$C339)&lt;0)+($E339&gt;=LOOKUP(2,1/($E:$E&lt;&gt;""),$E:$E))*($E339&lt;=INDEX($E:$E,MATCH(TRUE,INDEX((ISNUMBER($E:$E)),0),0)))*($E339&gt;INDEX(_xlfn.ANCHORARRAY(Sintesi!$C$15),1,$C339))*($E339&lt;INDEX(_xlfn.ANCHORARRAY(Sintesi!$C$16),1,$C339))*(INDEX(_xlfn.ANCHORARRAY(Sintesi!$C$15),1,$C339)&gt;0),2,IF($E339=(INDEX(_xlfn.ANCHORARRAY(Sintesi!$C$16),1,$C339)),3,4)))),0)),IF(ISNUMBER($E338),IF($C339&gt;0,IF(($E339=INDEX(_xlfn.ANCHORARRAY(Sintesi!$C$14),1,$C339))*(INDEX(_xlfn.ANCHORARRAY(Sintesi!$C$15),1,$C339)&gt;0),0,IF(($E339=INDEX(_xlfn.ANCHORARRAY(Sintesi!$C$14),1,$C339))*(INDEX(_xlfn.ANCHORARRAY(Sintesi!$C$15),1,$C339)&lt;0)+($E339&gt;=$E338)*($E339&lt;=$E340)*($E339&gt;INDEX(_xlfn.ANCHORARRAY(Sintesi!$C$14),1,$C339))*($E339&lt;=INDEX(_xlfn.ANCHORARRAY(Sintesi!$C$15),1,$C339))*(INDEX(_xlfn.ANCHORARRAY(Sintesi!$C$15),1,$C339)&gt;0),1,IF(($E339&gt;=$E338)*($E339&lt;=$E340)*($E339&gt;INDEX(_xlfn.ANCHORARRAY(Sintesi!$C$14),1,$C339))*($E339&lt;INDEX(_xlfn.ANCHORARRAY(Sintesi!$C$16),1,$C339))*(INDEX(_xlfn.ANCHORARRAY(Sintesi!$C$15),1,$C339)&lt;0)+($E339&gt;=$E338)*($E339&lt;=$E340)*($E339&gt;INDEX(_xlfn.ANCHORARRAY(Sintesi!$C$15),1,$C339))*($E339&lt;INDEX(_xlfn.ANCHORARRAY(Sintesi!$C$16),1,$C339))*(INDEX(_xlfn.ANCHORARRAY(Sintesi!$C$15),1,$C339)&gt;0),2,IF($E339=(INDEX(_xlfn.ANCHORARRAY(Sintesi!$C$16),1,$C339)),3,4)))),0),IF($C339&gt;0,IF(($E339=INDEX(_xlfn.ANCHORARRAY(Sintesi!$C$14),1,$C339))*(INDEX(_xlfn.ANCHORARRAY(Sintesi!$C$15),1,$C339)&gt;0),0,IF(($E339=INDEX(_xlfn.ANCHORARRAY(Sintesi!$C$14),1,$C339))*(INDEX(_xlfn.ANCHORARRAY(Sintesi!$C$15),1,$C339)&lt;0)+($E339&gt;=LOOKUP(2,1/($E:$E&lt;&gt;""),$E:$E))*($E339&lt;=$E340)*($E339&gt;INDEX(_xlfn.ANCHORARRAY(Sintesi!$C$14),1,$C339))*($E339&lt;=INDEX(_xlfn.ANCHORARRAY(Sintesi!$C$15),1,$C339))*(INDEX(_xlfn.ANCHORARRAY(Sintesi!$C$15),1,$C339)&gt;0),1,IF(($E339&gt;=LOOKUP(2,1/($E:$E&lt;&gt;""),$E:$E))*($E339&lt;=$E340)*($E339&gt;INDEX(_xlfn.ANCHORARRAY(Sintesi!$C$14),1,$C339))*($E339&lt;INDEX(_xlfn.ANCHORARRAY(Sintesi!$C$16),1,$C339))*(INDEX(_xlfn.ANCHORARRAY(Sintesi!$C$15),1,$C339)&lt;0)+($E339&gt;=LOOKUP(2,1/($E:$E&lt;&gt;""),$E:$E))*($E339&lt;=$E340)*($E339&gt;INDEX(_xlfn.ANCHORARRAY(Sintesi!$C$15),1,$C339))*($E339&lt;INDEX(_xlfn.ANCHORARRAY(Sintesi!$C$16),1,$C339))*(INDEX(_xlfn.ANCHORARRAY(Sintesi!$C$15),1,$C339)&gt;0),2,IF($E339=(INDEX(_xlfn.ANCHORARRAY(Sintesi!$C$16),1,$C339)),3,4)))),0)))</f>
        <v>0</v>
      </c>
      <c r="E339" s="1">
        <f>'Paste cell here'!F339</f>
        <v>0</v>
      </c>
      <c r="F339" s="1">
        <f>'Paste cell here'!C339</f>
        <v>5.6599999999999344</v>
      </c>
      <c r="G339" s="1">
        <f>'Paste cell here'!D339</f>
        <v>-0.65999999999997949</v>
      </c>
      <c r="H339" s="1">
        <f>'Paste cell here'!E339</f>
        <v>0.42780709337369316</v>
      </c>
      <c r="I339" s="1">
        <f>'Paste cell here'!X339</f>
        <v>0</v>
      </c>
      <c r="J339" s="1">
        <f>'Paste cell here'!Y339+'Paste cell here'!S339</f>
        <v>0</v>
      </c>
      <c r="K339" s="1">
        <f t="shared" si="10"/>
        <v>0</v>
      </c>
      <c r="L339" s="1">
        <f t="shared" si="11"/>
        <v>2.9514285714285426</v>
      </c>
      <c r="M339" s="1">
        <f t="array" ref="M339">IF(AND(A339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339&gt;=_xlfn.ANCHORARRAY(Sintesi!$C$9))+(_xlfn.ANCHORARRAY(Sintesi!$C$9)&gt;_xlfn.ANCHORARRAY(Sintesi!$C$10))*(A339&lt;=_xlfn.ANCHORARRAY(Sintesi!$C$10))+(_xlfn.ANCHORARRAY(Sintesi!$C$9)&lt;_xlfn.ANCHORARRAY(Sintesi!$C$10))*(A339&gt;=_xlfn.ANCHORARRAY(Sintesi!$C$9))*(A339&lt;=_xlfn.ANCHORARRAY(Sintesi!$C$10)),0)),0),A339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340&gt;=_xlfn.ANCHORARRAY(Sintesi!$C$9))+(_xlfn.ANCHORARRAY(Sintesi!$C$9)&gt;_xlfn.ANCHORARRAY(Sintesi!$C$10))*(A340&lt;=_xlfn.ANCHORARRAY(Sintesi!$C$10))+(_xlfn.ANCHORARRAY(Sintesi!$C$9)&lt;_xlfn.ANCHORARRAY(Sintesi!$C$10))*(A340&gt;=_xlfn.ANCHORARRAY(Sintesi!$C$9))*(A340&lt;=_xlfn.ANCHORARRAY(Sintesi!$C$10)),0)),0)),IF(L339&lt;_xlfn.IFNA(INDEX(_xlfn.ANCHORARRAY(Sintesi!$C$17),1,MATCH(1,(_xlfn.ANCHORARRAY(Sintesi!$C$9)&gt;_xlfn.ANCHORARRAY(Sintesi!$C$10))*(A338&gt;=_xlfn.ANCHORARRAY(Sintesi!$C$9))+(_xlfn.ANCHORARRAY(Sintesi!$C$9)&gt;_xlfn.ANCHORARRAY(Sintesi!$C$10))*(A338&lt;=_xlfn.ANCHORARRAY(Sintesi!$C$10))+(_xlfn.ANCHORARRAY(Sintesi!$C$9)&lt;_xlfn.ANCHORARRAY(Sintesi!$C$10))*(A338&gt;=_xlfn.ANCHORARRAY(Sintesi!$C$9))*(A338&lt;=_xlfn.ANCHORARRAY(Sintesi!$C$10)),0)),0),1,IF(L339&gt;=_xlfn.IFNA(INDEX(_xlfn.ANCHORARRAY(Sintesi!$C$18),1,MATCH(1,(_xlfn.ANCHORARRAY(Sintesi!$C$9)&gt;_xlfn.ANCHORARRAY(Sintesi!$C$10))*(A338&gt;=_xlfn.ANCHORARRAY(Sintesi!$C$9))+(_xlfn.ANCHORARRAY(Sintesi!$C$9)&gt;_xlfn.ANCHORARRAY(Sintesi!$C$10))*(A338&lt;=_xlfn.ANCHORARRAY(Sintesi!$C$10))+(_xlfn.ANCHORARRAY(Sintesi!$C$9)&lt;_xlfn.ANCHORARRAY(Sintesi!$C$10))*(A338&gt;=_xlfn.ANCHORARRAY(Sintesi!$C$9))*(A338&lt;=_xlfn.ANCHORARRAY(Sintesi!$C$10)),0)),0),0,1-(L339-_xlfn.IFNA(INDEX(_xlfn.ANCHORARRAY(Sintesi!$C$17),1,MATCH(1,(_xlfn.ANCHORARRAY(Sintesi!$C$9)&gt;_xlfn.ANCHORARRAY(Sintesi!$C$10))*(A338&gt;=_xlfn.ANCHORARRAY(Sintesi!$C$9))+(_xlfn.ANCHORARRAY(Sintesi!$C$9)&gt;_xlfn.ANCHORARRAY(Sintesi!$C$10))*(A338&lt;=_xlfn.ANCHORARRAY(Sintesi!$C$10))+(_xlfn.ANCHORARRAY(Sintesi!$C$9)&lt;_xlfn.ANCHORARRAY(Sintesi!$C$10))*(A338&gt;=_xlfn.ANCHORARRAY(Sintesi!$C$9))*(A338&lt;=_xlfn.ANCHORARRAY(Sintesi!$C$10)),0)),0))/(_xlfn.IFNA(INDEX(_xlfn.ANCHORARRAY(Sintesi!$C$18),1,MATCH(1,(_xlfn.ANCHORARRAY(Sintesi!$C$9)&gt;_xlfn.ANCHORARRAY(Sintesi!$C$10))*(A338&gt;=_xlfn.ANCHORARRAY(Sintesi!$C$9))+(_xlfn.ANCHORARRAY(Sintesi!$C$9)&gt;_xlfn.ANCHORARRAY(Sintesi!$C$10))*(A338&lt;=_xlfn.ANCHORARRAY(Sintesi!$C$10))+(_xlfn.ANCHORARRAY(Sintesi!$C$9)&lt;_xlfn.ANCHORARRAY(Sintesi!$C$10))*(A338&gt;=_xlfn.ANCHORARRAY(Sintesi!$C$9))*(A338&lt;=_xlfn.ANCHORARRAY(Sintesi!$C$10)),0)),0)-_xlfn.IFNA(INDEX(_xlfn.ANCHORARRAY(Sintesi!$C$17),1,MATCH(1,(_xlfn.ANCHORARRAY(Sintesi!$C$9)&gt;_xlfn.ANCHORARRAY(Sintesi!$C$10))*(A338&gt;=_xlfn.ANCHORARRAY(Sintesi!$C$9))+(_xlfn.ANCHORARRAY(Sintesi!$C$9)&gt;_xlfn.ANCHORARRAY(Sintesi!$C$10))*(A338&lt;=_xlfn.ANCHORARRAY(Sintesi!$C$10))+(_xlfn.ANCHORARRAY(Sintesi!$C$9)&lt;_xlfn.ANCHORARRAY(Sintesi!$C$10))*(A338&gt;=_xlfn.ANCHORARRAY(Sintesi!$C$9))*(A338&lt;=_xlfn.ANCHORARRAY(Sintesi!$C$10)),0)),0)))),0)</f>
        <v>0</v>
      </c>
    </row>
    <row r="340" spans="1:13">
      <c r="A340" s="1">
        <f>'Paste cell here'!A340</f>
        <v>339</v>
      </c>
      <c r="B340" s="2">
        <f>DATE(Sintesi!$C$4-1,12,31)+A340</f>
        <v>44535</v>
      </c>
      <c r="C340" s="34">
        <f t="array" ref="C340">_xlfn.IFNA(MATCH(1,((_xlfn.ANCHORARRAY(Sintesi!$C$9)&gt;_xlfn.ANCHORARRAY(Sintesi!$C$10))*(A340&gt;=_xlfn.ANCHORARRAY(Sintesi!$C$9))+(_xlfn.ANCHORARRAY(Sintesi!$C$9)&gt;_xlfn.ANCHORARRAY(Sintesi!$C$10))*(A340&lt;=_xlfn.ANCHORARRAY(Sintesi!$C$10))+(_xlfn.ANCHORARRAY(Sintesi!$C$9)&lt;_xlfn.ANCHORARRAY(Sintesi!$C$10))*(A340&gt;=_xlfn.ANCHORARRAY(Sintesi!$C$9))*(A340&lt;=_xlfn.ANCHORARRAY(Sintesi!$C$10)))*(_xlfn.ANCHORARRAY(Sintesi!$C$15)&gt;=0)+(_xlfn.ANCHORARRAY(Sintesi!$C$15)&lt;0),0),0)</f>
        <v>0</v>
      </c>
      <c r="D340" s="1">
        <f t="array" ref="D340">IF(ISBLANK($E341),IF(ISNUMBER($E339),IF($C340&gt;0,IF(($E340=INDEX(_xlfn.ANCHORARRAY(Sintesi!$C$14),1,$C340))*(INDEX(_xlfn.ANCHORARRAY(Sintesi!$C$15),1,$C340)&gt;0),0,IF(($E340=INDEX(_xlfn.ANCHORARRAY(Sintesi!$C$14),1,$C340))*(INDEX(_xlfn.ANCHORARRAY(Sintesi!$C$15),1,$C340)&lt;0)+($E340&gt;=$E339)*($E340&lt;=INDEX($E:$E,MATCH(TRUE,INDEX((ISNUMBER($E:$E)),0),0)))*($E340&gt;INDEX(_xlfn.ANCHORARRAY(Sintesi!$C$14),1,$C340))*($E340&lt;=INDEX(_xlfn.ANCHORARRAY(Sintesi!$C$15),1,$C340))*(INDEX(_xlfn.ANCHORARRAY(Sintesi!$C$15),1,$C340)&gt;0),1,IF(($E340&gt;=$E339)*($E340&lt;=INDEX($E:$E,MATCH(TRUE,INDEX((ISNUMBER($E:$E)),0),0)))*($E340&gt;INDEX(_xlfn.ANCHORARRAY(Sintesi!$C$14),1,$C340))*($E340&lt;INDEX(_xlfn.ANCHORARRAY(Sintesi!$C$16),1,$C340))*(INDEX(_xlfn.ANCHORARRAY(Sintesi!$C$15),1,$C340)&lt;0)+($E340&gt;=$E339)*($E340&lt;=INDEX($E:$E,MATCH(TRUE,INDEX((ISNUMBER($E:$E)),0),0)))*($E340&gt;INDEX(_xlfn.ANCHORARRAY(Sintesi!$C$15),1,$C340))*($E340&lt;INDEX(_xlfn.ANCHORARRAY(Sintesi!$C$16),1,$C340))*(INDEX(_xlfn.ANCHORARRAY(Sintesi!$C$15),1,$C340)&gt;0),2,IF($E340=(INDEX(_xlfn.ANCHORARRAY(Sintesi!$C$16),1,$C340)),3,4)))),0),IF($C340&gt;0,IF(($E340=INDEX(_xlfn.ANCHORARRAY(Sintesi!$C$14),1,$C340))*(INDEX(_xlfn.ANCHORARRAY(Sintesi!$C$15),1,$C340)&gt;0),0,IF(($E340=INDEX(_xlfn.ANCHORARRAY(Sintesi!$C$14),1,$C340))*(INDEX(_xlfn.ANCHORARRAY(Sintesi!$C$15),1,$C340)&lt;0)+($E340&gt;=LOOKUP(2,1/($E:$E&lt;&gt;""),$E:$E))*($E340&lt;=INDEX($E:$E,MATCH(TRUE,INDEX((ISNUMBER($E:$E)),0),0)))*($E340&gt;INDEX(_xlfn.ANCHORARRAY(Sintesi!$C$14),1,$C340))*($E340&lt;=INDEX(_xlfn.ANCHORARRAY(Sintesi!$C$15),1,$C340))*(INDEX(_xlfn.ANCHORARRAY(Sintesi!$C$15),1,$C340)&gt;0),1,IF(($E340&gt;=LOOKUP(2,1/($E:$E&lt;&gt;""),$E:$E))*($E340&lt;=INDEX($E:$E,MATCH(TRUE,INDEX((ISNUMBER($E:$E)),0),0)))*($E340&gt;INDEX(_xlfn.ANCHORARRAY(Sintesi!$C$14),1,$C340))*($E340&lt;INDEX(_xlfn.ANCHORARRAY(Sintesi!$C$16),1,$C340))*(INDEX(_xlfn.ANCHORARRAY(Sintesi!$C$15),1,$C340)&lt;0)+($E340&gt;=LOOKUP(2,1/($E:$E&lt;&gt;""),$E:$E))*($E340&lt;=INDEX($E:$E,MATCH(TRUE,INDEX((ISNUMBER($E:$E)),0),0)))*($E340&gt;INDEX(_xlfn.ANCHORARRAY(Sintesi!$C$15),1,$C340))*($E340&lt;INDEX(_xlfn.ANCHORARRAY(Sintesi!$C$16),1,$C340))*(INDEX(_xlfn.ANCHORARRAY(Sintesi!$C$15),1,$C340)&gt;0),2,IF($E340=(INDEX(_xlfn.ANCHORARRAY(Sintesi!$C$16),1,$C340)),3,4)))),0)),IF(ISNUMBER($E339),IF($C340&gt;0,IF(($E340=INDEX(_xlfn.ANCHORARRAY(Sintesi!$C$14),1,$C340))*(INDEX(_xlfn.ANCHORARRAY(Sintesi!$C$15),1,$C340)&gt;0),0,IF(($E340=INDEX(_xlfn.ANCHORARRAY(Sintesi!$C$14),1,$C340))*(INDEX(_xlfn.ANCHORARRAY(Sintesi!$C$15),1,$C340)&lt;0)+($E340&gt;=$E339)*($E340&lt;=$E341)*($E340&gt;INDEX(_xlfn.ANCHORARRAY(Sintesi!$C$14),1,$C340))*($E340&lt;=INDEX(_xlfn.ANCHORARRAY(Sintesi!$C$15),1,$C340))*(INDEX(_xlfn.ANCHORARRAY(Sintesi!$C$15),1,$C340)&gt;0),1,IF(($E340&gt;=$E339)*($E340&lt;=$E341)*($E340&gt;INDEX(_xlfn.ANCHORARRAY(Sintesi!$C$14),1,$C340))*($E340&lt;INDEX(_xlfn.ANCHORARRAY(Sintesi!$C$16),1,$C340))*(INDEX(_xlfn.ANCHORARRAY(Sintesi!$C$15),1,$C340)&lt;0)+($E340&gt;=$E339)*($E340&lt;=$E341)*($E340&gt;INDEX(_xlfn.ANCHORARRAY(Sintesi!$C$15),1,$C340))*($E340&lt;INDEX(_xlfn.ANCHORARRAY(Sintesi!$C$16),1,$C340))*(INDEX(_xlfn.ANCHORARRAY(Sintesi!$C$15),1,$C340)&gt;0),2,IF($E340=(INDEX(_xlfn.ANCHORARRAY(Sintesi!$C$16),1,$C340)),3,4)))),0),IF($C340&gt;0,IF(($E340=INDEX(_xlfn.ANCHORARRAY(Sintesi!$C$14),1,$C340))*(INDEX(_xlfn.ANCHORARRAY(Sintesi!$C$15),1,$C340)&gt;0),0,IF(($E340=INDEX(_xlfn.ANCHORARRAY(Sintesi!$C$14),1,$C340))*(INDEX(_xlfn.ANCHORARRAY(Sintesi!$C$15),1,$C340)&lt;0)+($E340&gt;=LOOKUP(2,1/($E:$E&lt;&gt;""),$E:$E))*($E340&lt;=$E341)*($E340&gt;INDEX(_xlfn.ANCHORARRAY(Sintesi!$C$14),1,$C340))*($E340&lt;=INDEX(_xlfn.ANCHORARRAY(Sintesi!$C$15),1,$C340))*(INDEX(_xlfn.ANCHORARRAY(Sintesi!$C$15),1,$C340)&gt;0),1,IF(($E340&gt;=LOOKUP(2,1/($E:$E&lt;&gt;""),$E:$E))*($E340&lt;=$E341)*($E340&gt;INDEX(_xlfn.ANCHORARRAY(Sintesi!$C$14),1,$C340))*($E340&lt;INDEX(_xlfn.ANCHORARRAY(Sintesi!$C$16),1,$C340))*(INDEX(_xlfn.ANCHORARRAY(Sintesi!$C$15),1,$C340)&lt;0)+($E340&gt;=LOOKUP(2,1/($E:$E&lt;&gt;""),$E:$E))*($E340&lt;=$E341)*($E340&gt;INDEX(_xlfn.ANCHORARRAY(Sintesi!$C$15),1,$C340))*($E340&lt;INDEX(_xlfn.ANCHORARRAY(Sintesi!$C$16),1,$C340))*(INDEX(_xlfn.ANCHORARRAY(Sintesi!$C$15),1,$C340)&gt;0),2,IF($E340=(INDEX(_xlfn.ANCHORARRAY(Sintesi!$C$16),1,$C340)),3,4)))),0)))</f>
        <v>0</v>
      </c>
      <c r="E340" s="1">
        <f>'Paste cell here'!F340</f>
        <v>0</v>
      </c>
      <c r="F340" s="1">
        <f>'Paste cell here'!C340</f>
        <v>8.1999999999998838</v>
      </c>
      <c r="G340" s="1">
        <f>'Paste cell here'!D340</f>
        <v>-0.35999999999998378</v>
      </c>
      <c r="H340" s="1">
        <f>'Paste cell here'!E340</f>
        <v>0.25487536019655127</v>
      </c>
      <c r="I340" s="1">
        <f>'Paste cell here'!X340</f>
        <v>0</v>
      </c>
      <c r="J340" s="1">
        <f>'Paste cell here'!Y340+'Paste cell here'!S340</f>
        <v>0</v>
      </c>
      <c r="K340" s="1">
        <f t="shared" si="10"/>
        <v>0</v>
      </c>
      <c r="L340" s="1">
        <f t="shared" si="11"/>
        <v>4.5314285714285116</v>
      </c>
      <c r="M340" s="1">
        <f t="array" ref="M340">IF(AND(A340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340&gt;=_xlfn.ANCHORARRAY(Sintesi!$C$9))+(_xlfn.ANCHORARRAY(Sintesi!$C$9)&gt;_xlfn.ANCHORARRAY(Sintesi!$C$10))*(A340&lt;=_xlfn.ANCHORARRAY(Sintesi!$C$10))+(_xlfn.ANCHORARRAY(Sintesi!$C$9)&lt;_xlfn.ANCHORARRAY(Sintesi!$C$10))*(A340&gt;=_xlfn.ANCHORARRAY(Sintesi!$C$9))*(A340&lt;=_xlfn.ANCHORARRAY(Sintesi!$C$10)),0)),0),A340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341&gt;=_xlfn.ANCHORARRAY(Sintesi!$C$9))+(_xlfn.ANCHORARRAY(Sintesi!$C$9)&gt;_xlfn.ANCHORARRAY(Sintesi!$C$10))*(A341&lt;=_xlfn.ANCHORARRAY(Sintesi!$C$10))+(_xlfn.ANCHORARRAY(Sintesi!$C$9)&lt;_xlfn.ANCHORARRAY(Sintesi!$C$10))*(A341&gt;=_xlfn.ANCHORARRAY(Sintesi!$C$9))*(A341&lt;=_xlfn.ANCHORARRAY(Sintesi!$C$10)),0)),0)),IF(L340&lt;_xlfn.IFNA(INDEX(_xlfn.ANCHORARRAY(Sintesi!$C$17),1,MATCH(1,(_xlfn.ANCHORARRAY(Sintesi!$C$9)&gt;_xlfn.ANCHORARRAY(Sintesi!$C$10))*(A339&gt;=_xlfn.ANCHORARRAY(Sintesi!$C$9))+(_xlfn.ANCHORARRAY(Sintesi!$C$9)&gt;_xlfn.ANCHORARRAY(Sintesi!$C$10))*(A339&lt;=_xlfn.ANCHORARRAY(Sintesi!$C$10))+(_xlfn.ANCHORARRAY(Sintesi!$C$9)&lt;_xlfn.ANCHORARRAY(Sintesi!$C$10))*(A339&gt;=_xlfn.ANCHORARRAY(Sintesi!$C$9))*(A339&lt;=_xlfn.ANCHORARRAY(Sintesi!$C$10)),0)),0),1,IF(L340&gt;=_xlfn.IFNA(INDEX(_xlfn.ANCHORARRAY(Sintesi!$C$18),1,MATCH(1,(_xlfn.ANCHORARRAY(Sintesi!$C$9)&gt;_xlfn.ANCHORARRAY(Sintesi!$C$10))*(A339&gt;=_xlfn.ANCHORARRAY(Sintesi!$C$9))+(_xlfn.ANCHORARRAY(Sintesi!$C$9)&gt;_xlfn.ANCHORARRAY(Sintesi!$C$10))*(A339&lt;=_xlfn.ANCHORARRAY(Sintesi!$C$10))+(_xlfn.ANCHORARRAY(Sintesi!$C$9)&lt;_xlfn.ANCHORARRAY(Sintesi!$C$10))*(A339&gt;=_xlfn.ANCHORARRAY(Sintesi!$C$9))*(A339&lt;=_xlfn.ANCHORARRAY(Sintesi!$C$10)),0)),0),0,1-(L340-_xlfn.IFNA(INDEX(_xlfn.ANCHORARRAY(Sintesi!$C$17),1,MATCH(1,(_xlfn.ANCHORARRAY(Sintesi!$C$9)&gt;_xlfn.ANCHORARRAY(Sintesi!$C$10))*(A339&gt;=_xlfn.ANCHORARRAY(Sintesi!$C$9))+(_xlfn.ANCHORARRAY(Sintesi!$C$9)&gt;_xlfn.ANCHORARRAY(Sintesi!$C$10))*(A339&lt;=_xlfn.ANCHORARRAY(Sintesi!$C$10))+(_xlfn.ANCHORARRAY(Sintesi!$C$9)&lt;_xlfn.ANCHORARRAY(Sintesi!$C$10))*(A339&gt;=_xlfn.ANCHORARRAY(Sintesi!$C$9))*(A339&lt;=_xlfn.ANCHORARRAY(Sintesi!$C$10)),0)),0))/(_xlfn.IFNA(INDEX(_xlfn.ANCHORARRAY(Sintesi!$C$18),1,MATCH(1,(_xlfn.ANCHORARRAY(Sintesi!$C$9)&gt;_xlfn.ANCHORARRAY(Sintesi!$C$10))*(A339&gt;=_xlfn.ANCHORARRAY(Sintesi!$C$9))+(_xlfn.ANCHORARRAY(Sintesi!$C$9)&gt;_xlfn.ANCHORARRAY(Sintesi!$C$10))*(A339&lt;=_xlfn.ANCHORARRAY(Sintesi!$C$10))+(_xlfn.ANCHORARRAY(Sintesi!$C$9)&lt;_xlfn.ANCHORARRAY(Sintesi!$C$10))*(A339&gt;=_xlfn.ANCHORARRAY(Sintesi!$C$9))*(A339&lt;=_xlfn.ANCHORARRAY(Sintesi!$C$10)),0)),0)-_xlfn.IFNA(INDEX(_xlfn.ANCHORARRAY(Sintesi!$C$17),1,MATCH(1,(_xlfn.ANCHORARRAY(Sintesi!$C$9)&gt;_xlfn.ANCHORARRAY(Sintesi!$C$10))*(A339&gt;=_xlfn.ANCHORARRAY(Sintesi!$C$9))+(_xlfn.ANCHORARRAY(Sintesi!$C$9)&gt;_xlfn.ANCHORARRAY(Sintesi!$C$10))*(A339&lt;=_xlfn.ANCHORARRAY(Sintesi!$C$10))+(_xlfn.ANCHORARRAY(Sintesi!$C$9)&lt;_xlfn.ANCHORARRAY(Sintesi!$C$10))*(A339&gt;=_xlfn.ANCHORARRAY(Sintesi!$C$9))*(A339&lt;=_xlfn.ANCHORARRAY(Sintesi!$C$10)),0)),0)))),0)</f>
        <v>0</v>
      </c>
    </row>
    <row r="341" spans="1:13">
      <c r="A341" s="1">
        <f>'Paste cell here'!A341</f>
        <v>340</v>
      </c>
      <c r="B341" s="2">
        <f>DATE(Sintesi!$C$4-1,12,31)+A341</f>
        <v>44536</v>
      </c>
      <c r="C341" s="34">
        <f t="array" ref="C341">_xlfn.IFNA(MATCH(1,((_xlfn.ANCHORARRAY(Sintesi!$C$9)&gt;_xlfn.ANCHORARRAY(Sintesi!$C$10))*(A341&gt;=_xlfn.ANCHORARRAY(Sintesi!$C$9))+(_xlfn.ANCHORARRAY(Sintesi!$C$9)&gt;_xlfn.ANCHORARRAY(Sintesi!$C$10))*(A341&lt;=_xlfn.ANCHORARRAY(Sintesi!$C$10))+(_xlfn.ANCHORARRAY(Sintesi!$C$9)&lt;_xlfn.ANCHORARRAY(Sintesi!$C$10))*(A341&gt;=_xlfn.ANCHORARRAY(Sintesi!$C$9))*(A341&lt;=_xlfn.ANCHORARRAY(Sintesi!$C$10)))*(_xlfn.ANCHORARRAY(Sintesi!$C$15)&gt;=0)+(_xlfn.ANCHORARRAY(Sintesi!$C$15)&lt;0),0),0)</f>
        <v>0</v>
      </c>
      <c r="D341" s="1">
        <f t="array" ref="D341">IF(ISBLANK($E342),IF(ISNUMBER($E340),IF($C341&gt;0,IF(($E341=INDEX(_xlfn.ANCHORARRAY(Sintesi!$C$14),1,$C341))*(INDEX(_xlfn.ANCHORARRAY(Sintesi!$C$15),1,$C341)&gt;0),0,IF(($E341=INDEX(_xlfn.ANCHORARRAY(Sintesi!$C$14),1,$C341))*(INDEX(_xlfn.ANCHORARRAY(Sintesi!$C$15),1,$C341)&lt;0)+($E341&gt;=$E340)*($E341&lt;=INDEX($E:$E,MATCH(TRUE,INDEX((ISNUMBER($E:$E)),0),0)))*($E341&gt;INDEX(_xlfn.ANCHORARRAY(Sintesi!$C$14),1,$C341))*($E341&lt;=INDEX(_xlfn.ANCHORARRAY(Sintesi!$C$15),1,$C341))*(INDEX(_xlfn.ANCHORARRAY(Sintesi!$C$15),1,$C341)&gt;0),1,IF(($E341&gt;=$E340)*($E341&lt;=INDEX($E:$E,MATCH(TRUE,INDEX((ISNUMBER($E:$E)),0),0)))*($E341&gt;INDEX(_xlfn.ANCHORARRAY(Sintesi!$C$14),1,$C341))*($E341&lt;INDEX(_xlfn.ANCHORARRAY(Sintesi!$C$16),1,$C341))*(INDEX(_xlfn.ANCHORARRAY(Sintesi!$C$15),1,$C341)&lt;0)+($E341&gt;=$E340)*($E341&lt;=INDEX($E:$E,MATCH(TRUE,INDEX((ISNUMBER($E:$E)),0),0)))*($E341&gt;INDEX(_xlfn.ANCHORARRAY(Sintesi!$C$15),1,$C341))*($E341&lt;INDEX(_xlfn.ANCHORARRAY(Sintesi!$C$16),1,$C341))*(INDEX(_xlfn.ANCHORARRAY(Sintesi!$C$15),1,$C341)&gt;0),2,IF($E341=(INDEX(_xlfn.ANCHORARRAY(Sintesi!$C$16),1,$C341)),3,4)))),0),IF($C341&gt;0,IF(($E341=INDEX(_xlfn.ANCHORARRAY(Sintesi!$C$14),1,$C341))*(INDEX(_xlfn.ANCHORARRAY(Sintesi!$C$15),1,$C341)&gt;0),0,IF(($E341=INDEX(_xlfn.ANCHORARRAY(Sintesi!$C$14),1,$C341))*(INDEX(_xlfn.ANCHORARRAY(Sintesi!$C$15),1,$C341)&lt;0)+($E341&gt;=LOOKUP(2,1/($E:$E&lt;&gt;""),$E:$E))*($E341&lt;=INDEX($E:$E,MATCH(TRUE,INDEX((ISNUMBER($E:$E)),0),0)))*($E341&gt;INDEX(_xlfn.ANCHORARRAY(Sintesi!$C$14),1,$C341))*($E341&lt;=INDEX(_xlfn.ANCHORARRAY(Sintesi!$C$15),1,$C341))*(INDEX(_xlfn.ANCHORARRAY(Sintesi!$C$15),1,$C341)&gt;0),1,IF(($E341&gt;=LOOKUP(2,1/($E:$E&lt;&gt;""),$E:$E))*($E341&lt;=INDEX($E:$E,MATCH(TRUE,INDEX((ISNUMBER($E:$E)),0),0)))*($E341&gt;INDEX(_xlfn.ANCHORARRAY(Sintesi!$C$14),1,$C341))*($E341&lt;INDEX(_xlfn.ANCHORARRAY(Sintesi!$C$16),1,$C341))*(INDEX(_xlfn.ANCHORARRAY(Sintesi!$C$15),1,$C341)&lt;0)+($E341&gt;=LOOKUP(2,1/($E:$E&lt;&gt;""),$E:$E))*($E341&lt;=INDEX($E:$E,MATCH(TRUE,INDEX((ISNUMBER($E:$E)),0),0)))*($E341&gt;INDEX(_xlfn.ANCHORARRAY(Sintesi!$C$15),1,$C341))*($E341&lt;INDEX(_xlfn.ANCHORARRAY(Sintesi!$C$16),1,$C341))*(INDEX(_xlfn.ANCHORARRAY(Sintesi!$C$15),1,$C341)&gt;0),2,IF($E341=(INDEX(_xlfn.ANCHORARRAY(Sintesi!$C$16),1,$C341)),3,4)))),0)),IF(ISNUMBER($E340),IF($C341&gt;0,IF(($E341=INDEX(_xlfn.ANCHORARRAY(Sintesi!$C$14),1,$C341))*(INDEX(_xlfn.ANCHORARRAY(Sintesi!$C$15),1,$C341)&gt;0),0,IF(($E341=INDEX(_xlfn.ANCHORARRAY(Sintesi!$C$14),1,$C341))*(INDEX(_xlfn.ANCHORARRAY(Sintesi!$C$15),1,$C341)&lt;0)+($E341&gt;=$E340)*($E341&lt;=$E342)*($E341&gt;INDEX(_xlfn.ANCHORARRAY(Sintesi!$C$14),1,$C341))*($E341&lt;=INDEX(_xlfn.ANCHORARRAY(Sintesi!$C$15),1,$C341))*(INDEX(_xlfn.ANCHORARRAY(Sintesi!$C$15),1,$C341)&gt;0),1,IF(($E341&gt;=$E340)*($E341&lt;=$E342)*($E341&gt;INDEX(_xlfn.ANCHORARRAY(Sintesi!$C$14),1,$C341))*($E341&lt;INDEX(_xlfn.ANCHORARRAY(Sintesi!$C$16),1,$C341))*(INDEX(_xlfn.ANCHORARRAY(Sintesi!$C$15),1,$C341)&lt;0)+($E341&gt;=$E340)*($E341&lt;=$E342)*($E341&gt;INDEX(_xlfn.ANCHORARRAY(Sintesi!$C$15),1,$C341))*($E341&lt;INDEX(_xlfn.ANCHORARRAY(Sintesi!$C$16),1,$C341))*(INDEX(_xlfn.ANCHORARRAY(Sintesi!$C$15),1,$C341)&gt;0),2,IF($E341=(INDEX(_xlfn.ANCHORARRAY(Sintesi!$C$16),1,$C341)),3,4)))),0),IF($C341&gt;0,IF(($E341=INDEX(_xlfn.ANCHORARRAY(Sintesi!$C$14),1,$C341))*(INDEX(_xlfn.ANCHORARRAY(Sintesi!$C$15),1,$C341)&gt;0),0,IF(($E341=INDEX(_xlfn.ANCHORARRAY(Sintesi!$C$14),1,$C341))*(INDEX(_xlfn.ANCHORARRAY(Sintesi!$C$15),1,$C341)&lt;0)+($E341&gt;=LOOKUP(2,1/($E:$E&lt;&gt;""),$E:$E))*($E341&lt;=$E342)*($E341&gt;INDEX(_xlfn.ANCHORARRAY(Sintesi!$C$14),1,$C341))*($E341&lt;=INDEX(_xlfn.ANCHORARRAY(Sintesi!$C$15),1,$C341))*(INDEX(_xlfn.ANCHORARRAY(Sintesi!$C$15),1,$C341)&gt;0),1,IF(($E341&gt;=LOOKUP(2,1/($E:$E&lt;&gt;""),$E:$E))*($E341&lt;=$E342)*($E341&gt;INDEX(_xlfn.ANCHORARRAY(Sintesi!$C$14),1,$C341))*($E341&lt;INDEX(_xlfn.ANCHORARRAY(Sintesi!$C$16),1,$C341))*(INDEX(_xlfn.ANCHORARRAY(Sintesi!$C$15),1,$C341)&lt;0)+($E341&gt;=LOOKUP(2,1/($E:$E&lt;&gt;""),$E:$E))*($E341&lt;=$E342)*($E341&gt;INDEX(_xlfn.ANCHORARRAY(Sintesi!$C$15),1,$C341))*($E341&lt;INDEX(_xlfn.ANCHORARRAY(Sintesi!$C$16),1,$C341))*(INDEX(_xlfn.ANCHORARRAY(Sintesi!$C$15),1,$C341)&gt;0),2,IF($E341=(INDEX(_xlfn.ANCHORARRAY(Sintesi!$C$16),1,$C341)),3,4)))),0)))</f>
        <v>0</v>
      </c>
      <c r="E341" s="1">
        <f>'Paste cell here'!F341</f>
        <v>0</v>
      </c>
      <c r="F341" s="1">
        <f>'Paste cell here'!C341</f>
        <v>6.2999999999999279</v>
      </c>
      <c r="G341" s="1">
        <f>'Paste cell here'!D341</f>
        <v>-1.2199999999999647</v>
      </c>
      <c r="H341" s="1">
        <f>'Paste cell here'!E341</f>
        <v>0.15912271310551335</v>
      </c>
      <c r="I341" s="1">
        <f>'Paste cell here'!X341</f>
        <v>0</v>
      </c>
      <c r="J341" s="1">
        <f>'Paste cell here'!Y341+'Paste cell here'!S341</f>
        <v>0</v>
      </c>
      <c r="K341" s="1">
        <f t="shared" si="10"/>
        <v>0</v>
      </c>
      <c r="L341" s="1">
        <f t="shared" si="11"/>
        <v>3.0771428571428308</v>
      </c>
      <c r="M341" s="1">
        <f t="array" ref="M341">IF(AND(A341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341&gt;=_xlfn.ANCHORARRAY(Sintesi!$C$9))+(_xlfn.ANCHORARRAY(Sintesi!$C$9)&gt;_xlfn.ANCHORARRAY(Sintesi!$C$10))*(A341&lt;=_xlfn.ANCHORARRAY(Sintesi!$C$10))+(_xlfn.ANCHORARRAY(Sintesi!$C$9)&lt;_xlfn.ANCHORARRAY(Sintesi!$C$10))*(A341&gt;=_xlfn.ANCHORARRAY(Sintesi!$C$9))*(A341&lt;=_xlfn.ANCHORARRAY(Sintesi!$C$10)),0)),0),A341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342&gt;=_xlfn.ANCHORARRAY(Sintesi!$C$9))+(_xlfn.ANCHORARRAY(Sintesi!$C$9)&gt;_xlfn.ANCHORARRAY(Sintesi!$C$10))*(A342&lt;=_xlfn.ANCHORARRAY(Sintesi!$C$10))+(_xlfn.ANCHORARRAY(Sintesi!$C$9)&lt;_xlfn.ANCHORARRAY(Sintesi!$C$10))*(A342&gt;=_xlfn.ANCHORARRAY(Sintesi!$C$9))*(A342&lt;=_xlfn.ANCHORARRAY(Sintesi!$C$10)),0)),0)),IF(L341&lt;_xlfn.IFNA(INDEX(_xlfn.ANCHORARRAY(Sintesi!$C$17),1,MATCH(1,(_xlfn.ANCHORARRAY(Sintesi!$C$9)&gt;_xlfn.ANCHORARRAY(Sintesi!$C$10))*(A340&gt;=_xlfn.ANCHORARRAY(Sintesi!$C$9))+(_xlfn.ANCHORARRAY(Sintesi!$C$9)&gt;_xlfn.ANCHORARRAY(Sintesi!$C$10))*(A340&lt;=_xlfn.ANCHORARRAY(Sintesi!$C$10))+(_xlfn.ANCHORARRAY(Sintesi!$C$9)&lt;_xlfn.ANCHORARRAY(Sintesi!$C$10))*(A340&gt;=_xlfn.ANCHORARRAY(Sintesi!$C$9))*(A340&lt;=_xlfn.ANCHORARRAY(Sintesi!$C$10)),0)),0),1,IF(L341&gt;=_xlfn.IFNA(INDEX(_xlfn.ANCHORARRAY(Sintesi!$C$18),1,MATCH(1,(_xlfn.ANCHORARRAY(Sintesi!$C$9)&gt;_xlfn.ANCHORARRAY(Sintesi!$C$10))*(A340&gt;=_xlfn.ANCHORARRAY(Sintesi!$C$9))+(_xlfn.ANCHORARRAY(Sintesi!$C$9)&gt;_xlfn.ANCHORARRAY(Sintesi!$C$10))*(A340&lt;=_xlfn.ANCHORARRAY(Sintesi!$C$10))+(_xlfn.ANCHORARRAY(Sintesi!$C$9)&lt;_xlfn.ANCHORARRAY(Sintesi!$C$10))*(A340&gt;=_xlfn.ANCHORARRAY(Sintesi!$C$9))*(A340&lt;=_xlfn.ANCHORARRAY(Sintesi!$C$10)),0)),0),0,1-(L341-_xlfn.IFNA(INDEX(_xlfn.ANCHORARRAY(Sintesi!$C$17),1,MATCH(1,(_xlfn.ANCHORARRAY(Sintesi!$C$9)&gt;_xlfn.ANCHORARRAY(Sintesi!$C$10))*(A340&gt;=_xlfn.ANCHORARRAY(Sintesi!$C$9))+(_xlfn.ANCHORARRAY(Sintesi!$C$9)&gt;_xlfn.ANCHORARRAY(Sintesi!$C$10))*(A340&lt;=_xlfn.ANCHORARRAY(Sintesi!$C$10))+(_xlfn.ANCHORARRAY(Sintesi!$C$9)&lt;_xlfn.ANCHORARRAY(Sintesi!$C$10))*(A340&gt;=_xlfn.ANCHORARRAY(Sintesi!$C$9))*(A340&lt;=_xlfn.ANCHORARRAY(Sintesi!$C$10)),0)),0))/(_xlfn.IFNA(INDEX(_xlfn.ANCHORARRAY(Sintesi!$C$18),1,MATCH(1,(_xlfn.ANCHORARRAY(Sintesi!$C$9)&gt;_xlfn.ANCHORARRAY(Sintesi!$C$10))*(A340&gt;=_xlfn.ANCHORARRAY(Sintesi!$C$9))+(_xlfn.ANCHORARRAY(Sintesi!$C$9)&gt;_xlfn.ANCHORARRAY(Sintesi!$C$10))*(A340&lt;=_xlfn.ANCHORARRAY(Sintesi!$C$10))+(_xlfn.ANCHORARRAY(Sintesi!$C$9)&lt;_xlfn.ANCHORARRAY(Sintesi!$C$10))*(A340&gt;=_xlfn.ANCHORARRAY(Sintesi!$C$9))*(A340&lt;=_xlfn.ANCHORARRAY(Sintesi!$C$10)),0)),0)-_xlfn.IFNA(INDEX(_xlfn.ANCHORARRAY(Sintesi!$C$17),1,MATCH(1,(_xlfn.ANCHORARRAY(Sintesi!$C$9)&gt;_xlfn.ANCHORARRAY(Sintesi!$C$10))*(A340&gt;=_xlfn.ANCHORARRAY(Sintesi!$C$9))+(_xlfn.ANCHORARRAY(Sintesi!$C$9)&gt;_xlfn.ANCHORARRAY(Sintesi!$C$10))*(A340&lt;=_xlfn.ANCHORARRAY(Sintesi!$C$10))+(_xlfn.ANCHORARRAY(Sintesi!$C$9)&lt;_xlfn.ANCHORARRAY(Sintesi!$C$10))*(A340&gt;=_xlfn.ANCHORARRAY(Sintesi!$C$9))*(A340&lt;=_xlfn.ANCHORARRAY(Sintesi!$C$10)),0)),0)))),0)</f>
        <v>0</v>
      </c>
    </row>
    <row r="342" spans="1:13">
      <c r="A342" s="1">
        <f>'Paste cell here'!A342</f>
        <v>341</v>
      </c>
      <c r="B342" s="2">
        <f>DATE(Sintesi!$C$4-1,12,31)+A342</f>
        <v>44537</v>
      </c>
      <c r="C342" s="34">
        <f t="array" ref="C342">_xlfn.IFNA(MATCH(1,((_xlfn.ANCHORARRAY(Sintesi!$C$9)&gt;_xlfn.ANCHORARRAY(Sintesi!$C$10))*(A342&gt;=_xlfn.ANCHORARRAY(Sintesi!$C$9))+(_xlfn.ANCHORARRAY(Sintesi!$C$9)&gt;_xlfn.ANCHORARRAY(Sintesi!$C$10))*(A342&lt;=_xlfn.ANCHORARRAY(Sintesi!$C$10))+(_xlfn.ANCHORARRAY(Sintesi!$C$9)&lt;_xlfn.ANCHORARRAY(Sintesi!$C$10))*(A342&gt;=_xlfn.ANCHORARRAY(Sintesi!$C$9))*(A342&lt;=_xlfn.ANCHORARRAY(Sintesi!$C$10)))*(_xlfn.ANCHORARRAY(Sintesi!$C$15)&gt;=0)+(_xlfn.ANCHORARRAY(Sintesi!$C$15)&lt;0),0),0)</f>
        <v>0</v>
      </c>
      <c r="D342" s="1">
        <f t="array" ref="D342">IF(ISBLANK($E343),IF(ISNUMBER($E341),IF($C342&gt;0,IF(($E342=INDEX(_xlfn.ANCHORARRAY(Sintesi!$C$14),1,$C342))*(INDEX(_xlfn.ANCHORARRAY(Sintesi!$C$15),1,$C342)&gt;0),0,IF(($E342=INDEX(_xlfn.ANCHORARRAY(Sintesi!$C$14),1,$C342))*(INDEX(_xlfn.ANCHORARRAY(Sintesi!$C$15),1,$C342)&lt;0)+($E342&gt;=$E341)*($E342&lt;=INDEX($E:$E,MATCH(TRUE,INDEX((ISNUMBER($E:$E)),0),0)))*($E342&gt;INDEX(_xlfn.ANCHORARRAY(Sintesi!$C$14),1,$C342))*($E342&lt;=INDEX(_xlfn.ANCHORARRAY(Sintesi!$C$15),1,$C342))*(INDEX(_xlfn.ANCHORARRAY(Sintesi!$C$15),1,$C342)&gt;0),1,IF(($E342&gt;=$E341)*($E342&lt;=INDEX($E:$E,MATCH(TRUE,INDEX((ISNUMBER($E:$E)),0),0)))*($E342&gt;INDEX(_xlfn.ANCHORARRAY(Sintesi!$C$14),1,$C342))*($E342&lt;INDEX(_xlfn.ANCHORARRAY(Sintesi!$C$16),1,$C342))*(INDEX(_xlfn.ANCHORARRAY(Sintesi!$C$15),1,$C342)&lt;0)+($E342&gt;=$E341)*($E342&lt;=INDEX($E:$E,MATCH(TRUE,INDEX((ISNUMBER($E:$E)),0),0)))*($E342&gt;INDEX(_xlfn.ANCHORARRAY(Sintesi!$C$15),1,$C342))*($E342&lt;INDEX(_xlfn.ANCHORARRAY(Sintesi!$C$16),1,$C342))*(INDEX(_xlfn.ANCHORARRAY(Sintesi!$C$15),1,$C342)&gt;0),2,IF($E342=(INDEX(_xlfn.ANCHORARRAY(Sintesi!$C$16),1,$C342)),3,4)))),0),IF($C342&gt;0,IF(($E342=INDEX(_xlfn.ANCHORARRAY(Sintesi!$C$14),1,$C342))*(INDEX(_xlfn.ANCHORARRAY(Sintesi!$C$15),1,$C342)&gt;0),0,IF(($E342=INDEX(_xlfn.ANCHORARRAY(Sintesi!$C$14),1,$C342))*(INDEX(_xlfn.ANCHORARRAY(Sintesi!$C$15),1,$C342)&lt;0)+($E342&gt;=LOOKUP(2,1/($E:$E&lt;&gt;""),$E:$E))*($E342&lt;=INDEX($E:$E,MATCH(TRUE,INDEX((ISNUMBER($E:$E)),0),0)))*($E342&gt;INDEX(_xlfn.ANCHORARRAY(Sintesi!$C$14),1,$C342))*($E342&lt;=INDEX(_xlfn.ANCHORARRAY(Sintesi!$C$15),1,$C342))*(INDEX(_xlfn.ANCHORARRAY(Sintesi!$C$15),1,$C342)&gt;0),1,IF(($E342&gt;=LOOKUP(2,1/($E:$E&lt;&gt;""),$E:$E))*($E342&lt;=INDEX($E:$E,MATCH(TRUE,INDEX((ISNUMBER($E:$E)),0),0)))*($E342&gt;INDEX(_xlfn.ANCHORARRAY(Sintesi!$C$14),1,$C342))*($E342&lt;INDEX(_xlfn.ANCHORARRAY(Sintesi!$C$16),1,$C342))*(INDEX(_xlfn.ANCHORARRAY(Sintesi!$C$15),1,$C342)&lt;0)+($E342&gt;=LOOKUP(2,1/($E:$E&lt;&gt;""),$E:$E))*($E342&lt;=INDEX($E:$E,MATCH(TRUE,INDEX((ISNUMBER($E:$E)),0),0)))*($E342&gt;INDEX(_xlfn.ANCHORARRAY(Sintesi!$C$15),1,$C342))*($E342&lt;INDEX(_xlfn.ANCHORARRAY(Sintesi!$C$16),1,$C342))*(INDEX(_xlfn.ANCHORARRAY(Sintesi!$C$15),1,$C342)&gt;0),2,IF($E342=(INDEX(_xlfn.ANCHORARRAY(Sintesi!$C$16),1,$C342)),3,4)))),0)),IF(ISNUMBER($E341),IF($C342&gt;0,IF(($E342=INDEX(_xlfn.ANCHORARRAY(Sintesi!$C$14),1,$C342))*(INDEX(_xlfn.ANCHORARRAY(Sintesi!$C$15),1,$C342)&gt;0),0,IF(($E342=INDEX(_xlfn.ANCHORARRAY(Sintesi!$C$14),1,$C342))*(INDEX(_xlfn.ANCHORARRAY(Sintesi!$C$15),1,$C342)&lt;0)+($E342&gt;=$E341)*($E342&lt;=$E343)*($E342&gt;INDEX(_xlfn.ANCHORARRAY(Sintesi!$C$14),1,$C342))*($E342&lt;=INDEX(_xlfn.ANCHORARRAY(Sintesi!$C$15),1,$C342))*(INDEX(_xlfn.ANCHORARRAY(Sintesi!$C$15),1,$C342)&gt;0),1,IF(($E342&gt;=$E341)*($E342&lt;=$E343)*($E342&gt;INDEX(_xlfn.ANCHORARRAY(Sintesi!$C$14),1,$C342))*($E342&lt;INDEX(_xlfn.ANCHORARRAY(Sintesi!$C$16),1,$C342))*(INDEX(_xlfn.ANCHORARRAY(Sintesi!$C$15),1,$C342)&lt;0)+($E342&gt;=$E341)*($E342&lt;=$E343)*($E342&gt;INDEX(_xlfn.ANCHORARRAY(Sintesi!$C$15),1,$C342))*($E342&lt;INDEX(_xlfn.ANCHORARRAY(Sintesi!$C$16),1,$C342))*(INDEX(_xlfn.ANCHORARRAY(Sintesi!$C$15),1,$C342)&gt;0),2,IF($E342=(INDEX(_xlfn.ANCHORARRAY(Sintesi!$C$16),1,$C342)),3,4)))),0),IF($C342&gt;0,IF(($E342=INDEX(_xlfn.ANCHORARRAY(Sintesi!$C$14),1,$C342))*(INDEX(_xlfn.ANCHORARRAY(Sintesi!$C$15),1,$C342)&gt;0),0,IF(($E342=INDEX(_xlfn.ANCHORARRAY(Sintesi!$C$14),1,$C342))*(INDEX(_xlfn.ANCHORARRAY(Sintesi!$C$15),1,$C342)&lt;0)+($E342&gt;=LOOKUP(2,1/($E:$E&lt;&gt;""),$E:$E))*($E342&lt;=$E343)*($E342&gt;INDEX(_xlfn.ANCHORARRAY(Sintesi!$C$14),1,$C342))*($E342&lt;=INDEX(_xlfn.ANCHORARRAY(Sintesi!$C$15),1,$C342))*(INDEX(_xlfn.ANCHORARRAY(Sintesi!$C$15),1,$C342)&gt;0),1,IF(($E342&gt;=LOOKUP(2,1/($E:$E&lt;&gt;""),$E:$E))*($E342&lt;=$E343)*($E342&gt;INDEX(_xlfn.ANCHORARRAY(Sintesi!$C$14),1,$C342))*($E342&lt;INDEX(_xlfn.ANCHORARRAY(Sintesi!$C$16),1,$C342))*(INDEX(_xlfn.ANCHORARRAY(Sintesi!$C$15),1,$C342)&lt;0)+($E342&gt;=LOOKUP(2,1/($E:$E&lt;&gt;""),$E:$E))*($E342&lt;=$E343)*($E342&gt;INDEX(_xlfn.ANCHORARRAY(Sintesi!$C$15),1,$C342))*($E342&lt;INDEX(_xlfn.ANCHORARRAY(Sintesi!$C$16),1,$C342))*(INDEX(_xlfn.ANCHORARRAY(Sintesi!$C$15),1,$C342)&gt;0),2,IF($E342=(INDEX(_xlfn.ANCHORARRAY(Sintesi!$C$16),1,$C342)),3,4)))),0)))</f>
        <v>0</v>
      </c>
      <c r="E342" s="1">
        <f>'Paste cell here'!F342</f>
        <v>0</v>
      </c>
      <c r="F342" s="1">
        <f>'Paste cell here'!C342</f>
        <v>8.8799999999998871</v>
      </c>
      <c r="G342" s="1">
        <f>'Paste cell here'!D342</f>
        <v>-2.359999999999947</v>
      </c>
      <c r="H342" s="1">
        <f>'Paste cell here'!E342</f>
        <v>0.28617791296096129</v>
      </c>
      <c r="I342" s="1">
        <f>'Paste cell here'!X342</f>
        <v>0</v>
      </c>
      <c r="J342" s="1">
        <f>'Paste cell here'!Y342+'Paste cell here'!S342</f>
        <v>0</v>
      </c>
      <c r="K342" s="1">
        <f t="shared" si="10"/>
        <v>0</v>
      </c>
      <c r="L342" s="1">
        <f t="shared" si="11"/>
        <v>4.0628571428571005</v>
      </c>
      <c r="M342" s="1">
        <f t="array" ref="M342">IF(AND(A342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342&gt;=_xlfn.ANCHORARRAY(Sintesi!$C$9))+(_xlfn.ANCHORARRAY(Sintesi!$C$9)&gt;_xlfn.ANCHORARRAY(Sintesi!$C$10))*(A342&lt;=_xlfn.ANCHORARRAY(Sintesi!$C$10))+(_xlfn.ANCHORARRAY(Sintesi!$C$9)&lt;_xlfn.ANCHORARRAY(Sintesi!$C$10))*(A342&gt;=_xlfn.ANCHORARRAY(Sintesi!$C$9))*(A342&lt;=_xlfn.ANCHORARRAY(Sintesi!$C$10)),0)),0),A342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343&gt;=_xlfn.ANCHORARRAY(Sintesi!$C$9))+(_xlfn.ANCHORARRAY(Sintesi!$C$9)&gt;_xlfn.ANCHORARRAY(Sintesi!$C$10))*(A343&lt;=_xlfn.ANCHORARRAY(Sintesi!$C$10))+(_xlfn.ANCHORARRAY(Sintesi!$C$9)&lt;_xlfn.ANCHORARRAY(Sintesi!$C$10))*(A343&gt;=_xlfn.ANCHORARRAY(Sintesi!$C$9))*(A343&lt;=_xlfn.ANCHORARRAY(Sintesi!$C$10)),0)),0)),IF(L342&lt;_xlfn.IFNA(INDEX(_xlfn.ANCHORARRAY(Sintesi!$C$17),1,MATCH(1,(_xlfn.ANCHORARRAY(Sintesi!$C$9)&gt;_xlfn.ANCHORARRAY(Sintesi!$C$10))*(A341&gt;=_xlfn.ANCHORARRAY(Sintesi!$C$9))+(_xlfn.ANCHORARRAY(Sintesi!$C$9)&gt;_xlfn.ANCHORARRAY(Sintesi!$C$10))*(A341&lt;=_xlfn.ANCHORARRAY(Sintesi!$C$10))+(_xlfn.ANCHORARRAY(Sintesi!$C$9)&lt;_xlfn.ANCHORARRAY(Sintesi!$C$10))*(A341&gt;=_xlfn.ANCHORARRAY(Sintesi!$C$9))*(A341&lt;=_xlfn.ANCHORARRAY(Sintesi!$C$10)),0)),0),1,IF(L342&gt;=_xlfn.IFNA(INDEX(_xlfn.ANCHORARRAY(Sintesi!$C$18),1,MATCH(1,(_xlfn.ANCHORARRAY(Sintesi!$C$9)&gt;_xlfn.ANCHORARRAY(Sintesi!$C$10))*(A341&gt;=_xlfn.ANCHORARRAY(Sintesi!$C$9))+(_xlfn.ANCHORARRAY(Sintesi!$C$9)&gt;_xlfn.ANCHORARRAY(Sintesi!$C$10))*(A341&lt;=_xlfn.ANCHORARRAY(Sintesi!$C$10))+(_xlfn.ANCHORARRAY(Sintesi!$C$9)&lt;_xlfn.ANCHORARRAY(Sintesi!$C$10))*(A341&gt;=_xlfn.ANCHORARRAY(Sintesi!$C$9))*(A341&lt;=_xlfn.ANCHORARRAY(Sintesi!$C$10)),0)),0),0,1-(L342-_xlfn.IFNA(INDEX(_xlfn.ANCHORARRAY(Sintesi!$C$17),1,MATCH(1,(_xlfn.ANCHORARRAY(Sintesi!$C$9)&gt;_xlfn.ANCHORARRAY(Sintesi!$C$10))*(A341&gt;=_xlfn.ANCHORARRAY(Sintesi!$C$9))+(_xlfn.ANCHORARRAY(Sintesi!$C$9)&gt;_xlfn.ANCHORARRAY(Sintesi!$C$10))*(A341&lt;=_xlfn.ANCHORARRAY(Sintesi!$C$10))+(_xlfn.ANCHORARRAY(Sintesi!$C$9)&lt;_xlfn.ANCHORARRAY(Sintesi!$C$10))*(A341&gt;=_xlfn.ANCHORARRAY(Sintesi!$C$9))*(A341&lt;=_xlfn.ANCHORARRAY(Sintesi!$C$10)),0)),0))/(_xlfn.IFNA(INDEX(_xlfn.ANCHORARRAY(Sintesi!$C$18),1,MATCH(1,(_xlfn.ANCHORARRAY(Sintesi!$C$9)&gt;_xlfn.ANCHORARRAY(Sintesi!$C$10))*(A341&gt;=_xlfn.ANCHORARRAY(Sintesi!$C$9))+(_xlfn.ANCHORARRAY(Sintesi!$C$9)&gt;_xlfn.ANCHORARRAY(Sintesi!$C$10))*(A341&lt;=_xlfn.ANCHORARRAY(Sintesi!$C$10))+(_xlfn.ANCHORARRAY(Sintesi!$C$9)&lt;_xlfn.ANCHORARRAY(Sintesi!$C$10))*(A341&gt;=_xlfn.ANCHORARRAY(Sintesi!$C$9))*(A341&lt;=_xlfn.ANCHORARRAY(Sintesi!$C$10)),0)),0)-_xlfn.IFNA(INDEX(_xlfn.ANCHORARRAY(Sintesi!$C$17),1,MATCH(1,(_xlfn.ANCHORARRAY(Sintesi!$C$9)&gt;_xlfn.ANCHORARRAY(Sintesi!$C$10))*(A341&gt;=_xlfn.ANCHORARRAY(Sintesi!$C$9))+(_xlfn.ANCHORARRAY(Sintesi!$C$9)&gt;_xlfn.ANCHORARRAY(Sintesi!$C$10))*(A341&lt;=_xlfn.ANCHORARRAY(Sintesi!$C$10))+(_xlfn.ANCHORARRAY(Sintesi!$C$9)&lt;_xlfn.ANCHORARRAY(Sintesi!$C$10))*(A341&gt;=_xlfn.ANCHORARRAY(Sintesi!$C$9))*(A341&lt;=_xlfn.ANCHORARRAY(Sintesi!$C$10)),0)),0)))),0)</f>
        <v>0</v>
      </c>
    </row>
    <row r="343" spans="1:13">
      <c r="A343" s="1">
        <f>'Paste cell here'!A343</f>
        <v>342</v>
      </c>
      <c r="B343" s="2">
        <f>DATE(Sintesi!$C$4-1,12,31)+A343</f>
        <v>44538</v>
      </c>
      <c r="C343" s="34">
        <f t="array" ref="C343">_xlfn.IFNA(MATCH(1,((_xlfn.ANCHORARRAY(Sintesi!$C$9)&gt;_xlfn.ANCHORARRAY(Sintesi!$C$10))*(A343&gt;=_xlfn.ANCHORARRAY(Sintesi!$C$9))+(_xlfn.ANCHORARRAY(Sintesi!$C$9)&gt;_xlfn.ANCHORARRAY(Sintesi!$C$10))*(A343&lt;=_xlfn.ANCHORARRAY(Sintesi!$C$10))+(_xlfn.ANCHORARRAY(Sintesi!$C$9)&lt;_xlfn.ANCHORARRAY(Sintesi!$C$10))*(A343&gt;=_xlfn.ANCHORARRAY(Sintesi!$C$9))*(A343&lt;=_xlfn.ANCHORARRAY(Sintesi!$C$10)))*(_xlfn.ANCHORARRAY(Sintesi!$C$15)&gt;=0)+(_xlfn.ANCHORARRAY(Sintesi!$C$15)&lt;0),0),0)</f>
        <v>0</v>
      </c>
      <c r="D343" s="1">
        <f t="array" ref="D343">IF(ISBLANK($E344),IF(ISNUMBER($E342),IF($C343&gt;0,IF(($E343=INDEX(_xlfn.ANCHORARRAY(Sintesi!$C$14),1,$C343))*(INDEX(_xlfn.ANCHORARRAY(Sintesi!$C$15),1,$C343)&gt;0),0,IF(($E343=INDEX(_xlfn.ANCHORARRAY(Sintesi!$C$14),1,$C343))*(INDEX(_xlfn.ANCHORARRAY(Sintesi!$C$15),1,$C343)&lt;0)+($E343&gt;=$E342)*($E343&lt;=INDEX($E:$E,MATCH(TRUE,INDEX((ISNUMBER($E:$E)),0),0)))*($E343&gt;INDEX(_xlfn.ANCHORARRAY(Sintesi!$C$14),1,$C343))*($E343&lt;=INDEX(_xlfn.ANCHORARRAY(Sintesi!$C$15),1,$C343))*(INDEX(_xlfn.ANCHORARRAY(Sintesi!$C$15),1,$C343)&gt;0),1,IF(($E343&gt;=$E342)*($E343&lt;=INDEX($E:$E,MATCH(TRUE,INDEX((ISNUMBER($E:$E)),0),0)))*($E343&gt;INDEX(_xlfn.ANCHORARRAY(Sintesi!$C$14),1,$C343))*($E343&lt;INDEX(_xlfn.ANCHORARRAY(Sintesi!$C$16),1,$C343))*(INDEX(_xlfn.ANCHORARRAY(Sintesi!$C$15),1,$C343)&lt;0)+($E343&gt;=$E342)*($E343&lt;=INDEX($E:$E,MATCH(TRUE,INDEX((ISNUMBER($E:$E)),0),0)))*($E343&gt;INDEX(_xlfn.ANCHORARRAY(Sintesi!$C$15),1,$C343))*($E343&lt;INDEX(_xlfn.ANCHORARRAY(Sintesi!$C$16),1,$C343))*(INDEX(_xlfn.ANCHORARRAY(Sintesi!$C$15),1,$C343)&gt;0),2,IF($E343=(INDEX(_xlfn.ANCHORARRAY(Sintesi!$C$16),1,$C343)),3,4)))),0),IF($C343&gt;0,IF(($E343=INDEX(_xlfn.ANCHORARRAY(Sintesi!$C$14),1,$C343))*(INDEX(_xlfn.ANCHORARRAY(Sintesi!$C$15),1,$C343)&gt;0),0,IF(($E343=INDEX(_xlfn.ANCHORARRAY(Sintesi!$C$14),1,$C343))*(INDEX(_xlfn.ANCHORARRAY(Sintesi!$C$15),1,$C343)&lt;0)+($E343&gt;=LOOKUP(2,1/($E:$E&lt;&gt;""),$E:$E))*($E343&lt;=INDEX($E:$E,MATCH(TRUE,INDEX((ISNUMBER($E:$E)),0),0)))*($E343&gt;INDEX(_xlfn.ANCHORARRAY(Sintesi!$C$14),1,$C343))*($E343&lt;=INDEX(_xlfn.ANCHORARRAY(Sintesi!$C$15),1,$C343))*(INDEX(_xlfn.ANCHORARRAY(Sintesi!$C$15),1,$C343)&gt;0),1,IF(($E343&gt;=LOOKUP(2,1/($E:$E&lt;&gt;""),$E:$E))*($E343&lt;=INDEX($E:$E,MATCH(TRUE,INDEX((ISNUMBER($E:$E)),0),0)))*($E343&gt;INDEX(_xlfn.ANCHORARRAY(Sintesi!$C$14),1,$C343))*($E343&lt;INDEX(_xlfn.ANCHORARRAY(Sintesi!$C$16),1,$C343))*(INDEX(_xlfn.ANCHORARRAY(Sintesi!$C$15),1,$C343)&lt;0)+($E343&gt;=LOOKUP(2,1/($E:$E&lt;&gt;""),$E:$E))*($E343&lt;=INDEX($E:$E,MATCH(TRUE,INDEX((ISNUMBER($E:$E)),0),0)))*($E343&gt;INDEX(_xlfn.ANCHORARRAY(Sintesi!$C$15),1,$C343))*($E343&lt;INDEX(_xlfn.ANCHORARRAY(Sintesi!$C$16),1,$C343))*(INDEX(_xlfn.ANCHORARRAY(Sintesi!$C$15),1,$C343)&gt;0),2,IF($E343=(INDEX(_xlfn.ANCHORARRAY(Sintesi!$C$16),1,$C343)),3,4)))),0)),IF(ISNUMBER($E342),IF($C343&gt;0,IF(($E343=INDEX(_xlfn.ANCHORARRAY(Sintesi!$C$14),1,$C343))*(INDEX(_xlfn.ANCHORARRAY(Sintesi!$C$15),1,$C343)&gt;0),0,IF(($E343=INDEX(_xlfn.ANCHORARRAY(Sintesi!$C$14),1,$C343))*(INDEX(_xlfn.ANCHORARRAY(Sintesi!$C$15),1,$C343)&lt;0)+($E343&gt;=$E342)*($E343&lt;=$E344)*($E343&gt;INDEX(_xlfn.ANCHORARRAY(Sintesi!$C$14),1,$C343))*($E343&lt;=INDEX(_xlfn.ANCHORARRAY(Sintesi!$C$15),1,$C343))*(INDEX(_xlfn.ANCHORARRAY(Sintesi!$C$15),1,$C343)&gt;0),1,IF(($E343&gt;=$E342)*($E343&lt;=$E344)*($E343&gt;INDEX(_xlfn.ANCHORARRAY(Sintesi!$C$14),1,$C343))*($E343&lt;INDEX(_xlfn.ANCHORARRAY(Sintesi!$C$16),1,$C343))*(INDEX(_xlfn.ANCHORARRAY(Sintesi!$C$15),1,$C343)&lt;0)+($E343&gt;=$E342)*($E343&lt;=$E344)*($E343&gt;INDEX(_xlfn.ANCHORARRAY(Sintesi!$C$15),1,$C343))*($E343&lt;INDEX(_xlfn.ANCHORARRAY(Sintesi!$C$16),1,$C343))*(INDEX(_xlfn.ANCHORARRAY(Sintesi!$C$15),1,$C343)&gt;0),2,IF($E343=(INDEX(_xlfn.ANCHORARRAY(Sintesi!$C$16),1,$C343)),3,4)))),0),IF($C343&gt;0,IF(($E343=INDEX(_xlfn.ANCHORARRAY(Sintesi!$C$14),1,$C343))*(INDEX(_xlfn.ANCHORARRAY(Sintesi!$C$15),1,$C343)&gt;0),0,IF(($E343=INDEX(_xlfn.ANCHORARRAY(Sintesi!$C$14),1,$C343))*(INDEX(_xlfn.ANCHORARRAY(Sintesi!$C$15),1,$C343)&lt;0)+($E343&gt;=LOOKUP(2,1/($E:$E&lt;&gt;""),$E:$E))*($E343&lt;=$E344)*($E343&gt;INDEX(_xlfn.ANCHORARRAY(Sintesi!$C$14),1,$C343))*($E343&lt;=INDEX(_xlfn.ANCHORARRAY(Sintesi!$C$15),1,$C343))*(INDEX(_xlfn.ANCHORARRAY(Sintesi!$C$15),1,$C343)&gt;0),1,IF(($E343&gt;=LOOKUP(2,1/($E:$E&lt;&gt;""),$E:$E))*($E343&lt;=$E344)*($E343&gt;INDEX(_xlfn.ANCHORARRAY(Sintesi!$C$14),1,$C343))*($E343&lt;INDEX(_xlfn.ANCHORARRAY(Sintesi!$C$16),1,$C343))*(INDEX(_xlfn.ANCHORARRAY(Sintesi!$C$15),1,$C343)&lt;0)+($E343&gt;=LOOKUP(2,1/($E:$E&lt;&gt;""),$E:$E))*($E343&lt;=$E344)*($E343&gt;INDEX(_xlfn.ANCHORARRAY(Sintesi!$C$15),1,$C343))*($E343&lt;INDEX(_xlfn.ANCHORARRAY(Sintesi!$C$16),1,$C343))*(INDEX(_xlfn.ANCHORARRAY(Sintesi!$C$15),1,$C343)&gt;0),2,IF($E343=(INDEX(_xlfn.ANCHORARRAY(Sintesi!$C$16),1,$C343)),3,4)))),0)))</f>
        <v>0</v>
      </c>
      <c r="E343" s="1">
        <f>'Paste cell here'!F343</f>
        <v>0</v>
      </c>
      <c r="F343" s="1">
        <f>'Paste cell here'!C343</f>
        <v>2.7799999999999656</v>
      </c>
      <c r="G343" s="1">
        <f>'Paste cell here'!D343</f>
        <v>0.28000000000000114</v>
      </c>
      <c r="H343" s="1">
        <f>'Paste cell here'!E343</f>
        <v>0.41143059270970356</v>
      </c>
      <c r="I343" s="1">
        <f>'Paste cell here'!X343</f>
        <v>0</v>
      </c>
      <c r="J343" s="1">
        <f>'Paste cell here'!Y343+'Paste cell here'!S343</f>
        <v>0</v>
      </c>
      <c r="K343" s="1">
        <f t="shared" si="10"/>
        <v>0</v>
      </c>
      <c r="L343" s="1">
        <f t="shared" si="11"/>
        <v>1.7085714285714093</v>
      </c>
      <c r="M343" s="1">
        <f t="array" ref="M343">IF(AND(A343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343&gt;=_xlfn.ANCHORARRAY(Sintesi!$C$9))+(_xlfn.ANCHORARRAY(Sintesi!$C$9)&gt;_xlfn.ANCHORARRAY(Sintesi!$C$10))*(A343&lt;=_xlfn.ANCHORARRAY(Sintesi!$C$10))+(_xlfn.ANCHORARRAY(Sintesi!$C$9)&lt;_xlfn.ANCHORARRAY(Sintesi!$C$10))*(A343&gt;=_xlfn.ANCHORARRAY(Sintesi!$C$9))*(A343&lt;=_xlfn.ANCHORARRAY(Sintesi!$C$10)),0)),0),A343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344&gt;=_xlfn.ANCHORARRAY(Sintesi!$C$9))+(_xlfn.ANCHORARRAY(Sintesi!$C$9)&gt;_xlfn.ANCHORARRAY(Sintesi!$C$10))*(A344&lt;=_xlfn.ANCHORARRAY(Sintesi!$C$10))+(_xlfn.ANCHORARRAY(Sintesi!$C$9)&lt;_xlfn.ANCHORARRAY(Sintesi!$C$10))*(A344&gt;=_xlfn.ANCHORARRAY(Sintesi!$C$9))*(A344&lt;=_xlfn.ANCHORARRAY(Sintesi!$C$10)),0)),0)),IF(L343&lt;_xlfn.IFNA(INDEX(_xlfn.ANCHORARRAY(Sintesi!$C$17),1,MATCH(1,(_xlfn.ANCHORARRAY(Sintesi!$C$9)&gt;_xlfn.ANCHORARRAY(Sintesi!$C$10))*(A342&gt;=_xlfn.ANCHORARRAY(Sintesi!$C$9))+(_xlfn.ANCHORARRAY(Sintesi!$C$9)&gt;_xlfn.ANCHORARRAY(Sintesi!$C$10))*(A342&lt;=_xlfn.ANCHORARRAY(Sintesi!$C$10))+(_xlfn.ANCHORARRAY(Sintesi!$C$9)&lt;_xlfn.ANCHORARRAY(Sintesi!$C$10))*(A342&gt;=_xlfn.ANCHORARRAY(Sintesi!$C$9))*(A342&lt;=_xlfn.ANCHORARRAY(Sintesi!$C$10)),0)),0),1,IF(L343&gt;=_xlfn.IFNA(INDEX(_xlfn.ANCHORARRAY(Sintesi!$C$18),1,MATCH(1,(_xlfn.ANCHORARRAY(Sintesi!$C$9)&gt;_xlfn.ANCHORARRAY(Sintesi!$C$10))*(A342&gt;=_xlfn.ANCHORARRAY(Sintesi!$C$9))+(_xlfn.ANCHORARRAY(Sintesi!$C$9)&gt;_xlfn.ANCHORARRAY(Sintesi!$C$10))*(A342&lt;=_xlfn.ANCHORARRAY(Sintesi!$C$10))+(_xlfn.ANCHORARRAY(Sintesi!$C$9)&lt;_xlfn.ANCHORARRAY(Sintesi!$C$10))*(A342&gt;=_xlfn.ANCHORARRAY(Sintesi!$C$9))*(A342&lt;=_xlfn.ANCHORARRAY(Sintesi!$C$10)),0)),0),0,1-(L343-_xlfn.IFNA(INDEX(_xlfn.ANCHORARRAY(Sintesi!$C$17),1,MATCH(1,(_xlfn.ANCHORARRAY(Sintesi!$C$9)&gt;_xlfn.ANCHORARRAY(Sintesi!$C$10))*(A342&gt;=_xlfn.ANCHORARRAY(Sintesi!$C$9))+(_xlfn.ANCHORARRAY(Sintesi!$C$9)&gt;_xlfn.ANCHORARRAY(Sintesi!$C$10))*(A342&lt;=_xlfn.ANCHORARRAY(Sintesi!$C$10))+(_xlfn.ANCHORARRAY(Sintesi!$C$9)&lt;_xlfn.ANCHORARRAY(Sintesi!$C$10))*(A342&gt;=_xlfn.ANCHORARRAY(Sintesi!$C$9))*(A342&lt;=_xlfn.ANCHORARRAY(Sintesi!$C$10)),0)),0))/(_xlfn.IFNA(INDEX(_xlfn.ANCHORARRAY(Sintesi!$C$18),1,MATCH(1,(_xlfn.ANCHORARRAY(Sintesi!$C$9)&gt;_xlfn.ANCHORARRAY(Sintesi!$C$10))*(A342&gt;=_xlfn.ANCHORARRAY(Sintesi!$C$9))+(_xlfn.ANCHORARRAY(Sintesi!$C$9)&gt;_xlfn.ANCHORARRAY(Sintesi!$C$10))*(A342&lt;=_xlfn.ANCHORARRAY(Sintesi!$C$10))+(_xlfn.ANCHORARRAY(Sintesi!$C$9)&lt;_xlfn.ANCHORARRAY(Sintesi!$C$10))*(A342&gt;=_xlfn.ANCHORARRAY(Sintesi!$C$9))*(A342&lt;=_xlfn.ANCHORARRAY(Sintesi!$C$10)),0)),0)-_xlfn.IFNA(INDEX(_xlfn.ANCHORARRAY(Sintesi!$C$17),1,MATCH(1,(_xlfn.ANCHORARRAY(Sintesi!$C$9)&gt;_xlfn.ANCHORARRAY(Sintesi!$C$10))*(A342&gt;=_xlfn.ANCHORARRAY(Sintesi!$C$9))+(_xlfn.ANCHORARRAY(Sintesi!$C$9)&gt;_xlfn.ANCHORARRAY(Sintesi!$C$10))*(A342&lt;=_xlfn.ANCHORARRAY(Sintesi!$C$10))+(_xlfn.ANCHORARRAY(Sintesi!$C$9)&lt;_xlfn.ANCHORARRAY(Sintesi!$C$10))*(A342&gt;=_xlfn.ANCHORARRAY(Sintesi!$C$9))*(A342&lt;=_xlfn.ANCHORARRAY(Sintesi!$C$10)),0)),0)))),0)</f>
        <v>0</v>
      </c>
    </row>
    <row r="344" spans="1:13">
      <c r="A344" s="1">
        <f>'Paste cell here'!A344</f>
        <v>343</v>
      </c>
      <c r="B344" s="2">
        <f>DATE(Sintesi!$C$4-1,12,31)+A344</f>
        <v>44539</v>
      </c>
      <c r="C344" s="34">
        <f t="array" ref="C344">_xlfn.IFNA(MATCH(1,((_xlfn.ANCHORARRAY(Sintesi!$C$9)&gt;_xlfn.ANCHORARRAY(Sintesi!$C$10))*(A344&gt;=_xlfn.ANCHORARRAY(Sintesi!$C$9))+(_xlfn.ANCHORARRAY(Sintesi!$C$9)&gt;_xlfn.ANCHORARRAY(Sintesi!$C$10))*(A344&lt;=_xlfn.ANCHORARRAY(Sintesi!$C$10))+(_xlfn.ANCHORARRAY(Sintesi!$C$9)&lt;_xlfn.ANCHORARRAY(Sintesi!$C$10))*(A344&gt;=_xlfn.ANCHORARRAY(Sintesi!$C$9))*(A344&lt;=_xlfn.ANCHORARRAY(Sintesi!$C$10)))*(_xlfn.ANCHORARRAY(Sintesi!$C$15)&gt;=0)+(_xlfn.ANCHORARRAY(Sintesi!$C$15)&lt;0),0),0)</f>
        <v>0</v>
      </c>
      <c r="D344" s="1">
        <f t="array" ref="D344">IF(ISBLANK($E345),IF(ISNUMBER($E343),IF($C344&gt;0,IF(($E344=INDEX(_xlfn.ANCHORARRAY(Sintesi!$C$14),1,$C344))*(INDEX(_xlfn.ANCHORARRAY(Sintesi!$C$15),1,$C344)&gt;0),0,IF(($E344=INDEX(_xlfn.ANCHORARRAY(Sintesi!$C$14),1,$C344))*(INDEX(_xlfn.ANCHORARRAY(Sintesi!$C$15),1,$C344)&lt;0)+($E344&gt;=$E343)*($E344&lt;=INDEX($E:$E,MATCH(TRUE,INDEX((ISNUMBER($E:$E)),0),0)))*($E344&gt;INDEX(_xlfn.ANCHORARRAY(Sintesi!$C$14),1,$C344))*($E344&lt;=INDEX(_xlfn.ANCHORARRAY(Sintesi!$C$15),1,$C344))*(INDEX(_xlfn.ANCHORARRAY(Sintesi!$C$15),1,$C344)&gt;0),1,IF(($E344&gt;=$E343)*($E344&lt;=INDEX($E:$E,MATCH(TRUE,INDEX((ISNUMBER($E:$E)),0),0)))*($E344&gt;INDEX(_xlfn.ANCHORARRAY(Sintesi!$C$14),1,$C344))*($E344&lt;INDEX(_xlfn.ANCHORARRAY(Sintesi!$C$16),1,$C344))*(INDEX(_xlfn.ANCHORARRAY(Sintesi!$C$15),1,$C344)&lt;0)+($E344&gt;=$E343)*($E344&lt;=INDEX($E:$E,MATCH(TRUE,INDEX((ISNUMBER($E:$E)),0),0)))*($E344&gt;INDEX(_xlfn.ANCHORARRAY(Sintesi!$C$15),1,$C344))*($E344&lt;INDEX(_xlfn.ANCHORARRAY(Sintesi!$C$16),1,$C344))*(INDEX(_xlfn.ANCHORARRAY(Sintesi!$C$15),1,$C344)&gt;0),2,IF($E344=(INDEX(_xlfn.ANCHORARRAY(Sintesi!$C$16),1,$C344)),3,4)))),0),IF($C344&gt;0,IF(($E344=INDEX(_xlfn.ANCHORARRAY(Sintesi!$C$14),1,$C344))*(INDEX(_xlfn.ANCHORARRAY(Sintesi!$C$15),1,$C344)&gt;0),0,IF(($E344=INDEX(_xlfn.ANCHORARRAY(Sintesi!$C$14),1,$C344))*(INDEX(_xlfn.ANCHORARRAY(Sintesi!$C$15),1,$C344)&lt;0)+($E344&gt;=LOOKUP(2,1/($E:$E&lt;&gt;""),$E:$E))*($E344&lt;=INDEX($E:$E,MATCH(TRUE,INDEX((ISNUMBER($E:$E)),0),0)))*($E344&gt;INDEX(_xlfn.ANCHORARRAY(Sintesi!$C$14),1,$C344))*($E344&lt;=INDEX(_xlfn.ANCHORARRAY(Sintesi!$C$15),1,$C344))*(INDEX(_xlfn.ANCHORARRAY(Sintesi!$C$15),1,$C344)&gt;0),1,IF(($E344&gt;=LOOKUP(2,1/($E:$E&lt;&gt;""),$E:$E))*($E344&lt;=INDEX($E:$E,MATCH(TRUE,INDEX((ISNUMBER($E:$E)),0),0)))*($E344&gt;INDEX(_xlfn.ANCHORARRAY(Sintesi!$C$14),1,$C344))*($E344&lt;INDEX(_xlfn.ANCHORARRAY(Sintesi!$C$16),1,$C344))*(INDEX(_xlfn.ANCHORARRAY(Sintesi!$C$15),1,$C344)&lt;0)+($E344&gt;=LOOKUP(2,1/($E:$E&lt;&gt;""),$E:$E))*($E344&lt;=INDEX($E:$E,MATCH(TRUE,INDEX((ISNUMBER($E:$E)),0),0)))*($E344&gt;INDEX(_xlfn.ANCHORARRAY(Sintesi!$C$15),1,$C344))*($E344&lt;INDEX(_xlfn.ANCHORARRAY(Sintesi!$C$16),1,$C344))*(INDEX(_xlfn.ANCHORARRAY(Sintesi!$C$15),1,$C344)&gt;0),2,IF($E344=(INDEX(_xlfn.ANCHORARRAY(Sintesi!$C$16),1,$C344)),3,4)))),0)),IF(ISNUMBER($E343),IF($C344&gt;0,IF(($E344=INDEX(_xlfn.ANCHORARRAY(Sintesi!$C$14),1,$C344))*(INDEX(_xlfn.ANCHORARRAY(Sintesi!$C$15),1,$C344)&gt;0),0,IF(($E344=INDEX(_xlfn.ANCHORARRAY(Sintesi!$C$14),1,$C344))*(INDEX(_xlfn.ANCHORARRAY(Sintesi!$C$15),1,$C344)&lt;0)+($E344&gt;=$E343)*($E344&lt;=$E345)*($E344&gt;INDEX(_xlfn.ANCHORARRAY(Sintesi!$C$14),1,$C344))*($E344&lt;=INDEX(_xlfn.ANCHORARRAY(Sintesi!$C$15),1,$C344))*(INDEX(_xlfn.ANCHORARRAY(Sintesi!$C$15),1,$C344)&gt;0),1,IF(($E344&gt;=$E343)*($E344&lt;=$E345)*($E344&gt;INDEX(_xlfn.ANCHORARRAY(Sintesi!$C$14),1,$C344))*($E344&lt;INDEX(_xlfn.ANCHORARRAY(Sintesi!$C$16),1,$C344))*(INDEX(_xlfn.ANCHORARRAY(Sintesi!$C$15),1,$C344)&lt;0)+($E344&gt;=$E343)*($E344&lt;=$E345)*($E344&gt;INDEX(_xlfn.ANCHORARRAY(Sintesi!$C$15),1,$C344))*($E344&lt;INDEX(_xlfn.ANCHORARRAY(Sintesi!$C$16),1,$C344))*(INDEX(_xlfn.ANCHORARRAY(Sintesi!$C$15),1,$C344)&gt;0),2,IF($E344=(INDEX(_xlfn.ANCHORARRAY(Sintesi!$C$16),1,$C344)),3,4)))),0),IF($C344&gt;0,IF(($E344=INDEX(_xlfn.ANCHORARRAY(Sintesi!$C$14),1,$C344))*(INDEX(_xlfn.ANCHORARRAY(Sintesi!$C$15),1,$C344)&gt;0),0,IF(($E344=INDEX(_xlfn.ANCHORARRAY(Sintesi!$C$14),1,$C344))*(INDEX(_xlfn.ANCHORARRAY(Sintesi!$C$15),1,$C344)&lt;0)+($E344&gt;=LOOKUP(2,1/($E:$E&lt;&gt;""),$E:$E))*($E344&lt;=$E345)*($E344&gt;INDEX(_xlfn.ANCHORARRAY(Sintesi!$C$14),1,$C344))*($E344&lt;=INDEX(_xlfn.ANCHORARRAY(Sintesi!$C$15),1,$C344))*(INDEX(_xlfn.ANCHORARRAY(Sintesi!$C$15),1,$C344)&gt;0),1,IF(($E344&gt;=LOOKUP(2,1/($E:$E&lt;&gt;""),$E:$E))*($E344&lt;=$E345)*($E344&gt;INDEX(_xlfn.ANCHORARRAY(Sintesi!$C$14),1,$C344))*($E344&lt;INDEX(_xlfn.ANCHORARRAY(Sintesi!$C$16),1,$C344))*(INDEX(_xlfn.ANCHORARRAY(Sintesi!$C$15),1,$C344)&lt;0)+($E344&gt;=LOOKUP(2,1/($E:$E&lt;&gt;""),$E:$E))*($E344&lt;=$E345)*($E344&gt;INDEX(_xlfn.ANCHORARRAY(Sintesi!$C$15),1,$C344))*($E344&lt;INDEX(_xlfn.ANCHORARRAY(Sintesi!$C$16),1,$C344))*(INDEX(_xlfn.ANCHORARRAY(Sintesi!$C$15),1,$C344)&gt;0),2,IF($E344=(INDEX(_xlfn.ANCHORARRAY(Sintesi!$C$16),1,$C344)),3,4)))),0)))</f>
        <v>0</v>
      </c>
      <c r="E344" s="1">
        <f>'Paste cell here'!F344</f>
        <v>0</v>
      </c>
      <c r="F344" s="1">
        <f>'Paste cell here'!C344</f>
        <v>3.1199999999999593</v>
      </c>
      <c r="G344" s="1">
        <f>'Paste cell here'!D344</f>
        <v>0.75999999999999512</v>
      </c>
      <c r="H344" s="1">
        <f>'Paste cell here'!E344</f>
        <v>0.19909728887266517</v>
      </c>
      <c r="I344" s="1">
        <f>'Paste cell here'!X344</f>
        <v>0</v>
      </c>
      <c r="J344" s="1">
        <f>'Paste cell here'!Y344+'Paste cell here'!S344</f>
        <v>0</v>
      </c>
      <c r="K344" s="1">
        <f t="shared" si="10"/>
        <v>0</v>
      </c>
      <c r="L344" s="1">
        <f t="shared" si="11"/>
        <v>2.1085714285714032</v>
      </c>
      <c r="M344" s="1">
        <f t="array" ref="M344">IF(AND(A344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344&gt;=_xlfn.ANCHORARRAY(Sintesi!$C$9))+(_xlfn.ANCHORARRAY(Sintesi!$C$9)&gt;_xlfn.ANCHORARRAY(Sintesi!$C$10))*(A344&lt;=_xlfn.ANCHORARRAY(Sintesi!$C$10))+(_xlfn.ANCHORARRAY(Sintesi!$C$9)&lt;_xlfn.ANCHORARRAY(Sintesi!$C$10))*(A344&gt;=_xlfn.ANCHORARRAY(Sintesi!$C$9))*(A344&lt;=_xlfn.ANCHORARRAY(Sintesi!$C$10)),0)),0),A344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345&gt;=_xlfn.ANCHORARRAY(Sintesi!$C$9))+(_xlfn.ANCHORARRAY(Sintesi!$C$9)&gt;_xlfn.ANCHORARRAY(Sintesi!$C$10))*(A345&lt;=_xlfn.ANCHORARRAY(Sintesi!$C$10))+(_xlfn.ANCHORARRAY(Sintesi!$C$9)&lt;_xlfn.ANCHORARRAY(Sintesi!$C$10))*(A345&gt;=_xlfn.ANCHORARRAY(Sintesi!$C$9))*(A345&lt;=_xlfn.ANCHORARRAY(Sintesi!$C$10)),0)),0)),IF(L344&lt;_xlfn.IFNA(INDEX(_xlfn.ANCHORARRAY(Sintesi!$C$17),1,MATCH(1,(_xlfn.ANCHORARRAY(Sintesi!$C$9)&gt;_xlfn.ANCHORARRAY(Sintesi!$C$10))*(A343&gt;=_xlfn.ANCHORARRAY(Sintesi!$C$9))+(_xlfn.ANCHORARRAY(Sintesi!$C$9)&gt;_xlfn.ANCHORARRAY(Sintesi!$C$10))*(A343&lt;=_xlfn.ANCHORARRAY(Sintesi!$C$10))+(_xlfn.ANCHORARRAY(Sintesi!$C$9)&lt;_xlfn.ANCHORARRAY(Sintesi!$C$10))*(A343&gt;=_xlfn.ANCHORARRAY(Sintesi!$C$9))*(A343&lt;=_xlfn.ANCHORARRAY(Sintesi!$C$10)),0)),0),1,IF(L344&gt;=_xlfn.IFNA(INDEX(_xlfn.ANCHORARRAY(Sintesi!$C$18),1,MATCH(1,(_xlfn.ANCHORARRAY(Sintesi!$C$9)&gt;_xlfn.ANCHORARRAY(Sintesi!$C$10))*(A343&gt;=_xlfn.ANCHORARRAY(Sintesi!$C$9))+(_xlfn.ANCHORARRAY(Sintesi!$C$9)&gt;_xlfn.ANCHORARRAY(Sintesi!$C$10))*(A343&lt;=_xlfn.ANCHORARRAY(Sintesi!$C$10))+(_xlfn.ANCHORARRAY(Sintesi!$C$9)&lt;_xlfn.ANCHORARRAY(Sintesi!$C$10))*(A343&gt;=_xlfn.ANCHORARRAY(Sintesi!$C$9))*(A343&lt;=_xlfn.ANCHORARRAY(Sintesi!$C$10)),0)),0),0,1-(L344-_xlfn.IFNA(INDEX(_xlfn.ANCHORARRAY(Sintesi!$C$17),1,MATCH(1,(_xlfn.ANCHORARRAY(Sintesi!$C$9)&gt;_xlfn.ANCHORARRAY(Sintesi!$C$10))*(A343&gt;=_xlfn.ANCHORARRAY(Sintesi!$C$9))+(_xlfn.ANCHORARRAY(Sintesi!$C$9)&gt;_xlfn.ANCHORARRAY(Sintesi!$C$10))*(A343&lt;=_xlfn.ANCHORARRAY(Sintesi!$C$10))+(_xlfn.ANCHORARRAY(Sintesi!$C$9)&lt;_xlfn.ANCHORARRAY(Sintesi!$C$10))*(A343&gt;=_xlfn.ANCHORARRAY(Sintesi!$C$9))*(A343&lt;=_xlfn.ANCHORARRAY(Sintesi!$C$10)),0)),0))/(_xlfn.IFNA(INDEX(_xlfn.ANCHORARRAY(Sintesi!$C$18),1,MATCH(1,(_xlfn.ANCHORARRAY(Sintesi!$C$9)&gt;_xlfn.ANCHORARRAY(Sintesi!$C$10))*(A343&gt;=_xlfn.ANCHORARRAY(Sintesi!$C$9))+(_xlfn.ANCHORARRAY(Sintesi!$C$9)&gt;_xlfn.ANCHORARRAY(Sintesi!$C$10))*(A343&lt;=_xlfn.ANCHORARRAY(Sintesi!$C$10))+(_xlfn.ANCHORARRAY(Sintesi!$C$9)&lt;_xlfn.ANCHORARRAY(Sintesi!$C$10))*(A343&gt;=_xlfn.ANCHORARRAY(Sintesi!$C$9))*(A343&lt;=_xlfn.ANCHORARRAY(Sintesi!$C$10)),0)),0)-_xlfn.IFNA(INDEX(_xlfn.ANCHORARRAY(Sintesi!$C$17),1,MATCH(1,(_xlfn.ANCHORARRAY(Sintesi!$C$9)&gt;_xlfn.ANCHORARRAY(Sintesi!$C$10))*(A343&gt;=_xlfn.ANCHORARRAY(Sintesi!$C$9))+(_xlfn.ANCHORARRAY(Sintesi!$C$9)&gt;_xlfn.ANCHORARRAY(Sintesi!$C$10))*(A343&lt;=_xlfn.ANCHORARRAY(Sintesi!$C$10))+(_xlfn.ANCHORARRAY(Sintesi!$C$9)&lt;_xlfn.ANCHORARRAY(Sintesi!$C$10))*(A343&gt;=_xlfn.ANCHORARRAY(Sintesi!$C$9))*(A343&lt;=_xlfn.ANCHORARRAY(Sintesi!$C$10)),0)),0)))),0)</f>
        <v>0</v>
      </c>
    </row>
    <row r="345" spans="1:13">
      <c r="A345" s="1">
        <f>'Paste cell here'!A345</f>
        <v>344</v>
      </c>
      <c r="B345" s="2">
        <f>DATE(Sintesi!$C$4-1,12,31)+A345</f>
        <v>44540</v>
      </c>
      <c r="C345" s="34">
        <f t="array" ref="C345">_xlfn.IFNA(MATCH(1,((_xlfn.ANCHORARRAY(Sintesi!$C$9)&gt;_xlfn.ANCHORARRAY(Sintesi!$C$10))*(A345&gt;=_xlfn.ANCHORARRAY(Sintesi!$C$9))+(_xlfn.ANCHORARRAY(Sintesi!$C$9)&gt;_xlfn.ANCHORARRAY(Sintesi!$C$10))*(A345&lt;=_xlfn.ANCHORARRAY(Sintesi!$C$10))+(_xlfn.ANCHORARRAY(Sintesi!$C$9)&lt;_xlfn.ANCHORARRAY(Sintesi!$C$10))*(A345&gt;=_xlfn.ANCHORARRAY(Sintesi!$C$9))*(A345&lt;=_xlfn.ANCHORARRAY(Sintesi!$C$10)))*(_xlfn.ANCHORARRAY(Sintesi!$C$15)&gt;=0)+(_xlfn.ANCHORARRAY(Sintesi!$C$15)&lt;0),0),0)</f>
        <v>0</v>
      </c>
      <c r="D345" s="1">
        <f t="array" ref="D345">IF(ISBLANK($E346),IF(ISNUMBER($E344),IF($C345&gt;0,IF(($E345=INDEX(_xlfn.ANCHORARRAY(Sintesi!$C$14),1,$C345))*(INDEX(_xlfn.ANCHORARRAY(Sintesi!$C$15),1,$C345)&gt;0),0,IF(($E345=INDEX(_xlfn.ANCHORARRAY(Sintesi!$C$14),1,$C345))*(INDEX(_xlfn.ANCHORARRAY(Sintesi!$C$15),1,$C345)&lt;0)+($E345&gt;=$E344)*($E345&lt;=INDEX($E:$E,MATCH(TRUE,INDEX((ISNUMBER($E:$E)),0),0)))*($E345&gt;INDEX(_xlfn.ANCHORARRAY(Sintesi!$C$14),1,$C345))*($E345&lt;=INDEX(_xlfn.ANCHORARRAY(Sintesi!$C$15),1,$C345))*(INDEX(_xlfn.ANCHORARRAY(Sintesi!$C$15),1,$C345)&gt;0),1,IF(($E345&gt;=$E344)*($E345&lt;=INDEX($E:$E,MATCH(TRUE,INDEX((ISNUMBER($E:$E)),0),0)))*($E345&gt;INDEX(_xlfn.ANCHORARRAY(Sintesi!$C$14),1,$C345))*($E345&lt;INDEX(_xlfn.ANCHORARRAY(Sintesi!$C$16),1,$C345))*(INDEX(_xlfn.ANCHORARRAY(Sintesi!$C$15),1,$C345)&lt;0)+($E345&gt;=$E344)*($E345&lt;=INDEX($E:$E,MATCH(TRUE,INDEX((ISNUMBER($E:$E)),0),0)))*($E345&gt;INDEX(_xlfn.ANCHORARRAY(Sintesi!$C$15),1,$C345))*($E345&lt;INDEX(_xlfn.ANCHORARRAY(Sintesi!$C$16),1,$C345))*(INDEX(_xlfn.ANCHORARRAY(Sintesi!$C$15),1,$C345)&gt;0),2,IF($E345=(INDEX(_xlfn.ANCHORARRAY(Sintesi!$C$16),1,$C345)),3,4)))),0),IF($C345&gt;0,IF(($E345=INDEX(_xlfn.ANCHORARRAY(Sintesi!$C$14),1,$C345))*(INDEX(_xlfn.ANCHORARRAY(Sintesi!$C$15),1,$C345)&gt;0),0,IF(($E345=INDEX(_xlfn.ANCHORARRAY(Sintesi!$C$14),1,$C345))*(INDEX(_xlfn.ANCHORARRAY(Sintesi!$C$15),1,$C345)&lt;0)+($E345&gt;=LOOKUP(2,1/($E:$E&lt;&gt;""),$E:$E))*($E345&lt;=INDEX($E:$E,MATCH(TRUE,INDEX((ISNUMBER($E:$E)),0),0)))*($E345&gt;INDEX(_xlfn.ANCHORARRAY(Sintesi!$C$14),1,$C345))*($E345&lt;=INDEX(_xlfn.ANCHORARRAY(Sintesi!$C$15),1,$C345))*(INDEX(_xlfn.ANCHORARRAY(Sintesi!$C$15),1,$C345)&gt;0),1,IF(($E345&gt;=LOOKUP(2,1/($E:$E&lt;&gt;""),$E:$E))*($E345&lt;=INDEX($E:$E,MATCH(TRUE,INDEX((ISNUMBER($E:$E)),0),0)))*($E345&gt;INDEX(_xlfn.ANCHORARRAY(Sintesi!$C$14),1,$C345))*($E345&lt;INDEX(_xlfn.ANCHORARRAY(Sintesi!$C$16),1,$C345))*(INDEX(_xlfn.ANCHORARRAY(Sintesi!$C$15),1,$C345)&lt;0)+($E345&gt;=LOOKUP(2,1/($E:$E&lt;&gt;""),$E:$E))*($E345&lt;=INDEX($E:$E,MATCH(TRUE,INDEX((ISNUMBER($E:$E)),0),0)))*($E345&gt;INDEX(_xlfn.ANCHORARRAY(Sintesi!$C$15),1,$C345))*($E345&lt;INDEX(_xlfn.ANCHORARRAY(Sintesi!$C$16),1,$C345))*(INDEX(_xlfn.ANCHORARRAY(Sintesi!$C$15),1,$C345)&gt;0),2,IF($E345=(INDEX(_xlfn.ANCHORARRAY(Sintesi!$C$16),1,$C345)),3,4)))),0)),IF(ISNUMBER($E344),IF($C345&gt;0,IF(($E345=INDEX(_xlfn.ANCHORARRAY(Sintesi!$C$14),1,$C345))*(INDEX(_xlfn.ANCHORARRAY(Sintesi!$C$15),1,$C345)&gt;0),0,IF(($E345=INDEX(_xlfn.ANCHORARRAY(Sintesi!$C$14),1,$C345))*(INDEX(_xlfn.ANCHORARRAY(Sintesi!$C$15),1,$C345)&lt;0)+($E345&gt;=$E344)*($E345&lt;=$E346)*($E345&gt;INDEX(_xlfn.ANCHORARRAY(Sintesi!$C$14),1,$C345))*($E345&lt;=INDEX(_xlfn.ANCHORARRAY(Sintesi!$C$15),1,$C345))*(INDEX(_xlfn.ANCHORARRAY(Sintesi!$C$15),1,$C345)&gt;0),1,IF(($E345&gt;=$E344)*($E345&lt;=$E346)*($E345&gt;INDEX(_xlfn.ANCHORARRAY(Sintesi!$C$14),1,$C345))*($E345&lt;INDEX(_xlfn.ANCHORARRAY(Sintesi!$C$16),1,$C345))*(INDEX(_xlfn.ANCHORARRAY(Sintesi!$C$15),1,$C345)&lt;0)+($E345&gt;=$E344)*($E345&lt;=$E346)*($E345&gt;INDEX(_xlfn.ANCHORARRAY(Sintesi!$C$15),1,$C345))*($E345&lt;INDEX(_xlfn.ANCHORARRAY(Sintesi!$C$16),1,$C345))*(INDEX(_xlfn.ANCHORARRAY(Sintesi!$C$15),1,$C345)&gt;0),2,IF($E345=(INDEX(_xlfn.ANCHORARRAY(Sintesi!$C$16),1,$C345)),3,4)))),0),IF($C345&gt;0,IF(($E345=INDEX(_xlfn.ANCHORARRAY(Sintesi!$C$14),1,$C345))*(INDEX(_xlfn.ANCHORARRAY(Sintesi!$C$15),1,$C345)&gt;0),0,IF(($E345=INDEX(_xlfn.ANCHORARRAY(Sintesi!$C$14),1,$C345))*(INDEX(_xlfn.ANCHORARRAY(Sintesi!$C$15),1,$C345)&lt;0)+($E345&gt;=LOOKUP(2,1/($E:$E&lt;&gt;""),$E:$E))*($E345&lt;=$E346)*($E345&gt;INDEX(_xlfn.ANCHORARRAY(Sintesi!$C$14),1,$C345))*($E345&lt;=INDEX(_xlfn.ANCHORARRAY(Sintesi!$C$15),1,$C345))*(INDEX(_xlfn.ANCHORARRAY(Sintesi!$C$15),1,$C345)&gt;0),1,IF(($E345&gt;=LOOKUP(2,1/($E:$E&lt;&gt;""),$E:$E))*($E345&lt;=$E346)*($E345&gt;INDEX(_xlfn.ANCHORARRAY(Sintesi!$C$14),1,$C345))*($E345&lt;INDEX(_xlfn.ANCHORARRAY(Sintesi!$C$16),1,$C345))*(INDEX(_xlfn.ANCHORARRAY(Sintesi!$C$15),1,$C345)&lt;0)+($E345&gt;=LOOKUP(2,1/($E:$E&lt;&gt;""),$E:$E))*($E345&lt;=$E346)*($E345&gt;INDEX(_xlfn.ANCHORARRAY(Sintesi!$C$15),1,$C345))*($E345&lt;INDEX(_xlfn.ANCHORARRAY(Sintesi!$C$16),1,$C345))*(INDEX(_xlfn.ANCHORARRAY(Sintesi!$C$15),1,$C345)&gt;0),2,IF($E345=(INDEX(_xlfn.ANCHORARRAY(Sintesi!$C$16),1,$C345)),3,4)))),0)))</f>
        <v>0</v>
      </c>
      <c r="E345" s="1">
        <f>'Paste cell here'!F345</f>
        <v>0</v>
      </c>
      <c r="F345" s="1">
        <f>'Paste cell here'!C345</f>
        <v>2.8599999999999568</v>
      </c>
      <c r="G345" s="1">
        <f>'Paste cell here'!D345</f>
        <v>-0.45999999999998242</v>
      </c>
      <c r="H345" s="1">
        <f>'Paste cell here'!E345</f>
        <v>0.30407391997444871</v>
      </c>
      <c r="I345" s="1">
        <f>'Paste cell here'!X345</f>
        <v>0</v>
      </c>
      <c r="J345" s="1">
        <f>'Paste cell here'!Y345+'Paste cell here'!S345</f>
        <v>0</v>
      </c>
      <c r="K345" s="1">
        <f t="shared" si="10"/>
        <v>0</v>
      </c>
      <c r="L345" s="1">
        <f t="shared" si="11"/>
        <v>1.4371428571428402</v>
      </c>
      <c r="M345" s="1">
        <f t="array" ref="M345">IF(AND(A345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345&gt;=_xlfn.ANCHORARRAY(Sintesi!$C$9))+(_xlfn.ANCHORARRAY(Sintesi!$C$9)&gt;_xlfn.ANCHORARRAY(Sintesi!$C$10))*(A345&lt;=_xlfn.ANCHORARRAY(Sintesi!$C$10))+(_xlfn.ANCHORARRAY(Sintesi!$C$9)&lt;_xlfn.ANCHORARRAY(Sintesi!$C$10))*(A345&gt;=_xlfn.ANCHORARRAY(Sintesi!$C$9))*(A345&lt;=_xlfn.ANCHORARRAY(Sintesi!$C$10)),0)),0),A345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346&gt;=_xlfn.ANCHORARRAY(Sintesi!$C$9))+(_xlfn.ANCHORARRAY(Sintesi!$C$9)&gt;_xlfn.ANCHORARRAY(Sintesi!$C$10))*(A346&lt;=_xlfn.ANCHORARRAY(Sintesi!$C$10))+(_xlfn.ANCHORARRAY(Sintesi!$C$9)&lt;_xlfn.ANCHORARRAY(Sintesi!$C$10))*(A346&gt;=_xlfn.ANCHORARRAY(Sintesi!$C$9))*(A346&lt;=_xlfn.ANCHORARRAY(Sintesi!$C$10)),0)),0)),IF(L345&lt;_xlfn.IFNA(INDEX(_xlfn.ANCHORARRAY(Sintesi!$C$17),1,MATCH(1,(_xlfn.ANCHORARRAY(Sintesi!$C$9)&gt;_xlfn.ANCHORARRAY(Sintesi!$C$10))*(A344&gt;=_xlfn.ANCHORARRAY(Sintesi!$C$9))+(_xlfn.ANCHORARRAY(Sintesi!$C$9)&gt;_xlfn.ANCHORARRAY(Sintesi!$C$10))*(A344&lt;=_xlfn.ANCHORARRAY(Sintesi!$C$10))+(_xlfn.ANCHORARRAY(Sintesi!$C$9)&lt;_xlfn.ANCHORARRAY(Sintesi!$C$10))*(A344&gt;=_xlfn.ANCHORARRAY(Sintesi!$C$9))*(A344&lt;=_xlfn.ANCHORARRAY(Sintesi!$C$10)),0)),0),1,IF(L345&gt;=_xlfn.IFNA(INDEX(_xlfn.ANCHORARRAY(Sintesi!$C$18),1,MATCH(1,(_xlfn.ANCHORARRAY(Sintesi!$C$9)&gt;_xlfn.ANCHORARRAY(Sintesi!$C$10))*(A344&gt;=_xlfn.ANCHORARRAY(Sintesi!$C$9))+(_xlfn.ANCHORARRAY(Sintesi!$C$9)&gt;_xlfn.ANCHORARRAY(Sintesi!$C$10))*(A344&lt;=_xlfn.ANCHORARRAY(Sintesi!$C$10))+(_xlfn.ANCHORARRAY(Sintesi!$C$9)&lt;_xlfn.ANCHORARRAY(Sintesi!$C$10))*(A344&gt;=_xlfn.ANCHORARRAY(Sintesi!$C$9))*(A344&lt;=_xlfn.ANCHORARRAY(Sintesi!$C$10)),0)),0),0,1-(L345-_xlfn.IFNA(INDEX(_xlfn.ANCHORARRAY(Sintesi!$C$17),1,MATCH(1,(_xlfn.ANCHORARRAY(Sintesi!$C$9)&gt;_xlfn.ANCHORARRAY(Sintesi!$C$10))*(A344&gt;=_xlfn.ANCHORARRAY(Sintesi!$C$9))+(_xlfn.ANCHORARRAY(Sintesi!$C$9)&gt;_xlfn.ANCHORARRAY(Sintesi!$C$10))*(A344&lt;=_xlfn.ANCHORARRAY(Sintesi!$C$10))+(_xlfn.ANCHORARRAY(Sintesi!$C$9)&lt;_xlfn.ANCHORARRAY(Sintesi!$C$10))*(A344&gt;=_xlfn.ANCHORARRAY(Sintesi!$C$9))*(A344&lt;=_xlfn.ANCHORARRAY(Sintesi!$C$10)),0)),0))/(_xlfn.IFNA(INDEX(_xlfn.ANCHORARRAY(Sintesi!$C$18),1,MATCH(1,(_xlfn.ANCHORARRAY(Sintesi!$C$9)&gt;_xlfn.ANCHORARRAY(Sintesi!$C$10))*(A344&gt;=_xlfn.ANCHORARRAY(Sintesi!$C$9))+(_xlfn.ANCHORARRAY(Sintesi!$C$9)&gt;_xlfn.ANCHORARRAY(Sintesi!$C$10))*(A344&lt;=_xlfn.ANCHORARRAY(Sintesi!$C$10))+(_xlfn.ANCHORARRAY(Sintesi!$C$9)&lt;_xlfn.ANCHORARRAY(Sintesi!$C$10))*(A344&gt;=_xlfn.ANCHORARRAY(Sintesi!$C$9))*(A344&lt;=_xlfn.ANCHORARRAY(Sintesi!$C$10)),0)),0)-_xlfn.IFNA(INDEX(_xlfn.ANCHORARRAY(Sintesi!$C$17),1,MATCH(1,(_xlfn.ANCHORARRAY(Sintesi!$C$9)&gt;_xlfn.ANCHORARRAY(Sintesi!$C$10))*(A344&gt;=_xlfn.ANCHORARRAY(Sintesi!$C$9))+(_xlfn.ANCHORARRAY(Sintesi!$C$9)&gt;_xlfn.ANCHORARRAY(Sintesi!$C$10))*(A344&lt;=_xlfn.ANCHORARRAY(Sintesi!$C$10))+(_xlfn.ANCHORARRAY(Sintesi!$C$9)&lt;_xlfn.ANCHORARRAY(Sintesi!$C$10))*(A344&gt;=_xlfn.ANCHORARRAY(Sintesi!$C$9))*(A344&lt;=_xlfn.ANCHORARRAY(Sintesi!$C$10)),0)),0)))),0)</f>
        <v>0</v>
      </c>
    </row>
    <row r="346" spans="1:13">
      <c r="A346" s="1">
        <f>'Paste cell here'!A346</f>
        <v>345</v>
      </c>
      <c r="B346" s="2">
        <f>DATE(Sintesi!$C$4-1,12,31)+A346</f>
        <v>44541</v>
      </c>
      <c r="C346" s="34">
        <f t="array" ref="C346">_xlfn.IFNA(MATCH(1,((_xlfn.ANCHORARRAY(Sintesi!$C$9)&gt;_xlfn.ANCHORARRAY(Sintesi!$C$10))*(A346&gt;=_xlfn.ANCHORARRAY(Sintesi!$C$9))+(_xlfn.ANCHORARRAY(Sintesi!$C$9)&gt;_xlfn.ANCHORARRAY(Sintesi!$C$10))*(A346&lt;=_xlfn.ANCHORARRAY(Sintesi!$C$10))+(_xlfn.ANCHORARRAY(Sintesi!$C$9)&lt;_xlfn.ANCHORARRAY(Sintesi!$C$10))*(A346&gt;=_xlfn.ANCHORARRAY(Sintesi!$C$9))*(A346&lt;=_xlfn.ANCHORARRAY(Sintesi!$C$10)))*(_xlfn.ANCHORARRAY(Sintesi!$C$15)&gt;=0)+(_xlfn.ANCHORARRAY(Sintesi!$C$15)&lt;0),0),0)</f>
        <v>0</v>
      </c>
      <c r="D346" s="1">
        <f t="array" ref="D346">IF(ISBLANK($E347),IF(ISNUMBER($E345),IF($C346&gt;0,IF(($E346=INDEX(_xlfn.ANCHORARRAY(Sintesi!$C$14),1,$C346))*(INDEX(_xlfn.ANCHORARRAY(Sintesi!$C$15),1,$C346)&gt;0),0,IF(($E346=INDEX(_xlfn.ANCHORARRAY(Sintesi!$C$14),1,$C346))*(INDEX(_xlfn.ANCHORARRAY(Sintesi!$C$15),1,$C346)&lt;0)+($E346&gt;=$E345)*($E346&lt;=INDEX($E:$E,MATCH(TRUE,INDEX((ISNUMBER($E:$E)),0),0)))*($E346&gt;INDEX(_xlfn.ANCHORARRAY(Sintesi!$C$14),1,$C346))*($E346&lt;=INDEX(_xlfn.ANCHORARRAY(Sintesi!$C$15),1,$C346))*(INDEX(_xlfn.ANCHORARRAY(Sintesi!$C$15),1,$C346)&gt;0),1,IF(($E346&gt;=$E345)*($E346&lt;=INDEX($E:$E,MATCH(TRUE,INDEX((ISNUMBER($E:$E)),0),0)))*($E346&gt;INDEX(_xlfn.ANCHORARRAY(Sintesi!$C$14),1,$C346))*($E346&lt;INDEX(_xlfn.ANCHORARRAY(Sintesi!$C$16),1,$C346))*(INDEX(_xlfn.ANCHORARRAY(Sintesi!$C$15),1,$C346)&lt;0)+($E346&gt;=$E345)*($E346&lt;=INDEX($E:$E,MATCH(TRUE,INDEX((ISNUMBER($E:$E)),0),0)))*($E346&gt;INDEX(_xlfn.ANCHORARRAY(Sintesi!$C$15),1,$C346))*($E346&lt;INDEX(_xlfn.ANCHORARRAY(Sintesi!$C$16),1,$C346))*(INDEX(_xlfn.ANCHORARRAY(Sintesi!$C$15),1,$C346)&gt;0),2,IF($E346=(INDEX(_xlfn.ANCHORARRAY(Sintesi!$C$16),1,$C346)),3,4)))),0),IF($C346&gt;0,IF(($E346=INDEX(_xlfn.ANCHORARRAY(Sintesi!$C$14),1,$C346))*(INDEX(_xlfn.ANCHORARRAY(Sintesi!$C$15),1,$C346)&gt;0),0,IF(($E346=INDEX(_xlfn.ANCHORARRAY(Sintesi!$C$14),1,$C346))*(INDEX(_xlfn.ANCHORARRAY(Sintesi!$C$15),1,$C346)&lt;0)+($E346&gt;=LOOKUP(2,1/($E:$E&lt;&gt;""),$E:$E))*($E346&lt;=INDEX($E:$E,MATCH(TRUE,INDEX((ISNUMBER($E:$E)),0),0)))*($E346&gt;INDEX(_xlfn.ANCHORARRAY(Sintesi!$C$14),1,$C346))*($E346&lt;=INDEX(_xlfn.ANCHORARRAY(Sintesi!$C$15),1,$C346))*(INDEX(_xlfn.ANCHORARRAY(Sintesi!$C$15),1,$C346)&gt;0),1,IF(($E346&gt;=LOOKUP(2,1/($E:$E&lt;&gt;""),$E:$E))*($E346&lt;=INDEX($E:$E,MATCH(TRUE,INDEX((ISNUMBER($E:$E)),0),0)))*($E346&gt;INDEX(_xlfn.ANCHORARRAY(Sintesi!$C$14),1,$C346))*($E346&lt;INDEX(_xlfn.ANCHORARRAY(Sintesi!$C$16),1,$C346))*(INDEX(_xlfn.ANCHORARRAY(Sintesi!$C$15),1,$C346)&lt;0)+($E346&gt;=LOOKUP(2,1/($E:$E&lt;&gt;""),$E:$E))*($E346&lt;=INDEX($E:$E,MATCH(TRUE,INDEX((ISNUMBER($E:$E)),0),0)))*($E346&gt;INDEX(_xlfn.ANCHORARRAY(Sintesi!$C$15),1,$C346))*($E346&lt;INDEX(_xlfn.ANCHORARRAY(Sintesi!$C$16),1,$C346))*(INDEX(_xlfn.ANCHORARRAY(Sintesi!$C$15),1,$C346)&gt;0),2,IF($E346=(INDEX(_xlfn.ANCHORARRAY(Sintesi!$C$16),1,$C346)),3,4)))),0)),IF(ISNUMBER($E345),IF($C346&gt;0,IF(($E346=INDEX(_xlfn.ANCHORARRAY(Sintesi!$C$14),1,$C346))*(INDEX(_xlfn.ANCHORARRAY(Sintesi!$C$15),1,$C346)&gt;0),0,IF(($E346=INDEX(_xlfn.ANCHORARRAY(Sintesi!$C$14),1,$C346))*(INDEX(_xlfn.ANCHORARRAY(Sintesi!$C$15),1,$C346)&lt;0)+($E346&gt;=$E345)*($E346&lt;=$E347)*($E346&gt;INDEX(_xlfn.ANCHORARRAY(Sintesi!$C$14),1,$C346))*($E346&lt;=INDEX(_xlfn.ANCHORARRAY(Sintesi!$C$15),1,$C346))*(INDEX(_xlfn.ANCHORARRAY(Sintesi!$C$15),1,$C346)&gt;0),1,IF(($E346&gt;=$E345)*($E346&lt;=$E347)*($E346&gt;INDEX(_xlfn.ANCHORARRAY(Sintesi!$C$14),1,$C346))*($E346&lt;INDEX(_xlfn.ANCHORARRAY(Sintesi!$C$16),1,$C346))*(INDEX(_xlfn.ANCHORARRAY(Sintesi!$C$15),1,$C346)&lt;0)+($E346&gt;=$E345)*($E346&lt;=$E347)*($E346&gt;INDEX(_xlfn.ANCHORARRAY(Sintesi!$C$15),1,$C346))*($E346&lt;INDEX(_xlfn.ANCHORARRAY(Sintesi!$C$16),1,$C346))*(INDEX(_xlfn.ANCHORARRAY(Sintesi!$C$15),1,$C346)&gt;0),2,IF($E346=(INDEX(_xlfn.ANCHORARRAY(Sintesi!$C$16),1,$C346)),3,4)))),0),IF($C346&gt;0,IF(($E346=INDEX(_xlfn.ANCHORARRAY(Sintesi!$C$14),1,$C346))*(INDEX(_xlfn.ANCHORARRAY(Sintesi!$C$15),1,$C346)&gt;0),0,IF(($E346=INDEX(_xlfn.ANCHORARRAY(Sintesi!$C$14),1,$C346))*(INDEX(_xlfn.ANCHORARRAY(Sintesi!$C$15),1,$C346)&lt;0)+($E346&gt;=LOOKUP(2,1/($E:$E&lt;&gt;""),$E:$E))*($E346&lt;=$E347)*($E346&gt;INDEX(_xlfn.ANCHORARRAY(Sintesi!$C$14),1,$C346))*($E346&lt;=INDEX(_xlfn.ANCHORARRAY(Sintesi!$C$15),1,$C346))*(INDEX(_xlfn.ANCHORARRAY(Sintesi!$C$15),1,$C346)&gt;0),1,IF(($E346&gt;=LOOKUP(2,1/($E:$E&lt;&gt;""),$E:$E))*($E346&lt;=$E347)*($E346&gt;INDEX(_xlfn.ANCHORARRAY(Sintesi!$C$14),1,$C346))*($E346&lt;INDEX(_xlfn.ANCHORARRAY(Sintesi!$C$16),1,$C346))*(INDEX(_xlfn.ANCHORARRAY(Sintesi!$C$15),1,$C346)&lt;0)+($E346&gt;=LOOKUP(2,1/($E:$E&lt;&gt;""),$E:$E))*($E346&lt;=$E347)*($E346&gt;INDEX(_xlfn.ANCHORARRAY(Sintesi!$C$15),1,$C346))*($E346&lt;INDEX(_xlfn.ANCHORARRAY(Sintesi!$C$16),1,$C346))*(INDEX(_xlfn.ANCHORARRAY(Sintesi!$C$15),1,$C346)&gt;0),2,IF($E346=(INDEX(_xlfn.ANCHORARRAY(Sintesi!$C$16),1,$C346)),3,4)))),0)))</f>
        <v>0</v>
      </c>
      <c r="E346" s="1">
        <f>'Paste cell here'!F346</f>
        <v>0</v>
      </c>
      <c r="F346" s="1">
        <f>'Paste cell here'!C346</f>
        <v>7.0599999999999055</v>
      </c>
      <c r="G346" s="1">
        <f>'Paste cell here'!D346</f>
        <v>-1.9999999999999629</v>
      </c>
      <c r="H346" s="1">
        <f>'Paste cell here'!E346</f>
        <v>0.12257329672774979</v>
      </c>
      <c r="I346" s="1">
        <f>'Paste cell here'!X346</f>
        <v>0</v>
      </c>
      <c r="J346" s="1">
        <f>'Paste cell here'!Y346+'Paste cell here'!S346</f>
        <v>0</v>
      </c>
      <c r="K346" s="1">
        <f t="shared" si="10"/>
        <v>0</v>
      </c>
      <c r="L346" s="1">
        <f t="shared" si="11"/>
        <v>3.1771428571428189</v>
      </c>
      <c r="M346" s="1">
        <f t="array" ref="M346">IF(AND(A346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346&gt;=_xlfn.ANCHORARRAY(Sintesi!$C$9))+(_xlfn.ANCHORARRAY(Sintesi!$C$9)&gt;_xlfn.ANCHORARRAY(Sintesi!$C$10))*(A346&lt;=_xlfn.ANCHORARRAY(Sintesi!$C$10))+(_xlfn.ANCHORARRAY(Sintesi!$C$9)&lt;_xlfn.ANCHORARRAY(Sintesi!$C$10))*(A346&gt;=_xlfn.ANCHORARRAY(Sintesi!$C$9))*(A346&lt;=_xlfn.ANCHORARRAY(Sintesi!$C$10)),0)),0),A346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347&gt;=_xlfn.ANCHORARRAY(Sintesi!$C$9))+(_xlfn.ANCHORARRAY(Sintesi!$C$9)&gt;_xlfn.ANCHORARRAY(Sintesi!$C$10))*(A347&lt;=_xlfn.ANCHORARRAY(Sintesi!$C$10))+(_xlfn.ANCHORARRAY(Sintesi!$C$9)&lt;_xlfn.ANCHORARRAY(Sintesi!$C$10))*(A347&gt;=_xlfn.ANCHORARRAY(Sintesi!$C$9))*(A347&lt;=_xlfn.ANCHORARRAY(Sintesi!$C$10)),0)),0)),IF(L346&lt;_xlfn.IFNA(INDEX(_xlfn.ANCHORARRAY(Sintesi!$C$17),1,MATCH(1,(_xlfn.ANCHORARRAY(Sintesi!$C$9)&gt;_xlfn.ANCHORARRAY(Sintesi!$C$10))*(A345&gt;=_xlfn.ANCHORARRAY(Sintesi!$C$9))+(_xlfn.ANCHORARRAY(Sintesi!$C$9)&gt;_xlfn.ANCHORARRAY(Sintesi!$C$10))*(A345&lt;=_xlfn.ANCHORARRAY(Sintesi!$C$10))+(_xlfn.ANCHORARRAY(Sintesi!$C$9)&lt;_xlfn.ANCHORARRAY(Sintesi!$C$10))*(A345&gt;=_xlfn.ANCHORARRAY(Sintesi!$C$9))*(A345&lt;=_xlfn.ANCHORARRAY(Sintesi!$C$10)),0)),0),1,IF(L346&gt;=_xlfn.IFNA(INDEX(_xlfn.ANCHORARRAY(Sintesi!$C$18),1,MATCH(1,(_xlfn.ANCHORARRAY(Sintesi!$C$9)&gt;_xlfn.ANCHORARRAY(Sintesi!$C$10))*(A345&gt;=_xlfn.ANCHORARRAY(Sintesi!$C$9))+(_xlfn.ANCHORARRAY(Sintesi!$C$9)&gt;_xlfn.ANCHORARRAY(Sintesi!$C$10))*(A345&lt;=_xlfn.ANCHORARRAY(Sintesi!$C$10))+(_xlfn.ANCHORARRAY(Sintesi!$C$9)&lt;_xlfn.ANCHORARRAY(Sintesi!$C$10))*(A345&gt;=_xlfn.ANCHORARRAY(Sintesi!$C$9))*(A345&lt;=_xlfn.ANCHORARRAY(Sintesi!$C$10)),0)),0),0,1-(L346-_xlfn.IFNA(INDEX(_xlfn.ANCHORARRAY(Sintesi!$C$17),1,MATCH(1,(_xlfn.ANCHORARRAY(Sintesi!$C$9)&gt;_xlfn.ANCHORARRAY(Sintesi!$C$10))*(A345&gt;=_xlfn.ANCHORARRAY(Sintesi!$C$9))+(_xlfn.ANCHORARRAY(Sintesi!$C$9)&gt;_xlfn.ANCHORARRAY(Sintesi!$C$10))*(A345&lt;=_xlfn.ANCHORARRAY(Sintesi!$C$10))+(_xlfn.ANCHORARRAY(Sintesi!$C$9)&lt;_xlfn.ANCHORARRAY(Sintesi!$C$10))*(A345&gt;=_xlfn.ANCHORARRAY(Sintesi!$C$9))*(A345&lt;=_xlfn.ANCHORARRAY(Sintesi!$C$10)),0)),0))/(_xlfn.IFNA(INDEX(_xlfn.ANCHORARRAY(Sintesi!$C$18),1,MATCH(1,(_xlfn.ANCHORARRAY(Sintesi!$C$9)&gt;_xlfn.ANCHORARRAY(Sintesi!$C$10))*(A345&gt;=_xlfn.ANCHORARRAY(Sintesi!$C$9))+(_xlfn.ANCHORARRAY(Sintesi!$C$9)&gt;_xlfn.ANCHORARRAY(Sintesi!$C$10))*(A345&lt;=_xlfn.ANCHORARRAY(Sintesi!$C$10))+(_xlfn.ANCHORARRAY(Sintesi!$C$9)&lt;_xlfn.ANCHORARRAY(Sintesi!$C$10))*(A345&gt;=_xlfn.ANCHORARRAY(Sintesi!$C$9))*(A345&lt;=_xlfn.ANCHORARRAY(Sintesi!$C$10)),0)),0)-_xlfn.IFNA(INDEX(_xlfn.ANCHORARRAY(Sintesi!$C$17),1,MATCH(1,(_xlfn.ANCHORARRAY(Sintesi!$C$9)&gt;_xlfn.ANCHORARRAY(Sintesi!$C$10))*(A345&gt;=_xlfn.ANCHORARRAY(Sintesi!$C$9))+(_xlfn.ANCHORARRAY(Sintesi!$C$9)&gt;_xlfn.ANCHORARRAY(Sintesi!$C$10))*(A345&lt;=_xlfn.ANCHORARRAY(Sintesi!$C$10))+(_xlfn.ANCHORARRAY(Sintesi!$C$9)&lt;_xlfn.ANCHORARRAY(Sintesi!$C$10))*(A345&gt;=_xlfn.ANCHORARRAY(Sintesi!$C$9))*(A345&lt;=_xlfn.ANCHORARRAY(Sintesi!$C$10)),0)),0)))),0)</f>
        <v>0</v>
      </c>
    </row>
    <row r="347" spans="1:13">
      <c r="A347" s="1">
        <f>'Paste cell here'!A347</f>
        <v>346</v>
      </c>
      <c r="B347" s="2">
        <f>DATE(Sintesi!$C$4-1,12,31)+A347</f>
        <v>44542</v>
      </c>
      <c r="C347" s="34">
        <f t="array" ref="C347">_xlfn.IFNA(MATCH(1,((_xlfn.ANCHORARRAY(Sintesi!$C$9)&gt;_xlfn.ANCHORARRAY(Sintesi!$C$10))*(A347&gt;=_xlfn.ANCHORARRAY(Sintesi!$C$9))+(_xlfn.ANCHORARRAY(Sintesi!$C$9)&gt;_xlfn.ANCHORARRAY(Sintesi!$C$10))*(A347&lt;=_xlfn.ANCHORARRAY(Sintesi!$C$10))+(_xlfn.ANCHORARRAY(Sintesi!$C$9)&lt;_xlfn.ANCHORARRAY(Sintesi!$C$10))*(A347&gt;=_xlfn.ANCHORARRAY(Sintesi!$C$9))*(A347&lt;=_xlfn.ANCHORARRAY(Sintesi!$C$10)))*(_xlfn.ANCHORARRAY(Sintesi!$C$15)&gt;=0)+(_xlfn.ANCHORARRAY(Sintesi!$C$15)&lt;0),0),0)</f>
        <v>0</v>
      </c>
      <c r="D347" s="1">
        <f t="array" ref="D347">IF(ISBLANK($E348),IF(ISNUMBER($E346),IF($C347&gt;0,IF(($E347=INDEX(_xlfn.ANCHORARRAY(Sintesi!$C$14),1,$C347))*(INDEX(_xlfn.ANCHORARRAY(Sintesi!$C$15),1,$C347)&gt;0),0,IF(($E347=INDEX(_xlfn.ANCHORARRAY(Sintesi!$C$14),1,$C347))*(INDEX(_xlfn.ANCHORARRAY(Sintesi!$C$15),1,$C347)&lt;0)+($E347&gt;=$E346)*($E347&lt;=INDEX($E:$E,MATCH(TRUE,INDEX((ISNUMBER($E:$E)),0),0)))*($E347&gt;INDEX(_xlfn.ANCHORARRAY(Sintesi!$C$14),1,$C347))*($E347&lt;=INDEX(_xlfn.ANCHORARRAY(Sintesi!$C$15),1,$C347))*(INDEX(_xlfn.ANCHORARRAY(Sintesi!$C$15),1,$C347)&gt;0),1,IF(($E347&gt;=$E346)*($E347&lt;=INDEX($E:$E,MATCH(TRUE,INDEX((ISNUMBER($E:$E)),0),0)))*($E347&gt;INDEX(_xlfn.ANCHORARRAY(Sintesi!$C$14),1,$C347))*($E347&lt;INDEX(_xlfn.ANCHORARRAY(Sintesi!$C$16),1,$C347))*(INDEX(_xlfn.ANCHORARRAY(Sintesi!$C$15),1,$C347)&lt;0)+($E347&gt;=$E346)*($E347&lt;=INDEX($E:$E,MATCH(TRUE,INDEX((ISNUMBER($E:$E)),0),0)))*($E347&gt;INDEX(_xlfn.ANCHORARRAY(Sintesi!$C$15),1,$C347))*($E347&lt;INDEX(_xlfn.ANCHORARRAY(Sintesi!$C$16),1,$C347))*(INDEX(_xlfn.ANCHORARRAY(Sintesi!$C$15),1,$C347)&gt;0),2,IF($E347=(INDEX(_xlfn.ANCHORARRAY(Sintesi!$C$16),1,$C347)),3,4)))),0),IF($C347&gt;0,IF(($E347=INDEX(_xlfn.ANCHORARRAY(Sintesi!$C$14),1,$C347))*(INDEX(_xlfn.ANCHORARRAY(Sintesi!$C$15),1,$C347)&gt;0),0,IF(($E347=INDEX(_xlfn.ANCHORARRAY(Sintesi!$C$14),1,$C347))*(INDEX(_xlfn.ANCHORARRAY(Sintesi!$C$15),1,$C347)&lt;0)+($E347&gt;=LOOKUP(2,1/($E:$E&lt;&gt;""),$E:$E))*($E347&lt;=INDEX($E:$E,MATCH(TRUE,INDEX((ISNUMBER($E:$E)),0),0)))*($E347&gt;INDEX(_xlfn.ANCHORARRAY(Sintesi!$C$14),1,$C347))*($E347&lt;=INDEX(_xlfn.ANCHORARRAY(Sintesi!$C$15),1,$C347))*(INDEX(_xlfn.ANCHORARRAY(Sintesi!$C$15),1,$C347)&gt;0),1,IF(($E347&gt;=LOOKUP(2,1/($E:$E&lt;&gt;""),$E:$E))*($E347&lt;=INDEX($E:$E,MATCH(TRUE,INDEX((ISNUMBER($E:$E)),0),0)))*($E347&gt;INDEX(_xlfn.ANCHORARRAY(Sintesi!$C$14),1,$C347))*($E347&lt;INDEX(_xlfn.ANCHORARRAY(Sintesi!$C$16),1,$C347))*(INDEX(_xlfn.ANCHORARRAY(Sintesi!$C$15),1,$C347)&lt;0)+($E347&gt;=LOOKUP(2,1/($E:$E&lt;&gt;""),$E:$E))*($E347&lt;=INDEX($E:$E,MATCH(TRUE,INDEX((ISNUMBER($E:$E)),0),0)))*($E347&gt;INDEX(_xlfn.ANCHORARRAY(Sintesi!$C$15),1,$C347))*($E347&lt;INDEX(_xlfn.ANCHORARRAY(Sintesi!$C$16),1,$C347))*(INDEX(_xlfn.ANCHORARRAY(Sintesi!$C$15),1,$C347)&gt;0),2,IF($E347=(INDEX(_xlfn.ANCHORARRAY(Sintesi!$C$16),1,$C347)),3,4)))),0)),IF(ISNUMBER($E346),IF($C347&gt;0,IF(($E347=INDEX(_xlfn.ANCHORARRAY(Sintesi!$C$14),1,$C347))*(INDEX(_xlfn.ANCHORARRAY(Sintesi!$C$15),1,$C347)&gt;0),0,IF(($E347=INDEX(_xlfn.ANCHORARRAY(Sintesi!$C$14),1,$C347))*(INDEX(_xlfn.ANCHORARRAY(Sintesi!$C$15),1,$C347)&lt;0)+($E347&gt;=$E346)*($E347&lt;=$E348)*($E347&gt;INDEX(_xlfn.ANCHORARRAY(Sintesi!$C$14),1,$C347))*($E347&lt;=INDEX(_xlfn.ANCHORARRAY(Sintesi!$C$15),1,$C347))*(INDEX(_xlfn.ANCHORARRAY(Sintesi!$C$15),1,$C347)&gt;0),1,IF(($E347&gt;=$E346)*($E347&lt;=$E348)*($E347&gt;INDEX(_xlfn.ANCHORARRAY(Sintesi!$C$14),1,$C347))*($E347&lt;INDEX(_xlfn.ANCHORARRAY(Sintesi!$C$16),1,$C347))*(INDEX(_xlfn.ANCHORARRAY(Sintesi!$C$15),1,$C347)&lt;0)+($E347&gt;=$E346)*($E347&lt;=$E348)*($E347&gt;INDEX(_xlfn.ANCHORARRAY(Sintesi!$C$15),1,$C347))*($E347&lt;INDEX(_xlfn.ANCHORARRAY(Sintesi!$C$16),1,$C347))*(INDEX(_xlfn.ANCHORARRAY(Sintesi!$C$15),1,$C347)&gt;0),2,IF($E347=(INDEX(_xlfn.ANCHORARRAY(Sintesi!$C$16),1,$C347)),3,4)))),0),IF($C347&gt;0,IF(($E347=INDEX(_xlfn.ANCHORARRAY(Sintesi!$C$14),1,$C347))*(INDEX(_xlfn.ANCHORARRAY(Sintesi!$C$15),1,$C347)&gt;0),0,IF(($E347=INDEX(_xlfn.ANCHORARRAY(Sintesi!$C$14),1,$C347))*(INDEX(_xlfn.ANCHORARRAY(Sintesi!$C$15),1,$C347)&lt;0)+($E347&gt;=LOOKUP(2,1/($E:$E&lt;&gt;""),$E:$E))*($E347&lt;=$E348)*($E347&gt;INDEX(_xlfn.ANCHORARRAY(Sintesi!$C$14),1,$C347))*($E347&lt;=INDEX(_xlfn.ANCHORARRAY(Sintesi!$C$15),1,$C347))*(INDEX(_xlfn.ANCHORARRAY(Sintesi!$C$15),1,$C347)&gt;0),1,IF(($E347&gt;=LOOKUP(2,1/($E:$E&lt;&gt;""),$E:$E))*($E347&lt;=$E348)*($E347&gt;INDEX(_xlfn.ANCHORARRAY(Sintesi!$C$14),1,$C347))*($E347&lt;INDEX(_xlfn.ANCHORARRAY(Sintesi!$C$16),1,$C347))*(INDEX(_xlfn.ANCHORARRAY(Sintesi!$C$15),1,$C347)&lt;0)+($E347&gt;=LOOKUP(2,1/($E:$E&lt;&gt;""),$E:$E))*($E347&lt;=$E348)*($E347&gt;INDEX(_xlfn.ANCHORARRAY(Sintesi!$C$15),1,$C347))*($E347&lt;INDEX(_xlfn.ANCHORARRAY(Sintesi!$C$16),1,$C347))*(INDEX(_xlfn.ANCHORARRAY(Sintesi!$C$15),1,$C347)&gt;0),2,IF($E347=(INDEX(_xlfn.ANCHORARRAY(Sintesi!$C$16),1,$C347)),3,4)))),0)))</f>
        <v>0</v>
      </c>
      <c r="E347" s="1">
        <f>'Paste cell here'!F347</f>
        <v>0</v>
      </c>
      <c r="F347" s="1">
        <f>'Paste cell here'!C347</f>
        <v>10.099999999999877</v>
      </c>
      <c r="G347" s="1">
        <f>'Paste cell here'!D347</f>
        <v>-3.1599999999999393</v>
      </c>
      <c r="H347" s="1">
        <f>'Paste cell here'!E347</f>
        <v>0.21639432654770674</v>
      </c>
      <c r="I347" s="1">
        <f>'Paste cell here'!X347</f>
        <v>0</v>
      </c>
      <c r="J347" s="1">
        <f>'Paste cell here'!Y347+'Paste cell here'!S347</f>
        <v>0</v>
      </c>
      <c r="K347" s="1">
        <f t="shared" si="10"/>
        <v>0</v>
      </c>
      <c r="L347" s="1">
        <f t="shared" si="11"/>
        <v>4.417142857142812</v>
      </c>
      <c r="M347" s="1">
        <f t="array" ref="M347">IF(AND(A347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347&gt;=_xlfn.ANCHORARRAY(Sintesi!$C$9))+(_xlfn.ANCHORARRAY(Sintesi!$C$9)&gt;_xlfn.ANCHORARRAY(Sintesi!$C$10))*(A347&lt;=_xlfn.ANCHORARRAY(Sintesi!$C$10))+(_xlfn.ANCHORARRAY(Sintesi!$C$9)&lt;_xlfn.ANCHORARRAY(Sintesi!$C$10))*(A347&gt;=_xlfn.ANCHORARRAY(Sintesi!$C$9))*(A347&lt;=_xlfn.ANCHORARRAY(Sintesi!$C$10)),0)),0),A347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348&gt;=_xlfn.ANCHORARRAY(Sintesi!$C$9))+(_xlfn.ANCHORARRAY(Sintesi!$C$9)&gt;_xlfn.ANCHORARRAY(Sintesi!$C$10))*(A348&lt;=_xlfn.ANCHORARRAY(Sintesi!$C$10))+(_xlfn.ANCHORARRAY(Sintesi!$C$9)&lt;_xlfn.ANCHORARRAY(Sintesi!$C$10))*(A348&gt;=_xlfn.ANCHORARRAY(Sintesi!$C$9))*(A348&lt;=_xlfn.ANCHORARRAY(Sintesi!$C$10)),0)),0)),IF(L347&lt;_xlfn.IFNA(INDEX(_xlfn.ANCHORARRAY(Sintesi!$C$17),1,MATCH(1,(_xlfn.ANCHORARRAY(Sintesi!$C$9)&gt;_xlfn.ANCHORARRAY(Sintesi!$C$10))*(A346&gt;=_xlfn.ANCHORARRAY(Sintesi!$C$9))+(_xlfn.ANCHORARRAY(Sintesi!$C$9)&gt;_xlfn.ANCHORARRAY(Sintesi!$C$10))*(A346&lt;=_xlfn.ANCHORARRAY(Sintesi!$C$10))+(_xlfn.ANCHORARRAY(Sintesi!$C$9)&lt;_xlfn.ANCHORARRAY(Sintesi!$C$10))*(A346&gt;=_xlfn.ANCHORARRAY(Sintesi!$C$9))*(A346&lt;=_xlfn.ANCHORARRAY(Sintesi!$C$10)),0)),0),1,IF(L347&gt;=_xlfn.IFNA(INDEX(_xlfn.ANCHORARRAY(Sintesi!$C$18),1,MATCH(1,(_xlfn.ANCHORARRAY(Sintesi!$C$9)&gt;_xlfn.ANCHORARRAY(Sintesi!$C$10))*(A346&gt;=_xlfn.ANCHORARRAY(Sintesi!$C$9))+(_xlfn.ANCHORARRAY(Sintesi!$C$9)&gt;_xlfn.ANCHORARRAY(Sintesi!$C$10))*(A346&lt;=_xlfn.ANCHORARRAY(Sintesi!$C$10))+(_xlfn.ANCHORARRAY(Sintesi!$C$9)&lt;_xlfn.ANCHORARRAY(Sintesi!$C$10))*(A346&gt;=_xlfn.ANCHORARRAY(Sintesi!$C$9))*(A346&lt;=_xlfn.ANCHORARRAY(Sintesi!$C$10)),0)),0),0,1-(L347-_xlfn.IFNA(INDEX(_xlfn.ANCHORARRAY(Sintesi!$C$17),1,MATCH(1,(_xlfn.ANCHORARRAY(Sintesi!$C$9)&gt;_xlfn.ANCHORARRAY(Sintesi!$C$10))*(A346&gt;=_xlfn.ANCHORARRAY(Sintesi!$C$9))+(_xlfn.ANCHORARRAY(Sintesi!$C$9)&gt;_xlfn.ANCHORARRAY(Sintesi!$C$10))*(A346&lt;=_xlfn.ANCHORARRAY(Sintesi!$C$10))+(_xlfn.ANCHORARRAY(Sintesi!$C$9)&lt;_xlfn.ANCHORARRAY(Sintesi!$C$10))*(A346&gt;=_xlfn.ANCHORARRAY(Sintesi!$C$9))*(A346&lt;=_xlfn.ANCHORARRAY(Sintesi!$C$10)),0)),0))/(_xlfn.IFNA(INDEX(_xlfn.ANCHORARRAY(Sintesi!$C$18),1,MATCH(1,(_xlfn.ANCHORARRAY(Sintesi!$C$9)&gt;_xlfn.ANCHORARRAY(Sintesi!$C$10))*(A346&gt;=_xlfn.ANCHORARRAY(Sintesi!$C$9))+(_xlfn.ANCHORARRAY(Sintesi!$C$9)&gt;_xlfn.ANCHORARRAY(Sintesi!$C$10))*(A346&lt;=_xlfn.ANCHORARRAY(Sintesi!$C$10))+(_xlfn.ANCHORARRAY(Sintesi!$C$9)&lt;_xlfn.ANCHORARRAY(Sintesi!$C$10))*(A346&gt;=_xlfn.ANCHORARRAY(Sintesi!$C$9))*(A346&lt;=_xlfn.ANCHORARRAY(Sintesi!$C$10)),0)),0)-_xlfn.IFNA(INDEX(_xlfn.ANCHORARRAY(Sintesi!$C$17),1,MATCH(1,(_xlfn.ANCHORARRAY(Sintesi!$C$9)&gt;_xlfn.ANCHORARRAY(Sintesi!$C$10))*(A346&gt;=_xlfn.ANCHORARRAY(Sintesi!$C$9))+(_xlfn.ANCHORARRAY(Sintesi!$C$9)&gt;_xlfn.ANCHORARRAY(Sintesi!$C$10))*(A346&lt;=_xlfn.ANCHORARRAY(Sintesi!$C$10))+(_xlfn.ANCHORARRAY(Sintesi!$C$9)&lt;_xlfn.ANCHORARRAY(Sintesi!$C$10))*(A346&gt;=_xlfn.ANCHORARRAY(Sintesi!$C$9))*(A346&lt;=_xlfn.ANCHORARRAY(Sintesi!$C$10)),0)),0)))),0)</f>
        <v>0</v>
      </c>
    </row>
    <row r="348" spans="1:13">
      <c r="A348" s="1">
        <f>'Paste cell here'!A348</f>
        <v>347</v>
      </c>
      <c r="B348" s="2">
        <f>DATE(Sintesi!$C$4-1,12,31)+A348</f>
        <v>44543</v>
      </c>
      <c r="C348" s="34">
        <f t="array" ref="C348">_xlfn.IFNA(MATCH(1,((_xlfn.ANCHORARRAY(Sintesi!$C$9)&gt;_xlfn.ANCHORARRAY(Sintesi!$C$10))*(A348&gt;=_xlfn.ANCHORARRAY(Sintesi!$C$9))+(_xlfn.ANCHORARRAY(Sintesi!$C$9)&gt;_xlfn.ANCHORARRAY(Sintesi!$C$10))*(A348&lt;=_xlfn.ANCHORARRAY(Sintesi!$C$10))+(_xlfn.ANCHORARRAY(Sintesi!$C$9)&lt;_xlfn.ANCHORARRAY(Sintesi!$C$10))*(A348&gt;=_xlfn.ANCHORARRAY(Sintesi!$C$9))*(A348&lt;=_xlfn.ANCHORARRAY(Sintesi!$C$10)))*(_xlfn.ANCHORARRAY(Sintesi!$C$15)&gt;=0)+(_xlfn.ANCHORARRAY(Sintesi!$C$15)&lt;0),0),0)</f>
        <v>0</v>
      </c>
      <c r="D348" s="1">
        <f t="array" ref="D348">IF(ISBLANK($E349),IF(ISNUMBER($E347),IF($C348&gt;0,IF(($E348=INDEX(_xlfn.ANCHORARRAY(Sintesi!$C$14),1,$C348))*(INDEX(_xlfn.ANCHORARRAY(Sintesi!$C$15),1,$C348)&gt;0),0,IF(($E348=INDEX(_xlfn.ANCHORARRAY(Sintesi!$C$14),1,$C348))*(INDEX(_xlfn.ANCHORARRAY(Sintesi!$C$15),1,$C348)&lt;0)+($E348&gt;=$E347)*($E348&lt;=INDEX($E:$E,MATCH(TRUE,INDEX((ISNUMBER($E:$E)),0),0)))*($E348&gt;INDEX(_xlfn.ANCHORARRAY(Sintesi!$C$14),1,$C348))*($E348&lt;=INDEX(_xlfn.ANCHORARRAY(Sintesi!$C$15),1,$C348))*(INDEX(_xlfn.ANCHORARRAY(Sintesi!$C$15),1,$C348)&gt;0),1,IF(($E348&gt;=$E347)*($E348&lt;=INDEX($E:$E,MATCH(TRUE,INDEX((ISNUMBER($E:$E)),0),0)))*($E348&gt;INDEX(_xlfn.ANCHORARRAY(Sintesi!$C$14),1,$C348))*($E348&lt;INDEX(_xlfn.ANCHORARRAY(Sintesi!$C$16),1,$C348))*(INDEX(_xlfn.ANCHORARRAY(Sintesi!$C$15),1,$C348)&lt;0)+($E348&gt;=$E347)*($E348&lt;=INDEX($E:$E,MATCH(TRUE,INDEX((ISNUMBER($E:$E)),0),0)))*($E348&gt;INDEX(_xlfn.ANCHORARRAY(Sintesi!$C$15),1,$C348))*($E348&lt;INDEX(_xlfn.ANCHORARRAY(Sintesi!$C$16),1,$C348))*(INDEX(_xlfn.ANCHORARRAY(Sintesi!$C$15),1,$C348)&gt;0),2,IF($E348=(INDEX(_xlfn.ANCHORARRAY(Sintesi!$C$16),1,$C348)),3,4)))),0),IF($C348&gt;0,IF(($E348=INDEX(_xlfn.ANCHORARRAY(Sintesi!$C$14),1,$C348))*(INDEX(_xlfn.ANCHORARRAY(Sintesi!$C$15),1,$C348)&gt;0),0,IF(($E348=INDEX(_xlfn.ANCHORARRAY(Sintesi!$C$14),1,$C348))*(INDEX(_xlfn.ANCHORARRAY(Sintesi!$C$15),1,$C348)&lt;0)+($E348&gt;=LOOKUP(2,1/($E:$E&lt;&gt;""),$E:$E))*($E348&lt;=INDEX($E:$E,MATCH(TRUE,INDEX((ISNUMBER($E:$E)),0),0)))*($E348&gt;INDEX(_xlfn.ANCHORARRAY(Sintesi!$C$14),1,$C348))*($E348&lt;=INDEX(_xlfn.ANCHORARRAY(Sintesi!$C$15),1,$C348))*(INDEX(_xlfn.ANCHORARRAY(Sintesi!$C$15),1,$C348)&gt;0),1,IF(($E348&gt;=LOOKUP(2,1/($E:$E&lt;&gt;""),$E:$E))*($E348&lt;=INDEX($E:$E,MATCH(TRUE,INDEX((ISNUMBER($E:$E)),0),0)))*($E348&gt;INDEX(_xlfn.ANCHORARRAY(Sintesi!$C$14),1,$C348))*($E348&lt;INDEX(_xlfn.ANCHORARRAY(Sintesi!$C$16),1,$C348))*(INDEX(_xlfn.ANCHORARRAY(Sintesi!$C$15),1,$C348)&lt;0)+($E348&gt;=LOOKUP(2,1/($E:$E&lt;&gt;""),$E:$E))*($E348&lt;=INDEX($E:$E,MATCH(TRUE,INDEX((ISNUMBER($E:$E)),0),0)))*($E348&gt;INDEX(_xlfn.ANCHORARRAY(Sintesi!$C$15),1,$C348))*($E348&lt;INDEX(_xlfn.ANCHORARRAY(Sintesi!$C$16),1,$C348))*(INDEX(_xlfn.ANCHORARRAY(Sintesi!$C$15),1,$C348)&gt;0),2,IF($E348=(INDEX(_xlfn.ANCHORARRAY(Sintesi!$C$16),1,$C348)),3,4)))),0)),IF(ISNUMBER($E347),IF($C348&gt;0,IF(($E348=INDEX(_xlfn.ANCHORARRAY(Sintesi!$C$14),1,$C348))*(INDEX(_xlfn.ANCHORARRAY(Sintesi!$C$15),1,$C348)&gt;0),0,IF(($E348=INDEX(_xlfn.ANCHORARRAY(Sintesi!$C$14),1,$C348))*(INDEX(_xlfn.ANCHORARRAY(Sintesi!$C$15),1,$C348)&lt;0)+($E348&gt;=$E347)*($E348&lt;=$E349)*($E348&gt;INDEX(_xlfn.ANCHORARRAY(Sintesi!$C$14),1,$C348))*($E348&lt;=INDEX(_xlfn.ANCHORARRAY(Sintesi!$C$15),1,$C348))*(INDEX(_xlfn.ANCHORARRAY(Sintesi!$C$15),1,$C348)&gt;0),1,IF(($E348&gt;=$E347)*($E348&lt;=$E349)*($E348&gt;INDEX(_xlfn.ANCHORARRAY(Sintesi!$C$14),1,$C348))*($E348&lt;INDEX(_xlfn.ANCHORARRAY(Sintesi!$C$16),1,$C348))*(INDEX(_xlfn.ANCHORARRAY(Sintesi!$C$15),1,$C348)&lt;0)+($E348&gt;=$E347)*($E348&lt;=$E349)*($E348&gt;INDEX(_xlfn.ANCHORARRAY(Sintesi!$C$15),1,$C348))*($E348&lt;INDEX(_xlfn.ANCHORARRAY(Sintesi!$C$16),1,$C348))*(INDEX(_xlfn.ANCHORARRAY(Sintesi!$C$15),1,$C348)&gt;0),2,IF($E348=(INDEX(_xlfn.ANCHORARRAY(Sintesi!$C$16),1,$C348)),3,4)))),0),IF($C348&gt;0,IF(($E348=INDEX(_xlfn.ANCHORARRAY(Sintesi!$C$14),1,$C348))*(INDEX(_xlfn.ANCHORARRAY(Sintesi!$C$15),1,$C348)&gt;0),0,IF(($E348=INDEX(_xlfn.ANCHORARRAY(Sintesi!$C$14),1,$C348))*(INDEX(_xlfn.ANCHORARRAY(Sintesi!$C$15),1,$C348)&lt;0)+($E348&gt;=LOOKUP(2,1/($E:$E&lt;&gt;""),$E:$E))*($E348&lt;=$E349)*($E348&gt;INDEX(_xlfn.ANCHORARRAY(Sintesi!$C$14),1,$C348))*($E348&lt;=INDEX(_xlfn.ANCHORARRAY(Sintesi!$C$15),1,$C348))*(INDEX(_xlfn.ANCHORARRAY(Sintesi!$C$15),1,$C348)&gt;0),1,IF(($E348&gt;=LOOKUP(2,1/($E:$E&lt;&gt;""),$E:$E))*($E348&lt;=$E349)*($E348&gt;INDEX(_xlfn.ANCHORARRAY(Sintesi!$C$14),1,$C348))*($E348&lt;INDEX(_xlfn.ANCHORARRAY(Sintesi!$C$16),1,$C348))*(INDEX(_xlfn.ANCHORARRAY(Sintesi!$C$15),1,$C348)&lt;0)+($E348&gt;=LOOKUP(2,1/($E:$E&lt;&gt;""),$E:$E))*($E348&lt;=$E349)*($E348&gt;INDEX(_xlfn.ANCHORARRAY(Sintesi!$C$15),1,$C348))*($E348&lt;INDEX(_xlfn.ANCHORARRAY(Sintesi!$C$16),1,$C348))*(INDEX(_xlfn.ANCHORARRAY(Sintesi!$C$15),1,$C348)&gt;0),2,IF($E348=(INDEX(_xlfn.ANCHORARRAY(Sintesi!$C$16),1,$C348)),3,4)))),0)))</f>
        <v>0</v>
      </c>
      <c r="E348" s="1">
        <f>'Paste cell here'!F348</f>
        <v>0</v>
      </c>
      <c r="F348" s="1">
        <f>'Paste cell here'!C348</f>
        <v>11.859999999999838</v>
      </c>
      <c r="G348" s="1">
        <f>'Paste cell here'!D348</f>
        <v>-0.5199999999999747</v>
      </c>
      <c r="H348" s="1">
        <f>'Paste cell here'!E348</f>
        <v>0.27645265575645983</v>
      </c>
      <c r="I348" s="1">
        <f>'Paste cell here'!X348</f>
        <v>0</v>
      </c>
      <c r="J348" s="1">
        <f>'Paste cell here'!Y348+'Paste cell here'!S348</f>
        <v>0</v>
      </c>
      <c r="K348" s="1">
        <f t="shared" si="10"/>
        <v>0</v>
      </c>
      <c r="L348" s="1">
        <f t="shared" si="11"/>
        <v>6.5542857142856317</v>
      </c>
      <c r="M348" s="1">
        <f t="array" ref="M348">IF(AND(A348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348&gt;=_xlfn.ANCHORARRAY(Sintesi!$C$9))+(_xlfn.ANCHORARRAY(Sintesi!$C$9)&gt;_xlfn.ANCHORARRAY(Sintesi!$C$10))*(A348&lt;=_xlfn.ANCHORARRAY(Sintesi!$C$10))+(_xlfn.ANCHORARRAY(Sintesi!$C$9)&lt;_xlfn.ANCHORARRAY(Sintesi!$C$10))*(A348&gt;=_xlfn.ANCHORARRAY(Sintesi!$C$9))*(A348&lt;=_xlfn.ANCHORARRAY(Sintesi!$C$10)),0)),0),A348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349&gt;=_xlfn.ANCHORARRAY(Sintesi!$C$9))+(_xlfn.ANCHORARRAY(Sintesi!$C$9)&gt;_xlfn.ANCHORARRAY(Sintesi!$C$10))*(A349&lt;=_xlfn.ANCHORARRAY(Sintesi!$C$10))+(_xlfn.ANCHORARRAY(Sintesi!$C$9)&lt;_xlfn.ANCHORARRAY(Sintesi!$C$10))*(A349&gt;=_xlfn.ANCHORARRAY(Sintesi!$C$9))*(A349&lt;=_xlfn.ANCHORARRAY(Sintesi!$C$10)),0)),0)),IF(L348&lt;_xlfn.IFNA(INDEX(_xlfn.ANCHORARRAY(Sintesi!$C$17),1,MATCH(1,(_xlfn.ANCHORARRAY(Sintesi!$C$9)&gt;_xlfn.ANCHORARRAY(Sintesi!$C$10))*(A347&gt;=_xlfn.ANCHORARRAY(Sintesi!$C$9))+(_xlfn.ANCHORARRAY(Sintesi!$C$9)&gt;_xlfn.ANCHORARRAY(Sintesi!$C$10))*(A347&lt;=_xlfn.ANCHORARRAY(Sintesi!$C$10))+(_xlfn.ANCHORARRAY(Sintesi!$C$9)&lt;_xlfn.ANCHORARRAY(Sintesi!$C$10))*(A347&gt;=_xlfn.ANCHORARRAY(Sintesi!$C$9))*(A347&lt;=_xlfn.ANCHORARRAY(Sintesi!$C$10)),0)),0),1,IF(L348&gt;=_xlfn.IFNA(INDEX(_xlfn.ANCHORARRAY(Sintesi!$C$18),1,MATCH(1,(_xlfn.ANCHORARRAY(Sintesi!$C$9)&gt;_xlfn.ANCHORARRAY(Sintesi!$C$10))*(A347&gt;=_xlfn.ANCHORARRAY(Sintesi!$C$9))+(_xlfn.ANCHORARRAY(Sintesi!$C$9)&gt;_xlfn.ANCHORARRAY(Sintesi!$C$10))*(A347&lt;=_xlfn.ANCHORARRAY(Sintesi!$C$10))+(_xlfn.ANCHORARRAY(Sintesi!$C$9)&lt;_xlfn.ANCHORARRAY(Sintesi!$C$10))*(A347&gt;=_xlfn.ANCHORARRAY(Sintesi!$C$9))*(A347&lt;=_xlfn.ANCHORARRAY(Sintesi!$C$10)),0)),0),0,1-(L348-_xlfn.IFNA(INDEX(_xlfn.ANCHORARRAY(Sintesi!$C$17),1,MATCH(1,(_xlfn.ANCHORARRAY(Sintesi!$C$9)&gt;_xlfn.ANCHORARRAY(Sintesi!$C$10))*(A347&gt;=_xlfn.ANCHORARRAY(Sintesi!$C$9))+(_xlfn.ANCHORARRAY(Sintesi!$C$9)&gt;_xlfn.ANCHORARRAY(Sintesi!$C$10))*(A347&lt;=_xlfn.ANCHORARRAY(Sintesi!$C$10))+(_xlfn.ANCHORARRAY(Sintesi!$C$9)&lt;_xlfn.ANCHORARRAY(Sintesi!$C$10))*(A347&gt;=_xlfn.ANCHORARRAY(Sintesi!$C$9))*(A347&lt;=_xlfn.ANCHORARRAY(Sintesi!$C$10)),0)),0))/(_xlfn.IFNA(INDEX(_xlfn.ANCHORARRAY(Sintesi!$C$18),1,MATCH(1,(_xlfn.ANCHORARRAY(Sintesi!$C$9)&gt;_xlfn.ANCHORARRAY(Sintesi!$C$10))*(A347&gt;=_xlfn.ANCHORARRAY(Sintesi!$C$9))+(_xlfn.ANCHORARRAY(Sintesi!$C$9)&gt;_xlfn.ANCHORARRAY(Sintesi!$C$10))*(A347&lt;=_xlfn.ANCHORARRAY(Sintesi!$C$10))+(_xlfn.ANCHORARRAY(Sintesi!$C$9)&lt;_xlfn.ANCHORARRAY(Sintesi!$C$10))*(A347&gt;=_xlfn.ANCHORARRAY(Sintesi!$C$9))*(A347&lt;=_xlfn.ANCHORARRAY(Sintesi!$C$10)),0)),0)-_xlfn.IFNA(INDEX(_xlfn.ANCHORARRAY(Sintesi!$C$17),1,MATCH(1,(_xlfn.ANCHORARRAY(Sintesi!$C$9)&gt;_xlfn.ANCHORARRAY(Sintesi!$C$10))*(A347&gt;=_xlfn.ANCHORARRAY(Sintesi!$C$9))+(_xlfn.ANCHORARRAY(Sintesi!$C$9)&gt;_xlfn.ANCHORARRAY(Sintesi!$C$10))*(A347&lt;=_xlfn.ANCHORARRAY(Sintesi!$C$10))+(_xlfn.ANCHORARRAY(Sintesi!$C$9)&lt;_xlfn.ANCHORARRAY(Sintesi!$C$10))*(A347&gt;=_xlfn.ANCHORARRAY(Sintesi!$C$9))*(A347&lt;=_xlfn.ANCHORARRAY(Sintesi!$C$10)),0)),0)))),0)</f>
        <v>0</v>
      </c>
    </row>
    <row r="349" spans="1:13">
      <c r="A349" s="1">
        <f>'Paste cell here'!A349</f>
        <v>348</v>
      </c>
      <c r="B349" s="2">
        <f>DATE(Sintesi!$C$4-1,12,31)+A349</f>
        <v>44544</v>
      </c>
      <c r="C349" s="34">
        <f t="array" ref="C349">_xlfn.IFNA(MATCH(1,((_xlfn.ANCHORARRAY(Sintesi!$C$9)&gt;_xlfn.ANCHORARRAY(Sintesi!$C$10))*(A349&gt;=_xlfn.ANCHORARRAY(Sintesi!$C$9))+(_xlfn.ANCHORARRAY(Sintesi!$C$9)&gt;_xlfn.ANCHORARRAY(Sintesi!$C$10))*(A349&lt;=_xlfn.ANCHORARRAY(Sintesi!$C$10))+(_xlfn.ANCHORARRAY(Sintesi!$C$9)&lt;_xlfn.ANCHORARRAY(Sintesi!$C$10))*(A349&gt;=_xlfn.ANCHORARRAY(Sintesi!$C$9))*(A349&lt;=_xlfn.ANCHORARRAY(Sintesi!$C$10)))*(_xlfn.ANCHORARRAY(Sintesi!$C$15)&gt;=0)+(_xlfn.ANCHORARRAY(Sintesi!$C$15)&lt;0),0),0)</f>
        <v>0</v>
      </c>
      <c r="D349" s="1">
        <f t="array" ref="D349">IF(ISBLANK($E350),IF(ISNUMBER($E348),IF($C349&gt;0,IF(($E349=INDEX(_xlfn.ANCHORARRAY(Sintesi!$C$14),1,$C349))*(INDEX(_xlfn.ANCHORARRAY(Sintesi!$C$15),1,$C349)&gt;0),0,IF(($E349=INDEX(_xlfn.ANCHORARRAY(Sintesi!$C$14),1,$C349))*(INDEX(_xlfn.ANCHORARRAY(Sintesi!$C$15),1,$C349)&lt;0)+($E349&gt;=$E348)*($E349&lt;=INDEX($E:$E,MATCH(TRUE,INDEX((ISNUMBER($E:$E)),0),0)))*($E349&gt;INDEX(_xlfn.ANCHORARRAY(Sintesi!$C$14),1,$C349))*($E349&lt;=INDEX(_xlfn.ANCHORARRAY(Sintesi!$C$15),1,$C349))*(INDEX(_xlfn.ANCHORARRAY(Sintesi!$C$15),1,$C349)&gt;0),1,IF(($E349&gt;=$E348)*($E349&lt;=INDEX($E:$E,MATCH(TRUE,INDEX((ISNUMBER($E:$E)),0),0)))*($E349&gt;INDEX(_xlfn.ANCHORARRAY(Sintesi!$C$14),1,$C349))*($E349&lt;INDEX(_xlfn.ANCHORARRAY(Sintesi!$C$16),1,$C349))*(INDEX(_xlfn.ANCHORARRAY(Sintesi!$C$15),1,$C349)&lt;0)+($E349&gt;=$E348)*($E349&lt;=INDEX($E:$E,MATCH(TRUE,INDEX((ISNUMBER($E:$E)),0),0)))*($E349&gt;INDEX(_xlfn.ANCHORARRAY(Sintesi!$C$15),1,$C349))*($E349&lt;INDEX(_xlfn.ANCHORARRAY(Sintesi!$C$16),1,$C349))*(INDEX(_xlfn.ANCHORARRAY(Sintesi!$C$15),1,$C349)&gt;0),2,IF($E349=(INDEX(_xlfn.ANCHORARRAY(Sintesi!$C$16),1,$C349)),3,4)))),0),IF($C349&gt;0,IF(($E349=INDEX(_xlfn.ANCHORARRAY(Sintesi!$C$14),1,$C349))*(INDEX(_xlfn.ANCHORARRAY(Sintesi!$C$15),1,$C349)&gt;0),0,IF(($E349=INDEX(_xlfn.ANCHORARRAY(Sintesi!$C$14),1,$C349))*(INDEX(_xlfn.ANCHORARRAY(Sintesi!$C$15),1,$C349)&lt;0)+($E349&gt;=LOOKUP(2,1/($E:$E&lt;&gt;""),$E:$E))*($E349&lt;=INDEX($E:$E,MATCH(TRUE,INDEX((ISNUMBER($E:$E)),0),0)))*($E349&gt;INDEX(_xlfn.ANCHORARRAY(Sintesi!$C$14),1,$C349))*($E349&lt;=INDEX(_xlfn.ANCHORARRAY(Sintesi!$C$15),1,$C349))*(INDEX(_xlfn.ANCHORARRAY(Sintesi!$C$15),1,$C349)&gt;0),1,IF(($E349&gt;=LOOKUP(2,1/($E:$E&lt;&gt;""),$E:$E))*($E349&lt;=INDEX($E:$E,MATCH(TRUE,INDEX((ISNUMBER($E:$E)),0),0)))*($E349&gt;INDEX(_xlfn.ANCHORARRAY(Sintesi!$C$14),1,$C349))*($E349&lt;INDEX(_xlfn.ANCHORARRAY(Sintesi!$C$16),1,$C349))*(INDEX(_xlfn.ANCHORARRAY(Sintesi!$C$15),1,$C349)&lt;0)+($E349&gt;=LOOKUP(2,1/($E:$E&lt;&gt;""),$E:$E))*($E349&lt;=INDEX($E:$E,MATCH(TRUE,INDEX((ISNUMBER($E:$E)),0),0)))*($E349&gt;INDEX(_xlfn.ANCHORARRAY(Sintesi!$C$15),1,$C349))*($E349&lt;INDEX(_xlfn.ANCHORARRAY(Sintesi!$C$16),1,$C349))*(INDEX(_xlfn.ANCHORARRAY(Sintesi!$C$15),1,$C349)&gt;0),2,IF($E349=(INDEX(_xlfn.ANCHORARRAY(Sintesi!$C$16),1,$C349)),3,4)))),0)),IF(ISNUMBER($E348),IF($C349&gt;0,IF(($E349=INDEX(_xlfn.ANCHORARRAY(Sintesi!$C$14),1,$C349))*(INDEX(_xlfn.ANCHORARRAY(Sintesi!$C$15),1,$C349)&gt;0),0,IF(($E349=INDEX(_xlfn.ANCHORARRAY(Sintesi!$C$14),1,$C349))*(INDEX(_xlfn.ANCHORARRAY(Sintesi!$C$15),1,$C349)&lt;0)+($E349&gt;=$E348)*($E349&lt;=$E350)*($E349&gt;INDEX(_xlfn.ANCHORARRAY(Sintesi!$C$14),1,$C349))*($E349&lt;=INDEX(_xlfn.ANCHORARRAY(Sintesi!$C$15),1,$C349))*(INDEX(_xlfn.ANCHORARRAY(Sintesi!$C$15),1,$C349)&gt;0),1,IF(($E349&gt;=$E348)*($E349&lt;=$E350)*($E349&gt;INDEX(_xlfn.ANCHORARRAY(Sintesi!$C$14),1,$C349))*($E349&lt;INDEX(_xlfn.ANCHORARRAY(Sintesi!$C$16),1,$C349))*(INDEX(_xlfn.ANCHORARRAY(Sintesi!$C$15),1,$C349)&lt;0)+($E349&gt;=$E348)*($E349&lt;=$E350)*($E349&gt;INDEX(_xlfn.ANCHORARRAY(Sintesi!$C$15),1,$C349))*($E349&lt;INDEX(_xlfn.ANCHORARRAY(Sintesi!$C$16),1,$C349))*(INDEX(_xlfn.ANCHORARRAY(Sintesi!$C$15),1,$C349)&gt;0),2,IF($E349=(INDEX(_xlfn.ANCHORARRAY(Sintesi!$C$16),1,$C349)),3,4)))),0),IF($C349&gt;0,IF(($E349=INDEX(_xlfn.ANCHORARRAY(Sintesi!$C$14),1,$C349))*(INDEX(_xlfn.ANCHORARRAY(Sintesi!$C$15),1,$C349)&gt;0),0,IF(($E349=INDEX(_xlfn.ANCHORARRAY(Sintesi!$C$14),1,$C349))*(INDEX(_xlfn.ANCHORARRAY(Sintesi!$C$15),1,$C349)&lt;0)+($E349&gt;=LOOKUP(2,1/($E:$E&lt;&gt;""),$E:$E))*($E349&lt;=$E350)*($E349&gt;INDEX(_xlfn.ANCHORARRAY(Sintesi!$C$14),1,$C349))*($E349&lt;=INDEX(_xlfn.ANCHORARRAY(Sintesi!$C$15),1,$C349))*(INDEX(_xlfn.ANCHORARRAY(Sintesi!$C$15),1,$C349)&gt;0),1,IF(($E349&gt;=LOOKUP(2,1/($E:$E&lt;&gt;""),$E:$E))*($E349&lt;=$E350)*($E349&gt;INDEX(_xlfn.ANCHORARRAY(Sintesi!$C$14),1,$C349))*($E349&lt;INDEX(_xlfn.ANCHORARRAY(Sintesi!$C$16),1,$C349))*(INDEX(_xlfn.ANCHORARRAY(Sintesi!$C$15),1,$C349)&lt;0)+($E349&gt;=LOOKUP(2,1/($E:$E&lt;&gt;""),$E:$E))*($E349&lt;=$E350)*($E349&gt;INDEX(_xlfn.ANCHORARRAY(Sintesi!$C$15),1,$C349))*($E349&lt;INDEX(_xlfn.ANCHORARRAY(Sintesi!$C$16),1,$C349))*(INDEX(_xlfn.ANCHORARRAY(Sintesi!$C$15),1,$C349)&gt;0),2,IF($E349=(INDEX(_xlfn.ANCHORARRAY(Sintesi!$C$16),1,$C349)),3,4)))),0)))</f>
        <v>0</v>
      </c>
      <c r="E349" s="1">
        <f>'Paste cell here'!F349</f>
        <v>0</v>
      </c>
      <c r="F349" s="1">
        <f>'Paste cell here'!C349</f>
        <v>10.519999999999865</v>
      </c>
      <c r="G349" s="1">
        <f>'Paste cell here'!D349</f>
        <v>-0.71999999999996755</v>
      </c>
      <c r="H349" s="1">
        <f>'Paste cell here'!E349</f>
        <v>0.20562638605605066</v>
      </c>
      <c r="I349" s="1">
        <f>'Paste cell here'!X349</f>
        <v>0</v>
      </c>
      <c r="J349" s="1">
        <f>'Paste cell here'!Y349+'Paste cell here'!S349</f>
        <v>0</v>
      </c>
      <c r="K349" s="1">
        <f t="shared" si="10"/>
        <v>0</v>
      </c>
      <c r="L349" s="1">
        <f t="shared" si="11"/>
        <v>5.7028571428570789</v>
      </c>
      <c r="M349" s="1">
        <f t="array" ref="M349">IF(AND(A349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349&gt;=_xlfn.ANCHORARRAY(Sintesi!$C$9))+(_xlfn.ANCHORARRAY(Sintesi!$C$9)&gt;_xlfn.ANCHORARRAY(Sintesi!$C$10))*(A349&lt;=_xlfn.ANCHORARRAY(Sintesi!$C$10))+(_xlfn.ANCHORARRAY(Sintesi!$C$9)&lt;_xlfn.ANCHORARRAY(Sintesi!$C$10))*(A349&gt;=_xlfn.ANCHORARRAY(Sintesi!$C$9))*(A349&lt;=_xlfn.ANCHORARRAY(Sintesi!$C$10)),0)),0),A349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350&gt;=_xlfn.ANCHORARRAY(Sintesi!$C$9))+(_xlfn.ANCHORARRAY(Sintesi!$C$9)&gt;_xlfn.ANCHORARRAY(Sintesi!$C$10))*(A350&lt;=_xlfn.ANCHORARRAY(Sintesi!$C$10))+(_xlfn.ANCHORARRAY(Sintesi!$C$9)&lt;_xlfn.ANCHORARRAY(Sintesi!$C$10))*(A350&gt;=_xlfn.ANCHORARRAY(Sintesi!$C$9))*(A350&lt;=_xlfn.ANCHORARRAY(Sintesi!$C$10)),0)),0)),IF(L349&lt;_xlfn.IFNA(INDEX(_xlfn.ANCHORARRAY(Sintesi!$C$17),1,MATCH(1,(_xlfn.ANCHORARRAY(Sintesi!$C$9)&gt;_xlfn.ANCHORARRAY(Sintesi!$C$10))*(A348&gt;=_xlfn.ANCHORARRAY(Sintesi!$C$9))+(_xlfn.ANCHORARRAY(Sintesi!$C$9)&gt;_xlfn.ANCHORARRAY(Sintesi!$C$10))*(A348&lt;=_xlfn.ANCHORARRAY(Sintesi!$C$10))+(_xlfn.ANCHORARRAY(Sintesi!$C$9)&lt;_xlfn.ANCHORARRAY(Sintesi!$C$10))*(A348&gt;=_xlfn.ANCHORARRAY(Sintesi!$C$9))*(A348&lt;=_xlfn.ANCHORARRAY(Sintesi!$C$10)),0)),0),1,IF(L349&gt;=_xlfn.IFNA(INDEX(_xlfn.ANCHORARRAY(Sintesi!$C$18),1,MATCH(1,(_xlfn.ANCHORARRAY(Sintesi!$C$9)&gt;_xlfn.ANCHORARRAY(Sintesi!$C$10))*(A348&gt;=_xlfn.ANCHORARRAY(Sintesi!$C$9))+(_xlfn.ANCHORARRAY(Sintesi!$C$9)&gt;_xlfn.ANCHORARRAY(Sintesi!$C$10))*(A348&lt;=_xlfn.ANCHORARRAY(Sintesi!$C$10))+(_xlfn.ANCHORARRAY(Sintesi!$C$9)&lt;_xlfn.ANCHORARRAY(Sintesi!$C$10))*(A348&gt;=_xlfn.ANCHORARRAY(Sintesi!$C$9))*(A348&lt;=_xlfn.ANCHORARRAY(Sintesi!$C$10)),0)),0),0,1-(L349-_xlfn.IFNA(INDEX(_xlfn.ANCHORARRAY(Sintesi!$C$17),1,MATCH(1,(_xlfn.ANCHORARRAY(Sintesi!$C$9)&gt;_xlfn.ANCHORARRAY(Sintesi!$C$10))*(A348&gt;=_xlfn.ANCHORARRAY(Sintesi!$C$9))+(_xlfn.ANCHORARRAY(Sintesi!$C$9)&gt;_xlfn.ANCHORARRAY(Sintesi!$C$10))*(A348&lt;=_xlfn.ANCHORARRAY(Sintesi!$C$10))+(_xlfn.ANCHORARRAY(Sintesi!$C$9)&lt;_xlfn.ANCHORARRAY(Sintesi!$C$10))*(A348&gt;=_xlfn.ANCHORARRAY(Sintesi!$C$9))*(A348&lt;=_xlfn.ANCHORARRAY(Sintesi!$C$10)),0)),0))/(_xlfn.IFNA(INDEX(_xlfn.ANCHORARRAY(Sintesi!$C$18),1,MATCH(1,(_xlfn.ANCHORARRAY(Sintesi!$C$9)&gt;_xlfn.ANCHORARRAY(Sintesi!$C$10))*(A348&gt;=_xlfn.ANCHORARRAY(Sintesi!$C$9))+(_xlfn.ANCHORARRAY(Sintesi!$C$9)&gt;_xlfn.ANCHORARRAY(Sintesi!$C$10))*(A348&lt;=_xlfn.ANCHORARRAY(Sintesi!$C$10))+(_xlfn.ANCHORARRAY(Sintesi!$C$9)&lt;_xlfn.ANCHORARRAY(Sintesi!$C$10))*(A348&gt;=_xlfn.ANCHORARRAY(Sintesi!$C$9))*(A348&lt;=_xlfn.ANCHORARRAY(Sintesi!$C$10)),0)),0)-_xlfn.IFNA(INDEX(_xlfn.ANCHORARRAY(Sintesi!$C$17),1,MATCH(1,(_xlfn.ANCHORARRAY(Sintesi!$C$9)&gt;_xlfn.ANCHORARRAY(Sintesi!$C$10))*(A348&gt;=_xlfn.ANCHORARRAY(Sintesi!$C$9))+(_xlfn.ANCHORARRAY(Sintesi!$C$9)&gt;_xlfn.ANCHORARRAY(Sintesi!$C$10))*(A348&lt;=_xlfn.ANCHORARRAY(Sintesi!$C$10))+(_xlfn.ANCHORARRAY(Sintesi!$C$9)&lt;_xlfn.ANCHORARRAY(Sintesi!$C$10))*(A348&gt;=_xlfn.ANCHORARRAY(Sintesi!$C$9))*(A348&lt;=_xlfn.ANCHORARRAY(Sintesi!$C$10)),0)),0)))),0)</f>
        <v>0</v>
      </c>
    </row>
    <row r="350" spans="1:13">
      <c r="A350" s="1">
        <f>'Paste cell here'!A350</f>
        <v>349</v>
      </c>
      <c r="B350" s="2">
        <f>DATE(Sintesi!$C$4-1,12,31)+A350</f>
        <v>44545</v>
      </c>
      <c r="C350" s="34">
        <f t="array" ref="C350">_xlfn.IFNA(MATCH(1,((_xlfn.ANCHORARRAY(Sintesi!$C$9)&gt;_xlfn.ANCHORARRAY(Sintesi!$C$10))*(A350&gt;=_xlfn.ANCHORARRAY(Sintesi!$C$9))+(_xlfn.ANCHORARRAY(Sintesi!$C$9)&gt;_xlfn.ANCHORARRAY(Sintesi!$C$10))*(A350&lt;=_xlfn.ANCHORARRAY(Sintesi!$C$10))+(_xlfn.ANCHORARRAY(Sintesi!$C$9)&lt;_xlfn.ANCHORARRAY(Sintesi!$C$10))*(A350&gt;=_xlfn.ANCHORARRAY(Sintesi!$C$9))*(A350&lt;=_xlfn.ANCHORARRAY(Sintesi!$C$10)))*(_xlfn.ANCHORARRAY(Sintesi!$C$15)&gt;=0)+(_xlfn.ANCHORARRAY(Sintesi!$C$15)&lt;0),0),0)</f>
        <v>0</v>
      </c>
      <c r="D350" s="1">
        <f t="array" ref="D350">IF(ISBLANK($E351),IF(ISNUMBER($E349),IF($C350&gt;0,IF(($E350=INDEX(_xlfn.ANCHORARRAY(Sintesi!$C$14),1,$C350))*(INDEX(_xlfn.ANCHORARRAY(Sintesi!$C$15),1,$C350)&gt;0),0,IF(($E350=INDEX(_xlfn.ANCHORARRAY(Sintesi!$C$14),1,$C350))*(INDEX(_xlfn.ANCHORARRAY(Sintesi!$C$15),1,$C350)&lt;0)+($E350&gt;=$E349)*($E350&lt;=INDEX($E:$E,MATCH(TRUE,INDEX((ISNUMBER($E:$E)),0),0)))*($E350&gt;INDEX(_xlfn.ANCHORARRAY(Sintesi!$C$14),1,$C350))*($E350&lt;=INDEX(_xlfn.ANCHORARRAY(Sintesi!$C$15),1,$C350))*(INDEX(_xlfn.ANCHORARRAY(Sintesi!$C$15),1,$C350)&gt;0),1,IF(($E350&gt;=$E349)*($E350&lt;=INDEX($E:$E,MATCH(TRUE,INDEX((ISNUMBER($E:$E)),0),0)))*($E350&gt;INDEX(_xlfn.ANCHORARRAY(Sintesi!$C$14),1,$C350))*($E350&lt;INDEX(_xlfn.ANCHORARRAY(Sintesi!$C$16),1,$C350))*(INDEX(_xlfn.ANCHORARRAY(Sintesi!$C$15),1,$C350)&lt;0)+($E350&gt;=$E349)*($E350&lt;=INDEX($E:$E,MATCH(TRUE,INDEX((ISNUMBER($E:$E)),0),0)))*($E350&gt;INDEX(_xlfn.ANCHORARRAY(Sintesi!$C$15),1,$C350))*($E350&lt;INDEX(_xlfn.ANCHORARRAY(Sintesi!$C$16),1,$C350))*(INDEX(_xlfn.ANCHORARRAY(Sintesi!$C$15),1,$C350)&gt;0),2,IF($E350=(INDEX(_xlfn.ANCHORARRAY(Sintesi!$C$16),1,$C350)),3,4)))),0),IF($C350&gt;0,IF(($E350=INDEX(_xlfn.ANCHORARRAY(Sintesi!$C$14),1,$C350))*(INDEX(_xlfn.ANCHORARRAY(Sintesi!$C$15),1,$C350)&gt;0),0,IF(($E350=INDEX(_xlfn.ANCHORARRAY(Sintesi!$C$14),1,$C350))*(INDEX(_xlfn.ANCHORARRAY(Sintesi!$C$15),1,$C350)&lt;0)+($E350&gt;=LOOKUP(2,1/($E:$E&lt;&gt;""),$E:$E))*($E350&lt;=INDEX($E:$E,MATCH(TRUE,INDEX((ISNUMBER($E:$E)),0),0)))*($E350&gt;INDEX(_xlfn.ANCHORARRAY(Sintesi!$C$14),1,$C350))*($E350&lt;=INDEX(_xlfn.ANCHORARRAY(Sintesi!$C$15),1,$C350))*(INDEX(_xlfn.ANCHORARRAY(Sintesi!$C$15),1,$C350)&gt;0),1,IF(($E350&gt;=LOOKUP(2,1/($E:$E&lt;&gt;""),$E:$E))*($E350&lt;=INDEX($E:$E,MATCH(TRUE,INDEX((ISNUMBER($E:$E)),0),0)))*($E350&gt;INDEX(_xlfn.ANCHORARRAY(Sintesi!$C$14),1,$C350))*($E350&lt;INDEX(_xlfn.ANCHORARRAY(Sintesi!$C$16),1,$C350))*(INDEX(_xlfn.ANCHORARRAY(Sintesi!$C$15),1,$C350)&lt;0)+($E350&gt;=LOOKUP(2,1/($E:$E&lt;&gt;""),$E:$E))*($E350&lt;=INDEX($E:$E,MATCH(TRUE,INDEX((ISNUMBER($E:$E)),0),0)))*($E350&gt;INDEX(_xlfn.ANCHORARRAY(Sintesi!$C$15),1,$C350))*($E350&lt;INDEX(_xlfn.ANCHORARRAY(Sintesi!$C$16),1,$C350))*(INDEX(_xlfn.ANCHORARRAY(Sintesi!$C$15),1,$C350)&gt;0),2,IF($E350=(INDEX(_xlfn.ANCHORARRAY(Sintesi!$C$16),1,$C350)),3,4)))),0)),IF(ISNUMBER($E349),IF($C350&gt;0,IF(($E350=INDEX(_xlfn.ANCHORARRAY(Sintesi!$C$14),1,$C350))*(INDEX(_xlfn.ANCHORARRAY(Sintesi!$C$15),1,$C350)&gt;0),0,IF(($E350=INDEX(_xlfn.ANCHORARRAY(Sintesi!$C$14),1,$C350))*(INDEX(_xlfn.ANCHORARRAY(Sintesi!$C$15),1,$C350)&lt;0)+($E350&gt;=$E349)*($E350&lt;=$E351)*($E350&gt;INDEX(_xlfn.ANCHORARRAY(Sintesi!$C$14),1,$C350))*($E350&lt;=INDEX(_xlfn.ANCHORARRAY(Sintesi!$C$15),1,$C350))*(INDEX(_xlfn.ANCHORARRAY(Sintesi!$C$15),1,$C350)&gt;0),1,IF(($E350&gt;=$E349)*($E350&lt;=$E351)*($E350&gt;INDEX(_xlfn.ANCHORARRAY(Sintesi!$C$14),1,$C350))*($E350&lt;INDEX(_xlfn.ANCHORARRAY(Sintesi!$C$16),1,$C350))*(INDEX(_xlfn.ANCHORARRAY(Sintesi!$C$15),1,$C350)&lt;0)+($E350&gt;=$E349)*($E350&lt;=$E351)*($E350&gt;INDEX(_xlfn.ANCHORARRAY(Sintesi!$C$15),1,$C350))*($E350&lt;INDEX(_xlfn.ANCHORARRAY(Sintesi!$C$16),1,$C350))*(INDEX(_xlfn.ANCHORARRAY(Sintesi!$C$15),1,$C350)&gt;0),2,IF($E350=(INDEX(_xlfn.ANCHORARRAY(Sintesi!$C$16),1,$C350)),3,4)))),0),IF($C350&gt;0,IF(($E350=INDEX(_xlfn.ANCHORARRAY(Sintesi!$C$14),1,$C350))*(INDEX(_xlfn.ANCHORARRAY(Sintesi!$C$15),1,$C350)&gt;0),0,IF(($E350=INDEX(_xlfn.ANCHORARRAY(Sintesi!$C$14),1,$C350))*(INDEX(_xlfn.ANCHORARRAY(Sintesi!$C$15),1,$C350)&lt;0)+($E350&gt;=LOOKUP(2,1/($E:$E&lt;&gt;""),$E:$E))*($E350&lt;=$E351)*($E350&gt;INDEX(_xlfn.ANCHORARRAY(Sintesi!$C$14),1,$C350))*($E350&lt;=INDEX(_xlfn.ANCHORARRAY(Sintesi!$C$15),1,$C350))*(INDEX(_xlfn.ANCHORARRAY(Sintesi!$C$15),1,$C350)&gt;0),1,IF(($E350&gt;=LOOKUP(2,1/($E:$E&lt;&gt;""),$E:$E))*($E350&lt;=$E351)*($E350&gt;INDEX(_xlfn.ANCHORARRAY(Sintesi!$C$14),1,$C350))*($E350&lt;INDEX(_xlfn.ANCHORARRAY(Sintesi!$C$16),1,$C350))*(INDEX(_xlfn.ANCHORARRAY(Sintesi!$C$15),1,$C350)&lt;0)+($E350&gt;=LOOKUP(2,1/($E:$E&lt;&gt;""),$E:$E))*($E350&lt;=$E351)*($E350&gt;INDEX(_xlfn.ANCHORARRAY(Sintesi!$C$15),1,$C350))*($E350&lt;INDEX(_xlfn.ANCHORARRAY(Sintesi!$C$16),1,$C350))*(INDEX(_xlfn.ANCHORARRAY(Sintesi!$C$15),1,$C350)&gt;0),2,IF($E350=(INDEX(_xlfn.ANCHORARRAY(Sintesi!$C$16),1,$C350)),3,4)))),0)))</f>
        <v>0</v>
      </c>
      <c r="E350" s="1">
        <f>'Paste cell here'!F350</f>
        <v>0</v>
      </c>
      <c r="F350" s="1">
        <f>'Paste cell here'!C350</f>
        <v>10.319999999999862</v>
      </c>
      <c r="G350" s="1">
        <f>'Paste cell here'!D350</f>
        <v>-0.57999999999997565</v>
      </c>
      <c r="H350" s="1">
        <f>'Paste cell here'!E350</f>
        <v>0.21022882267066159</v>
      </c>
      <c r="I350" s="1">
        <f>'Paste cell here'!X350</f>
        <v>0</v>
      </c>
      <c r="J350" s="1">
        <f>'Paste cell here'!Y350+'Paste cell here'!S350</f>
        <v>0</v>
      </c>
      <c r="K350" s="1">
        <f t="shared" si="10"/>
        <v>0</v>
      </c>
      <c r="L350" s="1">
        <f t="shared" si="11"/>
        <v>5.6485714285713602</v>
      </c>
      <c r="M350" s="1">
        <f t="array" ref="M350">IF(AND(A350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350&gt;=_xlfn.ANCHORARRAY(Sintesi!$C$9))+(_xlfn.ANCHORARRAY(Sintesi!$C$9)&gt;_xlfn.ANCHORARRAY(Sintesi!$C$10))*(A350&lt;=_xlfn.ANCHORARRAY(Sintesi!$C$10))+(_xlfn.ANCHORARRAY(Sintesi!$C$9)&lt;_xlfn.ANCHORARRAY(Sintesi!$C$10))*(A350&gt;=_xlfn.ANCHORARRAY(Sintesi!$C$9))*(A350&lt;=_xlfn.ANCHORARRAY(Sintesi!$C$10)),0)),0),A350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351&gt;=_xlfn.ANCHORARRAY(Sintesi!$C$9))+(_xlfn.ANCHORARRAY(Sintesi!$C$9)&gt;_xlfn.ANCHORARRAY(Sintesi!$C$10))*(A351&lt;=_xlfn.ANCHORARRAY(Sintesi!$C$10))+(_xlfn.ANCHORARRAY(Sintesi!$C$9)&lt;_xlfn.ANCHORARRAY(Sintesi!$C$10))*(A351&gt;=_xlfn.ANCHORARRAY(Sintesi!$C$9))*(A351&lt;=_xlfn.ANCHORARRAY(Sintesi!$C$10)),0)),0)),IF(L350&lt;_xlfn.IFNA(INDEX(_xlfn.ANCHORARRAY(Sintesi!$C$17),1,MATCH(1,(_xlfn.ANCHORARRAY(Sintesi!$C$9)&gt;_xlfn.ANCHORARRAY(Sintesi!$C$10))*(A349&gt;=_xlfn.ANCHORARRAY(Sintesi!$C$9))+(_xlfn.ANCHORARRAY(Sintesi!$C$9)&gt;_xlfn.ANCHORARRAY(Sintesi!$C$10))*(A349&lt;=_xlfn.ANCHORARRAY(Sintesi!$C$10))+(_xlfn.ANCHORARRAY(Sintesi!$C$9)&lt;_xlfn.ANCHORARRAY(Sintesi!$C$10))*(A349&gt;=_xlfn.ANCHORARRAY(Sintesi!$C$9))*(A349&lt;=_xlfn.ANCHORARRAY(Sintesi!$C$10)),0)),0),1,IF(L350&gt;=_xlfn.IFNA(INDEX(_xlfn.ANCHORARRAY(Sintesi!$C$18),1,MATCH(1,(_xlfn.ANCHORARRAY(Sintesi!$C$9)&gt;_xlfn.ANCHORARRAY(Sintesi!$C$10))*(A349&gt;=_xlfn.ANCHORARRAY(Sintesi!$C$9))+(_xlfn.ANCHORARRAY(Sintesi!$C$9)&gt;_xlfn.ANCHORARRAY(Sintesi!$C$10))*(A349&lt;=_xlfn.ANCHORARRAY(Sintesi!$C$10))+(_xlfn.ANCHORARRAY(Sintesi!$C$9)&lt;_xlfn.ANCHORARRAY(Sintesi!$C$10))*(A349&gt;=_xlfn.ANCHORARRAY(Sintesi!$C$9))*(A349&lt;=_xlfn.ANCHORARRAY(Sintesi!$C$10)),0)),0),0,1-(L350-_xlfn.IFNA(INDEX(_xlfn.ANCHORARRAY(Sintesi!$C$17),1,MATCH(1,(_xlfn.ANCHORARRAY(Sintesi!$C$9)&gt;_xlfn.ANCHORARRAY(Sintesi!$C$10))*(A349&gt;=_xlfn.ANCHORARRAY(Sintesi!$C$9))+(_xlfn.ANCHORARRAY(Sintesi!$C$9)&gt;_xlfn.ANCHORARRAY(Sintesi!$C$10))*(A349&lt;=_xlfn.ANCHORARRAY(Sintesi!$C$10))+(_xlfn.ANCHORARRAY(Sintesi!$C$9)&lt;_xlfn.ANCHORARRAY(Sintesi!$C$10))*(A349&gt;=_xlfn.ANCHORARRAY(Sintesi!$C$9))*(A349&lt;=_xlfn.ANCHORARRAY(Sintesi!$C$10)),0)),0))/(_xlfn.IFNA(INDEX(_xlfn.ANCHORARRAY(Sintesi!$C$18),1,MATCH(1,(_xlfn.ANCHORARRAY(Sintesi!$C$9)&gt;_xlfn.ANCHORARRAY(Sintesi!$C$10))*(A349&gt;=_xlfn.ANCHORARRAY(Sintesi!$C$9))+(_xlfn.ANCHORARRAY(Sintesi!$C$9)&gt;_xlfn.ANCHORARRAY(Sintesi!$C$10))*(A349&lt;=_xlfn.ANCHORARRAY(Sintesi!$C$10))+(_xlfn.ANCHORARRAY(Sintesi!$C$9)&lt;_xlfn.ANCHORARRAY(Sintesi!$C$10))*(A349&gt;=_xlfn.ANCHORARRAY(Sintesi!$C$9))*(A349&lt;=_xlfn.ANCHORARRAY(Sintesi!$C$10)),0)),0)-_xlfn.IFNA(INDEX(_xlfn.ANCHORARRAY(Sintesi!$C$17),1,MATCH(1,(_xlfn.ANCHORARRAY(Sintesi!$C$9)&gt;_xlfn.ANCHORARRAY(Sintesi!$C$10))*(A349&gt;=_xlfn.ANCHORARRAY(Sintesi!$C$9))+(_xlfn.ANCHORARRAY(Sintesi!$C$9)&gt;_xlfn.ANCHORARRAY(Sintesi!$C$10))*(A349&lt;=_xlfn.ANCHORARRAY(Sintesi!$C$10))+(_xlfn.ANCHORARRAY(Sintesi!$C$9)&lt;_xlfn.ANCHORARRAY(Sintesi!$C$10))*(A349&gt;=_xlfn.ANCHORARRAY(Sintesi!$C$9))*(A349&lt;=_xlfn.ANCHORARRAY(Sintesi!$C$10)),0)),0)))),0)</f>
        <v>0</v>
      </c>
    </row>
    <row r="351" spans="1:13">
      <c r="A351" s="1">
        <f>'Paste cell here'!A351</f>
        <v>350</v>
      </c>
      <c r="B351" s="2">
        <f>DATE(Sintesi!$C$4-1,12,31)+A351</f>
        <v>44546</v>
      </c>
      <c r="C351" s="34">
        <f t="array" ref="C351">_xlfn.IFNA(MATCH(1,((_xlfn.ANCHORARRAY(Sintesi!$C$9)&gt;_xlfn.ANCHORARRAY(Sintesi!$C$10))*(A351&gt;=_xlfn.ANCHORARRAY(Sintesi!$C$9))+(_xlfn.ANCHORARRAY(Sintesi!$C$9)&gt;_xlfn.ANCHORARRAY(Sintesi!$C$10))*(A351&lt;=_xlfn.ANCHORARRAY(Sintesi!$C$10))+(_xlfn.ANCHORARRAY(Sintesi!$C$9)&lt;_xlfn.ANCHORARRAY(Sintesi!$C$10))*(A351&gt;=_xlfn.ANCHORARRAY(Sintesi!$C$9))*(A351&lt;=_xlfn.ANCHORARRAY(Sintesi!$C$10)))*(_xlfn.ANCHORARRAY(Sintesi!$C$15)&gt;=0)+(_xlfn.ANCHORARRAY(Sintesi!$C$15)&lt;0),0),0)</f>
        <v>0</v>
      </c>
      <c r="D351" s="1">
        <f t="array" ref="D351">IF(ISBLANK($E352),IF(ISNUMBER($E350),IF($C351&gt;0,IF(($E351=INDEX(_xlfn.ANCHORARRAY(Sintesi!$C$14),1,$C351))*(INDEX(_xlfn.ANCHORARRAY(Sintesi!$C$15),1,$C351)&gt;0),0,IF(($E351=INDEX(_xlfn.ANCHORARRAY(Sintesi!$C$14),1,$C351))*(INDEX(_xlfn.ANCHORARRAY(Sintesi!$C$15),1,$C351)&lt;0)+($E351&gt;=$E350)*($E351&lt;=INDEX($E:$E,MATCH(TRUE,INDEX((ISNUMBER($E:$E)),0),0)))*($E351&gt;INDEX(_xlfn.ANCHORARRAY(Sintesi!$C$14),1,$C351))*($E351&lt;=INDEX(_xlfn.ANCHORARRAY(Sintesi!$C$15),1,$C351))*(INDEX(_xlfn.ANCHORARRAY(Sintesi!$C$15),1,$C351)&gt;0),1,IF(($E351&gt;=$E350)*($E351&lt;=INDEX($E:$E,MATCH(TRUE,INDEX((ISNUMBER($E:$E)),0),0)))*($E351&gt;INDEX(_xlfn.ANCHORARRAY(Sintesi!$C$14),1,$C351))*($E351&lt;INDEX(_xlfn.ANCHORARRAY(Sintesi!$C$16),1,$C351))*(INDEX(_xlfn.ANCHORARRAY(Sintesi!$C$15),1,$C351)&lt;0)+($E351&gt;=$E350)*($E351&lt;=INDEX($E:$E,MATCH(TRUE,INDEX((ISNUMBER($E:$E)),0),0)))*($E351&gt;INDEX(_xlfn.ANCHORARRAY(Sintesi!$C$15),1,$C351))*($E351&lt;INDEX(_xlfn.ANCHORARRAY(Sintesi!$C$16),1,$C351))*(INDEX(_xlfn.ANCHORARRAY(Sintesi!$C$15),1,$C351)&gt;0),2,IF($E351=(INDEX(_xlfn.ANCHORARRAY(Sintesi!$C$16),1,$C351)),3,4)))),0),IF($C351&gt;0,IF(($E351=INDEX(_xlfn.ANCHORARRAY(Sintesi!$C$14),1,$C351))*(INDEX(_xlfn.ANCHORARRAY(Sintesi!$C$15),1,$C351)&gt;0),0,IF(($E351=INDEX(_xlfn.ANCHORARRAY(Sintesi!$C$14),1,$C351))*(INDEX(_xlfn.ANCHORARRAY(Sintesi!$C$15),1,$C351)&lt;0)+($E351&gt;=LOOKUP(2,1/($E:$E&lt;&gt;""),$E:$E))*($E351&lt;=INDEX($E:$E,MATCH(TRUE,INDEX((ISNUMBER($E:$E)),0),0)))*($E351&gt;INDEX(_xlfn.ANCHORARRAY(Sintesi!$C$14),1,$C351))*($E351&lt;=INDEX(_xlfn.ANCHORARRAY(Sintesi!$C$15),1,$C351))*(INDEX(_xlfn.ANCHORARRAY(Sintesi!$C$15),1,$C351)&gt;0),1,IF(($E351&gt;=LOOKUP(2,1/($E:$E&lt;&gt;""),$E:$E))*($E351&lt;=INDEX($E:$E,MATCH(TRUE,INDEX((ISNUMBER($E:$E)),0),0)))*($E351&gt;INDEX(_xlfn.ANCHORARRAY(Sintesi!$C$14),1,$C351))*($E351&lt;INDEX(_xlfn.ANCHORARRAY(Sintesi!$C$16),1,$C351))*(INDEX(_xlfn.ANCHORARRAY(Sintesi!$C$15),1,$C351)&lt;0)+($E351&gt;=LOOKUP(2,1/($E:$E&lt;&gt;""),$E:$E))*($E351&lt;=INDEX($E:$E,MATCH(TRUE,INDEX((ISNUMBER($E:$E)),0),0)))*($E351&gt;INDEX(_xlfn.ANCHORARRAY(Sintesi!$C$15),1,$C351))*($E351&lt;INDEX(_xlfn.ANCHORARRAY(Sintesi!$C$16),1,$C351))*(INDEX(_xlfn.ANCHORARRAY(Sintesi!$C$15),1,$C351)&gt;0),2,IF($E351=(INDEX(_xlfn.ANCHORARRAY(Sintesi!$C$16),1,$C351)),3,4)))),0)),IF(ISNUMBER($E350),IF($C351&gt;0,IF(($E351=INDEX(_xlfn.ANCHORARRAY(Sintesi!$C$14),1,$C351))*(INDEX(_xlfn.ANCHORARRAY(Sintesi!$C$15),1,$C351)&gt;0),0,IF(($E351=INDEX(_xlfn.ANCHORARRAY(Sintesi!$C$14),1,$C351))*(INDEX(_xlfn.ANCHORARRAY(Sintesi!$C$15),1,$C351)&lt;0)+($E351&gt;=$E350)*($E351&lt;=$E352)*($E351&gt;INDEX(_xlfn.ANCHORARRAY(Sintesi!$C$14),1,$C351))*($E351&lt;=INDEX(_xlfn.ANCHORARRAY(Sintesi!$C$15),1,$C351))*(INDEX(_xlfn.ANCHORARRAY(Sintesi!$C$15),1,$C351)&gt;0),1,IF(($E351&gt;=$E350)*($E351&lt;=$E352)*($E351&gt;INDEX(_xlfn.ANCHORARRAY(Sintesi!$C$14),1,$C351))*($E351&lt;INDEX(_xlfn.ANCHORARRAY(Sintesi!$C$16),1,$C351))*(INDEX(_xlfn.ANCHORARRAY(Sintesi!$C$15),1,$C351)&lt;0)+($E351&gt;=$E350)*($E351&lt;=$E352)*($E351&gt;INDEX(_xlfn.ANCHORARRAY(Sintesi!$C$15),1,$C351))*($E351&lt;INDEX(_xlfn.ANCHORARRAY(Sintesi!$C$16),1,$C351))*(INDEX(_xlfn.ANCHORARRAY(Sintesi!$C$15),1,$C351)&gt;0),2,IF($E351=(INDEX(_xlfn.ANCHORARRAY(Sintesi!$C$16),1,$C351)),3,4)))),0),IF($C351&gt;0,IF(($E351=INDEX(_xlfn.ANCHORARRAY(Sintesi!$C$14),1,$C351))*(INDEX(_xlfn.ANCHORARRAY(Sintesi!$C$15),1,$C351)&gt;0),0,IF(($E351=INDEX(_xlfn.ANCHORARRAY(Sintesi!$C$14),1,$C351))*(INDEX(_xlfn.ANCHORARRAY(Sintesi!$C$15),1,$C351)&lt;0)+($E351&gt;=LOOKUP(2,1/($E:$E&lt;&gt;""),$E:$E))*($E351&lt;=$E352)*($E351&gt;INDEX(_xlfn.ANCHORARRAY(Sintesi!$C$14),1,$C351))*($E351&lt;=INDEX(_xlfn.ANCHORARRAY(Sintesi!$C$15),1,$C351))*(INDEX(_xlfn.ANCHORARRAY(Sintesi!$C$15),1,$C351)&gt;0),1,IF(($E351&gt;=LOOKUP(2,1/($E:$E&lt;&gt;""),$E:$E))*($E351&lt;=$E352)*($E351&gt;INDEX(_xlfn.ANCHORARRAY(Sintesi!$C$14),1,$C351))*($E351&lt;INDEX(_xlfn.ANCHORARRAY(Sintesi!$C$16),1,$C351))*(INDEX(_xlfn.ANCHORARRAY(Sintesi!$C$15),1,$C351)&lt;0)+($E351&gt;=LOOKUP(2,1/($E:$E&lt;&gt;""),$E:$E))*($E351&lt;=$E352)*($E351&gt;INDEX(_xlfn.ANCHORARRAY(Sintesi!$C$15),1,$C351))*($E351&lt;INDEX(_xlfn.ANCHORARRAY(Sintesi!$C$16),1,$C351))*(INDEX(_xlfn.ANCHORARRAY(Sintesi!$C$15),1,$C351)&gt;0),2,IF($E351=(INDEX(_xlfn.ANCHORARRAY(Sintesi!$C$16),1,$C351)),3,4)))),0)))</f>
        <v>0</v>
      </c>
      <c r="E351" s="1">
        <f>'Paste cell here'!F351</f>
        <v>0</v>
      </c>
      <c r="F351" s="1">
        <f>'Paste cell here'!C351</f>
        <v>7.4199999999999156</v>
      </c>
      <c r="G351" s="1">
        <f>'Paste cell here'!D351</f>
        <v>-1.7599999999999596</v>
      </c>
      <c r="H351" s="1">
        <f>'Paste cell here'!E351</f>
        <v>0.16323124863082705</v>
      </c>
      <c r="I351" s="1">
        <f>'Paste cell here'!X351</f>
        <v>0</v>
      </c>
      <c r="J351" s="1">
        <f>'Paste cell here'!Y351+'Paste cell here'!S351</f>
        <v>0</v>
      </c>
      <c r="K351" s="1">
        <f t="shared" si="10"/>
        <v>0</v>
      </c>
      <c r="L351" s="1">
        <f t="shared" si="11"/>
        <v>3.4857142857142551</v>
      </c>
      <c r="M351" s="1">
        <f t="array" ref="M351">IF(AND(A351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351&gt;=_xlfn.ANCHORARRAY(Sintesi!$C$9))+(_xlfn.ANCHORARRAY(Sintesi!$C$9)&gt;_xlfn.ANCHORARRAY(Sintesi!$C$10))*(A351&lt;=_xlfn.ANCHORARRAY(Sintesi!$C$10))+(_xlfn.ANCHORARRAY(Sintesi!$C$9)&lt;_xlfn.ANCHORARRAY(Sintesi!$C$10))*(A351&gt;=_xlfn.ANCHORARRAY(Sintesi!$C$9))*(A351&lt;=_xlfn.ANCHORARRAY(Sintesi!$C$10)),0)),0),A351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352&gt;=_xlfn.ANCHORARRAY(Sintesi!$C$9))+(_xlfn.ANCHORARRAY(Sintesi!$C$9)&gt;_xlfn.ANCHORARRAY(Sintesi!$C$10))*(A352&lt;=_xlfn.ANCHORARRAY(Sintesi!$C$10))+(_xlfn.ANCHORARRAY(Sintesi!$C$9)&lt;_xlfn.ANCHORARRAY(Sintesi!$C$10))*(A352&gt;=_xlfn.ANCHORARRAY(Sintesi!$C$9))*(A352&lt;=_xlfn.ANCHORARRAY(Sintesi!$C$10)),0)),0)),IF(L351&lt;_xlfn.IFNA(INDEX(_xlfn.ANCHORARRAY(Sintesi!$C$17),1,MATCH(1,(_xlfn.ANCHORARRAY(Sintesi!$C$9)&gt;_xlfn.ANCHORARRAY(Sintesi!$C$10))*(A350&gt;=_xlfn.ANCHORARRAY(Sintesi!$C$9))+(_xlfn.ANCHORARRAY(Sintesi!$C$9)&gt;_xlfn.ANCHORARRAY(Sintesi!$C$10))*(A350&lt;=_xlfn.ANCHORARRAY(Sintesi!$C$10))+(_xlfn.ANCHORARRAY(Sintesi!$C$9)&lt;_xlfn.ANCHORARRAY(Sintesi!$C$10))*(A350&gt;=_xlfn.ANCHORARRAY(Sintesi!$C$9))*(A350&lt;=_xlfn.ANCHORARRAY(Sintesi!$C$10)),0)),0),1,IF(L351&gt;=_xlfn.IFNA(INDEX(_xlfn.ANCHORARRAY(Sintesi!$C$18),1,MATCH(1,(_xlfn.ANCHORARRAY(Sintesi!$C$9)&gt;_xlfn.ANCHORARRAY(Sintesi!$C$10))*(A350&gt;=_xlfn.ANCHORARRAY(Sintesi!$C$9))+(_xlfn.ANCHORARRAY(Sintesi!$C$9)&gt;_xlfn.ANCHORARRAY(Sintesi!$C$10))*(A350&lt;=_xlfn.ANCHORARRAY(Sintesi!$C$10))+(_xlfn.ANCHORARRAY(Sintesi!$C$9)&lt;_xlfn.ANCHORARRAY(Sintesi!$C$10))*(A350&gt;=_xlfn.ANCHORARRAY(Sintesi!$C$9))*(A350&lt;=_xlfn.ANCHORARRAY(Sintesi!$C$10)),0)),0),0,1-(L351-_xlfn.IFNA(INDEX(_xlfn.ANCHORARRAY(Sintesi!$C$17),1,MATCH(1,(_xlfn.ANCHORARRAY(Sintesi!$C$9)&gt;_xlfn.ANCHORARRAY(Sintesi!$C$10))*(A350&gt;=_xlfn.ANCHORARRAY(Sintesi!$C$9))+(_xlfn.ANCHORARRAY(Sintesi!$C$9)&gt;_xlfn.ANCHORARRAY(Sintesi!$C$10))*(A350&lt;=_xlfn.ANCHORARRAY(Sintesi!$C$10))+(_xlfn.ANCHORARRAY(Sintesi!$C$9)&lt;_xlfn.ANCHORARRAY(Sintesi!$C$10))*(A350&gt;=_xlfn.ANCHORARRAY(Sintesi!$C$9))*(A350&lt;=_xlfn.ANCHORARRAY(Sintesi!$C$10)),0)),0))/(_xlfn.IFNA(INDEX(_xlfn.ANCHORARRAY(Sintesi!$C$18),1,MATCH(1,(_xlfn.ANCHORARRAY(Sintesi!$C$9)&gt;_xlfn.ANCHORARRAY(Sintesi!$C$10))*(A350&gt;=_xlfn.ANCHORARRAY(Sintesi!$C$9))+(_xlfn.ANCHORARRAY(Sintesi!$C$9)&gt;_xlfn.ANCHORARRAY(Sintesi!$C$10))*(A350&lt;=_xlfn.ANCHORARRAY(Sintesi!$C$10))+(_xlfn.ANCHORARRAY(Sintesi!$C$9)&lt;_xlfn.ANCHORARRAY(Sintesi!$C$10))*(A350&gt;=_xlfn.ANCHORARRAY(Sintesi!$C$9))*(A350&lt;=_xlfn.ANCHORARRAY(Sintesi!$C$10)),0)),0)-_xlfn.IFNA(INDEX(_xlfn.ANCHORARRAY(Sintesi!$C$17),1,MATCH(1,(_xlfn.ANCHORARRAY(Sintesi!$C$9)&gt;_xlfn.ANCHORARRAY(Sintesi!$C$10))*(A350&gt;=_xlfn.ANCHORARRAY(Sintesi!$C$9))+(_xlfn.ANCHORARRAY(Sintesi!$C$9)&gt;_xlfn.ANCHORARRAY(Sintesi!$C$10))*(A350&lt;=_xlfn.ANCHORARRAY(Sintesi!$C$10))+(_xlfn.ANCHORARRAY(Sintesi!$C$9)&lt;_xlfn.ANCHORARRAY(Sintesi!$C$10))*(A350&gt;=_xlfn.ANCHORARRAY(Sintesi!$C$9))*(A350&lt;=_xlfn.ANCHORARRAY(Sintesi!$C$10)),0)),0)))),0)</f>
        <v>0</v>
      </c>
    </row>
    <row r="352" spans="1:13">
      <c r="A352" s="1">
        <f>'Paste cell here'!A352</f>
        <v>351</v>
      </c>
      <c r="B352" s="2">
        <f>DATE(Sintesi!$C$4-1,12,31)+A352</f>
        <v>44547</v>
      </c>
      <c r="C352" s="34">
        <f t="array" ref="C352">_xlfn.IFNA(MATCH(1,((_xlfn.ANCHORARRAY(Sintesi!$C$9)&gt;_xlfn.ANCHORARRAY(Sintesi!$C$10))*(A352&gt;=_xlfn.ANCHORARRAY(Sintesi!$C$9))+(_xlfn.ANCHORARRAY(Sintesi!$C$9)&gt;_xlfn.ANCHORARRAY(Sintesi!$C$10))*(A352&lt;=_xlfn.ANCHORARRAY(Sintesi!$C$10))+(_xlfn.ANCHORARRAY(Sintesi!$C$9)&lt;_xlfn.ANCHORARRAY(Sintesi!$C$10))*(A352&gt;=_xlfn.ANCHORARRAY(Sintesi!$C$9))*(A352&lt;=_xlfn.ANCHORARRAY(Sintesi!$C$10)))*(_xlfn.ANCHORARRAY(Sintesi!$C$15)&gt;=0)+(_xlfn.ANCHORARRAY(Sintesi!$C$15)&lt;0),0),0)</f>
        <v>0</v>
      </c>
      <c r="D352" s="1">
        <f t="array" ref="D352">IF(ISBLANK($E353),IF(ISNUMBER($E351),IF($C352&gt;0,IF(($E352=INDEX(_xlfn.ANCHORARRAY(Sintesi!$C$14),1,$C352))*(INDEX(_xlfn.ANCHORARRAY(Sintesi!$C$15),1,$C352)&gt;0),0,IF(($E352=INDEX(_xlfn.ANCHORARRAY(Sintesi!$C$14),1,$C352))*(INDEX(_xlfn.ANCHORARRAY(Sintesi!$C$15),1,$C352)&lt;0)+($E352&gt;=$E351)*($E352&lt;=INDEX($E:$E,MATCH(TRUE,INDEX((ISNUMBER($E:$E)),0),0)))*($E352&gt;INDEX(_xlfn.ANCHORARRAY(Sintesi!$C$14),1,$C352))*($E352&lt;=INDEX(_xlfn.ANCHORARRAY(Sintesi!$C$15),1,$C352))*(INDEX(_xlfn.ANCHORARRAY(Sintesi!$C$15),1,$C352)&gt;0),1,IF(($E352&gt;=$E351)*($E352&lt;=INDEX($E:$E,MATCH(TRUE,INDEX((ISNUMBER($E:$E)),0),0)))*($E352&gt;INDEX(_xlfn.ANCHORARRAY(Sintesi!$C$14),1,$C352))*($E352&lt;INDEX(_xlfn.ANCHORARRAY(Sintesi!$C$16),1,$C352))*(INDEX(_xlfn.ANCHORARRAY(Sintesi!$C$15),1,$C352)&lt;0)+($E352&gt;=$E351)*($E352&lt;=INDEX($E:$E,MATCH(TRUE,INDEX((ISNUMBER($E:$E)),0),0)))*($E352&gt;INDEX(_xlfn.ANCHORARRAY(Sintesi!$C$15),1,$C352))*($E352&lt;INDEX(_xlfn.ANCHORARRAY(Sintesi!$C$16),1,$C352))*(INDEX(_xlfn.ANCHORARRAY(Sintesi!$C$15),1,$C352)&gt;0),2,IF($E352=(INDEX(_xlfn.ANCHORARRAY(Sintesi!$C$16),1,$C352)),3,4)))),0),IF($C352&gt;0,IF(($E352=INDEX(_xlfn.ANCHORARRAY(Sintesi!$C$14),1,$C352))*(INDEX(_xlfn.ANCHORARRAY(Sintesi!$C$15),1,$C352)&gt;0),0,IF(($E352=INDEX(_xlfn.ANCHORARRAY(Sintesi!$C$14),1,$C352))*(INDEX(_xlfn.ANCHORARRAY(Sintesi!$C$15),1,$C352)&lt;0)+($E352&gt;=LOOKUP(2,1/($E:$E&lt;&gt;""),$E:$E))*($E352&lt;=INDEX($E:$E,MATCH(TRUE,INDEX((ISNUMBER($E:$E)),0),0)))*($E352&gt;INDEX(_xlfn.ANCHORARRAY(Sintesi!$C$14),1,$C352))*($E352&lt;=INDEX(_xlfn.ANCHORARRAY(Sintesi!$C$15),1,$C352))*(INDEX(_xlfn.ANCHORARRAY(Sintesi!$C$15),1,$C352)&gt;0),1,IF(($E352&gt;=LOOKUP(2,1/($E:$E&lt;&gt;""),$E:$E))*($E352&lt;=INDEX($E:$E,MATCH(TRUE,INDEX((ISNUMBER($E:$E)),0),0)))*($E352&gt;INDEX(_xlfn.ANCHORARRAY(Sintesi!$C$14),1,$C352))*($E352&lt;INDEX(_xlfn.ANCHORARRAY(Sintesi!$C$16),1,$C352))*(INDEX(_xlfn.ANCHORARRAY(Sintesi!$C$15),1,$C352)&lt;0)+($E352&gt;=LOOKUP(2,1/($E:$E&lt;&gt;""),$E:$E))*($E352&lt;=INDEX($E:$E,MATCH(TRUE,INDEX((ISNUMBER($E:$E)),0),0)))*($E352&gt;INDEX(_xlfn.ANCHORARRAY(Sintesi!$C$15),1,$C352))*($E352&lt;INDEX(_xlfn.ANCHORARRAY(Sintesi!$C$16),1,$C352))*(INDEX(_xlfn.ANCHORARRAY(Sintesi!$C$15),1,$C352)&gt;0),2,IF($E352=(INDEX(_xlfn.ANCHORARRAY(Sintesi!$C$16),1,$C352)),3,4)))),0)),IF(ISNUMBER($E351),IF($C352&gt;0,IF(($E352=INDEX(_xlfn.ANCHORARRAY(Sintesi!$C$14),1,$C352))*(INDEX(_xlfn.ANCHORARRAY(Sintesi!$C$15),1,$C352)&gt;0),0,IF(($E352=INDEX(_xlfn.ANCHORARRAY(Sintesi!$C$14),1,$C352))*(INDEX(_xlfn.ANCHORARRAY(Sintesi!$C$15),1,$C352)&lt;0)+($E352&gt;=$E351)*($E352&lt;=$E353)*($E352&gt;INDEX(_xlfn.ANCHORARRAY(Sintesi!$C$14),1,$C352))*($E352&lt;=INDEX(_xlfn.ANCHORARRAY(Sintesi!$C$15),1,$C352))*(INDEX(_xlfn.ANCHORARRAY(Sintesi!$C$15),1,$C352)&gt;0),1,IF(($E352&gt;=$E351)*($E352&lt;=$E353)*($E352&gt;INDEX(_xlfn.ANCHORARRAY(Sintesi!$C$14),1,$C352))*($E352&lt;INDEX(_xlfn.ANCHORARRAY(Sintesi!$C$16),1,$C352))*(INDEX(_xlfn.ANCHORARRAY(Sintesi!$C$15),1,$C352)&lt;0)+($E352&gt;=$E351)*($E352&lt;=$E353)*($E352&gt;INDEX(_xlfn.ANCHORARRAY(Sintesi!$C$15),1,$C352))*($E352&lt;INDEX(_xlfn.ANCHORARRAY(Sintesi!$C$16),1,$C352))*(INDEX(_xlfn.ANCHORARRAY(Sintesi!$C$15),1,$C352)&gt;0),2,IF($E352=(INDEX(_xlfn.ANCHORARRAY(Sintesi!$C$16),1,$C352)),3,4)))),0),IF($C352&gt;0,IF(($E352=INDEX(_xlfn.ANCHORARRAY(Sintesi!$C$14),1,$C352))*(INDEX(_xlfn.ANCHORARRAY(Sintesi!$C$15),1,$C352)&gt;0),0,IF(($E352=INDEX(_xlfn.ANCHORARRAY(Sintesi!$C$14),1,$C352))*(INDEX(_xlfn.ANCHORARRAY(Sintesi!$C$15),1,$C352)&lt;0)+($E352&gt;=LOOKUP(2,1/($E:$E&lt;&gt;""),$E:$E))*($E352&lt;=$E353)*($E352&gt;INDEX(_xlfn.ANCHORARRAY(Sintesi!$C$14),1,$C352))*($E352&lt;=INDEX(_xlfn.ANCHORARRAY(Sintesi!$C$15),1,$C352))*(INDEX(_xlfn.ANCHORARRAY(Sintesi!$C$15),1,$C352)&gt;0),1,IF(($E352&gt;=LOOKUP(2,1/($E:$E&lt;&gt;""),$E:$E))*($E352&lt;=$E353)*($E352&gt;INDEX(_xlfn.ANCHORARRAY(Sintesi!$C$14),1,$C352))*($E352&lt;INDEX(_xlfn.ANCHORARRAY(Sintesi!$C$16),1,$C352))*(INDEX(_xlfn.ANCHORARRAY(Sintesi!$C$15),1,$C352)&lt;0)+($E352&gt;=LOOKUP(2,1/($E:$E&lt;&gt;""),$E:$E))*($E352&lt;=$E353)*($E352&gt;INDEX(_xlfn.ANCHORARRAY(Sintesi!$C$15),1,$C352))*($E352&lt;INDEX(_xlfn.ANCHORARRAY(Sintesi!$C$16),1,$C352))*(INDEX(_xlfn.ANCHORARRAY(Sintesi!$C$15),1,$C352)&gt;0),2,IF($E352=(INDEX(_xlfn.ANCHORARRAY(Sintesi!$C$16),1,$C352)),3,4)))),0)))</f>
        <v>0</v>
      </c>
      <c r="E352" s="1">
        <f>'Paste cell here'!F352</f>
        <v>0</v>
      </c>
      <c r="F352" s="1">
        <f>'Paste cell here'!C352</f>
        <v>7.9999999999999289</v>
      </c>
      <c r="G352" s="1">
        <f>'Paste cell here'!D352</f>
        <v>-1.3999999999999759</v>
      </c>
      <c r="H352" s="1">
        <f>'Paste cell here'!E352</f>
        <v>0.2725549945318258</v>
      </c>
      <c r="I352" s="1">
        <f>'Paste cell here'!X352</f>
        <v>0</v>
      </c>
      <c r="J352" s="1">
        <f>'Paste cell here'!Y352+'Paste cell here'!S352</f>
        <v>0</v>
      </c>
      <c r="K352" s="1">
        <f t="shared" si="10"/>
        <v>0</v>
      </c>
      <c r="L352" s="1">
        <f t="shared" si="11"/>
        <v>3.9714285714285409</v>
      </c>
      <c r="M352" s="1">
        <f t="array" ref="M352">IF(AND(A352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352&gt;=_xlfn.ANCHORARRAY(Sintesi!$C$9))+(_xlfn.ANCHORARRAY(Sintesi!$C$9)&gt;_xlfn.ANCHORARRAY(Sintesi!$C$10))*(A352&lt;=_xlfn.ANCHORARRAY(Sintesi!$C$10))+(_xlfn.ANCHORARRAY(Sintesi!$C$9)&lt;_xlfn.ANCHORARRAY(Sintesi!$C$10))*(A352&gt;=_xlfn.ANCHORARRAY(Sintesi!$C$9))*(A352&lt;=_xlfn.ANCHORARRAY(Sintesi!$C$10)),0)),0),A352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353&gt;=_xlfn.ANCHORARRAY(Sintesi!$C$9))+(_xlfn.ANCHORARRAY(Sintesi!$C$9)&gt;_xlfn.ANCHORARRAY(Sintesi!$C$10))*(A353&lt;=_xlfn.ANCHORARRAY(Sintesi!$C$10))+(_xlfn.ANCHORARRAY(Sintesi!$C$9)&lt;_xlfn.ANCHORARRAY(Sintesi!$C$10))*(A353&gt;=_xlfn.ANCHORARRAY(Sintesi!$C$9))*(A353&lt;=_xlfn.ANCHORARRAY(Sintesi!$C$10)),0)),0)),IF(L352&lt;_xlfn.IFNA(INDEX(_xlfn.ANCHORARRAY(Sintesi!$C$17),1,MATCH(1,(_xlfn.ANCHORARRAY(Sintesi!$C$9)&gt;_xlfn.ANCHORARRAY(Sintesi!$C$10))*(A351&gt;=_xlfn.ANCHORARRAY(Sintesi!$C$9))+(_xlfn.ANCHORARRAY(Sintesi!$C$9)&gt;_xlfn.ANCHORARRAY(Sintesi!$C$10))*(A351&lt;=_xlfn.ANCHORARRAY(Sintesi!$C$10))+(_xlfn.ANCHORARRAY(Sintesi!$C$9)&lt;_xlfn.ANCHORARRAY(Sintesi!$C$10))*(A351&gt;=_xlfn.ANCHORARRAY(Sintesi!$C$9))*(A351&lt;=_xlfn.ANCHORARRAY(Sintesi!$C$10)),0)),0),1,IF(L352&gt;=_xlfn.IFNA(INDEX(_xlfn.ANCHORARRAY(Sintesi!$C$18),1,MATCH(1,(_xlfn.ANCHORARRAY(Sintesi!$C$9)&gt;_xlfn.ANCHORARRAY(Sintesi!$C$10))*(A351&gt;=_xlfn.ANCHORARRAY(Sintesi!$C$9))+(_xlfn.ANCHORARRAY(Sintesi!$C$9)&gt;_xlfn.ANCHORARRAY(Sintesi!$C$10))*(A351&lt;=_xlfn.ANCHORARRAY(Sintesi!$C$10))+(_xlfn.ANCHORARRAY(Sintesi!$C$9)&lt;_xlfn.ANCHORARRAY(Sintesi!$C$10))*(A351&gt;=_xlfn.ANCHORARRAY(Sintesi!$C$9))*(A351&lt;=_xlfn.ANCHORARRAY(Sintesi!$C$10)),0)),0),0,1-(L352-_xlfn.IFNA(INDEX(_xlfn.ANCHORARRAY(Sintesi!$C$17),1,MATCH(1,(_xlfn.ANCHORARRAY(Sintesi!$C$9)&gt;_xlfn.ANCHORARRAY(Sintesi!$C$10))*(A351&gt;=_xlfn.ANCHORARRAY(Sintesi!$C$9))+(_xlfn.ANCHORARRAY(Sintesi!$C$9)&gt;_xlfn.ANCHORARRAY(Sintesi!$C$10))*(A351&lt;=_xlfn.ANCHORARRAY(Sintesi!$C$10))+(_xlfn.ANCHORARRAY(Sintesi!$C$9)&lt;_xlfn.ANCHORARRAY(Sintesi!$C$10))*(A351&gt;=_xlfn.ANCHORARRAY(Sintesi!$C$9))*(A351&lt;=_xlfn.ANCHORARRAY(Sintesi!$C$10)),0)),0))/(_xlfn.IFNA(INDEX(_xlfn.ANCHORARRAY(Sintesi!$C$18),1,MATCH(1,(_xlfn.ANCHORARRAY(Sintesi!$C$9)&gt;_xlfn.ANCHORARRAY(Sintesi!$C$10))*(A351&gt;=_xlfn.ANCHORARRAY(Sintesi!$C$9))+(_xlfn.ANCHORARRAY(Sintesi!$C$9)&gt;_xlfn.ANCHORARRAY(Sintesi!$C$10))*(A351&lt;=_xlfn.ANCHORARRAY(Sintesi!$C$10))+(_xlfn.ANCHORARRAY(Sintesi!$C$9)&lt;_xlfn.ANCHORARRAY(Sintesi!$C$10))*(A351&gt;=_xlfn.ANCHORARRAY(Sintesi!$C$9))*(A351&lt;=_xlfn.ANCHORARRAY(Sintesi!$C$10)),0)),0)-_xlfn.IFNA(INDEX(_xlfn.ANCHORARRAY(Sintesi!$C$17),1,MATCH(1,(_xlfn.ANCHORARRAY(Sintesi!$C$9)&gt;_xlfn.ANCHORARRAY(Sintesi!$C$10))*(A351&gt;=_xlfn.ANCHORARRAY(Sintesi!$C$9))+(_xlfn.ANCHORARRAY(Sintesi!$C$9)&gt;_xlfn.ANCHORARRAY(Sintesi!$C$10))*(A351&lt;=_xlfn.ANCHORARRAY(Sintesi!$C$10))+(_xlfn.ANCHORARRAY(Sintesi!$C$9)&lt;_xlfn.ANCHORARRAY(Sintesi!$C$10))*(A351&gt;=_xlfn.ANCHORARRAY(Sintesi!$C$9))*(A351&lt;=_xlfn.ANCHORARRAY(Sintesi!$C$10)),0)),0)))),0)</f>
        <v>0</v>
      </c>
    </row>
    <row r="353" spans="1:13">
      <c r="A353" s="1">
        <f>'Paste cell here'!A353</f>
        <v>352</v>
      </c>
      <c r="B353" s="2">
        <f>DATE(Sintesi!$C$4-1,12,31)+A353</f>
        <v>44548</v>
      </c>
      <c r="C353" s="34">
        <f t="array" ref="C353">_xlfn.IFNA(MATCH(1,((_xlfn.ANCHORARRAY(Sintesi!$C$9)&gt;_xlfn.ANCHORARRAY(Sintesi!$C$10))*(A353&gt;=_xlfn.ANCHORARRAY(Sintesi!$C$9))+(_xlfn.ANCHORARRAY(Sintesi!$C$9)&gt;_xlfn.ANCHORARRAY(Sintesi!$C$10))*(A353&lt;=_xlfn.ANCHORARRAY(Sintesi!$C$10))+(_xlfn.ANCHORARRAY(Sintesi!$C$9)&lt;_xlfn.ANCHORARRAY(Sintesi!$C$10))*(A353&gt;=_xlfn.ANCHORARRAY(Sintesi!$C$9))*(A353&lt;=_xlfn.ANCHORARRAY(Sintesi!$C$10)))*(_xlfn.ANCHORARRAY(Sintesi!$C$15)&gt;=0)+(_xlfn.ANCHORARRAY(Sintesi!$C$15)&lt;0),0),0)</f>
        <v>0</v>
      </c>
      <c r="D353" s="1">
        <f t="array" ref="D353">IF(ISBLANK($E354),IF(ISNUMBER($E352),IF($C353&gt;0,IF(($E353=INDEX(_xlfn.ANCHORARRAY(Sintesi!$C$14),1,$C353))*(INDEX(_xlfn.ANCHORARRAY(Sintesi!$C$15),1,$C353)&gt;0),0,IF(($E353=INDEX(_xlfn.ANCHORARRAY(Sintesi!$C$14),1,$C353))*(INDEX(_xlfn.ANCHORARRAY(Sintesi!$C$15),1,$C353)&lt;0)+($E353&gt;=$E352)*($E353&lt;=INDEX($E:$E,MATCH(TRUE,INDEX((ISNUMBER($E:$E)),0),0)))*($E353&gt;INDEX(_xlfn.ANCHORARRAY(Sintesi!$C$14),1,$C353))*($E353&lt;=INDEX(_xlfn.ANCHORARRAY(Sintesi!$C$15),1,$C353))*(INDEX(_xlfn.ANCHORARRAY(Sintesi!$C$15),1,$C353)&gt;0),1,IF(($E353&gt;=$E352)*($E353&lt;=INDEX($E:$E,MATCH(TRUE,INDEX((ISNUMBER($E:$E)),0),0)))*($E353&gt;INDEX(_xlfn.ANCHORARRAY(Sintesi!$C$14),1,$C353))*($E353&lt;INDEX(_xlfn.ANCHORARRAY(Sintesi!$C$16),1,$C353))*(INDEX(_xlfn.ANCHORARRAY(Sintesi!$C$15),1,$C353)&lt;0)+($E353&gt;=$E352)*($E353&lt;=INDEX($E:$E,MATCH(TRUE,INDEX((ISNUMBER($E:$E)),0),0)))*($E353&gt;INDEX(_xlfn.ANCHORARRAY(Sintesi!$C$15),1,$C353))*($E353&lt;INDEX(_xlfn.ANCHORARRAY(Sintesi!$C$16),1,$C353))*(INDEX(_xlfn.ANCHORARRAY(Sintesi!$C$15),1,$C353)&gt;0),2,IF($E353=(INDEX(_xlfn.ANCHORARRAY(Sintesi!$C$16),1,$C353)),3,4)))),0),IF($C353&gt;0,IF(($E353=INDEX(_xlfn.ANCHORARRAY(Sintesi!$C$14),1,$C353))*(INDEX(_xlfn.ANCHORARRAY(Sintesi!$C$15),1,$C353)&gt;0),0,IF(($E353=INDEX(_xlfn.ANCHORARRAY(Sintesi!$C$14),1,$C353))*(INDEX(_xlfn.ANCHORARRAY(Sintesi!$C$15),1,$C353)&lt;0)+($E353&gt;=LOOKUP(2,1/($E:$E&lt;&gt;""),$E:$E))*($E353&lt;=INDEX($E:$E,MATCH(TRUE,INDEX((ISNUMBER($E:$E)),0),0)))*($E353&gt;INDEX(_xlfn.ANCHORARRAY(Sintesi!$C$14),1,$C353))*($E353&lt;=INDEX(_xlfn.ANCHORARRAY(Sintesi!$C$15),1,$C353))*(INDEX(_xlfn.ANCHORARRAY(Sintesi!$C$15),1,$C353)&gt;0),1,IF(($E353&gt;=LOOKUP(2,1/($E:$E&lt;&gt;""),$E:$E))*($E353&lt;=INDEX($E:$E,MATCH(TRUE,INDEX((ISNUMBER($E:$E)),0),0)))*($E353&gt;INDEX(_xlfn.ANCHORARRAY(Sintesi!$C$14),1,$C353))*($E353&lt;INDEX(_xlfn.ANCHORARRAY(Sintesi!$C$16),1,$C353))*(INDEX(_xlfn.ANCHORARRAY(Sintesi!$C$15),1,$C353)&lt;0)+($E353&gt;=LOOKUP(2,1/($E:$E&lt;&gt;""),$E:$E))*($E353&lt;=INDEX($E:$E,MATCH(TRUE,INDEX((ISNUMBER($E:$E)),0),0)))*($E353&gt;INDEX(_xlfn.ANCHORARRAY(Sintesi!$C$15),1,$C353))*($E353&lt;INDEX(_xlfn.ANCHORARRAY(Sintesi!$C$16),1,$C353))*(INDEX(_xlfn.ANCHORARRAY(Sintesi!$C$15),1,$C353)&gt;0),2,IF($E353=(INDEX(_xlfn.ANCHORARRAY(Sintesi!$C$16),1,$C353)),3,4)))),0)),IF(ISNUMBER($E352),IF($C353&gt;0,IF(($E353=INDEX(_xlfn.ANCHORARRAY(Sintesi!$C$14),1,$C353))*(INDEX(_xlfn.ANCHORARRAY(Sintesi!$C$15),1,$C353)&gt;0),0,IF(($E353=INDEX(_xlfn.ANCHORARRAY(Sintesi!$C$14),1,$C353))*(INDEX(_xlfn.ANCHORARRAY(Sintesi!$C$15),1,$C353)&lt;0)+($E353&gt;=$E352)*($E353&lt;=$E354)*($E353&gt;INDEX(_xlfn.ANCHORARRAY(Sintesi!$C$14),1,$C353))*($E353&lt;=INDEX(_xlfn.ANCHORARRAY(Sintesi!$C$15),1,$C353))*(INDEX(_xlfn.ANCHORARRAY(Sintesi!$C$15),1,$C353)&gt;0),1,IF(($E353&gt;=$E352)*($E353&lt;=$E354)*($E353&gt;INDEX(_xlfn.ANCHORARRAY(Sintesi!$C$14),1,$C353))*($E353&lt;INDEX(_xlfn.ANCHORARRAY(Sintesi!$C$16),1,$C353))*(INDEX(_xlfn.ANCHORARRAY(Sintesi!$C$15),1,$C353)&lt;0)+($E353&gt;=$E352)*($E353&lt;=$E354)*($E353&gt;INDEX(_xlfn.ANCHORARRAY(Sintesi!$C$15),1,$C353))*($E353&lt;INDEX(_xlfn.ANCHORARRAY(Sintesi!$C$16),1,$C353))*(INDEX(_xlfn.ANCHORARRAY(Sintesi!$C$15),1,$C353)&gt;0),2,IF($E353=(INDEX(_xlfn.ANCHORARRAY(Sintesi!$C$16),1,$C353)),3,4)))),0),IF($C353&gt;0,IF(($E353=INDEX(_xlfn.ANCHORARRAY(Sintesi!$C$14),1,$C353))*(INDEX(_xlfn.ANCHORARRAY(Sintesi!$C$15),1,$C353)&gt;0),0,IF(($E353=INDEX(_xlfn.ANCHORARRAY(Sintesi!$C$14),1,$C353))*(INDEX(_xlfn.ANCHORARRAY(Sintesi!$C$15),1,$C353)&lt;0)+($E353&gt;=LOOKUP(2,1/($E:$E&lt;&gt;""),$E:$E))*($E353&lt;=$E354)*($E353&gt;INDEX(_xlfn.ANCHORARRAY(Sintesi!$C$14),1,$C353))*($E353&lt;=INDEX(_xlfn.ANCHORARRAY(Sintesi!$C$15),1,$C353))*(INDEX(_xlfn.ANCHORARRAY(Sintesi!$C$15),1,$C353)&gt;0),1,IF(($E353&gt;=LOOKUP(2,1/($E:$E&lt;&gt;""),$E:$E))*($E353&lt;=$E354)*($E353&gt;INDEX(_xlfn.ANCHORARRAY(Sintesi!$C$14),1,$C353))*($E353&lt;INDEX(_xlfn.ANCHORARRAY(Sintesi!$C$16),1,$C353))*(INDEX(_xlfn.ANCHORARRAY(Sintesi!$C$15),1,$C353)&lt;0)+($E353&gt;=LOOKUP(2,1/($E:$E&lt;&gt;""),$E:$E))*($E353&lt;=$E354)*($E353&gt;INDEX(_xlfn.ANCHORARRAY(Sintesi!$C$15),1,$C353))*($E353&lt;INDEX(_xlfn.ANCHORARRAY(Sintesi!$C$16),1,$C353))*(INDEX(_xlfn.ANCHORARRAY(Sintesi!$C$15),1,$C353)&gt;0),2,IF($E353=(INDEX(_xlfn.ANCHORARRAY(Sintesi!$C$16),1,$C353)),3,4)))),0)))</f>
        <v>0</v>
      </c>
      <c r="E353" s="1">
        <f>'Paste cell here'!F353</f>
        <v>0</v>
      </c>
      <c r="F353" s="1">
        <f>'Paste cell here'!C353</f>
        <v>3.6799999999999615</v>
      </c>
      <c r="G353" s="1">
        <f>'Paste cell here'!D353</f>
        <v>-1.8399999999999808</v>
      </c>
      <c r="H353" s="1">
        <f>'Paste cell here'!E353</f>
        <v>0.14473504365417336</v>
      </c>
      <c r="I353" s="1">
        <f>'Paste cell here'!X353</f>
        <v>0</v>
      </c>
      <c r="J353" s="1">
        <f>'Paste cell here'!Y353+'Paste cell here'!S353</f>
        <v>0</v>
      </c>
      <c r="K353" s="1">
        <f t="shared" si="10"/>
        <v>0</v>
      </c>
      <c r="L353" s="1">
        <f t="shared" si="11"/>
        <v>1.3142857142857005</v>
      </c>
      <c r="M353" s="1">
        <f t="array" ref="M353">IF(AND(A353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353&gt;=_xlfn.ANCHORARRAY(Sintesi!$C$9))+(_xlfn.ANCHORARRAY(Sintesi!$C$9)&gt;_xlfn.ANCHORARRAY(Sintesi!$C$10))*(A353&lt;=_xlfn.ANCHORARRAY(Sintesi!$C$10))+(_xlfn.ANCHORARRAY(Sintesi!$C$9)&lt;_xlfn.ANCHORARRAY(Sintesi!$C$10))*(A353&gt;=_xlfn.ANCHORARRAY(Sintesi!$C$9))*(A353&lt;=_xlfn.ANCHORARRAY(Sintesi!$C$10)),0)),0),A353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354&gt;=_xlfn.ANCHORARRAY(Sintesi!$C$9))+(_xlfn.ANCHORARRAY(Sintesi!$C$9)&gt;_xlfn.ANCHORARRAY(Sintesi!$C$10))*(A354&lt;=_xlfn.ANCHORARRAY(Sintesi!$C$10))+(_xlfn.ANCHORARRAY(Sintesi!$C$9)&lt;_xlfn.ANCHORARRAY(Sintesi!$C$10))*(A354&gt;=_xlfn.ANCHORARRAY(Sintesi!$C$9))*(A354&lt;=_xlfn.ANCHORARRAY(Sintesi!$C$10)),0)),0)),IF(L353&lt;_xlfn.IFNA(INDEX(_xlfn.ANCHORARRAY(Sintesi!$C$17),1,MATCH(1,(_xlfn.ANCHORARRAY(Sintesi!$C$9)&gt;_xlfn.ANCHORARRAY(Sintesi!$C$10))*(A352&gt;=_xlfn.ANCHORARRAY(Sintesi!$C$9))+(_xlfn.ANCHORARRAY(Sintesi!$C$9)&gt;_xlfn.ANCHORARRAY(Sintesi!$C$10))*(A352&lt;=_xlfn.ANCHORARRAY(Sintesi!$C$10))+(_xlfn.ANCHORARRAY(Sintesi!$C$9)&lt;_xlfn.ANCHORARRAY(Sintesi!$C$10))*(A352&gt;=_xlfn.ANCHORARRAY(Sintesi!$C$9))*(A352&lt;=_xlfn.ANCHORARRAY(Sintesi!$C$10)),0)),0),1,IF(L353&gt;=_xlfn.IFNA(INDEX(_xlfn.ANCHORARRAY(Sintesi!$C$18),1,MATCH(1,(_xlfn.ANCHORARRAY(Sintesi!$C$9)&gt;_xlfn.ANCHORARRAY(Sintesi!$C$10))*(A352&gt;=_xlfn.ANCHORARRAY(Sintesi!$C$9))+(_xlfn.ANCHORARRAY(Sintesi!$C$9)&gt;_xlfn.ANCHORARRAY(Sintesi!$C$10))*(A352&lt;=_xlfn.ANCHORARRAY(Sintesi!$C$10))+(_xlfn.ANCHORARRAY(Sintesi!$C$9)&lt;_xlfn.ANCHORARRAY(Sintesi!$C$10))*(A352&gt;=_xlfn.ANCHORARRAY(Sintesi!$C$9))*(A352&lt;=_xlfn.ANCHORARRAY(Sintesi!$C$10)),0)),0),0,1-(L353-_xlfn.IFNA(INDEX(_xlfn.ANCHORARRAY(Sintesi!$C$17),1,MATCH(1,(_xlfn.ANCHORARRAY(Sintesi!$C$9)&gt;_xlfn.ANCHORARRAY(Sintesi!$C$10))*(A352&gt;=_xlfn.ANCHORARRAY(Sintesi!$C$9))+(_xlfn.ANCHORARRAY(Sintesi!$C$9)&gt;_xlfn.ANCHORARRAY(Sintesi!$C$10))*(A352&lt;=_xlfn.ANCHORARRAY(Sintesi!$C$10))+(_xlfn.ANCHORARRAY(Sintesi!$C$9)&lt;_xlfn.ANCHORARRAY(Sintesi!$C$10))*(A352&gt;=_xlfn.ANCHORARRAY(Sintesi!$C$9))*(A352&lt;=_xlfn.ANCHORARRAY(Sintesi!$C$10)),0)),0))/(_xlfn.IFNA(INDEX(_xlfn.ANCHORARRAY(Sintesi!$C$18),1,MATCH(1,(_xlfn.ANCHORARRAY(Sintesi!$C$9)&gt;_xlfn.ANCHORARRAY(Sintesi!$C$10))*(A352&gt;=_xlfn.ANCHORARRAY(Sintesi!$C$9))+(_xlfn.ANCHORARRAY(Sintesi!$C$9)&gt;_xlfn.ANCHORARRAY(Sintesi!$C$10))*(A352&lt;=_xlfn.ANCHORARRAY(Sintesi!$C$10))+(_xlfn.ANCHORARRAY(Sintesi!$C$9)&lt;_xlfn.ANCHORARRAY(Sintesi!$C$10))*(A352&gt;=_xlfn.ANCHORARRAY(Sintesi!$C$9))*(A352&lt;=_xlfn.ANCHORARRAY(Sintesi!$C$10)),0)),0)-_xlfn.IFNA(INDEX(_xlfn.ANCHORARRAY(Sintesi!$C$17),1,MATCH(1,(_xlfn.ANCHORARRAY(Sintesi!$C$9)&gt;_xlfn.ANCHORARRAY(Sintesi!$C$10))*(A352&gt;=_xlfn.ANCHORARRAY(Sintesi!$C$9))+(_xlfn.ANCHORARRAY(Sintesi!$C$9)&gt;_xlfn.ANCHORARRAY(Sintesi!$C$10))*(A352&lt;=_xlfn.ANCHORARRAY(Sintesi!$C$10))+(_xlfn.ANCHORARRAY(Sintesi!$C$9)&lt;_xlfn.ANCHORARRAY(Sintesi!$C$10))*(A352&gt;=_xlfn.ANCHORARRAY(Sintesi!$C$9))*(A352&lt;=_xlfn.ANCHORARRAY(Sintesi!$C$10)),0)),0)))),0)</f>
        <v>0</v>
      </c>
    </row>
    <row r="354" spans="1:13">
      <c r="A354" s="1">
        <f>'Paste cell here'!A354</f>
        <v>353</v>
      </c>
      <c r="B354" s="2">
        <f>DATE(Sintesi!$C$4-1,12,31)+A354</f>
        <v>44549</v>
      </c>
      <c r="C354" s="34">
        <f t="array" ref="C354">_xlfn.IFNA(MATCH(1,((_xlfn.ANCHORARRAY(Sintesi!$C$9)&gt;_xlfn.ANCHORARRAY(Sintesi!$C$10))*(A354&gt;=_xlfn.ANCHORARRAY(Sintesi!$C$9))+(_xlfn.ANCHORARRAY(Sintesi!$C$9)&gt;_xlfn.ANCHORARRAY(Sintesi!$C$10))*(A354&lt;=_xlfn.ANCHORARRAY(Sintesi!$C$10))+(_xlfn.ANCHORARRAY(Sintesi!$C$9)&lt;_xlfn.ANCHORARRAY(Sintesi!$C$10))*(A354&gt;=_xlfn.ANCHORARRAY(Sintesi!$C$9))*(A354&lt;=_xlfn.ANCHORARRAY(Sintesi!$C$10)))*(_xlfn.ANCHORARRAY(Sintesi!$C$15)&gt;=0)+(_xlfn.ANCHORARRAY(Sintesi!$C$15)&lt;0),0),0)</f>
        <v>0</v>
      </c>
      <c r="D354" s="1">
        <f t="array" ref="D354">IF(ISBLANK($E355),IF(ISNUMBER($E353),IF($C354&gt;0,IF(($E354=INDEX(_xlfn.ANCHORARRAY(Sintesi!$C$14),1,$C354))*(INDEX(_xlfn.ANCHORARRAY(Sintesi!$C$15),1,$C354)&gt;0),0,IF(($E354=INDEX(_xlfn.ANCHORARRAY(Sintesi!$C$14),1,$C354))*(INDEX(_xlfn.ANCHORARRAY(Sintesi!$C$15),1,$C354)&lt;0)+($E354&gt;=$E353)*($E354&lt;=INDEX($E:$E,MATCH(TRUE,INDEX((ISNUMBER($E:$E)),0),0)))*($E354&gt;INDEX(_xlfn.ANCHORARRAY(Sintesi!$C$14),1,$C354))*($E354&lt;=INDEX(_xlfn.ANCHORARRAY(Sintesi!$C$15),1,$C354))*(INDEX(_xlfn.ANCHORARRAY(Sintesi!$C$15),1,$C354)&gt;0),1,IF(($E354&gt;=$E353)*($E354&lt;=INDEX($E:$E,MATCH(TRUE,INDEX((ISNUMBER($E:$E)),0),0)))*($E354&gt;INDEX(_xlfn.ANCHORARRAY(Sintesi!$C$14),1,$C354))*($E354&lt;INDEX(_xlfn.ANCHORARRAY(Sintesi!$C$16),1,$C354))*(INDEX(_xlfn.ANCHORARRAY(Sintesi!$C$15),1,$C354)&lt;0)+($E354&gt;=$E353)*($E354&lt;=INDEX($E:$E,MATCH(TRUE,INDEX((ISNUMBER($E:$E)),0),0)))*($E354&gt;INDEX(_xlfn.ANCHORARRAY(Sintesi!$C$15),1,$C354))*($E354&lt;INDEX(_xlfn.ANCHORARRAY(Sintesi!$C$16),1,$C354))*(INDEX(_xlfn.ANCHORARRAY(Sintesi!$C$15),1,$C354)&gt;0),2,IF($E354=(INDEX(_xlfn.ANCHORARRAY(Sintesi!$C$16),1,$C354)),3,4)))),0),IF($C354&gt;0,IF(($E354=INDEX(_xlfn.ANCHORARRAY(Sintesi!$C$14),1,$C354))*(INDEX(_xlfn.ANCHORARRAY(Sintesi!$C$15),1,$C354)&gt;0),0,IF(($E354=INDEX(_xlfn.ANCHORARRAY(Sintesi!$C$14),1,$C354))*(INDEX(_xlfn.ANCHORARRAY(Sintesi!$C$15),1,$C354)&lt;0)+($E354&gt;=LOOKUP(2,1/($E:$E&lt;&gt;""),$E:$E))*($E354&lt;=INDEX($E:$E,MATCH(TRUE,INDEX((ISNUMBER($E:$E)),0),0)))*($E354&gt;INDEX(_xlfn.ANCHORARRAY(Sintesi!$C$14),1,$C354))*($E354&lt;=INDEX(_xlfn.ANCHORARRAY(Sintesi!$C$15),1,$C354))*(INDEX(_xlfn.ANCHORARRAY(Sintesi!$C$15),1,$C354)&gt;0),1,IF(($E354&gt;=LOOKUP(2,1/($E:$E&lt;&gt;""),$E:$E))*($E354&lt;=INDEX($E:$E,MATCH(TRUE,INDEX((ISNUMBER($E:$E)),0),0)))*($E354&gt;INDEX(_xlfn.ANCHORARRAY(Sintesi!$C$14),1,$C354))*($E354&lt;INDEX(_xlfn.ANCHORARRAY(Sintesi!$C$16),1,$C354))*(INDEX(_xlfn.ANCHORARRAY(Sintesi!$C$15),1,$C354)&lt;0)+($E354&gt;=LOOKUP(2,1/($E:$E&lt;&gt;""),$E:$E))*($E354&lt;=INDEX($E:$E,MATCH(TRUE,INDEX((ISNUMBER($E:$E)),0),0)))*($E354&gt;INDEX(_xlfn.ANCHORARRAY(Sintesi!$C$15),1,$C354))*($E354&lt;INDEX(_xlfn.ANCHORARRAY(Sintesi!$C$16),1,$C354))*(INDEX(_xlfn.ANCHORARRAY(Sintesi!$C$15),1,$C354)&gt;0),2,IF($E354=(INDEX(_xlfn.ANCHORARRAY(Sintesi!$C$16),1,$C354)),3,4)))),0)),IF(ISNUMBER($E353),IF($C354&gt;0,IF(($E354=INDEX(_xlfn.ANCHORARRAY(Sintesi!$C$14),1,$C354))*(INDEX(_xlfn.ANCHORARRAY(Sintesi!$C$15),1,$C354)&gt;0),0,IF(($E354=INDEX(_xlfn.ANCHORARRAY(Sintesi!$C$14),1,$C354))*(INDEX(_xlfn.ANCHORARRAY(Sintesi!$C$15),1,$C354)&lt;0)+($E354&gt;=$E353)*($E354&lt;=$E355)*($E354&gt;INDEX(_xlfn.ANCHORARRAY(Sintesi!$C$14),1,$C354))*($E354&lt;=INDEX(_xlfn.ANCHORARRAY(Sintesi!$C$15),1,$C354))*(INDEX(_xlfn.ANCHORARRAY(Sintesi!$C$15),1,$C354)&gt;0),1,IF(($E354&gt;=$E353)*($E354&lt;=$E355)*($E354&gt;INDEX(_xlfn.ANCHORARRAY(Sintesi!$C$14),1,$C354))*($E354&lt;INDEX(_xlfn.ANCHORARRAY(Sintesi!$C$16),1,$C354))*(INDEX(_xlfn.ANCHORARRAY(Sintesi!$C$15),1,$C354)&lt;0)+($E354&gt;=$E353)*($E354&lt;=$E355)*($E354&gt;INDEX(_xlfn.ANCHORARRAY(Sintesi!$C$15),1,$C354))*($E354&lt;INDEX(_xlfn.ANCHORARRAY(Sintesi!$C$16),1,$C354))*(INDEX(_xlfn.ANCHORARRAY(Sintesi!$C$15),1,$C354)&gt;0),2,IF($E354=(INDEX(_xlfn.ANCHORARRAY(Sintesi!$C$16),1,$C354)),3,4)))),0),IF($C354&gt;0,IF(($E354=INDEX(_xlfn.ANCHORARRAY(Sintesi!$C$14),1,$C354))*(INDEX(_xlfn.ANCHORARRAY(Sintesi!$C$15),1,$C354)&gt;0),0,IF(($E354=INDEX(_xlfn.ANCHORARRAY(Sintesi!$C$14),1,$C354))*(INDEX(_xlfn.ANCHORARRAY(Sintesi!$C$15),1,$C354)&lt;0)+($E354&gt;=LOOKUP(2,1/($E:$E&lt;&gt;""),$E:$E))*($E354&lt;=$E355)*($E354&gt;INDEX(_xlfn.ANCHORARRAY(Sintesi!$C$14),1,$C354))*($E354&lt;=INDEX(_xlfn.ANCHORARRAY(Sintesi!$C$15),1,$C354))*(INDEX(_xlfn.ANCHORARRAY(Sintesi!$C$15),1,$C354)&gt;0),1,IF(($E354&gt;=LOOKUP(2,1/($E:$E&lt;&gt;""),$E:$E))*($E354&lt;=$E355)*($E354&gt;INDEX(_xlfn.ANCHORARRAY(Sintesi!$C$14),1,$C354))*($E354&lt;INDEX(_xlfn.ANCHORARRAY(Sintesi!$C$16),1,$C354))*(INDEX(_xlfn.ANCHORARRAY(Sintesi!$C$15),1,$C354)&lt;0)+($E354&gt;=LOOKUP(2,1/($E:$E&lt;&gt;""),$E:$E))*($E354&lt;=$E355)*($E354&gt;INDEX(_xlfn.ANCHORARRAY(Sintesi!$C$15),1,$C354))*($E354&lt;INDEX(_xlfn.ANCHORARRAY(Sintesi!$C$16),1,$C354))*(INDEX(_xlfn.ANCHORARRAY(Sintesi!$C$15),1,$C354)&gt;0),2,IF($E354=(INDEX(_xlfn.ANCHORARRAY(Sintesi!$C$16),1,$C354)),3,4)))),0)))</f>
        <v>0</v>
      </c>
      <c r="E354" s="1">
        <f>'Paste cell here'!F354</f>
        <v>0</v>
      </c>
      <c r="F354" s="1">
        <f>'Paste cell here'!C354</f>
        <v>8.4999999999999396</v>
      </c>
      <c r="G354" s="1">
        <f>'Paste cell here'!D354</f>
        <v>-0.91999999999998605</v>
      </c>
      <c r="H354" s="1">
        <f>'Paste cell here'!E354</f>
        <v>0.25864764149453817</v>
      </c>
      <c r="I354" s="1">
        <f>'Paste cell here'!X354</f>
        <v>0</v>
      </c>
      <c r="J354" s="1">
        <f>'Paste cell here'!Y354+'Paste cell here'!S354</f>
        <v>0</v>
      </c>
      <c r="K354" s="1">
        <f t="shared" si="10"/>
        <v>0</v>
      </c>
      <c r="L354" s="1">
        <f t="shared" si="11"/>
        <v>4.4628571428571142</v>
      </c>
      <c r="M354" s="1">
        <f t="array" ref="M354">IF(AND(A354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354&gt;=_xlfn.ANCHORARRAY(Sintesi!$C$9))+(_xlfn.ANCHORARRAY(Sintesi!$C$9)&gt;_xlfn.ANCHORARRAY(Sintesi!$C$10))*(A354&lt;=_xlfn.ANCHORARRAY(Sintesi!$C$10))+(_xlfn.ANCHORARRAY(Sintesi!$C$9)&lt;_xlfn.ANCHORARRAY(Sintesi!$C$10))*(A354&gt;=_xlfn.ANCHORARRAY(Sintesi!$C$9))*(A354&lt;=_xlfn.ANCHORARRAY(Sintesi!$C$10)),0)),0),A354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355&gt;=_xlfn.ANCHORARRAY(Sintesi!$C$9))+(_xlfn.ANCHORARRAY(Sintesi!$C$9)&gt;_xlfn.ANCHORARRAY(Sintesi!$C$10))*(A355&lt;=_xlfn.ANCHORARRAY(Sintesi!$C$10))+(_xlfn.ANCHORARRAY(Sintesi!$C$9)&lt;_xlfn.ANCHORARRAY(Sintesi!$C$10))*(A355&gt;=_xlfn.ANCHORARRAY(Sintesi!$C$9))*(A355&lt;=_xlfn.ANCHORARRAY(Sintesi!$C$10)),0)),0)),IF(L354&lt;_xlfn.IFNA(INDEX(_xlfn.ANCHORARRAY(Sintesi!$C$17),1,MATCH(1,(_xlfn.ANCHORARRAY(Sintesi!$C$9)&gt;_xlfn.ANCHORARRAY(Sintesi!$C$10))*(A353&gt;=_xlfn.ANCHORARRAY(Sintesi!$C$9))+(_xlfn.ANCHORARRAY(Sintesi!$C$9)&gt;_xlfn.ANCHORARRAY(Sintesi!$C$10))*(A353&lt;=_xlfn.ANCHORARRAY(Sintesi!$C$10))+(_xlfn.ANCHORARRAY(Sintesi!$C$9)&lt;_xlfn.ANCHORARRAY(Sintesi!$C$10))*(A353&gt;=_xlfn.ANCHORARRAY(Sintesi!$C$9))*(A353&lt;=_xlfn.ANCHORARRAY(Sintesi!$C$10)),0)),0),1,IF(L354&gt;=_xlfn.IFNA(INDEX(_xlfn.ANCHORARRAY(Sintesi!$C$18),1,MATCH(1,(_xlfn.ANCHORARRAY(Sintesi!$C$9)&gt;_xlfn.ANCHORARRAY(Sintesi!$C$10))*(A353&gt;=_xlfn.ANCHORARRAY(Sintesi!$C$9))+(_xlfn.ANCHORARRAY(Sintesi!$C$9)&gt;_xlfn.ANCHORARRAY(Sintesi!$C$10))*(A353&lt;=_xlfn.ANCHORARRAY(Sintesi!$C$10))+(_xlfn.ANCHORARRAY(Sintesi!$C$9)&lt;_xlfn.ANCHORARRAY(Sintesi!$C$10))*(A353&gt;=_xlfn.ANCHORARRAY(Sintesi!$C$9))*(A353&lt;=_xlfn.ANCHORARRAY(Sintesi!$C$10)),0)),0),0,1-(L354-_xlfn.IFNA(INDEX(_xlfn.ANCHORARRAY(Sintesi!$C$17),1,MATCH(1,(_xlfn.ANCHORARRAY(Sintesi!$C$9)&gt;_xlfn.ANCHORARRAY(Sintesi!$C$10))*(A353&gt;=_xlfn.ANCHORARRAY(Sintesi!$C$9))+(_xlfn.ANCHORARRAY(Sintesi!$C$9)&gt;_xlfn.ANCHORARRAY(Sintesi!$C$10))*(A353&lt;=_xlfn.ANCHORARRAY(Sintesi!$C$10))+(_xlfn.ANCHORARRAY(Sintesi!$C$9)&lt;_xlfn.ANCHORARRAY(Sintesi!$C$10))*(A353&gt;=_xlfn.ANCHORARRAY(Sintesi!$C$9))*(A353&lt;=_xlfn.ANCHORARRAY(Sintesi!$C$10)),0)),0))/(_xlfn.IFNA(INDEX(_xlfn.ANCHORARRAY(Sintesi!$C$18),1,MATCH(1,(_xlfn.ANCHORARRAY(Sintesi!$C$9)&gt;_xlfn.ANCHORARRAY(Sintesi!$C$10))*(A353&gt;=_xlfn.ANCHORARRAY(Sintesi!$C$9))+(_xlfn.ANCHORARRAY(Sintesi!$C$9)&gt;_xlfn.ANCHORARRAY(Sintesi!$C$10))*(A353&lt;=_xlfn.ANCHORARRAY(Sintesi!$C$10))+(_xlfn.ANCHORARRAY(Sintesi!$C$9)&lt;_xlfn.ANCHORARRAY(Sintesi!$C$10))*(A353&gt;=_xlfn.ANCHORARRAY(Sintesi!$C$9))*(A353&lt;=_xlfn.ANCHORARRAY(Sintesi!$C$10)),0)),0)-_xlfn.IFNA(INDEX(_xlfn.ANCHORARRAY(Sintesi!$C$17),1,MATCH(1,(_xlfn.ANCHORARRAY(Sintesi!$C$9)&gt;_xlfn.ANCHORARRAY(Sintesi!$C$10))*(A353&gt;=_xlfn.ANCHORARRAY(Sintesi!$C$9))+(_xlfn.ANCHORARRAY(Sintesi!$C$9)&gt;_xlfn.ANCHORARRAY(Sintesi!$C$10))*(A353&lt;=_xlfn.ANCHORARRAY(Sintesi!$C$10))+(_xlfn.ANCHORARRAY(Sintesi!$C$9)&lt;_xlfn.ANCHORARRAY(Sintesi!$C$10))*(A353&gt;=_xlfn.ANCHORARRAY(Sintesi!$C$9))*(A353&lt;=_xlfn.ANCHORARRAY(Sintesi!$C$10)),0)),0)))),0)</f>
        <v>0</v>
      </c>
    </row>
    <row r="355" spans="1:13">
      <c r="A355" s="1">
        <f>'Paste cell here'!A355</f>
        <v>354</v>
      </c>
      <c r="B355" s="2">
        <f>DATE(Sintesi!$C$4-1,12,31)+A355</f>
        <v>44550</v>
      </c>
      <c r="C355" s="34">
        <f t="array" ref="C355">_xlfn.IFNA(MATCH(1,((_xlfn.ANCHORARRAY(Sintesi!$C$9)&gt;_xlfn.ANCHORARRAY(Sintesi!$C$10))*(A355&gt;=_xlfn.ANCHORARRAY(Sintesi!$C$9))+(_xlfn.ANCHORARRAY(Sintesi!$C$9)&gt;_xlfn.ANCHORARRAY(Sintesi!$C$10))*(A355&lt;=_xlfn.ANCHORARRAY(Sintesi!$C$10))+(_xlfn.ANCHORARRAY(Sintesi!$C$9)&lt;_xlfn.ANCHORARRAY(Sintesi!$C$10))*(A355&gt;=_xlfn.ANCHORARRAY(Sintesi!$C$9))*(A355&lt;=_xlfn.ANCHORARRAY(Sintesi!$C$10)))*(_xlfn.ANCHORARRAY(Sintesi!$C$15)&gt;=0)+(_xlfn.ANCHORARRAY(Sintesi!$C$15)&lt;0),0),0)</f>
        <v>0</v>
      </c>
      <c r="D355" s="1">
        <f t="array" ref="D355">IF(ISBLANK($E356),IF(ISNUMBER($E354),IF($C355&gt;0,IF(($E355=INDEX(_xlfn.ANCHORARRAY(Sintesi!$C$14),1,$C355))*(INDEX(_xlfn.ANCHORARRAY(Sintesi!$C$15),1,$C355)&gt;0),0,IF(($E355=INDEX(_xlfn.ANCHORARRAY(Sintesi!$C$14),1,$C355))*(INDEX(_xlfn.ANCHORARRAY(Sintesi!$C$15),1,$C355)&lt;0)+($E355&gt;=$E354)*($E355&lt;=INDEX($E:$E,MATCH(TRUE,INDEX((ISNUMBER($E:$E)),0),0)))*($E355&gt;INDEX(_xlfn.ANCHORARRAY(Sintesi!$C$14),1,$C355))*($E355&lt;=INDEX(_xlfn.ANCHORARRAY(Sintesi!$C$15),1,$C355))*(INDEX(_xlfn.ANCHORARRAY(Sintesi!$C$15),1,$C355)&gt;0),1,IF(($E355&gt;=$E354)*($E355&lt;=INDEX($E:$E,MATCH(TRUE,INDEX((ISNUMBER($E:$E)),0),0)))*($E355&gt;INDEX(_xlfn.ANCHORARRAY(Sintesi!$C$14),1,$C355))*($E355&lt;INDEX(_xlfn.ANCHORARRAY(Sintesi!$C$16),1,$C355))*(INDEX(_xlfn.ANCHORARRAY(Sintesi!$C$15),1,$C355)&lt;0)+($E355&gt;=$E354)*($E355&lt;=INDEX($E:$E,MATCH(TRUE,INDEX((ISNUMBER($E:$E)),0),0)))*($E355&gt;INDEX(_xlfn.ANCHORARRAY(Sintesi!$C$15),1,$C355))*($E355&lt;INDEX(_xlfn.ANCHORARRAY(Sintesi!$C$16),1,$C355))*(INDEX(_xlfn.ANCHORARRAY(Sintesi!$C$15),1,$C355)&gt;0),2,IF($E355=(INDEX(_xlfn.ANCHORARRAY(Sintesi!$C$16),1,$C355)),3,4)))),0),IF($C355&gt;0,IF(($E355=INDEX(_xlfn.ANCHORARRAY(Sintesi!$C$14),1,$C355))*(INDEX(_xlfn.ANCHORARRAY(Sintesi!$C$15),1,$C355)&gt;0),0,IF(($E355=INDEX(_xlfn.ANCHORARRAY(Sintesi!$C$14),1,$C355))*(INDEX(_xlfn.ANCHORARRAY(Sintesi!$C$15),1,$C355)&lt;0)+($E355&gt;=LOOKUP(2,1/($E:$E&lt;&gt;""),$E:$E))*($E355&lt;=INDEX($E:$E,MATCH(TRUE,INDEX((ISNUMBER($E:$E)),0),0)))*($E355&gt;INDEX(_xlfn.ANCHORARRAY(Sintesi!$C$14),1,$C355))*($E355&lt;=INDEX(_xlfn.ANCHORARRAY(Sintesi!$C$15),1,$C355))*(INDEX(_xlfn.ANCHORARRAY(Sintesi!$C$15),1,$C355)&gt;0),1,IF(($E355&gt;=LOOKUP(2,1/($E:$E&lt;&gt;""),$E:$E))*($E355&lt;=INDEX($E:$E,MATCH(TRUE,INDEX((ISNUMBER($E:$E)),0),0)))*($E355&gt;INDEX(_xlfn.ANCHORARRAY(Sintesi!$C$14),1,$C355))*($E355&lt;INDEX(_xlfn.ANCHORARRAY(Sintesi!$C$16),1,$C355))*(INDEX(_xlfn.ANCHORARRAY(Sintesi!$C$15),1,$C355)&lt;0)+($E355&gt;=LOOKUP(2,1/($E:$E&lt;&gt;""),$E:$E))*($E355&lt;=INDEX($E:$E,MATCH(TRUE,INDEX((ISNUMBER($E:$E)),0),0)))*($E355&gt;INDEX(_xlfn.ANCHORARRAY(Sintesi!$C$15),1,$C355))*($E355&lt;INDEX(_xlfn.ANCHORARRAY(Sintesi!$C$16),1,$C355))*(INDEX(_xlfn.ANCHORARRAY(Sintesi!$C$15),1,$C355)&gt;0),2,IF($E355=(INDEX(_xlfn.ANCHORARRAY(Sintesi!$C$16),1,$C355)),3,4)))),0)),IF(ISNUMBER($E354),IF($C355&gt;0,IF(($E355=INDEX(_xlfn.ANCHORARRAY(Sintesi!$C$14),1,$C355))*(INDEX(_xlfn.ANCHORARRAY(Sintesi!$C$15),1,$C355)&gt;0),0,IF(($E355=INDEX(_xlfn.ANCHORARRAY(Sintesi!$C$14),1,$C355))*(INDEX(_xlfn.ANCHORARRAY(Sintesi!$C$15),1,$C355)&lt;0)+($E355&gt;=$E354)*($E355&lt;=$E356)*($E355&gt;INDEX(_xlfn.ANCHORARRAY(Sintesi!$C$14),1,$C355))*($E355&lt;=INDEX(_xlfn.ANCHORARRAY(Sintesi!$C$15),1,$C355))*(INDEX(_xlfn.ANCHORARRAY(Sintesi!$C$15),1,$C355)&gt;0),1,IF(($E355&gt;=$E354)*($E355&lt;=$E356)*($E355&gt;INDEX(_xlfn.ANCHORARRAY(Sintesi!$C$14),1,$C355))*($E355&lt;INDEX(_xlfn.ANCHORARRAY(Sintesi!$C$16),1,$C355))*(INDEX(_xlfn.ANCHORARRAY(Sintesi!$C$15),1,$C355)&lt;0)+($E355&gt;=$E354)*($E355&lt;=$E356)*($E355&gt;INDEX(_xlfn.ANCHORARRAY(Sintesi!$C$15),1,$C355))*($E355&lt;INDEX(_xlfn.ANCHORARRAY(Sintesi!$C$16),1,$C355))*(INDEX(_xlfn.ANCHORARRAY(Sintesi!$C$15),1,$C355)&gt;0),2,IF($E355=(INDEX(_xlfn.ANCHORARRAY(Sintesi!$C$16),1,$C355)),3,4)))),0),IF($C355&gt;0,IF(($E355=INDEX(_xlfn.ANCHORARRAY(Sintesi!$C$14),1,$C355))*(INDEX(_xlfn.ANCHORARRAY(Sintesi!$C$15),1,$C355)&gt;0),0,IF(($E355=INDEX(_xlfn.ANCHORARRAY(Sintesi!$C$14),1,$C355))*(INDEX(_xlfn.ANCHORARRAY(Sintesi!$C$15),1,$C355)&lt;0)+($E355&gt;=LOOKUP(2,1/($E:$E&lt;&gt;""),$E:$E))*($E355&lt;=$E356)*($E355&gt;INDEX(_xlfn.ANCHORARRAY(Sintesi!$C$14),1,$C355))*($E355&lt;=INDEX(_xlfn.ANCHORARRAY(Sintesi!$C$15),1,$C355))*(INDEX(_xlfn.ANCHORARRAY(Sintesi!$C$15),1,$C355)&gt;0),1,IF(($E355&gt;=LOOKUP(2,1/($E:$E&lt;&gt;""),$E:$E))*($E355&lt;=$E356)*($E355&gt;INDEX(_xlfn.ANCHORARRAY(Sintesi!$C$14),1,$C355))*($E355&lt;INDEX(_xlfn.ANCHORARRAY(Sintesi!$C$16),1,$C355))*(INDEX(_xlfn.ANCHORARRAY(Sintesi!$C$15),1,$C355)&lt;0)+($E355&gt;=LOOKUP(2,1/($E:$E&lt;&gt;""),$E:$E))*($E355&lt;=$E356)*($E355&gt;INDEX(_xlfn.ANCHORARRAY(Sintesi!$C$15),1,$C355))*($E355&lt;INDEX(_xlfn.ANCHORARRAY(Sintesi!$C$16),1,$C355))*(INDEX(_xlfn.ANCHORARRAY(Sintesi!$C$15),1,$C355)&gt;0),2,IF($E355=(INDEX(_xlfn.ANCHORARRAY(Sintesi!$C$16),1,$C355)),3,4)))),0)))</f>
        <v>0</v>
      </c>
      <c r="E355" s="1">
        <f>'Paste cell here'!F355</f>
        <v>0</v>
      </c>
      <c r="F355" s="1">
        <f>'Paste cell here'!C355</f>
        <v>12.139999999999851</v>
      </c>
      <c r="G355" s="1">
        <f>'Paste cell here'!D355</f>
        <v>0.32000000000001161</v>
      </c>
      <c r="H355" s="1">
        <f>'Paste cell here'!E355</f>
        <v>0.40596351482805909</v>
      </c>
      <c r="I355" s="1">
        <f>'Paste cell here'!X355</f>
        <v>0</v>
      </c>
      <c r="J355" s="1">
        <f>'Paste cell here'!Y355+'Paste cell here'!S355</f>
        <v>0</v>
      </c>
      <c r="K355" s="1">
        <f t="shared" si="10"/>
        <v>0</v>
      </c>
      <c r="L355" s="1">
        <f t="shared" si="11"/>
        <v>7.0742857142856339</v>
      </c>
      <c r="M355" s="1">
        <f t="array" ref="M355">IF(AND(A355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355&gt;=_xlfn.ANCHORARRAY(Sintesi!$C$9))+(_xlfn.ANCHORARRAY(Sintesi!$C$9)&gt;_xlfn.ANCHORARRAY(Sintesi!$C$10))*(A355&lt;=_xlfn.ANCHORARRAY(Sintesi!$C$10))+(_xlfn.ANCHORARRAY(Sintesi!$C$9)&lt;_xlfn.ANCHORARRAY(Sintesi!$C$10))*(A355&gt;=_xlfn.ANCHORARRAY(Sintesi!$C$9))*(A355&lt;=_xlfn.ANCHORARRAY(Sintesi!$C$10)),0)),0),A355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356&gt;=_xlfn.ANCHORARRAY(Sintesi!$C$9))+(_xlfn.ANCHORARRAY(Sintesi!$C$9)&gt;_xlfn.ANCHORARRAY(Sintesi!$C$10))*(A356&lt;=_xlfn.ANCHORARRAY(Sintesi!$C$10))+(_xlfn.ANCHORARRAY(Sintesi!$C$9)&lt;_xlfn.ANCHORARRAY(Sintesi!$C$10))*(A356&gt;=_xlfn.ANCHORARRAY(Sintesi!$C$9))*(A356&lt;=_xlfn.ANCHORARRAY(Sintesi!$C$10)),0)),0)),IF(L355&lt;_xlfn.IFNA(INDEX(_xlfn.ANCHORARRAY(Sintesi!$C$17),1,MATCH(1,(_xlfn.ANCHORARRAY(Sintesi!$C$9)&gt;_xlfn.ANCHORARRAY(Sintesi!$C$10))*(A354&gt;=_xlfn.ANCHORARRAY(Sintesi!$C$9))+(_xlfn.ANCHORARRAY(Sintesi!$C$9)&gt;_xlfn.ANCHORARRAY(Sintesi!$C$10))*(A354&lt;=_xlfn.ANCHORARRAY(Sintesi!$C$10))+(_xlfn.ANCHORARRAY(Sintesi!$C$9)&lt;_xlfn.ANCHORARRAY(Sintesi!$C$10))*(A354&gt;=_xlfn.ANCHORARRAY(Sintesi!$C$9))*(A354&lt;=_xlfn.ANCHORARRAY(Sintesi!$C$10)),0)),0),1,IF(L355&gt;=_xlfn.IFNA(INDEX(_xlfn.ANCHORARRAY(Sintesi!$C$18),1,MATCH(1,(_xlfn.ANCHORARRAY(Sintesi!$C$9)&gt;_xlfn.ANCHORARRAY(Sintesi!$C$10))*(A354&gt;=_xlfn.ANCHORARRAY(Sintesi!$C$9))+(_xlfn.ANCHORARRAY(Sintesi!$C$9)&gt;_xlfn.ANCHORARRAY(Sintesi!$C$10))*(A354&lt;=_xlfn.ANCHORARRAY(Sintesi!$C$10))+(_xlfn.ANCHORARRAY(Sintesi!$C$9)&lt;_xlfn.ANCHORARRAY(Sintesi!$C$10))*(A354&gt;=_xlfn.ANCHORARRAY(Sintesi!$C$9))*(A354&lt;=_xlfn.ANCHORARRAY(Sintesi!$C$10)),0)),0),0,1-(L355-_xlfn.IFNA(INDEX(_xlfn.ANCHORARRAY(Sintesi!$C$17),1,MATCH(1,(_xlfn.ANCHORARRAY(Sintesi!$C$9)&gt;_xlfn.ANCHORARRAY(Sintesi!$C$10))*(A354&gt;=_xlfn.ANCHORARRAY(Sintesi!$C$9))+(_xlfn.ANCHORARRAY(Sintesi!$C$9)&gt;_xlfn.ANCHORARRAY(Sintesi!$C$10))*(A354&lt;=_xlfn.ANCHORARRAY(Sintesi!$C$10))+(_xlfn.ANCHORARRAY(Sintesi!$C$9)&lt;_xlfn.ANCHORARRAY(Sintesi!$C$10))*(A354&gt;=_xlfn.ANCHORARRAY(Sintesi!$C$9))*(A354&lt;=_xlfn.ANCHORARRAY(Sintesi!$C$10)),0)),0))/(_xlfn.IFNA(INDEX(_xlfn.ANCHORARRAY(Sintesi!$C$18),1,MATCH(1,(_xlfn.ANCHORARRAY(Sintesi!$C$9)&gt;_xlfn.ANCHORARRAY(Sintesi!$C$10))*(A354&gt;=_xlfn.ANCHORARRAY(Sintesi!$C$9))+(_xlfn.ANCHORARRAY(Sintesi!$C$9)&gt;_xlfn.ANCHORARRAY(Sintesi!$C$10))*(A354&lt;=_xlfn.ANCHORARRAY(Sintesi!$C$10))+(_xlfn.ANCHORARRAY(Sintesi!$C$9)&lt;_xlfn.ANCHORARRAY(Sintesi!$C$10))*(A354&gt;=_xlfn.ANCHORARRAY(Sintesi!$C$9))*(A354&lt;=_xlfn.ANCHORARRAY(Sintesi!$C$10)),0)),0)-_xlfn.IFNA(INDEX(_xlfn.ANCHORARRAY(Sintesi!$C$17),1,MATCH(1,(_xlfn.ANCHORARRAY(Sintesi!$C$9)&gt;_xlfn.ANCHORARRAY(Sintesi!$C$10))*(A354&gt;=_xlfn.ANCHORARRAY(Sintesi!$C$9))+(_xlfn.ANCHORARRAY(Sintesi!$C$9)&gt;_xlfn.ANCHORARRAY(Sintesi!$C$10))*(A354&lt;=_xlfn.ANCHORARRAY(Sintesi!$C$10))+(_xlfn.ANCHORARRAY(Sintesi!$C$9)&lt;_xlfn.ANCHORARRAY(Sintesi!$C$10))*(A354&gt;=_xlfn.ANCHORARRAY(Sintesi!$C$9))*(A354&lt;=_xlfn.ANCHORARRAY(Sintesi!$C$10)),0)),0)))),0)</f>
        <v>0</v>
      </c>
    </row>
    <row r="356" spans="1:13">
      <c r="A356" s="1">
        <f>'Paste cell here'!A356</f>
        <v>355</v>
      </c>
      <c r="B356" s="2">
        <f>DATE(Sintesi!$C$4-1,12,31)+A356</f>
        <v>44551</v>
      </c>
      <c r="C356" s="34">
        <f t="array" ref="C356">_xlfn.IFNA(MATCH(1,((_xlfn.ANCHORARRAY(Sintesi!$C$9)&gt;_xlfn.ANCHORARRAY(Sintesi!$C$10))*(A356&gt;=_xlfn.ANCHORARRAY(Sintesi!$C$9))+(_xlfn.ANCHORARRAY(Sintesi!$C$9)&gt;_xlfn.ANCHORARRAY(Sintesi!$C$10))*(A356&lt;=_xlfn.ANCHORARRAY(Sintesi!$C$10))+(_xlfn.ANCHORARRAY(Sintesi!$C$9)&lt;_xlfn.ANCHORARRAY(Sintesi!$C$10))*(A356&gt;=_xlfn.ANCHORARRAY(Sintesi!$C$9))*(A356&lt;=_xlfn.ANCHORARRAY(Sintesi!$C$10)))*(_xlfn.ANCHORARRAY(Sintesi!$C$15)&gt;=0)+(_xlfn.ANCHORARRAY(Sintesi!$C$15)&lt;0),0),0)</f>
        <v>0</v>
      </c>
      <c r="D356" s="1">
        <f t="array" ref="D356">IF(ISBLANK($E357),IF(ISNUMBER($E355),IF($C356&gt;0,IF(($E356=INDEX(_xlfn.ANCHORARRAY(Sintesi!$C$14),1,$C356))*(INDEX(_xlfn.ANCHORARRAY(Sintesi!$C$15),1,$C356)&gt;0),0,IF(($E356=INDEX(_xlfn.ANCHORARRAY(Sintesi!$C$14),1,$C356))*(INDEX(_xlfn.ANCHORARRAY(Sintesi!$C$15),1,$C356)&lt;0)+($E356&gt;=$E355)*($E356&lt;=INDEX($E:$E,MATCH(TRUE,INDEX((ISNUMBER($E:$E)),0),0)))*($E356&gt;INDEX(_xlfn.ANCHORARRAY(Sintesi!$C$14),1,$C356))*($E356&lt;=INDEX(_xlfn.ANCHORARRAY(Sintesi!$C$15),1,$C356))*(INDEX(_xlfn.ANCHORARRAY(Sintesi!$C$15),1,$C356)&gt;0),1,IF(($E356&gt;=$E355)*($E356&lt;=INDEX($E:$E,MATCH(TRUE,INDEX((ISNUMBER($E:$E)),0),0)))*($E356&gt;INDEX(_xlfn.ANCHORARRAY(Sintesi!$C$14),1,$C356))*($E356&lt;INDEX(_xlfn.ANCHORARRAY(Sintesi!$C$16),1,$C356))*(INDEX(_xlfn.ANCHORARRAY(Sintesi!$C$15),1,$C356)&lt;0)+($E356&gt;=$E355)*($E356&lt;=INDEX($E:$E,MATCH(TRUE,INDEX((ISNUMBER($E:$E)),0),0)))*($E356&gt;INDEX(_xlfn.ANCHORARRAY(Sintesi!$C$15),1,$C356))*($E356&lt;INDEX(_xlfn.ANCHORARRAY(Sintesi!$C$16),1,$C356))*(INDEX(_xlfn.ANCHORARRAY(Sintesi!$C$15),1,$C356)&gt;0),2,IF($E356=(INDEX(_xlfn.ANCHORARRAY(Sintesi!$C$16),1,$C356)),3,4)))),0),IF($C356&gt;0,IF(($E356=INDEX(_xlfn.ANCHORARRAY(Sintesi!$C$14),1,$C356))*(INDEX(_xlfn.ANCHORARRAY(Sintesi!$C$15),1,$C356)&gt;0),0,IF(($E356=INDEX(_xlfn.ANCHORARRAY(Sintesi!$C$14),1,$C356))*(INDEX(_xlfn.ANCHORARRAY(Sintesi!$C$15),1,$C356)&lt;0)+($E356&gt;=LOOKUP(2,1/($E:$E&lt;&gt;""),$E:$E))*($E356&lt;=INDEX($E:$E,MATCH(TRUE,INDEX((ISNUMBER($E:$E)),0),0)))*($E356&gt;INDEX(_xlfn.ANCHORARRAY(Sintesi!$C$14),1,$C356))*($E356&lt;=INDEX(_xlfn.ANCHORARRAY(Sintesi!$C$15),1,$C356))*(INDEX(_xlfn.ANCHORARRAY(Sintesi!$C$15),1,$C356)&gt;0),1,IF(($E356&gt;=LOOKUP(2,1/($E:$E&lt;&gt;""),$E:$E))*($E356&lt;=INDEX($E:$E,MATCH(TRUE,INDEX((ISNUMBER($E:$E)),0),0)))*($E356&gt;INDEX(_xlfn.ANCHORARRAY(Sintesi!$C$14),1,$C356))*($E356&lt;INDEX(_xlfn.ANCHORARRAY(Sintesi!$C$16),1,$C356))*(INDEX(_xlfn.ANCHORARRAY(Sintesi!$C$15),1,$C356)&lt;0)+($E356&gt;=LOOKUP(2,1/($E:$E&lt;&gt;""),$E:$E))*($E356&lt;=INDEX($E:$E,MATCH(TRUE,INDEX((ISNUMBER($E:$E)),0),0)))*($E356&gt;INDEX(_xlfn.ANCHORARRAY(Sintesi!$C$15),1,$C356))*($E356&lt;INDEX(_xlfn.ANCHORARRAY(Sintesi!$C$16),1,$C356))*(INDEX(_xlfn.ANCHORARRAY(Sintesi!$C$15),1,$C356)&gt;0),2,IF($E356=(INDEX(_xlfn.ANCHORARRAY(Sintesi!$C$16),1,$C356)),3,4)))),0)),IF(ISNUMBER($E355),IF($C356&gt;0,IF(($E356=INDEX(_xlfn.ANCHORARRAY(Sintesi!$C$14),1,$C356))*(INDEX(_xlfn.ANCHORARRAY(Sintesi!$C$15),1,$C356)&gt;0),0,IF(($E356=INDEX(_xlfn.ANCHORARRAY(Sintesi!$C$14),1,$C356))*(INDEX(_xlfn.ANCHORARRAY(Sintesi!$C$15),1,$C356)&lt;0)+($E356&gt;=$E355)*($E356&lt;=$E357)*($E356&gt;INDEX(_xlfn.ANCHORARRAY(Sintesi!$C$14),1,$C356))*($E356&lt;=INDEX(_xlfn.ANCHORARRAY(Sintesi!$C$15),1,$C356))*(INDEX(_xlfn.ANCHORARRAY(Sintesi!$C$15),1,$C356)&gt;0),1,IF(($E356&gt;=$E355)*($E356&lt;=$E357)*($E356&gt;INDEX(_xlfn.ANCHORARRAY(Sintesi!$C$14),1,$C356))*($E356&lt;INDEX(_xlfn.ANCHORARRAY(Sintesi!$C$16),1,$C356))*(INDEX(_xlfn.ANCHORARRAY(Sintesi!$C$15),1,$C356)&lt;0)+($E356&gt;=$E355)*($E356&lt;=$E357)*($E356&gt;INDEX(_xlfn.ANCHORARRAY(Sintesi!$C$15),1,$C356))*($E356&lt;INDEX(_xlfn.ANCHORARRAY(Sintesi!$C$16),1,$C356))*(INDEX(_xlfn.ANCHORARRAY(Sintesi!$C$15),1,$C356)&gt;0),2,IF($E356=(INDEX(_xlfn.ANCHORARRAY(Sintesi!$C$16),1,$C356)),3,4)))),0),IF($C356&gt;0,IF(($E356=INDEX(_xlfn.ANCHORARRAY(Sintesi!$C$14),1,$C356))*(INDEX(_xlfn.ANCHORARRAY(Sintesi!$C$15),1,$C356)&gt;0),0,IF(($E356=INDEX(_xlfn.ANCHORARRAY(Sintesi!$C$14),1,$C356))*(INDEX(_xlfn.ANCHORARRAY(Sintesi!$C$15),1,$C356)&lt;0)+($E356&gt;=LOOKUP(2,1/($E:$E&lt;&gt;""),$E:$E))*($E356&lt;=$E357)*($E356&gt;INDEX(_xlfn.ANCHORARRAY(Sintesi!$C$14),1,$C356))*($E356&lt;=INDEX(_xlfn.ANCHORARRAY(Sintesi!$C$15),1,$C356))*(INDEX(_xlfn.ANCHORARRAY(Sintesi!$C$15),1,$C356)&gt;0),1,IF(($E356&gt;=LOOKUP(2,1/($E:$E&lt;&gt;""),$E:$E))*($E356&lt;=$E357)*($E356&gt;INDEX(_xlfn.ANCHORARRAY(Sintesi!$C$14),1,$C356))*($E356&lt;INDEX(_xlfn.ANCHORARRAY(Sintesi!$C$16),1,$C356))*(INDEX(_xlfn.ANCHORARRAY(Sintesi!$C$15),1,$C356)&lt;0)+($E356&gt;=LOOKUP(2,1/($E:$E&lt;&gt;""),$E:$E))*($E356&lt;=$E357)*($E356&gt;INDEX(_xlfn.ANCHORARRAY(Sintesi!$C$15),1,$C356))*($E356&lt;INDEX(_xlfn.ANCHORARRAY(Sintesi!$C$16),1,$C356))*(INDEX(_xlfn.ANCHORARRAY(Sintesi!$C$15),1,$C356)&gt;0),2,IF($E356=(INDEX(_xlfn.ANCHORARRAY(Sintesi!$C$16),1,$C356)),3,4)))),0)))</f>
        <v>0</v>
      </c>
      <c r="E356" s="1">
        <f>'Paste cell here'!F356</f>
        <v>0</v>
      </c>
      <c r="F356" s="1">
        <f>'Paste cell here'!C356</f>
        <v>7.3399999999999022</v>
      </c>
      <c r="G356" s="1">
        <f>'Paste cell here'!D356</f>
        <v>1.7199999999999831</v>
      </c>
      <c r="H356" s="1">
        <f>'Paste cell here'!E356</f>
        <v>0.34986314129101681</v>
      </c>
      <c r="I356" s="1">
        <f>'Paste cell here'!X356</f>
        <v>0</v>
      </c>
      <c r="J356" s="1">
        <f>'Paste cell here'!Y356+'Paste cell here'!S356</f>
        <v>0</v>
      </c>
      <c r="K356" s="1">
        <f t="shared" si="10"/>
        <v>0</v>
      </c>
      <c r="L356" s="1">
        <f t="shared" si="11"/>
        <v>4.9314285714285075</v>
      </c>
      <c r="M356" s="1">
        <f t="array" ref="M356">IF(AND(A356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356&gt;=_xlfn.ANCHORARRAY(Sintesi!$C$9))+(_xlfn.ANCHORARRAY(Sintesi!$C$9)&gt;_xlfn.ANCHORARRAY(Sintesi!$C$10))*(A356&lt;=_xlfn.ANCHORARRAY(Sintesi!$C$10))+(_xlfn.ANCHORARRAY(Sintesi!$C$9)&lt;_xlfn.ANCHORARRAY(Sintesi!$C$10))*(A356&gt;=_xlfn.ANCHORARRAY(Sintesi!$C$9))*(A356&lt;=_xlfn.ANCHORARRAY(Sintesi!$C$10)),0)),0),A356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357&gt;=_xlfn.ANCHORARRAY(Sintesi!$C$9))+(_xlfn.ANCHORARRAY(Sintesi!$C$9)&gt;_xlfn.ANCHORARRAY(Sintesi!$C$10))*(A357&lt;=_xlfn.ANCHORARRAY(Sintesi!$C$10))+(_xlfn.ANCHORARRAY(Sintesi!$C$9)&lt;_xlfn.ANCHORARRAY(Sintesi!$C$10))*(A357&gt;=_xlfn.ANCHORARRAY(Sintesi!$C$9))*(A357&lt;=_xlfn.ANCHORARRAY(Sintesi!$C$10)),0)),0)),IF(L356&lt;_xlfn.IFNA(INDEX(_xlfn.ANCHORARRAY(Sintesi!$C$17),1,MATCH(1,(_xlfn.ANCHORARRAY(Sintesi!$C$9)&gt;_xlfn.ANCHORARRAY(Sintesi!$C$10))*(A355&gt;=_xlfn.ANCHORARRAY(Sintesi!$C$9))+(_xlfn.ANCHORARRAY(Sintesi!$C$9)&gt;_xlfn.ANCHORARRAY(Sintesi!$C$10))*(A355&lt;=_xlfn.ANCHORARRAY(Sintesi!$C$10))+(_xlfn.ANCHORARRAY(Sintesi!$C$9)&lt;_xlfn.ANCHORARRAY(Sintesi!$C$10))*(A355&gt;=_xlfn.ANCHORARRAY(Sintesi!$C$9))*(A355&lt;=_xlfn.ANCHORARRAY(Sintesi!$C$10)),0)),0),1,IF(L356&gt;=_xlfn.IFNA(INDEX(_xlfn.ANCHORARRAY(Sintesi!$C$18),1,MATCH(1,(_xlfn.ANCHORARRAY(Sintesi!$C$9)&gt;_xlfn.ANCHORARRAY(Sintesi!$C$10))*(A355&gt;=_xlfn.ANCHORARRAY(Sintesi!$C$9))+(_xlfn.ANCHORARRAY(Sintesi!$C$9)&gt;_xlfn.ANCHORARRAY(Sintesi!$C$10))*(A355&lt;=_xlfn.ANCHORARRAY(Sintesi!$C$10))+(_xlfn.ANCHORARRAY(Sintesi!$C$9)&lt;_xlfn.ANCHORARRAY(Sintesi!$C$10))*(A355&gt;=_xlfn.ANCHORARRAY(Sintesi!$C$9))*(A355&lt;=_xlfn.ANCHORARRAY(Sintesi!$C$10)),0)),0),0,1-(L356-_xlfn.IFNA(INDEX(_xlfn.ANCHORARRAY(Sintesi!$C$17),1,MATCH(1,(_xlfn.ANCHORARRAY(Sintesi!$C$9)&gt;_xlfn.ANCHORARRAY(Sintesi!$C$10))*(A355&gt;=_xlfn.ANCHORARRAY(Sintesi!$C$9))+(_xlfn.ANCHORARRAY(Sintesi!$C$9)&gt;_xlfn.ANCHORARRAY(Sintesi!$C$10))*(A355&lt;=_xlfn.ANCHORARRAY(Sintesi!$C$10))+(_xlfn.ANCHORARRAY(Sintesi!$C$9)&lt;_xlfn.ANCHORARRAY(Sintesi!$C$10))*(A355&gt;=_xlfn.ANCHORARRAY(Sintesi!$C$9))*(A355&lt;=_xlfn.ANCHORARRAY(Sintesi!$C$10)),0)),0))/(_xlfn.IFNA(INDEX(_xlfn.ANCHORARRAY(Sintesi!$C$18),1,MATCH(1,(_xlfn.ANCHORARRAY(Sintesi!$C$9)&gt;_xlfn.ANCHORARRAY(Sintesi!$C$10))*(A355&gt;=_xlfn.ANCHORARRAY(Sintesi!$C$9))+(_xlfn.ANCHORARRAY(Sintesi!$C$9)&gt;_xlfn.ANCHORARRAY(Sintesi!$C$10))*(A355&lt;=_xlfn.ANCHORARRAY(Sintesi!$C$10))+(_xlfn.ANCHORARRAY(Sintesi!$C$9)&lt;_xlfn.ANCHORARRAY(Sintesi!$C$10))*(A355&gt;=_xlfn.ANCHORARRAY(Sintesi!$C$9))*(A355&lt;=_xlfn.ANCHORARRAY(Sintesi!$C$10)),0)),0)-_xlfn.IFNA(INDEX(_xlfn.ANCHORARRAY(Sintesi!$C$17),1,MATCH(1,(_xlfn.ANCHORARRAY(Sintesi!$C$9)&gt;_xlfn.ANCHORARRAY(Sintesi!$C$10))*(A355&gt;=_xlfn.ANCHORARRAY(Sintesi!$C$9))+(_xlfn.ANCHORARRAY(Sintesi!$C$9)&gt;_xlfn.ANCHORARRAY(Sintesi!$C$10))*(A355&lt;=_xlfn.ANCHORARRAY(Sintesi!$C$10))+(_xlfn.ANCHORARRAY(Sintesi!$C$9)&lt;_xlfn.ANCHORARRAY(Sintesi!$C$10))*(A355&gt;=_xlfn.ANCHORARRAY(Sintesi!$C$9))*(A355&lt;=_xlfn.ANCHORARRAY(Sintesi!$C$10)),0)),0)))),0)</f>
        <v>0</v>
      </c>
    </row>
    <row r="357" spans="1:13">
      <c r="A357" s="1">
        <f>'Paste cell here'!A357</f>
        <v>356</v>
      </c>
      <c r="B357" s="2">
        <f>DATE(Sintesi!$C$4-1,12,31)+A357</f>
        <v>44552</v>
      </c>
      <c r="C357" s="34">
        <f t="array" ref="C357">_xlfn.IFNA(MATCH(1,((_xlfn.ANCHORARRAY(Sintesi!$C$9)&gt;_xlfn.ANCHORARRAY(Sintesi!$C$10))*(A357&gt;=_xlfn.ANCHORARRAY(Sintesi!$C$9))+(_xlfn.ANCHORARRAY(Sintesi!$C$9)&gt;_xlfn.ANCHORARRAY(Sintesi!$C$10))*(A357&lt;=_xlfn.ANCHORARRAY(Sintesi!$C$10))+(_xlfn.ANCHORARRAY(Sintesi!$C$9)&lt;_xlfn.ANCHORARRAY(Sintesi!$C$10))*(A357&gt;=_xlfn.ANCHORARRAY(Sintesi!$C$9))*(A357&lt;=_xlfn.ANCHORARRAY(Sintesi!$C$10)))*(_xlfn.ANCHORARRAY(Sintesi!$C$15)&gt;=0)+(_xlfn.ANCHORARRAY(Sintesi!$C$15)&lt;0),0),0)</f>
        <v>0</v>
      </c>
      <c r="D357" s="1">
        <f t="array" ref="D357">IF(ISBLANK($E358),IF(ISNUMBER($E356),IF($C357&gt;0,IF(($E357=INDEX(_xlfn.ANCHORARRAY(Sintesi!$C$14),1,$C357))*(INDEX(_xlfn.ANCHORARRAY(Sintesi!$C$15),1,$C357)&gt;0),0,IF(($E357=INDEX(_xlfn.ANCHORARRAY(Sintesi!$C$14),1,$C357))*(INDEX(_xlfn.ANCHORARRAY(Sintesi!$C$15),1,$C357)&lt;0)+($E357&gt;=$E356)*($E357&lt;=INDEX($E:$E,MATCH(TRUE,INDEX((ISNUMBER($E:$E)),0),0)))*($E357&gt;INDEX(_xlfn.ANCHORARRAY(Sintesi!$C$14),1,$C357))*($E357&lt;=INDEX(_xlfn.ANCHORARRAY(Sintesi!$C$15),1,$C357))*(INDEX(_xlfn.ANCHORARRAY(Sintesi!$C$15),1,$C357)&gt;0),1,IF(($E357&gt;=$E356)*($E357&lt;=INDEX($E:$E,MATCH(TRUE,INDEX((ISNUMBER($E:$E)),0),0)))*($E357&gt;INDEX(_xlfn.ANCHORARRAY(Sintesi!$C$14),1,$C357))*($E357&lt;INDEX(_xlfn.ANCHORARRAY(Sintesi!$C$16),1,$C357))*(INDEX(_xlfn.ANCHORARRAY(Sintesi!$C$15),1,$C357)&lt;0)+($E357&gt;=$E356)*($E357&lt;=INDEX($E:$E,MATCH(TRUE,INDEX((ISNUMBER($E:$E)),0),0)))*($E357&gt;INDEX(_xlfn.ANCHORARRAY(Sintesi!$C$15),1,$C357))*($E357&lt;INDEX(_xlfn.ANCHORARRAY(Sintesi!$C$16),1,$C357))*(INDEX(_xlfn.ANCHORARRAY(Sintesi!$C$15),1,$C357)&gt;0),2,IF($E357=(INDEX(_xlfn.ANCHORARRAY(Sintesi!$C$16),1,$C357)),3,4)))),0),IF($C357&gt;0,IF(($E357=INDEX(_xlfn.ANCHORARRAY(Sintesi!$C$14),1,$C357))*(INDEX(_xlfn.ANCHORARRAY(Sintesi!$C$15),1,$C357)&gt;0),0,IF(($E357=INDEX(_xlfn.ANCHORARRAY(Sintesi!$C$14),1,$C357))*(INDEX(_xlfn.ANCHORARRAY(Sintesi!$C$15),1,$C357)&lt;0)+($E357&gt;=LOOKUP(2,1/($E:$E&lt;&gt;""),$E:$E))*($E357&lt;=INDEX($E:$E,MATCH(TRUE,INDEX((ISNUMBER($E:$E)),0),0)))*($E357&gt;INDEX(_xlfn.ANCHORARRAY(Sintesi!$C$14),1,$C357))*($E357&lt;=INDEX(_xlfn.ANCHORARRAY(Sintesi!$C$15),1,$C357))*(INDEX(_xlfn.ANCHORARRAY(Sintesi!$C$15),1,$C357)&gt;0),1,IF(($E357&gt;=LOOKUP(2,1/($E:$E&lt;&gt;""),$E:$E))*($E357&lt;=INDEX($E:$E,MATCH(TRUE,INDEX((ISNUMBER($E:$E)),0),0)))*($E357&gt;INDEX(_xlfn.ANCHORARRAY(Sintesi!$C$14),1,$C357))*($E357&lt;INDEX(_xlfn.ANCHORARRAY(Sintesi!$C$16),1,$C357))*(INDEX(_xlfn.ANCHORARRAY(Sintesi!$C$15),1,$C357)&lt;0)+($E357&gt;=LOOKUP(2,1/($E:$E&lt;&gt;""),$E:$E))*($E357&lt;=INDEX($E:$E,MATCH(TRUE,INDEX((ISNUMBER($E:$E)),0),0)))*($E357&gt;INDEX(_xlfn.ANCHORARRAY(Sintesi!$C$15),1,$C357))*($E357&lt;INDEX(_xlfn.ANCHORARRAY(Sintesi!$C$16),1,$C357))*(INDEX(_xlfn.ANCHORARRAY(Sintesi!$C$15),1,$C357)&gt;0),2,IF($E357=(INDEX(_xlfn.ANCHORARRAY(Sintesi!$C$16),1,$C357)),3,4)))),0)),IF(ISNUMBER($E356),IF($C357&gt;0,IF(($E357=INDEX(_xlfn.ANCHORARRAY(Sintesi!$C$14),1,$C357))*(INDEX(_xlfn.ANCHORARRAY(Sintesi!$C$15),1,$C357)&gt;0),0,IF(($E357=INDEX(_xlfn.ANCHORARRAY(Sintesi!$C$14),1,$C357))*(INDEX(_xlfn.ANCHORARRAY(Sintesi!$C$15),1,$C357)&lt;0)+($E357&gt;=$E356)*($E357&lt;=$E358)*($E357&gt;INDEX(_xlfn.ANCHORARRAY(Sintesi!$C$14),1,$C357))*($E357&lt;=INDEX(_xlfn.ANCHORARRAY(Sintesi!$C$15),1,$C357))*(INDEX(_xlfn.ANCHORARRAY(Sintesi!$C$15),1,$C357)&gt;0),1,IF(($E357&gt;=$E356)*($E357&lt;=$E358)*($E357&gt;INDEX(_xlfn.ANCHORARRAY(Sintesi!$C$14),1,$C357))*($E357&lt;INDEX(_xlfn.ANCHORARRAY(Sintesi!$C$16),1,$C357))*(INDEX(_xlfn.ANCHORARRAY(Sintesi!$C$15),1,$C357)&lt;0)+($E357&gt;=$E356)*($E357&lt;=$E358)*($E357&gt;INDEX(_xlfn.ANCHORARRAY(Sintesi!$C$15),1,$C357))*($E357&lt;INDEX(_xlfn.ANCHORARRAY(Sintesi!$C$16),1,$C357))*(INDEX(_xlfn.ANCHORARRAY(Sintesi!$C$15),1,$C357)&gt;0),2,IF($E357=(INDEX(_xlfn.ANCHORARRAY(Sintesi!$C$16),1,$C357)),3,4)))),0),IF($C357&gt;0,IF(($E357=INDEX(_xlfn.ANCHORARRAY(Sintesi!$C$14),1,$C357))*(INDEX(_xlfn.ANCHORARRAY(Sintesi!$C$15),1,$C357)&gt;0),0,IF(($E357=INDEX(_xlfn.ANCHORARRAY(Sintesi!$C$14),1,$C357))*(INDEX(_xlfn.ANCHORARRAY(Sintesi!$C$15),1,$C357)&lt;0)+($E357&gt;=LOOKUP(2,1/($E:$E&lt;&gt;""),$E:$E))*($E357&lt;=$E358)*($E357&gt;INDEX(_xlfn.ANCHORARRAY(Sintesi!$C$14),1,$C357))*($E357&lt;=INDEX(_xlfn.ANCHORARRAY(Sintesi!$C$15),1,$C357))*(INDEX(_xlfn.ANCHORARRAY(Sintesi!$C$15),1,$C357)&gt;0),1,IF(($E357&gt;=LOOKUP(2,1/($E:$E&lt;&gt;""),$E:$E))*($E357&lt;=$E358)*($E357&gt;INDEX(_xlfn.ANCHORARRAY(Sintesi!$C$14),1,$C357))*($E357&lt;INDEX(_xlfn.ANCHORARRAY(Sintesi!$C$16),1,$C357))*(INDEX(_xlfn.ANCHORARRAY(Sintesi!$C$15),1,$C357)&lt;0)+($E357&gt;=LOOKUP(2,1/($E:$E&lt;&gt;""),$E:$E))*($E357&lt;=$E358)*($E357&gt;INDEX(_xlfn.ANCHORARRAY(Sintesi!$C$15),1,$C357))*($E357&lt;INDEX(_xlfn.ANCHORARRAY(Sintesi!$C$16),1,$C357))*(INDEX(_xlfn.ANCHORARRAY(Sintesi!$C$15),1,$C357)&gt;0),2,IF($E357=(INDEX(_xlfn.ANCHORARRAY(Sintesi!$C$16),1,$C357)),3,4)))),0)))</f>
        <v>0</v>
      </c>
      <c r="E357" s="1">
        <f>'Paste cell here'!F357</f>
        <v>0</v>
      </c>
      <c r="F357" s="1">
        <f>'Paste cell here'!C357</f>
        <v>8.6799999999998825</v>
      </c>
      <c r="G357" s="1">
        <f>'Paste cell here'!D357</f>
        <v>-0.3399999999999721</v>
      </c>
      <c r="H357" s="1">
        <f>'Paste cell here'!E357</f>
        <v>0.21200316624124096</v>
      </c>
      <c r="I357" s="1">
        <f>'Paste cell here'!X357</f>
        <v>0</v>
      </c>
      <c r="J357" s="1">
        <f>'Paste cell here'!Y357+'Paste cell here'!S357</f>
        <v>0</v>
      </c>
      <c r="K357" s="1">
        <f t="shared" si="10"/>
        <v>0</v>
      </c>
      <c r="L357" s="1">
        <f t="shared" si="11"/>
        <v>4.8142857142856599</v>
      </c>
      <c r="M357" s="1">
        <f t="array" ref="M357">IF(AND(A357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357&gt;=_xlfn.ANCHORARRAY(Sintesi!$C$9))+(_xlfn.ANCHORARRAY(Sintesi!$C$9)&gt;_xlfn.ANCHORARRAY(Sintesi!$C$10))*(A357&lt;=_xlfn.ANCHORARRAY(Sintesi!$C$10))+(_xlfn.ANCHORARRAY(Sintesi!$C$9)&lt;_xlfn.ANCHORARRAY(Sintesi!$C$10))*(A357&gt;=_xlfn.ANCHORARRAY(Sintesi!$C$9))*(A357&lt;=_xlfn.ANCHORARRAY(Sintesi!$C$10)),0)),0),A357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358&gt;=_xlfn.ANCHORARRAY(Sintesi!$C$9))+(_xlfn.ANCHORARRAY(Sintesi!$C$9)&gt;_xlfn.ANCHORARRAY(Sintesi!$C$10))*(A358&lt;=_xlfn.ANCHORARRAY(Sintesi!$C$10))+(_xlfn.ANCHORARRAY(Sintesi!$C$9)&lt;_xlfn.ANCHORARRAY(Sintesi!$C$10))*(A358&gt;=_xlfn.ANCHORARRAY(Sintesi!$C$9))*(A358&lt;=_xlfn.ANCHORARRAY(Sintesi!$C$10)),0)),0)),IF(L357&lt;_xlfn.IFNA(INDEX(_xlfn.ANCHORARRAY(Sintesi!$C$17),1,MATCH(1,(_xlfn.ANCHORARRAY(Sintesi!$C$9)&gt;_xlfn.ANCHORARRAY(Sintesi!$C$10))*(A356&gt;=_xlfn.ANCHORARRAY(Sintesi!$C$9))+(_xlfn.ANCHORARRAY(Sintesi!$C$9)&gt;_xlfn.ANCHORARRAY(Sintesi!$C$10))*(A356&lt;=_xlfn.ANCHORARRAY(Sintesi!$C$10))+(_xlfn.ANCHORARRAY(Sintesi!$C$9)&lt;_xlfn.ANCHORARRAY(Sintesi!$C$10))*(A356&gt;=_xlfn.ANCHORARRAY(Sintesi!$C$9))*(A356&lt;=_xlfn.ANCHORARRAY(Sintesi!$C$10)),0)),0),1,IF(L357&gt;=_xlfn.IFNA(INDEX(_xlfn.ANCHORARRAY(Sintesi!$C$18),1,MATCH(1,(_xlfn.ANCHORARRAY(Sintesi!$C$9)&gt;_xlfn.ANCHORARRAY(Sintesi!$C$10))*(A356&gt;=_xlfn.ANCHORARRAY(Sintesi!$C$9))+(_xlfn.ANCHORARRAY(Sintesi!$C$9)&gt;_xlfn.ANCHORARRAY(Sintesi!$C$10))*(A356&lt;=_xlfn.ANCHORARRAY(Sintesi!$C$10))+(_xlfn.ANCHORARRAY(Sintesi!$C$9)&lt;_xlfn.ANCHORARRAY(Sintesi!$C$10))*(A356&gt;=_xlfn.ANCHORARRAY(Sintesi!$C$9))*(A356&lt;=_xlfn.ANCHORARRAY(Sintesi!$C$10)),0)),0),0,1-(L357-_xlfn.IFNA(INDEX(_xlfn.ANCHORARRAY(Sintesi!$C$17),1,MATCH(1,(_xlfn.ANCHORARRAY(Sintesi!$C$9)&gt;_xlfn.ANCHORARRAY(Sintesi!$C$10))*(A356&gt;=_xlfn.ANCHORARRAY(Sintesi!$C$9))+(_xlfn.ANCHORARRAY(Sintesi!$C$9)&gt;_xlfn.ANCHORARRAY(Sintesi!$C$10))*(A356&lt;=_xlfn.ANCHORARRAY(Sintesi!$C$10))+(_xlfn.ANCHORARRAY(Sintesi!$C$9)&lt;_xlfn.ANCHORARRAY(Sintesi!$C$10))*(A356&gt;=_xlfn.ANCHORARRAY(Sintesi!$C$9))*(A356&lt;=_xlfn.ANCHORARRAY(Sintesi!$C$10)),0)),0))/(_xlfn.IFNA(INDEX(_xlfn.ANCHORARRAY(Sintesi!$C$18),1,MATCH(1,(_xlfn.ANCHORARRAY(Sintesi!$C$9)&gt;_xlfn.ANCHORARRAY(Sintesi!$C$10))*(A356&gt;=_xlfn.ANCHORARRAY(Sintesi!$C$9))+(_xlfn.ANCHORARRAY(Sintesi!$C$9)&gt;_xlfn.ANCHORARRAY(Sintesi!$C$10))*(A356&lt;=_xlfn.ANCHORARRAY(Sintesi!$C$10))+(_xlfn.ANCHORARRAY(Sintesi!$C$9)&lt;_xlfn.ANCHORARRAY(Sintesi!$C$10))*(A356&gt;=_xlfn.ANCHORARRAY(Sintesi!$C$9))*(A356&lt;=_xlfn.ANCHORARRAY(Sintesi!$C$10)),0)),0)-_xlfn.IFNA(INDEX(_xlfn.ANCHORARRAY(Sintesi!$C$17),1,MATCH(1,(_xlfn.ANCHORARRAY(Sintesi!$C$9)&gt;_xlfn.ANCHORARRAY(Sintesi!$C$10))*(A356&gt;=_xlfn.ANCHORARRAY(Sintesi!$C$9))+(_xlfn.ANCHORARRAY(Sintesi!$C$9)&gt;_xlfn.ANCHORARRAY(Sintesi!$C$10))*(A356&lt;=_xlfn.ANCHORARRAY(Sintesi!$C$10))+(_xlfn.ANCHORARRAY(Sintesi!$C$9)&lt;_xlfn.ANCHORARRAY(Sintesi!$C$10))*(A356&gt;=_xlfn.ANCHORARRAY(Sintesi!$C$9))*(A356&lt;=_xlfn.ANCHORARRAY(Sintesi!$C$10)),0)),0)))),0)</f>
        <v>0</v>
      </c>
    </row>
    <row r="358" spans="1:13">
      <c r="A358" s="1">
        <f>'Paste cell here'!A358</f>
        <v>357</v>
      </c>
      <c r="B358" s="2">
        <f>DATE(Sintesi!$C$4-1,12,31)+A358</f>
        <v>44553</v>
      </c>
      <c r="C358" s="34">
        <f t="array" ref="C358">_xlfn.IFNA(MATCH(1,((_xlfn.ANCHORARRAY(Sintesi!$C$9)&gt;_xlfn.ANCHORARRAY(Sintesi!$C$10))*(A358&gt;=_xlfn.ANCHORARRAY(Sintesi!$C$9))+(_xlfn.ANCHORARRAY(Sintesi!$C$9)&gt;_xlfn.ANCHORARRAY(Sintesi!$C$10))*(A358&lt;=_xlfn.ANCHORARRAY(Sintesi!$C$10))+(_xlfn.ANCHORARRAY(Sintesi!$C$9)&lt;_xlfn.ANCHORARRAY(Sintesi!$C$10))*(A358&gt;=_xlfn.ANCHORARRAY(Sintesi!$C$9))*(A358&lt;=_xlfn.ANCHORARRAY(Sintesi!$C$10)))*(_xlfn.ANCHORARRAY(Sintesi!$C$15)&gt;=0)+(_xlfn.ANCHORARRAY(Sintesi!$C$15)&lt;0),0),0)</f>
        <v>0</v>
      </c>
      <c r="D358" s="1">
        <f t="array" ref="D358">IF(ISBLANK($E359),IF(ISNUMBER($E357),IF($C358&gt;0,IF(($E358=INDEX(_xlfn.ANCHORARRAY(Sintesi!$C$14),1,$C358))*(INDEX(_xlfn.ANCHORARRAY(Sintesi!$C$15),1,$C358)&gt;0),0,IF(($E358=INDEX(_xlfn.ANCHORARRAY(Sintesi!$C$14),1,$C358))*(INDEX(_xlfn.ANCHORARRAY(Sintesi!$C$15),1,$C358)&lt;0)+($E358&gt;=$E357)*($E358&lt;=INDEX($E:$E,MATCH(TRUE,INDEX((ISNUMBER($E:$E)),0),0)))*($E358&gt;INDEX(_xlfn.ANCHORARRAY(Sintesi!$C$14),1,$C358))*($E358&lt;=INDEX(_xlfn.ANCHORARRAY(Sintesi!$C$15),1,$C358))*(INDEX(_xlfn.ANCHORARRAY(Sintesi!$C$15),1,$C358)&gt;0),1,IF(($E358&gt;=$E357)*($E358&lt;=INDEX($E:$E,MATCH(TRUE,INDEX((ISNUMBER($E:$E)),0),0)))*($E358&gt;INDEX(_xlfn.ANCHORARRAY(Sintesi!$C$14),1,$C358))*($E358&lt;INDEX(_xlfn.ANCHORARRAY(Sintesi!$C$16),1,$C358))*(INDEX(_xlfn.ANCHORARRAY(Sintesi!$C$15),1,$C358)&lt;0)+($E358&gt;=$E357)*($E358&lt;=INDEX($E:$E,MATCH(TRUE,INDEX((ISNUMBER($E:$E)),0),0)))*($E358&gt;INDEX(_xlfn.ANCHORARRAY(Sintesi!$C$15),1,$C358))*($E358&lt;INDEX(_xlfn.ANCHORARRAY(Sintesi!$C$16),1,$C358))*(INDEX(_xlfn.ANCHORARRAY(Sintesi!$C$15),1,$C358)&gt;0),2,IF($E358=(INDEX(_xlfn.ANCHORARRAY(Sintesi!$C$16),1,$C358)),3,4)))),0),IF($C358&gt;0,IF(($E358=INDEX(_xlfn.ANCHORARRAY(Sintesi!$C$14),1,$C358))*(INDEX(_xlfn.ANCHORARRAY(Sintesi!$C$15),1,$C358)&gt;0),0,IF(($E358=INDEX(_xlfn.ANCHORARRAY(Sintesi!$C$14),1,$C358))*(INDEX(_xlfn.ANCHORARRAY(Sintesi!$C$15),1,$C358)&lt;0)+($E358&gt;=LOOKUP(2,1/($E:$E&lt;&gt;""),$E:$E))*($E358&lt;=INDEX($E:$E,MATCH(TRUE,INDEX((ISNUMBER($E:$E)),0),0)))*($E358&gt;INDEX(_xlfn.ANCHORARRAY(Sintesi!$C$14),1,$C358))*($E358&lt;=INDEX(_xlfn.ANCHORARRAY(Sintesi!$C$15),1,$C358))*(INDEX(_xlfn.ANCHORARRAY(Sintesi!$C$15),1,$C358)&gt;0),1,IF(($E358&gt;=LOOKUP(2,1/($E:$E&lt;&gt;""),$E:$E))*($E358&lt;=INDEX($E:$E,MATCH(TRUE,INDEX((ISNUMBER($E:$E)),0),0)))*($E358&gt;INDEX(_xlfn.ANCHORARRAY(Sintesi!$C$14),1,$C358))*($E358&lt;INDEX(_xlfn.ANCHORARRAY(Sintesi!$C$16),1,$C358))*(INDEX(_xlfn.ANCHORARRAY(Sintesi!$C$15),1,$C358)&lt;0)+($E358&gt;=LOOKUP(2,1/($E:$E&lt;&gt;""),$E:$E))*($E358&lt;=INDEX($E:$E,MATCH(TRUE,INDEX((ISNUMBER($E:$E)),0),0)))*($E358&gt;INDEX(_xlfn.ANCHORARRAY(Sintesi!$C$15),1,$C358))*($E358&lt;INDEX(_xlfn.ANCHORARRAY(Sintesi!$C$16),1,$C358))*(INDEX(_xlfn.ANCHORARRAY(Sintesi!$C$15),1,$C358)&gt;0),2,IF($E358=(INDEX(_xlfn.ANCHORARRAY(Sintesi!$C$16),1,$C358)),3,4)))),0)),IF(ISNUMBER($E357),IF($C358&gt;0,IF(($E358=INDEX(_xlfn.ANCHORARRAY(Sintesi!$C$14),1,$C358))*(INDEX(_xlfn.ANCHORARRAY(Sintesi!$C$15),1,$C358)&gt;0),0,IF(($E358=INDEX(_xlfn.ANCHORARRAY(Sintesi!$C$14),1,$C358))*(INDEX(_xlfn.ANCHORARRAY(Sintesi!$C$15),1,$C358)&lt;0)+($E358&gt;=$E357)*($E358&lt;=$E359)*($E358&gt;INDEX(_xlfn.ANCHORARRAY(Sintesi!$C$14),1,$C358))*($E358&lt;=INDEX(_xlfn.ANCHORARRAY(Sintesi!$C$15),1,$C358))*(INDEX(_xlfn.ANCHORARRAY(Sintesi!$C$15),1,$C358)&gt;0),1,IF(($E358&gt;=$E357)*($E358&lt;=$E359)*($E358&gt;INDEX(_xlfn.ANCHORARRAY(Sintesi!$C$14),1,$C358))*($E358&lt;INDEX(_xlfn.ANCHORARRAY(Sintesi!$C$16),1,$C358))*(INDEX(_xlfn.ANCHORARRAY(Sintesi!$C$15),1,$C358)&lt;0)+($E358&gt;=$E357)*($E358&lt;=$E359)*($E358&gt;INDEX(_xlfn.ANCHORARRAY(Sintesi!$C$15),1,$C358))*($E358&lt;INDEX(_xlfn.ANCHORARRAY(Sintesi!$C$16),1,$C358))*(INDEX(_xlfn.ANCHORARRAY(Sintesi!$C$15),1,$C358)&gt;0),2,IF($E358=(INDEX(_xlfn.ANCHORARRAY(Sintesi!$C$16),1,$C358)),3,4)))),0),IF($C358&gt;0,IF(($E358=INDEX(_xlfn.ANCHORARRAY(Sintesi!$C$14),1,$C358))*(INDEX(_xlfn.ANCHORARRAY(Sintesi!$C$15),1,$C358)&gt;0),0,IF(($E358=INDEX(_xlfn.ANCHORARRAY(Sintesi!$C$14),1,$C358))*(INDEX(_xlfn.ANCHORARRAY(Sintesi!$C$15),1,$C358)&lt;0)+($E358&gt;=LOOKUP(2,1/($E:$E&lt;&gt;""),$E:$E))*($E358&lt;=$E359)*($E358&gt;INDEX(_xlfn.ANCHORARRAY(Sintesi!$C$14),1,$C358))*($E358&lt;=INDEX(_xlfn.ANCHORARRAY(Sintesi!$C$15),1,$C358))*(INDEX(_xlfn.ANCHORARRAY(Sintesi!$C$15),1,$C358)&gt;0),1,IF(($E358&gt;=LOOKUP(2,1/($E:$E&lt;&gt;""),$E:$E))*($E358&lt;=$E359)*($E358&gt;INDEX(_xlfn.ANCHORARRAY(Sintesi!$C$14),1,$C358))*($E358&lt;INDEX(_xlfn.ANCHORARRAY(Sintesi!$C$16),1,$C358))*(INDEX(_xlfn.ANCHORARRAY(Sintesi!$C$15),1,$C358)&lt;0)+($E358&gt;=LOOKUP(2,1/($E:$E&lt;&gt;""),$E:$E))*($E358&lt;=$E359)*($E358&gt;INDEX(_xlfn.ANCHORARRAY(Sintesi!$C$15),1,$C358))*($E358&lt;INDEX(_xlfn.ANCHORARRAY(Sintesi!$C$16),1,$C358))*(INDEX(_xlfn.ANCHORARRAY(Sintesi!$C$15),1,$C358)&gt;0),2,IF($E358=(INDEX(_xlfn.ANCHORARRAY(Sintesi!$C$16),1,$C358)),3,4)))),0)))</f>
        <v>0</v>
      </c>
      <c r="E358" s="1">
        <f>'Paste cell here'!F358</f>
        <v>0</v>
      </c>
      <c r="F358" s="1">
        <f>'Paste cell here'!C358</f>
        <v>4.9399999999999409</v>
      </c>
      <c r="G358" s="1">
        <f>'Paste cell here'!D358</f>
        <v>0.79999999999998428</v>
      </c>
      <c r="H358" s="1">
        <f>'Paste cell here'!E358</f>
        <v>0.29201648801849794</v>
      </c>
      <c r="I358" s="1">
        <f>'Paste cell here'!X358</f>
        <v>0</v>
      </c>
      <c r="J358" s="1">
        <f>'Paste cell here'!Y358+'Paste cell here'!S358</f>
        <v>0</v>
      </c>
      <c r="K358" s="1">
        <f t="shared" si="10"/>
        <v>0</v>
      </c>
      <c r="L358" s="1">
        <f t="shared" si="11"/>
        <v>3.1657142857142455</v>
      </c>
      <c r="M358" s="1">
        <f t="array" ref="M358">IF(AND(A358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358&gt;=_xlfn.ANCHORARRAY(Sintesi!$C$9))+(_xlfn.ANCHORARRAY(Sintesi!$C$9)&gt;_xlfn.ANCHORARRAY(Sintesi!$C$10))*(A358&lt;=_xlfn.ANCHORARRAY(Sintesi!$C$10))+(_xlfn.ANCHORARRAY(Sintesi!$C$9)&lt;_xlfn.ANCHORARRAY(Sintesi!$C$10))*(A358&gt;=_xlfn.ANCHORARRAY(Sintesi!$C$9))*(A358&lt;=_xlfn.ANCHORARRAY(Sintesi!$C$10)),0)),0),A358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359&gt;=_xlfn.ANCHORARRAY(Sintesi!$C$9))+(_xlfn.ANCHORARRAY(Sintesi!$C$9)&gt;_xlfn.ANCHORARRAY(Sintesi!$C$10))*(A359&lt;=_xlfn.ANCHORARRAY(Sintesi!$C$10))+(_xlfn.ANCHORARRAY(Sintesi!$C$9)&lt;_xlfn.ANCHORARRAY(Sintesi!$C$10))*(A359&gt;=_xlfn.ANCHORARRAY(Sintesi!$C$9))*(A359&lt;=_xlfn.ANCHORARRAY(Sintesi!$C$10)),0)),0)),IF(L358&lt;_xlfn.IFNA(INDEX(_xlfn.ANCHORARRAY(Sintesi!$C$17),1,MATCH(1,(_xlfn.ANCHORARRAY(Sintesi!$C$9)&gt;_xlfn.ANCHORARRAY(Sintesi!$C$10))*(A357&gt;=_xlfn.ANCHORARRAY(Sintesi!$C$9))+(_xlfn.ANCHORARRAY(Sintesi!$C$9)&gt;_xlfn.ANCHORARRAY(Sintesi!$C$10))*(A357&lt;=_xlfn.ANCHORARRAY(Sintesi!$C$10))+(_xlfn.ANCHORARRAY(Sintesi!$C$9)&lt;_xlfn.ANCHORARRAY(Sintesi!$C$10))*(A357&gt;=_xlfn.ANCHORARRAY(Sintesi!$C$9))*(A357&lt;=_xlfn.ANCHORARRAY(Sintesi!$C$10)),0)),0),1,IF(L358&gt;=_xlfn.IFNA(INDEX(_xlfn.ANCHORARRAY(Sintesi!$C$18),1,MATCH(1,(_xlfn.ANCHORARRAY(Sintesi!$C$9)&gt;_xlfn.ANCHORARRAY(Sintesi!$C$10))*(A357&gt;=_xlfn.ANCHORARRAY(Sintesi!$C$9))+(_xlfn.ANCHORARRAY(Sintesi!$C$9)&gt;_xlfn.ANCHORARRAY(Sintesi!$C$10))*(A357&lt;=_xlfn.ANCHORARRAY(Sintesi!$C$10))+(_xlfn.ANCHORARRAY(Sintesi!$C$9)&lt;_xlfn.ANCHORARRAY(Sintesi!$C$10))*(A357&gt;=_xlfn.ANCHORARRAY(Sintesi!$C$9))*(A357&lt;=_xlfn.ANCHORARRAY(Sintesi!$C$10)),0)),0),0,1-(L358-_xlfn.IFNA(INDEX(_xlfn.ANCHORARRAY(Sintesi!$C$17),1,MATCH(1,(_xlfn.ANCHORARRAY(Sintesi!$C$9)&gt;_xlfn.ANCHORARRAY(Sintesi!$C$10))*(A357&gt;=_xlfn.ANCHORARRAY(Sintesi!$C$9))+(_xlfn.ANCHORARRAY(Sintesi!$C$9)&gt;_xlfn.ANCHORARRAY(Sintesi!$C$10))*(A357&lt;=_xlfn.ANCHORARRAY(Sintesi!$C$10))+(_xlfn.ANCHORARRAY(Sintesi!$C$9)&lt;_xlfn.ANCHORARRAY(Sintesi!$C$10))*(A357&gt;=_xlfn.ANCHORARRAY(Sintesi!$C$9))*(A357&lt;=_xlfn.ANCHORARRAY(Sintesi!$C$10)),0)),0))/(_xlfn.IFNA(INDEX(_xlfn.ANCHORARRAY(Sintesi!$C$18),1,MATCH(1,(_xlfn.ANCHORARRAY(Sintesi!$C$9)&gt;_xlfn.ANCHORARRAY(Sintesi!$C$10))*(A357&gt;=_xlfn.ANCHORARRAY(Sintesi!$C$9))+(_xlfn.ANCHORARRAY(Sintesi!$C$9)&gt;_xlfn.ANCHORARRAY(Sintesi!$C$10))*(A357&lt;=_xlfn.ANCHORARRAY(Sintesi!$C$10))+(_xlfn.ANCHORARRAY(Sintesi!$C$9)&lt;_xlfn.ANCHORARRAY(Sintesi!$C$10))*(A357&gt;=_xlfn.ANCHORARRAY(Sintesi!$C$9))*(A357&lt;=_xlfn.ANCHORARRAY(Sintesi!$C$10)),0)),0)-_xlfn.IFNA(INDEX(_xlfn.ANCHORARRAY(Sintesi!$C$17),1,MATCH(1,(_xlfn.ANCHORARRAY(Sintesi!$C$9)&gt;_xlfn.ANCHORARRAY(Sintesi!$C$10))*(A357&gt;=_xlfn.ANCHORARRAY(Sintesi!$C$9))+(_xlfn.ANCHORARRAY(Sintesi!$C$9)&gt;_xlfn.ANCHORARRAY(Sintesi!$C$10))*(A357&lt;=_xlfn.ANCHORARRAY(Sintesi!$C$10))+(_xlfn.ANCHORARRAY(Sintesi!$C$9)&lt;_xlfn.ANCHORARRAY(Sintesi!$C$10))*(A357&gt;=_xlfn.ANCHORARRAY(Sintesi!$C$9))*(A357&lt;=_xlfn.ANCHORARRAY(Sintesi!$C$10)),0)),0)))),0)</f>
        <v>0</v>
      </c>
    </row>
    <row r="359" spans="1:13">
      <c r="A359" s="1">
        <f>'Paste cell here'!A359</f>
        <v>358</v>
      </c>
      <c r="B359" s="2">
        <f>DATE(Sintesi!$C$4-1,12,31)+A359</f>
        <v>44554</v>
      </c>
      <c r="C359" s="34">
        <f t="array" ref="C359">_xlfn.IFNA(MATCH(1,((_xlfn.ANCHORARRAY(Sintesi!$C$9)&gt;_xlfn.ANCHORARRAY(Sintesi!$C$10))*(A359&gt;=_xlfn.ANCHORARRAY(Sintesi!$C$9))+(_xlfn.ANCHORARRAY(Sintesi!$C$9)&gt;_xlfn.ANCHORARRAY(Sintesi!$C$10))*(A359&lt;=_xlfn.ANCHORARRAY(Sintesi!$C$10))+(_xlfn.ANCHORARRAY(Sintesi!$C$9)&lt;_xlfn.ANCHORARRAY(Sintesi!$C$10))*(A359&gt;=_xlfn.ANCHORARRAY(Sintesi!$C$9))*(A359&lt;=_xlfn.ANCHORARRAY(Sintesi!$C$10)))*(_xlfn.ANCHORARRAY(Sintesi!$C$15)&gt;=0)+(_xlfn.ANCHORARRAY(Sintesi!$C$15)&lt;0),0),0)</f>
        <v>0</v>
      </c>
      <c r="D359" s="1">
        <f t="array" ref="D359">IF(ISBLANK($E360),IF(ISNUMBER($E358),IF($C359&gt;0,IF(($E359=INDEX(_xlfn.ANCHORARRAY(Sintesi!$C$14),1,$C359))*(INDEX(_xlfn.ANCHORARRAY(Sintesi!$C$15),1,$C359)&gt;0),0,IF(($E359=INDEX(_xlfn.ANCHORARRAY(Sintesi!$C$14),1,$C359))*(INDEX(_xlfn.ANCHORARRAY(Sintesi!$C$15),1,$C359)&lt;0)+($E359&gt;=$E358)*($E359&lt;=INDEX($E:$E,MATCH(TRUE,INDEX((ISNUMBER($E:$E)),0),0)))*($E359&gt;INDEX(_xlfn.ANCHORARRAY(Sintesi!$C$14),1,$C359))*($E359&lt;=INDEX(_xlfn.ANCHORARRAY(Sintesi!$C$15),1,$C359))*(INDEX(_xlfn.ANCHORARRAY(Sintesi!$C$15),1,$C359)&gt;0),1,IF(($E359&gt;=$E358)*($E359&lt;=INDEX($E:$E,MATCH(TRUE,INDEX((ISNUMBER($E:$E)),0),0)))*($E359&gt;INDEX(_xlfn.ANCHORARRAY(Sintesi!$C$14),1,$C359))*($E359&lt;INDEX(_xlfn.ANCHORARRAY(Sintesi!$C$16),1,$C359))*(INDEX(_xlfn.ANCHORARRAY(Sintesi!$C$15),1,$C359)&lt;0)+($E359&gt;=$E358)*($E359&lt;=INDEX($E:$E,MATCH(TRUE,INDEX((ISNUMBER($E:$E)),0),0)))*($E359&gt;INDEX(_xlfn.ANCHORARRAY(Sintesi!$C$15),1,$C359))*($E359&lt;INDEX(_xlfn.ANCHORARRAY(Sintesi!$C$16),1,$C359))*(INDEX(_xlfn.ANCHORARRAY(Sintesi!$C$15),1,$C359)&gt;0),2,IF($E359=(INDEX(_xlfn.ANCHORARRAY(Sintesi!$C$16),1,$C359)),3,4)))),0),IF($C359&gt;0,IF(($E359=INDEX(_xlfn.ANCHORARRAY(Sintesi!$C$14),1,$C359))*(INDEX(_xlfn.ANCHORARRAY(Sintesi!$C$15),1,$C359)&gt;0),0,IF(($E359=INDEX(_xlfn.ANCHORARRAY(Sintesi!$C$14),1,$C359))*(INDEX(_xlfn.ANCHORARRAY(Sintesi!$C$15),1,$C359)&lt;0)+($E359&gt;=LOOKUP(2,1/($E:$E&lt;&gt;""),$E:$E))*($E359&lt;=INDEX($E:$E,MATCH(TRUE,INDEX((ISNUMBER($E:$E)),0),0)))*($E359&gt;INDEX(_xlfn.ANCHORARRAY(Sintesi!$C$14),1,$C359))*($E359&lt;=INDEX(_xlfn.ANCHORARRAY(Sintesi!$C$15),1,$C359))*(INDEX(_xlfn.ANCHORARRAY(Sintesi!$C$15),1,$C359)&gt;0),1,IF(($E359&gt;=LOOKUP(2,1/($E:$E&lt;&gt;""),$E:$E))*($E359&lt;=INDEX($E:$E,MATCH(TRUE,INDEX((ISNUMBER($E:$E)),0),0)))*($E359&gt;INDEX(_xlfn.ANCHORARRAY(Sintesi!$C$14),1,$C359))*($E359&lt;INDEX(_xlfn.ANCHORARRAY(Sintesi!$C$16),1,$C359))*(INDEX(_xlfn.ANCHORARRAY(Sintesi!$C$15),1,$C359)&lt;0)+($E359&gt;=LOOKUP(2,1/($E:$E&lt;&gt;""),$E:$E))*($E359&lt;=INDEX($E:$E,MATCH(TRUE,INDEX((ISNUMBER($E:$E)),0),0)))*($E359&gt;INDEX(_xlfn.ANCHORARRAY(Sintesi!$C$15),1,$C359))*($E359&lt;INDEX(_xlfn.ANCHORARRAY(Sintesi!$C$16),1,$C359))*(INDEX(_xlfn.ANCHORARRAY(Sintesi!$C$15),1,$C359)&gt;0),2,IF($E359=(INDEX(_xlfn.ANCHORARRAY(Sintesi!$C$16),1,$C359)),3,4)))),0)),IF(ISNUMBER($E358),IF($C359&gt;0,IF(($E359=INDEX(_xlfn.ANCHORARRAY(Sintesi!$C$14),1,$C359))*(INDEX(_xlfn.ANCHORARRAY(Sintesi!$C$15),1,$C359)&gt;0),0,IF(($E359=INDEX(_xlfn.ANCHORARRAY(Sintesi!$C$14),1,$C359))*(INDEX(_xlfn.ANCHORARRAY(Sintesi!$C$15),1,$C359)&lt;0)+($E359&gt;=$E358)*($E359&lt;=$E360)*($E359&gt;INDEX(_xlfn.ANCHORARRAY(Sintesi!$C$14),1,$C359))*($E359&lt;=INDEX(_xlfn.ANCHORARRAY(Sintesi!$C$15),1,$C359))*(INDEX(_xlfn.ANCHORARRAY(Sintesi!$C$15),1,$C359)&gt;0),1,IF(($E359&gt;=$E358)*($E359&lt;=$E360)*($E359&gt;INDEX(_xlfn.ANCHORARRAY(Sintesi!$C$14),1,$C359))*($E359&lt;INDEX(_xlfn.ANCHORARRAY(Sintesi!$C$16),1,$C359))*(INDEX(_xlfn.ANCHORARRAY(Sintesi!$C$15),1,$C359)&lt;0)+($E359&gt;=$E358)*($E359&lt;=$E360)*($E359&gt;INDEX(_xlfn.ANCHORARRAY(Sintesi!$C$15),1,$C359))*($E359&lt;INDEX(_xlfn.ANCHORARRAY(Sintesi!$C$16),1,$C359))*(INDEX(_xlfn.ANCHORARRAY(Sintesi!$C$15),1,$C359)&gt;0),2,IF($E359=(INDEX(_xlfn.ANCHORARRAY(Sintesi!$C$16),1,$C359)),3,4)))),0),IF($C359&gt;0,IF(($E359=INDEX(_xlfn.ANCHORARRAY(Sintesi!$C$14),1,$C359))*(INDEX(_xlfn.ANCHORARRAY(Sintesi!$C$15),1,$C359)&gt;0),0,IF(($E359=INDEX(_xlfn.ANCHORARRAY(Sintesi!$C$14),1,$C359))*(INDEX(_xlfn.ANCHORARRAY(Sintesi!$C$15),1,$C359)&lt;0)+($E359&gt;=LOOKUP(2,1/($E:$E&lt;&gt;""),$E:$E))*($E359&lt;=$E360)*($E359&gt;INDEX(_xlfn.ANCHORARRAY(Sintesi!$C$14),1,$C359))*($E359&lt;=INDEX(_xlfn.ANCHORARRAY(Sintesi!$C$15),1,$C359))*(INDEX(_xlfn.ANCHORARRAY(Sintesi!$C$15),1,$C359)&gt;0),1,IF(($E359&gt;=LOOKUP(2,1/($E:$E&lt;&gt;""),$E:$E))*($E359&lt;=$E360)*($E359&gt;INDEX(_xlfn.ANCHORARRAY(Sintesi!$C$14),1,$C359))*($E359&lt;INDEX(_xlfn.ANCHORARRAY(Sintesi!$C$16),1,$C359))*(INDEX(_xlfn.ANCHORARRAY(Sintesi!$C$15),1,$C359)&lt;0)+($E359&gt;=LOOKUP(2,1/($E:$E&lt;&gt;""),$E:$E))*($E359&lt;=$E360)*($E359&gt;INDEX(_xlfn.ANCHORARRAY(Sintesi!$C$15),1,$C359))*($E359&lt;INDEX(_xlfn.ANCHORARRAY(Sintesi!$C$16),1,$C359))*(INDEX(_xlfn.ANCHORARRAY(Sintesi!$C$15),1,$C359)&gt;0),2,IF($E359=(INDEX(_xlfn.ANCHORARRAY(Sintesi!$C$16),1,$C359)),3,4)))),0)))</f>
        <v>0</v>
      </c>
      <c r="E359" s="1">
        <f>'Paste cell here'!F359</f>
        <v>0</v>
      </c>
      <c r="F359" s="1">
        <f>'Paste cell here'!C359</f>
        <v>5.19999999999993</v>
      </c>
      <c r="G359" s="1">
        <f>'Paste cell here'!D359</f>
        <v>4.1799999999999455</v>
      </c>
      <c r="H359" s="1">
        <f>'Paste cell here'!E359</f>
        <v>0.47499113010154653</v>
      </c>
      <c r="I359" s="1">
        <f>'Paste cell here'!X359</f>
        <v>0</v>
      </c>
      <c r="J359" s="1">
        <f>'Paste cell here'!Y359+'Paste cell here'!S359</f>
        <v>0</v>
      </c>
      <c r="K359" s="1">
        <f t="shared" si="10"/>
        <v>0</v>
      </c>
      <c r="L359" s="1">
        <f t="shared" si="11"/>
        <v>4.7628571428570794</v>
      </c>
      <c r="M359" s="1">
        <f t="array" ref="M359">IF(AND(A359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359&gt;=_xlfn.ANCHORARRAY(Sintesi!$C$9))+(_xlfn.ANCHORARRAY(Sintesi!$C$9)&gt;_xlfn.ANCHORARRAY(Sintesi!$C$10))*(A359&lt;=_xlfn.ANCHORARRAY(Sintesi!$C$10))+(_xlfn.ANCHORARRAY(Sintesi!$C$9)&lt;_xlfn.ANCHORARRAY(Sintesi!$C$10))*(A359&gt;=_xlfn.ANCHORARRAY(Sintesi!$C$9))*(A359&lt;=_xlfn.ANCHORARRAY(Sintesi!$C$10)),0)),0),A359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360&gt;=_xlfn.ANCHORARRAY(Sintesi!$C$9))+(_xlfn.ANCHORARRAY(Sintesi!$C$9)&gt;_xlfn.ANCHORARRAY(Sintesi!$C$10))*(A360&lt;=_xlfn.ANCHORARRAY(Sintesi!$C$10))+(_xlfn.ANCHORARRAY(Sintesi!$C$9)&lt;_xlfn.ANCHORARRAY(Sintesi!$C$10))*(A360&gt;=_xlfn.ANCHORARRAY(Sintesi!$C$9))*(A360&lt;=_xlfn.ANCHORARRAY(Sintesi!$C$10)),0)),0)),IF(L359&lt;_xlfn.IFNA(INDEX(_xlfn.ANCHORARRAY(Sintesi!$C$17),1,MATCH(1,(_xlfn.ANCHORARRAY(Sintesi!$C$9)&gt;_xlfn.ANCHORARRAY(Sintesi!$C$10))*(A358&gt;=_xlfn.ANCHORARRAY(Sintesi!$C$9))+(_xlfn.ANCHORARRAY(Sintesi!$C$9)&gt;_xlfn.ANCHORARRAY(Sintesi!$C$10))*(A358&lt;=_xlfn.ANCHORARRAY(Sintesi!$C$10))+(_xlfn.ANCHORARRAY(Sintesi!$C$9)&lt;_xlfn.ANCHORARRAY(Sintesi!$C$10))*(A358&gt;=_xlfn.ANCHORARRAY(Sintesi!$C$9))*(A358&lt;=_xlfn.ANCHORARRAY(Sintesi!$C$10)),0)),0),1,IF(L359&gt;=_xlfn.IFNA(INDEX(_xlfn.ANCHORARRAY(Sintesi!$C$18),1,MATCH(1,(_xlfn.ANCHORARRAY(Sintesi!$C$9)&gt;_xlfn.ANCHORARRAY(Sintesi!$C$10))*(A358&gt;=_xlfn.ANCHORARRAY(Sintesi!$C$9))+(_xlfn.ANCHORARRAY(Sintesi!$C$9)&gt;_xlfn.ANCHORARRAY(Sintesi!$C$10))*(A358&lt;=_xlfn.ANCHORARRAY(Sintesi!$C$10))+(_xlfn.ANCHORARRAY(Sintesi!$C$9)&lt;_xlfn.ANCHORARRAY(Sintesi!$C$10))*(A358&gt;=_xlfn.ANCHORARRAY(Sintesi!$C$9))*(A358&lt;=_xlfn.ANCHORARRAY(Sintesi!$C$10)),0)),0),0,1-(L359-_xlfn.IFNA(INDEX(_xlfn.ANCHORARRAY(Sintesi!$C$17),1,MATCH(1,(_xlfn.ANCHORARRAY(Sintesi!$C$9)&gt;_xlfn.ANCHORARRAY(Sintesi!$C$10))*(A358&gt;=_xlfn.ANCHORARRAY(Sintesi!$C$9))+(_xlfn.ANCHORARRAY(Sintesi!$C$9)&gt;_xlfn.ANCHORARRAY(Sintesi!$C$10))*(A358&lt;=_xlfn.ANCHORARRAY(Sintesi!$C$10))+(_xlfn.ANCHORARRAY(Sintesi!$C$9)&lt;_xlfn.ANCHORARRAY(Sintesi!$C$10))*(A358&gt;=_xlfn.ANCHORARRAY(Sintesi!$C$9))*(A358&lt;=_xlfn.ANCHORARRAY(Sintesi!$C$10)),0)),0))/(_xlfn.IFNA(INDEX(_xlfn.ANCHORARRAY(Sintesi!$C$18),1,MATCH(1,(_xlfn.ANCHORARRAY(Sintesi!$C$9)&gt;_xlfn.ANCHORARRAY(Sintesi!$C$10))*(A358&gt;=_xlfn.ANCHORARRAY(Sintesi!$C$9))+(_xlfn.ANCHORARRAY(Sintesi!$C$9)&gt;_xlfn.ANCHORARRAY(Sintesi!$C$10))*(A358&lt;=_xlfn.ANCHORARRAY(Sintesi!$C$10))+(_xlfn.ANCHORARRAY(Sintesi!$C$9)&lt;_xlfn.ANCHORARRAY(Sintesi!$C$10))*(A358&gt;=_xlfn.ANCHORARRAY(Sintesi!$C$9))*(A358&lt;=_xlfn.ANCHORARRAY(Sintesi!$C$10)),0)),0)-_xlfn.IFNA(INDEX(_xlfn.ANCHORARRAY(Sintesi!$C$17),1,MATCH(1,(_xlfn.ANCHORARRAY(Sintesi!$C$9)&gt;_xlfn.ANCHORARRAY(Sintesi!$C$10))*(A358&gt;=_xlfn.ANCHORARRAY(Sintesi!$C$9))+(_xlfn.ANCHORARRAY(Sintesi!$C$9)&gt;_xlfn.ANCHORARRAY(Sintesi!$C$10))*(A358&lt;=_xlfn.ANCHORARRAY(Sintesi!$C$10))+(_xlfn.ANCHORARRAY(Sintesi!$C$9)&lt;_xlfn.ANCHORARRAY(Sintesi!$C$10))*(A358&gt;=_xlfn.ANCHORARRAY(Sintesi!$C$9))*(A358&lt;=_xlfn.ANCHORARRAY(Sintesi!$C$10)),0)),0)))),0)</f>
        <v>0</v>
      </c>
    </row>
    <row r="360" spans="1:13">
      <c r="A360" s="1">
        <f>'Paste cell here'!A360</f>
        <v>359</v>
      </c>
      <c r="B360" s="2">
        <f>DATE(Sintesi!$C$4-1,12,31)+A360</f>
        <v>44555</v>
      </c>
      <c r="C360" s="34">
        <f t="array" ref="C360">_xlfn.IFNA(MATCH(1,((_xlfn.ANCHORARRAY(Sintesi!$C$9)&gt;_xlfn.ANCHORARRAY(Sintesi!$C$10))*(A360&gt;=_xlfn.ANCHORARRAY(Sintesi!$C$9))+(_xlfn.ANCHORARRAY(Sintesi!$C$9)&gt;_xlfn.ANCHORARRAY(Sintesi!$C$10))*(A360&lt;=_xlfn.ANCHORARRAY(Sintesi!$C$10))+(_xlfn.ANCHORARRAY(Sintesi!$C$9)&lt;_xlfn.ANCHORARRAY(Sintesi!$C$10))*(A360&gt;=_xlfn.ANCHORARRAY(Sintesi!$C$9))*(A360&lt;=_xlfn.ANCHORARRAY(Sintesi!$C$10)))*(_xlfn.ANCHORARRAY(Sintesi!$C$15)&gt;=0)+(_xlfn.ANCHORARRAY(Sintesi!$C$15)&lt;0),0),0)</f>
        <v>0</v>
      </c>
      <c r="D360" s="1">
        <f t="array" ref="D360">IF(ISBLANK($E361),IF(ISNUMBER($E359),IF($C360&gt;0,IF(($E360=INDEX(_xlfn.ANCHORARRAY(Sintesi!$C$14),1,$C360))*(INDEX(_xlfn.ANCHORARRAY(Sintesi!$C$15),1,$C360)&gt;0),0,IF(($E360=INDEX(_xlfn.ANCHORARRAY(Sintesi!$C$14),1,$C360))*(INDEX(_xlfn.ANCHORARRAY(Sintesi!$C$15),1,$C360)&lt;0)+($E360&gt;=$E359)*($E360&lt;=INDEX($E:$E,MATCH(TRUE,INDEX((ISNUMBER($E:$E)),0),0)))*($E360&gt;INDEX(_xlfn.ANCHORARRAY(Sintesi!$C$14),1,$C360))*($E360&lt;=INDEX(_xlfn.ANCHORARRAY(Sintesi!$C$15),1,$C360))*(INDEX(_xlfn.ANCHORARRAY(Sintesi!$C$15),1,$C360)&gt;0),1,IF(($E360&gt;=$E359)*($E360&lt;=INDEX($E:$E,MATCH(TRUE,INDEX((ISNUMBER($E:$E)),0),0)))*($E360&gt;INDEX(_xlfn.ANCHORARRAY(Sintesi!$C$14),1,$C360))*($E360&lt;INDEX(_xlfn.ANCHORARRAY(Sintesi!$C$16),1,$C360))*(INDEX(_xlfn.ANCHORARRAY(Sintesi!$C$15),1,$C360)&lt;0)+($E360&gt;=$E359)*($E360&lt;=INDEX($E:$E,MATCH(TRUE,INDEX((ISNUMBER($E:$E)),0),0)))*($E360&gt;INDEX(_xlfn.ANCHORARRAY(Sintesi!$C$15),1,$C360))*($E360&lt;INDEX(_xlfn.ANCHORARRAY(Sintesi!$C$16),1,$C360))*(INDEX(_xlfn.ANCHORARRAY(Sintesi!$C$15),1,$C360)&gt;0),2,IF($E360=(INDEX(_xlfn.ANCHORARRAY(Sintesi!$C$16),1,$C360)),3,4)))),0),IF($C360&gt;0,IF(($E360=INDEX(_xlfn.ANCHORARRAY(Sintesi!$C$14),1,$C360))*(INDEX(_xlfn.ANCHORARRAY(Sintesi!$C$15),1,$C360)&gt;0),0,IF(($E360=INDEX(_xlfn.ANCHORARRAY(Sintesi!$C$14),1,$C360))*(INDEX(_xlfn.ANCHORARRAY(Sintesi!$C$15),1,$C360)&lt;0)+($E360&gt;=LOOKUP(2,1/($E:$E&lt;&gt;""),$E:$E))*($E360&lt;=INDEX($E:$E,MATCH(TRUE,INDEX((ISNUMBER($E:$E)),0),0)))*($E360&gt;INDEX(_xlfn.ANCHORARRAY(Sintesi!$C$14),1,$C360))*($E360&lt;=INDEX(_xlfn.ANCHORARRAY(Sintesi!$C$15),1,$C360))*(INDEX(_xlfn.ANCHORARRAY(Sintesi!$C$15),1,$C360)&gt;0),1,IF(($E360&gt;=LOOKUP(2,1/($E:$E&lt;&gt;""),$E:$E))*($E360&lt;=INDEX($E:$E,MATCH(TRUE,INDEX((ISNUMBER($E:$E)),0),0)))*($E360&gt;INDEX(_xlfn.ANCHORARRAY(Sintesi!$C$14),1,$C360))*($E360&lt;INDEX(_xlfn.ANCHORARRAY(Sintesi!$C$16),1,$C360))*(INDEX(_xlfn.ANCHORARRAY(Sintesi!$C$15),1,$C360)&lt;0)+($E360&gt;=LOOKUP(2,1/($E:$E&lt;&gt;""),$E:$E))*($E360&lt;=INDEX($E:$E,MATCH(TRUE,INDEX((ISNUMBER($E:$E)),0),0)))*($E360&gt;INDEX(_xlfn.ANCHORARRAY(Sintesi!$C$15),1,$C360))*($E360&lt;INDEX(_xlfn.ANCHORARRAY(Sintesi!$C$16),1,$C360))*(INDEX(_xlfn.ANCHORARRAY(Sintesi!$C$15),1,$C360)&gt;0),2,IF($E360=(INDEX(_xlfn.ANCHORARRAY(Sintesi!$C$16),1,$C360)),3,4)))),0)),IF(ISNUMBER($E359),IF($C360&gt;0,IF(($E360=INDEX(_xlfn.ANCHORARRAY(Sintesi!$C$14),1,$C360))*(INDEX(_xlfn.ANCHORARRAY(Sintesi!$C$15),1,$C360)&gt;0),0,IF(($E360=INDEX(_xlfn.ANCHORARRAY(Sintesi!$C$14),1,$C360))*(INDEX(_xlfn.ANCHORARRAY(Sintesi!$C$15),1,$C360)&lt;0)+($E360&gt;=$E359)*($E360&lt;=$E361)*($E360&gt;INDEX(_xlfn.ANCHORARRAY(Sintesi!$C$14),1,$C360))*($E360&lt;=INDEX(_xlfn.ANCHORARRAY(Sintesi!$C$15),1,$C360))*(INDEX(_xlfn.ANCHORARRAY(Sintesi!$C$15),1,$C360)&gt;0),1,IF(($E360&gt;=$E359)*($E360&lt;=$E361)*($E360&gt;INDEX(_xlfn.ANCHORARRAY(Sintesi!$C$14),1,$C360))*($E360&lt;INDEX(_xlfn.ANCHORARRAY(Sintesi!$C$16),1,$C360))*(INDEX(_xlfn.ANCHORARRAY(Sintesi!$C$15),1,$C360)&lt;0)+($E360&gt;=$E359)*($E360&lt;=$E361)*($E360&gt;INDEX(_xlfn.ANCHORARRAY(Sintesi!$C$15),1,$C360))*($E360&lt;INDEX(_xlfn.ANCHORARRAY(Sintesi!$C$16),1,$C360))*(INDEX(_xlfn.ANCHORARRAY(Sintesi!$C$15),1,$C360)&gt;0),2,IF($E360=(INDEX(_xlfn.ANCHORARRAY(Sintesi!$C$16),1,$C360)),3,4)))),0),IF($C360&gt;0,IF(($E360=INDEX(_xlfn.ANCHORARRAY(Sintesi!$C$14),1,$C360))*(INDEX(_xlfn.ANCHORARRAY(Sintesi!$C$15),1,$C360)&gt;0),0,IF(($E360=INDEX(_xlfn.ANCHORARRAY(Sintesi!$C$14),1,$C360))*(INDEX(_xlfn.ANCHORARRAY(Sintesi!$C$15),1,$C360)&lt;0)+($E360&gt;=LOOKUP(2,1/($E:$E&lt;&gt;""),$E:$E))*($E360&lt;=$E361)*($E360&gt;INDEX(_xlfn.ANCHORARRAY(Sintesi!$C$14),1,$C360))*($E360&lt;=INDEX(_xlfn.ANCHORARRAY(Sintesi!$C$15),1,$C360))*(INDEX(_xlfn.ANCHORARRAY(Sintesi!$C$15),1,$C360)&gt;0),1,IF(($E360&gt;=LOOKUP(2,1/($E:$E&lt;&gt;""),$E:$E))*($E360&lt;=$E361)*($E360&gt;INDEX(_xlfn.ANCHORARRAY(Sintesi!$C$14),1,$C360))*($E360&lt;INDEX(_xlfn.ANCHORARRAY(Sintesi!$C$16),1,$C360))*(INDEX(_xlfn.ANCHORARRAY(Sintesi!$C$15),1,$C360)&lt;0)+($E360&gt;=LOOKUP(2,1/($E:$E&lt;&gt;""),$E:$E))*($E360&lt;=$E361)*($E360&gt;INDEX(_xlfn.ANCHORARRAY(Sintesi!$C$15),1,$C360))*($E360&lt;INDEX(_xlfn.ANCHORARRAY(Sintesi!$C$16),1,$C360))*(INDEX(_xlfn.ANCHORARRAY(Sintesi!$C$15),1,$C360)&gt;0),2,IF($E360=(INDEX(_xlfn.ANCHORARRAY(Sintesi!$C$16),1,$C360)),3,4)))),0)))</f>
        <v>0</v>
      </c>
      <c r="E360" s="1">
        <f>'Paste cell here'!F360</f>
        <v>0</v>
      </c>
      <c r="F360" s="1">
        <f>'Paste cell here'!C360</f>
        <v>5.7399999999999167</v>
      </c>
      <c r="G360" s="1">
        <f>'Paste cell here'!D360</f>
        <v>3.8399999999999483</v>
      </c>
      <c r="H360" s="1">
        <f>'Paste cell here'!E360</f>
        <v>0.39323744451429832</v>
      </c>
      <c r="I360" s="1">
        <f>'Paste cell here'!X360</f>
        <v>0</v>
      </c>
      <c r="J360" s="1">
        <f>'Paste cell here'!Y360+'Paste cell here'!S360</f>
        <v>0</v>
      </c>
      <c r="K360" s="1">
        <f t="shared" si="10"/>
        <v>0</v>
      </c>
      <c r="L360" s="1">
        <f t="shared" si="11"/>
        <v>4.9257142857142151</v>
      </c>
      <c r="M360" s="1">
        <f t="array" ref="M360">IF(AND(A360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360&gt;=_xlfn.ANCHORARRAY(Sintesi!$C$9))+(_xlfn.ANCHORARRAY(Sintesi!$C$9)&gt;_xlfn.ANCHORARRAY(Sintesi!$C$10))*(A360&lt;=_xlfn.ANCHORARRAY(Sintesi!$C$10))+(_xlfn.ANCHORARRAY(Sintesi!$C$9)&lt;_xlfn.ANCHORARRAY(Sintesi!$C$10))*(A360&gt;=_xlfn.ANCHORARRAY(Sintesi!$C$9))*(A360&lt;=_xlfn.ANCHORARRAY(Sintesi!$C$10)),0)),0),A360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361&gt;=_xlfn.ANCHORARRAY(Sintesi!$C$9))+(_xlfn.ANCHORARRAY(Sintesi!$C$9)&gt;_xlfn.ANCHORARRAY(Sintesi!$C$10))*(A361&lt;=_xlfn.ANCHORARRAY(Sintesi!$C$10))+(_xlfn.ANCHORARRAY(Sintesi!$C$9)&lt;_xlfn.ANCHORARRAY(Sintesi!$C$10))*(A361&gt;=_xlfn.ANCHORARRAY(Sintesi!$C$9))*(A361&lt;=_xlfn.ANCHORARRAY(Sintesi!$C$10)),0)),0)),IF(L360&lt;_xlfn.IFNA(INDEX(_xlfn.ANCHORARRAY(Sintesi!$C$17),1,MATCH(1,(_xlfn.ANCHORARRAY(Sintesi!$C$9)&gt;_xlfn.ANCHORARRAY(Sintesi!$C$10))*(A359&gt;=_xlfn.ANCHORARRAY(Sintesi!$C$9))+(_xlfn.ANCHORARRAY(Sintesi!$C$9)&gt;_xlfn.ANCHORARRAY(Sintesi!$C$10))*(A359&lt;=_xlfn.ANCHORARRAY(Sintesi!$C$10))+(_xlfn.ANCHORARRAY(Sintesi!$C$9)&lt;_xlfn.ANCHORARRAY(Sintesi!$C$10))*(A359&gt;=_xlfn.ANCHORARRAY(Sintesi!$C$9))*(A359&lt;=_xlfn.ANCHORARRAY(Sintesi!$C$10)),0)),0),1,IF(L360&gt;=_xlfn.IFNA(INDEX(_xlfn.ANCHORARRAY(Sintesi!$C$18),1,MATCH(1,(_xlfn.ANCHORARRAY(Sintesi!$C$9)&gt;_xlfn.ANCHORARRAY(Sintesi!$C$10))*(A359&gt;=_xlfn.ANCHORARRAY(Sintesi!$C$9))+(_xlfn.ANCHORARRAY(Sintesi!$C$9)&gt;_xlfn.ANCHORARRAY(Sintesi!$C$10))*(A359&lt;=_xlfn.ANCHORARRAY(Sintesi!$C$10))+(_xlfn.ANCHORARRAY(Sintesi!$C$9)&lt;_xlfn.ANCHORARRAY(Sintesi!$C$10))*(A359&gt;=_xlfn.ANCHORARRAY(Sintesi!$C$9))*(A359&lt;=_xlfn.ANCHORARRAY(Sintesi!$C$10)),0)),0),0,1-(L360-_xlfn.IFNA(INDEX(_xlfn.ANCHORARRAY(Sintesi!$C$17),1,MATCH(1,(_xlfn.ANCHORARRAY(Sintesi!$C$9)&gt;_xlfn.ANCHORARRAY(Sintesi!$C$10))*(A359&gt;=_xlfn.ANCHORARRAY(Sintesi!$C$9))+(_xlfn.ANCHORARRAY(Sintesi!$C$9)&gt;_xlfn.ANCHORARRAY(Sintesi!$C$10))*(A359&lt;=_xlfn.ANCHORARRAY(Sintesi!$C$10))+(_xlfn.ANCHORARRAY(Sintesi!$C$9)&lt;_xlfn.ANCHORARRAY(Sintesi!$C$10))*(A359&gt;=_xlfn.ANCHORARRAY(Sintesi!$C$9))*(A359&lt;=_xlfn.ANCHORARRAY(Sintesi!$C$10)),0)),0))/(_xlfn.IFNA(INDEX(_xlfn.ANCHORARRAY(Sintesi!$C$18),1,MATCH(1,(_xlfn.ANCHORARRAY(Sintesi!$C$9)&gt;_xlfn.ANCHORARRAY(Sintesi!$C$10))*(A359&gt;=_xlfn.ANCHORARRAY(Sintesi!$C$9))+(_xlfn.ANCHORARRAY(Sintesi!$C$9)&gt;_xlfn.ANCHORARRAY(Sintesi!$C$10))*(A359&lt;=_xlfn.ANCHORARRAY(Sintesi!$C$10))+(_xlfn.ANCHORARRAY(Sintesi!$C$9)&lt;_xlfn.ANCHORARRAY(Sintesi!$C$10))*(A359&gt;=_xlfn.ANCHORARRAY(Sintesi!$C$9))*(A359&lt;=_xlfn.ANCHORARRAY(Sintesi!$C$10)),0)),0)-_xlfn.IFNA(INDEX(_xlfn.ANCHORARRAY(Sintesi!$C$17),1,MATCH(1,(_xlfn.ANCHORARRAY(Sintesi!$C$9)&gt;_xlfn.ANCHORARRAY(Sintesi!$C$10))*(A359&gt;=_xlfn.ANCHORARRAY(Sintesi!$C$9))+(_xlfn.ANCHORARRAY(Sintesi!$C$9)&gt;_xlfn.ANCHORARRAY(Sintesi!$C$10))*(A359&lt;=_xlfn.ANCHORARRAY(Sintesi!$C$10))+(_xlfn.ANCHORARRAY(Sintesi!$C$9)&lt;_xlfn.ANCHORARRAY(Sintesi!$C$10))*(A359&gt;=_xlfn.ANCHORARRAY(Sintesi!$C$9))*(A359&lt;=_xlfn.ANCHORARRAY(Sintesi!$C$10)),0)),0)))),0)</f>
        <v>0</v>
      </c>
    </row>
    <row r="361" spans="1:13">
      <c r="A361" s="1">
        <f>'Paste cell here'!A361</f>
        <v>360</v>
      </c>
      <c r="B361" s="2">
        <f>DATE(Sintesi!$C$4-1,12,31)+A361</f>
        <v>44556</v>
      </c>
      <c r="C361" s="34">
        <f t="array" ref="C361">_xlfn.IFNA(MATCH(1,((_xlfn.ANCHORARRAY(Sintesi!$C$9)&gt;_xlfn.ANCHORARRAY(Sintesi!$C$10))*(A361&gt;=_xlfn.ANCHORARRAY(Sintesi!$C$9))+(_xlfn.ANCHORARRAY(Sintesi!$C$9)&gt;_xlfn.ANCHORARRAY(Sintesi!$C$10))*(A361&lt;=_xlfn.ANCHORARRAY(Sintesi!$C$10))+(_xlfn.ANCHORARRAY(Sintesi!$C$9)&lt;_xlfn.ANCHORARRAY(Sintesi!$C$10))*(A361&gt;=_xlfn.ANCHORARRAY(Sintesi!$C$9))*(A361&lt;=_xlfn.ANCHORARRAY(Sintesi!$C$10)))*(_xlfn.ANCHORARRAY(Sintesi!$C$15)&gt;=0)+(_xlfn.ANCHORARRAY(Sintesi!$C$15)&lt;0),0),0)</f>
        <v>0</v>
      </c>
      <c r="D361" s="1">
        <f t="array" ref="D361">IF(ISBLANK($E362),IF(ISNUMBER($E360),IF($C361&gt;0,IF(($E361=INDEX(_xlfn.ANCHORARRAY(Sintesi!$C$14),1,$C361))*(INDEX(_xlfn.ANCHORARRAY(Sintesi!$C$15),1,$C361)&gt;0),0,IF(($E361=INDEX(_xlfn.ANCHORARRAY(Sintesi!$C$14),1,$C361))*(INDEX(_xlfn.ANCHORARRAY(Sintesi!$C$15),1,$C361)&lt;0)+($E361&gt;=$E360)*($E361&lt;=INDEX($E:$E,MATCH(TRUE,INDEX((ISNUMBER($E:$E)),0),0)))*($E361&gt;INDEX(_xlfn.ANCHORARRAY(Sintesi!$C$14),1,$C361))*($E361&lt;=INDEX(_xlfn.ANCHORARRAY(Sintesi!$C$15),1,$C361))*(INDEX(_xlfn.ANCHORARRAY(Sintesi!$C$15),1,$C361)&gt;0),1,IF(($E361&gt;=$E360)*($E361&lt;=INDEX($E:$E,MATCH(TRUE,INDEX((ISNUMBER($E:$E)),0),0)))*($E361&gt;INDEX(_xlfn.ANCHORARRAY(Sintesi!$C$14),1,$C361))*($E361&lt;INDEX(_xlfn.ANCHORARRAY(Sintesi!$C$16),1,$C361))*(INDEX(_xlfn.ANCHORARRAY(Sintesi!$C$15),1,$C361)&lt;0)+($E361&gt;=$E360)*($E361&lt;=INDEX($E:$E,MATCH(TRUE,INDEX((ISNUMBER($E:$E)),0),0)))*($E361&gt;INDEX(_xlfn.ANCHORARRAY(Sintesi!$C$15),1,$C361))*($E361&lt;INDEX(_xlfn.ANCHORARRAY(Sintesi!$C$16),1,$C361))*(INDEX(_xlfn.ANCHORARRAY(Sintesi!$C$15),1,$C361)&gt;0),2,IF($E361=(INDEX(_xlfn.ANCHORARRAY(Sintesi!$C$16),1,$C361)),3,4)))),0),IF($C361&gt;0,IF(($E361=INDEX(_xlfn.ANCHORARRAY(Sintesi!$C$14),1,$C361))*(INDEX(_xlfn.ANCHORARRAY(Sintesi!$C$15),1,$C361)&gt;0),0,IF(($E361=INDEX(_xlfn.ANCHORARRAY(Sintesi!$C$14),1,$C361))*(INDEX(_xlfn.ANCHORARRAY(Sintesi!$C$15),1,$C361)&lt;0)+($E361&gt;=LOOKUP(2,1/($E:$E&lt;&gt;""),$E:$E))*($E361&lt;=INDEX($E:$E,MATCH(TRUE,INDEX((ISNUMBER($E:$E)),0),0)))*($E361&gt;INDEX(_xlfn.ANCHORARRAY(Sintesi!$C$14),1,$C361))*($E361&lt;=INDEX(_xlfn.ANCHORARRAY(Sintesi!$C$15),1,$C361))*(INDEX(_xlfn.ANCHORARRAY(Sintesi!$C$15),1,$C361)&gt;0),1,IF(($E361&gt;=LOOKUP(2,1/($E:$E&lt;&gt;""),$E:$E))*($E361&lt;=INDEX($E:$E,MATCH(TRUE,INDEX((ISNUMBER($E:$E)),0),0)))*($E361&gt;INDEX(_xlfn.ANCHORARRAY(Sintesi!$C$14),1,$C361))*($E361&lt;INDEX(_xlfn.ANCHORARRAY(Sintesi!$C$16),1,$C361))*(INDEX(_xlfn.ANCHORARRAY(Sintesi!$C$15),1,$C361)&lt;0)+($E361&gt;=LOOKUP(2,1/($E:$E&lt;&gt;""),$E:$E))*($E361&lt;=INDEX($E:$E,MATCH(TRUE,INDEX((ISNUMBER($E:$E)),0),0)))*($E361&gt;INDEX(_xlfn.ANCHORARRAY(Sintesi!$C$15),1,$C361))*($E361&lt;INDEX(_xlfn.ANCHORARRAY(Sintesi!$C$16),1,$C361))*(INDEX(_xlfn.ANCHORARRAY(Sintesi!$C$15),1,$C361)&gt;0),2,IF($E361=(INDEX(_xlfn.ANCHORARRAY(Sintesi!$C$16),1,$C361)),3,4)))),0)),IF(ISNUMBER($E360),IF($C361&gt;0,IF(($E361=INDEX(_xlfn.ANCHORARRAY(Sintesi!$C$14),1,$C361))*(INDEX(_xlfn.ANCHORARRAY(Sintesi!$C$15),1,$C361)&gt;0),0,IF(($E361=INDEX(_xlfn.ANCHORARRAY(Sintesi!$C$14),1,$C361))*(INDEX(_xlfn.ANCHORARRAY(Sintesi!$C$15),1,$C361)&lt;0)+($E361&gt;=$E360)*($E361&lt;=$E362)*($E361&gt;INDEX(_xlfn.ANCHORARRAY(Sintesi!$C$14),1,$C361))*($E361&lt;=INDEX(_xlfn.ANCHORARRAY(Sintesi!$C$15),1,$C361))*(INDEX(_xlfn.ANCHORARRAY(Sintesi!$C$15),1,$C361)&gt;0),1,IF(($E361&gt;=$E360)*($E361&lt;=$E362)*($E361&gt;INDEX(_xlfn.ANCHORARRAY(Sintesi!$C$14),1,$C361))*($E361&lt;INDEX(_xlfn.ANCHORARRAY(Sintesi!$C$16),1,$C361))*(INDEX(_xlfn.ANCHORARRAY(Sintesi!$C$15),1,$C361)&lt;0)+($E361&gt;=$E360)*($E361&lt;=$E362)*($E361&gt;INDEX(_xlfn.ANCHORARRAY(Sintesi!$C$15),1,$C361))*($E361&lt;INDEX(_xlfn.ANCHORARRAY(Sintesi!$C$16),1,$C361))*(INDEX(_xlfn.ANCHORARRAY(Sintesi!$C$15),1,$C361)&gt;0),2,IF($E361=(INDEX(_xlfn.ANCHORARRAY(Sintesi!$C$16),1,$C361)),3,4)))),0),IF($C361&gt;0,IF(($E361=INDEX(_xlfn.ANCHORARRAY(Sintesi!$C$14),1,$C361))*(INDEX(_xlfn.ANCHORARRAY(Sintesi!$C$15),1,$C361)&gt;0),0,IF(($E361=INDEX(_xlfn.ANCHORARRAY(Sintesi!$C$14),1,$C361))*(INDEX(_xlfn.ANCHORARRAY(Sintesi!$C$15),1,$C361)&lt;0)+($E361&gt;=LOOKUP(2,1/($E:$E&lt;&gt;""),$E:$E))*($E361&lt;=$E362)*($E361&gt;INDEX(_xlfn.ANCHORARRAY(Sintesi!$C$14),1,$C361))*($E361&lt;=INDEX(_xlfn.ANCHORARRAY(Sintesi!$C$15),1,$C361))*(INDEX(_xlfn.ANCHORARRAY(Sintesi!$C$15),1,$C361)&gt;0),1,IF(($E361&gt;=LOOKUP(2,1/($E:$E&lt;&gt;""),$E:$E))*($E361&lt;=$E362)*($E361&gt;INDEX(_xlfn.ANCHORARRAY(Sintesi!$C$14),1,$C361))*($E361&lt;INDEX(_xlfn.ANCHORARRAY(Sintesi!$C$16),1,$C361))*(INDEX(_xlfn.ANCHORARRAY(Sintesi!$C$15),1,$C361)&lt;0)+($E361&gt;=LOOKUP(2,1/($E:$E&lt;&gt;""),$E:$E))*($E361&lt;=$E362)*($E361&gt;INDEX(_xlfn.ANCHORARRAY(Sintesi!$C$15),1,$C361))*($E361&lt;INDEX(_xlfn.ANCHORARRAY(Sintesi!$C$16),1,$C361))*(INDEX(_xlfn.ANCHORARRAY(Sintesi!$C$15),1,$C361)&gt;0),2,IF($E361=(INDEX(_xlfn.ANCHORARRAY(Sintesi!$C$16),1,$C361)),3,4)))),0)))</f>
        <v>0</v>
      </c>
      <c r="E361" s="1">
        <f>'Paste cell here'!F361</f>
        <v>0</v>
      </c>
      <c r="F361" s="1">
        <f>'Paste cell here'!C361</f>
        <v>6.4399999999999142</v>
      </c>
      <c r="G361" s="1">
        <f>'Paste cell here'!D361</f>
        <v>-8.5209617139980764E-15</v>
      </c>
      <c r="H361" s="1">
        <f>'Paste cell here'!E361</f>
        <v>0.24419693934519973</v>
      </c>
      <c r="I361" s="1">
        <f>'Paste cell here'!X361</f>
        <v>0</v>
      </c>
      <c r="J361" s="1">
        <f>'Paste cell here'!Y361+'Paste cell here'!S361</f>
        <v>0</v>
      </c>
      <c r="K361" s="1">
        <f t="shared" si="10"/>
        <v>0</v>
      </c>
      <c r="L361" s="1">
        <f t="shared" si="11"/>
        <v>3.6799999999999469</v>
      </c>
      <c r="M361" s="1">
        <f t="array" ref="M361">IF(AND(A361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361&gt;=_xlfn.ANCHORARRAY(Sintesi!$C$9))+(_xlfn.ANCHORARRAY(Sintesi!$C$9)&gt;_xlfn.ANCHORARRAY(Sintesi!$C$10))*(A361&lt;=_xlfn.ANCHORARRAY(Sintesi!$C$10))+(_xlfn.ANCHORARRAY(Sintesi!$C$9)&lt;_xlfn.ANCHORARRAY(Sintesi!$C$10))*(A361&gt;=_xlfn.ANCHORARRAY(Sintesi!$C$9))*(A361&lt;=_xlfn.ANCHORARRAY(Sintesi!$C$10)),0)),0),A361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362&gt;=_xlfn.ANCHORARRAY(Sintesi!$C$9))+(_xlfn.ANCHORARRAY(Sintesi!$C$9)&gt;_xlfn.ANCHORARRAY(Sintesi!$C$10))*(A362&lt;=_xlfn.ANCHORARRAY(Sintesi!$C$10))+(_xlfn.ANCHORARRAY(Sintesi!$C$9)&lt;_xlfn.ANCHORARRAY(Sintesi!$C$10))*(A362&gt;=_xlfn.ANCHORARRAY(Sintesi!$C$9))*(A362&lt;=_xlfn.ANCHORARRAY(Sintesi!$C$10)),0)),0)),IF(L361&lt;_xlfn.IFNA(INDEX(_xlfn.ANCHORARRAY(Sintesi!$C$17),1,MATCH(1,(_xlfn.ANCHORARRAY(Sintesi!$C$9)&gt;_xlfn.ANCHORARRAY(Sintesi!$C$10))*(A360&gt;=_xlfn.ANCHORARRAY(Sintesi!$C$9))+(_xlfn.ANCHORARRAY(Sintesi!$C$9)&gt;_xlfn.ANCHORARRAY(Sintesi!$C$10))*(A360&lt;=_xlfn.ANCHORARRAY(Sintesi!$C$10))+(_xlfn.ANCHORARRAY(Sintesi!$C$9)&lt;_xlfn.ANCHORARRAY(Sintesi!$C$10))*(A360&gt;=_xlfn.ANCHORARRAY(Sintesi!$C$9))*(A360&lt;=_xlfn.ANCHORARRAY(Sintesi!$C$10)),0)),0),1,IF(L361&gt;=_xlfn.IFNA(INDEX(_xlfn.ANCHORARRAY(Sintesi!$C$18),1,MATCH(1,(_xlfn.ANCHORARRAY(Sintesi!$C$9)&gt;_xlfn.ANCHORARRAY(Sintesi!$C$10))*(A360&gt;=_xlfn.ANCHORARRAY(Sintesi!$C$9))+(_xlfn.ANCHORARRAY(Sintesi!$C$9)&gt;_xlfn.ANCHORARRAY(Sintesi!$C$10))*(A360&lt;=_xlfn.ANCHORARRAY(Sintesi!$C$10))+(_xlfn.ANCHORARRAY(Sintesi!$C$9)&lt;_xlfn.ANCHORARRAY(Sintesi!$C$10))*(A360&gt;=_xlfn.ANCHORARRAY(Sintesi!$C$9))*(A360&lt;=_xlfn.ANCHORARRAY(Sintesi!$C$10)),0)),0),0,1-(L361-_xlfn.IFNA(INDEX(_xlfn.ANCHORARRAY(Sintesi!$C$17),1,MATCH(1,(_xlfn.ANCHORARRAY(Sintesi!$C$9)&gt;_xlfn.ANCHORARRAY(Sintesi!$C$10))*(A360&gt;=_xlfn.ANCHORARRAY(Sintesi!$C$9))+(_xlfn.ANCHORARRAY(Sintesi!$C$9)&gt;_xlfn.ANCHORARRAY(Sintesi!$C$10))*(A360&lt;=_xlfn.ANCHORARRAY(Sintesi!$C$10))+(_xlfn.ANCHORARRAY(Sintesi!$C$9)&lt;_xlfn.ANCHORARRAY(Sintesi!$C$10))*(A360&gt;=_xlfn.ANCHORARRAY(Sintesi!$C$9))*(A360&lt;=_xlfn.ANCHORARRAY(Sintesi!$C$10)),0)),0))/(_xlfn.IFNA(INDEX(_xlfn.ANCHORARRAY(Sintesi!$C$18),1,MATCH(1,(_xlfn.ANCHORARRAY(Sintesi!$C$9)&gt;_xlfn.ANCHORARRAY(Sintesi!$C$10))*(A360&gt;=_xlfn.ANCHORARRAY(Sintesi!$C$9))+(_xlfn.ANCHORARRAY(Sintesi!$C$9)&gt;_xlfn.ANCHORARRAY(Sintesi!$C$10))*(A360&lt;=_xlfn.ANCHORARRAY(Sintesi!$C$10))+(_xlfn.ANCHORARRAY(Sintesi!$C$9)&lt;_xlfn.ANCHORARRAY(Sintesi!$C$10))*(A360&gt;=_xlfn.ANCHORARRAY(Sintesi!$C$9))*(A360&lt;=_xlfn.ANCHORARRAY(Sintesi!$C$10)),0)),0)-_xlfn.IFNA(INDEX(_xlfn.ANCHORARRAY(Sintesi!$C$17),1,MATCH(1,(_xlfn.ANCHORARRAY(Sintesi!$C$9)&gt;_xlfn.ANCHORARRAY(Sintesi!$C$10))*(A360&gt;=_xlfn.ANCHORARRAY(Sintesi!$C$9))+(_xlfn.ANCHORARRAY(Sintesi!$C$9)&gt;_xlfn.ANCHORARRAY(Sintesi!$C$10))*(A360&lt;=_xlfn.ANCHORARRAY(Sintesi!$C$10))+(_xlfn.ANCHORARRAY(Sintesi!$C$9)&lt;_xlfn.ANCHORARRAY(Sintesi!$C$10))*(A360&gt;=_xlfn.ANCHORARRAY(Sintesi!$C$9))*(A360&lt;=_xlfn.ANCHORARRAY(Sintesi!$C$10)),0)),0)))),0)</f>
        <v>0</v>
      </c>
    </row>
    <row r="362" spans="1:13">
      <c r="A362" s="1">
        <f>'Paste cell here'!A362</f>
        <v>361</v>
      </c>
      <c r="B362" s="2">
        <f>DATE(Sintesi!$C$4-1,12,31)+A362</f>
        <v>44557</v>
      </c>
      <c r="C362" s="34">
        <f t="array" ref="C362">_xlfn.IFNA(MATCH(1,((_xlfn.ANCHORARRAY(Sintesi!$C$9)&gt;_xlfn.ANCHORARRAY(Sintesi!$C$10))*(A362&gt;=_xlfn.ANCHORARRAY(Sintesi!$C$9))+(_xlfn.ANCHORARRAY(Sintesi!$C$9)&gt;_xlfn.ANCHORARRAY(Sintesi!$C$10))*(A362&lt;=_xlfn.ANCHORARRAY(Sintesi!$C$10))+(_xlfn.ANCHORARRAY(Sintesi!$C$9)&lt;_xlfn.ANCHORARRAY(Sintesi!$C$10))*(A362&gt;=_xlfn.ANCHORARRAY(Sintesi!$C$9))*(A362&lt;=_xlfn.ANCHORARRAY(Sintesi!$C$10)))*(_xlfn.ANCHORARRAY(Sintesi!$C$15)&gt;=0)+(_xlfn.ANCHORARRAY(Sintesi!$C$15)&lt;0),0),0)</f>
        <v>0</v>
      </c>
      <c r="D362" s="1">
        <f t="array" ref="D362">IF(ISBLANK($E363),IF(ISNUMBER($E361),IF($C362&gt;0,IF(($E362=INDEX(_xlfn.ANCHORARRAY(Sintesi!$C$14),1,$C362))*(INDEX(_xlfn.ANCHORARRAY(Sintesi!$C$15),1,$C362)&gt;0),0,IF(($E362=INDEX(_xlfn.ANCHORARRAY(Sintesi!$C$14),1,$C362))*(INDEX(_xlfn.ANCHORARRAY(Sintesi!$C$15),1,$C362)&lt;0)+($E362&gt;=$E361)*($E362&lt;=INDEX($E:$E,MATCH(TRUE,INDEX((ISNUMBER($E:$E)),0),0)))*($E362&gt;INDEX(_xlfn.ANCHORARRAY(Sintesi!$C$14),1,$C362))*($E362&lt;=INDEX(_xlfn.ANCHORARRAY(Sintesi!$C$15),1,$C362))*(INDEX(_xlfn.ANCHORARRAY(Sintesi!$C$15),1,$C362)&gt;0),1,IF(($E362&gt;=$E361)*($E362&lt;=INDEX($E:$E,MATCH(TRUE,INDEX((ISNUMBER($E:$E)),0),0)))*($E362&gt;INDEX(_xlfn.ANCHORARRAY(Sintesi!$C$14),1,$C362))*($E362&lt;INDEX(_xlfn.ANCHORARRAY(Sintesi!$C$16),1,$C362))*(INDEX(_xlfn.ANCHORARRAY(Sintesi!$C$15),1,$C362)&lt;0)+($E362&gt;=$E361)*($E362&lt;=INDEX($E:$E,MATCH(TRUE,INDEX((ISNUMBER($E:$E)),0),0)))*($E362&gt;INDEX(_xlfn.ANCHORARRAY(Sintesi!$C$15),1,$C362))*($E362&lt;INDEX(_xlfn.ANCHORARRAY(Sintesi!$C$16),1,$C362))*(INDEX(_xlfn.ANCHORARRAY(Sintesi!$C$15),1,$C362)&gt;0),2,IF($E362=(INDEX(_xlfn.ANCHORARRAY(Sintesi!$C$16),1,$C362)),3,4)))),0),IF($C362&gt;0,IF(($E362=INDEX(_xlfn.ANCHORARRAY(Sintesi!$C$14),1,$C362))*(INDEX(_xlfn.ANCHORARRAY(Sintesi!$C$15),1,$C362)&gt;0),0,IF(($E362=INDEX(_xlfn.ANCHORARRAY(Sintesi!$C$14),1,$C362))*(INDEX(_xlfn.ANCHORARRAY(Sintesi!$C$15),1,$C362)&lt;0)+($E362&gt;=LOOKUP(2,1/($E:$E&lt;&gt;""),$E:$E))*($E362&lt;=INDEX($E:$E,MATCH(TRUE,INDEX((ISNUMBER($E:$E)),0),0)))*($E362&gt;INDEX(_xlfn.ANCHORARRAY(Sintesi!$C$14),1,$C362))*($E362&lt;=INDEX(_xlfn.ANCHORARRAY(Sintesi!$C$15),1,$C362))*(INDEX(_xlfn.ANCHORARRAY(Sintesi!$C$15),1,$C362)&gt;0),1,IF(($E362&gt;=LOOKUP(2,1/($E:$E&lt;&gt;""),$E:$E))*($E362&lt;=INDEX($E:$E,MATCH(TRUE,INDEX((ISNUMBER($E:$E)),0),0)))*($E362&gt;INDEX(_xlfn.ANCHORARRAY(Sintesi!$C$14),1,$C362))*($E362&lt;INDEX(_xlfn.ANCHORARRAY(Sintesi!$C$16),1,$C362))*(INDEX(_xlfn.ANCHORARRAY(Sintesi!$C$15),1,$C362)&lt;0)+($E362&gt;=LOOKUP(2,1/($E:$E&lt;&gt;""),$E:$E))*($E362&lt;=INDEX($E:$E,MATCH(TRUE,INDEX((ISNUMBER($E:$E)),0),0)))*($E362&gt;INDEX(_xlfn.ANCHORARRAY(Sintesi!$C$15),1,$C362))*($E362&lt;INDEX(_xlfn.ANCHORARRAY(Sintesi!$C$16),1,$C362))*(INDEX(_xlfn.ANCHORARRAY(Sintesi!$C$15),1,$C362)&gt;0),2,IF($E362=(INDEX(_xlfn.ANCHORARRAY(Sintesi!$C$16),1,$C362)),3,4)))),0)),IF(ISNUMBER($E361),IF($C362&gt;0,IF(($E362=INDEX(_xlfn.ANCHORARRAY(Sintesi!$C$14),1,$C362))*(INDEX(_xlfn.ANCHORARRAY(Sintesi!$C$15),1,$C362)&gt;0),0,IF(($E362=INDEX(_xlfn.ANCHORARRAY(Sintesi!$C$14),1,$C362))*(INDEX(_xlfn.ANCHORARRAY(Sintesi!$C$15),1,$C362)&lt;0)+($E362&gt;=$E361)*($E362&lt;=$E363)*($E362&gt;INDEX(_xlfn.ANCHORARRAY(Sintesi!$C$14),1,$C362))*($E362&lt;=INDEX(_xlfn.ANCHORARRAY(Sintesi!$C$15),1,$C362))*(INDEX(_xlfn.ANCHORARRAY(Sintesi!$C$15),1,$C362)&gt;0),1,IF(($E362&gt;=$E361)*($E362&lt;=$E363)*($E362&gt;INDEX(_xlfn.ANCHORARRAY(Sintesi!$C$14),1,$C362))*($E362&lt;INDEX(_xlfn.ANCHORARRAY(Sintesi!$C$16),1,$C362))*(INDEX(_xlfn.ANCHORARRAY(Sintesi!$C$15),1,$C362)&lt;0)+($E362&gt;=$E361)*($E362&lt;=$E363)*($E362&gt;INDEX(_xlfn.ANCHORARRAY(Sintesi!$C$15),1,$C362))*($E362&lt;INDEX(_xlfn.ANCHORARRAY(Sintesi!$C$16),1,$C362))*(INDEX(_xlfn.ANCHORARRAY(Sintesi!$C$15),1,$C362)&gt;0),2,IF($E362=(INDEX(_xlfn.ANCHORARRAY(Sintesi!$C$16),1,$C362)),3,4)))),0),IF($C362&gt;0,IF(($E362=INDEX(_xlfn.ANCHORARRAY(Sintesi!$C$14),1,$C362))*(INDEX(_xlfn.ANCHORARRAY(Sintesi!$C$15),1,$C362)&gt;0),0,IF(($E362=INDEX(_xlfn.ANCHORARRAY(Sintesi!$C$14),1,$C362))*(INDEX(_xlfn.ANCHORARRAY(Sintesi!$C$15),1,$C362)&lt;0)+($E362&gt;=LOOKUP(2,1/($E:$E&lt;&gt;""),$E:$E))*($E362&lt;=$E363)*($E362&gt;INDEX(_xlfn.ANCHORARRAY(Sintesi!$C$14),1,$C362))*($E362&lt;=INDEX(_xlfn.ANCHORARRAY(Sintesi!$C$15),1,$C362))*(INDEX(_xlfn.ANCHORARRAY(Sintesi!$C$15),1,$C362)&gt;0),1,IF(($E362&gt;=LOOKUP(2,1/($E:$E&lt;&gt;""),$E:$E))*($E362&lt;=$E363)*($E362&gt;INDEX(_xlfn.ANCHORARRAY(Sintesi!$C$14),1,$C362))*($E362&lt;INDEX(_xlfn.ANCHORARRAY(Sintesi!$C$16),1,$C362))*(INDEX(_xlfn.ANCHORARRAY(Sintesi!$C$15),1,$C362)&lt;0)+($E362&gt;=LOOKUP(2,1/($E:$E&lt;&gt;""),$E:$E))*($E362&lt;=$E363)*($E362&gt;INDEX(_xlfn.ANCHORARRAY(Sintesi!$C$15),1,$C362))*($E362&lt;INDEX(_xlfn.ANCHORARRAY(Sintesi!$C$16),1,$C362))*(INDEX(_xlfn.ANCHORARRAY(Sintesi!$C$15),1,$C362)&gt;0),2,IF($E362=(INDEX(_xlfn.ANCHORARRAY(Sintesi!$C$16),1,$C362)),3,4)))),0)))</f>
        <v>0</v>
      </c>
      <c r="E362" s="1">
        <f>'Paste cell here'!F362</f>
        <v>0</v>
      </c>
      <c r="F362" s="1">
        <f>'Paste cell here'!C362</f>
        <v>6.0999999999999091</v>
      </c>
      <c r="G362" s="1">
        <f>'Paste cell here'!D362</f>
        <v>2.69999999999997</v>
      </c>
      <c r="H362" s="1">
        <f>'Paste cell here'!E362</f>
        <v>0.33194515855643142</v>
      </c>
      <c r="I362" s="1">
        <f>'Paste cell here'!X362</f>
        <v>0</v>
      </c>
      <c r="J362" s="1">
        <f>'Paste cell here'!Y362+'Paste cell here'!S362</f>
        <v>0</v>
      </c>
      <c r="K362" s="1">
        <f t="shared" si="10"/>
        <v>0</v>
      </c>
      <c r="L362" s="1">
        <f t="shared" si="11"/>
        <v>4.6428571428570775</v>
      </c>
      <c r="M362" s="1">
        <f t="array" ref="M362">IF(AND(A362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362&gt;=_xlfn.ANCHORARRAY(Sintesi!$C$9))+(_xlfn.ANCHORARRAY(Sintesi!$C$9)&gt;_xlfn.ANCHORARRAY(Sintesi!$C$10))*(A362&lt;=_xlfn.ANCHORARRAY(Sintesi!$C$10))+(_xlfn.ANCHORARRAY(Sintesi!$C$9)&lt;_xlfn.ANCHORARRAY(Sintesi!$C$10))*(A362&gt;=_xlfn.ANCHORARRAY(Sintesi!$C$9))*(A362&lt;=_xlfn.ANCHORARRAY(Sintesi!$C$10)),0)),0),A362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363&gt;=_xlfn.ANCHORARRAY(Sintesi!$C$9))+(_xlfn.ANCHORARRAY(Sintesi!$C$9)&gt;_xlfn.ANCHORARRAY(Sintesi!$C$10))*(A363&lt;=_xlfn.ANCHORARRAY(Sintesi!$C$10))+(_xlfn.ANCHORARRAY(Sintesi!$C$9)&lt;_xlfn.ANCHORARRAY(Sintesi!$C$10))*(A363&gt;=_xlfn.ANCHORARRAY(Sintesi!$C$9))*(A363&lt;=_xlfn.ANCHORARRAY(Sintesi!$C$10)),0)),0)),IF(L362&lt;_xlfn.IFNA(INDEX(_xlfn.ANCHORARRAY(Sintesi!$C$17),1,MATCH(1,(_xlfn.ANCHORARRAY(Sintesi!$C$9)&gt;_xlfn.ANCHORARRAY(Sintesi!$C$10))*(A361&gt;=_xlfn.ANCHORARRAY(Sintesi!$C$9))+(_xlfn.ANCHORARRAY(Sintesi!$C$9)&gt;_xlfn.ANCHORARRAY(Sintesi!$C$10))*(A361&lt;=_xlfn.ANCHORARRAY(Sintesi!$C$10))+(_xlfn.ANCHORARRAY(Sintesi!$C$9)&lt;_xlfn.ANCHORARRAY(Sintesi!$C$10))*(A361&gt;=_xlfn.ANCHORARRAY(Sintesi!$C$9))*(A361&lt;=_xlfn.ANCHORARRAY(Sintesi!$C$10)),0)),0),1,IF(L362&gt;=_xlfn.IFNA(INDEX(_xlfn.ANCHORARRAY(Sintesi!$C$18),1,MATCH(1,(_xlfn.ANCHORARRAY(Sintesi!$C$9)&gt;_xlfn.ANCHORARRAY(Sintesi!$C$10))*(A361&gt;=_xlfn.ANCHORARRAY(Sintesi!$C$9))+(_xlfn.ANCHORARRAY(Sintesi!$C$9)&gt;_xlfn.ANCHORARRAY(Sintesi!$C$10))*(A361&lt;=_xlfn.ANCHORARRAY(Sintesi!$C$10))+(_xlfn.ANCHORARRAY(Sintesi!$C$9)&lt;_xlfn.ANCHORARRAY(Sintesi!$C$10))*(A361&gt;=_xlfn.ANCHORARRAY(Sintesi!$C$9))*(A361&lt;=_xlfn.ANCHORARRAY(Sintesi!$C$10)),0)),0),0,1-(L362-_xlfn.IFNA(INDEX(_xlfn.ANCHORARRAY(Sintesi!$C$17),1,MATCH(1,(_xlfn.ANCHORARRAY(Sintesi!$C$9)&gt;_xlfn.ANCHORARRAY(Sintesi!$C$10))*(A361&gt;=_xlfn.ANCHORARRAY(Sintesi!$C$9))+(_xlfn.ANCHORARRAY(Sintesi!$C$9)&gt;_xlfn.ANCHORARRAY(Sintesi!$C$10))*(A361&lt;=_xlfn.ANCHORARRAY(Sintesi!$C$10))+(_xlfn.ANCHORARRAY(Sintesi!$C$9)&lt;_xlfn.ANCHORARRAY(Sintesi!$C$10))*(A361&gt;=_xlfn.ANCHORARRAY(Sintesi!$C$9))*(A361&lt;=_xlfn.ANCHORARRAY(Sintesi!$C$10)),0)),0))/(_xlfn.IFNA(INDEX(_xlfn.ANCHORARRAY(Sintesi!$C$18),1,MATCH(1,(_xlfn.ANCHORARRAY(Sintesi!$C$9)&gt;_xlfn.ANCHORARRAY(Sintesi!$C$10))*(A361&gt;=_xlfn.ANCHORARRAY(Sintesi!$C$9))+(_xlfn.ANCHORARRAY(Sintesi!$C$9)&gt;_xlfn.ANCHORARRAY(Sintesi!$C$10))*(A361&lt;=_xlfn.ANCHORARRAY(Sintesi!$C$10))+(_xlfn.ANCHORARRAY(Sintesi!$C$9)&lt;_xlfn.ANCHORARRAY(Sintesi!$C$10))*(A361&gt;=_xlfn.ANCHORARRAY(Sintesi!$C$9))*(A361&lt;=_xlfn.ANCHORARRAY(Sintesi!$C$10)),0)),0)-_xlfn.IFNA(INDEX(_xlfn.ANCHORARRAY(Sintesi!$C$17),1,MATCH(1,(_xlfn.ANCHORARRAY(Sintesi!$C$9)&gt;_xlfn.ANCHORARRAY(Sintesi!$C$10))*(A361&gt;=_xlfn.ANCHORARRAY(Sintesi!$C$9))+(_xlfn.ANCHORARRAY(Sintesi!$C$9)&gt;_xlfn.ANCHORARRAY(Sintesi!$C$10))*(A361&lt;=_xlfn.ANCHORARRAY(Sintesi!$C$10))+(_xlfn.ANCHORARRAY(Sintesi!$C$9)&lt;_xlfn.ANCHORARRAY(Sintesi!$C$10))*(A361&gt;=_xlfn.ANCHORARRAY(Sintesi!$C$9))*(A361&lt;=_xlfn.ANCHORARRAY(Sintesi!$C$10)),0)),0)))),0)</f>
        <v>0</v>
      </c>
    </row>
    <row r="363" spans="1:13">
      <c r="A363" s="1">
        <f>'Paste cell here'!A363</f>
        <v>362</v>
      </c>
      <c r="B363" s="2">
        <f>DATE(Sintesi!$C$4-1,12,31)+A363</f>
        <v>44558</v>
      </c>
      <c r="C363" s="34">
        <f t="array" ref="C363">_xlfn.IFNA(MATCH(1,((_xlfn.ANCHORARRAY(Sintesi!$C$9)&gt;_xlfn.ANCHORARRAY(Sintesi!$C$10))*(A363&gt;=_xlfn.ANCHORARRAY(Sintesi!$C$9))+(_xlfn.ANCHORARRAY(Sintesi!$C$9)&gt;_xlfn.ANCHORARRAY(Sintesi!$C$10))*(A363&lt;=_xlfn.ANCHORARRAY(Sintesi!$C$10))+(_xlfn.ANCHORARRAY(Sintesi!$C$9)&lt;_xlfn.ANCHORARRAY(Sintesi!$C$10))*(A363&gt;=_xlfn.ANCHORARRAY(Sintesi!$C$9))*(A363&lt;=_xlfn.ANCHORARRAY(Sintesi!$C$10)))*(_xlfn.ANCHORARRAY(Sintesi!$C$15)&gt;=0)+(_xlfn.ANCHORARRAY(Sintesi!$C$15)&lt;0),0),0)</f>
        <v>0</v>
      </c>
      <c r="D363" s="1">
        <f t="array" ref="D363">IF(ISBLANK($E364),IF(ISNUMBER($E362),IF($C363&gt;0,IF(($E363=INDEX(_xlfn.ANCHORARRAY(Sintesi!$C$14),1,$C363))*(INDEX(_xlfn.ANCHORARRAY(Sintesi!$C$15),1,$C363)&gt;0),0,IF(($E363=INDEX(_xlfn.ANCHORARRAY(Sintesi!$C$14),1,$C363))*(INDEX(_xlfn.ANCHORARRAY(Sintesi!$C$15),1,$C363)&lt;0)+($E363&gt;=$E362)*($E363&lt;=INDEX($E:$E,MATCH(TRUE,INDEX((ISNUMBER($E:$E)),0),0)))*($E363&gt;INDEX(_xlfn.ANCHORARRAY(Sintesi!$C$14),1,$C363))*($E363&lt;=INDEX(_xlfn.ANCHORARRAY(Sintesi!$C$15),1,$C363))*(INDEX(_xlfn.ANCHORARRAY(Sintesi!$C$15),1,$C363)&gt;0),1,IF(($E363&gt;=$E362)*($E363&lt;=INDEX($E:$E,MATCH(TRUE,INDEX((ISNUMBER($E:$E)),0),0)))*($E363&gt;INDEX(_xlfn.ANCHORARRAY(Sintesi!$C$14),1,$C363))*($E363&lt;INDEX(_xlfn.ANCHORARRAY(Sintesi!$C$16),1,$C363))*(INDEX(_xlfn.ANCHORARRAY(Sintesi!$C$15),1,$C363)&lt;0)+($E363&gt;=$E362)*($E363&lt;=INDEX($E:$E,MATCH(TRUE,INDEX((ISNUMBER($E:$E)),0),0)))*($E363&gt;INDEX(_xlfn.ANCHORARRAY(Sintesi!$C$15),1,$C363))*($E363&lt;INDEX(_xlfn.ANCHORARRAY(Sintesi!$C$16),1,$C363))*(INDEX(_xlfn.ANCHORARRAY(Sintesi!$C$15),1,$C363)&gt;0),2,IF($E363=(INDEX(_xlfn.ANCHORARRAY(Sintesi!$C$16),1,$C363)),3,4)))),0),IF($C363&gt;0,IF(($E363=INDEX(_xlfn.ANCHORARRAY(Sintesi!$C$14),1,$C363))*(INDEX(_xlfn.ANCHORARRAY(Sintesi!$C$15),1,$C363)&gt;0),0,IF(($E363=INDEX(_xlfn.ANCHORARRAY(Sintesi!$C$14),1,$C363))*(INDEX(_xlfn.ANCHORARRAY(Sintesi!$C$15),1,$C363)&lt;0)+($E363&gt;=LOOKUP(2,1/($E:$E&lt;&gt;""),$E:$E))*($E363&lt;=INDEX($E:$E,MATCH(TRUE,INDEX((ISNUMBER($E:$E)),0),0)))*($E363&gt;INDEX(_xlfn.ANCHORARRAY(Sintesi!$C$14),1,$C363))*($E363&lt;=INDEX(_xlfn.ANCHORARRAY(Sintesi!$C$15),1,$C363))*(INDEX(_xlfn.ANCHORARRAY(Sintesi!$C$15),1,$C363)&gt;0),1,IF(($E363&gt;=LOOKUP(2,1/($E:$E&lt;&gt;""),$E:$E))*($E363&lt;=INDEX($E:$E,MATCH(TRUE,INDEX((ISNUMBER($E:$E)),0),0)))*($E363&gt;INDEX(_xlfn.ANCHORARRAY(Sintesi!$C$14),1,$C363))*($E363&lt;INDEX(_xlfn.ANCHORARRAY(Sintesi!$C$16),1,$C363))*(INDEX(_xlfn.ANCHORARRAY(Sintesi!$C$15),1,$C363)&lt;0)+($E363&gt;=LOOKUP(2,1/($E:$E&lt;&gt;""),$E:$E))*($E363&lt;=INDEX($E:$E,MATCH(TRUE,INDEX((ISNUMBER($E:$E)),0),0)))*($E363&gt;INDEX(_xlfn.ANCHORARRAY(Sintesi!$C$15),1,$C363))*($E363&lt;INDEX(_xlfn.ANCHORARRAY(Sintesi!$C$16),1,$C363))*(INDEX(_xlfn.ANCHORARRAY(Sintesi!$C$15),1,$C363)&gt;0),2,IF($E363=(INDEX(_xlfn.ANCHORARRAY(Sintesi!$C$16),1,$C363)),3,4)))),0)),IF(ISNUMBER($E362),IF($C363&gt;0,IF(($E363=INDEX(_xlfn.ANCHORARRAY(Sintesi!$C$14),1,$C363))*(INDEX(_xlfn.ANCHORARRAY(Sintesi!$C$15),1,$C363)&gt;0),0,IF(($E363=INDEX(_xlfn.ANCHORARRAY(Sintesi!$C$14),1,$C363))*(INDEX(_xlfn.ANCHORARRAY(Sintesi!$C$15),1,$C363)&lt;0)+($E363&gt;=$E362)*($E363&lt;=$E364)*($E363&gt;INDEX(_xlfn.ANCHORARRAY(Sintesi!$C$14),1,$C363))*($E363&lt;=INDEX(_xlfn.ANCHORARRAY(Sintesi!$C$15),1,$C363))*(INDEX(_xlfn.ANCHORARRAY(Sintesi!$C$15),1,$C363)&gt;0),1,IF(($E363&gt;=$E362)*($E363&lt;=$E364)*($E363&gt;INDEX(_xlfn.ANCHORARRAY(Sintesi!$C$14),1,$C363))*($E363&lt;INDEX(_xlfn.ANCHORARRAY(Sintesi!$C$16),1,$C363))*(INDEX(_xlfn.ANCHORARRAY(Sintesi!$C$15),1,$C363)&lt;0)+($E363&gt;=$E362)*($E363&lt;=$E364)*($E363&gt;INDEX(_xlfn.ANCHORARRAY(Sintesi!$C$15),1,$C363))*($E363&lt;INDEX(_xlfn.ANCHORARRAY(Sintesi!$C$16),1,$C363))*(INDEX(_xlfn.ANCHORARRAY(Sintesi!$C$15),1,$C363)&gt;0),2,IF($E363=(INDEX(_xlfn.ANCHORARRAY(Sintesi!$C$16),1,$C363)),3,4)))),0),IF($C363&gt;0,IF(($E363=INDEX(_xlfn.ANCHORARRAY(Sintesi!$C$14),1,$C363))*(INDEX(_xlfn.ANCHORARRAY(Sintesi!$C$15),1,$C363)&gt;0),0,IF(($E363=INDEX(_xlfn.ANCHORARRAY(Sintesi!$C$14),1,$C363))*(INDEX(_xlfn.ANCHORARRAY(Sintesi!$C$15),1,$C363)&lt;0)+($E363&gt;=LOOKUP(2,1/($E:$E&lt;&gt;""),$E:$E))*($E363&lt;=$E364)*($E363&gt;INDEX(_xlfn.ANCHORARRAY(Sintesi!$C$14),1,$C363))*($E363&lt;=INDEX(_xlfn.ANCHORARRAY(Sintesi!$C$15),1,$C363))*(INDEX(_xlfn.ANCHORARRAY(Sintesi!$C$15),1,$C363)&gt;0),1,IF(($E363&gt;=LOOKUP(2,1/($E:$E&lt;&gt;""),$E:$E))*($E363&lt;=$E364)*($E363&gt;INDEX(_xlfn.ANCHORARRAY(Sintesi!$C$14),1,$C363))*($E363&lt;INDEX(_xlfn.ANCHORARRAY(Sintesi!$C$16),1,$C363))*(INDEX(_xlfn.ANCHORARRAY(Sintesi!$C$15),1,$C363)&lt;0)+($E363&gt;=LOOKUP(2,1/($E:$E&lt;&gt;""),$E:$E))*($E363&lt;=$E364)*($E363&gt;INDEX(_xlfn.ANCHORARRAY(Sintesi!$C$15),1,$C363))*($E363&lt;INDEX(_xlfn.ANCHORARRAY(Sintesi!$C$16),1,$C363))*(INDEX(_xlfn.ANCHORARRAY(Sintesi!$C$15),1,$C363)&gt;0),2,IF($E363=(INDEX(_xlfn.ANCHORARRAY(Sintesi!$C$16),1,$C363)),3,4)))),0)))</f>
        <v>0</v>
      </c>
      <c r="E363" s="1">
        <f>'Paste cell here'!F363</f>
        <v>0</v>
      </c>
      <c r="F363" s="1">
        <f>'Paste cell here'!C363</f>
        <v>8.7999999999998799</v>
      </c>
      <c r="G363" s="1">
        <f>'Paste cell here'!D363</f>
        <v>3.7799999999999727</v>
      </c>
      <c r="H363" s="1">
        <f>'Paste cell here'!E363</f>
        <v>0.34088655035367321</v>
      </c>
      <c r="I363" s="1">
        <f>'Paste cell here'!X363</f>
        <v>0</v>
      </c>
      <c r="J363" s="1">
        <f>'Paste cell here'!Y363+'Paste cell here'!S363</f>
        <v>0</v>
      </c>
      <c r="K363" s="1">
        <f t="shared" si="10"/>
        <v>0</v>
      </c>
      <c r="L363" s="1">
        <f t="shared" si="11"/>
        <v>6.6485714285713486</v>
      </c>
      <c r="M363" s="1">
        <f t="array" ref="M363">IF(AND(A363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363&gt;=_xlfn.ANCHORARRAY(Sintesi!$C$9))+(_xlfn.ANCHORARRAY(Sintesi!$C$9)&gt;_xlfn.ANCHORARRAY(Sintesi!$C$10))*(A363&lt;=_xlfn.ANCHORARRAY(Sintesi!$C$10))+(_xlfn.ANCHORARRAY(Sintesi!$C$9)&lt;_xlfn.ANCHORARRAY(Sintesi!$C$10))*(A363&gt;=_xlfn.ANCHORARRAY(Sintesi!$C$9))*(A363&lt;=_xlfn.ANCHORARRAY(Sintesi!$C$10)),0)),0),A363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364&gt;=_xlfn.ANCHORARRAY(Sintesi!$C$9))+(_xlfn.ANCHORARRAY(Sintesi!$C$9)&gt;_xlfn.ANCHORARRAY(Sintesi!$C$10))*(A364&lt;=_xlfn.ANCHORARRAY(Sintesi!$C$10))+(_xlfn.ANCHORARRAY(Sintesi!$C$9)&lt;_xlfn.ANCHORARRAY(Sintesi!$C$10))*(A364&gt;=_xlfn.ANCHORARRAY(Sintesi!$C$9))*(A364&lt;=_xlfn.ANCHORARRAY(Sintesi!$C$10)),0)),0)),IF(L363&lt;_xlfn.IFNA(INDEX(_xlfn.ANCHORARRAY(Sintesi!$C$17),1,MATCH(1,(_xlfn.ANCHORARRAY(Sintesi!$C$9)&gt;_xlfn.ANCHORARRAY(Sintesi!$C$10))*(A362&gt;=_xlfn.ANCHORARRAY(Sintesi!$C$9))+(_xlfn.ANCHORARRAY(Sintesi!$C$9)&gt;_xlfn.ANCHORARRAY(Sintesi!$C$10))*(A362&lt;=_xlfn.ANCHORARRAY(Sintesi!$C$10))+(_xlfn.ANCHORARRAY(Sintesi!$C$9)&lt;_xlfn.ANCHORARRAY(Sintesi!$C$10))*(A362&gt;=_xlfn.ANCHORARRAY(Sintesi!$C$9))*(A362&lt;=_xlfn.ANCHORARRAY(Sintesi!$C$10)),0)),0),1,IF(L363&gt;=_xlfn.IFNA(INDEX(_xlfn.ANCHORARRAY(Sintesi!$C$18),1,MATCH(1,(_xlfn.ANCHORARRAY(Sintesi!$C$9)&gt;_xlfn.ANCHORARRAY(Sintesi!$C$10))*(A362&gt;=_xlfn.ANCHORARRAY(Sintesi!$C$9))+(_xlfn.ANCHORARRAY(Sintesi!$C$9)&gt;_xlfn.ANCHORARRAY(Sintesi!$C$10))*(A362&lt;=_xlfn.ANCHORARRAY(Sintesi!$C$10))+(_xlfn.ANCHORARRAY(Sintesi!$C$9)&lt;_xlfn.ANCHORARRAY(Sintesi!$C$10))*(A362&gt;=_xlfn.ANCHORARRAY(Sintesi!$C$9))*(A362&lt;=_xlfn.ANCHORARRAY(Sintesi!$C$10)),0)),0),0,1-(L363-_xlfn.IFNA(INDEX(_xlfn.ANCHORARRAY(Sintesi!$C$17),1,MATCH(1,(_xlfn.ANCHORARRAY(Sintesi!$C$9)&gt;_xlfn.ANCHORARRAY(Sintesi!$C$10))*(A362&gt;=_xlfn.ANCHORARRAY(Sintesi!$C$9))+(_xlfn.ANCHORARRAY(Sintesi!$C$9)&gt;_xlfn.ANCHORARRAY(Sintesi!$C$10))*(A362&lt;=_xlfn.ANCHORARRAY(Sintesi!$C$10))+(_xlfn.ANCHORARRAY(Sintesi!$C$9)&lt;_xlfn.ANCHORARRAY(Sintesi!$C$10))*(A362&gt;=_xlfn.ANCHORARRAY(Sintesi!$C$9))*(A362&lt;=_xlfn.ANCHORARRAY(Sintesi!$C$10)),0)),0))/(_xlfn.IFNA(INDEX(_xlfn.ANCHORARRAY(Sintesi!$C$18),1,MATCH(1,(_xlfn.ANCHORARRAY(Sintesi!$C$9)&gt;_xlfn.ANCHORARRAY(Sintesi!$C$10))*(A362&gt;=_xlfn.ANCHORARRAY(Sintesi!$C$9))+(_xlfn.ANCHORARRAY(Sintesi!$C$9)&gt;_xlfn.ANCHORARRAY(Sintesi!$C$10))*(A362&lt;=_xlfn.ANCHORARRAY(Sintesi!$C$10))+(_xlfn.ANCHORARRAY(Sintesi!$C$9)&lt;_xlfn.ANCHORARRAY(Sintesi!$C$10))*(A362&gt;=_xlfn.ANCHORARRAY(Sintesi!$C$9))*(A362&lt;=_xlfn.ANCHORARRAY(Sintesi!$C$10)),0)),0)-_xlfn.IFNA(INDEX(_xlfn.ANCHORARRAY(Sintesi!$C$17),1,MATCH(1,(_xlfn.ANCHORARRAY(Sintesi!$C$9)&gt;_xlfn.ANCHORARRAY(Sintesi!$C$10))*(A362&gt;=_xlfn.ANCHORARRAY(Sintesi!$C$9))+(_xlfn.ANCHORARRAY(Sintesi!$C$9)&gt;_xlfn.ANCHORARRAY(Sintesi!$C$10))*(A362&lt;=_xlfn.ANCHORARRAY(Sintesi!$C$10))+(_xlfn.ANCHORARRAY(Sintesi!$C$9)&lt;_xlfn.ANCHORARRAY(Sintesi!$C$10))*(A362&gt;=_xlfn.ANCHORARRAY(Sintesi!$C$9))*(A362&lt;=_xlfn.ANCHORARRAY(Sintesi!$C$10)),0)),0)))),0)</f>
        <v>0</v>
      </c>
    </row>
    <row r="364" spans="1:13">
      <c r="A364" s="1">
        <f>'Paste cell here'!A364</f>
        <v>363</v>
      </c>
      <c r="B364" s="2">
        <f>DATE(Sintesi!$C$4-1,12,31)+A364</f>
        <v>44559</v>
      </c>
      <c r="C364" s="34">
        <f t="array" ref="C364">_xlfn.IFNA(MATCH(1,((_xlfn.ANCHORARRAY(Sintesi!$C$9)&gt;_xlfn.ANCHORARRAY(Sintesi!$C$10))*(A364&gt;=_xlfn.ANCHORARRAY(Sintesi!$C$9))+(_xlfn.ANCHORARRAY(Sintesi!$C$9)&gt;_xlfn.ANCHORARRAY(Sintesi!$C$10))*(A364&lt;=_xlfn.ANCHORARRAY(Sintesi!$C$10))+(_xlfn.ANCHORARRAY(Sintesi!$C$9)&lt;_xlfn.ANCHORARRAY(Sintesi!$C$10))*(A364&gt;=_xlfn.ANCHORARRAY(Sintesi!$C$9))*(A364&lt;=_xlfn.ANCHORARRAY(Sintesi!$C$10)))*(_xlfn.ANCHORARRAY(Sintesi!$C$15)&gt;=0)+(_xlfn.ANCHORARRAY(Sintesi!$C$15)&lt;0),0),0)</f>
        <v>0</v>
      </c>
      <c r="D364" s="1">
        <f t="array" ref="D364">IF(ISBLANK($E365),IF(ISNUMBER($E363),IF($C364&gt;0,IF(($E364=INDEX(_xlfn.ANCHORARRAY(Sintesi!$C$14),1,$C364))*(INDEX(_xlfn.ANCHORARRAY(Sintesi!$C$15),1,$C364)&gt;0),0,IF(($E364=INDEX(_xlfn.ANCHORARRAY(Sintesi!$C$14),1,$C364))*(INDEX(_xlfn.ANCHORARRAY(Sintesi!$C$15),1,$C364)&lt;0)+($E364&gt;=$E363)*($E364&lt;=INDEX($E:$E,MATCH(TRUE,INDEX((ISNUMBER($E:$E)),0),0)))*($E364&gt;INDEX(_xlfn.ANCHORARRAY(Sintesi!$C$14),1,$C364))*($E364&lt;=INDEX(_xlfn.ANCHORARRAY(Sintesi!$C$15),1,$C364))*(INDEX(_xlfn.ANCHORARRAY(Sintesi!$C$15),1,$C364)&gt;0),1,IF(($E364&gt;=$E363)*($E364&lt;=INDEX($E:$E,MATCH(TRUE,INDEX((ISNUMBER($E:$E)),0),0)))*($E364&gt;INDEX(_xlfn.ANCHORARRAY(Sintesi!$C$14),1,$C364))*($E364&lt;INDEX(_xlfn.ANCHORARRAY(Sintesi!$C$16),1,$C364))*(INDEX(_xlfn.ANCHORARRAY(Sintesi!$C$15),1,$C364)&lt;0)+($E364&gt;=$E363)*($E364&lt;=INDEX($E:$E,MATCH(TRUE,INDEX((ISNUMBER($E:$E)),0),0)))*($E364&gt;INDEX(_xlfn.ANCHORARRAY(Sintesi!$C$15),1,$C364))*($E364&lt;INDEX(_xlfn.ANCHORARRAY(Sintesi!$C$16),1,$C364))*(INDEX(_xlfn.ANCHORARRAY(Sintesi!$C$15),1,$C364)&gt;0),2,IF($E364=(INDEX(_xlfn.ANCHORARRAY(Sintesi!$C$16),1,$C364)),3,4)))),0),IF($C364&gt;0,IF(($E364=INDEX(_xlfn.ANCHORARRAY(Sintesi!$C$14),1,$C364))*(INDEX(_xlfn.ANCHORARRAY(Sintesi!$C$15),1,$C364)&gt;0),0,IF(($E364=INDEX(_xlfn.ANCHORARRAY(Sintesi!$C$14),1,$C364))*(INDEX(_xlfn.ANCHORARRAY(Sintesi!$C$15),1,$C364)&lt;0)+($E364&gt;=LOOKUP(2,1/($E:$E&lt;&gt;""),$E:$E))*($E364&lt;=INDEX($E:$E,MATCH(TRUE,INDEX((ISNUMBER($E:$E)),0),0)))*($E364&gt;INDEX(_xlfn.ANCHORARRAY(Sintesi!$C$14),1,$C364))*($E364&lt;=INDEX(_xlfn.ANCHORARRAY(Sintesi!$C$15),1,$C364))*(INDEX(_xlfn.ANCHORARRAY(Sintesi!$C$15),1,$C364)&gt;0),1,IF(($E364&gt;=LOOKUP(2,1/($E:$E&lt;&gt;""),$E:$E))*($E364&lt;=INDEX($E:$E,MATCH(TRUE,INDEX((ISNUMBER($E:$E)),0),0)))*($E364&gt;INDEX(_xlfn.ANCHORARRAY(Sintesi!$C$14),1,$C364))*($E364&lt;INDEX(_xlfn.ANCHORARRAY(Sintesi!$C$16),1,$C364))*(INDEX(_xlfn.ANCHORARRAY(Sintesi!$C$15),1,$C364)&lt;0)+($E364&gt;=LOOKUP(2,1/($E:$E&lt;&gt;""),$E:$E))*($E364&lt;=INDEX($E:$E,MATCH(TRUE,INDEX((ISNUMBER($E:$E)),0),0)))*($E364&gt;INDEX(_xlfn.ANCHORARRAY(Sintesi!$C$15),1,$C364))*($E364&lt;INDEX(_xlfn.ANCHORARRAY(Sintesi!$C$16),1,$C364))*(INDEX(_xlfn.ANCHORARRAY(Sintesi!$C$15),1,$C364)&gt;0),2,IF($E364=(INDEX(_xlfn.ANCHORARRAY(Sintesi!$C$16),1,$C364)),3,4)))),0)),IF(ISNUMBER($E363),IF($C364&gt;0,IF(($E364=INDEX(_xlfn.ANCHORARRAY(Sintesi!$C$14),1,$C364))*(INDEX(_xlfn.ANCHORARRAY(Sintesi!$C$15),1,$C364)&gt;0),0,IF(($E364=INDEX(_xlfn.ANCHORARRAY(Sintesi!$C$14),1,$C364))*(INDEX(_xlfn.ANCHORARRAY(Sintesi!$C$15),1,$C364)&lt;0)+($E364&gt;=$E363)*($E364&lt;=$E365)*($E364&gt;INDEX(_xlfn.ANCHORARRAY(Sintesi!$C$14),1,$C364))*($E364&lt;=INDEX(_xlfn.ANCHORARRAY(Sintesi!$C$15),1,$C364))*(INDEX(_xlfn.ANCHORARRAY(Sintesi!$C$15),1,$C364)&gt;0),1,IF(($E364&gt;=$E363)*($E364&lt;=$E365)*($E364&gt;INDEX(_xlfn.ANCHORARRAY(Sintesi!$C$14),1,$C364))*($E364&lt;INDEX(_xlfn.ANCHORARRAY(Sintesi!$C$16),1,$C364))*(INDEX(_xlfn.ANCHORARRAY(Sintesi!$C$15),1,$C364)&lt;0)+($E364&gt;=$E363)*($E364&lt;=$E365)*($E364&gt;INDEX(_xlfn.ANCHORARRAY(Sintesi!$C$15),1,$C364))*($E364&lt;INDEX(_xlfn.ANCHORARRAY(Sintesi!$C$16),1,$C364))*(INDEX(_xlfn.ANCHORARRAY(Sintesi!$C$15),1,$C364)&gt;0),2,IF($E364=(INDEX(_xlfn.ANCHORARRAY(Sintesi!$C$16),1,$C364)),3,4)))),0),IF($C364&gt;0,IF(($E364=INDEX(_xlfn.ANCHORARRAY(Sintesi!$C$14),1,$C364))*(INDEX(_xlfn.ANCHORARRAY(Sintesi!$C$15),1,$C364)&gt;0),0,IF(($E364=INDEX(_xlfn.ANCHORARRAY(Sintesi!$C$14),1,$C364))*(INDEX(_xlfn.ANCHORARRAY(Sintesi!$C$15),1,$C364)&lt;0)+($E364&gt;=LOOKUP(2,1/($E:$E&lt;&gt;""),$E:$E))*($E364&lt;=$E365)*($E364&gt;INDEX(_xlfn.ANCHORARRAY(Sintesi!$C$14),1,$C364))*($E364&lt;=INDEX(_xlfn.ANCHORARRAY(Sintesi!$C$15),1,$C364))*(INDEX(_xlfn.ANCHORARRAY(Sintesi!$C$15),1,$C364)&gt;0),1,IF(($E364&gt;=LOOKUP(2,1/($E:$E&lt;&gt;""),$E:$E))*($E364&lt;=$E365)*($E364&gt;INDEX(_xlfn.ANCHORARRAY(Sintesi!$C$14),1,$C364))*($E364&lt;INDEX(_xlfn.ANCHORARRAY(Sintesi!$C$16),1,$C364))*(INDEX(_xlfn.ANCHORARRAY(Sintesi!$C$15),1,$C364)&lt;0)+($E364&gt;=LOOKUP(2,1/($E:$E&lt;&gt;""),$E:$E))*($E364&lt;=$E365)*($E364&gt;INDEX(_xlfn.ANCHORARRAY(Sintesi!$C$15),1,$C364))*($E364&lt;INDEX(_xlfn.ANCHORARRAY(Sintesi!$C$16),1,$C364))*(INDEX(_xlfn.ANCHORARRAY(Sintesi!$C$15),1,$C364)&gt;0),2,IF($E364=(INDEX(_xlfn.ANCHORARRAY(Sintesi!$C$16),1,$C364)),3,4)))),0)))</f>
        <v>0</v>
      </c>
      <c r="E364" s="1">
        <f>'Paste cell here'!F364</f>
        <v>0</v>
      </c>
      <c r="F364" s="1">
        <f>'Paste cell here'!C364</f>
        <v>7.6799999999999127</v>
      </c>
      <c r="G364" s="1">
        <f>'Paste cell here'!D364</f>
        <v>2.2199999999999633</v>
      </c>
      <c r="H364" s="1">
        <f>'Paste cell here'!E364</f>
        <v>0.20446976830782462</v>
      </c>
      <c r="I364" s="1">
        <f>'Paste cell here'!X364</f>
        <v>0</v>
      </c>
      <c r="J364" s="1">
        <f>'Paste cell here'!Y364+'Paste cell here'!S364</f>
        <v>0</v>
      </c>
      <c r="K364" s="1">
        <f t="shared" si="10"/>
        <v>0</v>
      </c>
      <c r="L364" s="1">
        <f t="shared" si="11"/>
        <v>5.3399999999999341</v>
      </c>
      <c r="M364" s="1">
        <f t="array" ref="M364">IF(AND(A364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364&gt;=_xlfn.ANCHORARRAY(Sintesi!$C$9))+(_xlfn.ANCHORARRAY(Sintesi!$C$9)&gt;_xlfn.ANCHORARRAY(Sintesi!$C$10))*(A364&lt;=_xlfn.ANCHORARRAY(Sintesi!$C$10))+(_xlfn.ANCHORARRAY(Sintesi!$C$9)&lt;_xlfn.ANCHORARRAY(Sintesi!$C$10))*(A364&gt;=_xlfn.ANCHORARRAY(Sintesi!$C$9))*(A364&lt;=_xlfn.ANCHORARRAY(Sintesi!$C$10)),0)),0),A364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365&gt;=_xlfn.ANCHORARRAY(Sintesi!$C$9))+(_xlfn.ANCHORARRAY(Sintesi!$C$9)&gt;_xlfn.ANCHORARRAY(Sintesi!$C$10))*(A365&lt;=_xlfn.ANCHORARRAY(Sintesi!$C$10))+(_xlfn.ANCHORARRAY(Sintesi!$C$9)&lt;_xlfn.ANCHORARRAY(Sintesi!$C$10))*(A365&gt;=_xlfn.ANCHORARRAY(Sintesi!$C$9))*(A365&lt;=_xlfn.ANCHORARRAY(Sintesi!$C$10)),0)),0)),IF(L364&lt;_xlfn.IFNA(INDEX(_xlfn.ANCHORARRAY(Sintesi!$C$17),1,MATCH(1,(_xlfn.ANCHORARRAY(Sintesi!$C$9)&gt;_xlfn.ANCHORARRAY(Sintesi!$C$10))*(A363&gt;=_xlfn.ANCHORARRAY(Sintesi!$C$9))+(_xlfn.ANCHORARRAY(Sintesi!$C$9)&gt;_xlfn.ANCHORARRAY(Sintesi!$C$10))*(A363&lt;=_xlfn.ANCHORARRAY(Sintesi!$C$10))+(_xlfn.ANCHORARRAY(Sintesi!$C$9)&lt;_xlfn.ANCHORARRAY(Sintesi!$C$10))*(A363&gt;=_xlfn.ANCHORARRAY(Sintesi!$C$9))*(A363&lt;=_xlfn.ANCHORARRAY(Sintesi!$C$10)),0)),0),1,IF(L364&gt;=_xlfn.IFNA(INDEX(_xlfn.ANCHORARRAY(Sintesi!$C$18),1,MATCH(1,(_xlfn.ANCHORARRAY(Sintesi!$C$9)&gt;_xlfn.ANCHORARRAY(Sintesi!$C$10))*(A363&gt;=_xlfn.ANCHORARRAY(Sintesi!$C$9))+(_xlfn.ANCHORARRAY(Sintesi!$C$9)&gt;_xlfn.ANCHORARRAY(Sintesi!$C$10))*(A363&lt;=_xlfn.ANCHORARRAY(Sintesi!$C$10))+(_xlfn.ANCHORARRAY(Sintesi!$C$9)&lt;_xlfn.ANCHORARRAY(Sintesi!$C$10))*(A363&gt;=_xlfn.ANCHORARRAY(Sintesi!$C$9))*(A363&lt;=_xlfn.ANCHORARRAY(Sintesi!$C$10)),0)),0),0,1-(L364-_xlfn.IFNA(INDEX(_xlfn.ANCHORARRAY(Sintesi!$C$17),1,MATCH(1,(_xlfn.ANCHORARRAY(Sintesi!$C$9)&gt;_xlfn.ANCHORARRAY(Sintesi!$C$10))*(A363&gt;=_xlfn.ANCHORARRAY(Sintesi!$C$9))+(_xlfn.ANCHORARRAY(Sintesi!$C$9)&gt;_xlfn.ANCHORARRAY(Sintesi!$C$10))*(A363&lt;=_xlfn.ANCHORARRAY(Sintesi!$C$10))+(_xlfn.ANCHORARRAY(Sintesi!$C$9)&lt;_xlfn.ANCHORARRAY(Sintesi!$C$10))*(A363&gt;=_xlfn.ANCHORARRAY(Sintesi!$C$9))*(A363&lt;=_xlfn.ANCHORARRAY(Sintesi!$C$10)),0)),0))/(_xlfn.IFNA(INDEX(_xlfn.ANCHORARRAY(Sintesi!$C$18),1,MATCH(1,(_xlfn.ANCHORARRAY(Sintesi!$C$9)&gt;_xlfn.ANCHORARRAY(Sintesi!$C$10))*(A363&gt;=_xlfn.ANCHORARRAY(Sintesi!$C$9))+(_xlfn.ANCHORARRAY(Sintesi!$C$9)&gt;_xlfn.ANCHORARRAY(Sintesi!$C$10))*(A363&lt;=_xlfn.ANCHORARRAY(Sintesi!$C$10))+(_xlfn.ANCHORARRAY(Sintesi!$C$9)&lt;_xlfn.ANCHORARRAY(Sintesi!$C$10))*(A363&gt;=_xlfn.ANCHORARRAY(Sintesi!$C$9))*(A363&lt;=_xlfn.ANCHORARRAY(Sintesi!$C$10)),0)),0)-_xlfn.IFNA(INDEX(_xlfn.ANCHORARRAY(Sintesi!$C$17),1,MATCH(1,(_xlfn.ANCHORARRAY(Sintesi!$C$9)&gt;_xlfn.ANCHORARRAY(Sintesi!$C$10))*(A363&gt;=_xlfn.ANCHORARRAY(Sintesi!$C$9))+(_xlfn.ANCHORARRAY(Sintesi!$C$9)&gt;_xlfn.ANCHORARRAY(Sintesi!$C$10))*(A363&lt;=_xlfn.ANCHORARRAY(Sintesi!$C$10))+(_xlfn.ANCHORARRAY(Sintesi!$C$9)&lt;_xlfn.ANCHORARRAY(Sintesi!$C$10))*(A363&gt;=_xlfn.ANCHORARRAY(Sintesi!$C$9))*(A363&lt;=_xlfn.ANCHORARRAY(Sintesi!$C$10)),0)),0)))),0)</f>
        <v>0</v>
      </c>
    </row>
    <row r="365" spans="1:13" ht="11.25" customHeight="1">
      <c r="A365" s="1">
        <f>'Paste cell here'!A365</f>
        <v>364</v>
      </c>
      <c r="B365" s="2">
        <f>DATE(Sintesi!$C$4-1,12,31)+A365</f>
        <v>44560</v>
      </c>
      <c r="C365" s="34">
        <f t="array" ref="C365">_xlfn.IFNA(MATCH(1,((_xlfn.ANCHORARRAY(Sintesi!$C$9)&gt;_xlfn.ANCHORARRAY(Sintesi!$C$10))*(A365&gt;=_xlfn.ANCHORARRAY(Sintesi!$C$9))+(_xlfn.ANCHORARRAY(Sintesi!$C$9)&gt;_xlfn.ANCHORARRAY(Sintesi!$C$10))*(A365&lt;=_xlfn.ANCHORARRAY(Sintesi!$C$10))+(_xlfn.ANCHORARRAY(Sintesi!$C$9)&lt;_xlfn.ANCHORARRAY(Sintesi!$C$10))*(A365&gt;=_xlfn.ANCHORARRAY(Sintesi!$C$9))*(A365&lt;=_xlfn.ANCHORARRAY(Sintesi!$C$10)))*(_xlfn.ANCHORARRAY(Sintesi!$C$15)&gt;=0)+(_xlfn.ANCHORARRAY(Sintesi!$C$15)&lt;0),0),0)</f>
        <v>0</v>
      </c>
      <c r="D365" s="1">
        <f t="array" ref="D365">IF(ISBLANK($E366),IF(ISNUMBER($E364),IF($C365&gt;0,IF(($E365=INDEX(_xlfn.ANCHORARRAY(Sintesi!$C$14),1,$C365))*(INDEX(_xlfn.ANCHORARRAY(Sintesi!$C$15),1,$C365)&gt;0),0,IF(($E365=INDEX(_xlfn.ANCHORARRAY(Sintesi!$C$14),1,$C365))*(INDEX(_xlfn.ANCHORARRAY(Sintesi!$C$15),1,$C365)&lt;0)+($E365&gt;=$E364)*($E365&lt;=INDEX($E:$E,MATCH(TRUE,INDEX((ISNUMBER($E:$E)),0),0)))*($E365&gt;INDEX(_xlfn.ANCHORARRAY(Sintesi!$C$14),1,$C365))*($E365&lt;=INDEX(_xlfn.ANCHORARRAY(Sintesi!$C$15),1,$C365))*(INDEX(_xlfn.ANCHORARRAY(Sintesi!$C$15),1,$C365)&gt;0),1,IF(($E365&gt;=$E364)*($E365&lt;=INDEX($E:$E,MATCH(TRUE,INDEX((ISNUMBER($E:$E)),0),0)))*($E365&gt;INDEX(_xlfn.ANCHORARRAY(Sintesi!$C$14),1,$C365))*($E365&lt;INDEX(_xlfn.ANCHORARRAY(Sintesi!$C$16),1,$C365))*(INDEX(_xlfn.ANCHORARRAY(Sintesi!$C$15),1,$C365)&lt;0)+($E365&gt;=$E364)*($E365&lt;=INDEX($E:$E,MATCH(TRUE,INDEX((ISNUMBER($E:$E)),0),0)))*($E365&gt;INDEX(_xlfn.ANCHORARRAY(Sintesi!$C$15),1,$C365))*($E365&lt;INDEX(_xlfn.ANCHORARRAY(Sintesi!$C$16),1,$C365))*(INDEX(_xlfn.ANCHORARRAY(Sintesi!$C$15),1,$C365)&gt;0),2,IF($E365=(INDEX(_xlfn.ANCHORARRAY(Sintesi!$C$16),1,$C365)),3,4)))),0),IF($C365&gt;0,IF(($E365=INDEX(_xlfn.ANCHORARRAY(Sintesi!$C$14),1,$C365))*(INDEX(_xlfn.ANCHORARRAY(Sintesi!$C$15),1,$C365)&gt;0),0,IF(($E365=INDEX(_xlfn.ANCHORARRAY(Sintesi!$C$14),1,$C365))*(INDEX(_xlfn.ANCHORARRAY(Sintesi!$C$15),1,$C365)&lt;0)+($E365&gt;=LOOKUP(2,1/($E:$E&lt;&gt;""),$E:$E))*($E365&lt;=INDEX($E:$E,MATCH(TRUE,INDEX((ISNUMBER($E:$E)),0),0)))*($E365&gt;INDEX(_xlfn.ANCHORARRAY(Sintesi!$C$14),1,$C365))*($E365&lt;=INDEX(_xlfn.ANCHORARRAY(Sintesi!$C$15),1,$C365))*(INDEX(_xlfn.ANCHORARRAY(Sintesi!$C$15),1,$C365)&gt;0),1,IF(($E365&gt;=LOOKUP(2,1/($E:$E&lt;&gt;""),$E:$E))*($E365&lt;=INDEX($E:$E,MATCH(TRUE,INDEX((ISNUMBER($E:$E)),0),0)))*($E365&gt;INDEX(_xlfn.ANCHORARRAY(Sintesi!$C$14),1,$C365))*($E365&lt;INDEX(_xlfn.ANCHORARRAY(Sintesi!$C$16),1,$C365))*(INDEX(_xlfn.ANCHORARRAY(Sintesi!$C$15),1,$C365)&lt;0)+($E365&gt;=LOOKUP(2,1/($E:$E&lt;&gt;""),$E:$E))*($E365&lt;=INDEX($E:$E,MATCH(TRUE,INDEX((ISNUMBER($E:$E)),0),0)))*($E365&gt;INDEX(_xlfn.ANCHORARRAY(Sintesi!$C$15),1,$C365))*($E365&lt;INDEX(_xlfn.ANCHORARRAY(Sintesi!$C$16),1,$C365))*(INDEX(_xlfn.ANCHORARRAY(Sintesi!$C$15),1,$C365)&gt;0),2,IF($E365=(INDEX(_xlfn.ANCHORARRAY(Sintesi!$C$16),1,$C365)),3,4)))),0)),IF(ISNUMBER($E364),IF($C365&gt;0,IF(($E365=INDEX(_xlfn.ANCHORARRAY(Sintesi!$C$14),1,$C365))*(INDEX(_xlfn.ANCHORARRAY(Sintesi!$C$15),1,$C365)&gt;0),0,IF(($E365=INDEX(_xlfn.ANCHORARRAY(Sintesi!$C$14),1,$C365))*(INDEX(_xlfn.ANCHORARRAY(Sintesi!$C$15),1,$C365)&lt;0)+($E365&gt;=$E364)*($E365&lt;=$E366)*($E365&gt;INDEX(_xlfn.ANCHORARRAY(Sintesi!$C$14),1,$C365))*($E365&lt;=INDEX(_xlfn.ANCHORARRAY(Sintesi!$C$15),1,$C365))*(INDEX(_xlfn.ANCHORARRAY(Sintesi!$C$15),1,$C365)&gt;0),1,IF(($E365&gt;=$E364)*($E365&lt;=$E366)*($E365&gt;INDEX(_xlfn.ANCHORARRAY(Sintesi!$C$14),1,$C365))*($E365&lt;INDEX(_xlfn.ANCHORARRAY(Sintesi!$C$16),1,$C365))*(INDEX(_xlfn.ANCHORARRAY(Sintesi!$C$15),1,$C365)&lt;0)+($E365&gt;=$E364)*($E365&lt;=$E366)*($E365&gt;INDEX(_xlfn.ANCHORARRAY(Sintesi!$C$15),1,$C365))*($E365&lt;INDEX(_xlfn.ANCHORARRAY(Sintesi!$C$16),1,$C365))*(INDEX(_xlfn.ANCHORARRAY(Sintesi!$C$15),1,$C365)&gt;0),2,IF($E365=(INDEX(_xlfn.ANCHORARRAY(Sintesi!$C$16),1,$C365)),3,4)))),0),IF($C365&gt;0,IF(($E365=INDEX(_xlfn.ANCHORARRAY(Sintesi!$C$14),1,$C365))*(INDEX(_xlfn.ANCHORARRAY(Sintesi!$C$15),1,$C365)&gt;0),0,IF(($E365=INDEX(_xlfn.ANCHORARRAY(Sintesi!$C$14),1,$C365))*(INDEX(_xlfn.ANCHORARRAY(Sintesi!$C$15),1,$C365)&lt;0)+($E365&gt;=LOOKUP(2,1/($E:$E&lt;&gt;""),$E:$E))*($E365&lt;=$E366)*($E365&gt;INDEX(_xlfn.ANCHORARRAY(Sintesi!$C$14),1,$C365))*($E365&lt;=INDEX(_xlfn.ANCHORARRAY(Sintesi!$C$15),1,$C365))*(INDEX(_xlfn.ANCHORARRAY(Sintesi!$C$15),1,$C365)&gt;0),1,IF(($E365&gt;=LOOKUP(2,1/($E:$E&lt;&gt;""),$E:$E))*($E365&lt;=$E366)*($E365&gt;INDEX(_xlfn.ANCHORARRAY(Sintesi!$C$14),1,$C365))*($E365&lt;INDEX(_xlfn.ANCHORARRAY(Sintesi!$C$16),1,$C365))*(INDEX(_xlfn.ANCHORARRAY(Sintesi!$C$15),1,$C365)&lt;0)+($E365&gt;=LOOKUP(2,1/($E:$E&lt;&gt;""),$E:$E))*($E365&lt;=$E366)*($E365&gt;INDEX(_xlfn.ANCHORARRAY(Sintesi!$C$15),1,$C365))*($E365&lt;INDEX(_xlfn.ANCHORARRAY(Sintesi!$C$16),1,$C365))*(INDEX(_xlfn.ANCHORARRAY(Sintesi!$C$15),1,$C365)&gt;0),2,IF($E365=(INDEX(_xlfn.ANCHORARRAY(Sintesi!$C$16),1,$C365)),3,4)))),0)))</f>
        <v>0</v>
      </c>
      <c r="E365" s="1">
        <f>'Paste cell here'!F365</f>
        <v>0</v>
      </c>
      <c r="F365" s="1">
        <f>'Paste cell here'!C365</f>
        <v>7.2799999999999141</v>
      </c>
      <c r="G365" s="1">
        <f>'Paste cell here'!D365</f>
        <v>3.4199999999999506</v>
      </c>
      <c r="H365" s="1">
        <f>'Paste cell here'!E365</f>
        <v>0.25649944999979191</v>
      </c>
      <c r="I365" s="1">
        <f>'Paste cell here'!X365</f>
        <v>0</v>
      </c>
      <c r="J365" s="1">
        <f>'Paste cell here'!Y365+'Paste cell here'!S365</f>
        <v>0</v>
      </c>
      <c r="K365" s="1">
        <f t="shared" si="10"/>
        <v>0</v>
      </c>
      <c r="L365" s="1">
        <f t="shared" si="11"/>
        <v>5.6257142857142153</v>
      </c>
      <c r="M365" s="1">
        <f t="array" ref="M365">IF(AND(A365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365&gt;=_xlfn.ANCHORARRAY(Sintesi!$C$9))+(_xlfn.ANCHORARRAY(Sintesi!$C$9)&gt;_xlfn.ANCHORARRAY(Sintesi!$C$10))*(A365&lt;=_xlfn.ANCHORARRAY(Sintesi!$C$10))+(_xlfn.ANCHORARRAY(Sintesi!$C$9)&lt;_xlfn.ANCHORARRAY(Sintesi!$C$10))*(A365&gt;=_xlfn.ANCHORARRAY(Sintesi!$C$9))*(A365&lt;=_xlfn.ANCHORARRAY(Sintesi!$C$10)),0)),0),A365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366&gt;=_xlfn.ANCHORARRAY(Sintesi!$C$9))+(_xlfn.ANCHORARRAY(Sintesi!$C$9)&gt;_xlfn.ANCHORARRAY(Sintesi!$C$10))*(A366&lt;=_xlfn.ANCHORARRAY(Sintesi!$C$10))+(_xlfn.ANCHORARRAY(Sintesi!$C$9)&lt;_xlfn.ANCHORARRAY(Sintesi!$C$10))*(A366&gt;=_xlfn.ANCHORARRAY(Sintesi!$C$9))*(A366&lt;=_xlfn.ANCHORARRAY(Sintesi!$C$10)),0)),0)),IF(L365&lt;_xlfn.IFNA(INDEX(_xlfn.ANCHORARRAY(Sintesi!$C$17),1,MATCH(1,(_xlfn.ANCHORARRAY(Sintesi!$C$9)&gt;_xlfn.ANCHORARRAY(Sintesi!$C$10))*(A364&gt;=_xlfn.ANCHORARRAY(Sintesi!$C$9))+(_xlfn.ANCHORARRAY(Sintesi!$C$9)&gt;_xlfn.ANCHORARRAY(Sintesi!$C$10))*(A364&lt;=_xlfn.ANCHORARRAY(Sintesi!$C$10))+(_xlfn.ANCHORARRAY(Sintesi!$C$9)&lt;_xlfn.ANCHORARRAY(Sintesi!$C$10))*(A364&gt;=_xlfn.ANCHORARRAY(Sintesi!$C$9))*(A364&lt;=_xlfn.ANCHORARRAY(Sintesi!$C$10)),0)),0),1,IF(L365&gt;=_xlfn.IFNA(INDEX(_xlfn.ANCHORARRAY(Sintesi!$C$18),1,MATCH(1,(_xlfn.ANCHORARRAY(Sintesi!$C$9)&gt;_xlfn.ANCHORARRAY(Sintesi!$C$10))*(A364&gt;=_xlfn.ANCHORARRAY(Sintesi!$C$9))+(_xlfn.ANCHORARRAY(Sintesi!$C$9)&gt;_xlfn.ANCHORARRAY(Sintesi!$C$10))*(A364&lt;=_xlfn.ANCHORARRAY(Sintesi!$C$10))+(_xlfn.ANCHORARRAY(Sintesi!$C$9)&lt;_xlfn.ANCHORARRAY(Sintesi!$C$10))*(A364&gt;=_xlfn.ANCHORARRAY(Sintesi!$C$9))*(A364&lt;=_xlfn.ANCHORARRAY(Sintesi!$C$10)),0)),0),0,1-(L365-_xlfn.IFNA(INDEX(_xlfn.ANCHORARRAY(Sintesi!$C$17),1,MATCH(1,(_xlfn.ANCHORARRAY(Sintesi!$C$9)&gt;_xlfn.ANCHORARRAY(Sintesi!$C$10))*(A364&gt;=_xlfn.ANCHORARRAY(Sintesi!$C$9))+(_xlfn.ANCHORARRAY(Sintesi!$C$9)&gt;_xlfn.ANCHORARRAY(Sintesi!$C$10))*(A364&lt;=_xlfn.ANCHORARRAY(Sintesi!$C$10))+(_xlfn.ANCHORARRAY(Sintesi!$C$9)&lt;_xlfn.ANCHORARRAY(Sintesi!$C$10))*(A364&gt;=_xlfn.ANCHORARRAY(Sintesi!$C$9))*(A364&lt;=_xlfn.ANCHORARRAY(Sintesi!$C$10)),0)),0))/(_xlfn.IFNA(INDEX(_xlfn.ANCHORARRAY(Sintesi!$C$18),1,MATCH(1,(_xlfn.ANCHORARRAY(Sintesi!$C$9)&gt;_xlfn.ANCHORARRAY(Sintesi!$C$10))*(A364&gt;=_xlfn.ANCHORARRAY(Sintesi!$C$9))+(_xlfn.ANCHORARRAY(Sintesi!$C$9)&gt;_xlfn.ANCHORARRAY(Sintesi!$C$10))*(A364&lt;=_xlfn.ANCHORARRAY(Sintesi!$C$10))+(_xlfn.ANCHORARRAY(Sintesi!$C$9)&lt;_xlfn.ANCHORARRAY(Sintesi!$C$10))*(A364&gt;=_xlfn.ANCHORARRAY(Sintesi!$C$9))*(A364&lt;=_xlfn.ANCHORARRAY(Sintesi!$C$10)),0)),0)-_xlfn.IFNA(INDEX(_xlfn.ANCHORARRAY(Sintesi!$C$17),1,MATCH(1,(_xlfn.ANCHORARRAY(Sintesi!$C$9)&gt;_xlfn.ANCHORARRAY(Sintesi!$C$10))*(A364&gt;=_xlfn.ANCHORARRAY(Sintesi!$C$9))+(_xlfn.ANCHORARRAY(Sintesi!$C$9)&gt;_xlfn.ANCHORARRAY(Sintesi!$C$10))*(A364&lt;=_xlfn.ANCHORARRAY(Sintesi!$C$10))+(_xlfn.ANCHORARRAY(Sintesi!$C$9)&lt;_xlfn.ANCHORARRAY(Sintesi!$C$10))*(A364&gt;=_xlfn.ANCHORARRAY(Sintesi!$C$9))*(A364&lt;=_xlfn.ANCHORARRAY(Sintesi!$C$10)),0)),0)))),0)</f>
        <v>0</v>
      </c>
    </row>
    <row r="366" spans="1:13" ht="11.25" customHeight="1">
      <c r="A366" s="1">
        <f>'Paste cell here'!A366</f>
        <v>365</v>
      </c>
      <c r="B366" s="2">
        <f>DATE(Sintesi!$C$4-1,12,31)+A366</f>
        <v>44561</v>
      </c>
      <c r="C366" s="34">
        <f t="array" ref="C366">_xlfn.IFNA(MATCH(1,((_xlfn.ANCHORARRAY(Sintesi!$C$9)&gt;_xlfn.ANCHORARRAY(Sintesi!$C$10))*(A366&gt;=_xlfn.ANCHORARRAY(Sintesi!$C$9))+(_xlfn.ANCHORARRAY(Sintesi!$C$9)&gt;_xlfn.ANCHORARRAY(Sintesi!$C$10))*(A366&lt;=_xlfn.ANCHORARRAY(Sintesi!$C$10))+(_xlfn.ANCHORARRAY(Sintesi!$C$9)&lt;_xlfn.ANCHORARRAY(Sintesi!$C$10))*(A366&gt;=_xlfn.ANCHORARRAY(Sintesi!$C$9))*(A366&lt;=_xlfn.ANCHORARRAY(Sintesi!$C$10)))*(_xlfn.ANCHORARRAY(Sintesi!$C$15)&gt;=0)+(_xlfn.ANCHORARRAY(Sintesi!$C$15)&lt;0),0),0)</f>
        <v>0</v>
      </c>
      <c r="D366" s="1">
        <f t="array" ref="D366">IF(ISBLANK($E367),IF(ISNUMBER($E365),IF($C366&gt;0,IF(($E366=INDEX(_xlfn.ANCHORARRAY(Sintesi!$C$14),1,$C366))*(INDEX(_xlfn.ANCHORARRAY(Sintesi!$C$15),1,$C366)&gt;0),0,IF(($E366=INDEX(_xlfn.ANCHORARRAY(Sintesi!$C$14),1,$C366))*(INDEX(_xlfn.ANCHORARRAY(Sintesi!$C$15),1,$C366)&lt;0)+($E366&gt;=$E365)*($E366&lt;=INDEX($E:$E,MATCH(TRUE,INDEX((ISNUMBER($E:$E)),0),0)))*($E366&gt;INDEX(_xlfn.ANCHORARRAY(Sintesi!$C$14),1,$C366))*($E366&lt;=INDEX(_xlfn.ANCHORARRAY(Sintesi!$C$15),1,$C366))*(INDEX(_xlfn.ANCHORARRAY(Sintesi!$C$15),1,$C366)&gt;0),1,IF(($E366&gt;=$E365)*($E366&lt;=INDEX($E:$E,MATCH(TRUE,INDEX((ISNUMBER($E:$E)),0),0)))*($E366&gt;INDEX(_xlfn.ANCHORARRAY(Sintesi!$C$14),1,$C366))*($E366&lt;INDEX(_xlfn.ANCHORARRAY(Sintesi!$C$16),1,$C366))*(INDEX(_xlfn.ANCHORARRAY(Sintesi!$C$15),1,$C366)&lt;0)+($E366&gt;=$E365)*($E366&lt;=INDEX($E:$E,MATCH(TRUE,INDEX((ISNUMBER($E:$E)),0),0)))*($E366&gt;INDEX(_xlfn.ANCHORARRAY(Sintesi!$C$15),1,$C366))*($E366&lt;INDEX(_xlfn.ANCHORARRAY(Sintesi!$C$16),1,$C366))*(INDEX(_xlfn.ANCHORARRAY(Sintesi!$C$15),1,$C366)&gt;0),2,IF($E366=(INDEX(_xlfn.ANCHORARRAY(Sintesi!$C$16),1,$C366)),3,4)))),0),IF($C366&gt;0,IF(($E366=INDEX(_xlfn.ANCHORARRAY(Sintesi!$C$14),1,$C366))*(INDEX(_xlfn.ANCHORARRAY(Sintesi!$C$15),1,$C366)&gt;0),0,IF(($E366=INDEX(_xlfn.ANCHORARRAY(Sintesi!$C$14),1,$C366))*(INDEX(_xlfn.ANCHORARRAY(Sintesi!$C$15),1,$C366)&lt;0)+($E366&gt;=LOOKUP(2,1/($E:$E&lt;&gt;""),$E:$E))*($E366&lt;=INDEX($E:$E,MATCH(TRUE,INDEX((ISNUMBER($E:$E)),0),0)))*($E366&gt;INDEX(_xlfn.ANCHORARRAY(Sintesi!$C$14),1,$C366))*($E366&lt;=INDEX(_xlfn.ANCHORARRAY(Sintesi!$C$15),1,$C366))*(INDEX(_xlfn.ANCHORARRAY(Sintesi!$C$15),1,$C366)&gt;0),1,IF(($E366&gt;=LOOKUP(2,1/($E:$E&lt;&gt;""),$E:$E))*($E366&lt;=INDEX($E:$E,MATCH(TRUE,INDEX((ISNUMBER($E:$E)),0),0)))*($E366&gt;INDEX(_xlfn.ANCHORARRAY(Sintesi!$C$14),1,$C366))*($E366&lt;INDEX(_xlfn.ANCHORARRAY(Sintesi!$C$16),1,$C366))*(INDEX(_xlfn.ANCHORARRAY(Sintesi!$C$15),1,$C366)&lt;0)+($E366&gt;=LOOKUP(2,1/($E:$E&lt;&gt;""),$E:$E))*($E366&lt;=INDEX($E:$E,MATCH(TRUE,INDEX((ISNUMBER($E:$E)),0),0)))*($E366&gt;INDEX(_xlfn.ANCHORARRAY(Sintesi!$C$15),1,$C366))*($E366&lt;INDEX(_xlfn.ANCHORARRAY(Sintesi!$C$16),1,$C366))*(INDEX(_xlfn.ANCHORARRAY(Sintesi!$C$15),1,$C366)&gt;0),2,IF($E366=(INDEX(_xlfn.ANCHORARRAY(Sintesi!$C$16),1,$C366)),3,4)))),0)),IF(ISNUMBER($E365),IF($C366&gt;0,IF(($E366=INDEX(_xlfn.ANCHORARRAY(Sintesi!$C$14),1,$C366))*(INDEX(_xlfn.ANCHORARRAY(Sintesi!$C$15),1,$C366)&gt;0),0,IF(($E366=INDEX(_xlfn.ANCHORARRAY(Sintesi!$C$14),1,$C366))*(INDEX(_xlfn.ANCHORARRAY(Sintesi!$C$15),1,$C366)&lt;0)+($E366&gt;=$E365)*($E366&lt;=$E367)*($E366&gt;INDEX(_xlfn.ANCHORARRAY(Sintesi!$C$14),1,$C366))*($E366&lt;=INDEX(_xlfn.ANCHORARRAY(Sintesi!$C$15),1,$C366))*(INDEX(_xlfn.ANCHORARRAY(Sintesi!$C$15),1,$C366)&gt;0),1,IF(($E366&gt;=$E365)*($E366&lt;=$E367)*($E366&gt;INDEX(_xlfn.ANCHORARRAY(Sintesi!$C$14),1,$C366))*($E366&lt;INDEX(_xlfn.ANCHORARRAY(Sintesi!$C$16),1,$C366))*(INDEX(_xlfn.ANCHORARRAY(Sintesi!$C$15),1,$C366)&lt;0)+($E366&gt;=$E365)*($E366&lt;=$E367)*($E366&gt;INDEX(_xlfn.ANCHORARRAY(Sintesi!$C$15),1,$C366))*($E366&lt;INDEX(_xlfn.ANCHORARRAY(Sintesi!$C$16),1,$C366))*(INDEX(_xlfn.ANCHORARRAY(Sintesi!$C$15),1,$C366)&gt;0),2,IF($E366=(INDEX(_xlfn.ANCHORARRAY(Sintesi!$C$16),1,$C366)),3,4)))),0),IF($C366&gt;0,IF(($E366=INDEX(_xlfn.ANCHORARRAY(Sintesi!$C$14),1,$C366))*(INDEX(_xlfn.ANCHORARRAY(Sintesi!$C$15),1,$C366)&gt;0),0,IF(($E366=INDEX(_xlfn.ANCHORARRAY(Sintesi!$C$14),1,$C366))*(INDEX(_xlfn.ANCHORARRAY(Sintesi!$C$15),1,$C366)&lt;0)+($E366&gt;=LOOKUP(2,1/($E:$E&lt;&gt;""),$E:$E))*($E366&lt;=$E367)*($E366&gt;INDEX(_xlfn.ANCHORARRAY(Sintesi!$C$14),1,$C366))*($E366&lt;=INDEX(_xlfn.ANCHORARRAY(Sintesi!$C$15),1,$C366))*(INDEX(_xlfn.ANCHORARRAY(Sintesi!$C$15),1,$C366)&gt;0),1,IF(($E366&gt;=LOOKUP(2,1/($E:$E&lt;&gt;""),$E:$E))*($E366&lt;=$E367)*($E366&gt;INDEX(_xlfn.ANCHORARRAY(Sintesi!$C$14),1,$C366))*($E366&lt;INDEX(_xlfn.ANCHORARRAY(Sintesi!$C$16),1,$C366))*(INDEX(_xlfn.ANCHORARRAY(Sintesi!$C$15),1,$C366)&lt;0)+($E366&gt;=LOOKUP(2,1/($E:$E&lt;&gt;""),$E:$E))*($E366&lt;=$E367)*($E366&gt;INDEX(_xlfn.ANCHORARRAY(Sintesi!$C$15),1,$C366))*($E366&lt;INDEX(_xlfn.ANCHORARRAY(Sintesi!$C$16),1,$C366))*(INDEX(_xlfn.ANCHORARRAY(Sintesi!$C$15),1,$C366)&gt;0),2,IF($E366=(INDEX(_xlfn.ANCHORARRAY(Sintesi!$C$16),1,$C366)),3,4)))),0)))</f>
        <v>0</v>
      </c>
      <c r="E366" s="1">
        <f>'Paste cell here'!F366</f>
        <v>0</v>
      </c>
      <c r="F366" s="1">
        <f>'Paste cell here'!C366</f>
        <v>7.8199999999999177</v>
      </c>
      <c r="G366" s="1">
        <f>'Paste cell here'!D366</f>
        <v>0.1399999999999878</v>
      </c>
      <c r="H366" s="1">
        <f>'Paste cell here'!E366</f>
        <v>0.21087794879971472</v>
      </c>
      <c r="I366" s="1">
        <f>'Paste cell here'!X366</f>
        <v>0</v>
      </c>
      <c r="J366" s="1">
        <f>'Paste cell here'!Y366+'Paste cell here'!S366</f>
        <v>0</v>
      </c>
      <c r="K366" s="1">
        <f t="shared" si="10"/>
        <v>0</v>
      </c>
      <c r="L366" s="1">
        <f t="shared" si="11"/>
        <v>4.5285714285713761</v>
      </c>
      <c r="M366" s="1">
        <f t="array" ref="M366">IF(AND(A366&gt;=_xlfn.IFNA(INDEX(IF(ROUND(0.45*_xlfn.ANCHORARRAY(Sintesi!$C$11),0)+_xlfn.ANCHORARRAY(Sintesi!$C$9)&gt;365,ROUND(0.45*_xlfn.ANCHORARRAY(Sintesi!$C$11),0)+_xlfn.ANCHORARRAY(Sintesi!$C$9)-365,ROUND(0.45*_xlfn.ANCHORARRAY(Sintesi!$C$11),0)+_xlfn.ANCHORARRAY(Sintesi!$C$9)),1,MATCH(1,(_xlfn.ANCHORARRAY(Sintesi!$C$9)&gt;_xlfn.ANCHORARRAY(Sintesi!$C$10))*(A366&gt;=_xlfn.ANCHORARRAY(Sintesi!$C$9))+(_xlfn.ANCHORARRAY(Sintesi!$C$9)&gt;_xlfn.ANCHORARRAY(Sintesi!$C$10))*(A366&lt;=_xlfn.ANCHORARRAY(Sintesi!$C$10))+(_xlfn.ANCHORARRAY(Sintesi!$C$9)&lt;_xlfn.ANCHORARRAY(Sintesi!$C$10))*(A366&gt;=_xlfn.ANCHORARRAY(Sintesi!$C$9))*(A366&lt;=_xlfn.ANCHORARRAY(Sintesi!$C$10)),0)),0),A366&lt;_xlfn.IFNA(INDEX(IF(ROUND(0.75*_xlfn.ANCHORARRAY(Sintesi!$C$11),0)+_xlfn.ANCHORARRAY(Sintesi!$C$9)&gt;365,ROUND(0.75*_xlfn.ANCHORARRAY(Sintesi!$C$11),0)+_xlfn.ANCHORARRAY(Sintesi!$C$9)-365,ROUND(0.75*_xlfn.ANCHORARRAY(Sintesi!$C$11),0)+_xlfn.ANCHORARRAY(Sintesi!$C$9)),1,MATCH(1,(_xlfn.ANCHORARRAY(Sintesi!$C$9)&gt;_xlfn.ANCHORARRAY(Sintesi!$C$10))*(A367&gt;=_xlfn.ANCHORARRAY(Sintesi!$C$9))+(_xlfn.ANCHORARRAY(Sintesi!$C$9)&gt;_xlfn.ANCHORARRAY(Sintesi!$C$10))*(A367&lt;=_xlfn.ANCHORARRAY(Sintesi!$C$10))+(_xlfn.ANCHORARRAY(Sintesi!$C$9)&lt;_xlfn.ANCHORARRAY(Sintesi!$C$10))*(A367&gt;=_xlfn.ANCHORARRAY(Sintesi!$C$9))*(A367&lt;=_xlfn.ANCHORARRAY(Sintesi!$C$10)),0)),0)),IF(L366&lt;_xlfn.IFNA(INDEX(_xlfn.ANCHORARRAY(Sintesi!$C$17),1,MATCH(1,(_xlfn.ANCHORARRAY(Sintesi!$C$9)&gt;_xlfn.ANCHORARRAY(Sintesi!$C$10))*(A365&gt;=_xlfn.ANCHORARRAY(Sintesi!$C$9))+(_xlfn.ANCHORARRAY(Sintesi!$C$9)&gt;_xlfn.ANCHORARRAY(Sintesi!$C$10))*(A365&lt;=_xlfn.ANCHORARRAY(Sintesi!$C$10))+(_xlfn.ANCHORARRAY(Sintesi!$C$9)&lt;_xlfn.ANCHORARRAY(Sintesi!$C$10))*(A365&gt;=_xlfn.ANCHORARRAY(Sintesi!$C$9))*(A365&lt;=_xlfn.ANCHORARRAY(Sintesi!$C$10)),0)),0),1,IF(L366&gt;=_xlfn.IFNA(INDEX(_xlfn.ANCHORARRAY(Sintesi!$C$18),1,MATCH(1,(_xlfn.ANCHORARRAY(Sintesi!$C$9)&gt;_xlfn.ANCHORARRAY(Sintesi!$C$10))*(A365&gt;=_xlfn.ANCHORARRAY(Sintesi!$C$9))+(_xlfn.ANCHORARRAY(Sintesi!$C$9)&gt;_xlfn.ANCHORARRAY(Sintesi!$C$10))*(A365&lt;=_xlfn.ANCHORARRAY(Sintesi!$C$10))+(_xlfn.ANCHORARRAY(Sintesi!$C$9)&lt;_xlfn.ANCHORARRAY(Sintesi!$C$10))*(A365&gt;=_xlfn.ANCHORARRAY(Sintesi!$C$9))*(A365&lt;=_xlfn.ANCHORARRAY(Sintesi!$C$10)),0)),0),0,1-(L366-_xlfn.IFNA(INDEX(_xlfn.ANCHORARRAY(Sintesi!$C$17),1,MATCH(1,(_xlfn.ANCHORARRAY(Sintesi!$C$9)&gt;_xlfn.ANCHORARRAY(Sintesi!$C$10))*(A365&gt;=_xlfn.ANCHORARRAY(Sintesi!$C$9))+(_xlfn.ANCHORARRAY(Sintesi!$C$9)&gt;_xlfn.ANCHORARRAY(Sintesi!$C$10))*(A365&lt;=_xlfn.ANCHORARRAY(Sintesi!$C$10))+(_xlfn.ANCHORARRAY(Sintesi!$C$9)&lt;_xlfn.ANCHORARRAY(Sintesi!$C$10))*(A365&gt;=_xlfn.ANCHORARRAY(Sintesi!$C$9))*(A365&lt;=_xlfn.ANCHORARRAY(Sintesi!$C$10)),0)),0))/(_xlfn.IFNA(INDEX(_xlfn.ANCHORARRAY(Sintesi!$C$18),1,MATCH(1,(_xlfn.ANCHORARRAY(Sintesi!$C$9)&gt;_xlfn.ANCHORARRAY(Sintesi!$C$10))*(A365&gt;=_xlfn.ANCHORARRAY(Sintesi!$C$9))+(_xlfn.ANCHORARRAY(Sintesi!$C$9)&gt;_xlfn.ANCHORARRAY(Sintesi!$C$10))*(A365&lt;=_xlfn.ANCHORARRAY(Sintesi!$C$10))+(_xlfn.ANCHORARRAY(Sintesi!$C$9)&lt;_xlfn.ANCHORARRAY(Sintesi!$C$10))*(A365&gt;=_xlfn.ANCHORARRAY(Sintesi!$C$9))*(A365&lt;=_xlfn.ANCHORARRAY(Sintesi!$C$10)),0)),0)-_xlfn.IFNA(INDEX(_xlfn.ANCHORARRAY(Sintesi!$C$17),1,MATCH(1,(_xlfn.ANCHORARRAY(Sintesi!$C$9)&gt;_xlfn.ANCHORARRAY(Sintesi!$C$10))*(A365&gt;=_xlfn.ANCHORARRAY(Sintesi!$C$9))+(_xlfn.ANCHORARRAY(Sintesi!$C$9)&gt;_xlfn.ANCHORARRAY(Sintesi!$C$10))*(A365&lt;=_xlfn.ANCHORARRAY(Sintesi!$C$10))+(_xlfn.ANCHORARRAY(Sintesi!$C$9)&lt;_xlfn.ANCHORARRAY(Sintesi!$C$10))*(A365&gt;=_xlfn.ANCHORARRAY(Sintesi!$C$9))*(A365&lt;=_xlfn.ANCHORARRAY(Sintesi!$C$10)),0)),0)))),0)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6"/>
  <dimension ref="A1:Z370"/>
  <sheetViews>
    <sheetView zoomScale="120" zoomScaleNormal="55" workbookViewId="0">
      <pane xSplit="2" ySplit="1" topLeftCell="D102" activePane="bottomRight" state="frozen"/>
      <selection pane="topRight" activeCell="C1" sqref="C1"/>
      <selection pane="bottomLeft" activeCell="A2" sqref="A2"/>
      <selection pane="bottomRight" activeCell="D102" sqref="D102"/>
    </sheetView>
  </sheetViews>
  <sheetFormatPr defaultColWidth="14.109375" defaultRowHeight="10.199999999999999"/>
  <cols>
    <col min="1" max="1" width="14.109375" style="1" customWidth="1"/>
    <col min="2" max="2" width="10.109375" style="1" bestFit="1" customWidth="1"/>
    <col min="3" max="4" width="14.109375" style="1" customWidth="1"/>
    <col min="5" max="5" width="15" style="1" customWidth="1"/>
    <col min="6" max="6" width="31.5546875" style="1" customWidth="1"/>
    <col min="7" max="7" width="19.44140625" style="1" customWidth="1"/>
    <col min="8" max="8" width="13.5546875" style="1" bestFit="1" customWidth="1"/>
    <col min="9" max="9" width="13.44140625" style="1" bestFit="1" customWidth="1"/>
    <col min="10" max="10" width="13.109375" style="1" bestFit="1" customWidth="1"/>
    <col min="11" max="12" width="14.109375" style="1" customWidth="1"/>
    <col min="13" max="13" width="14.44140625" style="1" bestFit="1" customWidth="1"/>
    <col min="14" max="14" width="15.44140625" style="1" bestFit="1" customWidth="1"/>
    <col min="15" max="15" width="16.44140625" style="1" bestFit="1" customWidth="1"/>
    <col min="16" max="16" width="16.44140625" style="1" customWidth="1"/>
    <col min="17" max="17" width="10.44140625" style="1" bestFit="1" customWidth="1"/>
    <col min="18" max="18" width="20.44140625" style="1" bestFit="1" customWidth="1"/>
    <col min="19" max="20" width="14.109375" style="1" customWidth="1"/>
    <col min="21" max="21" width="14.5546875" style="1" bestFit="1" customWidth="1"/>
    <col min="22" max="22" width="14.109375" style="1" customWidth="1"/>
    <col min="23" max="23" width="9.5546875" style="1" customWidth="1"/>
    <col min="24" max="24" width="14.109375" style="1" customWidth="1"/>
    <col min="25" max="16384" width="14.109375" style="1"/>
  </cols>
  <sheetData>
    <row r="1" spans="1:26" ht="23.25" customHeight="1">
      <c r="A1" s="3" t="s">
        <v>90</v>
      </c>
      <c r="B1" s="3" t="s">
        <v>104</v>
      </c>
      <c r="C1" s="3" t="s">
        <v>59</v>
      </c>
      <c r="D1" s="3" t="s">
        <v>60</v>
      </c>
      <c r="E1" s="3" t="s">
        <v>105</v>
      </c>
      <c r="F1" s="3" t="s">
        <v>106</v>
      </c>
      <c r="G1" s="3" t="s">
        <v>107</v>
      </c>
      <c r="H1" s="3" t="s">
        <v>61</v>
      </c>
      <c r="I1" s="3" t="s">
        <v>62</v>
      </c>
      <c r="J1" s="3" t="s">
        <v>63</v>
      </c>
      <c r="K1" s="3" t="s">
        <v>64</v>
      </c>
      <c r="L1" s="3" t="s">
        <v>108</v>
      </c>
      <c r="M1" s="3" t="s">
        <v>109</v>
      </c>
      <c r="N1" s="3" t="s">
        <v>67</v>
      </c>
      <c r="O1" s="3" t="s">
        <v>110</v>
      </c>
      <c r="P1" s="3" t="s">
        <v>111</v>
      </c>
      <c r="Q1" s="3" t="s">
        <v>112</v>
      </c>
      <c r="R1" s="4" t="s">
        <v>113</v>
      </c>
      <c r="S1" s="6" t="s">
        <v>114</v>
      </c>
      <c r="T1" s="6" t="s">
        <v>115</v>
      </c>
      <c r="U1" s="3" t="s">
        <v>116</v>
      </c>
      <c r="V1" s="1" t="s">
        <v>117</v>
      </c>
      <c r="W1" s="4" t="s">
        <v>4</v>
      </c>
      <c r="X1" s="1" t="s">
        <v>118</v>
      </c>
      <c r="Y1" s="1" t="s">
        <v>119</v>
      </c>
      <c r="Z1" s="1" t="s">
        <v>120</v>
      </c>
    </row>
    <row r="2" spans="1:26">
      <c r="A2" s="1">
        <v>1</v>
      </c>
      <c r="B2" s="2">
        <f>DATE(Sintesi!$C$4-1,12,31)+A2</f>
        <v>44197</v>
      </c>
      <c r="C2" s="1">
        <f>'Paste cell here'!B2</f>
        <v>12.279999999999855</v>
      </c>
      <c r="D2" s="1">
        <f>'Paste cell here'!I2</f>
        <v>0</v>
      </c>
      <c r="E2" s="1">
        <f>'Paste cell here'!J2</f>
        <v>12.279999999999855</v>
      </c>
      <c r="F2" s="1">
        <f>'Paste cell here'!K2</f>
        <v>12.279999999999855</v>
      </c>
      <c r="G2" s="1">
        <f>'Paste cell here'!L2</f>
        <v>11.817302522094456</v>
      </c>
      <c r="H2" s="1">
        <f>'Paste cell here'!M2</f>
        <v>0</v>
      </c>
      <c r="I2" s="1">
        <f>'Paste cell here'!N2</f>
        <v>0.46269747790539856</v>
      </c>
      <c r="J2" s="1">
        <f>'Paste cell here'!O2</f>
        <v>11.817302874277518</v>
      </c>
      <c r="K2" s="1">
        <f>'Paste cell here'!Q2</f>
        <v>0.35621307224742799</v>
      </c>
      <c r="L2" s="1">
        <f>'Paste cell here'!S2</f>
        <v>0</v>
      </c>
      <c r="M2" s="1">
        <f>'Paste cell here'!T2</f>
        <v>0.49087775584777443</v>
      </c>
      <c r="N2" s="1">
        <f>'Paste cell here'!W2</f>
        <v>0</v>
      </c>
      <c r="O2" s="1">
        <f>'Paste cell here'!U2</f>
        <v>30.490212046182318</v>
      </c>
      <c r="Q2" s="1">
        <f>'Paste cell here'!V2</f>
        <v>0</v>
      </c>
      <c r="S2" s="7">
        <f>Sintesi!$C$30</f>
        <v>0.107</v>
      </c>
      <c r="T2" s="7">
        <f>Sintesi!$C$29</f>
        <v>0.23300000000000001</v>
      </c>
      <c r="U2" s="5">
        <f>O2/(Sintesi!$C$5*1000)</f>
        <v>0.30490212046182319</v>
      </c>
      <c r="V2" s="1">
        <f t="shared" ref="V2:V65" si="0">T2-S2</f>
        <v>0.126</v>
      </c>
      <c r="W2" s="1">
        <v>0.69999999552965098</v>
      </c>
      <c r="X2" s="1">
        <f t="shared" ref="X2:X65" si="1">W2*V2</f>
        <v>8.8199999436736023E-2</v>
      </c>
      <c r="Y2" s="1">
        <f t="shared" ref="Y2:Y65" si="2">T2-X2</f>
        <v>0.14480000056326398</v>
      </c>
      <c r="Z2" s="1">
        <f>'Paste cellinfo here'!$B$11</f>
        <v>0.52400000000000002</v>
      </c>
    </row>
    <row r="3" spans="1:26">
      <c r="A3" s="1">
        <v>2</v>
      </c>
      <c r="B3" s="2">
        <f>DATE(Sintesi!$C$4-1,12,31)+A3</f>
        <v>44198</v>
      </c>
      <c r="C3" s="1">
        <f>'Paste cell here'!B3</f>
        <v>23.639999999999752</v>
      </c>
      <c r="D3" s="1">
        <f>'Paste cell here'!I3</f>
        <v>0</v>
      </c>
      <c r="E3" s="1">
        <f>'Paste cell here'!J3</f>
        <v>23.639999999999752</v>
      </c>
      <c r="F3" s="1">
        <f>'Paste cell here'!K3</f>
        <v>23.639999999999752</v>
      </c>
      <c r="G3" s="1">
        <f>'Paste cell here'!L3</f>
        <v>11.635190322157975</v>
      </c>
      <c r="H3" s="1">
        <f>'Paste cell here'!M3</f>
        <v>0</v>
      </c>
      <c r="I3" s="1">
        <f>'Paste cell here'!N3</f>
        <v>12.004809677841777</v>
      </c>
      <c r="J3" s="1">
        <f>'Paste cell here'!O3</f>
        <v>11.635190668913665</v>
      </c>
      <c r="K3" s="1">
        <f>'Paste cell here'!Q3</f>
        <v>0.36603109743470763</v>
      </c>
      <c r="L3" s="1">
        <f>'Paste cell here'!S3</f>
        <v>0</v>
      </c>
      <c r="M3" s="1">
        <f>'Paste cell here'!T3</f>
        <v>6.763115199382332</v>
      </c>
      <c r="N3" s="1">
        <f>'Paste cell here'!W3</f>
        <v>0</v>
      </c>
      <c r="O3" s="1">
        <f>'Paste cell here'!U3</f>
        <v>34.996256418278961</v>
      </c>
      <c r="P3" s="1">
        <f t="shared" ref="P3:P66" si="3">O2</f>
        <v>30.490212046182318</v>
      </c>
      <c r="Q3" s="1">
        <f>'Paste cell here'!V3</f>
        <v>0</v>
      </c>
      <c r="R3" s="1">
        <f t="shared" ref="R3:R66" si="4">ABS(O2+C3+D3+N3+Q2-H3-I3-K3-L3-M3-O3-Q3)</f>
        <v>3.4675571214393131E-7</v>
      </c>
      <c r="S3" s="7">
        <f>Sintesi!$C$30</f>
        <v>0.107</v>
      </c>
      <c r="T3" s="7">
        <f>Sintesi!$C$29</f>
        <v>0.23300000000000001</v>
      </c>
      <c r="U3" s="5">
        <f>O3/(Sintesi!$C$5*1000)</f>
        <v>0.34996256418278959</v>
      </c>
      <c r="V3" s="1">
        <f t="shared" si="0"/>
        <v>0.126</v>
      </c>
      <c r="W3" s="1">
        <v>0.68342996012834101</v>
      </c>
      <c r="X3" s="1">
        <f t="shared" si="1"/>
        <v>8.6112174976170963E-2</v>
      </c>
      <c r="Y3" s="1">
        <f t="shared" si="2"/>
        <v>0.14688782502382905</v>
      </c>
      <c r="Z3" s="1">
        <f>'Paste cellinfo here'!$B$11</f>
        <v>0.52400000000000002</v>
      </c>
    </row>
    <row r="4" spans="1:26">
      <c r="A4" s="1">
        <v>3</v>
      </c>
      <c r="B4" s="2">
        <f>DATE(Sintesi!$C$4-1,12,31)+A4</f>
        <v>44199</v>
      </c>
      <c r="C4" s="1">
        <f>'Paste cell here'!B4</f>
        <v>6.4799999999999125</v>
      </c>
      <c r="D4" s="1">
        <f>'Paste cell here'!I4</f>
        <v>0</v>
      </c>
      <c r="E4" s="1">
        <f>'Paste cell here'!J4</f>
        <v>6.4799999999999125</v>
      </c>
      <c r="F4" s="1">
        <f>'Paste cell here'!K4</f>
        <v>6.4799999999999125</v>
      </c>
      <c r="G4" s="1">
        <f>'Paste cell here'!L4</f>
        <v>5.795830241289317</v>
      </c>
      <c r="H4" s="1">
        <f>'Paste cell here'!M4</f>
        <v>0</v>
      </c>
      <c r="I4" s="1">
        <f>'Paste cell here'!N4</f>
        <v>0.68416975871059582</v>
      </c>
      <c r="J4" s="1">
        <f>'Paste cell here'!O4</f>
        <v>5.7958304140185195</v>
      </c>
      <c r="K4" s="1">
        <f>'Paste cell here'!Q4</f>
        <v>0.27889299799259398</v>
      </c>
      <c r="L4" s="1">
        <f>'Paste cell here'!S4</f>
        <v>0</v>
      </c>
      <c r="M4" s="1">
        <f>'Paste cell here'!T4</f>
        <v>7.1983099561671313</v>
      </c>
      <c r="N4" s="1">
        <f>'Paste cell here'!W4</f>
        <v>0</v>
      </c>
      <c r="O4" s="1">
        <f>'Paste cell here'!U4</f>
        <v>33.314883878137763</v>
      </c>
      <c r="P4" s="1">
        <f t="shared" si="3"/>
        <v>34.996256418278961</v>
      </c>
      <c r="Q4" s="1">
        <f>'Paste cell here'!V4</f>
        <v>0</v>
      </c>
      <c r="R4" s="1">
        <f t="shared" si="4"/>
        <v>1.7272920871391761E-7</v>
      </c>
      <c r="S4" s="7">
        <f>Sintesi!$C$30</f>
        <v>0.107</v>
      </c>
      <c r="T4" s="7">
        <f>Sintesi!$C$29</f>
        <v>0.23300000000000001</v>
      </c>
      <c r="U4" s="5">
        <f>O4/(Sintesi!$C$5*1000)</f>
        <v>0.33314883878137763</v>
      </c>
      <c r="V4" s="1">
        <f t="shared" si="0"/>
        <v>0.126</v>
      </c>
      <c r="W4" s="1">
        <v>0.67275483339560804</v>
      </c>
      <c r="X4" s="1">
        <f t="shared" si="1"/>
        <v>8.4767109007846619E-2</v>
      </c>
      <c r="Y4" s="1">
        <f t="shared" si="2"/>
        <v>0.14823289099215339</v>
      </c>
      <c r="Z4" s="1">
        <f>'Paste cellinfo here'!$B$11</f>
        <v>0.52400000000000002</v>
      </c>
    </row>
    <row r="5" spans="1:26">
      <c r="A5" s="1">
        <v>4</v>
      </c>
      <c r="B5" s="2">
        <f>DATE(Sintesi!$C$4-1,12,31)+A5</f>
        <v>44200</v>
      </c>
      <c r="C5" s="1">
        <f>'Paste cell here'!B5</f>
        <v>7.4399999999999142</v>
      </c>
      <c r="D5" s="1">
        <f>'Paste cell here'!I5</f>
        <v>0</v>
      </c>
      <c r="E5" s="1">
        <f>'Paste cell here'!J5</f>
        <v>7.4399999999999142</v>
      </c>
      <c r="F5" s="1">
        <f>'Paste cell here'!K5</f>
        <v>7.4399999999999142</v>
      </c>
      <c r="G5" s="1">
        <f>'Paste cell here'!L5</f>
        <v>6.3929100784333794</v>
      </c>
      <c r="H5" s="1">
        <f>'Paste cell here'!M5</f>
        <v>0</v>
      </c>
      <c r="I5" s="1">
        <f>'Paste cell here'!N5</f>
        <v>1.047089921566535</v>
      </c>
      <c r="J5" s="1">
        <f>'Paste cell here'!O5</f>
        <v>6.3929102689569461</v>
      </c>
      <c r="K5" s="1">
        <f>'Paste cell here'!Q5</f>
        <v>0.37470483137277266</v>
      </c>
      <c r="L5" s="1">
        <f>'Paste cell here'!S5</f>
        <v>0</v>
      </c>
      <c r="M5" s="1">
        <f>'Paste cell here'!T5</f>
        <v>5.9868190061242883</v>
      </c>
      <c r="N5" s="1">
        <f>'Paste cell here'!W5</f>
        <v>0</v>
      </c>
      <c r="O5" s="1">
        <f>'Paste cell here'!U5</f>
        <v>33.346270309597656</v>
      </c>
      <c r="P5" s="1">
        <f t="shared" si="3"/>
        <v>33.314883878137763</v>
      </c>
      <c r="Q5" s="1">
        <f>'Paste cell here'!V5</f>
        <v>0</v>
      </c>
      <c r="R5" s="1">
        <f t="shared" si="4"/>
        <v>1.9052357913551532E-7</v>
      </c>
      <c r="S5" s="7">
        <f>Sintesi!$C$30</f>
        <v>0.107</v>
      </c>
      <c r="T5" s="7">
        <f>Sintesi!$C$29</f>
        <v>0.23300000000000001</v>
      </c>
      <c r="U5" s="5">
        <f>O5/(Sintesi!$C$5*1000)</f>
        <v>0.33346270309597659</v>
      </c>
      <c r="V5" s="1">
        <f t="shared" si="0"/>
        <v>0.126</v>
      </c>
      <c r="W5" s="1">
        <v>0.67293350726855194</v>
      </c>
      <c r="X5" s="1">
        <f t="shared" si="1"/>
        <v>8.478962191583754E-2</v>
      </c>
      <c r="Y5" s="1">
        <f t="shared" si="2"/>
        <v>0.14821037808416249</v>
      </c>
      <c r="Z5" s="1">
        <f>'Paste cellinfo here'!$B$11</f>
        <v>0.52400000000000002</v>
      </c>
    </row>
    <row r="6" spans="1:26">
      <c r="A6" s="1">
        <v>5</v>
      </c>
      <c r="B6" s="2">
        <f>DATE(Sintesi!$C$4-1,12,31)+A6</f>
        <v>44201</v>
      </c>
      <c r="C6" s="1">
        <f>'Paste cell here'!B6</f>
        <v>3.9999999999998965</v>
      </c>
      <c r="D6" s="1">
        <f>'Paste cell here'!I6</f>
        <v>0</v>
      </c>
      <c r="E6" s="1">
        <f>'Paste cell here'!J6</f>
        <v>3.9999999999998965</v>
      </c>
      <c r="F6" s="1">
        <f>'Paste cell here'!K6</f>
        <v>3.9999999999998965</v>
      </c>
      <c r="G6" s="1">
        <f>'Paste cell here'!L6</f>
        <v>3.9297085015921431</v>
      </c>
      <c r="H6" s="1">
        <f>'Paste cell here'!M6</f>
        <v>0</v>
      </c>
      <c r="I6" s="1">
        <f>'Paste cell here'!N6</f>
        <v>7.02914984077532E-2</v>
      </c>
      <c r="J6" s="1">
        <f>'Paste cell here'!O6</f>
        <v>3.9297086187065799</v>
      </c>
      <c r="K6" s="1">
        <f>'Paste cell here'!Q6</f>
        <v>0.45439674638785482</v>
      </c>
      <c r="L6" s="1">
        <f>'Paste cell here'!S6</f>
        <v>0</v>
      </c>
      <c r="M6" s="1">
        <f>'Paste cell here'!T6</f>
        <v>4.6718650890384401</v>
      </c>
      <c r="N6" s="1">
        <f>'Paste cell here'!W6</f>
        <v>0</v>
      </c>
      <c r="O6" s="1">
        <f>'Paste cell here'!U6</f>
        <v>32.149717092877943</v>
      </c>
      <c r="P6" s="1">
        <f t="shared" si="3"/>
        <v>33.346270309597656</v>
      </c>
      <c r="Q6" s="1">
        <f>'Paste cell here'!V6</f>
        <v>0</v>
      </c>
      <c r="R6" s="1">
        <f t="shared" si="4"/>
        <v>1.1711444614093125E-7</v>
      </c>
      <c r="S6" s="7">
        <f>Sintesi!$C$30</f>
        <v>0.107</v>
      </c>
      <c r="T6" s="7">
        <f>Sintesi!$C$29</f>
        <v>0.23300000000000001</v>
      </c>
      <c r="U6" s="5">
        <f>O6/(Sintesi!$C$5*1000)</f>
        <v>0.32149717092877944</v>
      </c>
      <c r="V6" s="1">
        <f t="shared" si="0"/>
        <v>0.126</v>
      </c>
      <c r="W6" s="1">
        <v>0.68173173948135901</v>
      </c>
      <c r="X6" s="1">
        <f t="shared" si="1"/>
        <v>8.5898199174651232E-2</v>
      </c>
      <c r="Y6" s="1">
        <f t="shared" si="2"/>
        <v>0.14710180082534879</v>
      </c>
      <c r="Z6" s="1">
        <f>'Paste cellinfo here'!$B$11</f>
        <v>0.52400000000000002</v>
      </c>
    </row>
    <row r="7" spans="1:26">
      <c r="A7" s="1">
        <v>6</v>
      </c>
      <c r="B7" s="2">
        <f>DATE(Sintesi!$C$4-1,12,31)+A7</f>
        <v>44202</v>
      </c>
      <c r="C7" s="1">
        <f>'Paste cell here'!B7</f>
        <v>2.3599999999999763</v>
      </c>
      <c r="D7" s="1">
        <f>'Paste cell here'!I7</f>
        <v>0</v>
      </c>
      <c r="E7" s="1">
        <f>'Paste cell here'!J7</f>
        <v>2.3599999999999763</v>
      </c>
      <c r="F7" s="1">
        <f>'Paste cell here'!K7</f>
        <v>2.3599999999999763</v>
      </c>
      <c r="G7" s="1">
        <f>'Paste cell here'!L7</f>
        <v>2.3599999999999763</v>
      </c>
      <c r="H7" s="1">
        <f>'Paste cell here'!M7</f>
        <v>0</v>
      </c>
      <c r="I7" s="1">
        <f>'Paste cell here'!N7</f>
        <v>0</v>
      </c>
      <c r="J7" s="1">
        <f>'Paste cell here'!O7</f>
        <v>2.3600000703334567</v>
      </c>
      <c r="K7" s="1">
        <f>'Paste cell here'!Q7</f>
        <v>0.39831802108978898</v>
      </c>
      <c r="L7" s="1">
        <f>'Paste cell here'!S7</f>
        <v>0</v>
      </c>
      <c r="M7" s="1">
        <f>'Paste cell here'!T7</f>
        <v>3.1281223168963908</v>
      </c>
      <c r="N7" s="1">
        <f>'Paste cell here'!W7</f>
        <v>0</v>
      </c>
      <c r="O7" s="1">
        <f>'Paste cell here'!U7</f>
        <v>30.983276825225236</v>
      </c>
      <c r="P7" s="1">
        <f t="shared" si="3"/>
        <v>32.149717092877943</v>
      </c>
      <c r="Q7" s="1">
        <f>'Paste cell here'!V7</f>
        <v>0</v>
      </c>
      <c r="R7" s="1">
        <f t="shared" si="4"/>
        <v>7.0333491919427615E-8</v>
      </c>
      <c r="S7" s="7">
        <f>Sintesi!$C$30</f>
        <v>0.107</v>
      </c>
      <c r="T7" s="7">
        <f>Sintesi!$C$29</f>
        <v>0.23300000000000001</v>
      </c>
      <c r="U7" s="5">
        <f>O7/(Sintesi!$C$5*1000)</f>
        <v>0.30983276825225237</v>
      </c>
      <c r="V7" s="1">
        <f t="shared" si="0"/>
        <v>0.126</v>
      </c>
      <c r="W7" s="1">
        <v>0.68173809375553396</v>
      </c>
      <c r="X7" s="1">
        <f t="shared" si="1"/>
        <v>8.5898999813197277E-2</v>
      </c>
      <c r="Y7" s="1">
        <f t="shared" si="2"/>
        <v>0.14710100018680272</v>
      </c>
      <c r="Z7" s="1">
        <f>'Paste cellinfo here'!$B$11</f>
        <v>0.52400000000000002</v>
      </c>
    </row>
    <row r="8" spans="1:26">
      <c r="A8" s="1">
        <v>7</v>
      </c>
      <c r="B8" s="2">
        <f>DATE(Sintesi!$C$4-1,12,31)+A8</f>
        <v>44203</v>
      </c>
      <c r="C8" s="1">
        <f>'Paste cell here'!B8</f>
        <v>7.9999999999999724E-2</v>
      </c>
      <c r="D8" s="1">
        <f>'Paste cell here'!I8</f>
        <v>0</v>
      </c>
      <c r="E8" s="1">
        <f>'Paste cell here'!J8</f>
        <v>7.9999999999999724E-2</v>
      </c>
      <c r="F8" s="1">
        <f>'Paste cell here'!K8</f>
        <v>7.9999999999999724E-2</v>
      </c>
      <c r="G8" s="1">
        <f>'Paste cell here'!L8</f>
        <v>7.9999999999999724E-2</v>
      </c>
      <c r="H8" s="1">
        <f>'Paste cell here'!M8</f>
        <v>0</v>
      </c>
      <c r="I8" s="1">
        <f>'Paste cell here'!N8</f>
        <v>0</v>
      </c>
      <c r="J8" s="1">
        <f>'Paste cell here'!O8</f>
        <v>8.000000238418549E-2</v>
      </c>
      <c r="K8" s="1">
        <f>'Paste cell here'!Q8</f>
        <v>0.46164129923855007</v>
      </c>
      <c r="L8" s="1">
        <f>'Paste cell here'!S8</f>
        <v>0</v>
      </c>
      <c r="M8" s="1">
        <f>'Paste cell here'!T8</f>
        <v>1.721842299820217</v>
      </c>
      <c r="N8" s="1">
        <f>'Paste cell here'!W8</f>
        <v>0</v>
      </c>
      <c r="O8" s="1">
        <f>'Paste cell here'!U8</f>
        <v>28.879793228550653</v>
      </c>
      <c r="P8" s="1">
        <f t="shared" si="3"/>
        <v>30.983276825225236</v>
      </c>
      <c r="Q8" s="1">
        <f>'Paste cell here'!V8</f>
        <v>0</v>
      </c>
      <c r="R8" s="1">
        <f t="shared" si="4"/>
        <v>2.3841870699925494E-9</v>
      </c>
      <c r="S8" s="7">
        <f>Sintesi!$C$30</f>
        <v>0.107</v>
      </c>
      <c r="T8" s="7">
        <f>Sintesi!$C$29</f>
        <v>0.23300000000000001</v>
      </c>
      <c r="U8" s="5">
        <f>O8/(Sintesi!$C$5*1000)</f>
        <v>0.28879793228550654</v>
      </c>
      <c r="V8" s="1">
        <f t="shared" si="0"/>
        <v>0.126</v>
      </c>
      <c r="W8" s="1">
        <v>0.68360889775287503</v>
      </c>
      <c r="X8" s="1">
        <f t="shared" si="1"/>
        <v>8.6134721116862253E-2</v>
      </c>
      <c r="Y8" s="1">
        <f t="shared" si="2"/>
        <v>0.14686527888313777</v>
      </c>
      <c r="Z8" s="1">
        <f>'Paste cellinfo here'!$B$11</f>
        <v>0.52400000000000002</v>
      </c>
    </row>
    <row r="9" spans="1:26">
      <c r="A9" s="1">
        <v>8</v>
      </c>
      <c r="B9" s="2">
        <f>DATE(Sintesi!$C$4-1,12,31)+A9</f>
        <v>44204</v>
      </c>
      <c r="C9" s="1">
        <f>'Paste cell here'!B9</f>
        <v>0</v>
      </c>
      <c r="D9" s="1">
        <f>'Paste cell here'!I9</f>
        <v>0</v>
      </c>
      <c r="E9" s="1">
        <f>'Paste cell here'!J9</f>
        <v>0</v>
      </c>
      <c r="F9" s="1">
        <f>'Paste cell here'!K9</f>
        <v>0</v>
      </c>
      <c r="G9" s="1">
        <f>'Paste cell here'!L9</f>
        <v>0</v>
      </c>
      <c r="H9" s="1">
        <f>'Paste cell here'!M9</f>
        <v>0</v>
      </c>
      <c r="I9" s="1">
        <f>'Paste cell here'!N9</f>
        <v>0</v>
      </c>
      <c r="J9" s="1">
        <f>'Paste cell here'!O9</f>
        <v>0</v>
      </c>
      <c r="K9" s="1">
        <f>'Paste cell here'!Q9</f>
        <v>0.18858355375151858</v>
      </c>
      <c r="L9" s="1">
        <f>'Paste cell here'!S9</f>
        <v>0</v>
      </c>
      <c r="M9" s="1">
        <f>'Paste cell here'!T9</f>
        <v>0.91463227816850445</v>
      </c>
      <c r="N9" s="1">
        <f>'Paste cell here'!W9</f>
        <v>0</v>
      </c>
      <c r="O9" s="1">
        <f>'Paste cell here'!U9</f>
        <v>27.776577396630621</v>
      </c>
      <c r="P9" s="1">
        <f t="shared" si="3"/>
        <v>28.879793228550653</v>
      </c>
      <c r="Q9" s="1">
        <f>'Paste cell here'!V9</f>
        <v>0</v>
      </c>
      <c r="R9" s="1">
        <f t="shared" si="4"/>
        <v>1.0658141036401503E-14</v>
      </c>
      <c r="S9" s="7">
        <f>Sintesi!$C$30</f>
        <v>0.107</v>
      </c>
      <c r="T9" s="7">
        <f>Sintesi!$C$29</f>
        <v>0.23300000000000001</v>
      </c>
      <c r="U9" s="5">
        <f>O9/(Sintesi!$C$5*1000)</f>
        <v>0.2777657739663062</v>
      </c>
      <c r="V9" s="1">
        <f t="shared" si="0"/>
        <v>0.126</v>
      </c>
      <c r="W9" s="1">
        <v>0.68258978316787799</v>
      </c>
      <c r="X9" s="1">
        <f t="shared" si="1"/>
        <v>8.6006312679152624E-2</v>
      </c>
      <c r="Y9" s="1">
        <f t="shared" si="2"/>
        <v>0.14699368732084739</v>
      </c>
      <c r="Z9" s="1">
        <f>'Paste cellinfo here'!$B$11</f>
        <v>0.52400000000000002</v>
      </c>
    </row>
    <row r="10" spans="1:26">
      <c r="A10" s="1">
        <v>9</v>
      </c>
      <c r="B10" s="2">
        <f>DATE(Sintesi!$C$4-1,12,31)+A10</f>
        <v>44205</v>
      </c>
      <c r="C10" s="1">
        <f>'Paste cell here'!B10</f>
        <v>0</v>
      </c>
      <c r="D10" s="1">
        <f>'Paste cell here'!I10</f>
        <v>0</v>
      </c>
      <c r="E10" s="1">
        <f>'Paste cell here'!J10</f>
        <v>0</v>
      </c>
      <c r="F10" s="1">
        <f>'Paste cell here'!K10</f>
        <v>0</v>
      </c>
      <c r="G10" s="1">
        <f>'Paste cell here'!L10</f>
        <v>0</v>
      </c>
      <c r="H10" s="1">
        <f>'Paste cell here'!M10</f>
        <v>0</v>
      </c>
      <c r="I10" s="1">
        <f>'Paste cell here'!N10</f>
        <v>0</v>
      </c>
      <c r="J10" s="1">
        <f>'Paste cell here'!O10</f>
        <v>0</v>
      </c>
      <c r="K10" s="1">
        <f>'Paste cell here'!Q10</f>
        <v>0.43556267637306906</v>
      </c>
      <c r="L10" s="1">
        <f>'Paste cell here'!S10</f>
        <v>0</v>
      </c>
      <c r="M10" s="1">
        <f>'Paste cell here'!T10</f>
        <v>0.58536093865914418</v>
      </c>
      <c r="N10" s="1">
        <f>'Paste cell here'!W10</f>
        <v>0</v>
      </c>
      <c r="O10" s="1">
        <f>'Paste cell here'!U10</f>
        <v>26.755653781598415</v>
      </c>
      <c r="P10" s="1">
        <f t="shared" si="3"/>
        <v>27.776577396630621</v>
      </c>
      <c r="Q10" s="1">
        <f>'Paste cell here'!V10</f>
        <v>0</v>
      </c>
      <c r="R10" s="1">
        <f t="shared" si="4"/>
        <v>7.1054273576010019E-15</v>
      </c>
      <c r="S10" s="7">
        <f>Sintesi!$C$30</f>
        <v>0.107</v>
      </c>
      <c r="T10" s="7">
        <f>Sintesi!$C$29</f>
        <v>0.23300000000000001</v>
      </c>
      <c r="U10" s="5">
        <f>O10/(Sintesi!$C$5*1000)</f>
        <v>0.26755653781598415</v>
      </c>
      <c r="V10" s="1">
        <f t="shared" si="0"/>
        <v>0.126</v>
      </c>
      <c r="W10" s="1">
        <v>0.68614344630027901</v>
      </c>
      <c r="X10" s="1">
        <f t="shared" si="1"/>
        <v>8.6454074233835151E-2</v>
      </c>
      <c r="Y10" s="1">
        <f t="shared" si="2"/>
        <v>0.14654592576616488</v>
      </c>
      <c r="Z10" s="1">
        <f>'Paste cellinfo here'!$B$11</f>
        <v>0.52400000000000002</v>
      </c>
    </row>
    <row r="11" spans="1:26">
      <c r="A11" s="1">
        <v>10</v>
      </c>
      <c r="B11" s="2">
        <f>DATE(Sintesi!$C$4-1,12,31)+A11</f>
        <v>44206</v>
      </c>
      <c r="C11" s="1">
        <f>'Paste cell here'!B11</f>
        <v>0</v>
      </c>
      <c r="D11" s="1">
        <f>'Paste cell here'!I11</f>
        <v>0</v>
      </c>
      <c r="E11" s="1">
        <f>'Paste cell here'!J11</f>
        <v>0</v>
      </c>
      <c r="F11" s="1">
        <f>'Paste cell here'!K11</f>
        <v>0</v>
      </c>
      <c r="G11" s="1">
        <f>'Paste cell here'!L11</f>
        <v>0</v>
      </c>
      <c r="H11" s="1">
        <f>'Paste cell here'!M11</f>
        <v>0</v>
      </c>
      <c r="I11" s="1">
        <f>'Paste cell here'!N11</f>
        <v>0</v>
      </c>
      <c r="J11" s="1">
        <f>'Paste cell here'!O11</f>
        <v>0</v>
      </c>
      <c r="K11" s="1">
        <f>'Paste cell here'!Q11</f>
        <v>0.50855673257801104</v>
      </c>
      <c r="L11" s="1">
        <f>'Paste cell here'!S11</f>
        <v>0</v>
      </c>
      <c r="M11" s="1">
        <f>'Paste cell here'!T11</f>
        <v>0.38220644755256905</v>
      </c>
      <c r="N11" s="1">
        <f>'Paste cell here'!W11</f>
        <v>0</v>
      </c>
      <c r="O11" s="1">
        <f>'Paste cell here'!U11</f>
        <v>25.864890601467845</v>
      </c>
      <c r="P11" s="1">
        <f t="shared" si="3"/>
        <v>26.755653781598415</v>
      </c>
      <c r="Q11" s="1">
        <f>'Paste cell here'!V11</f>
        <v>0</v>
      </c>
      <c r="R11" s="1">
        <f t="shared" si="4"/>
        <v>1.0658141036401503E-14</v>
      </c>
      <c r="S11" s="7">
        <f>Sintesi!$C$30</f>
        <v>0.107</v>
      </c>
      <c r="T11" s="7">
        <f>Sintesi!$C$29</f>
        <v>0.23300000000000001</v>
      </c>
      <c r="U11" s="5">
        <f>O11/(Sintesi!$C$5*1000)</f>
        <v>0.25864890601467844</v>
      </c>
      <c r="V11" s="1">
        <f t="shared" si="0"/>
        <v>0.126</v>
      </c>
      <c r="W11" s="1">
        <v>0.67579694797038004</v>
      </c>
      <c r="X11" s="1">
        <f t="shared" si="1"/>
        <v>8.515041544426788E-2</v>
      </c>
      <c r="Y11" s="1">
        <f t="shared" si="2"/>
        <v>0.14784958455573213</v>
      </c>
      <c r="Z11" s="1">
        <f>'Paste cellinfo here'!$B$11</f>
        <v>0.52400000000000002</v>
      </c>
    </row>
    <row r="12" spans="1:26">
      <c r="A12" s="1">
        <v>11</v>
      </c>
      <c r="B12" s="2">
        <f>DATE(Sintesi!$C$4-1,12,31)+A12</f>
        <v>44207</v>
      </c>
      <c r="C12" s="1">
        <f>'Paste cell here'!B12</f>
        <v>7.9999999999999724E-2</v>
      </c>
      <c r="D12" s="1">
        <f>'Paste cell here'!I12</f>
        <v>0</v>
      </c>
      <c r="E12" s="1">
        <f>'Paste cell here'!J12</f>
        <v>7.9999999999999724E-2</v>
      </c>
      <c r="F12" s="1">
        <f>'Paste cell here'!K12</f>
        <v>7.9999999999999724E-2</v>
      </c>
      <c r="G12" s="1">
        <f>'Paste cell here'!L12</f>
        <v>7.9999999999999724E-2</v>
      </c>
      <c r="H12" s="1">
        <f>'Paste cell here'!M12</f>
        <v>0</v>
      </c>
      <c r="I12" s="1">
        <f>'Paste cell here'!N12</f>
        <v>0</v>
      </c>
      <c r="J12" s="1">
        <f>'Paste cell here'!O12</f>
        <v>8.000000238418549E-2</v>
      </c>
      <c r="K12" s="1">
        <f>'Paste cell here'!Q12</f>
        <v>0.23242264609285479</v>
      </c>
      <c r="L12" s="1">
        <f>'Paste cell here'!S12</f>
        <v>0</v>
      </c>
      <c r="M12" s="1">
        <f>'Paste cell here'!T12</f>
        <v>0.27960225808381328</v>
      </c>
      <c r="N12" s="1">
        <f>'Paste cell here'!W12</f>
        <v>0</v>
      </c>
      <c r="O12" s="1">
        <f>'Paste cell here'!U12</f>
        <v>25.432865699675361</v>
      </c>
      <c r="P12" s="1">
        <f t="shared" si="3"/>
        <v>25.864890601467845</v>
      </c>
      <c r="Q12" s="1">
        <f>'Paste cell here'!V12</f>
        <v>0</v>
      </c>
      <c r="R12" s="1">
        <f t="shared" si="4"/>
        <v>2.3841835172788706E-9</v>
      </c>
      <c r="S12" s="7">
        <f>Sintesi!$C$30</f>
        <v>0.107</v>
      </c>
      <c r="T12" s="7">
        <f>Sintesi!$C$29</f>
        <v>0.23300000000000001</v>
      </c>
      <c r="U12" s="5">
        <f>O12/(Sintesi!$C$5*1000)</f>
        <v>0.25432865699675361</v>
      </c>
      <c r="V12" s="1">
        <f t="shared" si="0"/>
        <v>0.126</v>
      </c>
      <c r="W12" s="1">
        <v>0.66871275798113505</v>
      </c>
      <c r="X12" s="1">
        <f t="shared" si="1"/>
        <v>8.425780750562302E-2</v>
      </c>
      <c r="Y12" s="1">
        <f t="shared" si="2"/>
        <v>0.14874219249437698</v>
      </c>
      <c r="Z12" s="1">
        <f>'Paste cellinfo here'!$B$11</f>
        <v>0.52400000000000002</v>
      </c>
    </row>
    <row r="13" spans="1:26">
      <c r="A13" s="1">
        <v>12</v>
      </c>
      <c r="B13" s="2">
        <f>DATE(Sintesi!$C$4-1,12,31)+A13</f>
        <v>44208</v>
      </c>
      <c r="C13" s="1">
        <f>'Paste cell here'!B13</f>
        <v>0</v>
      </c>
      <c r="D13" s="1">
        <f>'Paste cell here'!I13</f>
        <v>0</v>
      </c>
      <c r="E13" s="1">
        <f>'Paste cell here'!J13</f>
        <v>0</v>
      </c>
      <c r="F13" s="1">
        <f>'Paste cell here'!K13</f>
        <v>0</v>
      </c>
      <c r="G13" s="1">
        <f>'Paste cell here'!L13</f>
        <v>0</v>
      </c>
      <c r="H13" s="1">
        <f>'Paste cell here'!M13</f>
        <v>0</v>
      </c>
      <c r="I13" s="1">
        <f>'Paste cell here'!N13</f>
        <v>0</v>
      </c>
      <c r="J13" s="1">
        <f>'Paste cell here'!O13</f>
        <v>0</v>
      </c>
      <c r="K13" s="1">
        <f>'Paste cell here'!Q13</f>
        <v>0.41171889697495823</v>
      </c>
      <c r="L13" s="1">
        <f>'Paste cell here'!S13</f>
        <v>0</v>
      </c>
      <c r="M13" s="1">
        <f>'Paste cell here'!T13</f>
        <v>0.21712464927288497</v>
      </c>
      <c r="N13" s="1">
        <f>'Paste cell here'!W13</f>
        <v>0</v>
      </c>
      <c r="O13" s="1">
        <f>'Paste cell here'!U13</f>
        <v>24.80402215342751</v>
      </c>
      <c r="P13" s="1">
        <f t="shared" si="3"/>
        <v>25.432865699675361</v>
      </c>
      <c r="Q13" s="1">
        <f>'Paste cell here'!V13</f>
        <v>0</v>
      </c>
      <c r="R13" s="1">
        <f t="shared" si="4"/>
        <v>7.1054273576010019E-15</v>
      </c>
      <c r="S13" s="7">
        <f>Sintesi!$C$30</f>
        <v>0.107</v>
      </c>
      <c r="T13" s="7">
        <f>Sintesi!$C$29</f>
        <v>0.23300000000000001</v>
      </c>
      <c r="U13" s="5">
        <f>O13/(Sintesi!$C$5*1000)</f>
        <v>0.2480402215342751</v>
      </c>
      <c r="V13" s="1">
        <f t="shared" si="0"/>
        <v>0.126</v>
      </c>
      <c r="W13" s="1">
        <v>0.67589490758416704</v>
      </c>
      <c r="X13" s="1">
        <f t="shared" si="1"/>
        <v>8.516275835560505E-2</v>
      </c>
      <c r="Y13" s="1">
        <f t="shared" si="2"/>
        <v>0.14783724164439496</v>
      </c>
      <c r="Z13" s="1">
        <f>'Paste cellinfo here'!$B$11</f>
        <v>0.52400000000000002</v>
      </c>
    </row>
    <row r="14" spans="1:26">
      <c r="A14" s="1">
        <v>13</v>
      </c>
      <c r="B14" s="2">
        <f>DATE(Sintesi!$C$4-1,12,31)+A14</f>
        <v>44209</v>
      </c>
      <c r="C14" s="1">
        <f>'Paste cell here'!B14</f>
        <v>0</v>
      </c>
      <c r="D14" s="1">
        <f>'Paste cell here'!I14</f>
        <v>0</v>
      </c>
      <c r="E14" s="1">
        <f>'Paste cell here'!J14</f>
        <v>0</v>
      </c>
      <c r="F14" s="1">
        <f>'Paste cell here'!K14</f>
        <v>0</v>
      </c>
      <c r="G14" s="1">
        <f>'Paste cell here'!L14</f>
        <v>0</v>
      </c>
      <c r="H14" s="1">
        <f>'Paste cell here'!M14</f>
        <v>0</v>
      </c>
      <c r="I14" s="1">
        <f>'Paste cell here'!N14</f>
        <v>0</v>
      </c>
      <c r="J14" s="1">
        <f>'Paste cell here'!O14</f>
        <v>0</v>
      </c>
      <c r="K14" s="1">
        <f>'Paste cell here'!Q14</f>
        <v>0.72351308445892648</v>
      </c>
      <c r="L14" s="1">
        <f>'Paste cell here'!S14</f>
        <v>0</v>
      </c>
      <c r="M14" s="1">
        <f>'Paste cell here'!T14</f>
        <v>0.15046367103280231</v>
      </c>
      <c r="N14" s="1">
        <f>'Paste cell here'!W14</f>
        <v>0</v>
      </c>
      <c r="O14" s="1">
        <f>'Paste cell here'!U14</f>
        <v>23.930045397935775</v>
      </c>
      <c r="P14" s="1">
        <f t="shared" si="3"/>
        <v>24.80402215342751</v>
      </c>
      <c r="Q14" s="1">
        <f>'Paste cell here'!V14</f>
        <v>0</v>
      </c>
      <c r="R14" s="1">
        <f t="shared" si="4"/>
        <v>7.1054273576010019E-15</v>
      </c>
      <c r="S14" s="7">
        <f>Sintesi!$C$30</f>
        <v>0.107</v>
      </c>
      <c r="T14" s="7">
        <f>Sintesi!$C$29</f>
        <v>0.23300000000000001</v>
      </c>
      <c r="U14" s="5">
        <f>O14/(Sintesi!$C$5*1000)</f>
        <v>0.23930045397935776</v>
      </c>
      <c r="V14" s="1">
        <f t="shared" si="0"/>
        <v>0.126</v>
      </c>
      <c r="W14" s="1">
        <v>0.67862486558451196</v>
      </c>
      <c r="X14" s="1">
        <f t="shared" si="1"/>
        <v>8.5506733063648505E-2</v>
      </c>
      <c r="Y14" s="1">
        <f t="shared" si="2"/>
        <v>0.14749326693635151</v>
      </c>
      <c r="Z14" s="1">
        <f>'Paste cellinfo here'!$B$11</f>
        <v>0.52400000000000002</v>
      </c>
    </row>
    <row r="15" spans="1:26">
      <c r="A15" s="1">
        <v>14</v>
      </c>
      <c r="B15" s="2">
        <f>DATE(Sintesi!$C$4-1,12,31)+A15</f>
        <v>44210</v>
      </c>
      <c r="C15" s="1">
        <f>'Paste cell here'!B15</f>
        <v>0</v>
      </c>
      <c r="D15" s="1">
        <f>'Paste cell here'!I15</f>
        <v>0</v>
      </c>
      <c r="E15" s="1">
        <f>'Paste cell here'!J15</f>
        <v>0</v>
      </c>
      <c r="F15" s="1">
        <f>'Paste cell here'!K15</f>
        <v>0</v>
      </c>
      <c r="G15" s="1">
        <f>'Paste cell here'!L15</f>
        <v>0</v>
      </c>
      <c r="H15" s="1">
        <f>'Paste cell here'!M15</f>
        <v>0</v>
      </c>
      <c r="I15" s="1">
        <f>'Paste cell here'!N15</f>
        <v>0</v>
      </c>
      <c r="J15" s="1">
        <f>'Paste cell here'!O15</f>
        <v>0</v>
      </c>
      <c r="K15" s="1">
        <f>'Paste cell here'!Q15</f>
        <v>0.81990992711310429</v>
      </c>
      <c r="L15" s="1">
        <f>'Paste cell here'!S15</f>
        <v>0</v>
      </c>
      <c r="M15" s="1">
        <f>'Paste cell here'!T15</f>
        <v>9.4876686325410242E-2</v>
      </c>
      <c r="N15" s="1">
        <f>'Paste cell here'!W15</f>
        <v>0</v>
      </c>
      <c r="O15" s="1">
        <f>'Paste cell here'!U15</f>
        <v>23.015258784497266</v>
      </c>
      <c r="P15" s="1">
        <f t="shared" si="3"/>
        <v>23.930045397935775</v>
      </c>
      <c r="Q15" s="1">
        <f>'Paste cell here'!V15</f>
        <v>0</v>
      </c>
      <c r="R15" s="1">
        <f t="shared" si="4"/>
        <v>7.1054273576010019E-15</v>
      </c>
      <c r="S15" s="7">
        <f>Sintesi!$C$30</f>
        <v>0.107</v>
      </c>
      <c r="T15" s="7">
        <f>Sintesi!$C$29</f>
        <v>0.23300000000000001</v>
      </c>
      <c r="U15" s="5">
        <f>O15/(Sintesi!$C$5*1000)</f>
        <v>0.23015258784497267</v>
      </c>
      <c r="V15" s="1">
        <f t="shared" si="0"/>
        <v>0.126</v>
      </c>
      <c r="W15" s="1">
        <v>0.68687845620022603</v>
      </c>
      <c r="X15" s="1">
        <f t="shared" si="1"/>
        <v>8.6546685481228486E-2</v>
      </c>
      <c r="Y15" s="1">
        <f t="shared" si="2"/>
        <v>0.14645331451877153</v>
      </c>
      <c r="Z15" s="1">
        <f>'Paste cellinfo here'!$B$11</f>
        <v>0.52400000000000002</v>
      </c>
    </row>
    <row r="16" spans="1:26">
      <c r="A16" s="1">
        <v>15</v>
      </c>
      <c r="B16" s="2">
        <f>DATE(Sintesi!$C$4-1,12,31)+A16</f>
        <v>44211</v>
      </c>
      <c r="C16" s="1">
        <f>'Paste cell here'!B16</f>
        <v>0</v>
      </c>
      <c r="D16" s="1">
        <f>'Paste cell here'!I16</f>
        <v>0</v>
      </c>
      <c r="E16" s="1">
        <f>'Paste cell here'!J16</f>
        <v>0</v>
      </c>
      <c r="F16" s="1">
        <f>'Paste cell here'!K16</f>
        <v>0</v>
      </c>
      <c r="G16" s="1">
        <f>'Paste cell here'!L16</f>
        <v>0</v>
      </c>
      <c r="H16" s="1">
        <f>'Paste cell here'!M16</f>
        <v>0</v>
      </c>
      <c r="I16" s="1">
        <f>'Paste cell here'!N16</f>
        <v>0</v>
      </c>
      <c r="J16" s="1">
        <f>'Paste cell here'!O16</f>
        <v>0</v>
      </c>
      <c r="K16" s="1">
        <f>'Paste cell here'!Q16</f>
        <v>0.68510189980103564</v>
      </c>
      <c r="L16" s="1">
        <f>'Paste cell here'!S16</f>
        <v>0</v>
      </c>
      <c r="M16" s="1">
        <f>'Paste cell here'!T16</f>
        <v>5.9835783785630078E-2</v>
      </c>
      <c r="N16" s="1">
        <f>'Paste cell here'!W16</f>
        <v>0</v>
      </c>
      <c r="O16" s="1">
        <f>'Paste cell here'!U16</f>
        <v>22.270321100910603</v>
      </c>
      <c r="P16" s="1">
        <f t="shared" si="3"/>
        <v>23.015258784497266</v>
      </c>
      <c r="Q16" s="1">
        <f>'Paste cell here'!V16</f>
        <v>0</v>
      </c>
      <c r="R16" s="1">
        <f t="shared" si="4"/>
        <v>3.5527136788005009E-15</v>
      </c>
      <c r="S16" s="7">
        <f>Sintesi!$C$30</f>
        <v>0.107</v>
      </c>
      <c r="T16" s="7">
        <f>Sintesi!$C$29</f>
        <v>0.23300000000000001</v>
      </c>
      <c r="U16" s="5">
        <f>O16/(Sintesi!$C$5*1000)</f>
        <v>0.22270321100910603</v>
      </c>
      <c r="V16" s="1">
        <f t="shared" si="0"/>
        <v>0.126</v>
      </c>
      <c r="W16" s="1">
        <v>0.63960412703217195</v>
      </c>
      <c r="X16" s="1">
        <f t="shared" si="1"/>
        <v>8.0590120006053673E-2</v>
      </c>
      <c r="Y16" s="1">
        <f t="shared" si="2"/>
        <v>0.15240987999394634</v>
      </c>
      <c r="Z16" s="1">
        <f>'Paste cellinfo here'!$B$11</f>
        <v>0.52400000000000002</v>
      </c>
    </row>
    <row r="17" spans="1:26">
      <c r="A17" s="1">
        <v>16</v>
      </c>
      <c r="B17" s="2">
        <f>DATE(Sintesi!$C$4-1,12,31)+A17</f>
        <v>44212</v>
      </c>
      <c r="C17" s="1">
        <f>'Paste cell here'!B17</f>
        <v>0</v>
      </c>
      <c r="D17" s="1">
        <f>'Paste cell here'!I17</f>
        <v>0</v>
      </c>
      <c r="E17" s="1">
        <f>'Paste cell here'!J17</f>
        <v>0</v>
      </c>
      <c r="F17" s="1">
        <f>'Paste cell here'!K17</f>
        <v>0</v>
      </c>
      <c r="G17" s="1">
        <f>'Paste cell here'!L17</f>
        <v>0</v>
      </c>
      <c r="H17" s="1">
        <f>'Paste cell here'!M17</f>
        <v>0</v>
      </c>
      <c r="I17" s="1">
        <f>'Paste cell here'!N17</f>
        <v>0</v>
      </c>
      <c r="J17" s="1">
        <f>'Paste cell here'!O17</f>
        <v>0</v>
      </c>
      <c r="K17" s="1">
        <f>'Paste cell here'!Q17</f>
        <v>0.39344198175899381</v>
      </c>
      <c r="L17" s="1">
        <f>'Paste cell here'!S17</f>
        <v>0</v>
      </c>
      <c r="M17" s="1">
        <f>'Paste cell here'!T17</f>
        <v>4.2146789858066046E-2</v>
      </c>
      <c r="N17" s="1">
        <f>'Paste cell here'!W17</f>
        <v>0</v>
      </c>
      <c r="O17" s="1">
        <f>'Paste cell here'!U17</f>
        <v>21.834732329293544</v>
      </c>
      <c r="P17" s="1">
        <f t="shared" si="3"/>
        <v>22.270321100910603</v>
      </c>
      <c r="Q17" s="1">
        <f>'Paste cell here'!V17</f>
        <v>0</v>
      </c>
      <c r="R17" s="1">
        <f t="shared" si="4"/>
        <v>0</v>
      </c>
      <c r="S17" s="7">
        <f>Sintesi!$C$30</f>
        <v>0.107</v>
      </c>
      <c r="T17" s="7">
        <f>Sintesi!$C$29</f>
        <v>0.23300000000000001</v>
      </c>
      <c r="U17" s="5">
        <f>O17/(Sintesi!$C$5*1000)</f>
        <v>0.21834732329293544</v>
      </c>
      <c r="V17" s="1">
        <f t="shared" si="0"/>
        <v>0.126</v>
      </c>
      <c r="W17" s="1">
        <v>0.67402862372771299</v>
      </c>
      <c r="X17" s="1">
        <f t="shared" si="1"/>
        <v>8.492760658969184E-2</v>
      </c>
      <c r="Y17" s="1">
        <f t="shared" si="2"/>
        <v>0.14807239341030817</v>
      </c>
      <c r="Z17" s="1">
        <f>'Paste cellinfo here'!$B$11</f>
        <v>0.52400000000000002</v>
      </c>
    </row>
    <row r="18" spans="1:26">
      <c r="A18" s="1">
        <v>17</v>
      </c>
      <c r="B18" s="2">
        <f>DATE(Sintesi!$C$4-1,12,31)+A18</f>
        <v>44213</v>
      </c>
      <c r="C18" s="1">
        <f>'Paste cell here'!B18</f>
        <v>0</v>
      </c>
      <c r="D18" s="1">
        <f>'Paste cell here'!I18</f>
        <v>0</v>
      </c>
      <c r="E18" s="1">
        <f>'Paste cell here'!J18</f>
        <v>0</v>
      </c>
      <c r="F18" s="1">
        <f>'Paste cell here'!K18</f>
        <v>0</v>
      </c>
      <c r="G18" s="1">
        <f>'Paste cell here'!L18</f>
        <v>0</v>
      </c>
      <c r="H18" s="1">
        <f>'Paste cell here'!M18</f>
        <v>0</v>
      </c>
      <c r="I18" s="1">
        <f>'Paste cell here'!N18</f>
        <v>0</v>
      </c>
      <c r="J18" s="1">
        <f>'Paste cell here'!O18</f>
        <v>0</v>
      </c>
      <c r="K18" s="1">
        <f>'Paste cell here'!Q18</f>
        <v>0.41230136653247929</v>
      </c>
      <c r="L18" s="1">
        <f>'Paste cell here'!S18</f>
        <v>0</v>
      </c>
      <c r="M18" s="1">
        <f>'Paste cell here'!T18</f>
        <v>3.2459545023853092E-2</v>
      </c>
      <c r="N18" s="1">
        <f>'Paste cell here'!W18</f>
        <v>0</v>
      </c>
      <c r="O18" s="1">
        <f>'Paste cell here'!U18</f>
        <v>21.389971417737215</v>
      </c>
      <c r="P18" s="1">
        <f t="shared" si="3"/>
        <v>21.834732329293544</v>
      </c>
      <c r="Q18" s="1">
        <f>'Paste cell here'!V18</f>
        <v>0</v>
      </c>
      <c r="R18" s="1">
        <f t="shared" si="4"/>
        <v>3.5527136788005009E-15</v>
      </c>
      <c r="S18" s="7">
        <f>Sintesi!$C$30</f>
        <v>0.107</v>
      </c>
      <c r="T18" s="7">
        <f>Sintesi!$C$29</f>
        <v>0.23300000000000001</v>
      </c>
      <c r="U18" s="5">
        <f>O18/(Sintesi!$C$5*1000)</f>
        <v>0.21389971417737214</v>
      </c>
      <c r="V18" s="1">
        <f t="shared" si="0"/>
        <v>0.126</v>
      </c>
      <c r="W18" s="1">
        <v>0.67121339530153201</v>
      </c>
      <c r="X18" s="1">
        <f t="shared" si="1"/>
        <v>8.4572887807993033E-2</v>
      </c>
      <c r="Y18" s="1">
        <f t="shared" si="2"/>
        <v>0.14842711219200699</v>
      </c>
      <c r="Z18" s="1">
        <f>'Paste cellinfo here'!$B$11</f>
        <v>0.52400000000000002</v>
      </c>
    </row>
    <row r="19" spans="1:26">
      <c r="A19" s="1">
        <v>18</v>
      </c>
      <c r="B19" s="2">
        <f>DATE(Sintesi!$C$4-1,12,31)+A19</f>
        <v>44214</v>
      </c>
      <c r="C19" s="1">
        <f>'Paste cell here'!B19</f>
        <v>0</v>
      </c>
      <c r="D19" s="1">
        <f>'Paste cell here'!I19</f>
        <v>0</v>
      </c>
      <c r="E19" s="1">
        <f>'Paste cell here'!J19</f>
        <v>0</v>
      </c>
      <c r="F19" s="1">
        <f>'Paste cell here'!K19</f>
        <v>0</v>
      </c>
      <c r="G19" s="1">
        <f>'Paste cell here'!L19</f>
        <v>0</v>
      </c>
      <c r="H19" s="1">
        <f>'Paste cell here'!M19</f>
        <v>0</v>
      </c>
      <c r="I19" s="1">
        <f>'Paste cell here'!N19</f>
        <v>0</v>
      </c>
      <c r="J19" s="1">
        <f>'Paste cell here'!O19</f>
        <v>0</v>
      </c>
      <c r="K19" s="1">
        <f>'Paste cell here'!Q19</f>
        <v>0.23394032386271146</v>
      </c>
      <c r="L19" s="1">
        <f>'Paste cell here'!S19</f>
        <v>0</v>
      </c>
      <c r="M19" s="1">
        <f>'Paste cell here'!T19</f>
        <v>2.604199764852913E-2</v>
      </c>
      <c r="N19" s="1">
        <f>'Paste cell here'!W19</f>
        <v>0</v>
      </c>
      <c r="O19" s="1">
        <f>'Paste cell here'!U19</f>
        <v>21.129989096225977</v>
      </c>
      <c r="P19" s="1">
        <f t="shared" si="3"/>
        <v>21.389971417737215</v>
      </c>
      <c r="Q19" s="1">
        <f>'Paste cell here'!V19</f>
        <v>0</v>
      </c>
      <c r="R19" s="1">
        <f t="shared" si="4"/>
        <v>3.5527136788005009E-15</v>
      </c>
      <c r="S19" s="7">
        <f>Sintesi!$C$30</f>
        <v>0.107</v>
      </c>
      <c r="T19" s="7">
        <f>Sintesi!$C$29</f>
        <v>0.23300000000000001</v>
      </c>
      <c r="U19" s="5">
        <f>O19/(Sintesi!$C$5*1000)</f>
        <v>0.21129989096225976</v>
      </c>
      <c r="V19" s="1">
        <f t="shared" si="0"/>
        <v>0.126</v>
      </c>
      <c r="W19" s="1">
        <v>0.68113948405256197</v>
      </c>
      <c r="X19" s="1">
        <f t="shared" si="1"/>
        <v>8.5823574990622806E-2</v>
      </c>
      <c r="Y19" s="1">
        <f t="shared" si="2"/>
        <v>0.14717642500937722</v>
      </c>
      <c r="Z19" s="1">
        <f>'Paste cellinfo here'!$B$11</f>
        <v>0.52400000000000002</v>
      </c>
    </row>
    <row r="20" spans="1:26">
      <c r="A20" s="1">
        <v>19</v>
      </c>
      <c r="B20" s="2">
        <f>DATE(Sintesi!$C$4-1,12,31)+A20</f>
        <v>44215</v>
      </c>
      <c r="C20" s="1">
        <f>'Paste cell here'!B20</f>
        <v>0.47999999999999826</v>
      </c>
      <c r="D20" s="1">
        <f>'Paste cell here'!I20</f>
        <v>0</v>
      </c>
      <c r="E20" s="1">
        <f>'Paste cell here'!J20</f>
        <v>0.47999999999999826</v>
      </c>
      <c r="F20" s="1">
        <f>'Paste cell here'!K20</f>
        <v>0.47999999999999826</v>
      </c>
      <c r="G20" s="1">
        <f>'Paste cell here'!L20</f>
        <v>0.47999999999999826</v>
      </c>
      <c r="H20" s="1">
        <f>'Paste cell here'!M20</f>
        <v>0</v>
      </c>
      <c r="I20" s="1">
        <f>'Paste cell here'!N20</f>
        <v>0</v>
      </c>
      <c r="J20" s="1">
        <f>'Paste cell here'!O20</f>
        <v>0.48000001430511319</v>
      </c>
      <c r="K20" s="1">
        <f>'Paste cell here'!Q20</f>
        <v>0.31763166677805199</v>
      </c>
      <c r="L20" s="1">
        <f>'Paste cell here'!S20</f>
        <v>0</v>
      </c>
      <c r="M20" s="1">
        <f>'Paste cell here'!T20</f>
        <v>2.4971655360990417E-2</v>
      </c>
      <c r="N20" s="1">
        <f>'Paste cell here'!W20</f>
        <v>0</v>
      </c>
      <c r="O20" s="1">
        <f>'Paste cell here'!U20</f>
        <v>21.267385788392044</v>
      </c>
      <c r="P20" s="1">
        <f t="shared" si="3"/>
        <v>21.129989096225977</v>
      </c>
      <c r="Q20" s="1">
        <f>'Paste cell here'!V20</f>
        <v>0</v>
      </c>
      <c r="R20" s="1">
        <f t="shared" si="4"/>
        <v>1.430511176181426E-8</v>
      </c>
      <c r="S20" s="7">
        <f>Sintesi!$C$30</f>
        <v>0.107</v>
      </c>
      <c r="T20" s="7">
        <f>Sintesi!$C$29</f>
        <v>0.23300000000000001</v>
      </c>
      <c r="U20" s="5">
        <f>O20/(Sintesi!$C$5*1000)</f>
        <v>0.21267385788392043</v>
      </c>
      <c r="V20" s="1">
        <f t="shared" si="0"/>
        <v>0.126</v>
      </c>
      <c r="W20" s="1">
        <v>0.67026386905630198</v>
      </c>
      <c r="X20" s="1">
        <f t="shared" si="1"/>
        <v>8.445324750109405E-2</v>
      </c>
      <c r="Y20" s="1">
        <f t="shared" si="2"/>
        <v>0.14854675249890598</v>
      </c>
      <c r="Z20" s="1">
        <f>'Paste cellinfo here'!$B$11</f>
        <v>0.52400000000000002</v>
      </c>
    </row>
    <row r="21" spans="1:26">
      <c r="A21" s="1">
        <v>20</v>
      </c>
      <c r="B21" s="2">
        <f>DATE(Sintesi!$C$4-1,12,31)+A21</f>
        <v>44216</v>
      </c>
      <c r="C21" s="1">
        <f>'Paste cell here'!B21</f>
        <v>5.0399999999999565</v>
      </c>
      <c r="D21" s="1">
        <f>'Paste cell here'!I21</f>
        <v>0</v>
      </c>
      <c r="E21" s="1">
        <f>'Paste cell here'!J21</f>
        <v>5.0399999999999565</v>
      </c>
      <c r="F21" s="1">
        <f>'Paste cell here'!K21</f>
        <v>5.0399999999999565</v>
      </c>
      <c r="G21" s="1">
        <f>'Paste cell here'!L21</f>
        <v>5.0259929976106399</v>
      </c>
      <c r="H21" s="1">
        <f>'Paste cell here'!M21</f>
        <v>0</v>
      </c>
      <c r="I21" s="1">
        <f>'Paste cell here'!N21</f>
        <v>1.4007002389316618E-2</v>
      </c>
      <c r="J21" s="1">
        <f>'Paste cell here'!O21</f>
        <v>5.0259931473969033</v>
      </c>
      <c r="K21" s="1">
        <f>'Paste cell here'!Q21</f>
        <v>0.39714973195437769</v>
      </c>
      <c r="L21" s="1">
        <f>'Paste cell here'!S21</f>
        <v>0</v>
      </c>
      <c r="M21" s="1">
        <f>'Paste cell here'!T21</f>
        <v>0.11560819842387708</v>
      </c>
      <c r="N21" s="1">
        <f>'Paste cell here'!W21</f>
        <v>0</v>
      </c>
      <c r="O21" s="1">
        <f>'Paste cell here'!U21</f>
        <v>25.780621005410687</v>
      </c>
      <c r="P21" s="1">
        <f t="shared" si="3"/>
        <v>21.267385788392044</v>
      </c>
      <c r="Q21" s="1">
        <f>'Paste cell here'!V21</f>
        <v>0</v>
      </c>
      <c r="R21" s="1">
        <f t="shared" si="4"/>
        <v>1.4978625983985694E-7</v>
      </c>
      <c r="S21" s="7">
        <f>Sintesi!$C$30</f>
        <v>0.107</v>
      </c>
      <c r="T21" s="7">
        <f>Sintesi!$C$29</f>
        <v>0.23300000000000001</v>
      </c>
      <c r="U21" s="5">
        <f>O21/(Sintesi!$C$5*1000)</f>
        <v>0.25780621005410687</v>
      </c>
      <c r="V21" s="1">
        <f t="shared" si="0"/>
        <v>0.126</v>
      </c>
      <c r="W21" s="1">
        <v>0.66914888978434595</v>
      </c>
      <c r="X21" s="1">
        <f t="shared" si="1"/>
        <v>8.4312760112827595E-2</v>
      </c>
      <c r="Y21" s="1">
        <f t="shared" si="2"/>
        <v>0.14868723988717242</v>
      </c>
      <c r="Z21" s="1">
        <f>'Paste cellinfo here'!$B$11</f>
        <v>0.52400000000000002</v>
      </c>
    </row>
    <row r="22" spans="1:26">
      <c r="A22" s="1">
        <v>21</v>
      </c>
      <c r="B22" s="2">
        <f>DATE(Sintesi!$C$4-1,12,31)+A22</f>
        <v>44217</v>
      </c>
      <c r="C22" s="1">
        <f>'Paste cell here'!B22</f>
        <v>5.8799999999999724</v>
      </c>
      <c r="D22" s="1">
        <f>'Paste cell here'!I22</f>
        <v>0</v>
      </c>
      <c r="E22" s="1">
        <f>'Paste cell here'!J22</f>
        <v>5.8799999999999724</v>
      </c>
      <c r="F22" s="1">
        <f>'Paste cell here'!K22</f>
        <v>5.8799999999999724</v>
      </c>
      <c r="G22" s="1">
        <f>'Paste cell here'!L22</f>
        <v>5.4110354233851083</v>
      </c>
      <c r="H22" s="1">
        <f>'Paste cell here'!M22</f>
        <v>0</v>
      </c>
      <c r="I22" s="1">
        <f>'Paste cell here'!N22</f>
        <v>0.46896457661486363</v>
      </c>
      <c r="J22" s="1">
        <f>'Paste cell here'!O22</f>
        <v>5.4110355846465321</v>
      </c>
      <c r="K22" s="1">
        <f>'Paste cell here'!Q22</f>
        <v>0.44385570974951954</v>
      </c>
      <c r="L22" s="1">
        <f>'Paste cell here'!S22</f>
        <v>0</v>
      </c>
      <c r="M22" s="1">
        <f>'Paste cell here'!T22</f>
        <v>0.86464507934079426</v>
      </c>
      <c r="N22" s="1">
        <f>'Paste cell here'!W22</f>
        <v>0</v>
      </c>
      <c r="O22" s="1">
        <f>'Paste cell here'!U22</f>
        <v>29.883155800966918</v>
      </c>
      <c r="P22" s="1">
        <f t="shared" si="3"/>
        <v>25.780621005410687</v>
      </c>
      <c r="Q22" s="1">
        <f>'Paste cell here'!V22</f>
        <v>0</v>
      </c>
      <c r="R22" s="1">
        <f t="shared" si="4"/>
        <v>1.6126143265182691E-7</v>
      </c>
      <c r="S22" s="7">
        <f>Sintesi!$C$30</f>
        <v>0.107</v>
      </c>
      <c r="T22" s="7">
        <f>Sintesi!$C$29</f>
        <v>0.23300000000000001</v>
      </c>
      <c r="U22" s="5">
        <f>O22/(Sintesi!$C$5*1000)</f>
        <v>0.29883155800966921</v>
      </c>
      <c r="V22" s="1">
        <f t="shared" si="0"/>
        <v>0.126</v>
      </c>
      <c r="W22" s="1">
        <v>0.68391507668229601</v>
      </c>
      <c r="X22" s="1">
        <f t="shared" si="1"/>
        <v>8.6173299661969294E-2</v>
      </c>
      <c r="Y22" s="1">
        <f t="shared" si="2"/>
        <v>0.14682670033803072</v>
      </c>
      <c r="Z22" s="1">
        <f>'Paste cellinfo here'!$B$11</f>
        <v>0.52400000000000002</v>
      </c>
    </row>
    <row r="23" spans="1:26">
      <c r="A23" s="1">
        <v>22</v>
      </c>
      <c r="B23" s="2">
        <f>DATE(Sintesi!$C$4-1,12,31)+A23</f>
        <v>44218</v>
      </c>
      <c r="C23" s="1">
        <f>'Paste cell here'!B23</f>
        <v>24.399999999999679</v>
      </c>
      <c r="D23" s="1">
        <f>'Paste cell here'!I23</f>
        <v>0</v>
      </c>
      <c r="E23" s="1">
        <f>'Paste cell here'!J23</f>
        <v>24.399999999999679</v>
      </c>
      <c r="F23" s="1">
        <f>'Paste cell here'!K23</f>
        <v>24.399999999999679</v>
      </c>
      <c r="G23" s="1">
        <f>'Paste cell here'!L23</f>
        <v>11.718502636056915</v>
      </c>
      <c r="H23" s="1">
        <f>'Paste cell here'!M23</f>
        <v>0</v>
      </c>
      <c r="I23" s="1">
        <f>'Paste cell here'!N23</f>
        <v>12.681497363942764</v>
      </c>
      <c r="J23" s="1">
        <f>'Paste cell here'!O23</f>
        <v>11.718502985295505</v>
      </c>
      <c r="K23" s="1">
        <f>'Paste cell here'!Q23</f>
        <v>0.43124157062801294</v>
      </c>
      <c r="L23" s="1">
        <f>'Paste cell here'!S23</f>
        <v>0</v>
      </c>
      <c r="M23" s="1">
        <f>'Paste cell here'!T23</f>
        <v>6.2319447846618559</v>
      </c>
      <c r="N23" s="1">
        <f>'Paste cell here'!W23</f>
        <v>0</v>
      </c>
      <c r="O23" s="1">
        <f>'Paste cell here'!U23</f>
        <v>34.93847243097256</v>
      </c>
      <c r="P23" s="1">
        <f t="shared" si="3"/>
        <v>29.883155800966918</v>
      </c>
      <c r="Q23" s="1">
        <f>'Paste cell here'!V23</f>
        <v>0</v>
      </c>
      <c r="R23" s="1">
        <f t="shared" si="4"/>
        <v>3.4923859715263461E-7</v>
      </c>
      <c r="S23" s="7">
        <f>Sintesi!$C$30</f>
        <v>0.107</v>
      </c>
      <c r="T23" s="7">
        <f>Sintesi!$C$29</f>
        <v>0.23300000000000001</v>
      </c>
      <c r="U23" s="5">
        <f>O23/(Sintesi!$C$5*1000)</f>
        <v>0.34938472430972561</v>
      </c>
      <c r="V23" s="1">
        <f t="shared" si="0"/>
        <v>0.126</v>
      </c>
      <c r="W23" s="1">
        <v>0.682366863322456</v>
      </c>
      <c r="X23" s="1">
        <f t="shared" si="1"/>
        <v>8.5978224778629458E-2</v>
      </c>
      <c r="Y23" s="1">
        <f t="shared" si="2"/>
        <v>0.14702177522137055</v>
      </c>
      <c r="Z23" s="1">
        <f>'Paste cellinfo here'!$B$11</f>
        <v>0.52400000000000002</v>
      </c>
    </row>
    <row r="24" spans="1:26">
      <c r="A24" s="1">
        <v>23</v>
      </c>
      <c r="B24" s="2">
        <f>DATE(Sintesi!$C$4-1,12,31)+A24</f>
        <v>44219</v>
      </c>
      <c r="C24" s="1">
        <f>'Paste cell here'!B24</f>
        <v>10.559999999999839</v>
      </c>
      <c r="D24" s="1">
        <f>'Paste cell here'!I24</f>
        <v>0</v>
      </c>
      <c r="E24" s="1">
        <f>'Paste cell here'!J24</f>
        <v>10.559999999999839</v>
      </c>
      <c r="F24" s="1">
        <f>'Paste cell here'!K24</f>
        <v>10.559999999999839</v>
      </c>
      <c r="G24" s="1">
        <f>'Paste cell here'!L24</f>
        <v>7.940023347571719</v>
      </c>
      <c r="H24" s="1">
        <f>'Paste cell here'!M24</f>
        <v>0</v>
      </c>
      <c r="I24" s="1">
        <f>'Paste cell here'!N24</f>
        <v>2.6199766524281198</v>
      </c>
      <c r="J24" s="1">
        <f>'Paste cell here'!O24</f>
        <v>7.9400235842028568</v>
      </c>
      <c r="K24" s="1">
        <f>'Paste cell here'!Q24</f>
        <v>0.79518635769587309</v>
      </c>
      <c r="L24" s="1">
        <f>'Paste cell here'!S24</f>
        <v>0</v>
      </c>
      <c r="M24" s="1">
        <f>'Paste cell here'!T24</f>
        <v>8.1039217051719401</v>
      </c>
      <c r="N24" s="1">
        <f>'Paste cell here'!W24</f>
        <v>0</v>
      </c>
      <c r="O24" s="1">
        <f>'Paste cell here'!U24</f>
        <v>33.97938795230759</v>
      </c>
      <c r="P24" s="1">
        <f t="shared" si="3"/>
        <v>34.93847243097256</v>
      </c>
      <c r="Q24" s="1">
        <f>'Paste cell here'!V24</f>
        <v>0</v>
      </c>
      <c r="R24" s="1">
        <f t="shared" si="4"/>
        <v>2.3663113069005703E-7</v>
      </c>
      <c r="S24" s="7">
        <f>Sintesi!$C$30</f>
        <v>0.107</v>
      </c>
      <c r="T24" s="7">
        <f>Sintesi!$C$29</f>
        <v>0.23300000000000001</v>
      </c>
      <c r="U24" s="5">
        <f>O24/(Sintesi!$C$5*1000)</f>
        <v>0.33979387952307588</v>
      </c>
      <c r="V24" s="1">
        <f t="shared" si="0"/>
        <v>0.126</v>
      </c>
      <c r="W24" s="1">
        <v>0.68103217769245905</v>
      </c>
      <c r="X24" s="1">
        <f t="shared" si="1"/>
        <v>8.5810054389249837E-2</v>
      </c>
      <c r="Y24" s="1">
        <f t="shared" si="2"/>
        <v>0.14718994561075016</v>
      </c>
      <c r="Z24" s="1">
        <f>'Paste cellinfo here'!$B$11</f>
        <v>0.52400000000000002</v>
      </c>
    </row>
    <row r="25" spans="1:26">
      <c r="A25" s="1">
        <v>24</v>
      </c>
      <c r="B25" s="2">
        <f>DATE(Sintesi!$C$4-1,12,31)+A25</f>
        <v>44220</v>
      </c>
      <c r="C25" s="1">
        <f>'Paste cell here'!B25</f>
        <v>0.15999999999999945</v>
      </c>
      <c r="D25" s="1">
        <f>'Paste cell here'!I25</f>
        <v>0</v>
      </c>
      <c r="E25" s="1">
        <f>'Paste cell here'!J25</f>
        <v>0.15999999999999945</v>
      </c>
      <c r="F25" s="1">
        <f>'Paste cell here'!K25</f>
        <v>0.15999999999999945</v>
      </c>
      <c r="G25" s="1">
        <f>'Paste cell here'!L25</f>
        <v>0.15999999999999945</v>
      </c>
      <c r="H25" s="1">
        <f>'Paste cell here'!M25</f>
        <v>0</v>
      </c>
      <c r="I25" s="1">
        <f>'Paste cell here'!N25</f>
        <v>0</v>
      </c>
      <c r="J25" s="1">
        <f>'Paste cell here'!O25</f>
        <v>0.16000000476837098</v>
      </c>
      <c r="K25" s="1">
        <f>'Paste cell here'!Q25</f>
        <v>0.9153858507294298</v>
      </c>
      <c r="L25" s="1">
        <f>'Paste cell here'!S25</f>
        <v>0</v>
      </c>
      <c r="M25" s="1">
        <f>'Paste cell here'!T25</f>
        <v>3.4192177905670715</v>
      </c>
      <c r="N25" s="1">
        <f>'Paste cell here'!W25</f>
        <v>0</v>
      </c>
      <c r="O25" s="1">
        <f>'Paste cell here'!U25</f>
        <v>29.804784315779461</v>
      </c>
      <c r="P25" s="1">
        <f t="shared" si="3"/>
        <v>33.97938795230759</v>
      </c>
      <c r="Q25" s="1">
        <f>'Paste cell here'!V25</f>
        <v>0</v>
      </c>
      <c r="R25" s="1">
        <f t="shared" si="4"/>
        <v>4.7683741399850987E-9</v>
      </c>
      <c r="S25" s="7">
        <f>Sintesi!$C$30</f>
        <v>0.107</v>
      </c>
      <c r="T25" s="7">
        <f>Sintesi!$C$29</f>
        <v>0.23300000000000001</v>
      </c>
      <c r="U25" s="5">
        <f>O25/(Sintesi!$C$5*1000)</f>
        <v>0.29804784315779459</v>
      </c>
      <c r="V25" s="1">
        <f t="shared" si="0"/>
        <v>0.126</v>
      </c>
      <c r="W25" s="1">
        <v>0.67770925983232</v>
      </c>
      <c r="X25" s="1">
        <f t="shared" si="1"/>
        <v>8.5391366738872321E-2</v>
      </c>
      <c r="Y25" s="1">
        <f t="shared" si="2"/>
        <v>0.14760863326112769</v>
      </c>
      <c r="Z25" s="1">
        <f>'Paste cellinfo here'!$B$11</f>
        <v>0.52400000000000002</v>
      </c>
    </row>
    <row r="26" spans="1:26">
      <c r="A26" s="1">
        <v>25</v>
      </c>
      <c r="B26" s="2">
        <f>DATE(Sintesi!$C$4-1,12,31)+A26</f>
        <v>44221</v>
      </c>
      <c r="C26" s="1">
        <f>'Paste cell here'!B26</f>
        <v>0</v>
      </c>
      <c r="D26" s="1">
        <f>'Paste cell here'!I26</f>
        <v>0</v>
      </c>
      <c r="E26" s="1">
        <f>'Paste cell here'!J26</f>
        <v>0</v>
      </c>
      <c r="F26" s="1">
        <f>'Paste cell here'!K26</f>
        <v>0</v>
      </c>
      <c r="G26" s="1">
        <f>'Paste cell here'!L26</f>
        <v>0</v>
      </c>
      <c r="H26" s="1">
        <f>'Paste cell here'!M26</f>
        <v>0</v>
      </c>
      <c r="I26" s="1">
        <f>'Paste cell here'!N26</f>
        <v>0</v>
      </c>
      <c r="J26" s="1">
        <f>'Paste cell here'!O26</f>
        <v>0</v>
      </c>
      <c r="K26" s="1">
        <f>'Paste cell here'!Q26</f>
        <v>0.90865736809604625</v>
      </c>
      <c r="L26" s="1">
        <f>'Paste cell here'!S26</f>
        <v>0</v>
      </c>
      <c r="M26" s="1">
        <f>'Paste cell here'!T26</f>
        <v>1.1161047439332696</v>
      </c>
      <c r="N26" s="1">
        <f>'Paste cell here'!W26</f>
        <v>0</v>
      </c>
      <c r="O26" s="1">
        <f>'Paste cell here'!U26</f>
        <v>27.780022203750143</v>
      </c>
      <c r="P26" s="1">
        <f t="shared" si="3"/>
        <v>29.804784315779461</v>
      </c>
      <c r="Q26" s="1">
        <f>'Paste cell here'!V26</f>
        <v>0</v>
      </c>
      <c r="R26" s="1">
        <f t="shared" si="4"/>
        <v>0</v>
      </c>
      <c r="S26" s="7">
        <f>Sintesi!$C$30</f>
        <v>0.107</v>
      </c>
      <c r="T26" s="7">
        <f>Sintesi!$C$29</f>
        <v>0.23300000000000001</v>
      </c>
      <c r="U26" s="5">
        <f>O26/(Sintesi!$C$5*1000)</f>
        <v>0.27780022203750143</v>
      </c>
      <c r="V26" s="1">
        <f t="shared" si="0"/>
        <v>0.126</v>
      </c>
      <c r="W26" s="1">
        <v>0.67619284966406901</v>
      </c>
      <c r="X26" s="1">
        <f t="shared" si="1"/>
        <v>8.5200299057672693E-2</v>
      </c>
      <c r="Y26" s="1">
        <f t="shared" si="2"/>
        <v>0.14779970094232731</v>
      </c>
      <c r="Z26" s="1">
        <f>'Paste cellinfo here'!$B$11</f>
        <v>0.52400000000000002</v>
      </c>
    </row>
    <row r="27" spans="1:26">
      <c r="A27" s="1">
        <v>26</v>
      </c>
      <c r="B27" s="2">
        <f>DATE(Sintesi!$C$4-1,12,31)+A27</f>
        <v>44222</v>
      </c>
      <c r="C27" s="1">
        <f>'Paste cell here'!B27</f>
        <v>0</v>
      </c>
      <c r="D27" s="1">
        <f>'Paste cell here'!I27</f>
        <v>0</v>
      </c>
      <c r="E27" s="1">
        <f>'Paste cell here'!J27</f>
        <v>0</v>
      </c>
      <c r="F27" s="1">
        <f>'Paste cell here'!K27</f>
        <v>0</v>
      </c>
      <c r="G27" s="1">
        <f>'Paste cell here'!L27</f>
        <v>0</v>
      </c>
      <c r="H27" s="1">
        <f>'Paste cell here'!M27</f>
        <v>0</v>
      </c>
      <c r="I27" s="1">
        <f>'Paste cell here'!N27</f>
        <v>0</v>
      </c>
      <c r="J27" s="1">
        <f>'Paste cell here'!O27</f>
        <v>0</v>
      </c>
      <c r="K27" s="1">
        <f>'Paste cell here'!Q27</f>
        <v>2.1488187847478697</v>
      </c>
      <c r="L27" s="1">
        <f>'Paste cell here'!S27</f>
        <v>0</v>
      </c>
      <c r="M27" s="1">
        <f>'Paste cell here'!T27</f>
        <v>0.44679492131909493</v>
      </c>
      <c r="N27" s="1">
        <f>'Paste cell here'!W27</f>
        <v>0</v>
      </c>
      <c r="O27" s="1">
        <f>'Paste cell here'!U27</f>
        <v>25.184408497683176</v>
      </c>
      <c r="P27" s="1">
        <f t="shared" si="3"/>
        <v>27.780022203750143</v>
      </c>
      <c r="Q27" s="1">
        <f>'Paste cell here'!V27</f>
        <v>0</v>
      </c>
      <c r="R27" s="1">
        <f t="shared" si="4"/>
        <v>0</v>
      </c>
      <c r="S27" s="7">
        <f>Sintesi!$C$30</f>
        <v>0.107</v>
      </c>
      <c r="T27" s="7">
        <f>Sintesi!$C$29</f>
        <v>0.23300000000000001</v>
      </c>
      <c r="U27" s="5">
        <f>O27/(Sintesi!$C$5*1000)</f>
        <v>0.25184408497683175</v>
      </c>
      <c r="V27" s="1">
        <f t="shared" si="0"/>
        <v>0.126</v>
      </c>
      <c r="W27" s="1">
        <v>0.67903460106864599</v>
      </c>
      <c r="X27" s="1">
        <f t="shared" si="1"/>
        <v>8.5558359734649397E-2</v>
      </c>
      <c r="Y27" s="1">
        <f t="shared" si="2"/>
        <v>0.14744164026535062</v>
      </c>
      <c r="Z27" s="1">
        <f>'Paste cellinfo here'!$B$11</f>
        <v>0.52400000000000002</v>
      </c>
    </row>
    <row r="28" spans="1:26">
      <c r="A28" s="1">
        <v>27</v>
      </c>
      <c r="B28" s="2">
        <f>DATE(Sintesi!$C$4-1,12,31)+A28</f>
        <v>44223</v>
      </c>
      <c r="C28" s="1">
        <f>'Paste cell here'!B28</f>
        <v>0</v>
      </c>
      <c r="D28" s="1">
        <f>'Paste cell here'!I28</f>
        <v>0</v>
      </c>
      <c r="E28" s="1">
        <f>'Paste cell here'!J28</f>
        <v>0</v>
      </c>
      <c r="F28" s="1">
        <f>'Paste cell here'!K28</f>
        <v>0</v>
      </c>
      <c r="G28" s="1">
        <f>'Paste cell here'!L28</f>
        <v>0</v>
      </c>
      <c r="H28" s="1">
        <f>'Paste cell here'!M28</f>
        <v>0</v>
      </c>
      <c r="I28" s="1">
        <f>'Paste cell here'!N28</f>
        <v>0</v>
      </c>
      <c r="J28" s="1">
        <f>'Paste cell here'!O28</f>
        <v>0</v>
      </c>
      <c r="K28" s="1">
        <f>'Paste cell here'!Q28</f>
        <v>0.82973048347508804</v>
      </c>
      <c r="L28" s="1">
        <f>'Paste cell here'!S28</f>
        <v>0</v>
      </c>
      <c r="M28" s="1">
        <f>'Paste cell here'!T28</f>
        <v>0.17687148172864689</v>
      </c>
      <c r="N28" s="1">
        <f>'Paste cell here'!W28</f>
        <v>0</v>
      </c>
      <c r="O28" s="1">
        <f>'Paste cell here'!U28</f>
        <v>24.177806532479437</v>
      </c>
      <c r="P28" s="1">
        <f t="shared" si="3"/>
        <v>25.184408497683176</v>
      </c>
      <c r="Q28" s="1">
        <f>'Paste cell here'!V28</f>
        <v>0</v>
      </c>
      <c r="R28" s="1">
        <f t="shared" si="4"/>
        <v>3.5527136788005009E-15</v>
      </c>
      <c r="S28" s="7">
        <f>Sintesi!$C$30</f>
        <v>0.107</v>
      </c>
      <c r="T28" s="7">
        <f>Sintesi!$C$29</f>
        <v>0.23300000000000001</v>
      </c>
      <c r="U28" s="5">
        <f>O28/(Sintesi!$C$5*1000)</f>
        <v>0.24177806532479437</v>
      </c>
      <c r="V28" s="1">
        <f t="shared" si="0"/>
        <v>0.126</v>
      </c>
      <c r="W28" s="1">
        <v>0.67863650113523299</v>
      </c>
      <c r="X28" s="1">
        <f t="shared" si="1"/>
        <v>8.5508199143039351E-2</v>
      </c>
      <c r="Y28" s="1">
        <f t="shared" si="2"/>
        <v>0.14749180085696068</v>
      </c>
      <c r="Z28" s="1">
        <f>'Paste cellinfo here'!$B$11</f>
        <v>0.52400000000000002</v>
      </c>
    </row>
    <row r="29" spans="1:26">
      <c r="A29" s="1">
        <v>28</v>
      </c>
      <c r="B29" s="2">
        <f>DATE(Sintesi!$C$4-1,12,31)+A29</f>
        <v>44224</v>
      </c>
      <c r="C29" s="1">
        <f>'Paste cell here'!B29</f>
        <v>0</v>
      </c>
      <c r="D29" s="1">
        <f>'Paste cell here'!I29</f>
        <v>0</v>
      </c>
      <c r="E29" s="1">
        <f>'Paste cell here'!J29</f>
        <v>0</v>
      </c>
      <c r="F29" s="1">
        <f>'Paste cell here'!K29</f>
        <v>0</v>
      </c>
      <c r="G29" s="1">
        <f>'Paste cell here'!L29</f>
        <v>0</v>
      </c>
      <c r="H29" s="1">
        <f>'Paste cell here'!M29</f>
        <v>0</v>
      </c>
      <c r="I29" s="1">
        <f>'Paste cell here'!N29</f>
        <v>0</v>
      </c>
      <c r="J29" s="1">
        <f>'Paste cell here'!O29</f>
        <v>0</v>
      </c>
      <c r="K29" s="1">
        <f>'Paste cell here'!Q29</f>
        <v>0.66359809689440097</v>
      </c>
      <c r="L29" s="1">
        <f>'Paste cell here'!S29</f>
        <v>0</v>
      </c>
      <c r="M29" s="1">
        <f>'Paste cell here'!T29</f>
        <v>0.11163302583085648</v>
      </c>
      <c r="N29" s="1">
        <f>'Paste cell here'!W29</f>
        <v>0</v>
      </c>
      <c r="O29" s="1">
        <f>'Paste cell here'!U29</f>
        <v>23.402575409754178</v>
      </c>
      <c r="P29" s="1">
        <f t="shared" si="3"/>
        <v>24.177806532479437</v>
      </c>
      <c r="Q29" s="1">
        <f>'Paste cell here'!V29</f>
        <v>0</v>
      </c>
      <c r="R29" s="1">
        <f t="shared" si="4"/>
        <v>3.5527136788005009E-15</v>
      </c>
      <c r="S29" s="7">
        <f>Sintesi!$C$30</f>
        <v>0.107</v>
      </c>
      <c r="T29" s="7">
        <f>Sintesi!$C$29</f>
        <v>0.23300000000000001</v>
      </c>
      <c r="U29" s="5">
        <f>O29/(Sintesi!$C$5*1000)</f>
        <v>0.23402575409754178</v>
      </c>
      <c r="V29" s="1">
        <f t="shared" si="0"/>
        <v>0.126</v>
      </c>
      <c r="W29" s="1">
        <v>0.67547870249119601</v>
      </c>
      <c r="X29" s="1">
        <f t="shared" si="1"/>
        <v>8.5110316513890699E-2</v>
      </c>
      <c r="Y29" s="1">
        <f t="shared" si="2"/>
        <v>0.14788968348610931</v>
      </c>
      <c r="Z29" s="1">
        <f>'Paste cellinfo here'!$B$11</f>
        <v>0.52400000000000002</v>
      </c>
    </row>
    <row r="30" spans="1:26">
      <c r="A30" s="1">
        <v>29</v>
      </c>
      <c r="B30" s="2">
        <f>DATE(Sintesi!$C$4-1,12,31)+A30</f>
        <v>44225</v>
      </c>
      <c r="C30" s="1">
        <f>'Paste cell here'!B30</f>
        <v>0</v>
      </c>
      <c r="D30" s="1">
        <f>'Paste cell here'!I30</f>
        <v>0</v>
      </c>
      <c r="E30" s="1">
        <f>'Paste cell here'!J30</f>
        <v>0</v>
      </c>
      <c r="F30" s="1">
        <f>'Paste cell here'!K30</f>
        <v>0</v>
      </c>
      <c r="G30" s="1">
        <f>'Paste cell here'!L30</f>
        <v>0</v>
      </c>
      <c r="H30" s="1">
        <f>'Paste cell here'!M30</f>
        <v>0</v>
      </c>
      <c r="I30" s="1">
        <f>'Paste cell here'!N30</f>
        <v>0</v>
      </c>
      <c r="J30" s="1">
        <f>'Paste cell here'!O30</f>
        <v>0</v>
      </c>
      <c r="K30" s="1">
        <f>'Paste cell here'!Q30</f>
        <v>0.63845654272838515</v>
      </c>
      <c r="L30" s="1">
        <f>'Paste cell here'!S30</f>
        <v>0</v>
      </c>
      <c r="M30" s="1">
        <f>'Paste cell here'!T30</f>
        <v>7.4731987028843441E-2</v>
      </c>
      <c r="N30" s="1">
        <f>'Paste cell here'!W30</f>
        <v>0</v>
      </c>
      <c r="O30" s="1">
        <f>'Paste cell here'!U30</f>
        <v>22.689386879996956</v>
      </c>
      <c r="P30" s="1">
        <f t="shared" si="3"/>
        <v>23.402575409754178</v>
      </c>
      <c r="Q30" s="1">
        <f>'Paste cell here'!V30</f>
        <v>0</v>
      </c>
      <c r="R30" s="1">
        <f t="shared" si="4"/>
        <v>7.1054273576010019E-15</v>
      </c>
      <c r="S30" s="7">
        <f>Sintesi!$C$30</f>
        <v>0.107</v>
      </c>
      <c r="T30" s="7">
        <f>Sintesi!$C$29</f>
        <v>0.23300000000000001</v>
      </c>
      <c r="U30" s="5">
        <f>O30/(Sintesi!$C$5*1000)</f>
        <v>0.22689386879996956</v>
      </c>
      <c r="V30" s="1">
        <f t="shared" si="0"/>
        <v>0.126</v>
      </c>
      <c r="W30" s="1">
        <v>0.67641699432073898</v>
      </c>
      <c r="X30" s="1">
        <f t="shared" si="1"/>
        <v>8.5228541284413109E-2</v>
      </c>
      <c r="Y30" s="1">
        <f t="shared" si="2"/>
        <v>0.14777145871558689</v>
      </c>
      <c r="Z30" s="1">
        <f>'Paste cellinfo here'!$B$11</f>
        <v>0.52400000000000002</v>
      </c>
    </row>
    <row r="31" spans="1:26">
      <c r="A31" s="1">
        <v>30</v>
      </c>
      <c r="B31" s="2">
        <f>DATE(Sintesi!$C$4-1,12,31)+A31</f>
        <v>44226</v>
      </c>
      <c r="C31" s="1">
        <f>'Paste cell here'!B31</f>
        <v>3.0399999999999552</v>
      </c>
      <c r="D31" s="1">
        <f>'Paste cell here'!I31</f>
        <v>0</v>
      </c>
      <c r="E31" s="1">
        <f>'Paste cell here'!J31</f>
        <v>3.0399999999999552</v>
      </c>
      <c r="F31" s="1">
        <f>'Paste cell here'!K31</f>
        <v>3.0399999999999552</v>
      </c>
      <c r="G31" s="1">
        <f>'Paste cell here'!L31</f>
        <v>3.0398675871853889</v>
      </c>
      <c r="H31" s="1">
        <f>'Paste cell here'!M31</f>
        <v>0</v>
      </c>
      <c r="I31" s="1">
        <f>'Paste cell here'!N31</f>
        <v>1.3241281456620831E-4</v>
      </c>
      <c r="J31" s="1">
        <f>'Paste cell here'!O31</f>
        <v>3.039867677780502</v>
      </c>
      <c r="K31" s="1">
        <f>'Paste cell here'!Q31</f>
        <v>0.92474378730753393</v>
      </c>
      <c r="L31" s="1">
        <f>'Paste cell here'!S31</f>
        <v>0</v>
      </c>
      <c r="M31" s="1">
        <f>'Paste cell here'!T31</f>
        <v>0.10686762972307939</v>
      </c>
      <c r="N31" s="1">
        <f>'Paste cell here'!W31</f>
        <v>0</v>
      </c>
      <c r="O31" s="1">
        <f>'Paste cell here'!U31</f>
        <v>24.697643140746845</v>
      </c>
      <c r="P31" s="1">
        <f t="shared" si="3"/>
        <v>22.689386879996956</v>
      </c>
      <c r="Q31" s="1">
        <f>'Paste cell here'!V31</f>
        <v>0</v>
      </c>
      <c r="R31" s="1">
        <f t="shared" si="4"/>
        <v>9.0595111856828225E-8</v>
      </c>
      <c r="S31" s="7">
        <f>Sintesi!$C$30</f>
        <v>0.107</v>
      </c>
      <c r="T31" s="7">
        <f>Sintesi!$C$29</f>
        <v>0.23300000000000001</v>
      </c>
      <c r="U31" s="5">
        <f>O31/(Sintesi!$C$5*1000)</f>
        <v>0.24697643140746844</v>
      </c>
      <c r="V31" s="1">
        <f t="shared" si="0"/>
        <v>0.126</v>
      </c>
      <c r="W31" s="1">
        <v>0.674892182946354</v>
      </c>
      <c r="X31" s="1">
        <f t="shared" si="1"/>
        <v>8.5036415051240599E-2</v>
      </c>
      <c r="Y31" s="1">
        <f t="shared" si="2"/>
        <v>0.14796358494875941</v>
      </c>
      <c r="Z31" s="1">
        <f>'Paste cellinfo here'!$B$11</f>
        <v>0.52400000000000002</v>
      </c>
    </row>
    <row r="32" spans="1:26">
      <c r="A32" s="1">
        <v>31</v>
      </c>
      <c r="B32" s="2">
        <f>DATE(Sintesi!$C$4-1,12,31)+A32</f>
        <v>44227</v>
      </c>
      <c r="C32" s="1">
        <f>'Paste cell here'!B32</f>
        <v>8.1599999999999113</v>
      </c>
      <c r="D32" s="1">
        <f>'Paste cell here'!I32</f>
        <v>0</v>
      </c>
      <c r="E32" s="1">
        <f>'Paste cell here'!J32</f>
        <v>8.1599999999999113</v>
      </c>
      <c r="F32" s="1">
        <f>'Paste cell here'!K32</f>
        <v>8.1599999999999113</v>
      </c>
      <c r="G32" s="1">
        <f>'Paste cell here'!L32</f>
        <v>6.8257304825191989</v>
      </c>
      <c r="H32" s="1">
        <f>'Paste cell here'!M32</f>
        <v>0</v>
      </c>
      <c r="I32" s="1">
        <f>'Paste cell here'!N32</f>
        <v>1.3342695174807122</v>
      </c>
      <c r="J32" s="1">
        <f>'Paste cell here'!O32</f>
        <v>6.8257306859418216</v>
      </c>
      <c r="K32" s="1">
        <f>'Paste cell here'!Q32</f>
        <v>0.82867616733814331</v>
      </c>
      <c r="L32" s="1">
        <f>'Paste cell here'!S32</f>
        <v>0</v>
      </c>
      <c r="M32" s="1">
        <f>'Paste cell here'!T32</f>
        <v>0.74187495288969996</v>
      </c>
      <c r="N32" s="1">
        <f>'Paste cell here'!W32</f>
        <v>0</v>
      </c>
      <c r="O32" s="1">
        <f>'Paste cell here'!U32</f>
        <v>29.952822706460811</v>
      </c>
      <c r="P32" s="1">
        <f t="shared" si="3"/>
        <v>24.697643140746845</v>
      </c>
      <c r="Q32" s="1">
        <f>'Paste cell here'!V32</f>
        <v>0</v>
      </c>
      <c r="R32" s="1">
        <f t="shared" si="4"/>
        <v>2.0342260853567495E-7</v>
      </c>
      <c r="S32" s="7">
        <f>Sintesi!$C$30</f>
        <v>0.107</v>
      </c>
      <c r="T32" s="7">
        <f>Sintesi!$C$29</f>
        <v>0.23300000000000001</v>
      </c>
      <c r="U32" s="5">
        <f>O32/(Sintesi!$C$5*1000)</f>
        <v>0.29952822706460813</v>
      </c>
      <c r="V32" s="1">
        <f t="shared" si="0"/>
        <v>0.126</v>
      </c>
      <c r="W32" s="1">
        <v>0.66968617505104</v>
      </c>
      <c r="X32" s="1">
        <f t="shared" si="1"/>
        <v>8.4380458056431046E-2</v>
      </c>
      <c r="Y32" s="1">
        <f t="shared" si="2"/>
        <v>0.14861954194356897</v>
      </c>
      <c r="Z32" s="1">
        <f>'Paste cellinfo here'!$B$11</f>
        <v>0.52400000000000002</v>
      </c>
    </row>
    <row r="33" spans="1:26">
      <c r="A33" s="1">
        <v>32</v>
      </c>
      <c r="B33" s="2">
        <f>DATE(Sintesi!$C$4-1,12,31)+A33</f>
        <v>44228</v>
      </c>
      <c r="C33" s="1">
        <f>'Paste cell here'!B33</f>
        <v>0</v>
      </c>
      <c r="D33" s="1">
        <f>'Paste cell here'!I33</f>
        <v>0</v>
      </c>
      <c r="E33" s="1">
        <f>'Paste cell here'!J33</f>
        <v>0</v>
      </c>
      <c r="F33" s="1">
        <f>'Paste cell here'!K33</f>
        <v>0</v>
      </c>
      <c r="G33" s="1">
        <f>'Paste cell here'!L33</f>
        <v>0</v>
      </c>
      <c r="H33" s="1">
        <f>'Paste cell here'!M33</f>
        <v>0</v>
      </c>
      <c r="I33" s="1">
        <f>'Paste cell here'!N33</f>
        <v>0</v>
      </c>
      <c r="J33" s="1">
        <f>'Paste cell here'!O33</f>
        <v>0</v>
      </c>
      <c r="K33" s="1">
        <f>'Paste cell here'!Q33</f>
        <v>0.71833877903181165</v>
      </c>
      <c r="L33" s="1">
        <f>'Paste cell here'!S33</f>
        <v>0</v>
      </c>
      <c r="M33" s="1">
        <f>'Paste cell here'!T33</f>
        <v>1.2033706811623983</v>
      </c>
      <c r="N33" s="1">
        <f>'Paste cell here'!W33</f>
        <v>0</v>
      </c>
      <c r="O33" s="1">
        <f>'Paste cell here'!U33</f>
        <v>28.031113246266614</v>
      </c>
      <c r="P33" s="1">
        <f t="shared" si="3"/>
        <v>29.952822706460811</v>
      </c>
      <c r="Q33" s="1">
        <f>'Paste cell here'!V33</f>
        <v>0</v>
      </c>
      <c r="R33" s="1">
        <f t="shared" si="4"/>
        <v>1.0658141036401503E-14</v>
      </c>
      <c r="S33" s="7">
        <f>Sintesi!$C$30</f>
        <v>0.107</v>
      </c>
      <c r="T33" s="7">
        <f>Sintesi!$C$29</f>
        <v>0.23300000000000001</v>
      </c>
      <c r="U33" s="5">
        <f>O33/(Sintesi!$C$5*1000)</f>
        <v>0.28031113246266615</v>
      </c>
      <c r="V33" s="1">
        <f t="shared" si="0"/>
        <v>0.126</v>
      </c>
      <c r="W33" s="1">
        <v>0.67658266535519695</v>
      </c>
      <c r="X33" s="1">
        <f t="shared" si="1"/>
        <v>8.5249415834754816E-2</v>
      </c>
      <c r="Y33" s="1">
        <f t="shared" si="2"/>
        <v>0.1477505841652452</v>
      </c>
      <c r="Z33" s="1">
        <f>'Paste cellinfo here'!$B$11</f>
        <v>0.52400000000000002</v>
      </c>
    </row>
    <row r="34" spans="1:26">
      <c r="A34" s="1">
        <v>33</v>
      </c>
      <c r="B34" s="2">
        <f>DATE(Sintesi!$C$4-1,12,31)+A34</f>
        <v>44229</v>
      </c>
      <c r="C34" s="1">
        <f>'Paste cell here'!B34</f>
        <v>0</v>
      </c>
      <c r="D34" s="1">
        <f>'Paste cell here'!I34</f>
        <v>0</v>
      </c>
      <c r="E34" s="1">
        <f>'Paste cell here'!J34</f>
        <v>0</v>
      </c>
      <c r="F34" s="1">
        <f>'Paste cell here'!K34</f>
        <v>0</v>
      </c>
      <c r="G34" s="1">
        <f>'Paste cell here'!L34</f>
        <v>0</v>
      </c>
      <c r="H34" s="1">
        <f>'Paste cell here'!M34</f>
        <v>0</v>
      </c>
      <c r="I34" s="1">
        <f>'Paste cell here'!N34</f>
        <v>0</v>
      </c>
      <c r="J34" s="1">
        <f>'Paste cell here'!O34</f>
        <v>0</v>
      </c>
      <c r="K34" s="1">
        <f>'Paste cell here'!Q34</f>
        <v>0.53177312238323859</v>
      </c>
      <c r="L34" s="1">
        <f>'Paste cell here'!S34</f>
        <v>0</v>
      </c>
      <c r="M34" s="1">
        <f>'Paste cell here'!T34</f>
        <v>0.63361501945692345</v>
      </c>
      <c r="N34" s="1">
        <f>'Paste cell here'!W34</f>
        <v>0</v>
      </c>
      <c r="O34" s="1">
        <f>'Paste cell here'!U34</f>
        <v>26.865725104426463</v>
      </c>
      <c r="P34" s="1">
        <f t="shared" si="3"/>
        <v>28.031113246266614</v>
      </c>
      <c r="Q34" s="1">
        <f>'Paste cell here'!V34</f>
        <v>0</v>
      </c>
      <c r="R34" s="1">
        <f t="shared" si="4"/>
        <v>1.0658141036401503E-14</v>
      </c>
      <c r="S34" s="7">
        <f>Sintesi!$C$30</f>
        <v>0.107</v>
      </c>
      <c r="T34" s="7">
        <f>Sintesi!$C$29</f>
        <v>0.23300000000000001</v>
      </c>
      <c r="U34" s="5">
        <f>O34/(Sintesi!$C$5*1000)</f>
        <v>0.26865725104426463</v>
      </c>
      <c r="V34" s="1">
        <f t="shared" si="0"/>
        <v>0.126</v>
      </c>
      <c r="W34" s="1">
        <v>0.67849416678530905</v>
      </c>
      <c r="X34" s="1">
        <f t="shared" si="1"/>
        <v>8.5490265014948941E-2</v>
      </c>
      <c r="Y34" s="1">
        <f t="shared" si="2"/>
        <v>0.14750973498505107</v>
      </c>
      <c r="Z34" s="1">
        <f>'Paste cellinfo here'!$B$11</f>
        <v>0.52400000000000002</v>
      </c>
    </row>
    <row r="35" spans="1:26">
      <c r="A35" s="1">
        <v>34</v>
      </c>
      <c r="B35" s="2">
        <f>DATE(Sintesi!$C$4-1,12,31)+A35</f>
        <v>44230</v>
      </c>
      <c r="C35" s="1">
        <f>'Paste cell here'!B35</f>
        <v>6.3999999999999257</v>
      </c>
      <c r="D35" s="1">
        <f>'Paste cell here'!I35</f>
        <v>0</v>
      </c>
      <c r="E35" s="1">
        <f>'Paste cell here'!J35</f>
        <v>6.3999999999999257</v>
      </c>
      <c r="F35" s="1">
        <f>'Paste cell here'!K35</f>
        <v>6.3999999999999257</v>
      </c>
      <c r="G35" s="1">
        <f>'Paste cell here'!L35</f>
        <v>5.7551032126070059</v>
      </c>
      <c r="H35" s="1">
        <f>'Paste cell here'!M35</f>
        <v>0</v>
      </c>
      <c r="I35" s="1">
        <f>'Paste cell here'!N35</f>
        <v>0.64489678739292</v>
      </c>
      <c r="J35" s="1">
        <f>'Paste cell here'!O35</f>
        <v>5.7551033841224495</v>
      </c>
      <c r="K35" s="1">
        <f>'Paste cell here'!Q35</f>
        <v>0.47950752678765274</v>
      </c>
      <c r="L35" s="1">
        <f>'Paste cell here'!S35</f>
        <v>0</v>
      </c>
      <c r="M35" s="1">
        <f>'Paste cell here'!T35</f>
        <v>1.3190777337771371</v>
      </c>
      <c r="N35" s="1">
        <f>'Paste cell here'!W35</f>
        <v>0</v>
      </c>
      <c r="O35" s="1">
        <f>'Paste cell here'!U35</f>
        <v>30.822243227984114</v>
      </c>
      <c r="P35" s="1">
        <f t="shared" si="3"/>
        <v>26.865725104426463</v>
      </c>
      <c r="Q35" s="1">
        <f>'Paste cell here'!V35</f>
        <v>0</v>
      </c>
      <c r="R35" s="1">
        <f t="shared" si="4"/>
        <v>1.7151543829641014E-7</v>
      </c>
      <c r="S35" s="7">
        <f>Sintesi!$C$30</f>
        <v>0.107</v>
      </c>
      <c r="T35" s="7">
        <f>Sintesi!$C$29</f>
        <v>0.23300000000000001</v>
      </c>
      <c r="U35" s="5">
        <f>O35/(Sintesi!$C$5*1000)</f>
        <v>0.30822243227984114</v>
      </c>
      <c r="V35" s="1">
        <f t="shared" si="0"/>
        <v>0.126</v>
      </c>
      <c r="W35" s="1">
        <v>0.67729307454782495</v>
      </c>
      <c r="X35" s="1">
        <f t="shared" si="1"/>
        <v>8.533892739302594E-2</v>
      </c>
      <c r="Y35" s="1">
        <f t="shared" si="2"/>
        <v>0.14766107260697409</v>
      </c>
      <c r="Z35" s="1">
        <f>'Paste cellinfo here'!$B$11</f>
        <v>0.52400000000000002</v>
      </c>
    </row>
    <row r="36" spans="1:26">
      <c r="A36" s="1">
        <v>35</v>
      </c>
      <c r="B36" s="2">
        <f>DATE(Sintesi!$C$4-1,12,31)+A36</f>
        <v>44231</v>
      </c>
      <c r="C36" s="1">
        <f>'Paste cell here'!B36</f>
        <v>1.1199999999999875</v>
      </c>
      <c r="D36" s="1">
        <f>'Paste cell here'!I36</f>
        <v>0</v>
      </c>
      <c r="E36" s="1">
        <f>'Paste cell here'!J36</f>
        <v>1.1199999999999875</v>
      </c>
      <c r="F36" s="1">
        <f>'Paste cell here'!K36</f>
        <v>1.1199999999999875</v>
      </c>
      <c r="G36" s="1">
        <f>'Paste cell here'!L36</f>
        <v>1.1199999999999875</v>
      </c>
      <c r="H36" s="1">
        <f>'Paste cell here'!M36</f>
        <v>0</v>
      </c>
      <c r="I36" s="1">
        <f>'Paste cell here'!N36</f>
        <v>0</v>
      </c>
      <c r="J36" s="1">
        <f>'Paste cell here'!O36</f>
        <v>1.1200000333785891</v>
      </c>
      <c r="K36" s="1">
        <f>'Paste cell here'!Q36</f>
        <v>0.65500559701681871</v>
      </c>
      <c r="L36" s="1">
        <f>'Paste cell here'!S36</f>
        <v>0</v>
      </c>
      <c r="M36" s="1">
        <f>'Paste cell here'!T36</f>
        <v>1.8537134287198969</v>
      </c>
      <c r="N36" s="1">
        <f>'Paste cell here'!W36</f>
        <v>0</v>
      </c>
      <c r="O36" s="1">
        <f>'Paste cell here'!U36</f>
        <v>29.433524235625985</v>
      </c>
      <c r="P36" s="1">
        <f t="shared" si="3"/>
        <v>30.822243227984114</v>
      </c>
      <c r="Q36" s="1">
        <f>'Paste cell here'!V36</f>
        <v>0</v>
      </c>
      <c r="R36" s="1">
        <f t="shared" si="4"/>
        <v>3.3378597663613618E-8</v>
      </c>
      <c r="S36" s="7">
        <f>Sintesi!$C$30</f>
        <v>0.107</v>
      </c>
      <c r="T36" s="7">
        <f>Sintesi!$C$29</f>
        <v>0.23300000000000001</v>
      </c>
      <c r="U36" s="5">
        <f>O36/(Sintesi!$C$5*1000)</f>
        <v>0.29433524235625985</v>
      </c>
      <c r="V36" s="1">
        <f t="shared" si="0"/>
        <v>0.126</v>
      </c>
      <c r="W36" s="1">
        <v>0.68028693507915805</v>
      </c>
      <c r="X36" s="1">
        <f t="shared" si="1"/>
        <v>8.5716153819973911E-2</v>
      </c>
      <c r="Y36" s="1">
        <f t="shared" si="2"/>
        <v>0.1472838461800261</v>
      </c>
      <c r="Z36" s="1">
        <f>'Paste cellinfo here'!$B$11</f>
        <v>0.52400000000000002</v>
      </c>
    </row>
    <row r="37" spans="1:26">
      <c r="A37" s="1">
        <v>36</v>
      </c>
      <c r="B37" s="2">
        <f>DATE(Sintesi!$C$4-1,12,31)+A37</f>
        <v>44232</v>
      </c>
      <c r="C37" s="1">
        <f>'Paste cell here'!B37</f>
        <v>2.0799999999999925</v>
      </c>
      <c r="D37" s="1">
        <f>'Paste cell here'!I37</f>
        <v>0</v>
      </c>
      <c r="E37" s="1">
        <f>'Paste cell here'!J37</f>
        <v>2.0799999999999925</v>
      </c>
      <c r="F37" s="1">
        <f>'Paste cell here'!K37</f>
        <v>2.0799999999999925</v>
      </c>
      <c r="G37" s="1">
        <f>'Paste cell here'!L37</f>
        <v>2.0799999999999925</v>
      </c>
      <c r="H37" s="1">
        <f>'Paste cell here'!M37</f>
        <v>0</v>
      </c>
      <c r="I37" s="1">
        <f>'Paste cell here'!N37</f>
        <v>0</v>
      </c>
      <c r="J37" s="1">
        <f>'Paste cell here'!O37</f>
        <v>2.0800000619888235</v>
      </c>
      <c r="K37" s="1">
        <f>'Paste cell here'!Q37</f>
        <v>0.57537808258661216</v>
      </c>
      <c r="L37" s="1">
        <f>'Paste cell here'!S37</f>
        <v>0</v>
      </c>
      <c r="M37" s="1">
        <f>'Paste cell here'!T37</f>
        <v>1.4538389349290264</v>
      </c>
      <c r="N37" s="1">
        <f>'Paste cell here'!W37</f>
        <v>0</v>
      </c>
      <c r="O37" s="1">
        <f>'Paste cell here'!U37</f>
        <v>29.484307280099181</v>
      </c>
      <c r="P37" s="1">
        <f t="shared" si="3"/>
        <v>29.433524235625985</v>
      </c>
      <c r="Q37" s="1">
        <f>'Paste cell here'!V37</f>
        <v>0</v>
      </c>
      <c r="R37" s="1">
        <f t="shared" si="4"/>
        <v>6.198884605623789E-8</v>
      </c>
      <c r="S37" s="7">
        <f>Sintesi!$C$30</f>
        <v>0.107</v>
      </c>
      <c r="T37" s="7">
        <f>Sintesi!$C$29</f>
        <v>0.23300000000000001</v>
      </c>
      <c r="U37" s="5">
        <f>O37/(Sintesi!$C$5*1000)</f>
        <v>0.29484307280099181</v>
      </c>
      <c r="V37" s="1">
        <f t="shared" si="0"/>
        <v>0.126</v>
      </c>
      <c r="W37" s="1">
        <v>0.65402803469535198</v>
      </c>
      <c r="X37" s="1">
        <f t="shared" si="1"/>
        <v>8.2407532371614356E-2</v>
      </c>
      <c r="Y37" s="1">
        <f t="shared" si="2"/>
        <v>0.15059246762838566</v>
      </c>
      <c r="Z37" s="1">
        <f>'Paste cellinfo here'!$B$11</f>
        <v>0.52400000000000002</v>
      </c>
    </row>
    <row r="38" spans="1:26">
      <c r="A38" s="1">
        <v>37</v>
      </c>
      <c r="B38" s="2">
        <f>DATE(Sintesi!$C$4-1,12,31)+A38</f>
        <v>44233</v>
      </c>
      <c r="C38" s="1">
        <f>'Paste cell here'!B38</f>
        <v>0</v>
      </c>
      <c r="D38" s="1">
        <f>'Paste cell here'!I38</f>
        <v>0</v>
      </c>
      <c r="E38" s="1">
        <f>'Paste cell here'!J38</f>
        <v>0</v>
      </c>
      <c r="F38" s="1">
        <f>'Paste cell here'!K38</f>
        <v>0</v>
      </c>
      <c r="G38" s="1">
        <f>'Paste cell here'!L38</f>
        <v>0</v>
      </c>
      <c r="H38" s="1">
        <f>'Paste cell here'!M38</f>
        <v>0</v>
      </c>
      <c r="I38" s="1">
        <f>'Paste cell here'!N38</f>
        <v>0</v>
      </c>
      <c r="J38" s="1">
        <f>'Paste cell here'!O38</f>
        <v>0</v>
      </c>
      <c r="K38" s="1">
        <f>'Paste cell here'!Q38</f>
        <v>0.59857971499738138</v>
      </c>
      <c r="L38" s="1">
        <f>'Paste cell here'!S38</f>
        <v>0</v>
      </c>
      <c r="M38" s="1">
        <f>'Paste cell here'!T38</f>
        <v>1.0512574369723464</v>
      </c>
      <c r="N38" s="1">
        <f>'Paste cell here'!W38</f>
        <v>0</v>
      </c>
      <c r="O38" s="1">
        <f>'Paste cell here'!U38</f>
        <v>27.834470128129439</v>
      </c>
      <c r="P38" s="1">
        <f t="shared" si="3"/>
        <v>29.484307280099181</v>
      </c>
      <c r="Q38" s="1">
        <f>'Paste cell here'!V38</f>
        <v>0</v>
      </c>
      <c r="R38" s="1">
        <f t="shared" si="4"/>
        <v>1.4210854715202004E-14</v>
      </c>
      <c r="S38" s="7">
        <f>Sintesi!$C$30</f>
        <v>0.107</v>
      </c>
      <c r="T38" s="7">
        <f>Sintesi!$C$29</f>
        <v>0.23300000000000001</v>
      </c>
      <c r="U38" s="5">
        <f>O38/(Sintesi!$C$5*1000)</f>
        <v>0.2783447012812944</v>
      </c>
      <c r="V38" s="1">
        <f t="shared" si="0"/>
        <v>0.126</v>
      </c>
      <c r="W38" s="1">
        <v>0.66664058992919395</v>
      </c>
      <c r="X38" s="1">
        <f t="shared" si="1"/>
        <v>8.3996714331078443E-2</v>
      </c>
      <c r="Y38" s="1">
        <f t="shared" si="2"/>
        <v>0.14900328566892157</v>
      </c>
      <c r="Z38" s="1">
        <f>'Paste cellinfo here'!$B$11</f>
        <v>0.52400000000000002</v>
      </c>
    </row>
    <row r="39" spans="1:26">
      <c r="A39" s="1">
        <v>38</v>
      </c>
      <c r="B39" s="2">
        <f>DATE(Sintesi!$C$4-1,12,31)+A39</f>
        <v>44234</v>
      </c>
      <c r="C39" s="1">
        <f>'Paste cell here'!B39</f>
        <v>31.919999999999625</v>
      </c>
      <c r="D39" s="1">
        <f>'Paste cell here'!I39</f>
        <v>0</v>
      </c>
      <c r="E39" s="1">
        <f>'Paste cell here'!J39</f>
        <v>31.919999999999625</v>
      </c>
      <c r="F39" s="1">
        <f>'Paste cell here'!K39</f>
        <v>31.919999999999625</v>
      </c>
      <c r="G39" s="1">
        <f>'Paste cell here'!L39</f>
        <v>12.749568213455916</v>
      </c>
      <c r="H39" s="1">
        <f>'Paste cell here'!M39</f>
        <v>0</v>
      </c>
      <c r="I39" s="1">
        <f>'Paste cell here'!N39</f>
        <v>19.170431786543709</v>
      </c>
      <c r="J39" s="1">
        <f>'Paste cell here'!O39</f>
        <v>12.749568593422666</v>
      </c>
      <c r="K39" s="1">
        <f>'Paste cell here'!Q39</f>
        <v>0.49731800581858365</v>
      </c>
      <c r="L39" s="1">
        <f>'Paste cell here'!S39</f>
        <v>0</v>
      </c>
      <c r="M39" s="1">
        <f>'Paste cell here'!T39</f>
        <v>5.1045981647010192</v>
      </c>
      <c r="N39" s="1">
        <f>'Paste cell here'!W39</f>
        <v>0</v>
      </c>
      <c r="O39" s="1">
        <f>'Paste cell here'!U39</f>
        <v>34.982122551032504</v>
      </c>
      <c r="P39" s="1">
        <f t="shared" si="3"/>
        <v>27.834470128129439</v>
      </c>
      <c r="Q39" s="1">
        <f>'Paste cell here'!V39</f>
        <v>0</v>
      </c>
      <c r="R39" s="1">
        <f t="shared" si="4"/>
        <v>3.7996674961959798E-7</v>
      </c>
      <c r="S39" s="7">
        <f>Sintesi!$C$30</f>
        <v>0.107</v>
      </c>
      <c r="T39" s="7">
        <f>Sintesi!$C$29</f>
        <v>0.23300000000000001</v>
      </c>
      <c r="U39" s="5">
        <f>O39/(Sintesi!$C$5*1000)</f>
        <v>0.34982122551032502</v>
      </c>
      <c r="V39" s="1">
        <f t="shared" si="0"/>
        <v>0.126</v>
      </c>
      <c r="W39" s="1">
        <v>0.66433491983069903</v>
      </c>
      <c r="X39" s="1">
        <f t="shared" si="1"/>
        <v>8.3706199898668079E-2</v>
      </c>
      <c r="Y39" s="1">
        <f t="shared" si="2"/>
        <v>0.14929380010133192</v>
      </c>
      <c r="Z39" s="1">
        <f>'Paste cellinfo here'!$B$11</f>
        <v>0.52400000000000002</v>
      </c>
    </row>
    <row r="40" spans="1:26">
      <c r="A40" s="1">
        <v>39</v>
      </c>
      <c r="B40" s="2">
        <f>DATE(Sintesi!$C$4-1,12,31)+A40</f>
        <v>44235</v>
      </c>
      <c r="C40" s="1">
        <f>'Paste cell here'!B40</f>
        <v>2.4399999999999893</v>
      </c>
      <c r="D40" s="1">
        <f>'Paste cell here'!I40</f>
        <v>0</v>
      </c>
      <c r="E40" s="1">
        <f>'Paste cell here'!J40</f>
        <v>2.4399999999999893</v>
      </c>
      <c r="F40" s="1">
        <f>'Paste cell here'!K40</f>
        <v>2.4399999999999893</v>
      </c>
      <c r="G40" s="1">
        <f>'Paste cell here'!L40</f>
        <v>2.4399999999999893</v>
      </c>
      <c r="H40" s="1">
        <f>'Paste cell here'!M40</f>
        <v>0</v>
      </c>
      <c r="I40" s="1">
        <f>'Paste cell here'!N40</f>
        <v>0</v>
      </c>
      <c r="J40" s="1">
        <f>'Paste cell here'!O40</f>
        <v>2.4400000727176554</v>
      </c>
      <c r="K40" s="1">
        <f>'Paste cell here'!Q40</f>
        <v>1.273571747442422</v>
      </c>
      <c r="L40" s="1">
        <f>'Paste cell here'!S40</f>
        <v>0</v>
      </c>
      <c r="M40" s="1">
        <f>'Paste cell here'!T40</f>
        <v>4.9281852686485461</v>
      </c>
      <c r="N40" s="1">
        <f>'Paste cell here'!W40</f>
        <v>0</v>
      </c>
      <c r="O40" s="1">
        <f>'Paste cell here'!U40</f>
        <v>31.220365607659204</v>
      </c>
      <c r="P40" s="1">
        <f t="shared" si="3"/>
        <v>34.982122551032504</v>
      </c>
      <c r="Q40" s="1">
        <f>'Paste cell here'!V40</f>
        <v>0</v>
      </c>
      <c r="R40" s="1">
        <f t="shared" si="4"/>
        <v>7.2717682542133844E-8</v>
      </c>
      <c r="S40" s="7">
        <f>Sintesi!$C$30</f>
        <v>0.107</v>
      </c>
      <c r="T40" s="7">
        <f>Sintesi!$C$29</f>
        <v>0.23300000000000001</v>
      </c>
      <c r="U40" s="5">
        <f>O40/(Sintesi!$C$5*1000)</f>
        <v>0.31220365607659206</v>
      </c>
      <c r="V40" s="1">
        <f t="shared" si="0"/>
        <v>0.126</v>
      </c>
      <c r="W40" s="1">
        <v>0.67054774017238294</v>
      </c>
      <c r="X40" s="1">
        <f t="shared" si="1"/>
        <v>8.4489015261720257E-2</v>
      </c>
      <c r="Y40" s="1">
        <f t="shared" si="2"/>
        <v>0.14851098473827976</v>
      </c>
      <c r="Z40" s="1">
        <f>'Paste cellinfo here'!$B$11</f>
        <v>0.52400000000000002</v>
      </c>
    </row>
    <row r="41" spans="1:26">
      <c r="A41" s="1">
        <v>40</v>
      </c>
      <c r="B41" s="2">
        <f>DATE(Sintesi!$C$4-1,12,31)+A41</f>
        <v>44236</v>
      </c>
      <c r="C41" s="1">
        <f>'Paste cell here'!B41</f>
        <v>2.3599999999999763</v>
      </c>
      <c r="D41" s="1">
        <f>'Paste cell here'!I41</f>
        <v>0</v>
      </c>
      <c r="E41" s="1">
        <f>'Paste cell here'!J41</f>
        <v>2.3599999999999763</v>
      </c>
      <c r="F41" s="1">
        <f>'Paste cell here'!K41</f>
        <v>2.3599999999999763</v>
      </c>
      <c r="G41" s="1">
        <f>'Paste cell here'!L41</f>
        <v>2.3599999999999763</v>
      </c>
      <c r="H41" s="1">
        <f>'Paste cell here'!M41</f>
        <v>0</v>
      </c>
      <c r="I41" s="1">
        <f>'Paste cell here'!N41</f>
        <v>0</v>
      </c>
      <c r="J41" s="1">
        <f>'Paste cell here'!O41</f>
        <v>2.3600000703334567</v>
      </c>
      <c r="K41" s="1">
        <f>'Paste cell here'!Q41</f>
        <v>0.8058391623158373</v>
      </c>
      <c r="L41" s="1">
        <f>'Paste cell here'!S41</f>
        <v>0</v>
      </c>
      <c r="M41" s="1">
        <f>'Paste cell here'!T41</f>
        <v>2.3885125499330684</v>
      </c>
      <c r="N41" s="1">
        <f>'Paste cell here'!W41</f>
        <v>0</v>
      </c>
      <c r="O41" s="1">
        <f>'Paste cell here'!U41</f>
        <v>30.386013965743764</v>
      </c>
      <c r="P41" s="1">
        <f t="shared" si="3"/>
        <v>31.220365607659204</v>
      </c>
      <c r="Q41" s="1">
        <f>'Paste cell here'!V41</f>
        <v>0</v>
      </c>
      <c r="R41" s="1">
        <f t="shared" si="4"/>
        <v>7.0333484814000258E-8</v>
      </c>
      <c r="S41" s="7">
        <f>Sintesi!$C$30</f>
        <v>0.107</v>
      </c>
      <c r="T41" s="7">
        <f>Sintesi!$C$29</f>
        <v>0.23300000000000001</v>
      </c>
      <c r="U41" s="5">
        <f>O41/(Sintesi!$C$5*1000)</f>
        <v>0.30386013965743763</v>
      </c>
      <c r="V41" s="1">
        <f t="shared" si="0"/>
        <v>0.126</v>
      </c>
      <c r="W41" s="1">
        <v>0.66690138097641405</v>
      </c>
      <c r="X41" s="1">
        <f t="shared" si="1"/>
        <v>8.4029574003028171E-2</v>
      </c>
      <c r="Y41" s="1">
        <f t="shared" si="2"/>
        <v>0.14897042599697186</v>
      </c>
      <c r="Z41" s="1">
        <f>'Paste cellinfo here'!$B$11</f>
        <v>0.52400000000000002</v>
      </c>
    </row>
    <row r="42" spans="1:26">
      <c r="A42" s="1">
        <v>41</v>
      </c>
      <c r="B42" s="2">
        <f>DATE(Sintesi!$C$4-1,12,31)+A42</f>
        <v>44237</v>
      </c>
      <c r="C42" s="1">
        <f>'Paste cell here'!B42</f>
        <v>15.439999999999788</v>
      </c>
      <c r="D42" s="1">
        <f>'Paste cell here'!I42</f>
        <v>0</v>
      </c>
      <c r="E42" s="1">
        <f>'Paste cell here'!J42</f>
        <v>15.439999999999788</v>
      </c>
      <c r="F42" s="1">
        <f>'Paste cell here'!K42</f>
        <v>15.439999999999788</v>
      </c>
      <c r="G42" s="1">
        <f>'Paste cell here'!L42</f>
        <v>9.6856307663302879</v>
      </c>
      <c r="H42" s="1">
        <f>'Paste cell here'!M42</f>
        <v>0</v>
      </c>
      <c r="I42" s="1">
        <f>'Paste cell here'!N42</f>
        <v>5.7543692336694994</v>
      </c>
      <c r="J42" s="1">
        <f>'Paste cell here'!O42</f>
        <v>9.6856310549845812</v>
      </c>
      <c r="K42" s="1">
        <f>'Paste cell here'!Q42</f>
        <v>0.58222299895833163</v>
      </c>
      <c r="L42" s="1">
        <f>'Paste cell here'!S42</f>
        <v>0</v>
      </c>
      <c r="M42" s="1">
        <f>'Paste cell here'!T42</f>
        <v>5.2805694510399741</v>
      </c>
      <c r="N42" s="1">
        <f>'Paste cell here'!W42</f>
        <v>0</v>
      </c>
      <c r="O42" s="1">
        <f>'Paste cell here'!U42</f>
        <v>34.208852570730045</v>
      </c>
      <c r="P42" s="1">
        <f t="shared" si="3"/>
        <v>30.386013965743764</v>
      </c>
      <c r="Q42" s="1">
        <f>'Paste cell here'!V42</f>
        <v>0</v>
      </c>
      <c r="R42" s="1">
        <f t="shared" si="4"/>
        <v>2.8865429158031475E-7</v>
      </c>
      <c r="S42" s="7">
        <f>Sintesi!$C$30</f>
        <v>0.107</v>
      </c>
      <c r="T42" s="7">
        <f>Sintesi!$C$29</f>
        <v>0.23300000000000001</v>
      </c>
      <c r="U42" s="5">
        <f>O42/(Sintesi!$C$5*1000)</f>
        <v>0.34208852570730047</v>
      </c>
      <c r="V42" s="1">
        <f t="shared" si="0"/>
        <v>0.126</v>
      </c>
      <c r="W42" s="1">
        <v>0.65798728375333504</v>
      </c>
      <c r="X42" s="1">
        <f t="shared" si="1"/>
        <v>8.2906397752920219E-2</v>
      </c>
      <c r="Y42" s="1">
        <f t="shared" si="2"/>
        <v>0.15009360224707979</v>
      </c>
      <c r="Z42" s="1">
        <f>'Paste cellinfo here'!$B$11</f>
        <v>0.52400000000000002</v>
      </c>
    </row>
    <row r="43" spans="1:26">
      <c r="A43" s="1">
        <v>42</v>
      </c>
      <c r="B43" s="2">
        <f>DATE(Sintesi!$C$4-1,12,31)+A43</f>
        <v>44238</v>
      </c>
      <c r="C43" s="1">
        <f>'Paste cell here'!B43</f>
        <v>0.15999999999999945</v>
      </c>
      <c r="D43" s="1">
        <f>'Paste cell here'!I43</f>
        <v>0</v>
      </c>
      <c r="E43" s="1">
        <f>'Paste cell here'!J43</f>
        <v>0.15999999999999945</v>
      </c>
      <c r="F43" s="1">
        <f>'Paste cell here'!K43</f>
        <v>0.15999999999999945</v>
      </c>
      <c r="G43" s="1">
        <f>'Paste cell here'!L43</f>
        <v>0.15999999999999945</v>
      </c>
      <c r="H43" s="1">
        <f>'Paste cell here'!M43</f>
        <v>0</v>
      </c>
      <c r="I43" s="1">
        <f>'Paste cell here'!N43</f>
        <v>0</v>
      </c>
      <c r="J43" s="1">
        <f>'Paste cell here'!O43</f>
        <v>0.16000000476837098</v>
      </c>
      <c r="K43" s="1">
        <f>'Paste cell here'!Q43</f>
        <v>1.1901310887661829</v>
      </c>
      <c r="L43" s="1">
        <f>'Paste cell here'!S43</f>
        <v>0</v>
      </c>
      <c r="M43" s="1">
        <f>'Paste cell here'!T43</f>
        <v>3.4936192727024875</v>
      </c>
      <c r="N43" s="1">
        <f>'Paste cell here'!W43</f>
        <v>0</v>
      </c>
      <c r="O43" s="1">
        <f>'Paste cell here'!U43</f>
        <v>29.685102214029762</v>
      </c>
      <c r="P43" s="1">
        <f t="shared" si="3"/>
        <v>34.208852570730045</v>
      </c>
      <c r="Q43" s="1">
        <f>'Paste cell here'!V43</f>
        <v>0</v>
      </c>
      <c r="R43" s="1">
        <f t="shared" si="4"/>
        <v>4.7683883508398139E-9</v>
      </c>
      <c r="S43" s="7">
        <f>Sintesi!$C$30</f>
        <v>0.107</v>
      </c>
      <c r="T43" s="7">
        <f>Sintesi!$C$29</f>
        <v>0.23300000000000001</v>
      </c>
      <c r="U43" s="5">
        <f>O43/(Sintesi!$C$5*1000)</f>
        <v>0.29685102214029763</v>
      </c>
      <c r="V43" s="1">
        <f t="shared" si="0"/>
        <v>0.126</v>
      </c>
      <c r="W43" s="1">
        <v>0.67551233490184703</v>
      </c>
      <c r="X43" s="1">
        <f t="shared" si="1"/>
        <v>8.5114554197632725E-2</v>
      </c>
      <c r="Y43" s="1">
        <f t="shared" si="2"/>
        <v>0.14788544580236729</v>
      </c>
      <c r="Z43" s="1">
        <f>'Paste cellinfo here'!$B$11</f>
        <v>0.52400000000000002</v>
      </c>
    </row>
    <row r="44" spans="1:26">
      <c r="A44" s="1">
        <v>43</v>
      </c>
      <c r="B44" s="2">
        <f>DATE(Sintesi!$C$4-1,12,31)+A44</f>
        <v>44239</v>
      </c>
      <c r="C44" s="1">
        <f>'Paste cell here'!B44</f>
        <v>0</v>
      </c>
      <c r="D44" s="1">
        <f>'Paste cell here'!I44</f>
        <v>0</v>
      </c>
      <c r="E44" s="1">
        <f>'Paste cell here'!J44</f>
        <v>0</v>
      </c>
      <c r="F44" s="1">
        <f>'Paste cell here'!K44</f>
        <v>0</v>
      </c>
      <c r="G44" s="1">
        <f>'Paste cell here'!L44</f>
        <v>0</v>
      </c>
      <c r="H44" s="1">
        <f>'Paste cell here'!M44</f>
        <v>0</v>
      </c>
      <c r="I44" s="1">
        <f>'Paste cell here'!N44</f>
        <v>0</v>
      </c>
      <c r="J44" s="1">
        <f>'Paste cell here'!O44</f>
        <v>0</v>
      </c>
      <c r="K44" s="1">
        <f>'Paste cell here'!Q44</f>
        <v>1.228434622525469</v>
      </c>
      <c r="L44" s="1">
        <f>'Paste cell here'!S44</f>
        <v>0</v>
      </c>
      <c r="M44" s="1">
        <f>'Paste cell here'!T44</f>
        <v>1.0256487447430889</v>
      </c>
      <c r="N44" s="1">
        <f>'Paste cell here'!W44</f>
        <v>0</v>
      </c>
      <c r="O44" s="1">
        <f>'Paste cell here'!U44</f>
        <v>27.431018846761209</v>
      </c>
      <c r="P44" s="1">
        <f t="shared" si="3"/>
        <v>29.685102214029762</v>
      </c>
      <c r="Q44" s="1">
        <f>'Paste cell here'!V44</f>
        <v>0</v>
      </c>
      <c r="R44" s="1">
        <f t="shared" si="4"/>
        <v>3.5527136788005009E-15</v>
      </c>
      <c r="S44" s="7">
        <f>Sintesi!$C$30</f>
        <v>0.107</v>
      </c>
      <c r="T44" s="7">
        <f>Sintesi!$C$29</f>
        <v>0.23300000000000001</v>
      </c>
      <c r="U44" s="5">
        <f>O44/(Sintesi!$C$5*1000)</f>
        <v>0.27431018846761207</v>
      </c>
      <c r="V44" s="1">
        <f t="shared" si="0"/>
        <v>0.126</v>
      </c>
      <c r="W44" s="1">
        <v>0.63005349831225999</v>
      </c>
      <c r="X44" s="1">
        <f t="shared" si="1"/>
        <v>7.9386740787344756E-2</v>
      </c>
      <c r="Y44" s="1">
        <f t="shared" si="2"/>
        <v>0.15361325921265526</v>
      </c>
      <c r="Z44" s="1">
        <f>'Paste cellinfo here'!$B$11</f>
        <v>0.52400000000000002</v>
      </c>
    </row>
    <row r="45" spans="1:26">
      <c r="A45" s="1">
        <v>44</v>
      </c>
      <c r="B45" s="2">
        <f>DATE(Sintesi!$C$4-1,12,31)+A45</f>
        <v>44240</v>
      </c>
      <c r="C45" s="1">
        <f>'Paste cell here'!B45</f>
        <v>0</v>
      </c>
      <c r="D45" s="1">
        <f>'Paste cell here'!I45</f>
        <v>0</v>
      </c>
      <c r="E45" s="1">
        <f>'Paste cell here'!J45</f>
        <v>0</v>
      </c>
      <c r="F45" s="1">
        <f>'Paste cell here'!K45</f>
        <v>0</v>
      </c>
      <c r="G45" s="1">
        <f>'Paste cell here'!L45</f>
        <v>0</v>
      </c>
      <c r="H45" s="1">
        <f>'Paste cell here'!M45</f>
        <v>0</v>
      </c>
      <c r="I45" s="1">
        <f>'Paste cell here'!N45</f>
        <v>0</v>
      </c>
      <c r="J45" s="1">
        <f>'Paste cell here'!O45</f>
        <v>0</v>
      </c>
      <c r="K45" s="1">
        <f>'Paste cell here'!Q45</f>
        <v>1.0375564482801669</v>
      </c>
      <c r="L45" s="1">
        <f>'Paste cell here'!S45</f>
        <v>0</v>
      </c>
      <c r="M45" s="1">
        <f>'Paste cell here'!T45</f>
        <v>0.45885477902526112</v>
      </c>
      <c r="N45" s="1">
        <f>'Paste cell here'!W45</f>
        <v>0</v>
      </c>
      <c r="O45" s="1">
        <f>'Paste cell here'!U45</f>
        <v>25.934607619455782</v>
      </c>
      <c r="P45" s="1">
        <f t="shared" si="3"/>
        <v>27.431018846761209</v>
      </c>
      <c r="Q45" s="1">
        <f>'Paste cell here'!V45</f>
        <v>0</v>
      </c>
      <c r="R45" s="1">
        <f t="shared" si="4"/>
        <v>3.5527136788005009E-15</v>
      </c>
      <c r="S45" s="7">
        <f>Sintesi!$C$30</f>
        <v>0.107</v>
      </c>
      <c r="T45" s="7">
        <f>Sintesi!$C$29</f>
        <v>0.23300000000000001</v>
      </c>
      <c r="U45" s="5">
        <f>O45/(Sintesi!$C$5*1000)</f>
        <v>0.25934607619455785</v>
      </c>
      <c r="V45" s="1">
        <f t="shared" si="0"/>
        <v>0.126</v>
      </c>
      <c r="W45" s="1">
        <v>0.64738160380263199</v>
      </c>
      <c r="X45" s="1">
        <f t="shared" si="1"/>
        <v>8.1570082079131634E-2</v>
      </c>
      <c r="Y45" s="1">
        <f t="shared" si="2"/>
        <v>0.15142991792086838</v>
      </c>
      <c r="Z45" s="1">
        <f>'Paste cellinfo here'!$B$11</f>
        <v>0.52400000000000002</v>
      </c>
    </row>
    <row r="46" spans="1:26">
      <c r="A46" s="1">
        <v>45</v>
      </c>
      <c r="B46" s="2">
        <f>DATE(Sintesi!$C$4-1,12,31)+A46</f>
        <v>44241</v>
      </c>
      <c r="C46" s="1">
        <f>'Paste cell here'!B46</f>
        <v>0</v>
      </c>
      <c r="D46" s="1">
        <f>'Paste cell here'!I46</f>
        <v>0</v>
      </c>
      <c r="E46" s="1">
        <f>'Paste cell here'!J46</f>
        <v>0</v>
      </c>
      <c r="F46" s="1">
        <f>'Paste cell here'!K46</f>
        <v>0</v>
      </c>
      <c r="G46" s="1">
        <f>'Paste cell here'!L46</f>
        <v>0</v>
      </c>
      <c r="H46" s="1">
        <f>'Paste cell here'!M46</f>
        <v>0</v>
      </c>
      <c r="I46" s="1">
        <f>'Paste cell here'!N46</f>
        <v>0</v>
      </c>
      <c r="J46" s="1">
        <f>'Paste cell here'!O46</f>
        <v>0</v>
      </c>
      <c r="K46" s="1">
        <f>'Paste cell here'!Q46</f>
        <v>1.0917309186308766</v>
      </c>
      <c r="L46" s="1">
        <f>'Paste cell here'!S46</f>
        <v>0</v>
      </c>
      <c r="M46" s="1">
        <f>'Paste cell here'!T46</f>
        <v>0.23848060513870098</v>
      </c>
      <c r="N46" s="1">
        <f>'Paste cell here'!W46</f>
        <v>0</v>
      </c>
      <c r="O46" s="1">
        <f>'Paste cell here'!U46</f>
        <v>24.604396095686212</v>
      </c>
      <c r="P46" s="1">
        <f t="shared" si="3"/>
        <v>25.934607619455782</v>
      </c>
      <c r="Q46" s="1">
        <f>'Paste cell here'!V46</f>
        <v>0</v>
      </c>
      <c r="R46" s="1">
        <f t="shared" si="4"/>
        <v>7.1054273576010019E-15</v>
      </c>
      <c r="S46" s="7">
        <f>Sintesi!$C$30</f>
        <v>0.107</v>
      </c>
      <c r="T46" s="7">
        <f>Sintesi!$C$29</f>
        <v>0.23300000000000001</v>
      </c>
      <c r="U46" s="5">
        <f>O46/(Sintesi!$C$5*1000)</f>
        <v>0.24604396095686212</v>
      </c>
      <c r="V46" s="1">
        <f t="shared" si="0"/>
        <v>0.126</v>
      </c>
      <c r="W46" s="1">
        <v>0.65280840702738097</v>
      </c>
      <c r="X46" s="1">
        <f t="shared" si="1"/>
        <v>8.2253859285449996E-2</v>
      </c>
      <c r="Y46" s="1">
        <f t="shared" si="2"/>
        <v>0.15074614071455</v>
      </c>
      <c r="Z46" s="1">
        <f>'Paste cellinfo here'!$B$11</f>
        <v>0.52400000000000002</v>
      </c>
    </row>
    <row r="47" spans="1:26">
      <c r="A47" s="1">
        <v>46</v>
      </c>
      <c r="B47" s="2">
        <f>DATE(Sintesi!$C$4-1,12,31)+A47</f>
        <v>44242</v>
      </c>
      <c r="C47" s="1">
        <f>'Paste cell here'!B47</f>
        <v>0</v>
      </c>
      <c r="D47" s="1">
        <f>'Paste cell here'!I47</f>
        <v>0</v>
      </c>
      <c r="E47" s="1">
        <f>'Paste cell here'!J47</f>
        <v>0</v>
      </c>
      <c r="F47" s="1">
        <f>'Paste cell here'!K47</f>
        <v>0</v>
      </c>
      <c r="G47" s="1">
        <f>'Paste cell here'!L47</f>
        <v>0</v>
      </c>
      <c r="H47" s="1">
        <f>'Paste cell here'!M47</f>
        <v>0</v>
      </c>
      <c r="I47" s="1">
        <f>'Paste cell here'!N47</f>
        <v>0</v>
      </c>
      <c r="J47" s="1">
        <f>'Paste cell here'!O47</f>
        <v>0</v>
      </c>
      <c r="K47" s="1">
        <f>'Paste cell here'!Q47</f>
        <v>1.0482191176734497</v>
      </c>
      <c r="L47" s="1">
        <f>'Paste cell here'!S47</f>
        <v>0</v>
      </c>
      <c r="M47" s="1">
        <f>'Paste cell here'!T47</f>
        <v>0.12746434274696025</v>
      </c>
      <c r="N47" s="1">
        <f>'Paste cell here'!W47</f>
        <v>0</v>
      </c>
      <c r="O47" s="1">
        <f>'Paste cell here'!U47</f>
        <v>23.428712635265821</v>
      </c>
      <c r="P47" s="1">
        <f t="shared" si="3"/>
        <v>24.604396095686212</v>
      </c>
      <c r="Q47" s="1">
        <f>'Paste cell here'!V47</f>
        <v>0</v>
      </c>
      <c r="R47" s="1">
        <f t="shared" si="4"/>
        <v>2.1316282072803006E-14</v>
      </c>
      <c r="S47" s="7">
        <f>Sintesi!$C$30</f>
        <v>0.107</v>
      </c>
      <c r="T47" s="7">
        <f>Sintesi!$C$29</f>
        <v>0.23300000000000001</v>
      </c>
      <c r="U47" s="5">
        <f>O47/(Sintesi!$C$5*1000)</f>
        <v>0.23428712635265822</v>
      </c>
      <c r="V47" s="1">
        <f t="shared" si="0"/>
        <v>0.126</v>
      </c>
      <c r="W47" s="1">
        <v>0.65325762902932905</v>
      </c>
      <c r="X47" s="1">
        <f t="shared" si="1"/>
        <v>8.2310461257695464E-2</v>
      </c>
      <c r="Y47" s="1">
        <f t="shared" si="2"/>
        <v>0.15068953874230456</v>
      </c>
      <c r="Z47" s="1">
        <f>'Paste cellinfo here'!$B$11</f>
        <v>0.52400000000000002</v>
      </c>
    </row>
    <row r="48" spans="1:26">
      <c r="A48" s="1">
        <v>47</v>
      </c>
      <c r="B48" s="2">
        <f>DATE(Sintesi!$C$4-1,12,31)+A48</f>
        <v>44243</v>
      </c>
      <c r="C48" s="1">
        <f>'Paste cell here'!B48</f>
        <v>0</v>
      </c>
      <c r="D48" s="1">
        <f>'Paste cell here'!I48</f>
        <v>0</v>
      </c>
      <c r="E48" s="1">
        <f>'Paste cell here'!J48</f>
        <v>0</v>
      </c>
      <c r="F48" s="1">
        <f>'Paste cell here'!K48</f>
        <v>0</v>
      </c>
      <c r="G48" s="1">
        <f>'Paste cell here'!L48</f>
        <v>0</v>
      </c>
      <c r="H48" s="1">
        <f>'Paste cell here'!M48</f>
        <v>0</v>
      </c>
      <c r="I48" s="1">
        <f>'Paste cell here'!N48</f>
        <v>0</v>
      </c>
      <c r="J48" s="1">
        <f>'Paste cell here'!O48</f>
        <v>0</v>
      </c>
      <c r="K48" s="1">
        <f>'Paste cell here'!Q48</f>
        <v>1.1279641143650738</v>
      </c>
      <c r="L48" s="1">
        <f>'Paste cell here'!S48</f>
        <v>0</v>
      </c>
      <c r="M48" s="1">
        <f>'Paste cell here'!T48</f>
        <v>6.8093378257767387E-2</v>
      </c>
      <c r="N48" s="1">
        <f>'Paste cell here'!W48</f>
        <v>0</v>
      </c>
      <c r="O48" s="1">
        <f>'Paste cell here'!U48</f>
        <v>22.232655142642976</v>
      </c>
      <c r="P48" s="1">
        <f t="shared" si="3"/>
        <v>23.428712635265821</v>
      </c>
      <c r="Q48" s="1">
        <f>'Paste cell here'!V48</f>
        <v>0</v>
      </c>
      <c r="R48" s="1">
        <f t="shared" si="4"/>
        <v>3.5527136788005009E-15</v>
      </c>
      <c r="S48" s="7">
        <f>Sintesi!$C$30</f>
        <v>0.107</v>
      </c>
      <c r="T48" s="7">
        <f>Sintesi!$C$29</f>
        <v>0.23300000000000001</v>
      </c>
      <c r="U48" s="5">
        <f>O48/(Sintesi!$C$5*1000)</f>
        <v>0.22232655142642976</v>
      </c>
      <c r="V48" s="1">
        <f t="shared" si="0"/>
        <v>0.126</v>
      </c>
      <c r="W48" s="1">
        <v>0.64955068229730495</v>
      </c>
      <c r="X48" s="1">
        <f t="shared" si="1"/>
        <v>8.1843385969460419E-2</v>
      </c>
      <c r="Y48" s="1">
        <f t="shared" si="2"/>
        <v>0.15115661403053959</v>
      </c>
      <c r="Z48" s="1">
        <f>'Paste cellinfo here'!$B$11</f>
        <v>0.52400000000000002</v>
      </c>
    </row>
    <row r="49" spans="1:26">
      <c r="A49" s="1">
        <v>48</v>
      </c>
      <c r="B49" s="2">
        <f>DATE(Sintesi!$C$4-1,12,31)+A49</f>
        <v>44244</v>
      </c>
      <c r="C49" s="1">
        <f>'Paste cell here'!B49</f>
        <v>0.39999999999999858</v>
      </c>
      <c r="D49" s="1">
        <f>'Paste cell here'!I49</f>
        <v>0</v>
      </c>
      <c r="E49" s="1">
        <f>'Paste cell here'!J49</f>
        <v>0.39999999999999858</v>
      </c>
      <c r="F49" s="1">
        <f>'Paste cell here'!K49</f>
        <v>0.39999999999999858</v>
      </c>
      <c r="G49" s="1">
        <f>'Paste cell here'!L49</f>
        <v>0.39999999999999858</v>
      </c>
      <c r="H49" s="1">
        <f>'Paste cell here'!M49</f>
        <v>0</v>
      </c>
      <c r="I49" s="1">
        <f>'Paste cell here'!N49</f>
        <v>0</v>
      </c>
      <c r="J49" s="1">
        <f>'Paste cell here'!O49</f>
        <v>0.40000001192092777</v>
      </c>
      <c r="K49" s="1">
        <f>'Paste cell here'!Q49</f>
        <v>1.2929098193366544</v>
      </c>
      <c r="L49" s="1">
        <f>'Paste cell here'!S49</f>
        <v>0</v>
      </c>
      <c r="M49" s="1">
        <f>'Paste cell here'!T49</f>
        <v>3.6805580218422639E-2</v>
      </c>
      <c r="N49" s="1">
        <f>'Paste cell here'!W49</f>
        <v>0</v>
      </c>
      <c r="O49" s="1">
        <f>'Paste cell here'!U49</f>
        <v>21.302939755008815</v>
      </c>
      <c r="P49" s="1">
        <f t="shared" si="3"/>
        <v>22.232655142642976</v>
      </c>
      <c r="Q49" s="1">
        <f>'Paste cell here'!V49</f>
        <v>0</v>
      </c>
      <c r="R49" s="1">
        <f t="shared" si="4"/>
        <v>1.1920917586394353E-8</v>
      </c>
      <c r="S49" s="7">
        <f>Sintesi!$C$30</f>
        <v>0.107</v>
      </c>
      <c r="T49" s="7">
        <f>Sintesi!$C$29</f>
        <v>0.23300000000000001</v>
      </c>
      <c r="U49" s="5">
        <f>O49/(Sintesi!$C$5*1000)</f>
        <v>0.21302939755008815</v>
      </c>
      <c r="V49" s="1">
        <f t="shared" si="0"/>
        <v>0.126</v>
      </c>
      <c r="W49" s="1">
        <v>0.64856980785871199</v>
      </c>
      <c r="X49" s="1">
        <f t="shared" si="1"/>
        <v>8.1719795790197711E-2</v>
      </c>
      <c r="Y49" s="1">
        <f t="shared" si="2"/>
        <v>0.15128020420980232</v>
      </c>
      <c r="Z49" s="1">
        <f>'Paste cellinfo here'!$B$11</f>
        <v>0.52400000000000002</v>
      </c>
    </row>
    <row r="50" spans="1:26">
      <c r="A50" s="1">
        <v>49</v>
      </c>
      <c r="B50" s="2">
        <f>DATE(Sintesi!$C$4-1,12,31)+A50</f>
        <v>44245</v>
      </c>
      <c r="C50" s="1">
        <f>'Paste cell here'!B50</f>
        <v>0.67999999999999106</v>
      </c>
      <c r="D50" s="1">
        <f>'Paste cell here'!I50</f>
        <v>0</v>
      </c>
      <c r="E50" s="1">
        <f>'Paste cell here'!J50</f>
        <v>0.67999999999999106</v>
      </c>
      <c r="F50" s="1">
        <f>'Paste cell here'!K50</f>
        <v>0.67999999999999106</v>
      </c>
      <c r="G50" s="1">
        <f>'Paste cell here'!L50</f>
        <v>0.67999999999999106</v>
      </c>
      <c r="H50" s="1">
        <f>'Paste cell here'!M50</f>
        <v>0</v>
      </c>
      <c r="I50" s="1">
        <f>'Paste cell here'!N50</f>
        <v>0</v>
      </c>
      <c r="J50" s="1">
        <f>'Paste cell here'!O50</f>
        <v>0.68000002026557027</v>
      </c>
      <c r="K50" s="1">
        <f>'Paste cell here'!Q50</f>
        <v>1.0589860960662529</v>
      </c>
      <c r="L50" s="1">
        <f>'Paste cell here'!S50</f>
        <v>0</v>
      </c>
      <c r="M50" s="1">
        <f>'Paste cell here'!T50</f>
        <v>2.3939137190709146E-2</v>
      </c>
      <c r="N50" s="1">
        <f>'Paste cell here'!W50</f>
        <v>0</v>
      </c>
      <c r="O50" s="1">
        <f>'Paste cell here'!U50</f>
        <v>20.90001454201742</v>
      </c>
      <c r="P50" s="1">
        <f t="shared" si="3"/>
        <v>21.302939755008815</v>
      </c>
      <c r="Q50" s="1">
        <f>'Paste cell here'!V50</f>
        <v>0</v>
      </c>
      <c r="R50" s="1">
        <f t="shared" si="4"/>
        <v>2.0265574107725115E-8</v>
      </c>
      <c r="S50" s="7">
        <f>Sintesi!$C$30</f>
        <v>0.107</v>
      </c>
      <c r="T50" s="7">
        <f>Sintesi!$C$29</f>
        <v>0.23300000000000001</v>
      </c>
      <c r="U50" s="5">
        <f>O50/(Sintesi!$C$5*1000)</f>
        <v>0.2090001454201742</v>
      </c>
      <c r="V50" s="1">
        <f t="shared" si="0"/>
        <v>0.126</v>
      </c>
      <c r="W50" s="1">
        <v>0.64361428691110401</v>
      </c>
      <c r="X50" s="1">
        <f t="shared" si="1"/>
        <v>8.1095400150799107E-2</v>
      </c>
      <c r="Y50" s="1">
        <f t="shared" si="2"/>
        <v>0.15190459984920091</v>
      </c>
      <c r="Z50" s="1">
        <f>'Paste cellinfo here'!$B$11</f>
        <v>0.52400000000000002</v>
      </c>
    </row>
    <row r="51" spans="1:26">
      <c r="A51" s="1">
        <v>50</v>
      </c>
      <c r="B51" s="2">
        <f>DATE(Sintesi!$C$4-1,12,31)+A51</f>
        <v>44246</v>
      </c>
      <c r="C51" s="1">
        <f>'Paste cell here'!B51</f>
        <v>0.63999999999999779</v>
      </c>
      <c r="D51" s="1">
        <f>'Paste cell here'!I51</f>
        <v>0</v>
      </c>
      <c r="E51" s="1">
        <f>'Paste cell here'!J51</f>
        <v>0.63999999999999779</v>
      </c>
      <c r="F51" s="1">
        <f>'Paste cell here'!K51</f>
        <v>0.63999999999999779</v>
      </c>
      <c r="G51" s="1">
        <f>'Paste cell here'!L51</f>
        <v>0.63999999999999779</v>
      </c>
      <c r="H51" s="1">
        <f>'Paste cell here'!M51</f>
        <v>0</v>
      </c>
      <c r="I51" s="1">
        <f>'Paste cell here'!N51</f>
        <v>0</v>
      </c>
      <c r="J51" s="1">
        <f>'Paste cell here'!O51</f>
        <v>0.64000001907348392</v>
      </c>
      <c r="K51" s="1">
        <f>'Paste cell here'!Q51</f>
        <v>0.77265606297794442</v>
      </c>
      <c r="L51" s="1">
        <f>'Paste cell here'!S51</f>
        <v>0</v>
      </c>
      <c r="M51" s="1">
        <f>'Paste cell here'!T51</f>
        <v>1.9871493299891723E-2</v>
      </c>
      <c r="N51" s="1">
        <f>'Paste cell here'!W51</f>
        <v>0</v>
      </c>
      <c r="O51" s="1">
        <f>'Paste cell here'!U51</f>
        <v>20.747487004813078</v>
      </c>
      <c r="P51" s="1">
        <f t="shared" si="3"/>
        <v>20.90001454201742</v>
      </c>
      <c r="Q51" s="1">
        <f>'Paste cell here'!V51</f>
        <v>0</v>
      </c>
      <c r="R51" s="1">
        <f t="shared" si="4"/>
        <v>1.9073496559940395E-8</v>
      </c>
      <c r="S51" s="7">
        <f>Sintesi!$C$30</f>
        <v>0.107</v>
      </c>
      <c r="T51" s="7">
        <f>Sintesi!$C$29</f>
        <v>0.23300000000000001</v>
      </c>
      <c r="U51" s="5">
        <f>O51/(Sintesi!$C$5*1000)</f>
        <v>0.20747487004813078</v>
      </c>
      <c r="V51" s="1">
        <f t="shared" si="0"/>
        <v>0.126</v>
      </c>
      <c r="W51" s="1">
        <v>0.646910725781631</v>
      </c>
      <c r="X51" s="1">
        <f t="shared" si="1"/>
        <v>8.1510751448485505E-2</v>
      </c>
      <c r="Y51" s="1">
        <f t="shared" si="2"/>
        <v>0.15148924855151452</v>
      </c>
      <c r="Z51" s="1">
        <f>'Paste cellinfo here'!$B$11</f>
        <v>0.52400000000000002</v>
      </c>
    </row>
    <row r="52" spans="1:26">
      <c r="A52" s="1">
        <v>51</v>
      </c>
      <c r="B52" s="2">
        <f>DATE(Sintesi!$C$4-1,12,31)+A52</f>
        <v>44247</v>
      </c>
      <c r="C52" s="1">
        <f>'Paste cell here'!B52</f>
        <v>0</v>
      </c>
      <c r="D52" s="1">
        <f>'Paste cell here'!I52</f>
        <v>0</v>
      </c>
      <c r="E52" s="1">
        <f>'Paste cell here'!J52</f>
        <v>0</v>
      </c>
      <c r="F52" s="1">
        <f>'Paste cell here'!K52</f>
        <v>0</v>
      </c>
      <c r="G52" s="1">
        <f>'Paste cell here'!L52</f>
        <v>0</v>
      </c>
      <c r="H52" s="1">
        <f>'Paste cell here'!M52</f>
        <v>0</v>
      </c>
      <c r="I52" s="1">
        <f>'Paste cell here'!N52</f>
        <v>0</v>
      </c>
      <c r="J52" s="1">
        <f>'Paste cell here'!O52</f>
        <v>0</v>
      </c>
      <c r="K52" s="1">
        <f>'Paste cell here'!Q52</f>
        <v>0.90193123922150886</v>
      </c>
      <c r="L52" s="1">
        <f>'Paste cell here'!S52</f>
        <v>0</v>
      </c>
      <c r="M52" s="1">
        <f>'Paste cell here'!T52</f>
        <v>1.447396610482999E-2</v>
      </c>
      <c r="N52" s="1">
        <f>'Paste cell here'!W52</f>
        <v>0</v>
      </c>
      <c r="O52" s="1">
        <f>'Paste cell here'!U52</f>
        <v>19.831081799486725</v>
      </c>
      <c r="P52" s="1">
        <f t="shared" si="3"/>
        <v>20.747487004813078</v>
      </c>
      <c r="Q52" s="1">
        <f>'Paste cell here'!V52</f>
        <v>0</v>
      </c>
      <c r="R52" s="1">
        <f t="shared" si="4"/>
        <v>1.4210854715202004E-14</v>
      </c>
      <c r="S52" s="7">
        <f>Sintesi!$C$30</f>
        <v>0.107</v>
      </c>
      <c r="T52" s="7">
        <f>Sintesi!$C$29</f>
        <v>0.23300000000000001</v>
      </c>
      <c r="U52" s="5">
        <f>O52/(Sintesi!$C$5*1000)</f>
        <v>0.19831081799486724</v>
      </c>
      <c r="V52" s="1">
        <f t="shared" si="0"/>
        <v>0.126</v>
      </c>
      <c r="W52" s="1">
        <v>0.64690410347780303</v>
      </c>
      <c r="X52" s="1">
        <f t="shared" si="1"/>
        <v>8.1509917038203178E-2</v>
      </c>
      <c r="Y52" s="1">
        <f t="shared" si="2"/>
        <v>0.15149008296179683</v>
      </c>
      <c r="Z52" s="1">
        <f>'Paste cellinfo here'!$B$11</f>
        <v>0.52400000000000002</v>
      </c>
    </row>
    <row r="53" spans="1:26">
      <c r="A53" s="1">
        <v>52</v>
      </c>
      <c r="B53" s="2">
        <f>DATE(Sintesi!$C$4-1,12,31)+A53</f>
        <v>44248</v>
      </c>
      <c r="C53" s="1">
        <f>'Paste cell here'!B53</f>
        <v>0</v>
      </c>
      <c r="D53" s="1">
        <f>'Paste cell here'!I53</f>
        <v>0</v>
      </c>
      <c r="E53" s="1">
        <f>'Paste cell here'!J53</f>
        <v>0</v>
      </c>
      <c r="F53" s="1">
        <f>'Paste cell here'!K53</f>
        <v>0</v>
      </c>
      <c r="G53" s="1">
        <f>'Paste cell here'!L53</f>
        <v>0</v>
      </c>
      <c r="H53" s="1">
        <f>'Paste cell here'!M53</f>
        <v>0</v>
      </c>
      <c r="I53" s="1">
        <f>'Paste cell here'!N53</f>
        <v>0</v>
      </c>
      <c r="J53" s="1">
        <f>'Paste cell here'!O53</f>
        <v>0</v>
      </c>
      <c r="K53" s="1">
        <f>'Paste cell here'!Q53</f>
        <v>1.2852995861631549</v>
      </c>
      <c r="L53" s="1">
        <f>'Paste cell here'!S53</f>
        <v>0</v>
      </c>
      <c r="M53" s="1">
        <f>'Paste cell here'!T53</f>
        <v>7.0657822282763636E-3</v>
      </c>
      <c r="N53" s="1">
        <f>'Paste cell here'!W53</f>
        <v>0</v>
      </c>
      <c r="O53" s="1">
        <f>'Paste cell here'!U53</f>
        <v>18.538716431095299</v>
      </c>
      <c r="P53" s="1">
        <f t="shared" si="3"/>
        <v>19.831081799486725</v>
      </c>
      <c r="Q53" s="1">
        <f>'Paste cell here'!V53</f>
        <v>0</v>
      </c>
      <c r="R53" s="1">
        <f t="shared" si="4"/>
        <v>7.1054273576010019E-15</v>
      </c>
      <c r="S53" s="7">
        <f>Sintesi!$C$30</f>
        <v>0.107</v>
      </c>
      <c r="T53" s="7">
        <f>Sintesi!$C$29</f>
        <v>0.23300000000000001</v>
      </c>
      <c r="U53" s="5">
        <f>O53/(Sintesi!$C$5*1000)</f>
        <v>0.18538716431095298</v>
      </c>
      <c r="V53" s="1">
        <f t="shared" si="0"/>
        <v>0.126</v>
      </c>
      <c r="W53" s="1">
        <v>0.65742210210687402</v>
      </c>
      <c r="X53" s="1">
        <f t="shared" si="1"/>
        <v>8.2835184865466122E-2</v>
      </c>
      <c r="Y53" s="1">
        <f t="shared" si="2"/>
        <v>0.15016481513453389</v>
      </c>
      <c r="Z53" s="1">
        <f>'Paste cellinfo here'!$B$11</f>
        <v>0.52400000000000002</v>
      </c>
    </row>
    <row r="54" spans="1:26">
      <c r="A54" s="1">
        <v>53</v>
      </c>
      <c r="B54" s="2">
        <f>DATE(Sintesi!$C$4-1,12,31)+A54</f>
        <v>44249</v>
      </c>
      <c r="C54" s="1">
        <f>'Paste cell here'!B54</f>
        <v>0</v>
      </c>
      <c r="D54" s="1">
        <f>'Paste cell here'!I54</f>
        <v>0</v>
      </c>
      <c r="E54" s="1">
        <f>'Paste cell here'!J54</f>
        <v>0</v>
      </c>
      <c r="F54" s="1">
        <f>'Paste cell here'!K54</f>
        <v>0</v>
      </c>
      <c r="G54" s="1">
        <f>'Paste cell here'!L54</f>
        <v>0</v>
      </c>
      <c r="H54" s="1">
        <f>'Paste cell here'!M54</f>
        <v>0</v>
      </c>
      <c r="I54" s="1">
        <f>'Paste cell here'!N54</f>
        <v>0</v>
      </c>
      <c r="J54" s="1">
        <f>'Paste cell here'!O54</f>
        <v>0</v>
      </c>
      <c r="K54" s="1">
        <f>'Paste cell here'!Q54</f>
        <v>1.1980129215891009</v>
      </c>
      <c r="L54" s="1">
        <f>'Paste cell here'!S54</f>
        <v>0</v>
      </c>
      <c r="M54" s="1">
        <f>'Paste cell here'!T54</f>
        <v>2.7578296563447111E-3</v>
      </c>
      <c r="N54" s="1">
        <f>'Paste cell here'!W54</f>
        <v>0</v>
      </c>
      <c r="O54" s="1">
        <f>'Paste cell here'!U54</f>
        <v>17.337945679849842</v>
      </c>
      <c r="P54" s="1">
        <f t="shared" si="3"/>
        <v>18.538716431095299</v>
      </c>
      <c r="Q54" s="1">
        <f>'Paste cell here'!V54</f>
        <v>0</v>
      </c>
      <c r="R54" s="1">
        <f t="shared" si="4"/>
        <v>1.0658141036401503E-14</v>
      </c>
      <c r="S54" s="7">
        <f>Sintesi!$C$30</f>
        <v>0.107</v>
      </c>
      <c r="T54" s="7">
        <f>Sintesi!$C$29</f>
        <v>0.23300000000000001</v>
      </c>
      <c r="U54" s="5">
        <f>O54/(Sintesi!$C$5*1000)</f>
        <v>0.17337945679849842</v>
      </c>
      <c r="V54" s="1">
        <f t="shared" si="0"/>
        <v>0.126</v>
      </c>
      <c r="W54" s="1">
        <v>0.65370491806769004</v>
      </c>
      <c r="X54" s="1">
        <f t="shared" si="1"/>
        <v>8.2366819676528952E-2</v>
      </c>
      <c r="Y54" s="1">
        <f t="shared" si="2"/>
        <v>0.15063318032347106</v>
      </c>
      <c r="Z54" s="1">
        <f>'Paste cellinfo here'!$B$11</f>
        <v>0.52400000000000002</v>
      </c>
    </row>
    <row r="55" spans="1:26">
      <c r="A55" s="1">
        <v>54</v>
      </c>
      <c r="B55" s="2">
        <f>DATE(Sintesi!$C$4-1,12,31)+A55</f>
        <v>44250</v>
      </c>
      <c r="C55" s="1">
        <f>'Paste cell here'!B55</f>
        <v>0</v>
      </c>
      <c r="D55" s="1">
        <f>'Paste cell here'!I55</f>
        <v>0</v>
      </c>
      <c r="E55" s="1">
        <f>'Paste cell here'!J55</f>
        <v>0</v>
      </c>
      <c r="F55" s="1">
        <f>'Paste cell here'!K55</f>
        <v>0</v>
      </c>
      <c r="G55" s="1">
        <f>'Paste cell here'!L55</f>
        <v>0</v>
      </c>
      <c r="H55" s="1">
        <f>'Paste cell here'!M55</f>
        <v>0</v>
      </c>
      <c r="I55" s="1">
        <f>'Paste cell here'!N55</f>
        <v>0</v>
      </c>
      <c r="J55" s="1">
        <f>'Paste cell here'!O55</f>
        <v>0</v>
      </c>
      <c r="K55" s="1">
        <f>'Paste cell here'!Q55</f>
        <v>1.4356761032582055</v>
      </c>
      <c r="L55" s="1">
        <f>'Paste cell here'!S55</f>
        <v>0</v>
      </c>
      <c r="M55" s="1">
        <f>'Paste cell here'!T55</f>
        <v>9.5828339287131218E-4</v>
      </c>
      <c r="N55" s="1">
        <f>'Paste cell here'!W55</f>
        <v>0</v>
      </c>
      <c r="O55" s="1">
        <f>'Paste cell here'!U55</f>
        <v>15.90131129319877</v>
      </c>
      <c r="P55" s="1">
        <f t="shared" si="3"/>
        <v>17.337945679849842</v>
      </c>
      <c r="Q55" s="1">
        <f>'Paste cell here'!V55</f>
        <v>0</v>
      </c>
      <c r="R55" s="1">
        <f t="shared" si="4"/>
        <v>5.3290705182007514E-15</v>
      </c>
      <c r="S55" s="7">
        <f>Sintesi!$C$30</f>
        <v>0.107</v>
      </c>
      <c r="T55" s="7">
        <f>Sintesi!$C$29</f>
        <v>0.23300000000000001</v>
      </c>
      <c r="U55" s="5">
        <f>O55/(Sintesi!$C$5*1000)</f>
        <v>0.15901311293198769</v>
      </c>
      <c r="V55" s="1">
        <f t="shared" si="0"/>
        <v>0.126</v>
      </c>
      <c r="W55" s="1">
        <v>0.63494199366455994</v>
      </c>
      <c r="X55" s="1">
        <f t="shared" si="1"/>
        <v>8.000269120173456E-2</v>
      </c>
      <c r="Y55" s="1">
        <f t="shared" si="2"/>
        <v>0.15299730879826545</v>
      </c>
      <c r="Z55" s="1">
        <f>'Paste cellinfo here'!$B$11</f>
        <v>0.52400000000000002</v>
      </c>
    </row>
    <row r="56" spans="1:26">
      <c r="A56" s="1">
        <v>55</v>
      </c>
      <c r="B56" s="2">
        <f>DATE(Sintesi!$C$4-1,12,31)+A56</f>
        <v>44251</v>
      </c>
      <c r="C56" s="1">
        <f>'Paste cell here'!B56</f>
        <v>0</v>
      </c>
      <c r="D56" s="1">
        <f>'Paste cell here'!I56</f>
        <v>0</v>
      </c>
      <c r="E56" s="1">
        <f>'Paste cell here'!J56</f>
        <v>0</v>
      </c>
      <c r="F56" s="1">
        <f>'Paste cell here'!K56</f>
        <v>0</v>
      </c>
      <c r="G56" s="1">
        <f>'Paste cell here'!L56</f>
        <v>0</v>
      </c>
      <c r="H56" s="1">
        <f>'Paste cell here'!M56</f>
        <v>0</v>
      </c>
      <c r="I56" s="1">
        <f>'Paste cell here'!N56</f>
        <v>0</v>
      </c>
      <c r="J56" s="1">
        <f>'Paste cell here'!O56</f>
        <v>0</v>
      </c>
      <c r="K56" s="1">
        <f>'Paste cell here'!Q56</f>
        <v>1.5898796297670659</v>
      </c>
      <c r="L56" s="1">
        <f>'Paste cell here'!S56</f>
        <v>0</v>
      </c>
      <c r="M56" s="1">
        <f>'Paste cell here'!T56</f>
        <v>2.338767550735357E-4</v>
      </c>
      <c r="N56" s="1">
        <f>'Paste cell here'!W56</f>
        <v>0</v>
      </c>
      <c r="O56" s="1">
        <f>'Paste cell here'!U56</f>
        <v>14.311197786676631</v>
      </c>
      <c r="P56" s="1">
        <f t="shared" si="3"/>
        <v>15.90131129319877</v>
      </c>
      <c r="Q56" s="1">
        <f>'Paste cell here'!V56</f>
        <v>0</v>
      </c>
      <c r="R56" s="1">
        <f t="shared" si="4"/>
        <v>0</v>
      </c>
      <c r="S56" s="7">
        <f>Sintesi!$C$30</f>
        <v>0.107</v>
      </c>
      <c r="T56" s="7">
        <f>Sintesi!$C$29</f>
        <v>0.23300000000000001</v>
      </c>
      <c r="U56" s="5">
        <f>O56/(Sintesi!$C$5*1000)</f>
        <v>0.14311197786676633</v>
      </c>
      <c r="V56" s="1">
        <f t="shared" si="0"/>
        <v>0.126</v>
      </c>
      <c r="W56" s="1">
        <v>0.63636428471719797</v>
      </c>
      <c r="X56" s="1">
        <f t="shared" si="1"/>
        <v>8.0181899874366941E-2</v>
      </c>
      <c r="Y56" s="1">
        <f t="shared" si="2"/>
        <v>0.15281810012563307</v>
      </c>
      <c r="Z56" s="1">
        <f>'Paste cellinfo here'!$B$11</f>
        <v>0.52400000000000002</v>
      </c>
    </row>
    <row r="57" spans="1:26">
      <c r="A57" s="1">
        <v>56</v>
      </c>
      <c r="B57" s="2">
        <f>DATE(Sintesi!$C$4-1,12,31)+A57</f>
        <v>44252</v>
      </c>
      <c r="C57" s="1">
        <f>'Paste cell here'!B57</f>
        <v>0</v>
      </c>
      <c r="D57" s="1">
        <f>'Paste cell here'!I57</f>
        <v>0</v>
      </c>
      <c r="E57" s="1">
        <f>'Paste cell here'!J57</f>
        <v>0</v>
      </c>
      <c r="F57" s="1">
        <f>'Paste cell here'!K57</f>
        <v>0</v>
      </c>
      <c r="G57" s="1">
        <f>'Paste cell here'!L57</f>
        <v>0</v>
      </c>
      <c r="H57" s="1">
        <f>'Paste cell here'!M57</f>
        <v>0</v>
      </c>
      <c r="I57" s="1">
        <f>'Paste cell here'!N57</f>
        <v>0</v>
      </c>
      <c r="J57" s="1">
        <f>'Paste cell here'!O57</f>
        <v>0</v>
      </c>
      <c r="K57" s="1">
        <f>'Paste cell here'!Q57</f>
        <v>1.3855078595702361</v>
      </c>
      <c r="L57" s="1">
        <f>'Paste cell here'!S57</f>
        <v>0</v>
      </c>
      <c r="M57" s="1">
        <f>'Paste cell here'!T57</f>
        <v>4.187914133128583E-5</v>
      </c>
      <c r="N57" s="1">
        <f>'Paste cell here'!W57</f>
        <v>0</v>
      </c>
      <c r="O57" s="1">
        <f>'Paste cell here'!U57</f>
        <v>12.925648047965062</v>
      </c>
      <c r="P57" s="1">
        <f t="shared" si="3"/>
        <v>14.311197786676631</v>
      </c>
      <c r="Q57" s="1">
        <f>'Paste cell here'!V57</f>
        <v>0</v>
      </c>
      <c r="R57" s="1">
        <f t="shared" si="4"/>
        <v>1.7763568394002505E-15</v>
      </c>
      <c r="S57" s="7">
        <f>Sintesi!$C$30</f>
        <v>0.107</v>
      </c>
      <c r="T57" s="7">
        <f>Sintesi!$C$29</f>
        <v>0.23300000000000001</v>
      </c>
      <c r="U57" s="5">
        <f>O57/(Sintesi!$C$5*1000)</f>
        <v>0.12925648047965063</v>
      </c>
      <c r="V57" s="1">
        <f t="shared" si="0"/>
        <v>0.126</v>
      </c>
      <c r="W57" s="1">
        <v>0.650261594242736</v>
      </c>
      <c r="X57" s="1">
        <f t="shared" si="1"/>
        <v>8.1932960874584737E-2</v>
      </c>
      <c r="Y57" s="1">
        <f t="shared" si="2"/>
        <v>0.15106703912541528</v>
      </c>
      <c r="Z57" s="1">
        <f>'Paste cellinfo here'!$B$11</f>
        <v>0.52400000000000002</v>
      </c>
    </row>
    <row r="58" spans="1:26">
      <c r="A58" s="1">
        <v>57</v>
      </c>
      <c r="B58" s="2">
        <f>DATE(Sintesi!$C$4-1,12,31)+A58</f>
        <v>44253</v>
      </c>
      <c r="C58" s="1">
        <f>'Paste cell here'!B58</f>
        <v>0</v>
      </c>
      <c r="D58" s="1">
        <f>'Paste cell here'!I58</f>
        <v>0</v>
      </c>
      <c r="E58" s="1">
        <f>'Paste cell here'!J58</f>
        <v>0</v>
      </c>
      <c r="F58" s="1">
        <f>'Paste cell here'!K58</f>
        <v>0</v>
      </c>
      <c r="G58" s="1">
        <f>'Paste cell here'!L58</f>
        <v>0</v>
      </c>
      <c r="H58" s="1">
        <f>'Paste cell here'!M58</f>
        <v>0</v>
      </c>
      <c r="I58" s="1">
        <f>'Paste cell here'!N58</f>
        <v>0</v>
      </c>
      <c r="J58" s="1">
        <f>'Paste cell here'!O58</f>
        <v>0</v>
      </c>
      <c r="K58" s="1">
        <f>'Paste cell here'!Q58</f>
        <v>1.2151959024550767</v>
      </c>
      <c r="L58" s="1">
        <f>'Paste cell here'!S58</f>
        <v>0</v>
      </c>
      <c r="M58" s="1">
        <f>'Paste cell here'!T58</f>
        <v>6.7670467995387991E-6</v>
      </c>
      <c r="N58" s="1">
        <f>'Paste cell here'!W58</f>
        <v>0</v>
      </c>
      <c r="O58" s="1">
        <f>'Paste cell here'!U58</f>
        <v>11.710445378463184</v>
      </c>
      <c r="P58" s="1">
        <f t="shared" si="3"/>
        <v>12.925648047965062</v>
      </c>
      <c r="Q58" s="1">
        <f>'Paste cell here'!V58</f>
        <v>0</v>
      </c>
      <c r="R58" s="1">
        <f t="shared" si="4"/>
        <v>0</v>
      </c>
      <c r="S58" s="7">
        <f>Sintesi!$C$30</f>
        <v>0.107</v>
      </c>
      <c r="T58" s="7">
        <f>Sintesi!$C$29</f>
        <v>0.23300000000000001</v>
      </c>
      <c r="U58" s="5">
        <f>O58/(Sintesi!$C$5*1000)</f>
        <v>0.11710445378463184</v>
      </c>
      <c r="V58" s="1">
        <f t="shared" si="0"/>
        <v>0.126</v>
      </c>
      <c r="W58" s="1">
        <v>0.63395415936985799</v>
      </c>
      <c r="X58" s="1">
        <f t="shared" si="1"/>
        <v>7.9878224080602106E-2</v>
      </c>
      <c r="Y58" s="1">
        <f t="shared" si="2"/>
        <v>0.15312177591939791</v>
      </c>
      <c r="Z58" s="1">
        <f>'Paste cellinfo here'!$B$11</f>
        <v>0.52400000000000002</v>
      </c>
    </row>
    <row r="59" spans="1:26">
      <c r="A59" s="1">
        <v>58</v>
      </c>
      <c r="B59" s="2">
        <f>DATE(Sintesi!$C$4-1,12,31)+A59</f>
        <v>44254</v>
      </c>
      <c r="C59" s="1">
        <f>'Paste cell here'!B59</f>
        <v>0</v>
      </c>
      <c r="D59" s="1">
        <f>'Paste cell here'!I59</f>
        <v>0</v>
      </c>
      <c r="E59" s="1">
        <f>'Paste cell here'!J59</f>
        <v>0</v>
      </c>
      <c r="F59" s="1">
        <f>'Paste cell here'!K59</f>
        <v>0</v>
      </c>
      <c r="G59" s="1">
        <f>'Paste cell here'!L59</f>
        <v>0</v>
      </c>
      <c r="H59" s="1">
        <f>'Paste cell here'!M59</f>
        <v>0</v>
      </c>
      <c r="I59" s="1">
        <f>'Paste cell here'!N59</f>
        <v>0</v>
      </c>
      <c r="J59" s="1">
        <f>'Paste cell here'!O59</f>
        <v>0</v>
      </c>
      <c r="K59" s="1">
        <f>'Paste cell here'!Q59</f>
        <v>1.1688281245792382</v>
      </c>
      <c r="L59" s="1">
        <f>'Paste cell here'!S59</f>
        <v>0</v>
      </c>
      <c r="M59" s="1">
        <f>'Paste cell here'!T59</f>
        <v>9.1351698844206419E-7</v>
      </c>
      <c r="N59" s="1">
        <f>'Paste cell here'!W59</f>
        <v>0</v>
      </c>
      <c r="O59" s="1">
        <f>'Paste cell here'!U59</f>
        <v>10.541616340366961</v>
      </c>
      <c r="P59" s="1">
        <f t="shared" si="3"/>
        <v>11.710445378463184</v>
      </c>
      <c r="Q59" s="1">
        <f>'Paste cell here'!V59</f>
        <v>0</v>
      </c>
      <c r="R59" s="1">
        <f t="shared" si="4"/>
        <v>3.5527136788005009E-15</v>
      </c>
      <c r="S59" s="7">
        <f>Sintesi!$C$30</f>
        <v>0.107</v>
      </c>
      <c r="T59" s="7">
        <f>Sintesi!$C$29</f>
        <v>0.23300000000000001</v>
      </c>
      <c r="U59" s="5">
        <f>O59/(Sintesi!$C$5*1000)</f>
        <v>0.1054161634036696</v>
      </c>
      <c r="V59" s="1">
        <f t="shared" si="0"/>
        <v>0.126</v>
      </c>
      <c r="W59" s="1">
        <v>0.62434641708493299</v>
      </c>
      <c r="X59" s="1">
        <f t="shared" si="1"/>
        <v>7.8667648552701558E-2</v>
      </c>
      <c r="Y59" s="1">
        <f t="shared" si="2"/>
        <v>0.15433235144729845</v>
      </c>
      <c r="Z59" s="1">
        <f>'Paste cellinfo here'!$B$11</f>
        <v>0.52400000000000002</v>
      </c>
    </row>
    <row r="60" spans="1:26">
      <c r="A60" s="1">
        <v>59</v>
      </c>
      <c r="B60" s="2">
        <f>DATE(Sintesi!$C$4-1,12,31)+A60</f>
        <v>44255</v>
      </c>
      <c r="C60" s="1">
        <f>'Paste cell here'!B60</f>
        <v>0</v>
      </c>
      <c r="D60" s="1">
        <f>'Paste cell here'!I60</f>
        <v>0</v>
      </c>
      <c r="E60" s="1">
        <f>'Paste cell here'!J60</f>
        <v>0</v>
      </c>
      <c r="F60" s="1">
        <f>'Paste cell here'!K60</f>
        <v>0</v>
      </c>
      <c r="G60" s="1">
        <f>'Paste cell here'!L60</f>
        <v>0</v>
      </c>
      <c r="H60" s="1">
        <f>'Paste cell here'!M60</f>
        <v>0</v>
      </c>
      <c r="I60" s="1">
        <f>'Paste cell here'!N60</f>
        <v>0</v>
      </c>
      <c r="J60" s="1">
        <f>'Paste cell here'!O60</f>
        <v>0</v>
      </c>
      <c r="K60" s="1">
        <f>'Paste cell here'!Q60</f>
        <v>0.91514828071598531</v>
      </c>
      <c r="L60" s="1">
        <f>'Paste cell here'!S60</f>
        <v>0</v>
      </c>
      <c r="M60" s="1">
        <f>'Paste cell here'!T60</f>
        <v>8.6166061008311923E-8</v>
      </c>
      <c r="N60" s="1">
        <f>'Paste cell here'!W60</f>
        <v>0</v>
      </c>
      <c r="O60" s="1">
        <f>'Paste cell here'!U60</f>
        <v>9.6264679734849192</v>
      </c>
      <c r="P60" s="1">
        <f t="shared" si="3"/>
        <v>10.541616340366961</v>
      </c>
      <c r="Q60" s="1">
        <f>'Paste cell here'!V60</f>
        <v>0</v>
      </c>
      <c r="R60" s="1">
        <f t="shared" si="4"/>
        <v>5.3290705182007514E-15</v>
      </c>
      <c r="S60" s="7">
        <f>Sintesi!$C$30</f>
        <v>0.107</v>
      </c>
      <c r="T60" s="7">
        <f>Sintesi!$C$29</f>
        <v>0.23300000000000001</v>
      </c>
      <c r="U60" s="5">
        <f>O60/(Sintesi!$C$5*1000)</f>
        <v>9.6264679734849187E-2</v>
      </c>
      <c r="V60" s="1">
        <f t="shared" si="0"/>
        <v>0.126</v>
      </c>
      <c r="W60" s="1">
        <v>0.61254650569119296</v>
      </c>
      <c r="X60" s="1">
        <f t="shared" si="1"/>
        <v>7.7180859717090308E-2</v>
      </c>
      <c r="Y60" s="1">
        <f t="shared" si="2"/>
        <v>0.15581914028290972</v>
      </c>
      <c r="Z60" s="1">
        <f>'Paste cellinfo here'!$B$11</f>
        <v>0.52400000000000002</v>
      </c>
    </row>
    <row r="61" spans="1:26">
      <c r="A61" s="1">
        <v>60</v>
      </c>
      <c r="B61" s="2">
        <f>DATE(Sintesi!$C$4-1,12,31)+A61</f>
        <v>44256</v>
      </c>
      <c r="C61" s="1">
        <f>'Paste cell here'!B61</f>
        <v>0</v>
      </c>
      <c r="D61" s="1">
        <f>'Paste cell here'!I61</f>
        <v>0</v>
      </c>
      <c r="E61" s="1">
        <f>'Paste cell here'!J61</f>
        <v>0</v>
      </c>
      <c r="F61" s="1">
        <f>'Paste cell here'!K61</f>
        <v>0</v>
      </c>
      <c r="G61" s="1">
        <f>'Paste cell here'!L61</f>
        <v>0</v>
      </c>
      <c r="H61" s="1">
        <f>'Paste cell here'!M61</f>
        <v>0</v>
      </c>
      <c r="I61" s="1">
        <f>'Paste cell here'!N61</f>
        <v>0</v>
      </c>
      <c r="J61" s="1">
        <f>'Paste cell here'!O61</f>
        <v>0</v>
      </c>
      <c r="K61" s="1">
        <f>'Paste cell here'!Q61</f>
        <v>0.69644486321170107</v>
      </c>
      <c r="L61" s="1">
        <f>'Paste cell here'!S61</f>
        <v>0</v>
      </c>
      <c r="M61" s="1">
        <f>'Paste cell here'!T61</f>
        <v>7.8932460838642695E-9</v>
      </c>
      <c r="N61" s="1">
        <f>'Paste cell here'!W61</f>
        <v>0</v>
      </c>
      <c r="O61" s="1">
        <f>'Paste cell here'!U61</f>
        <v>8.930023102379975</v>
      </c>
      <c r="P61" s="1">
        <f t="shared" si="3"/>
        <v>9.6264679734849192</v>
      </c>
      <c r="Q61" s="1">
        <f>'Paste cell here'!V61</f>
        <v>0</v>
      </c>
      <c r="R61" s="1">
        <f t="shared" si="4"/>
        <v>3.5527136788005009E-15</v>
      </c>
      <c r="S61" s="7">
        <f>Sintesi!$C$30</f>
        <v>0.107</v>
      </c>
      <c r="T61" s="7">
        <f>Sintesi!$C$29</f>
        <v>0.23300000000000001</v>
      </c>
      <c r="U61" s="5">
        <f>O61/(Sintesi!$C$5*1000)</f>
        <v>8.9300231023799748E-2</v>
      </c>
      <c r="V61" s="1">
        <f t="shared" si="0"/>
        <v>0.126</v>
      </c>
      <c r="W61" s="1">
        <v>0.62155109583496204</v>
      </c>
      <c r="X61" s="1">
        <f t="shared" si="1"/>
        <v>7.8315438075205218E-2</v>
      </c>
      <c r="Y61" s="1">
        <f t="shared" si="2"/>
        <v>0.15468456192479479</v>
      </c>
      <c r="Z61" s="1">
        <f>'Paste cellinfo here'!$B$11</f>
        <v>0.52400000000000002</v>
      </c>
    </row>
    <row r="62" spans="1:26">
      <c r="A62" s="1">
        <v>61</v>
      </c>
      <c r="B62" s="2">
        <f>DATE(Sintesi!$C$4-1,12,31)+A62</f>
        <v>44257</v>
      </c>
      <c r="C62" s="1">
        <f>'Paste cell here'!B62</f>
        <v>0</v>
      </c>
      <c r="D62" s="1">
        <f>'Paste cell here'!I62</f>
        <v>0</v>
      </c>
      <c r="E62" s="1">
        <f>'Paste cell here'!J62</f>
        <v>0</v>
      </c>
      <c r="F62" s="1">
        <f>'Paste cell here'!K62</f>
        <v>0</v>
      </c>
      <c r="G62" s="1">
        <f>'Paste cell here'!L62</f>
        <v>0</v>
      </c>
      <c r="H62" s="1">
        <f>'Paste cell here'!M62</f>
        <v>0</v>
      </c>
      <c r="I62" s="1">
        <f>'Paste cell here'!N62</f>
        <v>0</v>
      </c>
      <c r="J62" s="1">
        <f>'Paste cell here'!O62</f>
        <v>0</v>
      </c>
      <c r="K62" s="1">
        <f>'Paste cell here'!Q62</f>
        <v>0.57834894253412183</v>
      </c>
      <c r="L62" s="1">
        <f>'Paste cell here'!S62</f>
        <v>0</v>
      </c>
      <c r="M62" s="1">
        <f>'Paste cell here'!T62</f>
        <v>7.1623606638281297E-10</v>
      </c>
      <c r="N62" s="1">
        <f>'Paste cell here'!W62</f>
        <v>0</v>
      </c>
      <c r="O62" s="1">
        <f>'Paste cell here'!U62</f>
        <v>8.3516741591296118</v>
      </c>
      <c r="P62" s="1">
        <f t="shared" si="3"/>
        <v>8.930023102379975</v>
      </c>
      <c r="Q62" s="1">
        <f>'Paste cell here'!V62</f>
        <v>0</v>
      </c>
      <c r="R62" s="1">
        <f t="shared" si="4"/>
        <v>5.3290705182007514E-15</v>
      </c>
      <c r="S62" s="7">
        <f>Sintesi!$C$30</f>
        <v>0.107</v>
      </c>
      <c r="T62" s="7">
        <f>Sintesi!$C$29</f>
        <v>0.23300000000000001</v>
      </c>
      <c r="U62" s="5">
        <f>O62/(Sintesi!$C$5*1000)</f>
        <v>8.3516741591296115E-2</v>
      </c>
      <c r="V62" s="1">
        <f t="shared" si="0"/>
        <v>0.126</v>
      </c>
      <c r="W62" s="1">
        <v>0.64811407294263501</v>
      </c>
      <c r="X62" s="1">
        <f t="shared" si="1"/>
        <v>8.1662373190772006E-2</v>
      </c>
      <c r="Y62" s="1">
        <f t="shared" si="2"/>
        <v>0.15133762680922802</v>
      </c>
      <c r="Z62" s="1">
        <f>'Paste cellinfo here'!$B$11</f>
        <v>0.52400000000000002</v>
      </c>
    </row>
    <row r="63" spans="1:26">
      <c r="A63" s="1">
        <v>62</v>
      </c>
      <c r="B63" s="2">
        <f>DATE(Sintesi!$C$4-1,12,31)+A63</f>
        <v>44258</v>
      </c>
      <c r="C63" s="1">
        <f>'Paste cell here'!B63</f>
        <v>0</v>
      </c>
      <c r="D63" s="1">
        <f>'Paste cell here'!I63</f>
        <v>0</v>
      </c>
      <c r="E63" s="1">
        <f>'Paste cell here'!J63</f>
        <v>0</v>
      </c>
      <c r="F63" s="1">
        <f>'Paste cell here'!K63</f>
        <v>0</v>
      </c>
      <c r="G63" s="1">
        <f>'Paste cell here'!L63</f>
        <v>0</v>
      </c>
      <c r="H63" s="1">
        <f>'Paste cell here'!M63</f>
        <v>0</v>
      </c>
      <c r="I63" s="1">
        <f>'Paste cell here'!N63</f>
        <v>0</v>
      </c>
      <c r="J63" s="1">
        <f>'Paste cell here'!O63</f>
        <v>0</v>
      </c>
      <c r="K63" s="1">
        <f>'Paste cell here'!Q63</f>
        <v>0.38702224727296097</v>
      </c>
      <c r="L63" s="1">
        <f>'Paste cell here'!S63</f>
        <v>0</v>
      </c>
      <c r="M63" s="1">
        <f>'Paste cell here'!T63</f>
        <v>5.626535909574549E-11</v>
      </c>
      <c r="N63" s="1">
        <f>'Paste cell here'!W63</f>
        <v>0</v>
      </c>
      <c r="O63" s="1">
        <f>'Paste cell here'!U63</f>
        <v>7.9646519118003862</v>
      </c>
      <c r="P63" s="1">
        <f t="shared" si="3"/>
        <v>8.3516741591296118</v>
      </c>
      <c r="Q63" s="1">
        <f>'Paste cell here'!V63</f>
        <v>0</v>
      </c>
      <c r="R63" s="1">
        <f t="shared" si="4"/>
        <v>8.8817841970012523E-16</v>
      </c>
      <c r="S63" s="7">
        <f>Sintesi!$C$30</f>
        <v>0.107</v>
      </c>
      <c r="T63" s="7">
        <f>Sintesi!$C$29</f>
        <v>0.23300000000000001</v>
      </c>
      <c r="U63" s="5">
        <f>O63/(Sintesi!$C$5*1000)</f>
        <v>7.9646519118003856E-2</v>
      </c>
      <c r="V63" s="1">
        <f t="shared" si="0"/>
        <v>0.126</v>
      </c>
      <c r="W63" s="1">
        <v>0.63119632841886997</v>
      </c>
      <c r="X63" s="1">
        <f t="shared" si="1"/>
        <v>7.9530737380777622E-2</v>
      </c>
      <c r="Y63" s="1">
        <f t="shared" si="2"/>
        <v>0.15346926261922239</v>
      </c>
      <c r="Z63" s="1">
        <f>'Paste cellinfo here'!$B$11</f>
        <v>0.52400000000000002</v>
      </c>
    </row>
    <row r="64" spans="1:26">
      <c r="A64" s="1">
        <v>63</v>
      </c>
      <c r="B64" s="2">
        <f>DATE(Sintesi!$C$4-1,12,31)+A64</f>
        <v>44259</v>
      </c>
      <c r="C64" s="1">
        <f>'Paste cell here'!B64</f>
        <v>0</v>
      </c>
      <c r="D64" s="1">
        <f>'Paste cell here'!I64</f>
        <v>0</v>
      </c>
      <c r="E64" s="1">
        <f>'Paste cell here'!J64</f>
        <v>0</v>
      </c>
      <c r="F64" s="1">
        <f>'Paste cell here'!K64</f>
        <v>0</v>
      </c>
      <c r="G64" s="1">
        <f>'Paste cell here'!L64</f>
        <v>0</v>
      </c>
      <c r="H64" s="1">
        <f>'Paste cell here'!M64</f>
        <v>0</v>
      </c>
      <c r="I64" s="1">
        <f>'Paste cell here'!N64</f>
        <v>0</v>
      </c>
      <c r="J64" s="1">
        <f>'Paste cell here'!O64</f>
        <v>0</v>
      </c>
      <c r="K64" s="1">
        <f>'Paste cell here'!Q64</f>
        <v>0.37256940149074419</v>
      </c>
      <c r="L64" s="1">
        <f>'Paste cell here'!S64</f>
        <v>0</v>
      </c>
      <c r="M64" s="1">
        <f>'Paste cell here'!T64</f>
        <v>5.4130040362763971E-12</v>
      </c>
      <c r="N64" s="1">
        <f>'Paste cell here'!W64</f>
        <v>0</v>
      </c>
      <c r="O64" s="1">
        <f>'Paste cell here'!U64</f>
        <v>7.5920825103042286</v>
      </c>
      <c r="P64" s="1">
        <f t="shared" si="3"/>
        <v>7.9646519118003862</v>
      </c>
      <c r="Q64" s="1">
        <f>'Paste cell here'!V64</f>
        <v>0</v>
      </c>
      <c r="R64" s="1">
        <f t="shared" si="4"/>
        <v>0</v>
      </c>
      <c r="S64" s="7">
        <f>Sintesi!$C$30</f>
        <v>0.107</v>
      </c>
      <c r="T64" s="7">
        <f>Sintesi!$C$29</f>
        <v>0.23300000000000001</v>
      </c>
      <c r="U64" s="5">
        <f>O64/(Sintesi!$C$5*1000)</f>
        <v>7.592082510304228E-2</v>
      </c>
      <c r="V64" s="1">
        <f t="shared" si="0"/>
        <v>0.126</v>
      </c>
      <c r="W64" s="1">
        <v>0.62131194068164697</v>
      </c>
      <c r="X64" s="1">
        <f t="shared" si="1"/>
        <v>7.8285304525887514E-2</v>
      </c>
      <c r="Y64" s="1">
        <f t="shared" si="2"/>
        <v>0.15471469547411248</v>
      </c>
      <c r="Z64" s="1">
        <f>'Paste cellinfo here'!$B$11</f>
        <v>0.52400000000000002</v>
      </c>
    </row>
    <row r="65" spans="1:26">
      <c r="A65" s="1">
        <v>64</v>
      </c>
      <c r="B65" s="2">
        <f>DATE(Sintesi!$C$4-1,12,31)+A65</f>
        <v>44260</v>
      </c>
      <c r="C65" s="1">
        <f>'Paste cell here'!B65</f>
        <v>0</v>
      </c>
      <c r="D65" s="1">
        <f>'Paste cell here'!I65</f>
        <v>0</v>
      </c>
      <c r="E65" s="1">
        <f>'Paste cell here'!J65</f>
        <v>0</v>
      </c>
      <c r="F65" s="1">
        <f>'Paste cell here'!K65</f>
        <v>0</v>
      </c>
      <c r="G65" s="1">
        <f>'Paste cell here'!L65</f>
        <v>0</v>
      </c>
      <c r="H65" s="1">
        <f>'Paste cell here'!M65</f>
        <v>0</v>
      </c>
      <c r="I65" s="1">
        <f>'Paste cell here'!N65</f>
        <v>0</v>
      </c>
      <c r="J65" s="1">
        <f>'Paste cell here'!O65</f>
        <v>0</v>
      </c>
      <c r="K65" s="1">
        <f>'Paste cell here'!Q65</f>
        <v>0.40772778314859243</v>
      </c>
      <c r="L65" s="1">
        <f>'Paste cell here'!S65</f>
        <v>0</v>
      </c>
      <c r="M65" s="1">
        <f>'Paste cell here'!T65</f>
        <v>2.6670254206175625E-13</v>
      </c>
      <c r="N65" s="1">
        <f>'Paste cell here'!W65</f>
        <v>0</v>
      </c>
      <c r="O65" s="1">
        <f>'Paste cell here'!U65</f>
        <v>7.1843547271553714</v>
      </c>
      <c r="P65" s="1">
        <f t="shared" si="3"/>
        <v>7.5920825103042286</v>
      </c>
      <c r="Q65" s="1">
        <f>'Paste cell here'!V65</f>
        <v>0</v>
      </c>
      <c r="R65" s="1">
        <f t="shared" si="4"/>
        <v>1.7763568394002505E-15</v>
      </c>
      <c r="S65" s="7">
        <f>Sintesi!$C$30</f>
        <v>0.107</v>
      </c>
      <c r="T65" s="7">
        <f>Sintesi!$C$29</f>
        <v>0.23300000000000001</v>
      </c>
      <c r="U65" s="5">
        <f>O65/(Sintesi!$C$5*1000)</f>
        <v>7.1843547271553718E-2</v>
      </c>
      <c r="V65" s="1">
        <f t="shared" si="0"/>
        <v>0.126</v>
      </c>
      <c r="W65" s="1">
        <v>0.64387011417510198</v>
      </c>
      <c r="X65" s="1">
        <f t="shared" si="1"/>
        <v>8.1127634386062852E-2</v>
      </c>
      <c r="Y65" s="1">
        <f t="shared" si="2"/>
        <v>0.15187236561393716</v>
      </c>
      <c r="Z65" s="1">
        <f>'Paste cellinfo here'!$B$11</f>
        <v>0.52400000000000002</v>
      </c>
    </row>
    <row r="66" spans="1:26">
      <c r="A66" s="1">
        <v>65</v>
      </c>
      <c r="B66" s="2">
        <f>DATE(Sintesi!$C$4-1,12,31)+A66</f>
        <v>44261</v>
      </c>
      <c r="C66" s="1">
        <f>'Paste cell here'!B66</f>
        <v>0.55999999999999794</v>
      </c>
      <c r="D66" s="1">
        <f>'Paste cell here'!I66</f>
        <v>0</v>
      </c>
      <c r="E66" s="1">
        <f>'Paste cell here'!J66</f>
        <v>0.55999999999999794</v>
      </c>
      <c r="F66" s="1">
        <f>'Paste cell here'!K66</f>
        <v>0.55999999999999794</v>
      </c>
      <c r="G66" s="1">
        <f>'Paste cell here'!L66</f>
        <v>0.55999999999999794</v>
      </c>
      <c r="H66" s="1">
        <f>'Paste cell here'!M66</f>
        <v>0</v>
      </c>
      <c r="I66" s="1">
        <f>'Paste cell here'!N66</f>
        <v>0</v>
      </c>
      <c r="J66" s="1">
        <f>'Paste cell here'!O66</f>
        <v>0.56000001668929855</v>
      </c>
      <c r="K66" s="1">
        <f>'Paste cell here'!Q66</f>
        <v>0.27760728061370288</v>
      </c>
      <c r="L66" s="1">
        <f>'Paste cell here'!S66</f>
        <v>0</v>
      </c>
      <c r="M66" s="1">
        <f>'Paste cell here'!T66</f>
        <v>4.5816679995468157E-14</v>
      </c>
      <c r="N66" s="1">
        <f>'Paste cell here'!W66</f>
        <v>0</v>
      </c>
      <c r="O66" s="1">
        <f>'Paste cell here'!U66</f>
        <v>7.466747463230921</v>
      </c>
      <c r="P66" s="1">
        <f t="shared" si="3"/>
        <v>7.1843547271553714</v>
      </c>
      <c r="Q66" s="1">
        <f>'Paste cell here'!V66</f>
        <v>0</v>
      </c>
      <c r="R66" s="1">
        <f t="shared" si="4"/>
        <v>1.6689300608163649E-8</v>
      </c>
      <c r="S66" s="7">
        <f>Sintesi!$C$30</f>
        <v>0.107</v>
      </c>
      <c r="T66" s="7">
        <f>Sintesi!$C$29</f>
        <v>0.23300000000000001</v>
      </c>
      <c r="U66" s="5">
        <f>O66/(Sintesi!$C$5*1000)</f>
        <v>7.4667474632309216E-2</v>
      </c>
      <c r="V66" s="1">
        <f t="shared" ref="V66:V129" si="5">T66-S66</f>
        <v>0.126</v>
      </c>
      <c r="W66" s="1">
        <v>0.61887845943874897</v>
      </c>
      <c r="X66" s="1">
        <f t="shared" ref="X66:X129" si="6">W66*V66</f>
        <v>7.7978685889282376E-2</v>
      </c>
      <c r="Y66" s="1">
        <f t="shared" ref="Y66:Y129" si="7">T66-X66</f>
        <v>0.15502131411071762</v>
      </c>
      <c r="Z66" s="1">
        <f>'Paste cellinfo here'!$B$11</f>
        <v>0.52400000000000002</v>
      </c>
    </row>
    <row r="67" spans="1:26">
      <c r="A67" s="1">
        <v>66</v>
      </c>
      <c r="B67" s="2">
        <f>DATE(Sintesi!$C$4-1,12,31)+A67</f>
        <v>44262</v>
      </c>
      <c r="C67" s="1">
        <f>'Paste cell here'!B67</f>
        <v>0</v>
      </c>
      <c r="D67" s="1">
        <f>'Paste cell here'!I67</f>
        <v>0</v>
      </c>
      <c r="E67" s="1">
        <f>'Paste cell here'!J67</f>
        <v>0</v>
      </c>
      <c r="F67" s="1">
        <f>'Paste cell here'!K67</f>
        <v>0</v>
      </c>
      <c r="G67" s="1">
        <f>'Paste cell here'!L67</f>
        <v>0</v>
      </c>
      <c r="H67" s="1">
        <f>'Paste cell here'!M67</f>
        <v>0</v>
      </c>
      <c r="I67" s="1">
        <f>'Paste cell here'!N67</f>
        <v>0</v>
      </c>
      <c r="J67" s="1">
        <f>'Paste cell here'!O67</f>
        <v>0</v>
      </c>
      <c r="K67" s="1">
        <f>'Paste cell here'!Q67</f>
        <v>0.32787889684555988</v>
      </c>
      <c r="L67" s="1">
        <f>'Paste cell here'!S67</f>
        <v>0</v>
      </c>
      <c r="M67" s="1">
        <f>'Paste cell here'!T67</f>
        <v>7.9901620979828357E-14</v>
      </c>
      <c r="N67" s="1">
        <f>'Paste cell here'!W67</f>
        <v>0</v>
      </c>
      <c r="O67" s="1">
        <f>'Paste cell here'!U67</f>
        <v>7.1388685663852804</v>
      </c>
      <c r="P67" s="1">
        <f t="shared" ref="P67:P130" si="8">O66</f>
        <v>7.466747463230921</v>
      </c>
      <c r="Q67" s="1">
        <f>'Paste cell here'!V67</f>
        <v>0</v>
      </c>
      <c r="R67" s="1">
        <f t="shared" ref="R67:R130" si="9">ABS(O66+C67+D67+N67+Q66-H67-I67-K67-L67-M67-O67-Q67)</f>
        <v>8.8817841970012523E-16</v>
      </c>
      <c r="S67" s="7">
        <f>Sintesi!$C$30</f>
        <v>0.107</v>
      </c>
      <c r="T67" s="7">
        <f>Sintesi!$C$29</f>
        <v>0.23300000000000001</v>
      </c>
      <c r="U67" s="5">
        <f>O67/(Sintesi!$C$5*1000)</f>
        <v>7.1388685663852799E-2</v>
      </c>
      <c r="V67" s="1">
        <f t="shared" si="5"/>
        <v>0.126</v>
      </c>
      <c r="W67" s="1">
        <v>0.627909615053721</v>
      </c>
      <c r="X67" s="1">
        <f t="shared" si="6"/>
        <v>7.9116611496768852E-2</v>
      </c>
      <c r="Y67" s="1">
        <f t="shared" si="7"/>
        <v>0.15388338850323116</v>
      </c>
      <c r="Z67" s="1">
        <f>'Paste cellinfo here'!$B$11</f>
        <v>0.52400000000000002</v>
      </c>
    </row>
    <row r="68" spans="1:26">
      <c r="A68" s="1">
        <v>67</v>
      </c>
      <c r="B68" s="2">
        <f>DATE(Sintesi!$C$4-1,12,31)+A68</f>
        <v>44263</v>
      </c>
      <c r="C68" s="1">
        <f>'Paste cell here'!B68</f>
        <v>0</v>
      </c>
      <c r="D68" s="1">
        <f>'Paste cell here'!I68</f>
        <v>0</v>
      </c>
      <c r="E68" s="1">
        <f>'Paste cell here'!J68</f>
        <v>0</v>
      </c>
      <c r="F68" s="1">
        <f>'Paste cell here'!K68</f>
        <v>0</v>
      </c>
      <c r="G68" s="1">
        <f>'Paste cell here'!L68</f>
        <v>0</v>
      </c>
      <c r="H68" s="1">
        <f>'Paste cell here'!M68</f>
        <v>0</v>
      </c>
      <c r="I68" s="1">
        <f>'Paste cell here'!N68</f>
        <v>0</v>
      </c>
      <c r="J68" s="1">
        <f>'Paste cell here'!O68</f>
        <v>0</v>
      </c>
      <c r="K68" s="1">
        <f>'Paste cell here'!Q68</f>
        <v>0.28152829033323556</v>
      </c>
      <c r="L68" s="1">
        <f>'Paste cell here'!S68</f>
        <v>0</v>
      </c>
      <c r="M68" s="1">
        <f>'Paste cell here'!T68</f>
        <v>1.0014197075579005E-15</v>
      </c>
      <c r="N68" s="1">
        <f>'Paste cell here'!W68</f>
        <v>0</v>
      </c>
      <c r="O68" s="1">
        <f>'Paste cell here'!U68</f>
        <v>6.8573402760520441</v>
      </c>
      <c r="P68" s="1">
        <f t="shared" si="8"/>
        <v>7.1388685663852804</v>
      </c>
      <c r="Q68" s="1">
        <f>'Paste cell here'!V68</f>
        <v>0</v>
      </c>
      <c r="R68" s="1">
        <f t="shared" si="9"/>
        <v>0</v>
      </c>
      <c r="S68" s="7">
        <f>Sintesi!$C$30</f>
        <v>0.107</v>
      </c>
      <c r="T68" s="7">
        <f>Sintesi!$C$29</f>
        <v>0.23300000000000001</v>
      </c>
      <c r="U68" s="5">
        <f>O68/(Sintesi!$C$5*1000)</f>
        <v>6.8573402760520444E-2</v>
      </c>
      <c r="V68" s="1">
        <f t="shared" si="5"/>
        <v>0.126</v>
      </c>
      <c r="W68" s="1">
        <v>0.64231876903052798</v>
      </c>
      <c r="X68" s="1">
        <f t="shared" si="6"/>
        <v>8.093216489784652E-2</v>
      </c>
      <c r="Y68" s="1">
        <f t="shared" si="7"/>
        <v>0.15206783510215349</v>
      </c>
      <c r="Z68" s="1">
        <f>'Paste cellinfo here'!$B$11</f>
        <v>0.52400000000000002</v>
      </c>
    </row>
    <row r="69" spans="1:26">
      <c r="A69" s="1">
        <v>68</v>
      </c>
      <c r="B69" s="2">
        <f>DATE(Sintesi!$C$4-1,12,31)+A69</f>
        <v>44264</v>
      </c>
      <c r="C69" s="1">
        <f>'Paste cell here'!B69</f>
        <v>0</v>
      </c>
      <c r="D69" s="1">
        <f>'Paste cell here'!I69</f>
        <v>0</v>
      </c>
      <c r="E69" s="1">
        <f>'Paste cell here'!J69</f>
        <v>0</v>
      </c>
      <c r="F69" s="1">
        <f>'Paste cell here'!K69</f>
        <v>0</v>
      </c>
      <c r="G69" s="1">
        <f>'Paste cell here'!L69</f>
        <v>0</v>
      </c>
      <c r="H69" s="1">
        <f>'Paste cell here'!M69</f>
        <v>0</v>
      </c>
      <c r="I69" s="1">
        <f>'Paste cell here'!N69</f>
        <v>0</v>
      </c>
      <c r="J69" s="1">
        <f>'Paste cell here'!O69</f>
        <v>0</v>
      </c>
      <c r="K69" s="1">
        <f>'Paste cell here'!Q69</f>
        <v>0.25886322656361949</v>
      </c>
      <c r="L69" s="1">
        <f>'Paste cell here'!S69</f>
        <v>0</v>
      </c>
      <c r="M69" s="1">
        <f>'Paste cell here'!T69</f>
        <v>1.1125007416594486E-18</v>
      </c>
      <c r="N69" s="1">
        <f>'Paste cell here'!W69</f>
        <v>0</v>
      </c>
      <c r="O69" s="1">
        <f>'Paste cell here'!U69</f>
        <v>6.5984770494884266</v>
      </c>
      <c r="P69" s="1">
        <f t="shared" si="8"/>
        <v>6.8573402760520441</v>
      </c>
      <c r="Q69" s="1">
        <f>'Paste cell here'!V69</f>
        <v>0</v>
      </c>
      <c r="R69" s="1">
        <f t="shared" si="9"/>
        <v>1.7763568394002505E-15</v>
      </c>
      <c r="S69" s="7">
        <f>Sintesi!$C$30</f>
        <v>0.107</v>
      </c>
      <c r="T69" s="7">
        <f>Sintesi!$C$29</f>
        <v>0.23300000000000001</v>
      </c>
      <c r="U69" s="5">
        <f>O69/(Sintesi!$C$5*1000)</f>
        <v>6.5984770494884271E-2</v>
      </c>
      <c r="V69" s="1">
        <f t="shared" si="5"/>
        <v>0.126</v>
      </c>
      <c r="W69" s="1">
        <v>0.62082496933556097</v>
      </c>
      <c r="X69" s="1">
        <f t="shared" si="6"/>
        <v>7.8223946136280684E-2</v>
      </c>
      <c r="Y69" s="1">
        <f t="shared" si="7"/>
        <v>0.15477605386371934</v>
      </c>
      <c r="Z69" s="1">
        <f>'Paste cellinfo here'!$B$11</f>
        <v>0.52400000000000002</v>
      </c>
    </row>
    <row r="70" spans="1:26">
      <c r="A70" s="1">
        <v>69</v>
      </c>
      <c r="B70" s="2">
        <f>DATE(Sintesi!$C$4-1,12,31)+A70</f>
        <v>44265</v>
      </c>
      <c r="C70" s="1">
        <f>'Paste cell here'!B70</f>
        <v>0</v>
      </c>
      <c r="D70" s="1">
        <f>'Paste cell here'!I70</f>
        <v>0</v>
      </c>
      <c r="E70" s="1">
        <f>'Paste cell here'!J70</f>
        <v>0</v>
      </c>
      <c r="F70" s="1">
        <f>'Paste cell here'!K70</f>
        <v>0</v>
      </c>
      <c r="G70" s="1">
        <f>'Paste cell here'!L70</f>
        <v>0</v>
      </c>
      <c r="H70" s="1">
        <f>'Paste cell here'!M70</f>
        <v>0</v>
      </c>
      <c r="I70" s="1">
        <f>'Paste cell here'!N70</f>
        <v>0</v>
      </c>
      <c r="J70" s="1">
        <f>'Paste cell here'!O70</f>
        <v>0</v>
      </c>
      <c r="K70" s="1">
        <f>'Paste cell here'!Q70</f>
        <v>0.2260846140277159</v>
      </c>
      <c r="L70" s="1">
        <f>'Paste cell here'!S70</f>
        <v>0</v>
      </c>
      <c r="M70" s="1">
        <f>'Paste cell here'!T70</f>
        <v>0</v>
      </c>
      <c r="N70" s="1">
        <f>'Paste cell here'!W70</f>
        <v>0</v>
      </c>
      <c r="O70" s="1">
        <f>'Paste cell here'!U70</f>
        <v>6.3723924354607124</v>
      </c>
      <c r="P70" s="1">
        <f t="shared" si="8"/>
        <v>6.5984770494884266</v>
      </c>
      <c r="Q70" s="1">
        <f>'Paste cell here'!V70</f>
        <v>0</v>
      </c>
      <c r="R70" s="1">
        <f t="shared" si="9"/>
        <v>1.7763568394002505E-15</v>
      </c>
      <c r="S70" s="7">
        <f>Sintesi!$C$30</f>
        <v>0.107</v>
      </c>
      <c r="T70" s="7">
        <f>Sintesi!$C$29</f>
        <v>0.23300000000000001</v>
      </c>
      <c r="U70" s="5">
        <f>O70/(Sintesi!$C$5*1000)</f>
        <v>6.3723924354607123E-2</v>
      </c>
      <c r="V70" s="1">
        <f t="shared" si="5"/>
        <v>0.126</v>
      </c>
      <c r="W70" s="1">
        <v>0.60738816278569496</v>
      </c>
      <c r="X70" s="1">
        <f t="shared" si="6"/>
        <v>7.6530908510997572E-2</v>
      </c>
      <c r="Y70" s="1">
        <f t="shared" si="7"/>
        <v>0.15646909148900245</v>
      </c>
      <c r="Z70" s="1">
        <f>'Paste cellinfo here'!$B$11</f>
        <v>0.52400000000000002</v>
      </c>
    </row>
    <row r="71" spans="1:26">
      <c r="A71" s="1">
        <v>70</v>
      </c>
      <c r="B71" s="2">
        <f>DATE(Sintesi!$C$4-1,12,31)+A71</f>
        <v>44266</v>
      </c>
      <c r="C71" s="1">
        <f>'Paste cell here'!B71</f>
        <v>0</v>
      </c>
      <c r="D71" s="1">
        <f>'Paste cell here'!I71</f>
        <v>0</v>
      </c>
      <c r="E71" s="1">
        <f>'Paste cell here'!J71</f>
        <v>0</v>
      </c>
      <c r="F71" s="1">
        <f>'Paste cell here'!K71</f>
        <v>0</v>
      </c>
      <c r="G71" s="1">
        <f>'Paste cell here'!L71</f>
        <v>0</v>
      </c>
      <c r="H71" s="1">
        <f>'Paste cell here'!M71</f>
        <v>0</v>
      </c>
      <c r="I71" s="1">
        <f>'Paste cell here'!N71</f>
        <v>0</v>
      </c>
      <c r="J71" s="1">
        <f>'Paste cell here'!O71</f>
        <v>0</v>
      </c>
      <c r="K71" s="1">
        <f>'Paste cell here'!Q71</f>
        <v>0.11721994698789133</v>
      </c>
      <c r="L71" s="1">
        <f>'Paste cell here'!S71</f>
        <v>0</v>
      </c>
      <c r="M71" s="1">
        <f>'Paste cell here'!T71</f>
        <v>0</v>
      </c>
      <c r="N71" s="1">
        <f>'Paste cell here'!W71</f>
        <v>0</v>
      </c>
      <c r="O71" s="1">
        <f>'Paste cell here'!U71</f>
        <v>6.2551724884728239</v>
      </c>
      <c r="P71" s="1">
        <f t="shared" si="8"/>
        <v>6.3723924354607124</v>
      </c>
      <c r="Q71" s="1">
        <f>'Paste cell here'!V71</f>
        <v>0</v>
      </c>
      <c r="R71" s="1">
        <f t="shared" si="9"/>
        <v>2.6645352591003757E-15</v>
      </c>
      <c r="S71" s="7">
        <f>Sintesi!$C$30</f>
        <v>0.107</v>
      </c>
      <c r="T71" s="7">
        <f>Sintesi!$C$29</f>
        <v>0.23300000000000001</v>
      </c>
      <c r="U71" s="5">
        <f>O71/(Sintesi!$C$5*1000)</f>
        <v>6.2551724884728238E-2</v>
      </c>
      <c r="V71" s="1">
        <f t="shared" si="5"/>
        <v>0.126</v>
      </c>
      <c r="W71" s="1">
        <v>0.61468644755971003</v>
      </c>
      <c r="X71" s="1">
        <f t="shared" si="6"/>
        <v>7.7450492392523468E-2</v>
      </c>
      <c r="Y71" s="1">
        <f t="shared" si="7"/>
        <v>0.15554950760747654</v>
      </c>
      <c r="Z71" s="1">
        <f>'Paste cellinfo here'!$B$11</f>
        <v>0.52400000000000002</v>
      </c>
    </row>
    <row r="72" spans="1:26">
      <c r="A72" s="1">
        <v>71</v>
      </c>
      <c r="B72" s="2">
        <f>DATE(Sintesi!$C$4-1,12,31)+A72</f>
        <v>44267</v>
      </c>
      <c r="C72" s="1">
        <f>'Paste cell here'!B72</f>
        <v>0</v>
      </c>
      <c r="D72" s="1">
        <f>'Paste cell here'!I72</f>
        <v>0</v>
      </c>
      <c r="E72" s="1">
        <f>'Paste cell here'!J72</f>
        <v>0</v>
      </c>
      <c r="F72" s="1">
        <f>'Paste cell here'!K72</f>
        <v>0</v>
      </c>
      <c r="G72" s="1">
        <f>'Paste cell here'!L72</f>
        <v>0</v>
      </c>
      <c r="H72" s="1">
        <f>'Paste cell here'!M72</f>
        <v>0</v>
      </c>
      <c r="I72" s="1">
        <f>'Paste cell here'!N72</f>
        <v>0</v>
      </c>
      <c r="J72" s="1">
        <f>'Paste cell here'!O72</f>
        <v>0</v>
      </c>
      <c r="K72" s="1">
        <f>'Paste cell here'!Q72</f>
        <v>0.17393812651522969</v>
      </c>
      <c r="L72" s="1">
        <f>'Paste cell here'!S72</f>
        <v>0</v>
      </c>
      <c r="M72" s="1">
        <f>'Paste cell here'!T72</f>
        <v>0</v>
      </c>
      <c r="N72" s="1">
        <f>'Paste cell here'!W72</f>
        <v>0</v>
      </c>
      <c r="O72" s="1">
        <f>'Paste cell here'!U72</f>
        <v>6.0812343619575948</v>
      </c>
      <c r="P72" s="1">
        <f t="shared" si="8"/>
        <v>6.2551724884728239</v>
      </c>
      <c r="Q72" s="1">
        <f>'Paste cell here'!V72</f>
        <v>0</v>
      </c>
      <c r="R72" s="1">
        <f t="shared" si="9"/>
        <v>8.8817841970012523E-16</v>
      </c>
      <c r="S72" s="7">
        <f>Sintesi!$C$30</f>
        <v>0.107</v>
      </c>
      <c r="T72" s="7">
        <f>Sintesi!$C$29</f>
        <v>0.23300000000000001</v>
      </c>
      <c r="U72" s="5">
        <f>O72/(Sintesi!$C$5*1000)</f>
        <v>6.0812343619575951E-2</v>
      </c>
      <c r="V72" s="1">
        <f t="shared" si="5"/>
        <v>0.126</v>
      </c>
      <c r="W72" s="1">
        <v>0.55511791159336199</v>
      </c>
      <c r="X72" s="1">
        <f t="shared" si="6"/>
        <v>6.9944856860763613E-2</v>
      </c>
      <c r="Y72" s="1">
        <f t="shared" si="7"/>
        <v>0.16305514313923641</v>
      </c>
      <c r="Z72" s="1">
        <f>'Paste cellinfo here'!$B$11</f>
        <v>0.52400000000000002</v>
      </c>
    </row>
    <row r="73" spans="1:26">
      <c r="A73" s="1">
        <v>72</v>
      </c>
      <c r="B73" s="2">
        <f>DATE(Sintesi!$C$4-1,12,31)+A73</f>
        <v>44268</v>
      </c>
      <c r="C73" s="1">
        <f>'Paste cell here'!B73</f>
        <v>0</v>
      </c>
      <c r="D73" s="1">
        <f>'Paste cell here'!I73</f>
        <v>0</v>
      </c>
      <c r="E73" s="1">
        <f>'Paste cell here'!J73</f>
        <v>0</v>
      </c>
      <c r="F73" s="1">
        <f>'Paste cell here'!K73</f>
        <v>0</v>
      </c>
      <c r="G73" s="1">
        <f>'Paste cell here'!L73</f>
        <v>0</v>
      </c>
      <c r="H73" s="1">
        <f>'Paste cell here'!M73</f>
        <v>0</v>
      </c>
      <c r="I73" s="1">
        <f>'Paste cell here'!N73</f>
        <v>0</v>
      </c>
      <c r="J73" s="1">
        <f>'Paste cell here'!O73</f>
        <v>0</v>
      </c>
      <c r="K73" s="1">
        <f>'Paste cell here'!Q73</f>
        <v>0.14053870941139282</v>
      </c>
      <c r="L73" s="1">
        <f>'Paste cell here'!S73</f>
        <v>0</v>
      </c>
      <c r="M73" s="1">
        <f>'Paste cell here'!T73</f>
        <v>0</v>
      </c>
      <c r="N73" s="1">
        <f>'Paste cell here'!W73</f>
        <v>0</v>
      </c>
      <c r="O73" s="1">
        <f>'Paste cell here'!U73</f>
        <v>5.9406956525462018</v>
      </c>
      <c r="P73" s="1">
        <f t="shared" si="8"/>
        <v>6.0812343619575948</v>
      </c>
      <c r="Q73" s="1">
        <f>'Paste cell here'!V73</f>
        <v>0</v>
      </c>
      <c r="R73" s="1">
        <f t="shared" si="9"/>
        <v>0</v>
      </c>
      <c r="S73" s="7">
        <f>Sintesi!$C$30</f>
        <v>0.107</v>
      </c>
      <c r="T73" s="7">
        <f>Sintesi!$C$29</f>
        <v>0.23300000000000001</v>
      </c>
      <c r="U73" s="5">
        <f>O73/(Sintesi!$C$5*1000)</f>
        <v>5.9406956525462018E-2</v>
      </c>
      <c r="V73" s="1">
        <f t="shared" si="5"/>
        <v>0.126</v>
      </c>
      <c r="W73" s="1">
        <v>0.58215459590409002</v>
      </c>
      <c r="X73" s="1">
        <f t="shared" si="6"/>
        <v>7.3351479083915344E-2</v>
      </c>
      <c r="Y73" s="1">
        <f t="shared" si="7"/>
        <v>0.15964852091608467</v>
      </c>
      <c r="Z73" s="1">
        <f>'Paste cellinfo here'!$B$11</f>
        <v>0.52400000000000002</v>
      </c>
    </row>
    <row r="74" spans="1:26">
      <c r="A74" s="1">
        <v>73</v>
      </c>
      <c r="B74" s="2">
        <f>DATE(Sintesi!$C$4-1,12,31)+A74</f>
        <v>44269</v>
      </c>
      <c r="C74" s="1">
        <f>'Paste cell here'!B74</f>
        <v>0</v>
      </c>
      <c r="D74" s="1">
        <f>'Paste cell here'!I74</f>
        <v>0</v>
      </c>
      <c r="E74" s="1">
        <f>'Paste cell here'!J74</f>
        <v>0</v>
      </c>
      <c r="F74" s="1">
        <f>'Paste cell here'!K74</f>
        <v>0</v>
      </c>
      <c r="G74" s="1">
        <f>'Paste cell here'!L74</f>
        <v>0</v>
      </c>
      <c r="H74" s="1">
        <f>'Paste cell here'!M74</f>
        <v>0</v>
      </c>
      <c r="I74" s="1">
        <f>'Paste cell here'!N74</f>
        <v>0</v>
      </c>
      <c r="J74" s="1">
        <f>'Paste cell here'!O74</f>
        <v>0</v>
      </c>
      <c r="K74" s="1">
        <f>'Paste cell here'!Q74</f>
        <v>0.17248432972513794</v>
      </c>
      <c r="L74" s="1">
        <f>'Paste cell here'!S74</f>
        <v>0</v>
      </c>
      <c r="M74" s="1">
        <f>'Paste cell here'!T74</f>
        <v>0</v>
      </c>
      <c r="N74" s="1">
        <f>'Paste cell here'!W74</f>
        <v>0</v>
      </c>
      <c r="O74" s="1">
        <f>'Paste cell here'!U74</f>
        <v>5.768211322821065</v>
      </c>
      <c r="P74" s="1">
        <f t="shared" si="8"/>
        <v>5.9406956525462018</v>
      </c>
      <c r="Q74" s="1">
        <f>'Paste cell here'!V74</f>
        <v>0</v>
      </c>
      <c r="R74" s="1">
        <f t="shared" si="9"/>
        <v>8.8817841970012523E-16</v>
      </c>
      <c r="S74" s="7">
        <f>Sintesi!$C$30</f>
        <v>0.107</v>
      </c>
      <c r="T74" s="7">
        <f>Sintesi!$C$29</f>
        <v>0.23300000000000001</v>
      </c>
      <c r="U74" s="5">
        <f>O74/(Sintesi!$C$5*1000)</f>
        <v>5.7682113228210652E-2</v>
      </c>
      <c r="V74" s="1">
        <f t="shared" si="5"/>
        <v>0.126</v>
      </c>
      <c r="W74" s="1">
        <v>0.62369204865129801</v>
      </c>
      <c r="X74" s="1">
        <f t="shared" si="6"/>
        <v>7.8585198130063552E-2</v>
      </c>
      <c r="Y74" s="1">
        <f t="shared" si="7"/>
        <v>0.15441480186993645</v>
      </c>
      <c r="Z74" s="1">
        <f>'Paste cellinfo here'!$B$11</f>
        <v>0.52400000000000002</v>
      </c>
    </row>
    <row r="75" spans="1:26">
      <c r="A75" s="1">
        <v>74</v>
      </c>
      <c r="B75" s="2">
        <f>DATE(Sintesi!$C$4-1,12,31)+A75</f>
        <v>44270</v>
      </c>
      <c r="C75" s="1">
        <f>'Paste cell here'!B75</f>
        <v>0</v>
      </c>
      <c r="D75" s="1">
        <f>'Paste cell here'!I75</f>
        <v>0</v>
      </c>
      <c r="E75" s="1">
        <f>'Paste cell here'!J75</f>
        <v>0</v>
      </c>
      <c r="F75" s="1">
        <f>'Paste cell here'!K75</f>
        <v>0</v>
      </c>
      <c r="G75" s="1">
        <f>'Paste cell here'!L75</f>
        <v>0</v>
      </c>
      <c r="H75" s="1">
        <f>'Paste cell here'!M75</f>
        <v>0</v>
      </c>
      <c r="I75" s="1">
        <f>'Paste cell here'!N75</f>
        <v>0</v>
      </c>
      <c r="J75" s="1">
        <f>'Paste cell here'!O75</f>
        <v>0</v>
      </c>
      <c r="K75" s="1">
        <f>'Paste cell here'!Q75</f>
        <v>0.11334932659060232</v>
      </c>
      <c r="L75" s="1">
        <f>'Paste cell here'!S75</f>
        <v>0</v>
      </c>
      <c r="M75" s="1">
        <f>'Paste cell here'!T75</f>
        <v>0</v>
      </c>
      <c r="N75" s="1">
        <f>'Paste cell here'!W75</f>
        <v>0</v>
      </c>
      <c r="O75" s="1">
        <f>'Paste cell here'!U75</f>
        <v>5.6548619962304612</v>
      </c>
      <c r="P75" s="1">
        <f t="shared" si="8"/>
        <v>5.768211322821065</v>
      </c>
      <c r="Q75" s="1">
        <f>'Paste cell here'!V75</f>
        <v>0</v>
      </c>
      <c r="R75" s="1">
        <f t="shared" si="9"/>
        <v>1.7763568394002505E-15</v>
      </c>
      <c r="S75" s="7">
        <f>Sintesi!$C$30</f>
        <v>0.107</v>
      </c>
      <c r="T75" s="7">
        <f>Sintesi!$C$29</f>
        <v>0.23300000000000001</v>
      </c>
      <c r="U75" s="5">
        <f>O75/(Sintesi!$C$5*1000)</f>
        <v>5.6548619962304612E-2</v>
      </c>
      <c r="V75" s="1">
        <f t="shared" si="5"/>
        <v>0.126</v>
      </c>
      <c r="W75" s="1">
        <v>0.60417707699283196</v>
      </c>
      <c r="X75" s="1">
        <f t="shared" si="6"/>
        <v>7.6126311701096822E-2</v>
      </c>
      <c r="Y75" s="1">
        <f t="shared" si="7"/>
        <v>0.15687368829890319</v>
      </c>
      <c r="Z75" s="1">
        <f>'Paste cellinfo here'!$B$11</f>
        <v>0.52400000000000002</v>
      </c>
    </row>
    <row r="76" spans="1:26">
      <c r="A76" s="1">
        <v>75</v>
      </c>
      <c r="B76" s="2">
        <f>DATE(Sintesi!$C$4-1,12,31)+A76</f>
        <v>44271</v>
      </c>
      <c r="C76" s="1">
        <f>'Paste cell here'!B76</f>
        <v>0</v>
      </c>
      <c r="D76" s="1">
        <f>'Paste cell here'!I76</f>
        <v>0</v>
      </c>
      <c r="E76" s="1">
        <f>'Paste cell here'!J76</f>
        <v>0</v>
      </c>
      <c r="F76" s="1">
        <f>'Paste cell here'!K76</f>
        <v>0</v>
      </c>
      <c r="G76" s="1">
        <f>'Paste cell here'!L76</f>
        <v>0</v>
      </c>
      <c r="H76" s="1">
        <f>'Paste cell here'!M76</f>
        <v>0</v>
      </c>
      <c r="I76" s="1">
        <f>'Paste cell here'!N76</f>
        <v>0</v>
      </c>
      <c r="J76" s="1">
        <f>'Paste cell here'!O76</f>
        <v>0</v>
      </c>
      <c r="K76" s="1">
        <f>'Paste cell here'!Q76</f>
        <v>0.11909583407825719</v>
      </c>
      <c r="L76" s="1">
        <f>'Paste cell here'!S76</f>
        <v>0</v>
      </c>
      <c r="M76" s="1">
        <f>'Paste cell here'!T76</f>
        <v>0</v>
      </c>
      <c r="N76" s="1">
        <f>'Paste cell here'!W76</f>
        <v>0</v>
      </c>
      <c r="O76" s="1">
        <f>'Paste cell here'!U76</f>
        <v>5.5357661621522016</v>
      </c>
      <c r="P76" s="1">
        <f t="shared" si="8"/>
        <v>5.6548619962304612</v>
      </c>
      <c r="Q76" s="1">
        <f>'Paste cell here'!V76</f>
        <v>0</v>
      </c>
      <c r="R76" s="1">
        <f t="shared" si="9"/>
        <v>2.6645352591003757E-15</v>
      </c>
      <c r="S76" s="7">
        <f>Sintesi!$C$30</f>
        <v>0.107</v>
      </c>
      <c r="T76" s="7">
        <f>Sintesi!$C$29</f>
        <v>0.23300000000000001</v>
      </c>
      <c r="U76" s="5">
        <f>O76/(Sintesi!$C$5*1000)</f>
        <v>5.5357661621522017E-2</v>
      </c>
      <c r="V76" s="1">
        <f t="shared" si="5"/>
        <v>0.126</v>
      </c>
      <c r="W76" s="1">
        <v>0.58173030395754499</v>
      </c>
      <c r="X76" s="1">
        <f t="shared" si="6"/>
        <v>7.3298018298650666E-2</v>
      </c>
      <c r="Y76" s="1">
        <f t="shared" si="7"/>
        <v>0.15970198170134936</v>
      </c>
      <c r="Z76" s="1">
        <f>'Paste cellinfo here'!$B$11</f>
        <v>0.52400000000000002</v>
      </c>
    </row>
    <row r="77" spans="1:26">
      <c r="A77" s="1">
        <v>76</v>
      </c>
      <c r="B77" s="2">
        <f>DATE(Sintesi!$C$4-1,12,31)+A77</f>
        <v>44272</v>
      </c>
      <c r="C77" s="1">
        <f>'Paste cell here'!B77</f>
        <v>0</v>
      </c>
      <c r="D77" s="1">
        <f>'Paste cell here'!I77</f>
        <v>0</v>
      </c>
      <c r="E77" s="1">
        <f>'Paste cell here'!J77</f>
        <v>0</v>
      </c>
      <c r="F77" s="1">
        <f>'Paste cell here'!K77</f>
        <v>0</v>
      </c>
      <c r="G77" s="1">
        <f>'Paste cell here'!L77</f>
        <v>0</v>
      </c>
      <c r="H77" s="1">
        <f>'Paste cell here'!M77</f>
        <v>0</v>
      </c>
      <c r="I77" s="1">
        <f>'Paste cell here'!N77</f>
        <v>0</v>
      </c>
      <c r="J77" s="1">
        <f>'Paste cell here'!O77</f>
        <v>0</v>
      </c>
      <c r="K77" s="1">
        <f>'Paste cell here'!Q77</f>
        <v>5.6823439173375241E-2</v>
      </c>
      <c r="L77" s="1">
        <f>'Paste cell here'!S77</f>
        <v>0</v>
      </c>
      <c r="M77" s="1">
        <f>'Paste cell here'!T77</f>
        <v>0</v>
      </c>
      <c r="N77" s="1">
        <f>'Paste cell here'!W77</f>
        <v>0</v>
      </c>
      <c r="O77" s="1">
        <f>'Paste cell here'!U77</f>
        <v>5.4789427229788279</v>
      </c>
      <c r="P77" s="1">
        <f t="shared" si="8"/>
        <v>5.5357661621522016</v>
      </c>
      <c r="Q77" s="1">
        <f>'Paste cell here'!V77</f>
        <v>0</v>
      </c>
      <c r="R77" s="1">
        <f t="shared" si="9"/>
        <v>1.7763568394002505E-15</v>
      </c>
      <c r="S77" s="7">
        <f>Sintesi!$C$30</f>
        <v>0.107</v>
      </c>
      <c r="T77" s="7">
        <f>Sintesi!$C$29</f>
        <v>0.23300000000000001</v>
      </c>
      <c r="U77" s="5">
        <f>O77/(Sintesi!$C$5*1000)</f>
        <v>5.478942722978828E-2</v>
      </c>
      <c r="V77" s="1">
        <f t="shared" si="5"/>
        <v>0.126</v>
      </c>
      <c r="W77" s="1">
        <v>0.59573724424285901</v>
      </c>
      <c r="X77" s="1">
        <f t="shared" si="6"/>
        <v>7.5062892774600237E-2</v>
      </c>
      <c r="Y77" s="1">
        <f t="shared" si="7"/>
        <v>0.15793710722539978</v>
      </c>
      <c r="Z77" s="1">
        <f>'Paste cellinfo here'!$B$11</f>
        <v>0.52400000000000002</v>
      </c>
    </row>
    <row r="78" spans="1:26">
      <c r="A78" s="1">
        <v>77</v>
      </c>
      <c r="B78" s="2">
        <f>DATE(Sintesi!$C$4-1,12,31)+A78</f>
        <v>44273</v>
      </c>
      <c r="C78" s="1">
        <f>'Paste cell here'!B78</f>
        <v>0.63999999999996371</v>
      </c>
      <c r="D78" s="1">
        <f>'Paste cell here'!I78</f>
        <v>0</v>
      </c>
      <c r="E78" s="1">
        <f>'Paste cell here'!J78</f>
        <v>0.63999999999996371</v>
      </c>
      <c r="F78" s="1">
        <f>'Paste cell here'!K78</f>
        <v>0.63999999999996371</v>
      </c>
      <c r="G78" s="1">
        <f>'Paste cell here'!L78</f>
        <v>0.63999999999996371</v>
      </c>
      <c r="H78" s="1">
        <f>'Paste cell here'!M78</f>
        <v>0</v>
      </c>
      <c r="I78" s="1">
        <f>'Paste cell here'!N78</f>
        <v>0</v>
      </c>
      <c r="J78" s="1">
        <f>'Paste cell here'!O78</f>
        <v>0.64000001907345017</v>
      </c>
      <c r="K78" s="1">
        <f>'Paste cell here'!Q78</f>
        <v>8.8229474523638288E-2</v>
      </c>
      <c r="L78" s="1">
        <f>'Paste cell here'!S78</f>
        <v>0</v>
      </c>
      <c r="M78" s="1">
        <f>'Paste cell here'!T78</f>
        <v>0</v>
      </c>
      <c r="N78" s="1">
        <f>'Paste cell here'!W78</f>
        <v>0</v>
      </c>
      <c r="O78" s="1">
        <f>'Paste cell here'!U78</f>
        <v>6.0307132675286281</v>
      </c>
      <c r="P78" s="1">
        <f t="shared" si="8"/>
        <v>5.4789427229788279</v>
      </c>
      <c r="Q78" s="1">
        <f>'Paste cell here'!V78</f>
        <v>0</v>
      </c>
      <c r="R78" s="1">
        <f t="shared" si="9"/>
        <v>1.9073474355479902E-8</v>
      </c>
      <c r="S78" s="7">
        <f>Sintesi!$C$30</f>
        <v>0.107</v>
      </c>
      <c r="T78" s="7">
        <f>Sintesi!$C$29</f>
        <v>0.23300000000000001</v>
      </c>
      <c r="U78" s="5">
        <f>O78/(Sintesi!$C$5*1000)</f>
        <v>6.0307132675286285E-2</v>
      </c>
      <c r="V78" s="1">
        <f t="shared" si="5"/>
        <v>0.126</v>
      </c>
      <c r="W78" s="1">
        <v>0.62108719457640704</v>
      </c>
      <c r="X78" s="1">
        <f t="shared" si="6"/>
        <v>7.8256986516627283E-2</v>
      </c>
      <c r="Y78" s="1">
        <f t="shared" si="7"/>
        <v>0.15474301348337272</v>
      </c>
      <c r="Z78" s="1">
        <f>'Paste cellinfo here'!$B$11</f>
        <v>0.52400000000000002</v>
      </c>
    </row>
    <row r="79" spans="1:26">
      <c r="A79" s="1">
        <v>78</v>
      </c>
      <c r="B79" s="2">
        <f>DATE(Sintesi!$C$4-1,12,31)+A79</f>
        <v>44274</v>
      </c>
      <c r="C79" s="1">
        <f>'Paste cell here'!B79</f>
        <v>0</v>
      </c>
      <c r="D79" s="1">
        <f>'Paste cell here'!I79</f>
        <v>0</v>
      </c>
      <c r="E79" s="1">
        <f>'Paste cell here'!J79</f>
        <v>0</v>
      </c>
      <c r="F79" s="1">
        <f>'Paste cell here'!K79</f>
        <v>0</v>
      </c>
      <c r="G79" s="1">
        <f>'Paste cell here'!L79</f>
        <v>0</v>
      </c>
      <c r="H79" s="1">
        <f>'Paste cell here'!M79</f>
        <v>0</v>
      </c>
      <c r="I79" s="1">
        <f>'Paste cell here'!N79</f>
        <v>0</v>
      </c>
      <c r="J79" s="1">
        <f>'Paste cell here'!O79</f>
        <v>0</v>
      </c>
      <c r="K79" s="1">
        <f>'Paste cell here'!Q79</f>
        <v>0.13724012454627568</v>
      </c>
      <c r="L79" s="1">
        <f>'Paste cell here'!S79</f>
        <v>0</v>
      </c>
      <c r="M79" s="1">
        <f>'Paste cell here'!T79</f>
        <v>0</v>
      </c>
      <c r="N79" s="1">
        <f>'Paste cell here'!W79</f>
        <v>0</v>
      </c>
      <c r="O79" s="1">
        <f>'Paste cell here'!U79</f>
        <v>5.8934731429823524</v>
      </c>
      <c r="P79" s="1">
        <f t="shared" si="8"/>
        <v>6.0307132675286281</v>
      </c>
      <c r="Q79" s="1">
        <f>'Paste cell here'!V79</f>
        <v>0</v>
      </c>
      <c r="R79" s="1">
        <f t="shared" si="9"/>
        <v>0</v>
      </c>
      <c r="S79" s="7">
        <f>Sintesi!$C$30</f>
        <v>0.107</v>
      </c>
      <c r="T79" s="7">
        <f>Sintesi!$C$29</f>
        <v>0.23300000000000001</v>
      </c>
      <c r="U79" s="5">
        <f>O79/(Sintesi!$C$5*1000)</f>
        <v>5.8934731429823521E-2</v>
      </c>
      <c r="V79" s="1">
        <f t="shared" si="5"/>
        <v>0.126</v>
      </c>
      <c r="W79" s="1">
        <v>0.63693762288728495</v>
      </c>
      <c r="X79" s="1">
        <f t="shared" si="6"/>
        <v>8.0254140483797906E-2</v>
      </c>
      <c r="Y79" s="1">
        <f t="shared" si="7"/>
        <v>0.15274585951620212</v>
      </c>
      <c r="Z79" s="1">
        <f>'Paste cellinfo here'!$B$11</f>
        <v>0.52400000000000002</v>
      </c>
    </row>
    <row r="80" spans="1:26">
      <c r="A80" s="1">
        <v>79</v>
      </c>
      <c r="B80" s="2">
        <f>DATE(Sintesi!$C$4-1,12,31)+A80</f>
        <v>44275</v>
      </c>
      <c r="C80" s="1">
        <f>'Paste cell here'!B80</f>
        <v>0</v>
      </c>
      <c r="D80" s="1">
        <f>'Paste cell here'!I80</f>
        <v>0</v>
      </c>
      <c r="E80" s="1">
        <f>'Paste cell here'!J80</f>
        <v>0</v>
      </c>
      <c r="F80" s="1">
        <f>'Paste cell here'!K80</f>
        <v>0</v>
      </c>
      <c r="G80" s="1">
        <f>'Paste cell here'!L80</f>
        <v>0</v>
      </c>
      <c r="H80" s="1">
        <f>'Paste cell here'!M80</f>
        <v>0</v>
      </c>
      <c r="I80" s="1">
        <f>'Paste cell here'!N80</f>
        <v>0</v>
      </c>
      <c r="J80" s="1">
        <f>'Paste cell here'!O80</f>
        <v>0</v>
      </c>
      <c r="K80" s="1">
        <f>'Paste cell here'!Q80</f>
        <v>0.11159197257134451</v>
      </c>
      <c r="L80" s="1">
        <f>'Paste cell here'!S80</f>
        <v>0</v>
      </c>
      <c r="M80" s="1">
        <f>'Paste cell here'!T80</f>
        <v>0</v>
      </c>
      <c r="N80" s="1">
        <f>'Paste cell here'!W80</f>
        <v>0</v>
      </c>
      <c r="O80" s="1">
        <f>'Paste cell here'!U80</f>
        <v>5.7818811704110074</v>
      </c>
      <c r="P80" s="1">
        <f t="shared" si="8"/>
        <v>5.8934731429823524</v>
      </c>
      <c r="Q80" s="1">
        <f>'Paste cell here'!V80</f>
        <v>0</v>
      </c>
      <c r="R80" s="1">
        <f t="shared" si="9"/>
        <v>8.8817841970012523E-16</v>
      </c>
      <c r="S80" s="7">
        <f>Sintesi!$C$30</f>
        <v>0.107</v>
      </c>
      <c r="T80" s="7">
        <f>Sintesi!$C$29</f>
        <v>0.23300000000000001</v>
      </c>
      <c r="U80" s="5">
        <f>O80/(Sintesi!$C$5*1000)</f>
        <v>5.7818811704110074E-2</v>
      </c>
      <c r="V80" s="1">
        <f t="shared" si="5"/>
        <v>0.126</v>
      </c>
      <c r="W80" s="1">
        <v>0.60258270909025902</v>
      </c>
      <c r="X80" s="1">
        <f t="shared" si="6"/>
        <v>7.592542134537264E-2</v>
      </c>
      <c r="Y80" s="1">
        <f t="shared" si="7"/>
        <v>0.15707457865462737</v>
      </c>
      <c r="Z80" s="1">
        <f>'Paste cellinfo here'!$B$11</f>
        <v>0.52400000000000002</v>
      </c>
    </row>
    <row r="81" spans="1:26">
      <c r="A81" s="1">
        <v>80</v>
      </c>
      <c r="B81" s="2">
        <f>DATE(Sintesi!$C$4-1,12,31)+A81</f>
        <v>44276</v>
      </c>
      <c r="C81" s="1">
        <f>'Paste cell here'!B81</f>
        <v>0</v>
      </c>
      <c r="D81" s="1">
        <f>'Paste cell here'!I81</f>
        <v>0</v>
      </c>
      <c r="E81" s="1">
        <f>'Paste cell here'!J81</f>
        <v>0</v>
      </c>
      <c r="F81" s="1">
        <f>'Paste cell here'!K81</f>
        <v>0</v>
      </c>
      <c r="G81" s="1">
        <f>'Paste cell here'!L81</f>
        <v>0</v>
      </c>
      <c r="H81" s="1">
        <f>'Paste cell here'!M81</f>
        <v>0</v>
      </c>
      <c r="I81" s="1">
        <f>'Paste cell here'!N81</f>
        <v>0</v>
      </c>
      <c r="J81" s="1">
        <f>'Paste cell here'!O81</f>
        <v>0</v>
      </c>
      <c r="K81" s="1">
        <f>'Paste cell here'!Q81</f>
        <v>8.4424256442456894E-2</v>
      </c>
      <c r="L81" s="1">
        <f>'Paste cell here'!S81</f>
        <v>0</v>
      </c>
      <c r="M81" s="1">
        <f>'Paste cell here'!T81</f>
        <v>0</v>
      </c>
      <c r="N81" s="1">
        <f>'Paste cell here'!W81</f>
        <v>0</v>
      </c>
      <c r="O81" s="1">
        <f>'Paste cell here'!U81</f>
        <v>5.6974569139685505</v>
      </c>
      <c r="P81" s="1">
        <f t="shared" si="8"/>
        <v>5.7818811704110074</v>
      </c>
      <c r="Q81" s="1">
        <f>'Paste cell here'!V81</f>
        <v>0</v>
      </c>
      <c r="R81" s="1">
        <f t="shared" si="9"/>
        <v>0</v>
      </c>
      <c r="S81" s="7">
        <f>Sintesi!$C$30</f>
        <v>0.107</v>
      </c>
      <c r="T81" s="7">
        <f>Sintesi!$C$29</f>
        <v>0.23300000000000001</v>
      </c>
      <c r="U81" s="5">
        <f>O81/(Sintesi!$C$5*1000)</f>
        <v>5.6974569139685502E-2</v>
      </c>
      <c r="V81" s="1">
        <f t="shared" si="5"/>
        <v>0.126</v>
      </c>
      <c r="W81" s="1">
        <v>0.58682145796063101</v>
      </c>
      <c r="X81" s="1">
        <f t="shared" si="6"/>
        <v>7.3939503703039505E-2</v>
      </c>
      <c r="Y81" s="1">
        <f t="shared" si="7"/>
        <v>0.15906049629696051</v>
      </c>
      <c r="Z81" s="1">
        <f>'Paste cellinfo here'!$B$11</f>
        <v>0.52400000000000002</v>
      </c>
    </row>
    <row r="82" spans="1:26">
      <c r="A82" s="1">
        <v>81</v>
      </c>
      <c r="B82" s="2">
        <f>DATE(Sintesi!$C$4-1,12,31)+A82</f>
        <v>44277</v>
      </c>
      <c r="C82" s="1">
        <f>'Paste cell here'!B82</f>
        <v>0</v>
      </c>
      <c r="D82" s="1">
        <f>'Paste cell here'!I82</f>
        <v>0</v>
      </c>
      <c r="E82" s="1">
        <f>'Paste cell here'!J82</f>
        <v>0</v>
      </c>
      <c r="F82" s="1">
        <f>'Paste cell here'!K82</f>
        <v>0</v>
      </c>
      <c r="G82" s="1">
        <f>'Paste cell here'!L82</f>
        <v>0</v>
      </c>
      <c r="H82" s="1">
        <f>'Paste cell here'!M82</f>
        <v>0</v>
      </c>
      <c r="I82" s="1">
        <f>'Paste cell here'!N82</f>
        <v>0</v>
      </c>
      <c r="J82" s="1">
        <f>'Paste cell here'!O82</f>
        <v>0</v>
      </c>
      <c r="K82" s="1">
        <f>'Paste cell here'!Q82</f>
        <v>7.8738023189547895E-2</v>
      </c>
      <c r="L82" s="1">
        <f>'Paste cell here'!S82</f>
        <v>0</v>
      </c>
      <c r="M82" s="1">
        <f>'Paste cell here'!T82</f>
        <v>0</v>
      </c>
      <c r="N82" s="1">
        <f>'Paste cell here'!W82</f>
        <v>0</v>
      </c>
      <c r="O82" s="1">
        <f>'Paste cell here'!U82</f>
        <v>5.6187188907790029</v>
      </c>
      <c r="P82" s="1">
        <f t="shared" si="8"/>
        <v>5.6974569139685505</v>
      </c>
      <c r="Q82" s="1">
        <f>'Paste cell here'!V82</f>
        <v>0</v>
      </c>
      <c r="R82" s="1">
        <f t="shared" si="9"/>
        <v>0</v>
      </c>
      <c r="S82" s="7">
        <f>Sintesi!$C$30</f>
        <v>0.107</v>
      </c>
      <c r="T82" s="7">
        <f>Sintesi!$C$29</f>
        <v>0.23300000000000001</v>
      </c>
      <c r="U82" s="5">
        <f>O82/(Sintesi!$C$5*1000)</f>
        <v>5.618718890779003E-2</v>
      </c>
      <c r="V82" s="1">
        <f t="shared" si="5"/>
        <v>0.126</v>
      </c>
      <c r="W82" s="1">
        <v>0.59354884822340004</v>
      </c>
      <c r="X82" s="1">
        <f t="shared" si="6"/>
        <v>7.4787154876148412E-2</v>
      </c>
      <c r="Y82" s="1">
        <f t="shared" si="7"/>
        <v>0.15821284512385159</v>
      </c>
      <c r="Z82" s="1">
        <f>'Paste cellinfo here'!$B$11</f>
        <v>0.52400000000000002</v>
      </c>
    </row>
    <row r="83" spans="1:26">
      <c r="A83" s="1">
        <v>82</v>
      </c>
      <c r="B83" s="2">
        <f>DATE(Sintesi!$C$4-1,12,31)+A83</f>
        <v>44278</v>
      </c>
      <c r="C83" s="1">
        <f>'Paste cell here'!B83</f>
        <v>0</v>
      </c>
      <c r="D83" s="1">
        <f>'Paste cell here'!I83</f>
        <v>0</v>
      </c>
      <c r="E83" s="1">
        <f>'Paste cell here'!J83</f>
        <v>0</v>
      </c>
      <c r="F83" s="1">
        <f>'Paste cell here'!K83</f>
        <v>0</v>
      </c>
      <c r="G83" s="1">
        <f>'Paste cell here'!L83</f>
        <v>0</v>
      </c>
      <c r="H83" s="1">
        <f>'Paste cell here'!M83</f>
        <v>0</v>
      </c>
      <c r="I83" s="1">
        <f>'Paste cell here'!N83</f>
        <v>0</v>
      </c>
      <c r="J83" s="1">
        <f>'Paste cell here'!O83</f>
        <v>0</v>
      </c>
      <c r="K83" s="1">
        <f>'Paste cell here'!Q83</f>
        <v>6.8257303631226646E-2</v>
      </c>
      <c r="L83" s="1">
        <f>'Paste cell here'!S83</f>
        <v>0</v>
      </c>
      <c r="M83" s="1">
        <f>'Paste cell here'!T83</f>
        <v>0</v>
      </c>
      <c r="N83" s="1">
        <f>'Paste cell here'!W83</f>
        <v>0</v>
      </c>
      <c r="O83" s="1">
        <f>'Paste cell here'!U83</f>
        <v>5.5504615871477778</v>
      </c>
      <c r="P83" s="1">
        <f t="shared" si="8"/>
        <v>5.6187188907790029</v>
      </c>
      <c r="Q83" s="1">
        <f>'Paste cell here'!V83</f>
        <v>0</v>
      </c>
      <c r="R83" s="1">
        <f t="shared" si="9"/>
        <v>1.7763568394002505E-15</v>
      </c>
      <c r="S83" s="7">
        <f>Sintesi!$C$30</f>
        <v>0.107</v>
      </c>
      <c r="T83" s="7">
        <f>Sintesi!$C$29</f>
        <v>0.23300000000000001</v>
      </c>
      <c r="U83" s="5">
        <f>O83/(Sintesi!$C$5*1000)</f>
        <v>5.5504615871477779E-2</v>
      </c>
      <c r="V83" s="1">
        <f t="shared" si="5"/>
        <v>0.126</v>
      </c>
      <c r="W83" s="1">
        <v>0.58823851179106201</v>
      </c>
      <c r="X83" s="1">
        <f t="shared" si="6"/>
        <v>7.411805248567381E-2</v>
      </c>
      <c r="Y83" s="1">
        <f t="shared" si="7"/>
        <v>0.15888194751432622</v>
      </c>
      <c r="Z83" s="1">
        <f>'Paste cellinfo here'!$B$11</f>
        <v>0.52400000000000002</v>
      </c>
    </row>
    <row r="84" spans="1:26">
      <c r="A84" s="1">
        <v>83</v>
      </c>
      <c r="B84" s="2">
        <f>DATE(Sintesi!$C$4-1,12,31)+A84</f>
        <v>44279</v>
      </c>
      <c r="C84" s="1">
        <f>'Paste cell here'!B84</f>
        <v>0</v>
      </c>
      <c r="D84" s="1">
        <f>'Paste cell here'!I84</f>
        <v>0</v>
      </c>
      <c r="E84" s="1">
        <f>'Paste cell here'!J84</f>
        <v>0</v>
      </c>
      <c r="F84" s="1">
        <f>'Paste cell here'!K84</f>
        <v>0</v>
      </c>
      <c r="G84" s="1">
        <f>'Paste cell here'!L84</f>
        <v>0</v>
      </c>
      <c r="H84" s="1">
        <f>'Paste cell here'!M84</f>
        <v>0</v>
      </c>
      <c r="I84" s="1">
        <f>'Paste cell here'!N84</f>
        <v>0</v>
      </c>
      <c r="J84" s="1">
        <f>'Paste cell here'!O84</f>
        <v>0</v>
      </c>
      <c r="K84" s="1">
        <f>'Paste cell here'!Q84</f>
        <v>4.9139093870071968E-2</v>
      </c>
      <c r="L84" s="1">
        <f>'Paste cell here'!S84</f>
        <v>0</v>
      </c>
      <c r="M84" s="1">
        <f>'Paste cell here'!T84</f>
        <v>0</v>
      </c>
      <c r="N84" s="1">
        <f>'Paste cell here'!W84</f>
        <v>0</v>
      </c>
      <c r="O84" s="1">
        <f>'Paste cell here'!U84</f>
        <v>5.5013224932777067</v>
      </c>
      <c r="P84" s="1">
        <f t="shared" si="8"/>
        <v>5.5504615871477778</v>
      </c>
      <c r="Q84" s="1">
        <f>'Paste cell here'!V84</f>
        <v>0</v>
      </c>
      <c r="R84" s="1">
        <f t="shared" si="9"/>
        <v>8.8817841970012523E-16</v>
      </c>
      <c r="S84" s="7">
        <f>Sintesi!$C$30</f>
        <v>0.107</v>
      </c>
      <c r="T84" s="7">
        <f>Sintesi!$C$29</f>
        <v>0.23300000000000001</v>
      </c>
      <c r="U84" s="5">
        <f>O84/(Sintesi!$C$5*1000)</f>
        <v>5.501322493277707E-2</v>
      </c>
      <c r="V84" s="1">
        <f t="shared" si="5"/>
        <v>0.126</v>
      </c>
      <c r="W84" s="1">
        <v>0.57603670790621198</v>
      </c>
      <c r="X84" s="1">
        <f t="shared" si="6"/>
        <v>7.2580625196182705E-2</v>
      </c>
      <c r="Y84" s="1">
        <f t="shared" si="7"/>
        <v>0.16041937480381729</v>
      </c>
      <c r="Z84" s="1">
        <f>'Paste cellinfo here'!$B$11</f>
        <v>0.52400000000000002</v>
      </c>
    </row>
    <row r="85" spans="1:26">
      <c r="A85" s="1">
        <v>84</v>
      </c>
      <c r="B85" s="2">
        <f>DATE(Sintesi!$C$4-1,12,31)+A85</f>
        <v>44280</v>
      </c>
      <c r="C85" s="1">
        <f>'Paste cell here'!B85</f>
        <v>0</v>
      </c>
      <c r="D85" s="1">
        <f>'Paste cell here'!I85</f>
        <v>0</v>
      </c>
      <c r="E85" s="1">
        <f>'Paste cell here'!J85</f>
        <v>0</v>
      </c>
      <c r="F85" s="1">
        <f>'Paste cell here'!K85</f>
        <v>0</v>
      </c>
      <c r="G85" s="1">
        <f>'Paste cell here'!L85</f>
        <v>0</v>
      </c>
      <c r="H85" s="1">
        <f>'Paste cell here'!M85</f>
        <v>0</v>
      </c>
      <c r="I85" s="1">
        <f>'Paste cell here'!N85</f>
        <v>0</v>
      </c>
      <c r="J85" s="1">
        <f>'Paste cell here'!O85</f>
        <v>0</v>
      </c>
      <c r="K85" s="1">
        <f>'Paste cell here'!Q85</f>
        <v>3.7284403220892236E-2</v>
      </c>
      <c r="L85" s="1">
        <f>'Paste cell here'!S85</f>
        <v>0</v>
      </c>
      <c r="M85" s="1">
        <f>'Paste cell here'!T85</f>
        <v>0</v>
      </c>
      <c r="N85" s="1">
        <f>'Paste cell here'!W85</f>
        <v>0</v>
      </c>
      <c r="O85" s="1">
        <f>'Paste cell here'!U85</f>
        <v>5.4640380900568148</v>
      </c>
      <c r="P85" s="1">
        <f t="shared" si="8"/>
        <v>5.5013224932777067</v>
      </c>
      <c r="Q85" s="1">
        <f>'Paste cell here'!V85</f>
        <v>0</v>
      </c>
      <c r="R85" s="1">
        <f t="shared" si="9"/>
        <v>0</v>
      </c>
      <c r="S85" s="7">
        <f>Sintesi!$C$30</f>
        <v>0.107</v>
      </c>
      <c r="T85" s="7">
        <f>Sintesi!$C$29</f>
        <v>0.23300000000000001</v>
      </c>
      <c r="U85" s="5">
        <f>O85/(Sintesi!$C$5*1000)</f>
        <v>5.464038090056815E-2</v>
      </c>
      <c r="V85" s="1">
        <f t="shared" si="5"/>
        <v>0.126</v>
      </c>
      <c r="W85" s="1">
        <v>0.56398938187598102</v>
      </c>
      <c r="X85" s="1">
        <f t="shared" si="6"/>
        <v>7.1062662116373604E-2</v>
      </c>
      <c r="Y85" s="1">
        <f t="shared" si="7"/>
        <v>0.16193733788362641</v>
      </c>
      <c r="Z85" s="1">
        <f>'Paste cellinfo here'!$B$11</f>
        <v>0.52400000000000002</v>
      </c>
    </row>
    <row r="86" spans="1:26">
      <c r="A86" s="1">
        <v>85</v>
      </c>
      <c r="B86" s="2">
        <f>DATE(Sintesi!$C$4-1,12,31)+A86</f>
        <v>44281</v>
      </c>
      <c r="C86" s="1">
        <f>'Paste cell here'!B86</f>
        <v>0</v>
      </c>
      <c r="D86" s="1">
        <f>'Paste cell here'!I86</f>
        <v>0</v>
      </c>
      <c r="E86" s="1">
        <f>'Paste cell here'!J86</f>
        <v>0</v>
      </c>
      <c r="F86" s="1">
        <f>'Paste cell here'!K86</f>
        <v>0</v>
      </c>
      <c r="G86" s="1">
        <f>'Paste cell here'!L86</f>
        <v>0</v>
      </c>
      <c r="H86" s="1">
        <f>'Paste cell here'!M86</f>
        <v>0</v>
      </c>
      <c r="I86" s="1">
        <f>'Paste cell here'!N86</f>
        <v>0</v>
      </c>
      <c r="J86" s="1">
        <f>'Paste cell here'!O86</f>
        <v>0</v>
      </c>
      <c r="K86" s="1">
        <f>'Paste cell here'!Q86</f>
        <v>2.7365242499493281E-2</v>
      </c>
      <c r="L86" s="1">
        <f>'Paste cell here'!S86</f>
        <v>0</v>
      </c>
      <c r="M86" s="1">
        <f>'Paste cell here'!T86</f>
        <v>0</v>
      </c>
      <c r="N86" s="1">
        <f>'Paste cell here'!W86</f>
        <v>0</v>
      </c>
      <c r="O86" s="1">
        <f>'Paste cell here'!U86</f>
        <v>5.4366728475573192</v>
      </c>
      <c r="P86" s="1">
        <f t="shared" si="8"/>
        <v>5.4640380900568148</v>
      </c>
      <c r="Q86" s="1">
        <f>'Paste cell here'!V86</f>
        <v>0</v>
      </c>
      <c r="R86" s="1">
        <f t="shared" si="9"/>
        <v>2.6645352591003757E-15</v>
      </c>
      <c r="S86" s="7">
        <f>Sintesi!$C$30</f>
        <v>0.107</v>
      </c>
      <c r="T86" s="7">
        <f>Sintesi!$C$29</f>
        <v>0.23300000000000001</v>
      </c>
      <c r="U86" s="5">
        <f>O86/(Sintesi!$C$5*1000)</f>
        <v>5.4366728475573195E-2</v>
      </c>
      <c r="V86" s="1">
        <f t="shared" si="5"/>
        <v>0.126</v>
      </c>
      <c r="W86" s="1">
        <v>0.54976399291952804</v>
      </c>
      <c r="X86" s="1">
        <f t="shared" si="6"/>
        <v>6.9270263107860539E-2</v>
      </c>
      <c r="Y86" s="1">
        <f t="shared" si="7"/>
        <v>0.16372973689213949</v>
      </c>
      <c r="Z86" s="1">
        <f>'Paste cellinfo here'!$B$11</f>
        <v>0.52400000000000002</v>
      </c>
    </row>
    <row r="87" spans="1:26">
      <c r="A87" s="1">
        <v>86</v>
      </c>
      <c r="B87" s="2">
        <f>DATE(Sintesi!$C$4-1,12,31)+A87</f>
        <v>44282</v>
      </c>
      <c r="C87" s="1">
        <f>'Paste cell here'!B87</f>
        <v>0</v>
      </c>
      <c r="D87" s="1">
        <f>'Paste cell here'!I87</f>
        <v>0</v>
      </c>
      <c r="E87" s="1">
        <f>'Paste cell here'!J87</f>
        <v>0</v>
      </c>
      <c r="F87" s="1">
        <f>'Paste cell here'!K87</f>
        <v>0</v>
      </c>
      <c r="G87" s="1">
        <f>'Paste cell here'!L87</f>
        <v>0</v>
      </c>
      <c r="H87" s="1">
        <f>'Paste cell here'!M87</f>
        <v>0</v>
      </c>
      <c r="I87" s="1">
        <f>'Paste cell here'!N87</f>
        <v>0</v>
      </c>
      <c r="J87" s="1">
        <f>'Paste cell here'!O87</f>
        <v>0</v>
      </c>
      <c r="K87" s="1">
        <f>'Paste cell here'!Q87</f>
        <v>1.3301502499777148E-2</v>
      </c>
      <c r="L87" s="1">
        <f>'Paste cell here'!S87</f>
        <v>0</v>
      </c>
      <c r="M87" s="1">
        <f>'Paste cell here'!T87</f>
        <v>0</v>
      </c>
      <c r="N87" s="1">
        <f>'Paste cell here'!W87</f>
        <v>0</v>
      </c>
      <c r="O87" s="1">
        <f>'Paste cell here'!U87</f>
        <v>5.4233713450575411</v>
      </c>
      <c r="P87" s="1">
        <f t="shared" si="8"/>
        <v>5.4366728475573192</v>
      </c>
      <c r="Q87" s="1">
        <f>'Paste cell here'!V87</f>
        <v>0</v>
      </c>
      <c r="R87" s="1">
        <f t="shared" si="9"/>
        <v>8.8817841970012523E-16</v>
      </c>
      <c r="S87" s="7">
        <f>Sintesi!$C$30</f>
        <v>0.107</v>
      </c>
      <c r="T87" s="7">
        <f>Sintesi!$C$29</f>
        <v>0.23300000000000001</v>
      </c>
      <c r="U87" s="5">
        <f>O87/(Sintesi!$C$5*1000)</f>
        <v>5.4233713450575413E-2</v>
      </c>
      <c r="V87" s="1">
        <f t="shared" si="5"/>
        <v>0.126</v>
      </c>
      <c r="W87" s="1">
        <v>0.54981973499311898</v>
      </c>
      <c r="X87" s="1">
        <f t="shared" si="6"/>
        <v>6.9277286609132988E-2</v>
      </c>
      <c r="Y87" s="1">
        <f t="shared" si="7"/>
        <v>0.16372271339086703</v>
      </c>
      <c r="Z87" s="1">
        <f>'Paste cellinfo here'!$B$11</f>
        <v>0.52400000000000002</v>
      </c>
    </row>
    <row r="88" spans="1:26">
      <c r="A88" s="1">
        <v>87</v>
      </c>
      <c r="B88" s="2">
        <f>DATE(Sintesi!$C$4-1,12,31)+A88</f>
        <v>44283</v>
      </c>
      <c r="C88" s="1">
        <f>'Paste cell here'!B88</f>
        <v>0</v>
      </c>
      <c r="D88" s="1">
        <f>'Paste cell here'!I88</f>
        <v>0</v>
      </c>
      <c r="E88" s="1">
        <f>'Paste cell here'!J88</f>
        <v>0</v>
      </c>
      <c r="F88" s="1">
        <f>'Paste cell here'!K88</f>
        <v>0</v>
      </c>
      <c r="G88" s="1">
        <f>'Paste cell here'!L88</f>
        <v>0</v>
      </c>
      <c r="H88" s="1">
        <f>'Paste cell here'!M88</f>
        <v>0</v>
      </c>
      <c r="I88" s="1">
        <f>'Paste cell here'!N88</f>
        <v>0</v>
      </c>
      <c r="J88" s="1">
        <f>'Paste cell here'!O88</f>
        <v>0</v>
      </c>
      <c r="K88" s="1">
        <f>'Paste cell here'!Q88</f>
        <v>1.7790732480931451E-2</v>
      </c>
      <c r="L88" s="1">
        <f>'Paste cell here'!S88</f>
        <v>0</v>
      </c>
      <c r="M88" s="1">
        <f>'Paste cell here'!T88</f>
        <v>0</v>
      </c>
      <c r="N88" s="1">
        <f>'Paste cell here'!W88</f>
        <v>0</v>
      </c>
      <c r="O88" s="1">
        <f>'Paste cell here'!U88</f>
        <v>5.4055806125766122</v>
      </c>
      <c r="P88" s="1">
        <f t="shared" si="8"/>
        <v>5.4233713450575411</v>
      </c>
      <c r="Q88" s="1">
        <f>'Paste cell here'!V88</f>
        <v>0</v>
      </c>
      <c r="R88" s="1">
        <f t="shared" si="9"/>
        <v>2.6645352591003757E-15</v>
      </c>
      <c r="S88" s="7">
        <f>Sintesi!$C$30</f>
        <v>0.107</v>
      </c>
      <c r="T88" s="7">
        <f>Sintesi!$C$29</f>
        <v>0.23300000000000001</v>
      </c>
      <c r="U88" s="5">
        <f>O88/(Sintesi!$C$5*1000)</f>
        <v>5.4055806125766125E-2</v>
      </c>
      <c r="V88" s="1">
        <f t="shared" si="5"/>
        <v>0.126</v>
      </c>
      <c r="W88" s="1">
        <v>0.57866441294165905</v>
      </c>
      <c r="X88" s="1">
        <f t="shared" si="6"/>
        <v>7.291171603064904E-2</v>
      </c>
      <c r="Y88" s="1">
        <f t="shared" si="7"/>
        <v>0.16008828396935099</v>
      </c>
      <c r="Z88" s="1">
        <f>'Paste cellinfo here'!$B$11</f>
        <v>0.52400000000000002</v>
      </c>
    </row>
    <row r="89" spans="1:26">
      <c r="A89" s="1">
        <v>88</v>
      </c>
      <c r="B89" s="2">
        <f>DATE(Sintesi!$C$4-1,12,31)+A89</f>
        <v>44284</v>
      </c>
      <c r="C89" s="1">
        <f>'Paste cell here'!B89</f>
        <v>0</v>
      </c>
      <c r="D89" s="1">
        <f>'Paste cell here'!I89</f>
        <v>0</v>
      </c>
      <c r="E89" s="1">
        <f>'Paste cell here'!J89</f>
        <v>0</v>
      </c>
      <c r="F89" s="1">
        <f>'Paste cell here'!K89</f>
        <v>0</v>
      </c>
      <c r="G89" s="1">
        <f>'Paste cell here'!L89</f>
        <v>0</v>
      </c>
      <c r="H89" s="1">
        <f>'Paste cell here'!M89</f>
        <v>0</v>
      </c>
      <c r="I89" s="1">
        <f>'Paste cell here'!N89</f>
        <v>0</v>
      </c>
      <c r="J89" s="1">
        <f>'Paste cell here'!O89</f>
        <v>0</v>
      </c>
      <c r="K89" s="1">
        <f>'Paste cell here'!Q89</f>
        <v>1.5309417102701683E-2</v>
      </c>
      <c r="L89" s="1">
        <f>'Paste cell here'!S89</f>
        <v>0</v>
      </c>
      <c r="M89" s="1">
        <f>'Paste cell here'!T89</f>
        <v>0</v>
      </c>
      <c r="N89" s="1">
        <f>'Paste cell here'!W89</f>
        <v>0</v>
      </c>
      <c r="O89" s="1">
        <f>'Paste cell here'!U89</f>
        <v>5.390271195473912</v>
      </c>
      <c r="P89" s="1">
        <f t="shared" si="8"/>
        <v>5.4055806125766122</v>
      </c>
      <c r="Q89" s="1">
        <f>'Paste cell here'!V89</f>
        <v>0</v>
      </c>
      <c r="R89" s="1">
        <f t="shared" si="9"/>
        <v>1.7763568394002505E-15</v>
      </c>
      <c r="S89" s="7">
        <f>Sintesi!$C$30</f>
        <v>0.107</v>
      </c>
      <c r="T89" s="7">
        <f>Sintesi!$C$29</f>
        <v>0.23300000000000001</v>
      </c>
      <c r="U89" s="5">
        <f>O89/(Sintesi!$C$5*1000)</f>
        <v>5.390271195473912E-2</v>
      </c>
      <c r="V89" s="1">
        <f t="shared" si="5"/>
        <v>0.126</v>
      </c>
      <c r="W89" s="1">
        <v>0.58084964295243002</v>
      </c>
      <c r="X89" s="1">
        <f t="shared" si="6"/>
        <v>7.3187055012006189E-2</v>
      </c>
      <c r="Y89" s="1">
        <f t="shared" si="7"/>
        <v>0.15981294498799381</v>
      </c>
      <c r="Z89" s="1">
        <f>'Paste cellinfo here'!$B$11</f>
        <v>0.52400000000000002</v>
      </c>
    </row>
    <row r="90" spans="1:26">
      <c r="A90" s="1">
        <v>89</v>
      </c>
      <c r="B90" s="2">
        <f>DATE(Sintesi!$C$4-1,12,31)+A90</f>
        <v>44285</v>
      </c>
      <c r="C90" s="1">
        <f>'Paste cell here'!B90</f>
        <v>0</v>
      </c>
      <c r="D90" s="1">
        <f>'Paste cell here'!I90</f>
        <v>0</v>
      </c>
      <c r="E90" s="1">
        <f>'Paste cell here'!J90</f>
        <v>0</v>
      </c>
      <c r="F90" s="1">
        <f>'Paste cell here'!K90</f>
        <v>0</v>
      </c>
      <c r="G90" s="1">
        <f>'Paste cell here'!L90</f>
        <v>0</v>
      </c>
      <c r="H90" s="1">
        <f>'Paste cell here'!M90</f>
        <v>0</v>
      </c>
      <c r="I90" s="1">
        <f>'Paste cell here'!N90</f>
        <v>0</v>
      </c>
      <c r="J90" s="1">
        <f>'Paste cell here'!O90</f>
        <v>0</v>
      </c>
      <c r="K90" s="1">
        <f>'Paste cell here'!Q90</f>
        <v>1.216972421644996E-2</v>
      </c>
      <c r="L90" s="1">
        <f>'Paste cell here'!S90</f>
        <v>0</v>
      </c>
      <c r="M90" s="1">
        <f>'Paste cell here'!T90</f>
        <v>0</v>
      </c>
      <c r="N90" s="1">
        <f>'Paste cell here'!W90</f>
        <v>0</v>
      </c>
      <c r="O90" s="1">
        <f>'Paste cell here'!U90</f>
        <v>5.3781014712574633</v>
      </c>
      <c r="P90" s="1">
        <f t="shared" si="8"/>
        <v>5.390271195473912</v>
      </c>
      <c r="Q90" s="1">
        <f>'Paste cell here'!V90</f>
        <v>0</v>
      </c>
      <c r="R90" s="1">
        <f t="shared" si="9"/>
        <v>8.8817841970012523E-16</v>
      </c>
      <c r="S90" s="7">
        <f>Sintesi!$C$30</f>
        <v>0.107</v>
      </c>
      <c r="T90" s="7">
        <f>Sintesi!$C$29</f>
        <v>0.23300000000000001</v>
      </c>
      <c r="U90" s="5">
        <f>O90/(Sintesi!$C$5*1000)</f>
        <v>5.3781014712574633E-2</v>
      </c>
      <c r="V90" s="1">
        <f t="shared" si="5"/>
        <v>0.126</v>
      </c>
      <c r="W90" s="1">
        <v>0.57885630215602102</v>
      </c>
      <c r="X90" s="1">
        <f t="shared" si="6"/>
        <v>7.2935894071658652E-2</v>
      </c>
      <c r="Y90" s="1">
        <f t="shared" si="7"/>
        <v>0.16006410592834136</v>
      </c>
      <c r="Z90" s="1">
        <f>'Paste cellinfo here'!$B$11</f>
        <v>0.52400000000000002</v>
      </c>
    </row>
    <row r="91" spans="1:26">
      <c r="A91" s="1">
        <v>90</v>
      </c>
      <c r="B91" s="2">
        <f>DATE(Sintesi!$C$4-1,12,31)+A91</f>
        <v>44286</v>
      </c>
      <c r="C91" s="1">
        <f>'Paste cell here'!B91</f>
        <v>0</v>
      </c>
      <c r="D91" s="1">
        <f>'Paste cell here'!I91</f>
        <v>0</v>
      </c>
      <c r="E91" s="1">
        <f>'Paste cell here'!J91</f>
        <v>0</v>
      </c>
      <c r="F91" s="1">
        <f>'Paste cell here'!K91</f>
        <v>0</v>
      </c>
      <c r="G91" s="1">
        <f>'Paste cell here'!L91</f>
        <v>0</v>
      </c>
      <c r="H91" s="1">
        <f>'Paste cell here'!M91</f>
        <v>0</v>
      </c>
      <c r="I91" s="1">
        <f>'Paste cell here'!N91</f>
        <v>0</v>
      </c>
      <c r="J91" s="1">
        <f>'Paste cell here'!O91</f>
        <v>0</v>
      </c>
      <c r="K91" s="1">
        <f>'Paste cell here'!Q91</f>
        <v>8.5271991515018433E-3</v>
      </c>
      <c r="L91" s="1">
        <f>'Paste cell here'!S91</f>
        <v>0</v>
      </c>
      <c r="M91" s="1">
        <f>'Paste cell here'!T91</f>
        <v>0</v>
      </c>
      <c r="N91" s="1">
        <f>'Paste cell here'!W91</f>
        <v>0</v>
      </c>
      <c r="O91" s="1">
        <f>'Paste cell here'!U91</f>
        <v>5.3695742721059609</v>
      </c>
      <c r="P91" s="1">
        <f t="shared" si="8"/>
        <v>5.3781014712574633</v>
      </c>
      <c r="Q91" s="1">
        <f>'Paste cell here'!V91</f>
        <v>0</v>
      </c>
      <c r="R91" s="1">
        <f t="shared" si="9"/>
        <v>8.8817841970012523E-16</v>
      </c>
      <c r="S91" s="7">
        <f>Sintesi!$C$30</f>
        <v>0.107</v>
      </c>
      <c r="T91" s="7">
        <f>Sintesi!$C$29</f>
        <v>0.23300000000000001</v>
      </c>
      <c r="U91" s="5">
        <f>O91/(Sintesi!$C$5*1000)</f>
        <v>5.3695742721059612E-2</v>
      </c>
      <c r="V91" s="1">
        <f t="shared" si="5"/>
        <v>0.126</v>
      </c>
      <c r="W91" s="1">
        <v>0.56255172777320805</v>
      </c>
      <c r="X91" s="1">
        <f t="shared" si="6"/>
        <v>7.0881517699424218E-2</v>
      </c>
      <c r="Y91" s="1">
        <f t="shared" si="7"/>
        <v>0.16211848230057579</v>
      </c>
      <c r="Z91" s="1">
        <f>'Paste cellinfo here'!$B$11</f>
        <v>0.52400000000000002</v>
      </c>
    </row>
    <row r="92" spans="1:26">
      <c r="A92" s="1">
        <v>91</v>
      </c>
      <c r="B92" s="2">
        <f>DATE(Sintesi!$C$4-1,12,31)+A92</f>
        <v>44287</v>
      </c>
      <c r="C92" s="1">
        <f>'Paste cell here'!B92</f>
        <v>0</v>
      </c>
      <c r="D92" s="1">
        <f>'Paste cell here'!I92</f>
        <v>0</v>
      </c>
      <c r="E92" s="1">
        <f>'Paste cell here'!J92</f>
        <v>0</v>
      </c>
      <c r="F92" s="1">
        <f>'Paste cell here'!K92</f>
        <v>0</v>
      </c>
      <c r="G92" s="1">
        <f>'Paste cell here'!L92</f>
        <v>0</v>
      </c>
      <c r="H92" s="1">
        <f>'Paste cell here'!M92</f>
        <v>0</v>
      </c>
      <c r="I92" s="1">
        <f>'Paste cell here'!N92</f>
        <v>0</v>
      </c>
      <c r="J92" s="1">
        <f>'Paste cell here'!O92</f>
        <v>0</v>
      </c>
      <c r="K92" s="1">
        <f>'Paste cell here'!Q92</f>
        <v>6.5241697900098906E-3</v>
      </c>
      <c r="L92" s="1">
        <f>'Paste cell here'!S92</f>
        <v>0</v>
      </c>
      <c r="M92" s="1">
        <f>'Paste cell here'!T92</f>
        <v>0</v>
      </c>
      <c r="N92" s="1">
        <f>'Paste cell here'!W92</f>
        <v>0</v>
      </c>
      <c r="O92" s="1">
        <f>'Paste cell here'!U92</f>
        <v>5.3630501023159516</v>
      </c>
      <c r="P92" s="1">
        <f t="shared" si="8"/>
        <v>5.3695742721059609</v>
      </c>
      <c r="Q92" s="1">
        <f>'Paste cell here'!V92</f>
        <v>0</v>
      </c>
      <c r="R92" s="1">
        <f t="shared" si="9"/>
        <v>8.8817841970012523E-16</v>
      </c>
      <c r="S92" s="7">
        <f>Sintesi!$C$30</f>
        <v>0.107</v>
      </c>
      <c r="T92" s="7">
        <f>Sintesi!$C$29</f>
        <v>0.23300000000000001</v>
      </c>
      <c r="U92" s="5">
        <f>O92/(Sintesi!$C$5*1000)</f>
        <v>5.3630501023159513E-2</v>
      </c>
      <c r="V92" s="1">
        <f t="shared" si="5"/>
        <v>0.126</v>
      </c>
      <c r="W92" s="1">
        <v>0.55488562889481996</v>
      </c>
      <c r="X92" s="1">
        <f t="shared" si="6"/>
        <v>6.9915589240747311E-2</v>
      </c>
      <c r="Y92" s="1">
        <f t="shared" si="7"/>
        <v>0.1630844107592527</v>
      </c>
      <c r="Z92" s="1">
        <f>'Paste cellinfo here'!$B$11</f>
        <v>0.52400000000000002</v>
      </c>
    </row>
    <row r="93" spans="1:26">
      <c r="A93" s="1">
        <v>92</v>
      </c>
      <c r="B93" s="2">
        <f>DATE(Sintesi!$C$4-1,12,31)+A93</f>
        <v>44288</v>
      </c>
      <c r="C93" s="1">
        <f>'Paste cell here'!B93</f>
        <v>0</v>
      </c>
      <c r="D93" s="1">
        <f>'Paste cell here'!I93</f>
        <v>0</v>
      </c>
      <c r="E93" s="1">
        <f>'Paste cell here'!J93</f>
        <v>0</v>
      </c>
      <c r="F93" s="1">
        <f>'Paste cell here'!K93</f>
        <v>0</v>
      </c>
      <c r="G93" s="1">
        <f>'Paste cell here'!L93</f>
        <v>0</v>
      </c>
      <c r="H93" s="1">
        <f>'Paste cell here'!M93</f>
        <v>0</v>
      </c>
      <c r="I93" s="1">
        <f>'Paste cell here'!N93</f>
        <v>0</v>
      </c>
      <c r="J93" s="1">
        <f>'Paste cell here'!O93</f>
        <v>0</v>
      </c>
      <c r="K93" s="1">
        <f>'Paste cell here'!Q93</f>
        <v>4.7826451618681034E-3</v>
      </c>
      <c r="L93" s="1">
        <f>'Paste cell here'!S93</f>
        <v>0</v>
      </c>
      <c r="M93" s="1">
        <f>'Paste cell here'!T93</f>
        <v>0</v>
      </c>
      <c r="N93" s="1">
        <f>'Paste cell here'!W93</f>
        <v>0</v>
      </c>
      <c r="O93" s="1">
        <f>'Paste cell here'!U93</f>
        <v>5.358267457154084</v>
      </c>
      <c r="P93" s="1">
        <f t="shared" si="8"/>
        <v>5.3630501023159516</v>
      </c>
      <c r="Q93" s="1">
        <f>'Paste cell here'!V93</f>
        <v>0</v>
      </c>
      <c r="R93" s="1">
        <f t="shared" si="9"/>
        <v>8.8817841970012523E-16</v>
      </c>
      <c r="S93" s="7">
        <f>Sintesi!$C$30</f>
        <v>0.107</v>
      </c>
      <c r="T93" s="7">
        <f>Sintesi!$C$29</f>
        <v>0.23300000000000001</v>
      </c>
      <c r="U93" s="5">
        <f>O93/(Sintesi!$C$5*1000)</f>
        <v>5.3582674571540839E-2</v>
      </c>
      <c r="V93" s="1">
        <f t="shared" si="5"/>
        <v>0.126</v>
      </c>
      <c r="W93" s="1">
        <v>0.53128523169892095</v>
      </c>
      <c r="X93" s="1">
        <f t="shared" si="6"/>
        <v>6.6941939194064035E-2</v>
      </c>
      <c r="Y93" s="1">
        <f t="shared" si="7"/>
        <v>0.16605806080593599</v>
      </c>
      <c r="Z93" s="1">
        <f>'Paste cellinfo here'!$B$11</f>
        <v>0.52400000000000002</v>
      </c>
    </row>
    <row r="94" spans="1:26">
      <c r="A94" s="1">
        <v>93</v>
      </c>
      <c r="B94" s="2">
        <f>DATE(Sintesi!$C$4-1,12,31)+A94</f>
        <v>44289</v>
      </c>
      <c r="C94" s="1">
        <f>'Paste cell here'!B94</f>
        <v>0</v>
      </c>
      <c r="D94" s="1">
        <f>'Paste cell here'!I94</f>
        <v>54</v>
      </c>
      <c r="E94" s="1">
        <f>'Paste cell here'!J94</f>
        <v>0</v>
      </c>
      <c r="F94" s="1">
        <f>'Paste cell here'!K94</f>
        <v>54</v>
      </c>
      <c r="G94" s="1">
        <f>'Paste cell here'!L94</f>
        <v>0</v>
      </c>
      <c r="H94" s="1">
        <f>'Paste cell here'!M94</f>
        <v>0</v>
      </c>
      <c r="I94" s="1">
        <f>'Paste cell here'!N94</f>
        <v>0</v>
      </c>
      <c r="J94" s="1">
        <f>'Paste cell here'!O94</f>
        <v>0</v>
      </c>
      <c r="K94" s="1">
        <f>'Paste cell here'!Q94</f>
        <v>2.607505772704398</v>
      </c>
      <c r="L94" s="1">
        <f>'Paste cell here'!S94</f>
        <v>0</v>
      </c>
      <c r="M94" s="1">
        <f>'Paste cell here'!T94</f>
        <v>29.298734780487361</v>
      </c>
      <c r="N94" s="1">
        <f>'Paste cell here'!W94</f>
        <v>0</v>
      </c>
      <c r="O94" s="1">
        <f>'Paste cell here'!U94</f>
        <v>27.452026903962331</v>
      </c>
      <c r="P94" s="1">
        <f t="shared" si="8"/>
        <v>5.358267457154084</v>
      </c>
      <c r="Q94" s="1">
        <f>'Paste cell here'!V94</f>
        <v>0</v>
      </c>
      <c r="R94" s="1">
        <f t="shared" si="9"/>
        <v>7.1054273576010019E-15</v>
      </c>
      <c r="S94" s="7">
        <f>Sintesi!$C$30</f>
        <v>0.107</v>
      </c>
      <c r="T94" s="7">
        <f>Sintesi!$C$29</f>
        <v>0.23300000000000001</v>
      </c>
      <c r="U94" s="5">
        <f>O94/(Sintesi!$C$5*1000)</f>
        <v>0.27452026903962329</v>
      </c>
      <c r="V94" s="1">
        <f t="shared" si="5"/>
        <v>0.126</v>
      </c>
      <c r="W94" s="1">
        <v>0.54756804439161</v>
      </c>
      <c r="X94" s="1">
        <f t="shared" si="6"/>
        <v>6.8993573593342863E-2</v>
      </c>
      <c r="Y94" s="1">
        <f t="shared" si="7"/>
        <v>0.16400642640665714</v>
      </c>
      <c r="Z94" s="1">
        <f>'Paste cellinfo here'!$B$11</f>
        <v>0.52400000000000002</v>
      </c>
    </row>
    <row r="95" spans="1:26">
      <c r="A95" s="1">
        <v>94</v>
      </c>
      <c r="B95" s="2">
        <f>DATE(Sintesi!$C$4-1,12,31)+A95</f>
        <v>44290</v>
      </c>
      <c r="C95" s="1">
        <f>'Paste cell here'!B95</f>
        <v>0</v>
      </c>
      <c r="D95" s="1">
        <f>'Paste cell here'!I95</f>
        <v>0</v>
      </c>
      <c r="E95" s="1">
        <f>'Paste cell here'!J95</f>
        <v>0</v>
      </c>
      <c r="F95" s="1">
        <f>'Paste cell here'!K95</f>
        <v>0</v>
      </c>
      <c r="G95" s="1">
        <f>'Paste cell here'!L95</f>
        <v>0</v>
      </c>
      <c r="H95" s="1">
        <f>'Paste cell here'!M95</f>
        <v>0</v>
      </c>
      <c r="I95" s="1">
        <f>'Paste cell here'!N95</f>
        <v>0</v>
      </c>
      <c r="J95" s="1">
        <f>'Paste cell here'!O95</f>
        <v>0</v>
      </c>
      <c r="K95" s="1">
        <f>'Paste cell here'!Q95</f>
        <v>3.7433197709279109</v>
      </c>
      <c r="L95" s="1">
        <f>'Paste cell here'!S95</f>
        <v>0</v>
      </c>
      <c r="M95" s="1">
        <f>'Paste cell here'!T95</f>
        <v>1.592999951691511</v>
      </c>
      <c r="N95" s="1">
        <f>'Paste cell here'!W95</f>
        <v>0</v>
      </c>
      <c r="O95" s="1">
        <f>'Paste cell here'!U95</f>
        <v>22.115707181342906</v>
      </c>
      <c r="P95" s="1">
        <f t="shared" si="8"/>
        <v>27.452026903962331</v>
      </c>
      <c r="Q95" s="1">
        <f>'Paste cell here'!V95</f>
        <v>0</v>
      </c>
      <c r="R95" s="1">
        <f t="shared" si="9"/>
        <v>3.5527136788005009E-15</v>
      </c>
      <c r="S95" s="7">
        <f>Sintesi!$C$30</f>
        <v>0.107</v>
      </c>
      <c r="T95" s="7">
        <f>Sintesi!$C$29</f>
        <v>0.23300000000000001</v>
      </c>
      <c r="U95" s="5">
        <f>O95/(Sintesi!$C$5*1000)</f>
        <v>0.22115707181342906</v>
      </c>
      <c r="V95" s="1">
        <f t="shared" si="5"/>
        <v>0.126</v>
      </c>
      <c r="W95" s="1">
        <v>0.61783271981170496</v>
      </c>
      <c r="X95" s="1">
        <f t="shared" si="6"/>
        <v>7.7846922696274828E-2</v>
      </c>
      <c r="Y95" s="1">
        <f t="shared" si="7"/>
        <v>0.15515307730372518</v>
      </c>
      <c r="Z95" s="1">
        <f>'Paste cellinfo here'!$B$11</f>
        <v>0.52400000000000002</v>
      </c>
    </row>
    <row r="96" spans="1:26">
      <c r="A96" s="1">
        <v>95</v>
      </c>
      <c r="B96" s="2">
        <f>DATE(Sintesi!$C$4-1,12,31)+A96</f>
        <v>44291</v>
      </c>
      <c r="C96" s="1">
        <f>'Paste cell here'!B96</f>
        <v>0</v>
      </c>
      <c r="D96" s="1">
        <f>'Paste cell here'!I96</f>
        <v>0</v>
      </c>
      <c r="E96" s="1">
        <f>'Paste cell here'!J96</f>
        <v>0</v>
      </c>
      <c r="F96" s="1">
        <f>'Paste cell here'!K96</f>
        <v>0</v>
      </c>
      <c r="G96" s="1">
        <f>'Paste cell here'!L96</f>
        <v>0</v>
      </c>
      <c r="H96" s="1">
        <f>'Paste cell here'!M96</f>
        <v>0</v>
      </c>
      <c r="I96" s="1">
        <f>'Paste cell here'!N96</f>
        <v>0</v>
      </c>
      <c r="J96" s="1">
        <f>'Paste cell here'!O96</f>
        <v>0</v>
      </c>
      <c r="K96" s="1">
        <f>'Paste cell here'!Q96</f>
        <v>3.61458538812682</v>
      </c>
      <c r="L96" s="1">
        <f>'Paste cell here'!S96</f>
        <v>0</v>
      </c>
      <c r="M96" s="1">
        <f>'Paste cell here'!T96</f>
        <v>0.11121289339692961</v>
      </c>
      <c r="N96" s="1">
        <f>'Paste cell here'!W96</f>
        <v>0</v>
      </c>
      <c r="O96" s="1">
        <f>'Paste cell here'!U96</f>
        <v>18.389908899819169</v>
      </c>
      <c r="P96" s="1">
        <f t="shared" si="8"/>
        <v>22.115707181342906</v>
      </c>
      <c r="Q96" s="1">
        <f>'Paste cell here'!V96</f>
        <v>0</v>
      </c>
      <c r="R96" s="1">
        <f t="shared" si="9"/>
        <v>1.0658141036401503E-14</v>
      </c>
      <c r="S96" s="7">
        <f>Sintesi!$C$30</f>
        <v>0.107</v>
      </c>
      <c r="T96" s="7">
        <f>Sintesi!$C$29</f>
        <v>0.23300000000000001</v>
      </c>
      <c r="U96" s="5">
        <f>O96/(Sintesi!$C$5*1000)</f>
        <v>0.18389908899819168</v>
      </c>
      <c r="V96" s="1">
        <f t="shared" si="5"/>
        <v>0.126</v>
      </c>
      <c r="W96" s="1">
        <v>0.64974552662700003</v>
      </c>
      <c r="X96" s="1">
        <f t="shared" si="6"/>
        <v>8.1867936355002002E-2</v>
      </c>
      <c r="Y96" s="1">
        <f t="shared" si="7"/>
        <v>0.15113206364499801</v>
      </c>
      <c r="Z96" s="1">
        <f>'Paste cellinfo here'!$B$11</f>
        <v>0.52400000000000002</v>
      </c>
    </row>
    <row r="97" spans="1:26">
      <c r="A97" s="1">
        <v>96</v>
      </c>
      <c r="B97" s="2">
        <f>DATE(Sintesi!$C$4-1,12,31)+A97</f>
        <v>44292</v>
      </c>
      <c r="C97" s="1">
        <f>'Paste cell here'!B97</f>
        <v>0</v>
      </c>
      <c r="D97" s="1">
        <f>'Paste cell here'!I97</f>
        <v>0</v>
      </c>
      <c r="E97" s="1">
        <f>'Paste cell here'!J97</f>
        <v>0</v>
      </c>
      <c r="F97" s="1">
        <f>'Paste cell here'!K97</f>
        <v>0</v>
      </c>
      <c r="G97" s="1">
        <f>'Paste cell here'!L97</f>
        <v>0</v>
      </c>
      <c r="H97" s="1">
        <f>'Paste cell here'!M97</f>
        <v>0</v>
      </c>
      <c r="I97" s="1">
        <f>'Paste cell here'!N97</f>
        <v>0</v>
      </c>
      <c r="J97" s="1">
        <f>'Paste cell here'!O97</f>
        <v>0</v>
      </c>
      <c r="K97" s="1">
        <f>'Paste cell here'!Q97</f>
        <v>4.096535334432077</v>
      </c>
      <c r="L97" s="1">
        <f>'Paste cell here'!S97</f>
        <v>0</v>
      </c>
      <c r="M97" s="1">
        <f>'Paste cell here'!T97</f>
        <v>6.5740972991432112E-3</v>
      </c>
      <c r="N97" s="1">
        <f>'Paste cell here'!W97</f>
        <v>0</v>
      </c>
      <c r="O97" s="1">
        <f>'Paste cell here'!U97</f>
        <v>14.286799468087951</v>
      </c>
      <c r="P97" s="1">
        <f t="shared" si="8"/>
        <v>18.389908899819169</v>
      </c>
      <c r="Q97" s="1">
        <f>'Paste cell here'!V97</f>
        <v>0</v>
      </c>
      <c r="R97" s="1">
        <f t="shared" si="9"/>
        <v>1.7763568394002505E-15</v>
      </c>
      <c r="S97" s="7">
        <f>Sintesi!$C$30</f>
        <v>0.107</v>
      </c>
      <c r="T97" s="7">
        <f>Sintesi!$C$29</f>
        <v>0.23300000000000001</v>
      </c>
      <c r="U97" s="5">
        <f>O97/(Sintesi!$C$5*1000)</f>
        <v>0.14286799468087952</v>
      </c>
      <c r="V97" s="1">
        <f t="shared" si="5"/>
        <v>0.126</v>
      </c>
      <c r="W97" s="1">
        <v>0.61715403290563697</v>
      </c>
      <c r="X97" s="1">
        <f t="shared" si="6"/>
        <v>7.7761408146110253E-2</v>
      </c>
      <c r="Y97" s="1">
        <f t="shared" si="7"/>
        <v>0.15523859185388977</v>
      </c>
      <c r="Z97" s="1">
        <f>'Paste cellinfo here'!$B$11</f>
        <v>0.52400000000000002</v>
      </c>
    </row>
    <row r="98" spans="1:26">
      <c r="A98" s="1">
        <v>97</v>
      </c>
      <c r="B98" s="2">
        <f>DATE(Sintesi!$C$4-1,12,31)+A98</f>
        <v>44293</v>
      </c>
      <c r="C98" s="1">
        <f>'Paste cell here'!B98</f>
        <v>0</v>
      </c>
      <c r="D98" s="1">
        <f>'Paste cell here'!I98</f>
        <v>0</v>
      </c>
      <c r="E98" s="1">
        <f>'Paste cell here'!J98</f>
        <v>0</v>
      </c>
      <c r="F98" s="1">
        <f>'Paste cell here'!K98</f>
        <v>0</v>
      </c>
      <c r="G98" s="1">
        <f>'Paste cell here'!L98</f>
        <v>0</v>
      </c>
      <c r="H98" s="1">
        <f>'Paste cell here'!M98</f>
        <v>0</v>
      </c>
      <c r="I98" s="1">
        <f>'Paste cell here'!N98</f>
        <v>0</v>
      </c>
      <c r="J98" s="1">
        <f>'Paste cell here'!O98</f>
        <v>0</v>
      </c>
      <c r="K98" s="1">
        <f>'Paste cell here'!Q98</f>
        <v>2.7119964800180933</v>
      </c>
      <c r="L98" s="1">
        <f>'Paste cell here'!S98</f>
        <v>0</v>
      </c>
      <c r="M98" s="1">
        <f>'Paste cell here'!T98</f>
        <v>1.0488832939328671E-4</v>
      </c>
      <c r="N98" s="1">
        <f>'Paste cell here'!W98</f>
        <v>0</v>
      </c>
      <c r="O98" s="1">
        <f>'Paste cell here'!U98</f>
        <v>11.574698099740475</v>
      </c>
      <c r="P98" s="1">
        <f t="shared" si="8"/>
        <v>14.286799468087951</v>
      </c>
      <c r="Q98" s="1">
        <f>'Paste cell here'!V98</f>
        <v>0</v>
      </c>
      <c r="R98" s="1">
        <f t="shared" si="9"/>
        <v>1.0658141036401503E-14</v>
      </c>
      <c r="S98" s="7">
        <f>Sintesi!$C$30</f>
        <v>0.107</v>
      </c>
      <c r="T98" s="7">
        <f>Sintesi!$C$29</f>
        <v>0.23300000000000001</v>
      </c>
      <c r="U98" s="5">
        <f>O98/(Sintesi!$C$5*1000)</f>
        <v>0.11574698099740476</v>
      </c>
      <c r="V98" s="1">
        <f t="shared" si="5"/>
        <v>0.126</v>
      </c>
      <c r="W98" s="1">
        <v>0.61636722117423604</v>
      </c>
      <c r="X98" s="1">
        <f t="shared" si="6"/>
        <v>7.7662269867953743E-2</v>
      </c>
      <c r="Y98" s="1">
        <f t="shared" si="7"/>
        <v>0.15533773013204627</v>
      </c>
      <c r="Z98" s="1">
        <f>'Paste cellinfo here'!$B$11</f>
        <v>0.52400000000000002</v>
      </c>
    </row>
    <row r="99" spans="1:26">
      <c r="A99" s="1">
        <v>98</v>
      </c>
      <c r="B99" s="2">
        <f>DATE(Sintesi!$C$4-1,12,31)+A99</f>
        <v>44294</v>
      </c>
      <c r="C99" s="1">
        <f>'Paste cell here'!B99</f>
        <v>0</v>
      </c>
      <c r="D99" s="1">
        <f>'Paste cell here'!I99</f>
        <v>0</v>
      </c>
      <c r="E99" s="1">
        <f>'Paste cell here'!J99</f>
        <v>0</v>
      </c>
      <c r="F99" s="1">
        <f>'Paste cell here'!K99</f>
        <v>0</v>
      </c>
      <c r="G99" s="1">
        <f>'Paste cell here'!L99</f>
        <v>0</v>
      </c>
      <c r="H99" s="1">
        <f>'Paste cell here'!M99</f>
        <v>0</v>
      </c>
      <c r="I99" s="1">
        <f>'Paste cell here'!N99</f>
        <v>0</v>
      </c>
      <c r="J99" s="1">
        <f>'Paste cell here'!O99</f>
        <v>0</v>
      </c>
      <c r="K99" s="1">
        <f>'Paste cell here'!Q99</f>
        <v>1.8891023782568286</v>
      </c>
      <c r="L99" s="1">
        <f>'Paste cell here'!S99</f>
        <v>0</v>
      </c>
      <c r="M99" s="1">
        <f>'Paste cell here'!T99</f>
        <v>1.6174618852960025E-6</v>
      </c>
      <c r="N99" s="1">
        <f>'Paste cell here'!W99</f>
        <v>0</v>
      </c>
      <c r="O99" s="1">
        <f>'Paste cell here'!U99</f>
        <v>9.6855941040217637</v>
      </c>
      <c r="P99" s="1">
        <f t="shared" si="8"/>
        <v>11.574698099740475</v>
      </c>
      <c r="Q99" s="1">
        <f>'Paste cell here'!V99</f>
        <v>0</v>
      </c>
      <c r="R99" s="1">
        <f t="shared" si="9"/>
        <v>1.7763568394002505E-15</v>
      </c>
      <c r="S99" s="7">
        <f>Sintesi!$C$30</f>
        <v>0.107</v>
      </c>
      <c r="T99" s="7">
        <f>Sintesi!$C$29</f>
        <v>0.23300000000000001</v>
      </c>
      <c r="U99" s="5">
        <f>O99/(Sintesi!$C$5*1000)</f>
        <v>9.6855941040217636E-2</v>
      </c>
      <c r="V99" s="1">
        <f t="shared" si="5"/>
        <v>0.126</v>
      </c>
      <c r="W99" s="1">
        <v>0.60151280691434705</v>
      </c>
      <c r="X99" s="1">
        <f t="shared" si="6"/>
        <v>7.5790613671207735E-2</v>
      </c>
      <c r="Y99" s="1">
        <f t="shared" si="7"/>
        <v>0.15720938632879228</v>
      </c>
      <c r="Z99" s="1">
        <f>'Paste cellinfo here'!$B$11</f>
        <v>0.52400000000000002</v>
      </c>
    </row>
    <row r="100" spans="1:26">
      <c r="A100" s="1">
        <v>99</v>
      </c>
      <c r="B100" s="2">
        <f>DATE(Sintesi!$C$4-1,12,31)+A100</f>
        <v>44295</v>
      </c>
      <c r="C100" s="1">
        <f>'Paste cell here'!B100</f>
        <v>0</v>
      </c>
      <c r="D100" s="1">
        <f>'Paste cell here'!I100</f>
        <v>0</v>
      </c>
      <c r="E100" s="1">
        <f>'Paste cell here'!J100</f>
        <v>0</v>
      </c>
      <c r="F100" s="1">
        <f>'Paste cell here'!K100</f>
        <v>0</v>
      </c>
      <c r="G100" s="1">
        <f>'Paste cell here'!L100</f>
        <v>0</v>
      </c>
      <c r="H100" s="1">
        <f>'Paste cell here'!M100</f>
        <v>0</v>
      </c>
      <c r="I100" s="1">
        <f>'Paste cell here'!N100</f>
        <v>0</v>
      </c>
      <c r="J100" s="1">
        <f>'Paste cell here'!O100</f>
        <v>0</v>
      </c>
      <c r="K100" s="1">
        <f>'Paste cell here'!Q100</f>
        <v>0.9017309195883727</v>
      </c>
      <c r="L100" s="1">
        <f>'Paste cell here'!S100</f>
        <v>0</v>
      </c>
      <c r="M100" s="1">
        <f>'Paste cell here'!T100</f>
        <v>1.9491242920625866E-8</v>
      </c>
      <c r="N100" s="1">
        <f>'Paste cell here'!W100</f>
        <v>0</v>
      </c>
      <c r="O100" s="1">
        <f>'Paste cell here'!U100</f>
        <v>8.783863164942149</v>
      </c>
      <c r="P100" s="1">
        <f t="shared" si="8"/>
        <v>9.6855941040217637</v>
      </c>
      <c r="Q100" s="1">
        <f>'Paste cell here'!V100</f>
        <v>0</v>
      </c>
      <c r="R100" s="1">
        <f t="shared" si="9"/>
        <v>0</v>
      </c>
      <c r="S100" s="7">
        <f>Sintesi!$C$30</f>
        <v>0.107</v>
      </c>
      <c r="T100" s="7">
        <f>Sintesi!$C$29</f>
        <v>0.23300000000000001</v>
      </c>
      <c r="U100" s="5">
        <f>O100/(Sintesi!$C$5*1000)</f>
        <v>8.7838631649421489E-2</v>
      </c>
      <c r="V100" s="1">
        <f t="shared" si="5"/>
        <v>0.126</v>
      </c>
      <c r="W100" s="1">
        <v>0.58521003631149804</v>
      </c>
      <c r="X100" s="1">
        <f t="shared" si="6"/>
        <v>7.3736464575248753E-2</v>
      </c>
      <c r="Y100" s="1">
        <f t="shared" si="7"/>
        <v>0.15926353542475125</v>
      </c>
      <c r="Z100" s="1">
        <f>'Paste cellinfo here'!$B$11</f>
        <v>0.52400000000000002</v>
      </c>
    </row>
    <row r="101" spans="1:26">
      <c r="A101" s="1">
        <v>100</v>
      </c>
      <c r="B101" s="2">
        <f>DATE(Sintesi!$C$4-1,12,31)+A101</f>
        <v>44296</v>
      </c>
      <c r="C101" s="1">
        <f>'Paste cell here'!B101</f>
        <v>2.5999999999999841</v>
      </c>
      <c r="D101" s="1">
        <f>'Paste cell here'!I101</f>
        <v>0</v>
      </c>
      <c r="E101" s="1">
        <f>'Paste cell here'!J101</f>
        <v>2.5999999999999841</v>
      </c>
      <c r="F101" s="1">
        <f>'Paste cell here'!K101</f>
        <v>2.5999999999999841</v>
      </c>
      <c r="G101" s="1">
        <f>'Paste cell here'!L101</f>
        <v>2.5999999999999841</v>
      </c>
      <c r="H101" s="1">
        <f>'Paste cell here'!M101</f>
        <v>0</v>
      </c>
      <c r="I101" s="1">
        <f>'Paste cell here'!N101</f>
        <v>0</v>
      </c>
      <c r="J101" s="1">
        <f>'Paste cell here'!O101</f>
        <v>2.6000000774860221</v>
      </c>
      <c r="K101" s="1">
        <f>'Paste cell here'!Q101</f>
        <v>0.77465021645312804</v>
      </c>
      <c r="L101" s="1">
        <f>'Paste cell here'!S101</f>
        <v>0</v>
      </c>
      <c r="M101" s="1">
        <f>'Paste cell here'!T101</f>
        <v>6.9494323154658734E-8</v>
      </c>
      <c r="N101" s="1">
        <f>'Paste cell here'!W101</f>
        <v>0</v>
      </c>
      <c r="O101" s="1">
        <f>'Paste cell here'!U101</f>
        <v>10.60921295648072</v>
      </c>
      <c r="P101" s="1">
        <f t="shared" si="8"/>
        <v>8.783863164942149</v>
      </c>
      <c r="Q101" s="1">
        <f>'Paste cell here'!V101</f>
        <v>0</v>
      </c>
      <c r="R101" s="1">
        <f t="shared" si="9"/>
        <v>7.7486038918550548E-8</v>
      </c>
      <c r="S101" s="7">
        <f>Sintesi!$C$30</f>
        <v>0.107</v>
      </c>
      <c r="T101" s="7">
        <f>Sintesi!$C$29</f>
        <v>0.23300000000000001</v>
      </c>
      <c r="U101" s="5">
        <f>O101/(Sintesi!$C$5*1000)</f>
        <v>0.10609212956480719</v>
      </c>
      <c r="V101" s="1">
        <f t="shared" si="5"/>
        <v>0.126</v>
      </c>
      <c r="W101" s="1">
        <v>0.58414776291818205</v>
      </c>
      <c r="X101" s="1">
        <f t="shared" si="6"/>
        <v>7.3602618127690936E-2</v>
      </c>
      <c r="Y101" s="1">
        <f t="shared" si="7"/>
        <v>0.15939738187230906</v>
      </c>
      <c r="Z101" s="1">
        <f>'Paste cellinfo here'!$B$11</f>
        <v>0.52400000000000002</v>
      </c>
    </row>
    <row r="102" spans="1:26">
      <c r="A102" s="1">
        <v>101</v>
      </c>
      <c r="B102" s="2">
        <f>DATE(Sintesi!$C$4-1,12,31)+A102</f>
        <v>44297</v>
      </c>
      <c r="C102" s="1">
        <f>'Paste cell here'!B102</f>
        <v>22.559999999999793</v>
      </c>
      <c r="D102" s="1">
        <f>'Paste cell here'!I102</f>
        <v>0</v>
      </c>
      <c r="E102" s="1">
        <f>'Paste cell here'!J102</f>
        <v>22.559999999999793</v>
      </c>
      <c r="F102" s="1">
        <f>'Paste cell here'!K102</f>
        <v>22.559999999999793</v>
      </c>
      <c r="G102" s="1">
        <f>'Paste cell here'!L102</f>
        <v>20.635836607240535</v>
      </c>
      <c r="H102" s="1">
        <f>'Paste cell here'!M102</f>
        <v>0</v>
      </c>
      <c r="I102" s="1">
        <f>'Paste cell here'!N102</f>
        <v>1.9241633927592574</v>
      </c>
      <c r="J102" s="1">
        <f>'Paste cell here'!O102</f>
        <v>20.635837222236397</v>
      </c>
      <c r="K102" s="1">
        <f>'Paste cell here'!Q102</f>
        <v>1.2615570634211735</v>
      </c>
      <c r="L102" s="1">
        <f>'Paste cell here'!S102</f>
        <v>0</v>
      </c>
      <c r="M102" s="1">
        <f>'Paste cell here'!T102</f>
        <v>0.32600479895849266</v>
      </c>
      <c r="N102" s="1">
        <f>'Paste cell here'!W102</f>
        <v>0</v>
      </c>
      <c r="O102" s="1">
        <f>'Paste cell here'!U102</f>
        <v>29.65748831633746</v>
      </c>
      <c r="P102" s="1">
        <f t="shared" si="8"/>
        <v>10.60921295648072</v>
      </c>
      <c r="Q102" s="1">
        <f>'Paste cell here'!V102</f>
        <v>0</v>
      </c>
      <c r="R102" s="1">
        <f t="shared" si="9"/>
        <v>6.1499586934132822E-7</v>
      </c>
      <c r="S102" s="7">
        <f>Sintesi!$C$30</f>
        <v>0.107</v>
      </c>
      <c r="T102" s="7">
        <f>Sintesi!$C$29</f>
        <v>0.23300000000000001</v>
      </c>
      <c r="U102" s="5">
        <f>O102/(Sintesi!$C$5*1000)</f>
        <v>0.2965748831633746</v>
      </c>
      <c r="V102" s="1">
        <f t="shared" si="5"/>
        <v>0.126</v>
      </c>
      <c r="W102" s="1">
        <v>0.58807678383884399</v>
      </c>
      <c r="X102" s="1">
        <f t="shared" si="6"/>
        <v>7.4097674763694346E-2</v>
      </c>
      <c r="Y102" s="1">
        <f t="shared" si="7"/>
        <v>0.15890232523630565</v>
      </c>
      <c r="Z102" s="1">
        <f>'Paste cellinfo here'!$B$11</f>
        <v>0.52400000000000002</v>
      </c>
    </row>
    <row r="103" spans="1:26">
      <c r="A103" s="1">
        <v>102</v>
      </c>
      <c r="B103" s="2">
        <f>DATE(Sintesi!$C$4-1,12,31)+A103</f>
        <v>44298</v>
      </c>
      <c r="C103" s="1">
        <f>'Paste cell here'!B103</f>
        <v>14.439999999999891</v>
      </c>
      <c r="D103" s="1">
        <f>'Paste cell here'!I103</f>
        <v>0</v>
      </c>
      <c r="E103" s="1">
        <f>'Paste cell here'!J103</f>
        <v>14.439999999999891</v>
      </c>
      <c r="F103" s="1">
        <f>'Paste cell here'!K103</f>
        <v>14.439999999999891</v>
      </c>
      <c r="G103" s="1">
        <f>'Paste cell here'!L103</f>
        <v>9.4279152972124383</v>
      </c>
      <c r="H103" s="1">
        <f>'Paste cell here'!M103</f>
        <v>0</v>
      </c>
      <c r="I103" s="1">
        <f>'Paste cell here'!N103</f>
        <v>5.0120847027874529</v>
      </c>
      <c r="J103" s="1">
        <f>'Paste cell here'!O103</f>
        <v>9.4279155781862123</v>
      </c>
      <c r="K103" s="1">
        <f>'Paste cell here'!Q103</f>
        <v>1.2076632907619791</v>
      </c>
      <c r="L103" s="1">
        <f>'Paste cell here'!S103</f>
        <v>0</v>
      </c>
      <c r="M103" s="1">
        <f>'Paste cell here'!T103</f>
        <v>5.1469494562745606</v>
      </c>
      <c r="N103" s="1">
        <f>'Paste cell here'!W103</f>
        <v>0</v>
      </c>
      <c r="O103" s="1">
        <f>'Paste cell here'!U103</f>
        <v>32.73079114748711</v>
      </c>
      <c r="P103" s="1">
        <f t="shared" si="8"/>
        <v>29.65748831633746</v>
      </c>
      <c r="Q103" s="1">
        <f>'Paste cell here'!V103</f>
        <v>0</v>
      </c>
      <c r="R103" s="1">
        <f t="shared" si="9"/>
        <v>2.8097375803781688E-7</v>
      </c>
      <c r="S103" s="7">
        <f>Sintesi!$C$30</f>
        <v>0.107</v>
      </c>
      <c r="T103" s="7">
        <f>Sintesi!$C$29</f>
        <v>0.23300000000000001</v>
      </c>
      <c r="U103" s="5">
        <f>O103/(Sintesi!$C$5*1000)</f>
        <v>0.32730791147487109</v>
      </c>
      <c r="V103" s="1">
        <f t="shared" si="5"/>
        <v>0.126</v>
      </c>
      <c r="W103" s="1">
        <v>0.65178967019572198</v>
      </c>
      <c r="X103" s="1">
        <f t="shared" si="6"/>
        <v>8.2125498444660966E-2</v>
      </c>
      <c r="Y103" s="1">
        <f t="shared" si="7"/>
        <v>0.15087450155533905</v>
      </c>
      <c r="Z103" s="1">
        <f>'Paste cellinfo here'!$B$11</f>
        <v>0.52400000000000002</v>
      </c>
    </row>
    <row r="104" spans="1:26">
      <c r="A104" s="1">
        <v>103</v>
      </c>
      <c r="B104" s="2">
        <f>DATE(Sintesi!$C$4-1,12,31)+A104</f>
        <v>44299</v>
      </c>
      <c r="C104" s="1">
        <f>'Paste cell here'!B104</f>
        <v>0</v>
      </c>
      <c r="D104" s="1">
        <f>'Paste cell here'!I104</f>
        <v>0</v>
      </c>
      <c r="E104" s="1">
        <f>'Paste cell here'!J104</f>
        <v>0</v>
      </c>
      <c r="F104" s="1">
        <f>'Paste cell here'!K104</f>
        <v>0</v>
      </c>
      <c r="G104" s="1">
        <f>'Paste cell here'!L104</f>
        <v>0</v>
      </c>
      <c r="H104" s="1">
        <f>'Paste cell here'!M104</f>
        <v>0</v>
      </c>
      <c r="I104" s="1">
        <f>'Paste cell here'!N104</f>
        <v>0</v>
      </c>
      <c r="J104" s="1">
        <f>'Paste cell here'!O104</f>
        <v>0</v>
      </c>
      <c r="K104" s="1">
        <f>'Paste cell here'!Q104</f>
        <v>3.0683115684616284</v>
      </c>
      <c r="L104" s="1">
        <f>'Paste cell here'!S104</f>
        <v>0</v>
      </c>
      <c r="M104" s="1">
        <f>'Paste cell here'!T104</f>
        <v>2.5775263975243425</v>
      </c>
      <c r="N104" s="1">
        <f>'Paste cell here'!W104</f>
        <v>0</v>
      </c>
      <c r="O104" s="1">
        <f>'Paste cell here'!U104</f>
        <v>27.084953181501145</v>
      </c>
      <c r="P104" s="1">
        <f t="shared" si="8"/>
        <v>32.73079114748711</v>
      </c>
      <c r="Q104" s="1">
        <f>'Paste cell here'!V104</f>
        <v>0</v>
      </c>
      <c r="R104" s="1">
        <f t="shared" si="9"/>
        <v>3.5527136788005009E-15</v>
      </c>
      <c r="S104" s="7">
        <f>Sintesi!$C$30</f>
        <v>0.107</v>
      </c>
      <c r="T104" s="7">
        <f>Sintesi!$C$29</f>
        <v>0.23300000000000001</v>
      </c>
      <c r="U104" s="5">
        <f>O104/(Sintesi!$C$5*1000)</f>
        <v>0.27084953181501148</v>
      </c>
      <c r="V104" s="1">
        <f t="shared" si="5"/>
        <v>0.126</v>
      </c>
      <c r="W104" s="1">
        <v>0.61306309201090303</v>
      </c>
      <c r="X104" s="1">
        <f t="shared" si="6"/>
        <v>7.7245949593373789E-2</v>
      </c>
      <c r="Y104" s="1">
        <f t="shared" si="7"/>
        <v>0.15575405040662621</v>
      </c>
      <c r="Z104" s="1">
        <f>'Paste cellinfo here'!$B$11</f>
        <v>0.52400000000000002</v>
      </c>
    </row>
    <row r="105" spans="1:26">
      <c r="A105" s="1">
        <v>104</v>
      </c>
      <c r="B105" s="2">
        <f>DATE(Sintesi!$C$4-1,12,31)+A105</f>
        <v>44300</v>
      </c>
      <c r="C105" s="1">
        <f>'Paste cell here'!B105</f>
        <v>0</v>
      </c>
      <c r="D105" s="1">
        <f>'Paste cell here'!I105</f>
        <v>0</v>
      </c>
      <c r="E105" s="1">
        <f>'Paste cell here'!J105</f>
        <v>0</v>
      </c>
      <c r="F105" s="1">
        <f>'Paste cell here'!K105</f>
        <v>0</v>
      </c>
      <c r="G105" s="1">
        <f>'Paste cell here'!L105</f>
        <v>0</v>
      </c>
      <c r="H105" s="1">
        <f>'Paste cell here'!M105</f>
        <v>0</v>
      </c>
      <c r="I105" s="1">
        <f>'Paste cell here'!N105</f>
        <v>0</v>
      </c>
      <c r="J105" s="1">
        <f>'Paste cell here'!O105</f>
        <v>0</v>
      </c>
      <c r="K105" s="1">
        <f>'Paste cell here'!Q105</f>
        <v>3.2633431254523466</v>
      </c>
      <c r="L105" s="1">
        <f>'Paste cell here'!S105</f>
        <v>0</v>
      </c>
      <c r="M105" s="1">
        <f>'Paste cell here'!T105</f>
        <v>0.36496856524757487</v>
      </c>
      <c r="N105" s="1">
        <f>'Paste cell here'!W105</f>
        <v>0</v>
      </c>
      <c r="O105" s="1">
        <f>'Paste cell here'!U105</f>
        <v>23.456641490801214</v>
      </c>
      <c r="P105" s="1">
        <f t="shared" si="8"/>
        <v>27.084953181501145</v>
      </c>
      <c r="Q105" s="1">
        <f>'Paste cell here'!V105</f>
        <v>0</v>
      </c>
      <c r="R105" s="1">
        <f t="shared" si="9"/>
        <v>7.1054273576010019E-15</v>
      </c>
      <c r="S105" s="7">
        <f>Sintesi!$C$30</f>
        <v>0.107</v>
      </c>
      <c r="T105" s="7">
        <f>Sintesi!$C$29</f>
        <v>0.23300000000000001</v>
      </c>
      <c r="U105" s="5">
        <f>O105/(Sintesi!$C$5*1000)</f>
        <v>0.23456641490801214</v>
      </c>
      <c r="V105" s="1">
        <f t="shared" si="5"/>
        <v>0.126</v>
      </c>
      <c r="W105" s="1">
        <v>0.60868254880482098</v>
      </c>
      <c r="X105" s="1">
        <f t="shared" si="6"/>
        <v>7.6694001149407443E-2</v>
      </c>
      <c r="Y105" s="1">
        <f t="shared" si="7"/>
        <v>0.15630599885059257</v>
      </c>
      <c r="Z105" s="1">
        <f>'Paste cellinfo here'!$B$11</f>
        <v>0.52400000000000002</v>
      </c>
    </row>
    <row r="106" spans="1:26">
      <c r="A106" s="1">
        <v>105</v>
      </c>
      <c r="B106" s="2">
        <f>DATE(Sintesi!$C$4-1,12,31)+A106</f>
        <v>44301</v>
      </c>
      <c r="C106" s="1">
        <f>'Paste cell here'!B106</f>
        <v>0</v>
      </c>
      <c r="D106" s="1">
        <f>'Paste cell here'!I106</f>
        <v>0</v>
      </c>
      <c r="E106" s="1">
        <f>'Paste cell here'!J106</f>
        <v>0</v>
      </c>
      <c r="F106" s="1">
        <f>'Paste cell here'!K106</f>
        <v>0</v>
      </c>
      <c r="G106" s="1">
        <f>'Paste cell here'!L106</f>
        <v>0</v>
      </c>
      <c r="H106" s="1">
        <f>'Paste cell here'!M106</f>
        <v>0</v>
      </c>
      <c r="I106" s="1">
        <f>'Paste cell here'!N106</f>
        <v>0</v>
      </c>
      <c r="J106" s="1">
        <f>'Paste cell here'!O106</f>
        <v>0</v>
      </c>
      <c r="K106" s="1">
        <f>'Paste cell here'!Q106</f>
        <v>2.603730496744161</v>
      </c>
      <c r="L106" s="1">
        <f>'Paste cell here'!S106</f>
        <v>0</v>
      </c>
      <c r="M106" s="1">
        <f>'Paste cell here'!T106</f>
        <v>6.3939268679466699E-2</v>
      </c>
      <c r="N106" s="1">
        <f>'Paste cell here'!W106</f>
        <v>0</v>
      </c>
      <c r="O106" s="1">
        <f>'Paste cell here'!U106</f>
        <v>20.788971725377586</v>
      </c>
      <c r="P106" s="1">
        <f t="shared" si="8"/>
        <v>23.456641490801214</v>
      </c>
      <c r="Q106" s="1">
        <f>'Paste cell here'!V106</f>
        <v>0</v>
      </c>
      <c r="R106" s="1">
        <f t="shared" si="9"/>
        <v>3.5527136788005009E-15</v>
      </c>
      <c r="S106" s="7">
        <f>Sintesi!$C$30</f>
        <v>0.107</v>
      </c>
      <c r="T106" s="7">
        <f>Sintesi!$C$29</f>
        <v>0.23300000000000001</v>
      </c>
      <c r="U106" s="5">
        <f>O106/(Sintesi!$C$5*1000)</f>
        <v>0.20788971725377586</v>
      </c>
      <c r="V106" s="1">
        <f t="shared" si="5"/>
        <v>0.126</v>
      </c>
      <c r="W106" s="1">
        <v>0.608788125110582</v>
      </c>
      <c r="X106" s="1">
        <f t="shared" si="6"/>
        <v>7.6707303763933338E-2</v>
      </c>
      <c r="Y106" s="1">
        <f t="shared" si="7"/>
        <v>0.15629269623606667</v>
      </c>
      <c r="Z106" s="1">
        <f>'Paste cellinfo here'!$B$11</f>
        <v>0.52400000000000002</v>
      </c>
    </row>
    <row r="107" spans="1:26">
      <c r="A107" s="1">
        <v>106</v>
      </c>
      <c r="B107" s="2">
        <f>DATE(Sintesi!$C$4-1,12,31)+A107</f>
        <v>44302</v>
      </c>
      <c r="C107" s="1">
        <f>'Paste cell here'!B107</f>
        <v>0</v>
      </c>
      <c r="D107" s="1">
        <f>'Paste cell here'!I107</f>
        <v>0</v>
      </c>
      <c r="E107" s="1">
        <f>'Paste cell here'!J107</f>
        <v>0</v>
      </c>
      <c r="F107" s="1">
        <f>'Paste cell here'!K107</f>
        <v>0</v>
      </c>
      <c r="G107" s="1">
        <f>'Paste cell here'!L107</f>
        <v>0</v>
      </c>
      <c r="H107" s="1">
        <f>'Paste cell here'!M107</f>
        <v>0</v>
      </c>
      <c r="I107" s="1">
        <f>'Paste cell here'!N107</f>
        <v>0</v>
      </c>
      <c r="J107" s="1">
        <f>'Paste cell here'!O107</f>
        <v>0</v>
      </c>
      <c r="K107" s="1">
        <f>'Paste cell here'!Q107</f>
        <v>3.1260553562493492</v>
      </c>
      <c r="L107" s="1">
        <f>'Paste cell here'!S107</f>
        <v>0</v>
      </c>
      <c r="M107" s="1">
        <f>'Paste cell here'!T107</f>
        <v>1.1366297312885786E-2</v>
      </c>
      <c r="N107" s="1">
        <f>'Paste cell here'!W107</f>
        <v>0</v>
      </c>
      <c r="O107" s="1">
        <f>'Paste cell here'!U107</f>
        <v>17.65155007181534</v>
      </c>
      <c r="P107" s="1">
        <f t="shared" si="8"/>
        <v>20.788971725377586</v>
      </c>
      <c r="Q107" s="1">
        <f>'Paste cell here'!V107</f>
        <v>0</v>
      </c>
      <c r="R107" s="1">
        <f t="shared" si="9"/>
        <v>1.0658141036401503E-14</v>
      </c>
      <c r="S107" s="7">
        <f>Sintesi!$C$30</f>
        <v>0.107</v>
      </c>
      <c r="T107" s="7">
        <f>Sintesi!$C$29</f>
        <v>0.23300000000000001</v>
      </c>
      <c r="U107" s="5">
        <f>O107/(Sintesi!$C$5*1000)</f>
        <v>0.17651550071815339</v>
      </c>
      <c r="V107" s="1">
        <f t="shared" si="5"/>
        <v>0.126</v>
      </c>
      <c r="W107" s="1">
        <v>0.57172677498339697</v>
      </c>
      <c r="X107" s="1">
        <f t="shared" si="6"/>
        <v>7.2037573647908013E-2</v>
      </c>
      <c r="Y107" s="1">
        <f t="shared" si="7"/>
        <v>0.16096242635209201</v>
      </c>
      <c r="Z107" s="1">
        <f>'Paste cellinfo here'!$B$11</f>
        <v>0.52400000000000002</v>
      </c>
    </row>
    <row r="108" spans="1:26">
      <c r="A108" s="1">
        <v>107</v>
      </c>
      <c r="B108" s="2">
        <f>DATE(Sintesi!$C$4-1,12,31)+A108</f>
        <v>44303</v>
      </c>
      <c r="C108" s="1">
        <f>'Paste cell here'!B108</f>
        <v>0</v>
      </c>
      <c r="D108" s="1">
        <f>'Paste cell here'!I108</f>
        <v>0</v>
      </c>
      <c r="E108" s="1">
        <f>'Paste cell here'!J108</f>
        <v>0</v>
      </c>
      <c r="F108" s="1">
        <f>'Paste cell here'!K108</f>
        <v>0</v>
      </c>
      <c r="G108" s="1">
        <f>'Paste cell here'!L108</f>
        <v>0</v>
      </c>
      <c r="H108" s="1">
        <f>'Paste cell here'!M108</f>
        <v>0</v>
      </c>
      <c r="I108" s="1">
        <f>'Paste cell here'!N108</f>
        <v>0</v>
      </c>
      <c r="J108" s="1">
        <f>'Paste cell here'!O108</f>
        <v>0</v>
      </c>
      <c r="K108" s="1">
        <f>'Paste cell here'!Q108</f>
        <v>3.0061691010882745</v>
      </c>
      <c r="L108" s="1">
        <f>'Paste cell here'!S108</f>
        <v>0</v>
      </c>
      <c r="M108" s="1">
        <f>'Paste cell here'!T108</f>
        <v>1.0394343770732675E-3</v>
      </c>
      <c r="N108" s="1">
        <f>'Paste cell here'!W108</f>
        <v>0</v>
      </c>
      <c r="O108" s="1">
        <f>'Paste cell here'!U108</f>
        <v>14.644341536349978</v>
      </c>
      <c r="P108" s="1">
        <f t="shared" si="8"/>
        <v>17.65155007181534</v>
      </c>
      <c r="Q108" s="1">
        <f>'Paste cell here'!V108</f>
        <v>0</v>
      </c>
      <c r="R108" s="1">
        <f t="shared" si="9"/>
        <v>1.2434497875801753E-14</v>
      </c>
      <c r="S108" s="7">
        <f>Sintesi!$C$30</f>
        <v>0.107</v>
      </c>
      <c r="T108" s="7">
        <f>Sintesi!$C$29</f>
        <v>0.23300000000000001</v>
      </c>
      <c r="U108" s="5">
        <f>O108/(Sintesi!$C$5*1000)</f>
        <v>0.14644341536349978</v>
      </c>
      <c r="V108" s="1">
        <f t="shared" si="5"/>
        <v>0.126</v>
      </c>
      <c r="W108" s="1">
        <v>0.57338877886459905</v>
      </c>
      <c r="X108" s="1">
        <f t="shared" si="6"/>
        <v>7.2246986136939487E-2</v>
      </c>
      <c r="Y108" s="1">
        <f t="shared" si="7"/>
        <v>0.16075301386306051</v>
      </c>
      <c r="Z108" s="1">
        <f>'Paste cellinfo here'!$B$11</f>
        <v>0.52400000000000002</v>
      </c>
    </row>
    <row r="109" spans="1:26">
      <c r="A109" s="1">
        <v>108</v>
      </c>
      <c r="B109" s="2">
        <f>DATE(Sintesi!$C$4-1,12,31)+A109</f>
        <v>44304</v>
      </c>
      <c r="C109" s="1">
        <f>'Paste cell here'!B109</f>
        <v>0</v>
      </c>
      <c r="D109" s="1">
        <f>'Paste cell here'!I109</f>
        <v>0</v>
      </c>
      <c r="E109" s="1">
        <f>'Paste cell here'!J109</f>
        <v>0</v>
      </c>
      <c r="F109" s="1">
        <f>'Paste cell here'!K109</f>
        <v>0</v>
      </c>
      <c r="G109" s="1">
        <f>'Paste cell here'!L109</f>
        <v>0</v>
      </c>
      <c r="H109" s="1">
        <f>'Paste cell here'!M109</f>
        <v>0</v>
      </c>
      <c r="I109" s="1">
        <f>'Paste cell here'!N109</f>
        <v>0</v>
      </c>
      <c r="J109" s="1">
        <f>'Paste cell here'!O109</f>
        <v>0</v>
      </c>
      <c r="K109" s="1">
        <f>'Paste cell here'!Q109</f>
        <v>2.1621373609316623</v>
      </c>
      <c r="L109" s="1">
        <f>'Paste cell here'!S109</f>
        <v>0</v>
      </c>
      <c r="M109" s="1">
        <f>'Paste cell here'!T109</f>
        <v>5.5542233019469278E-5</v>
      </c>
      <c r="N109" s="1">
        <f>'Paste cell here'!W109</f>
        <v>0</v>
      </c>
      <c r="O109" s="1">
        <f>'Paste cell here'!U109</f>
        <v>12.482148633185302</v>
      </c>
      <c r="P109" s="1">
        <f t="shared" si="8"/>
        <v>14.644341536349978</v>
      </c>
      <c r="Q109" s="1">
        <f>'Paste cell here'!V109</f>
        <v>0</v>
      </c>
      <c r="R109" s="1">
        <f t="shared" si="9"/>
        <v>5.3290705182007514E-15</v>
      </c>
      <c r="S109" s="7">
        <f>Sintesi!$C$30</f>
        <v>0.107</v>
      </c>
      <c r="T109" s="7">
        <f>Sintesi!$C$29</f>
        <v>0.23300000000000001</v>
      </c>
      <c r="U109" s="5">
        <f>O109/(Sintesi!$C$5*1000)</f>
        <v>0.12482148633185303</v>
      </c>
      <c r="V109" s="1">
        <f t="shared" si="5"/>
        <v>0.126</v>
      </c>
      <c r="W109" s="1">
        <v>0.55772217531415602</v>
      </c>
      <c r="X109" s="1">
        <f t="shared" si="6"/>
        <v>7.0272994089583665E-2</v>
      </c>
      <c r="Y109" s="1">
        <f t="shared" si="7"/>
        <v>0.16272700591041633</v>
      </c>
      <c r="Z109" s="1">
        <f>'Paste cellinfo here'!$B$11</f>
        <v>0.52400000000000002</v>
      </c>
    </row>
    <row r="110" spans="1:26">
      <c r="A110" s="1">
        <v>109</v>
      </c>
      <c r="B110" s="2">
        <f>DATE(Sintesi!$C$4-1,12,31)+A110</f>
        <v>44305</v>
      </c>
      <c r="C110" s="1">
        <f>'Paste cell here'!B110</f>
        <v>0</v>
      </c>
      <c r="D110" s="1">
        <f>'Paste cell here'!I110</f>
        <v>0</v>
      </c>
      <c r="E110" s="1">
        <f>'Paste cell here'!J110</f>
        <v>0</v>
      </c>
      <c r="F110" s="1">
        <f>'Paste cell here'!K110</f>
        <v>0</v>
      </c>
      <c r="G110" s="1">
        <f>'Paste cell here'!L110</f>
        <v>0</v>
      </c>
      <c r="H110" s="1">
        <f>'Paste cell here'!M110</f>
        <v>0</v>
      </c>
      <c r="I110" s="1">
        <f>'Paste cell here'!N110</f>
        <v>0</v>
      </c>
      <c r="J110" s="1">
        <f>'Paste cell here'!O110</f>
        <v>0</v>
      </c>
      <c r="K110" s="1">
        <f>'Paste cell here'!Q110</f>
        <v>1.8223332594392436</v>
      </c>
      <c r="L110" s="1">
        <f>'Paste cell here'!S110</f>
        <v>0</v>
      </c>
      <c r="M110" s="1">
        <f>'Paste cell here'!T110</f>
        <v>3.0072203243877499E-6</v>
      </c>
      <c r="N110" s="1">
        <f>'Paste cell here'!W110</f>
        <v>0</v>
      </c>
      <c r="O110" s="1">
        <f>'Paste cell here'!U110</f>
        <v>10.659812366525728</v>
      </c>
      <c r="P110" s="1">
        <f t="shared" si="8"/>
        <v>12.482148633185302</v>
      </c>
      <c r="Q110" s="1">
        <f>'Paste cell here'!V110</f>
        <v>0</v>
      </c>
      <c r="R110" s="1">
        <f t="shared" si="9"/>
        <v>5.3290705182007514E-15</v>
      </c>
      <c r="S110" s="7">
        <f>Sintesi!$C$30</f>
        <v>0.107</v>
      </c>
      <c r="T110" s="7">
        <f>Sintesi!$C$29</f>
        <v>0.23300000000000001</v>
      </c>
      <c r="U110" s="5">
        <f>O110/(Sintesi!$C$5*1000)</f>
        <v>0.10659812366525728</v>
      </c>
      <c r="V110" s="1">
        <f t="shared" si="5"/>
        <v>0.126</v>
      </c>
      <c r="W110" s="1">
        <v>0.53031846019422102</v>
      </c>
      <c r="X110" s="1">
        <f t="shared" si="6"/>
        <v>6.6820125984471845E-2</v>
      </c>
      <c r="Y110" s="1">
        <f t="shared" si="7"/>
        <v>0.16617987401552817</v>
      </c>
      <c r="Z110" s="1">
        <f>'Paste cellinfo here'!$B$11</f>
        <v>0.52400000000000002</v>
      </c>
    </row>
    <row r="111" spans="1:26">
      <c r="A111" s="1">
        <v>110</v>
      </c>
      <c r="B111" s="2">
        <f>DATE(Sintesi!$C$4-1,12,31)+A111</f>
        <v>44306</v>
      </c>
      <c r="C111" s="1">
        <f>'Paste cell here'!B111</f>
        <v>0.79999999999999716</v>
      </c>
      <c r="D111" s="1">
        <f>'Paste cell here'!I111</f>
        <v>0</v>
      </c>
      <c r="E111" s="1">
        <f>'Paste cell here'!J111</f>
        <v>0.77895384615384333</v>
      </c>
      <c r="F111" s="1">
        <f>'Paste cell here'!K111</f>
        <v>0.79999999999999716</v>
      </c>
      <c r="G111" s="1">
        <f>'Paste cell here'!L111</f>
        <v>0.77895384615384333</v>
      </c>
      <c r="H111" s="1">
        <f>'Paste cell here'!M111</f>
        <v>2.1046153846153798E-2</v>
      </c>
      <c r="I111" s="1">
        <f>'Paste cell here'!N111</f>
        <v>0</v>
      </c>
      <c r="J111" s="1">
        <f>'Paste cell here'!O111</f>
        <v>0.77895386936847733</v>
      </c>
      <c r="K111" s="1">
        <f>'Paste cell here'!Q111</f>
        <v>1.7121790010636173</v>
      </c>
      <c r="L111" s="1">
        <f>'Paste cell here'!S111</f>
        <v>0</v>
      </c>
      <c r="M111" s="1">
        <f>'Paste cell here'!T111</f>
        <v>1.4134352204454894E-7</v>
      </c>
      <c r="N111" s="1">
        <f>'Paste cell here'!W111</f>
        <v>0</v>
      </c>
      <c r="O111" s="1">
        <f>'Paste cell here'!U111</f>
        <v>9.7265870934870691</v>
      </c>
      <c r="P111" s="1">
        <f t="shared" si="8"/>
        <v>10.659812366525728</v>
      </c>
      <c r="Q111" s="1">
        <f>'Paste cell here'!V111</f>
        <v>0</v>
      </c>
      <c r="R111" s="1">
        <f t="shared" si="9"/>
        <v>2.3214637323576426E-8</v>
      </c>
      <c r="S111" s="7">
        <f>Sintesi!$C$30</f>
        <v>0.107</v>
      </c>
      <c r="T111" s="7">
        <f>Sintesi!$C$29</f>
        <v>0.23300000000000001</v>
      </c>
      <c r="U111" s="5">
        <f>O111/(Sintesi!$C$5*1000)</f>
        <v>9.7265870934870685E-2</v>
      </c>
      <c r="V111" s="1">
        <f t="shared" si="5"/>
        <v>0.126</v>
      </c>
      <c r="W111" s="1">
        <v>0.53224145084044605</v>
      </c>
      <c r="X111" s="1">
        <f t="shared" si="6"/>
        <v>6.7062422805896207E-2</v>
      </c>
      <c r="Y111" s="1">
        <f t="shared" si="7"/>
        <v>0.16593757719410379</v>
      </c>
      <c r="Z111" s="1">
        <f>'Paste cellinfo here'!$B$11</f>
        <v>0.52400000000000002</v>
      </c>
    </row>
    <row r="112" spans="1:26">
      <c r="A112" s="1">
        <v>111</v>
      </c>
      <c r="B112" s="2">
        <f>DATE(Sintesi!$C$4-1,12,31)+A112</f>
        <v>44307</v>
      </c>
      <c r="C112" s="1">
        <f>'Paste cell here'!B112</f>
        <v>0.15999999999999945</v>
      </c>
      <c r="D112" s="1">
        <f>'Paste cell here'!I112</f>
        <v>0</v>
      </c>
      <c r="E112" s="1">
        <f>'Paste cell here'!J112</f>
        <v>0.15363265306122395</v>
      </c>
      <c r="F112" s="1">
        <f>'Paste cell here'!K112</f>
        <v>0.15999999999999945</v>
      </c>
      <c r="G112" s="1">
        <f>'Paste cell here'!L112</f>
        <v>0.15363265306122395</v>
      </c>
      <c r="H112" s="1">
        <f>'Paste cell here'!M112</f>
        <v>6.3673469387754908E-3</v>
      </c>
      <c r="I112" s="1">
        <f>'Paste cell here'!N112</f>
        <v>0</v>
      </c>
      <c r="J112" s="1">
        <f>'Paste cell here'!O112</f>
        <v>0.15363265763983386</v>
      </c>
      <c r="K112" s="1">
        <f>'Paste cell here'!Q112</f>
        <v>1.2677096319043206</v>
      </c>
      <c r="L112" s="1">
        <f>'Paste cell here'!S112</f>
        <v>0</v>
      </c>
      <c r="M112" s="1">
        <f>'Paste cell here'!T112</f>
        <v>9.5754992167929526E-9</v>
      </c>
      <c r="N112" s="1">
        <f>'Paste cell here'!W112</f>
        <v>0</v>
      </c>
      <c r="O112" s="1">
        <f>'Paste cell here'!U112</f>
        <v>8.6125101096470811</v>
      </c>
      <c r="P112" s="1">
        <f t="shared" si="8"/>
        <v>9.7265870934870691</v>
      </c>
      <c r="Q112" s="1">
        <f>'Paste cell here'!V112</f>
        <v>0</v>
      </c>
      <c r="R112" s="1">
        <f t="shared" si="9"/>
        <v>4.5786077151888094E-9</v>
      </c>
      <c r="S112" s="7">
        <f>Sintesi!$C$30</f>
        <v>0.107</v>
      </c>
      <c r="T112" s="7">
        <f>Sintesi!$C$29</f>
        <v>0.23300000000000001</v>
      </c>
      <c r="U112" s="5">
        <f>O112/(Sintesi!$C$5*1000)</f>
        <v>8.6125101096470813E-2</v>
      </c>
      <c r="V112" s="1">
        <f t="shared" si="5"/>
        <v>0.126</v>
      </c>
      <c r="W112" s="1">
        <v>0.51406562333183303</v>
      </c>
      <c r="X112" s="1">
        <f t="shared" si="6"/>
        <v>6.4772268539810968E-2</v>
      </c>
      <c r="Y112" s="1">
        <f t="shared" si="7"/>
        <v>0.16822773146018904</v>
      </c>
      <c r="Z112" s="1">
        <f>'Paste cellinfo here'!$B$11</f>
        <v>0.52400000000000002</v>
      </c>
    </row>
    <row r="113" spans="1:26">
      <c r="A113" s="1">
        <v>112</v>
      </c>
      <c r="B113" s="2">
        <f>DATE(Sintesi!$C$4-1,12,31)+A113</f>
        <v>44308</v>
      </c>
      <c r="C113" s="1">
        <f>'Paste cell here'!B113</f>
        <v>0</v>
      </c>
      <c r="D113" s="1">
        <f>'Paste cell here'!I113</f>
        <v>0</v>
      </c>
      <c r="E113" s="1">
        <f>'Paste cell here'!J113</f>
        <v>0</v>
      </c>
      <c r="F113" s="1">
        <f>'Paste cell here'!K113</f>
        <v>0</v>
      </c>
      <c r="G113" s="1">
        <f>'Paste cell here'!L113</f>
        <v>0</v>
      </c>
      <c r="H113" s="1">
        <f>'Paste cell here'!M113</f>
        <v>0</v>
      </c>
      <c r="I113" s="1">
        <f>'Paste cell here'!N113</f>
        <v>0</v>
      </c>
      <c r="J113" s="1">
        <f>'Paste cell here'!O113</f>
        <v>0</v>
      </c>
      <c r="K113" s="1">
        <f>'Paste cell here'!Q113</f>
        <v>0.90542083805296181</v>
      </c>
      <c r="L113" s="1">
        <f>'Paste cell here'!S113</f>
        <v>0</v>
      </c>
      <c r="M113" s="1">
        <f>'Paste cell here'!T113</f>
        <v>1.532107680610592E-10</v>
      </c>
      <c r="N113" s="1">
        <f>'Paste cell here'!W113</f>
        <v>0</v>
      </c>
      <c r="O113" s="1">
        <f>'Paste cell here'!U113</f>
        <v>7.7070892714409078</v>
      </c>
      <c r="P113" s="1">
        <f t="shared" si="8"/>
        <v>8.6125101096470811</v>
      </c>
      <c r="Q113" s="1">
        <f>'Paste cell here'!V113</f>
        <v>0</v>
      </c>
      <c r="R113" s="1">
        <f t="shared" si="9"/>
        <v>8.8817841970012523E-16</v>
      </c>
      <c r="S113" s="7">
        <f>Sintesi!$C$30</f>
        <v>0.107</v>
      </c>
      <c r="T113" s="7">
        <f>Sintesi!$C$29</f>
        <v>0.23300000000000001</v>
      </c>
      <c r="U113" s="5">
        <f>O113/(Sintesi!$C$5*1000)</f>
        <v>7.7070892714409076E-2</v>
      </c>
      <c r="V113" s="1">
        <f t="shared" si="5"/>
        <v>0.126</v>
      </c>
      <c r="W113" s="1">
        <v>0.51659584132667302</v>
      </c>
      <c r="X113" s="1">
        <f t="shared" si="6"/>
        <v>6.5091076007160797E-2</v>
      </c>
      <c r="Y113" s="1">
        <f t="shared" si="7"/>
        <v>0.16790892399283922</v>
      </c>
      <c r="Z113" s="1">
        <f>'Paste cellinfo here'!$B$11</f>
        <v>0.52400000000000002</v>
      </c>
    </row>
    <row r="114" spans="1:26">
      <c r="A114" s="1">
        <v>113</v>
      </c>
      <c r="B114" s="2">
        <f>DATE(Sintesi!$C$4-1,12,31)+A114</f>
        <v>44309</v>
      </c>
      <c r="C114" s="1">
        <f>'Paste cell here'!B114</f>
        <v>0</v>
      </c>
      <c r="D114" s="1">
        <f>'Paste cell here'!I114</f>
        <v>0</v>
      </c>
      <c r="E114" s="1">
        <f>'Paste cell here'!J114</f>
        <v>0</v>
      </c>
      <c r="F114" s="1">
        <f>'Paste cell here'!K114</f>
        <v>0</v>
      </c>
      <c r="G114" s="1">
        <f>'Paste cell here'!L114</f>
        <v>0</v>
      </c>
      <c r="H114" s="1">
        <f>'Paste cell here'!M114</f>
        <v>0</v>
      </c>
      <c r="I114" s="1">
        <f>'Paste cell here'!N114</f>
        <v>0</v>
      </c>
      <c r="J114" s="1">
        <f>'Paste cell here'!O114</f>
        <v>0</v>
      </c>
      <c r="K114" s="1">
        <f>'Paste cell here'!Q114</f>
        <v>0.6876800672828568</v>
      </c>
      <c r="L114" s="1">
        <f>'Paste cell here'!S114</f>
        <v>0</v>
      </c>
      <c r="M114" s="1">
        <f>'Paste cell here'!T114</f>
        <v>6.2656586511651198E-13</v>
      </c>
      <c r="N114" s="1">
        <f>'Paste cell here'!W114</f>
        <v>0</v>
      </c>
      <c r="O114" s="1">
        <f>'Paste cell here'!U114</f>
        <v>7.0194092041574248</v>
      </c>
      <c r="P114" s="1">
        <f t="shared" si="8"/>
        <v>7.7070892714409078</v>
      </c>
      <c r="Q114" s="1">
        <f>'Paste cell here'!V114</f>
        <v>0</v>
      </c>
      <c r="R114" s="1">
        <f t="shared" si="9"/>
        <v>0</v>
      </c>
      <c r="S114" s="7">
        <f>Sintesi!$C$30</f>
        <v>0.107</v>
      </c>
      <c r="T114" s="7">
        <f>Sintesi!$C$29</f>
        <v>0.23300000000000001</v>
      </c>
      <c r="U114" s="5">
        <f>O114/(Sintesi!$C$5*1000)</f>
        <v>7.0194092041574244E-2</v>
      </c>
      <c r="V114" s="1">
        <f t="shared" si="5"/>
        <v>0.126</v>
      </c>
      <c r="W114" s="1">
        <v>0.53817664400712095</v>
      </c>
      <c r="X114" s="1">
        <f t="shared" si="6"/>
        <v>6.7810257144897246E-2</v>
      </c>
      <c r="Y114" s="1">
        <f t="shared" si="7"/>
        <v>0.16518974285510277</v>
      </c>
      <c r="Z114" s="1">
        <f>'Paste cellinfo here'!$B$11</f>
        <v>0.52400000000000002</v>
      </c>
    </row>
    <row r="115" spans="1:26">
      <c r="A115" s="1">
        <v>114</v>
      </c>
      <c r="B115" s="2">
        <f>DATE(Sintesi!$C$4-1,12,31)+A115</f>
        <v>44310</v>
      </c>
      <c r="C115" s="1">
        <f>'Paste cell here'!B115</f>
        <v>0</v>
      </c>
      <c r="D115" s="1">
        <f>'Paste cell here'!I115</f>
        <v>0</v>
      </c>
      <c r="E115" s="1">
        <f>'Paste cell here'!J115</f>
        <v>0</v>
      </c>
      <c r="F115" s="1">
        <f>'Paste cell here'!K115</f>
        <v>0</v>
      </c>
      <c r="G115" s="1">
        <f>'Paste cell here'!L115</f>
        <v>0</v>
      </c>
      <c r="H115" s="1">
        <f>'Paste cell here'!M115</f>
        <v>0</v>
      </c>
      <c r="I115" s="1">
        <f>'Paste cell here'!N115</f>
        <v>0</v>
      </c>
      <c r="J115" s="1">
        <f>'Paste cell here'!O115</f>
        <v>0</v>
      </c>
      <c r="K115" s="1">
        <f>'Paste cell here'!Q115</f>
        <v>0.53330321800142055</v>
      </c>
      <c r="L115" s="1">
        <f>'Paste cell here'!S115</f>
        <v>0</v>
      </c>
      <c r="M115" s="1">
        <f>'Paste cell here'!T115</f>
        <v>8.0407894470656293E-17</v>
      </c>
      <c r="N115" s="1">
        <f>'Paste cell here'!W115</f>
        <v>0</v>
      </c>
      <c r="O115" s="1">
        <f>'Paste cell here'!U115</f>
        <v>6.4861059861560042</v>
      </c>
      <c r="P115" s="1">
        <f t="shared" si="8"/>
        <v>7.0194092041574248</v>
      </c>
      <c r="Q115" s="1">
        <f>'Paste cell here'!V115</f>
        <v>0</v>
      </c>
      <c r="R115" s="1">
        <f t="shared" si="9"/>
        <v>0</v>
      </c>
      <c r="S115" s="7">
        <f>Sintesi!$C$30</f>
        <v>0.107</v>
      </c>
      <c r="T115" s="7">
        <f>Sintesi!$C$29</f>
        <v>0.23300000000000001</v>
      </c>
      <c r="U115" s="5">
        <f>O115/(Sintesi!$C$5*1000)</f>
        <v>6.4861059861560044E-2</v>
      </c>
      <c r="V115" s="1">
        <f t="shared" si="5"/>
        <v>0.126</v>
      </c>
      <c r="W115" s="1">
        <v>0.63624278406477197</v>
      </c>
      <c r="X115" s="1">
        <f t="shared" si="6"/>
        <v>8.0166590792161263E-2</v>
      </c>
      <c r="Y115" s="1">
        <f t="shared" si="7"/>
        <v>0.15283340920783875</v>
      </c>
      <c r="Z115" s="1">
        <f>'Paste cellinfo here'!$B$11</f>
        <v>0.52400000000000002</v>
      </c>
    </row>
    <row r="116" spans="1:26">
      <c r="A116" s="1">
        <v>115</v>
      </c>
      <c r="B116" s="2">
        <f>DATE(Sintesi!$C$4-1,12,31)+A116</f>
        <v>44311</v>
      </c>
      <c r="C116" s="1">
        <f>'Paste cell here'!B116</f>
        <v>0</v>
      </c>
      <c r="D116" s="1">
        <f>'Paste cell here'!I116</f>
        <v>0</v>
      </c>
      <c r="E116" s="1">
        <f>'Paste cell here'!J116</f>
        <v>0</v>
      </c>
      <c r="F116" s="1">
        <f>'Paste cell here'!K116</f>
        <v>0</v>
      </c>
      <c r="G116" s="1">
        <f>'Paste cell here'!L116</f>
        <v>0</v>
      </c>
      <c r="H116" s="1">
        <f>'Paste cell here'!M116</f>
        <v>0</v>
      </c>
      <c r="I116" s="1">
        <f>'Paste cell here'!N116</f>
        <v>0</v>
      </c>
      <c r="J116" s="1">
        <f>'Paste cell here'!O116</f>
        <v>0</v>
      </c>
      <c r="K116" s="1">
        <f>'Paste cell here'!Q116</f>
        <v>0.38222489590343184</v>
      </c>
      <c r="L116" s="1">
        <f>'Paste cell here'!S116</f>
        <v>0</v>
      </c>
      <c r="M116" s="1">
        <f>'Paste cell here'!T116</f>
        <v>0</v>
      </c>
      <c r="N116" s="1">
        <f>'Paste cell here'!W116</f>
        <v>0</v>
      </c>
      <c r="O116" s="1">
        <f>'Paste cell here'!U116</f>
        <v>6.1038810902525737</v>
      </c>
      <c r="P116" s="1">
        <f t="shared" si="8"/>
        <v>6.4861059861560042</v>
      </c>
      <c r="Q116" s="1">
        <f>'Paste cell here'!V116</f>
        <v>0</v>
      </c>
      <c r="R116" s="1">
        <f t="shared" si="9"/>
        <v>1.7763568394002505E-15</v>
      </c>
      <c r="S116" s="7">
        <f>Sintesi!$C$30</f>
        <v>0.107</v>
      </c>
      <c r="T116" s="7">
        <f>Sintesi!$C$29</f>
        <v>0.23300000000000001</v>
      </c>
      <c r="U116" s="5">
        <f>O116/(Sintesi!$C$5*1000)</f>
        <v>6.1038810902525741E-2</v>
      </c>
      <c r="V116" s="1">
        <f t="shared" si="5"/>
        <v>0.126</v>
      </c>
      <c r="W116" s="1">
        <v>0.59404963159490398</v>
      </c>
      <c r="X116" s="1">
        <f t="shared" si="6"/>
        <v>7.4850253580957898E-2</v>
      </c>
      <c r="Y116" s="1">
        <f t="shared" si="7"/>
        <v>0.15814974641904211</v>
      </c>
      <c r="Z116" s="1">
        <f>'Paste cellinfo here'!$B$11</f>
        <v>0.52400000000000002</v>
      </c>
    </row>
    <row r="117" spans="1:26">
      <c r="A117" s="1">
        <v>116</v>
      </c>
      <c r="B117" s="2">
        <f>DATE(Sintesi!$C$4-1,12,31)+A117</f>
        <v>44312</v>
      </c>
      <c r="C117" s="1">
        <f>'Paste cell here'!B117</f>
        <v>0</v>
      </c>
      <c r="D117" s="1">
        <f>'Paste cell here'!I117</f>
        <v>0</v>
      </c>
      <c r="E117" s="1">
        <f>'Paste cell here'!J117</f>
        <v>0</v>
      </c>
      <c r="F117" s="1">
        <f>'Paste cell here'!K117</f>
        <v>0</v>
      </c>
      <c r="G117" s="1">
        <f>'Paste cell here'!L117</f>
        <v>0</v>
      </c>
      <c r="H117" s="1">
        <f>'Paste cell here'!M117</f>
        <v>0</v>
      </c>
      <c r="I117" s="1">
        <f>'Paste cell here'!N117</f>
        <v>0</v>
      </c>
      <c r="J117" s="1">
        <f>'Paste cell here'!O117</f>
        <v>0</v>
      </c>
      <c r="K117" s="1">
        <f>'Paste cell here'!Q117</f>
        <v>0.11822898235916478</v>
      </c>
      <c r="L117" s="1">
        <f>'Paste cell here'!S117</f>
        <v>0</v>
      </c>
      <c r="M117" s="1">
        <f>'Paste cell here'!T117</f>
        <v>0</v>
      </c>
      <c r="N117" s="1">
        <f>'Paste cell here'!W117</f>
        <v>0</v>
      </c>
      <c r="O117" s="1">
        <f>'Paste cell here'!U117</f>
        <v>5.9856521078934097</v>
      </c>
      <c r="P117" s="1">
        <f t="shared" si="8"/>
        <v>6.1038810902525737</v>
      </c>
      <c r="Q117" s="1">
        <f>'Paste cell here'!V117</f>
        <v>0</v>
      </c>
      <c r="R117" s="1">
        <f t="shared" si="9"/>
        <v>8.8817841970012523E-16</v>
      </c>
      <c r="S117" s="7">
        <f>Sintesi!$C$30</f>
        <v>0.107</v>
      </c>
      <c r="T117" s="7">
        <f>Sintesi!$C$29</f>
        <v>0.23300000000000001</v>
      </c>
      <c r="U117" s="5">
        <f>O117/(Sintesi!$C$5*1000)</f>
        <v>5.9856521078934098E-2</v>
      </c>
      <c r="V117" s="1">
        <f t="shared" si="5"/>
        <v>0.126</v>
      </c>
      <c r="W117" s="1">
        <v>0.58062355823008505</v>
      </c>
      <c r="X117" s="1">
        <f t="shared" si="6"/>
        <v>7.315856833699072E-2</v>
      </c>
      <c r="Y117" s="1">
        <f t="shared" si="7"/>
        <v>0.15984143166300929</v>
      </c>
      <c r="Z117" s="1">
        <f>'Paste cellinfo here'!$B$11</f>
        <v>0.52400000000000002</v>
      </c>
    </row>
    <row r="118" spans="1:26">
      <c r="A118" s="1">
        <v>117</v>
      </c>
      <c r="B118" s="2">
        <f>DATE(Sintesi!$C$4-1,12,31)+A118</f>
        <v>44313</v>
      </c>
      <c r="C118" s="1">
        <f>'Paste cell here'!B118</f>
        <v>1.1199999999999875</v>
      </c>
      <c r="D118" s="1">
        <f>'Paste cell here'!I118</f>
        <v>0</v>
      </c>
      <c r="E118" s="1">
        <f>'Paste cell here'!J118</f>
        <v>1.067758904109577</v>
      </c>
      <c r="F118" s="1">
        <f>'Paste cell here'!K118</f>
        <v>1.1199999999999875</v>
      </c>
      <c r="G118" s="1">
        <f>'Paste cell here'!L118</f>
        <v>1.067758904109577</v>
      </c>
      <c r="H118" s="1">
        <f>'Paste cell here'!M118</f>
        <v>5.2241095890410594E-2</v>
      </c>
      <c r="I118" s="1">
        <f>'Paste cell here'!N118</f>
        <v>0</v>
      </c>
      <c r="J118" s="1">
        <f>'Paste cell here'!O118</f>
        <v>1.0677589359312718</v>
      </c>
      <c r="K118" s="1">
        <f>'Paste cell here'!Q118</f>
        <v>0.17713167006944369</v>
      </c>
      <c r="L118" s="1">
        <f>'Paste cell here'!S118</f>
        <v>0</v>
      </c>
      <c r="M118" s="1">
        <f>'Paste cell here'!T118</f>
        <v>8.9913681500729389E-20</v>
      </c>
      <c r="N118" s="1">
        <f>'Paste cell here'!W118</f>
        <v>0</v>
      </c>
      <c r="O118" s="1">
        <f>'Paste cell here'!U118</f>
        <v>6.8762793737552332</v>
      </c>
      <c r="P118" s="1">
        <f t="shared" si="8"/>
        <v>5.9856521078934097</v>
      </c>
      <c r="Q118" s="1">
        <f>'Paste cell here'!V118</f>
        <v>0</v>
      </c>
      <c r="R118" s="1">
        <f t="shared" si="9"/>
        <v>3.1821690171796035E-8</v>
      </c>
      <c r="S118" s="7">
        <f>Sintesi!$C$30</f>
        <v>0.107</v>
      </c>
      <c r="T118" s="7">
        <f>Sintesi!$C$29</f>
        <v>0.23300000000000001</v>
      </c>
      <c r="U118" s="5">
        <f>O118/(Sintesi!$C$5*1000)</f>
        <v>6.8762793737552327E-2</v>
      </c>
      <c r="V118" s="1">
        <f t="shared" si="5"/>
        <v>0.126</v>
      </c>
      <c r="W118" s="1">
        <v>0.59769404303912399</v>
      </c>
      <c r="X118" s="1">
        <f t="shared" si="6"/>
        <v>7.5309449422929622E-2</v>
      </c>
      <c r="Y118" s="1">
        <f t="shared" si="7"/>
        <v>0.15769055057707038</v>
      </c>
      <c r="Z118" s="1">
        <f>'Paste cellinfo here'!$B$11</f>
        <v>0.52400000000000002</v>
      </c>
    </row>
    <row r="119" spans="1:26">
      <c r="A119" s="1">
        <v>118</v>
      </c>
      <c r="B119" s="2">
        <f>DATE(Sintesi!$C$4-1,12,31)+A119</f>
        <v>44314</v>
      </c>
      <c r="C119" s="1">
        <f>'Paste cell here'!B119</f>
        <v>0.479999999999977</v>
      </c>
      <c r="D119" s="1">
        <f>'Paste cell here'!I119</f>
        <v>0</v>
      </c>
      <c r="E119" s="1">
        <f>'Paste cell here'!J119</f>
        <v>0.44930526315787289</v>
      </c>
      <c r="F119" s="1">
        <f>'Paste cell here'!K119</f>
        <v>0.479999999999977</v>
      </c>
      <c r="G119" s="1">
        <f>'Paste cell here'!L119</f>
        <v>0.44930526315787289</v>
      </c>
      <c r="H119" s="1">
        <f>'Paste cell here'!M119</f>
        <v>3.0694736842104095E-2</v>
      </c>
      <c r="I119" s="1">
        <f>'Paste cell here'!N119</f>
        <v>0</v>
      </c>
      <c r="J119" s="1">
        <f>'Paste cell here'!O119</f>
        <v>0.44930527654821339</v>
      </c>
      <c r="K119" s="1">
        <f>'Paste cell here'!Q119</f>
        <v>0.3925677449709758</v>
      </c>
      <c r="L119" s="1">
        <f>'Paste cell here'!S119</f>
        <v>0</v>
      </c>
      <c r="M119" s="1">
        <f>'Paste cell here'!T119</f>
        <v>3.5574241637502145E-17</v>
      </c>
      <c r="N119" s="1">
        <f>'Paste cell here'!W119</f>
        <v>0</v>
      </c>
      <c r="O119" s="1">
        <f>'Paste cell here'!U119</f>
        <v>6.9330169053324733</v>
      </c>
      <c r="P119" s="1">
        <f t="shared" si="8"/>
        <v>6.8762793737552332</v>
      </c>
      <c r="Q119" s="1">
        <f>'Paste cell here'!V119</f>
        <v>0</v>
      </c>
      <c r="R119" s="1">
        <f t="shared" si="9"/>
        <v>1.3390343056585152E-8</v>
      </c>
      <c r="S119" s="7">
        <f>Sintesi!$C$30</f>
        <v>0.107</v>
      </c>
      <c r="T119" s="7">
        <f>Sintesi!$C$29</f>
        <v>0.23300000000000001</v>
      </c>
      <c r="U119" s="5">
        <f>O119/(Sintesi!$C$5*1000)</f>
        <v>6.9330169053324731E-2</v>
      </c>
      <c r="V119" s="1">
        <f t="shared" si="5"/>
        <v>0.126</v>
      </c>
      <c r="W119" s="1">
        <v>0.51636313105941301</v>
      </c>
      <c r="X119" s="1">
        <f t="shared" si="6"/>
        <v>6.5061754513486045E-2</v>
      </c>
      <c r="Y119" s="1">
        <f t="shared" si="7"/>
        <v>0.16793824548651398</v>
      </c>
      <c r="Z119" s="1">
        <f>'Paste cellinfo here'!$B$11</f>
        <v>0.52400000000000002</v>
      </c>
    </row>
    <row r="120" spans="1:26">
      <c r="A120" s="1">
        <v>119</v>
      </c>
      <c r="B120" s="2">
        <f>DATE(Sintesi!$C$4-1,12,31)+A120</f>
        <v>44315</v>
      </c>
      <c r="C120" s="1">
        <f>'Paste cell here'!B120</f>
        <v>10.239999999999771</v>
      </c>
      <c r="D120" s="1">
        <f>'Paste cell here'!I120</f>
        <v>0</v>
      </c>
      <c r="E120" s="1">
        <f>'Paste cell here'!J120</f>
        <v>10.107832558139306</v>
      </c>
      <c r="F120" s="1">
        <f>'Paste cell here'!K120</f>
        <v>10.239999999999771</v>
      </c>
      <c r="G120" s="1">
        <f>'Paste cell here'!L120</f>
        <v>10.107832558139306</v>
      </c>
      <c r="H120" s="1">
        <f>'Paste cell here'!M120</f>
        <v>0.1321674418604647</v>
      </c>
      <c r="I120" s="1">
        <f>'Paste cell here'!N120</f>
        <v>0</v>
      </c>
      <c r="J120" s="1">
        <f>'Paste cell here'!O120</f>
        <v>10.10783285937619</v>
      </c>
      <c r="K120" s="1">
        <f>'Paste cell here'!Q120</f>
        <v>0.57195748233982535</v>
      </c>
      <c r="L120" s="1">
        <f>'Paste cell here'!S120</f>
        <v>0</v>
      </c>
      <c r="M120" s="1">
        <f>'Paste cell here'!T120</f>
        <v>6.2841667087038105E-5</v>
      </c>
      <c r="N120" s="1">
        <f>'Paste cell here'!W120</f>
        <v>0</v>
      </c>
      <c r="O120" s="1">
        <f>'Paste cell here'!U120</f>
        <v>16.46882944070175</v>
      </c>
      <c r="P120" s="1">
        <f t="shared" si="8"/>
        <v>6.9330169053324733</v>
      </c>
      <c r="Q120" s="1">
        <f>'Paste cell here'!V120</f>
        <v>0</v>
      </c>
      <c r="R120" s="1">
        <f t="shared" si="9"/>
        <v>3.012368843258173E-7</v>
      </c>
      <c r="S120" s="7">
        <f>Sintesi!$C$30</f>
        <v>0.107</v>
      </c>
      <c r="T120" s="7">
        <f>Sintesi!$C$29</f>
        <v>0.23300000000000001</v>
      </c>
      <c r="U120" s="5">
        <f>O120/(Sintesi!$C$5*1000)</f>
        <v>0.16468829440701749</v>
      </c>
      <c r="V120" s="1">
        <f t="shared" si="5"/>
        <v>0.126</v>
      </c>
      <c r="W120" s="1">
        <v>0.58718834918644303</v>
      </c>
      <c r="X120" s="1">
        <f t="shared" si="6"/>
        <v>7.3985731997491824E-2</v>
      </c>
      <c r="Y120" s="1">
        <f t="shared" si="7"/>
        <v>0.15901426800250817</v>
      </c>
      <c r="Z120" s="1">
        <f>'Paste cellinfo here'!$B$11</f>
        <v>0.52400000000000002</v>
      </c>
    </row>
    <row r="121" spans="1:26">
      <c r="A121" s="1">
        <v>120</v>
      </c>
      <c r="B121" s="2">
        <f>DATE(Sintesi!$C$4-1,12,31)+A121</f>
        <v>44316</v>
      </c>
      <c r="C121" s="1">
        <f>'Paste cell here'!B121</f>
        <v>1.599999999999913</v>
      </c>
      <c r="D121" s="1">
        <f>'Paste cell here'!I121</f>
        <v>0</v>
      </c>
      <c r="E121" s="1">
        <f>'Paste cell here'!J121</f>
        <v>1.5223529411763859</v>
      </c>
      <c r="F121" s="1">
        <f>'Paste cell here'!K121</f>
        <v>1.599999999999913</v>
      </c>
      <c r="G121" s="1">
        <f>'Paste cell here'!L121</f>
        <v>1.5223529411763859</v>
      </c>
      <c r="H121" s="1">
        <f>'Paste cell here'!M121</f>
        <v>7.7647058823527182E-2</v>
      </c>
      <c r="I121" s="1">
        <f>'Paste cell here'!N121</f>
        <v>0</v>
      </c>
      <c r="J121" s="1">
        <f>'Paste cell here'!O121</f>
        <v>1.5223529865460395</v>
      </c>
      <c r="K121" s="1">
        <f>'Paste cell here'!Q121</f>
        <v>1.9791577433363097</v>
      </c>
      <c r="L121" s="1">
        <f>'Paste cell here'!S121</f>
        <v>0</v>
      </c>
      <c r="M121" s="1">
        <f>'Paste cell here'!T121</f>
        <v>6.2507046452836546E-4</v>
      </c>
      <c r="N121" s="1">
        <f>'Paste cell here'!W121</f>
        <v>0</v>
      </c>
      <c r="O121" s="1">
        <f>'Paste cell here'!U121</f>
        <v>16.011399613446944</v>
      </c>
      <c r="P121" s="1">
        <f t="shared" si="8"/>
        <v>16.46882944070175</v>
      </c>
      <c r="Q121" s="1">
        <f>'Paste cell here'!V121</f>
        <v>0</v>
      </c>
      <c r="R121" s="1">
        <f t="shared" si="9"/>
        <v>4.5369645818027493E-8</v>
      </c>
      <c r="S121" s="7">
        <f>Sintesi!$C$30</f>
        <v>0.107</v>
      </c>
      <c r="T121" s="7">
        <f>Sintesi!$C$29</f>
        <v>0.23300000000000001</v>
      </c>
      <c r="U121" s="5">
        <f>O121/(Sintesi!$C$5*1000)</f>
        <v>0.16011399613446944</v>
      </c>
      <c r="V121" s="1">
        <f t="shared" si="5"/>
        <v>0.126</v>
      </c>
      <c r="W121" s="1">
        <v>0.61525036048079096</v>
      </c>
      <c r="X121" s="1">
        <f t="shared" si="6"/>
        <v>7.7521545420579666E-2</v>
      </c>
      <c r="Y121" s="1">
        <f t="shared" si="7"/>
        <v>0.15547845457942033</v>
      </c>
      <c r="Z121" s="1">
        <f>'Paste cellinfo here'!$B$11</f>
        <v>0.52400000000000002</v>
      </c>
    </row>
    <row r="122" spans="1:26">
      <c r="A122" s="1">
        <v>121</v>
      </c>
      <c r="B122" s="2">
        <f>DATE(Sintesi!$C$4-1,12,31)+A122</f>
        <v>44317</v>
      </c>
      <c r="C122" s="1">
        <f>'Paste cell here'!B122</f>
        <v>35.279999999999525</v>
      </c>
      <c r="D122" s="1">
        <f>'Paste cell here'!I122</f>
        <v>0</v>
      </c>
      <c r="E122" s="1">
        <f>'Paste cell here'!J122</f>
        <v>35.113875728154866</v>
      </c>
      <c r="F122" s="1">
        <f>'Paste cell here'!K122</f>
        <v>35.279999999999525</v>
      </c>
      <c r="G122" s="1">
        <f>'Paste cell here'!L122</f>
        <v>30.111561424384128</v>
      </c>
      <c r="H122" s="1">
        <f>'Paste cell here'!M122</f>
        <v>0.16612427184466005</v>
      </c>
      <c r="I122" s="1">
        <f>'Paste cell here'!N122</f>
        <v>5.0023143037707394</v>
      </c>
      <c r="J122" s="1">
        <f>'Paste cell here'!O122</f>
        <v>30.111562321778599</v>
      </c>
      <c r="K122" s="1">
        <f>'Paste cell here'!Q122</f>
        <v>1.2909156734861886</v>
      </c>
      <c r="L122" s="1">
        <f>'Paste cell here'!S122</f>
        <v>0</v>
      </c>
      <c r="M122" s="1">
        <f>'Paste cell here'!T122</f>
        <v>6.7942663510829151</v>
      </c>
      <c r="N122" s="1">
        <f>'Paste cell here'!W122</f>
        <v>0</v>
      </c>
      <c r="O122" s="1">
        <f>'Paste cell here'!U122</f>
        <v>38.037779910656454</v>
      </c>
      <c r="P122" s="1">
        <f t="shared" si="8"/>
        <v>16.011399613446944</v>
      </c>
      <c r="Q122" s="1">
        <f>'Paste cell here'!V122</f>
        <v>0</v>
      </c>
      <c r="R122" s="1">
        <f t="shared" si="9"/>
        <v>8.9739448583259218E-7</v>
      </c>
      <c r="S122" s="7">
        <f>Sintesi!$C$30</f>
        <v>0.107</v>
      </c>
      <c r="T122" s="7">
        <f>Sintesi!$C$29</f>
        <v>0.23300000000000001</v>
      </c>
      <c r="U122" s="5">
        <f>O122/(Sintesi!$C$5*1000)</f>
        <v>0.38037779910656455</v>
      </c>
      <c r="V122" s="1">
        <f t="shared" si="5"/>
        <v>0.126</v>
      </c>
      <c r="W122" s="1">
        <v>0.52168534581830805</v>
      </c>
      <c r="X122" s="1">
        <f t="shared" si="6"/>
        <v>6.5732353573106819E-2</v>
      </c>
      <c r="Y122" s="1">
        <f t="shared" si="7"/>
        <v>0.16726764642689318</v>
      </c>
      <c r="Z122" s="1">
        <f>'Paste cellinfo here'!$B$11</f>
        <v>0.52400000000000002</v>
      </c>
    </row>
    <row r="123" spans="1:26">
      <c r="A123" s="1">
        <v>122</v>
      </c>
      <c r="B123" s="2">
        <f>DATE(Sintesi!$C$4-1,12,31)+A123</f>
        <v>44318</v>
      </c>
      <c r="C123" s="1">
        <f>'Paste cell here'!B123</f>
        <v>1.8799999999999912</v>
      </c>
      <c r="D123" s="1">
        <f>'Paste cell here'!I123</f>
        <v>0</v>
      </c>
      <c r="E123" s="1">
        <f>'Paste cell here'!J123</f>
        <v>1.785897826086948</v>
      </c>
      <c r="F123" s="1">
        <f>'Paste cell here'!K123</f>
        <v>1.8799999999999912</v>
      </c>
      <c r="G123" s="1">
        <f>'Paste cell here'!L123</f>
        <v>1.785897826086948</v>
      </c>
      <c r="H123" s="1">
        <f>'Paste cell here'!M123</f>
        <v>9.4102173913043277E-2</v>
      </c>
      <c r="I123" s="1">
        <f>'Paste cell here'!N123</f>
        <v>0</v>
      </c>
      <c r="J123" s="1">
        <f>'Paste cell here'!O123</f>
        <v>1.7858978793108504</v>
      </c>
      <c r="K123" s="1">
        <f>'Paste cell here'!Q123</f>
        <v>4.3669204830644306</v>
      </c>
      <c r="L123" s="1">
        <f>'Paste cell here'!S123</f>
        <v>0</v>
      </c>
      <c r="M123" s="1">
        <f>'Paste cell here'!T123</f>
        <v>6.1061200097908737</v>
      </c>
      <c r="N123" s="1">
        <f>'Paste cell here'!W123</f>
        <v>0</v>
      </c>
      <c r="O123" s="1">
        <f>'Paste cell here'!U123</f>
        <v>29.350637297112002</v>
      </c>
      <c r="P123" s="1">
        <f t="shared" si="8"/>
        <v>38.037779910656454</v>
      </c>
      <c r="Q123" s="1">
        <f>'Paste cell here'!V123</f>
        <v>0</v>
      </c>
      <c r="R123" s="1">
        <f t="shared" si="9"/>
        <v>5.3223910612132386E-8</v>
      </c>
      <c r="S123" s="7">
        <f>Sintesi!$C$30</f>
        <v>0.107</v>
      </c>
      <c r="T123" s="7">
        <f>Sintesi!$C$29</f>
        <v>0.23300000000000001</v>
      </c>
      <c r="U123" s="5">
        <f>O123/(Sintesi!$C$5*1000)</f>
        <v>0.29350637297112003</v>
      </c>
      <c r="V123" s="1">
        <f t="shared" si="5"/>
        <v>0.126</v>
      </c>
      <c r="W123" s="1">
        <v>0.51397347675027605</v>
      </c>
      <c r="X123" s="1">
        <f t="shared" si="6"/>
        <v>6.4760658070534785E-2</v>
      </c>
      <c r="Y123" s="1">
        <f t="shared" si="7"/>
        <v>0.16823934192946521</v>
      </c>
      <c r="Z123" s="1">
        <f>'Paste cellinfo here'!$B$11</f>
        <v>0.52400000000000002</v>
      </c>
    </row>
    <row r="124" spans="1:26">
      <c r="A124" s="1">
        <v>123</v>
      </c>
      <c r="B124" s="2">
        <f>DATE(Sintesi!$C$4-1,12,31)+A124</f>
        <v>44319</v>
      </c>
      <c r="C124" s="1">
        <f>'Paste cell here'!B124</f>
        <v>0</v>
      </c>
      <c r="D124" s="1">
        <f>'Paste cell here'!I124</f>
        <v>0</v>
      </c>
      <c r="E124" s="1">
        <f>'Paste cell here'!J124</f>
        <v>0</v>
      </c>
      <c r="F124" s="1">
        <f>'Paste cell here'!K124</f>
        <v>0</v>
      </c>
      <c r="G124" s="1">
        <f>'Paste cell here'!L124</f>
        <v>0</v>
      </c>
      <c r="H124" s="1">
        <f>'Paste cell here'!M124</f>
        <v>0</v>
      </c>
      <c r="I124" s="1">
        <f>'Paste cell here'!N124</f>
        <v>0</v>
      </c>
      <c r="J124" s="1">
        <f>'Paste cell here'!O124</f>
        <v>0</v>
      </c>
      <c r="K124" s="1">
        <f>'Paste cell here'!Q124</f>
        <v>4.0659708144036051</v>
      </c>
      <c r="L124" s="1">
        <f>'Paste cell here'!S124</f>
        <v>0</v>
      </c>
      <c r="M124" s="1">
        <f>'Paste cell here'!T124</f>
        <v>0.65421548286957121</v>
      </c>
      <c r="N124" s="1">
        <f>'Paste cell here'!W124</f>
        <v>0</v>
      </c>
      <c r="O124" s="1">
        <f>'Paste cell here'!U124</f>
        <v>24.630450999838821</v>
      </c>
      <c r="P124" s="1">
        <f t="shared" si="8"/>
        <v>29.350637297112002</v>
      </c>
      <c r="Q124" s="1">
        <f>'Paste cell here'!V124</f>
        <v>0</v>
      </c>
      <c r="R124" s="1">
        <f t="shared" si="9"/>
        <v>3.5527136788005009E-15</v>
      </c>
      <c r="S124" s="7">
        <f>Sintesi!$C$30</f>
        <v>0.107</v>
      </c>
      <c r="T124" s="7">
        <f>Sintesi!$C$29</f>
        <v>0.23300000000000001</v>
      </c>
      <c r="U124" s="5">
        <f>O124/(Sintesi!$C$5*1000)</f>
        <v>0.24630450999838821</v>
      </c>
      <c r="V124" s="1">
        <f t="shared" si="5"/>
        <v>0.126</v>
      </c>
      <c r="W124" s="1">
        <v>0.523332701166623</v>
      </c>
      <c r="X124" s="1">
        <f t="shared" si="6"/>
        <v>6.5939920346994502E-2</v>
      </c>
      <c r="Y124" s="1">
        <f t="shared" si="7"/>
        <v>0.16706007965300551</v>
      </c>
      <c r="Z124" s="1">
        <f>'Paste cellinfo here'!$B$11</f>
        <v>0.52400000000000002</v>
      </c>
    </row>
    <row r="125" spans="1:26">
      <c r="A125" s="1">
        <v>124</v>
      </c>
      <c r="B125" s="2">
        <f>DATE(Sintesi!$C$4-1,12,31)+A125</f>
        <v>44320</v>
      </c>
      <c r="C125" s="1">
        <f>'Paste cell here'!B125</f>
        <v>0</v>
      </c>
      <c r="D125" s="1">
        <f>'Paste cell here'!I125</f>
        <v>0</v>
      </c>
      <c r="E125" s="1">
        <f>'Paste cell here'!J125</f>
        <v>0</v>
      </c>
      <c r="F125" s="1">
        <f>'Paste cell here'!K125</f>
        <v>0</v>
      </c>
      <c r="G125" s="1">
        <f>'Paste cell here'!L125</f>
        <v>0</v>
      </c>
      <c r="H125" s="1">
        <f>'Paste cell here'!M125</f>
        <v>0</v>
      </c>
      <c r="I125" s="1">
        <f>'Paste cell here'!N125</f>
        <v>0</v>
      </c>
      <c r="J125" s="1">
        <f>'Paste cell here'!O125</f>
        <v>0</v>
      </c>
      <c r="K125" s="1">
        <f>'Paste cell here'!Q125</f>
        <v>4.2067058625945766</v>
      </c>
      <c r="L125" s="1">
        <f>'Paste cell here'!S125</f>
        <v>0</v>
      </c>
      <c r="M125" s="1">
        <f>'Paste cell here'!T125</f>
        <v>8.0636224783350113E-2</v>
      </c>
      <c r="N125" s="1">
        <f>'Paste cell here'!W125</f>
        <v>0</v>
      </c>
      <c r="O125" s="1">
        <f>'Paste cell here'!U125</f>
        <v>20.343108912460888</v>
      </c>
      <c r="P125" s="1">
        <f t="shared" si="8"/>
        <v>24.630450999838821</v>
      </c>
      <c r="Q125" s="1">
        <f>'Paste cell here'!V125</f>
        <v>0</v>
      </c>
      <c r="R125" s="1">
        <f t="shared" si="9"/>
        <v>7.1054273576010019E-15</v>
      </c>
      <c r="S125" s="7">
        <f>Sintesi!$C$30</f>
        <v>0.107</v>
      </c>
      <c r="T125" s="7">
        <f>Sintesi!$C$29</f>
        <v>0.23300000000000001</v>
      </c>
      <c r="U125" s="5">
        <f>O125/(Sintesi!$C$5*1000)</f>
        <v>0.20343108912460889</v>
      </c>
      <c r="V125" s="1">
        <f t="shared" si="5"/>
        <v>0.126</v>
      </c>
      <c r="W125" s="1">
        <v>0.57796159890698295</v>
      </c>
      <c r="X125" s="1">
        <f t="shared" si="6"/>
        <v>7.2823161462279851E-2</v>
      </c>
      <c r="Y125" s="1">
        <f t="shared" si="7"/>
        <v>0.16017683853772016</v>
      </c>
      <c r="Z125" s="1">
        <f>'Paste cellinfo here'!$B$11</f>
        <v>0.52400000000000002</v>
      </c>
    </row>
    <row r="126" spans="1:26">
      <c r="A126" s="1">
        <v>125</v>
      </c>
      <c r="B126" s="2">
        <f>DATE(Sintesi!$C$4-1,12,31)+A126</f>
        <v>44321</v>
      </c>
      <c r="C126" s="1">
        <f>'Paste cell here'!B126</f>
        <v>0</v>
      </c>
      <c r="D126" s="1">
        <f>'Paste cell here'!I126</f>
        <v>0</v>
      </c>
      <c r="E126" s="1">
        <f>'Paste cell here'!J126</f>
        <v>0</v>
      </c>
      <c r="F126" s="1">
        <f>'Paste cell here'!K126</f>
        <v>0</v>
      </c>
      <c r="G126" s="1">
        <f>'Paste cell here'!L126</f>
        <v>0</v>
      </c>
      <c r="H126" s="1">
        <f>'Paste cell here'!M126</f>
        <v>0</v>
      </c>
      <c r="I126" s="1">
        <f>'Paste cell here'!N126</f>
        <v>0</v>
      </c>
      <c r="J126" s="1">
        <f>'Paste cell here'!O126</f>
        <v>0</v>
      </c>
      <c r="K126" s="1">
        <f>'Paste cell here'!Q126</f>
        <v>3.0789990366559743</v>
      </c>
      <c r="L126" s="1">
        <f>'Paste cell here'!S126</f>
        <v>0</v>
      </c>
      <c r="M126" s="1">
        <f>'Paste cell here'!T126</f>
        <v>7.2313618810673896E-3</v>
      </c>
      <c r="N126" s="1">
        <f>'Paste cell here'!W126</f>
        <v>0</v>
      </c>
      <c r="O126" s="1">
        <f>'Paste cell here'!U126</f>
        <v>17.256878513923841</v>
      </c>
      <c r="P126" s="1">
        <f t="shared" si="8"/>
        <v>20.343108912460888</v>
      </c>
      <c r="Q126" s="1">
        <f>'Paste cell here'!V126</f>
        <v>0</v>
      </c>
      <c r="R126" s="1">
        <f t="shared" si="9"/>
        <v>3.5527136788005009E-15</v>
      </c>
      <c r="S126" s="7">
        <f>Sintesi!$C$30</f>
        <v>0.107</v>
      </c>
      <c r="T126" s="7">
        <f>Sintesi!$C$29</f>
        <v>0.23300000000000001</v>
      </c>
      <c r="U126" s="5">
        <f>O126/(Sintesi!$C$5*1000)</f>
        <v>0.1725687851392384</v>
      </c>
      <c r="V126" s="1">
        <f t="shared" si="5"/>
        <v>0.126</v>
      </c>
      <c r="W126" s="1">
        <v>0.58367773058325101</v>
      </c>
      <c r="X126" s="1">
        <f t="shared" si="6"/>
        <v>7.3543394053489627E-2</v>
      </c>
      <c r="Y126" s="1">
        <f t="shared" si="7"/>
        <v>0.1594566059465104</v>
      </c>
      <c r="Z126" s="1">
        <f>'Paste cellinfo here'!$B$11</f>
        <v>0.52400000000000002</v>
      </c>
    </row>
    <row r="127" spans="1:26">
      <c r="A127" s="1">
        <v>126</v>
      </c>
      <c r="B127" s="2">
        <f>DATE(Sintesi!$C$4-1,12,31)+A127</f>
        <v>44322</v>
      </c>
      <c r="C127" s="1">
        <f>'Paste cell here'!B127</f>
        <v>0</v>
      </c>
      <c r="D127" s="1">
        <f>'Paste cell here'!I127</f>
        <v>0</v>
      </c>
      <c r="E127" s="1">
        <f>'Paste cell here'!J127</f>
        <v>0</v>
      </c>
      <c r="F127" s="1">
        <f>'Paste cell here'!K127</f>
        <v>0</v>
      </c>
      <c r="G127" s="1">
        <f>'Paste cell here'!L127</f>
        <v>0</v>
      </c>
      <c r="H127" s="1">
        <f>'Paste cell here'!M127</f>
        <v>0</v>
      </c>
      <c r="I127" s="1">
        <f>'Paste cell here'!N127</f>
        <v>0</v>
      </c>
      <c r="J127" s="1">
        <f>'Paste cell here'!O127</f>
        <v>0</v>
      </c>
      <c r="K127" s="1">
        <f>'Paste cell here'!Q127</f>
        <v>3.1463375688202384</v>
      </c>
      <c r="L127" s="1">
        <f>'Paste cell here'!S127</f>
        <v>0</v>
      </c>
      <c r="M127" s="1">
        <f>'Paste cell here'!T127</f>
        <v>6.3555054306098065E-4</v>
      </c>
      <c r="N127" s="1">
        <f>'Paste cell here'!W127</f>
        <v>0</v>
      </c>
      <c r="O127" s="1">
        <f>'Paste cell here'!U127</f>
        <v>14.109905394560549</v>
      </c>
      <c r="P127" s="1">
        <f t="shared" si="8"/>
        <v>17.256878513923841</v>
      </c>
      <c r="Q127" s="1">
        <f>'Paste cell here'!V127</f>
        <v>0</v>
      </c>
      <c r="R127" s="1">
        <f t="shared" si="9"/>
        <v>7.1054273576010019E-15</v>
      </c>
      <c r="S127" s="7">
        <f>Sintesi!$C$30</f>
        <v>0.107</v>
      </c>
      <c r="T127" s="7">
        <f>Sintesi!$C$29</f>
        <v>0.23300000000000001</v>
      </c>
      <c r="U127" s="5">
        <f>O127/(Sintesi!$C$5*1000)</f>
        <v>0.14109905394560548</v>
      </c>
      <c r="V127" s="1">
        <f t="shared" si="5"/>
        <v>0.126</v>
      </c>
      <c r="W127" s="1">
        <v>0.62850695063711304</v>
      </c>
      <c r="X127" s="1">
        <f t="shared" si="6"/>
        <v>7.9191875780276241E-2</v>
      </c>
      <c r="Y127" s="1">
        <f t="shared" si="7"/>
        <v>0.15380812421972379</v>
      </c>
      <c r="Z127" s="1">
        <f>'Paste cellinfo here'!$B$11</f>
        <v>0.52400000000000002</v>
      </c>
    </row>
    <row r="128" spans="1:26">
      <c r="A128" s="1">
        <v>127</v>
      </c>
      <c r="B128" s="2">
        <f>DATE(Sintesi!$C$4-1,12,31)+A128</f>
        <v>44323</v>
      </c>
      <c r="C128" s="1">
        <f>'Paste cell here'!B128</f>
        <v>0</v>
      </c>
      <c r="D128" s="1">
        <f>'Paste cell here'!I128</f>
        <v>0</v>
      </c>
      <c r="E128" s="1">
        <f>'Paste cell here'!J128</f>
        <v>0</v>
      </c>
      <c r="F128" s="1">
        <f>'Paste cell here'!K128</f>
        <v>0</v>
      </c>
      <c r="G128" s="1">
        <f>'Paste cell here'!L128</f>
        <v>0</v>
      </c>
      <c r="H128" s="1">
        <f>'Paste cell here'!M128</f>
        <v>0</v>
      </c>
      <c r="I128" s="1">
        <f>'Paste cell here'!N128</f>
        <v>0</v>
      </c>
      <c r="J128" s="1">
        <f>'Paste cell here'!O128</f>
        <v>0</v>
      </c>
      <c r="K128" s="1">
        <f>'Paste cell here'!Q128</f>
        <v>3.2867577409020168</v>
      </c>
      <c r="L128" s="1">
        <f>'Paste cell here'!S128</f>
        <v>0</v>
      </c>
      <c r="M128" s="1">
        <f>'Paste cell here'!T128</f>
        <v>2.2459307797840068E-5</v>
      </c>
      <c r="N128" s="1">
        <f>'Paste cell here'!W128</f>
        <v>0</v>
      </c>
      <c r="O128" s="1">
        <f>'Paste cell here'!U128</f>
        <v>10.82312519435073</v>
      </c>
      <c r="P128" s="1">
        <f t="shared" si="8"/>
        <v>14.109905394560549</v>
      </c>
      <c r="Q128" s="1">
        <f>'Paste cell here'!V128</f>
        <v>0</v>
      </c>
      <c r="R128" s="1">
        <f t="shared" si="9"/>
        <v>3.5527136788005009E-15</v>
      </c>
      <c r="S128" s="7">
        <f>Sintesi!$C$30</f>
        <v>0.107</v>
      </c>
      <c r="T128" s="7">
        <f>Sintesi!$C$29</f>
        <v>0.23300000000000001</v>
      </c>
      <c r="U128" s="5">
        <f>O128/(Sintesi!$C$5*1000)</f>
        <v>0.1082312519435073</v>
      </c>
      <c r="V128" s="1">
        <f t="shared" si="5"/>
        <v>0.126</v>
      </c>
      <c r="W128" s="1">
        <v>0.54497579879770996</v>
      </c>
      <c r="X128" s="1">
        <f t="shared" si="6"/>
        <v>6.8666950648511457E-2</v>
      </c>
      <c r="Y128" s="1">
        <f t="shared" si="7"/>
        <v>0.16433304935148857</v>
      </c>
      <c r="Z128" s="1">
        <f>'Paste cellinfo here'!$B$11</f>
        <v>0.52400000000000002</v>
      </c>
    </row>
    <row r="129" spans="1:26">
      <c r="A129" s="1">
        <v>128</v>
      </c>
      <c r="B129" s="2">
        <f>DATE(Sintesi!$C$4-1,12,31)+A129</f>
        <v>44324</v>
      </c>
      <c r="C129" s="1">
        <f>'Paste cell here'!B129</f>
        <v>0</v>
      </c>
      <c r="D129" s="1">
        <f>'Paste cell here'!I129</f>
        <v>0</v>
      </c>
      <c r="E129" s="1">
        <f>'Paste cell here'!J129</f>
        <v>0</v>
      </c>
      <c r="F129" s="1">
        <f>'Paste cell here'!K129</f>
        <v>0</v>
      </c>
      <c r="G129" s="1">
        <f>'Paste cell here'!L129</f>
        <v>0</v>
      </c>
      <c r="H129" s="1">
        <f>'Paste cell here'!M129</f>
        <v>0</v>
      </c>
      <c r="I129" s="1">
        <f>'Paste cell here'!N129</f>
        <v>0</v>
      </c>
      <c r="J129" s="1">
        <f>'Paste cell here'!O129</f>
        <v>0</v>
      </c>
      <c r="K129" s="1">
        <f>'Paste cell here'!Q129</f>
        <v>1.7628409207463538</v>
      </c>
      <c r="L129" s="1">
        <f>'Paste cell here'!S129</f>
        <v>0</v>
      </c>
      <c r="M129" s="1">
        <f>'Paste cell here'!T129</f>
        <v>1.236646800112897E-7</v>
      </c>
      <c r="N129" s="1">
        <f>'Paste cell here'!W129</f>
        <v>0</v>
      </c>
      <c r="O129" s="1">
        <f>'Paste cell here'!U129</f>
        <v>9.0602841499396956</v>
      </c>
      <c r="P129" s="1">
        <f t="shared" si="8"/>
        <v>10.82312519435073</v>
      </c>
      <c r="Q129" s="1">
        <f>'Paste cell here'!V129</f>
        <v>0</v>
      </c>
      <c r="R129" s="1">
        <f t="shared" si="9"/>
        <v>0</v>
      </c>
      <c r="S129" s="7">
        <f>Sintesi!$C$30</f>
        <v>0.107</v>
      </c>
      <c r="T129" s="7">
        <f>Sintesi!$C$29</f>
        <v>0.23300000000000001</v>
      </c>
      <c r="U129" s="5">
        <f>O129/(Sintesi!$C$5*1000)</f>
        <v>9.0602841499396958E-2</v>
      </c>
      <c r="V129" s="1">
        <f t="shared" si="5"/>
        <v>0.126</v>
      </c>
      <c r="W129" s="1">
        <v>0.54550247784744899</v>
      </c>
      <c r="X129" s="1">
        <f t="shared" si="6"/>
        <v>6.8733312208778569E-2</v>
      </c>
      <c r="Y129" s="1">
        <f t="shared" si="7"/>
        <v>0.16426668779122144</v>
      </c>
      <c r="Z129" s="1">
        <f>'Paste cellinfo here'!$B$11</f>
        <v>0.52400000000000002</v>
      </c>
    </row>
    <row r="130" spans="1:26">
      <c r="A130" s="1">
        <v>129</v>
      </c>
      <c r="B130" s="2">
        <f>DATE(Sintesi!$C$4-1,12,31)+A130</f>
        <v>44325</v>
      </c>
      <c r="C130" s="1">
        <f>'Paste cell here'!B130</f>
        <v>0</v>
      </c>
      <c r="D130" s="1">
        <f>'Paste cell here'!I130</f>
        <v>0</v>
      </c>
      <c r="E130" s="1">
        <f>'Paste cell here'!J130</f>
        <v>0</v>
      </c>
      <c r="F130" s="1">
        <f>'Paste cell here'!K130</f>
        <v>0</v>
      </c>
      <c r="G130" s="1">
        <f>'Paste cell here'!L130</f>
        <v>0</v>
      </c>
      <c r="H130" s="1">
        <f>'Paste cell here'!M130</f>
        <v>0</v>
      </c>
      <c r="I130" s="1">
        <f>'Paste cell here'!N130</f>
        <v>0</v>
      </c>
      <c r="J130" s="1">
        <f>'Paste cell here'!O130</f>
        <v>0</v>
      </c>
      <c r="K130" s="1">
        <f>'Paste cell here'!Q130</f>
        <v>1.1178419004591666</v>
      </c>
      <c r="L130" s="1">
        <f>'Paste cell here'!S130</f>
        <v>0</v>
      </c>
      <c r="M130" s="1">
        <f>'Paste cell here'!T130</f>
        <v>9.0195834137321009E-10</v>
      </c>
      <c r="N130" s="1">
        <f>'Paste cell here'!W130</f>
        <v>0</v>
      </c>
      <c r="O130" s="1">
        <f>'Paste cell here'!U130</f>
        <v>7.9424422485785691</v>
      </c>
      <c r="P130" s="1">
        <f t="shared" si="8"/>
        <v>9.0602841499396956</v>
      </c>
      <c r="Q130" s="1">
        <f>'Paste cell here'!V130</f>
        <v>0</v>
      </c>
      <c r="R130" s="1">
        <f t="shared" si="9"/>
        <v>8.8817841970012523E-16</v>
      </c>
      <c r="S130" s="7">
        <f>Sintesi!$C$30</f>
        <v>0.107</v>
      </c>
      <c r="T130" s="7">
        <f>Sintesi!$C$29</f>
        <v>0.23300000000000001</v>
      </c>
      <c r="U130" s="5">
        <f>O130/(Sintesi!$C$5*1000)</f>
        <v>7.9424422485785684E-2</v>
      </c>
      <c r="V130" s="1">
        <f t="shared" ref="V130:V193" si="10">T130-S130</f>
        <v>0.126</v>
      </c>
      <c r="W130" s="1">
        <v>0.60792515760602295</v>
      </c>
      <c r="X130" s="1">
        <f t="shared" ref="X130:X193" si="11">W130*V130</f>
        <v>7.6598569858358889E-2</v>
      </c>
      <c r="Y130" s="1">
        <f t="shared" ref="Y130:Y193" si="12">T130-X130</f>
        <v>0.15640143014164112</v>
      </c>
      <c r="Z130" s="1">
        <f>'Paste cellinfo here'!$B$11</f>
        <v>0.52400000000000002</v>
      </c>
    </row>
    <row r="131" spans="1:26">
      <c r="A131" s="1">
        <v>130</v>
      </c>
      <c r="B131" s="2">
        <f>DATE(Sintesi!$C$4-1,12,31)+A131</f>
        <v>44326</v>
      </c>
      <c r="C131" s="1">
        <f>'Paste cell here'!B131</f>
        <v>0.43999999999997502</v>
      </c>
      <c r="D131" s="1">
        <f>'Paste cell here'!I131</f>
        <v>0</v>
      </c>
      <c r="E131" s="1">
        <f>'Paste cell here'!J131</f>
        <v>0.3886142857142631</v>
      </c>
      <c r="F131" s="1">
        <f>'Paste cell here'!K131</f>
        <v>0.43999999999997502</v>
      </c>
      <c r="G131" s="1">
        <f>'Paste cell here'!L131</f>
        <v>0.3886142857142631</v>
      </c>
      <c r="H131" s="1">
        <f>'Paste cell here'!M131</f>
        <v>5.1385714285711939E-2</v>
      </c>
      <c r="I131" s="1">
        <f>'Paste cell here'!N131</f>
        <v>0</v>
      </c>
      <c r="J131" s="1">
        <f>'Paste cell here'!O131</f>
        <v>0.38861429729587116</v>
      </c>
      <c r="K131" s="1">
        <f>'Paste cell here'!Q131</f>
        <v>0.72948775948730182</v>
      </c>
      <c r="L131" s="1">
        <f>'Paste cell here'!S131</f>
        <v>0</v>
      </c>
      <c r="M131" s="1">
        <f>'Paste cell here'!T131</f>
        <v>6.3649727710329218E-12</v>
      </c>
      <c r="N131" s="1">
        <f>'Paste cell here'!W131</f>
        <v>0</v>
      </c>
      <c r="O131" s="1">
        <f>'Paste cell here'!U131</f>
        <v>7.6015687863807742</v>
      </c>
      <c r="P131" s="1">
        <f t="shared" ref="P131:P194" si="13">O130</f>
        <v>7.9424422485785691</v>
      </c>
      <c r="Q131" s="1">
        <f>'Paste cell here'!V131</f>
        <v>0</v>
      </c>
      <c r="R131" s="1">
        <f t="shared" ref="R131:R194" si="14">ABS(O130+C131+D131+N131+Q130-H131-I131-K131-L131-M131-O131-Q131)</f>
        <v>1.1581608561073153E-8</v>
      </c>
      <c r="S131" s="7">
        <f>Sintesi!$C$30</f>
        <v>0.107</v>
      </c>
      <c r="T131" s="7">
        <f>Sintesi!$C$29</f>
        <v>0.23300000000000001</v>
      </c>
      <c r="U131" s="5">
        <f>O131/(Sintesi!$C$5*1000)</f>
        <v>7.6015687863807746E-2</v>
      </c>
      <c r="V131" s="1">
        <f t="shared" si="10"/>
        <v>0.126</v>
      </c>
      <c r="W131" s="1">
        <v>0.55450755146153596</v>
      </c>
      <c r="X131" s="1">
        <f t="shared" si="11"/>
        <v>6.9867951484153534E-2</v>
      </c>
      <c r="Y131" s="1">
        <f t="shared" si="12"/>
        <v>0.16313204851584648</v>
      </c>
      <c r="Z131" s="1">
        <f>'Paste cellinfo here'!$B$11</f>
        <v>0.52400000000000002</v>
      </c>
    </row>
    <row r="132" spans="1:26">
      <c r="A132" s="1">
        <v>131</v>
      </c>
      <c r="B132" s="2">
        <f>DATE(Sintesi!$C$4-1,12,31)+A132</f>
        <v>44327</v>
      </c>
      <c r="C132" s="1">
        <f>'Paste cell here'!B132</f>
        <v>18.919999999999774</v>
      </c>
      <c r="D132" s="1">
        <f>'Paste cell here'!I132</f>
        <v>0</v>
      </c>
      <c r="E132" s="1">
        <f>'Paste cell here'!J132</f>
        <v>18.672359845559619</v>
      </c>
      <c r="F132" s="1">
        <f>'Paste cell here'!K132</f>
        <v>18.919999999999774</v>
      </c>
      <c r="G132" s="1">
        <f>'Paste cell here'!L132</f>
        <v>18.672359845559619</v>
      </c>
      <c r="H132" s="1">
        <f>'Paste cell here'!M132</f>
        <v>0.24764015444015419</v>
      </c>
      <c r="I132" s="1">
        <f>'Paste cell here'!N132</f>
        <v>0</v>
      </c>
      <c r="J132" s="1">
        <f>'Paste cell here'!O132</f>
        <v>18.672360402039313</v>
      </c>
      <c r="K132" s="1">
        <f>'Paste cell here'!Q132</f>
        <v>1.2891125563825259</v>
      </c>
      <c r="L132" s="1">
        <f>'Paste cell here'!S132</f>
        <v>0</v>
      </c>
      <c r="M132" s="1">
        <f>'Paste cell here'!T132</f>
        <v>1.9467169654976926E-2</v>
      </c>
      <c r="N132" s="1">
        <f>'Paste cell here'!W132</f>
        <v>0</v>
      </c>
      <c r="O132" s="1">
        <f>'Paste cell here'!U132</f>
        <v>24.965349462382573</v>
      </c>
      <c r="P132" s="1">
        <f t="shared" si="13"/>
        <v>7.6015687863807742</v>
      </c>
      <c r="Q132" s="1">
        <f>'Paste cell here'!V132</f>
        <v>0</v>
      </c>
      <c r="R132" s="1">
        <f t="shared" si="14"/>
        <v>5.5647968366656642E-7</v>
      </c>
      <c r="S132" s="7">
        <f>Sintesi!$C$30</f>
        <v>0.107</v>
      </c>
      <c r="T132" s="7">
        <f>Sintesi!$C$29</f>
        <v>0.23300000000000001</v>
      </c>
      <c r="U132" s="5">
        <f>O132/(Sintesi!$C$5*1000)</f>
        <v>0.24965349462382572</v>
      </c>
      <c r="V132" s="1">
        <f t="shared" si="10"/>
        <v>0.126</v>
      </c>
      <c r="W132" s="1">
        <v>0.55492818212878303</v>
      </c>
      <c r="X132" s="1">
        <f t="shared" si="11"/>
        <v>6.9920950948226659E-2</v>
      </c>
      <c r="Y132" s="1">
        <f t="shared" si="12"/>
        <v>0.16307904905177334</v>
      </c>
      <c r="Z132" s="1">
        <f>'Paste cellinfo here'!$B$11</f>
        <v>0.52400000000000002</v>
      </c>
    </row>
    <row r="133" spans="1:26">
      <c r="A133" s="1">
        <v>132</v>
      </c>
      <c r="B133" s="2">
        <f>DATE(Sintesi!$C$4-1,12,31)+A133</f>
        <v>44328</v>
      </c>
      <c r="C133" s="1">
        <f>'Paste cell here'!B133</f>
        <v>1.8399999999998953</v>
      </c>
      <c r="D133" s="1">
        <f>'Paste cell here'!I133</f>
        <v>0</v>
      </c>
      <c r="E133" s="1">
        <f>'Paste cell here'!J133</f>
        <v>1.6980571428570421</v>
      </c>
      <c r="F133" s="1">
        <f>'Paste cell here'!K133</f>
        <v>1.8399999999998953</v>
      </c>
      <c r="G133" s="1">
        <f>'Paste cell here'!L133</f>
        <v>1.6980571428570421</v>
      </c>
      <c r="H133" s="1">
        <f>'Paste cell here'!M133</f>
        <v>0.14194285714285312</v>
      </c>
      <c r="I133" s="1">
        <f>'Paste cell here'!N133</f>
        <v>0</v>
      </c>
      <c r="J133" s="1">
        <f>'Paste cell here'!O133</f>
        <v>1.6980571934630879</v>
      </c>
      <c r="K133" s="1">
        <f>'Paste cell here'!Q133</f>
        <v>4.4721107298784988</v>
      </c>
      <c r="L133" s="1">
        <f>'Paste cell here'!S133</f>
        <v>0</v>
      </c>
      <c r="M133" s="1">
        <f>'Paste cell here'!T133</f>
        <v>0.12076444894714808</v>
      </c>
      <c r="N133" s="1">
        <f>'Paste cell here'!W133</f>
        <v>0</v>
      </c>
      <c r="O133" s="1">
        <f>'Paste cell here'!U133</f>
        <v>22.070531477020008</v>
      </c>
      <c r="P133" s="1">
        <f t="shared" si="13"/>
        <v>24.965349462382573</v>
      </c>
      <c r="Q133" s="1">
        <f>'Paste cell here'!V133</f>
        <v>0</v>
      </c>
      <c r="R133" s="1">
        <f t="shared" si="14"/>
        <v>5.0606040247203055E-8</v>
      </c>
      <c r="S133" s="7">
        <f>Sintesi!$C$30</f>
        <v>0.107</v>
      </c>
      <c r="T133" s="7">
        <f>Sintesi!$C$29</f>
        <v>0.23300000000000001</v>
      </c>
      <c r="U133" s="5">
        <f>O133/(Sintesi!$C$5*1000)</f>
        <v>0.22070531477020008</v>
      </c>
      <c r="V133" s="1">
        <f t="shared" si="10"/>
        <v>0.126</v>
      </c>
      <c r="W133" s="1">
        <v>0.58761949570720795</v>
      </c>
      <c r="X133" s="1">
        <f t="shared" si="11"/>
        <v>7.4040056459108203E-2</v>
      </c>
      <c r="Y133" s="1">
        <f t="shared" si="12"/>
        <v>0.15895994354089182</v>
      </c>
      <c r="Z133" s="1">
        <f>'Paste cellinfo here'!$B$11</f>
        <v>0.52400000000000002</v>
      </c>
    </row>
    <row r="134" spans="1:26">
      <c r="A134" s="1">
        <v>133</v>
      </c>
      <c r="B134" s="2">
        <f>DATE(Sintesi!$C$4-1,12,31)+A134</f>
        <v>44329</v>
      </c>
      <c r="C134" s="1">
        <f>'Paste cell here'!B134</f>
        <v>2.5199999999999889</v>
      </c>
      <c r="D134" s="1">
        <f>'Paste cell here'!I134</f>
        <v>0</v>
      </c>
      <c r="E134" s="1">
        <f>'Paste cell here'!J134</f>
        <v>2.3505999999999894</v>
      </c>
      <c r="F134" s="1">
        <f>'Paste cell here'!K134</f>
        <v>2.5199999999999889</v>
      </c>
      <c r="G134" s="1">
        <f>'Paste cell here'!L134</f>
        <v>2.3505999999999894</v>
      </c>
      <c r="H134" s="1">
        <f>'Paste cell here'!M134</f>
        <v>0.16939999999999966</v>
      </c>
      <c r="I134" s="1">
        <f>'Paste cell here'!N134</f>
        <v>0</v>
      </c>
      <c r="J134" s="1">
        <f>'Paste cell here'!O134</f>
        <v>2.3506000700533285</v>
      </c>
      <c r="K134" s="1">
        <f>'Paste cell here'!Q134</f>
        <v>4.4974745680185002</v>
      </c>
      <c r="L134" s="1">
        <f>'Paste cell here'!S134</f>
        <v>0</v>
      </c>
      <c r="M134" s="1">
        <f>'Paste cell here'!T134</f>
        <v>2.8575355452603434E-2</v>
      </c>
      <c r="N134" s="1">
        <f>'Paste cell here'!W134</f>
        <v>0</v>
      </c>
      <c r="O134" s="1">
        <f>'Paste cell here'!U134</f>
        <v>19.895081623602245</v>
      </c>
      <c r="P134" s="1">
        <f t="shared" si="13"/>
        <v>22.070531477020008</v>
      </c>
      <c r="Q134" s="1">
        <f>'Paste cell here'!V134</f>
        <v>0</v>
      </c>
      <c r="R134" s="1">
        <f t="shared" si="14"/>
        <v>7.0053349787713159E-8</v>
      </c>
      <c r="S134" s="7">
        <f>Sintesi!$C$30</f>
        <v>0.107</v>
      </c>
      <c r="T134" s="7">
        <f>Sintesi!$C$29</f>
        <v>0.23300000000000001</v>
      </c>
      <c r="U134" s="5">
        <f>O134/(Sintesi!$C$5*1000)</f>
        <v>0.19895081623602245</v>
      </c>
      <c r="V134" s="1">
        <f t="shared" si="10"/>
        <v>0.126</v>
      </c>
      <c r="W134" s="1">
        <v>0.62648332923870598</v>
      </c>
      <c r="X134" s="1">
        <f t="shared" si="11"/>
        <v>7.893689948407695E-2</v>
      </c>
      <c r="Y134" s="1">
        <f t="shared" si="12"/>
        <v>0.15406310051592306</v>
      </c>
      <c r="Z134" s="1">
        <f>'Paste cellinfo here'!$B$11</f>
        <v>0.52400000000000002</v>
      </c>
    </row>
    <row r="135" spans="1:26">
      <c r="A135" s="1">
        <v>134</v>
      </c>
      <c r="B135" s="2">
        <f>DATE(Sintesi!$C$4-1,12,31)+A135</f>
        <v>44330</v>
      </c>
      <c r="C135" s="1">
        <f>'Paste cell here'!B135</f>
        <v>6.8799999999998436</v>
      </c>
      <c r="D135" s="1">
        <f>'Paste cell here'!I135</f>
        <v>0</v>
      </c>
      <c r="E135" s="1">
        <f>'Paste cell here'!J135</f>
        <v>6.6422119815666649</v>
      </c>
      <c r="F135" s="1">
        <f>'Paste cell here'!K135</f>
        <v>6.8799999999998436</v>
      </c>
      <c r="G135" s="1">
        <f>'Paste cell here'!L135</f>
        <v>6.6422119815666649</v>
      </c>
      <c r="H135" s="1">
        <f>'Paste cell here'!M135</f>
        <v>0.23778801843317859</v>
      </c>
      <c r="I135" s="1">
        <f>'Paste cell here'!N135</f>
        <v>0</v>
      </c>
      <c r="J135" s="1">
        <f>'Paste cell here'!O135</f>
        <v>6.6422121795200084</v>
      </c>
      <c r="K135" s="1">
        <f>'Paste cell here'!Q135</f>
        <v>3.0232363406156182</v>
      </c>
      <c r="L135" s="1">
        <f>'Paste cell here'!S135</f>
        <v>0</v>
      </c>
      <c r="M135" s="1">
        <f>'Paste cell here'!T135</f>
        <v>3.6454316569312167E-2</v>
      </c>
      <c r="N135" s="1">
        <f>'Paste cell here'!W135</f>
        <v>0</v>
      </c>
      <c r="O135" s="1">
        <f>'Paste cell here'!U135</f>
        <v>23.477603145937312</v>
      </c>
      <c r="P135" s="1">
        <f t="shared" si="13"/>
        <v>19.895081623602245</v>
      </c>
      <c r="Q135" s="1">
        <f>'Paste cell here'!V135</f>
        <v>0</v>
      </c>
      <c r="R135" s="1">
        <f t="shared" si="14"/>
        <v>1.9795333372485402E-7</v>
      </c>
      <c r="S135" s="7">
        <f>Sintesi!$C$30</f>
        <v>0.107</v>
      </c>
      <c r="T135" s="7">
        <f>Sintesi!$C$29</f>
        <v>0.23300000000000001</v>
      </c>
      <c r="U135" s="5">
        <f>O135/(Sintesi!$C$5*1000)</f>
        <v>0.23477603145937312</v>
      </c>
      <c r="V135" s="1">
        <f t="shared" si="10"/>
        <v>0.126</v>
      </c>
      <c r="W135" s="1">
        <v>0.62172386870412899</v>
      </c>
      <c r="X135" s="1">
        <f t="shared" si="11"/>
        <v>7.8337207456720251E-2</v>
      </c>
      <c r="Y135" s="1">
        <f t="shared" si="12"/>
        <v>0.15466279254327975</v>
      </c>
      <c r="Z135" s="1">
        <f>'Paste cellinfo here'!$B$11</f>
        <v>0.52400000000000002</v>
      </c>
    </row>
    <row r="136" spans="1:26">
      <c r="A136" s="1">
        <v>135</v>
      </c>
      <c r="B136" s="2">
        <f>DATE(Sintesi!$C$4-1,12,31)+A136</f>
        <v>44331</v>
      </c>
      <c r="C136" s="1">
        <f>'Paste cell here'!B136</f>
        <v>0.15999999999999945</v>
      </c>
      <c r="D136" s="1">
        <f>'Paste cell here'!I136</f>
        <v>0</v>
      </c>
      <c r="E136" s="1">
        <f>'Paste cell here'!J136</f>
        <v>0.1301714285714281</v>
      </c>
      <c r="F136" s="1">
        <f>'Paste cell here'!K136</f>
        <v>0.15999999999999945</v>
      </c>
      <c r="G136" s="1">
        <f>'Paste cell here'!L136</f>
        <v>0.1301714285714281</v>
      </c>
      <c r="H136" s="1">
        <f>'Paste cell here'!M136</f>
        <v>2.9828571428571329E-2</v>
      </c>
      <c r="I136" s="1">
        <f>'Paste cell here'!N136</f>
        <v>0</v>
      </c>
      <c r="J136" s="1">
        <f>'Paste cell here'!O136</f>
        <v>0.13017143245083904</v>
      </c>
      <c r="K136" s="1">
        <f>'Paste cell here'!Q136</f>
        <v>2.689237211027383</v>
      </c>
      <c r="L136" s="1">
        <f>'Paste cell here'!S136</f>
        <v>0</v>
      </c>
      <c r="M136" s="1">
        <f>'Paste cell here'!T136</f>
        <v>5.3719089044434017E-2</v>
      </c>
      <c r="N136" s="1">
        <f>'Paste cell here'!W136</f>
        <v>0</v>
      </c>
      <c r="O136" s="1">
        <f>'Paste cell here'!U136</f>
        <v>20.864818278316339</v>
      </c>
      <c r="P136" s="1">
        <f t="shared" si="13"/>
        <v>23.477603145937312</v>
      </c>
      <c r="Q136" s="1">
        <f>'Paste cell here'!V136</f>
        <v>0</v>
      </c>
      <c r="R136" s="1">
        <f t="shared" si="14"/>
        <v>3.8794141232756374E-9</v>
      </c>
      <c r="S136" s="7">
        <f>Sintesi!$C$30</f>
        <v>0.107</v>
      </c>
      <c r="T136" s="7">
        <f>Sintesi!$C$29</f>
        <v>0.23300000000000001</v>
      </c>
      <c r="U136" s="5">
        <f>O136/(Sintesi!$C$5*1000)</f>
        <v>0.20864818278316338</v>
      </c>
      <c r="V136" s="1">
        <f t="shared" si="10"/>
        <v>0.126</v>
      </c>
      <c r="W136" s="1">
        <v>0.55980678162315001</v>
      </c>
      <c r="X136" s="1">
        <f t="shared" si="11"/>
        <v>7.0535654484516902E-2</v>
      </c>
      <c r="Y136" s="1">
        <f t="shared" si="12"/>
        <v>0.16246434551548311</v>
      </c>
      <c r="Z136" s="1">
        <f>'Paste cellinfo here'!$B$11</f>
        <v>0.52400000000000002</v>
      </c>
    </row>
    <row r="137" spans="1:26">
      <c r="A137" s="1">
        <v>136</v>
      </c>
      <c r="B137" s="2">
        <f>DATE(Sintesi!$C$4-1,12,31)+A137</f>
        <v>44332</v>
      </c>
      <c r="C137" s="1">
        <f>'Paste cell here'!B137</f>
        <v>1.1999999999999957</v>
      </c>
      <c r="D137" s="1">
        <f>'Paste cell here'!I137</f>
        <v>0</v>
      </c>
      <c r="E137" s="1">
        <f>'Paste cell here'!J137</f>
        <v>1.0274399999999961</v>
      </c>
      <c r="F137" s="1">
        <f>'Paste cell here'!K137</f>
        <v>1.1999999999999957</v>
      </c>
      <c r="G137" s="1">
        <f>'Paste cell here'!L137</f>
        <v>1.0274399999999961</v>
      </c>
      <c r="H137" s="1">
        <f>'Paste cell here'!M137</f>
        <v>0.1725599999999996</v>
      </c>
      <c r="I137" s="1">
        <f>'Paste cell here'!N137</f>
        <v>0</v>
      </c>
      <c r="J137" s="1">
        <f>'Paste cell here'!O137</f>
        <v>1.0274400306200941</v>
      </c>
      <c r="K137" s="1">
        <f>'Paste cell here'!Q137</f>
        <v>1.6126287984871239</v>
      </c>
      <c r="L137" s="1">
        <f>'Paste cell here'!S137</f>
        <v>0</v>
      </c>
      <c r="M137" s="1">
        <f>'Paste cell here'!T137</f>
        <v>1.728357649831571E-2</v>
      </c>
      <c r="N137" s="1">
        <f>'Paste cell here'!W137</f>
        <v>0</v>
      </c>
      <c r="O137" s="1">
        <f>'Paste cell here'!U137</f>
        <v>20.262345933950989</v>
      </c>
      <c r="P137" s="1">
        <f t="shared" si="13"/>
        <v>20.864818278316339</v>
      </c>
      <c r="Q137" s="1">
        <f>'Paste cell here'!V137</f>
        <v>0</v>
      </c>
      <c r="R137" s="1">
        <f t="shared" si="14"/>
        <v>3.0620093127708969E-8</v>
      </c>
      <c r="S137" s="7">
        <f>Sintesi!$C$30</f>
        <v>0.107</v>
      </c>
      <c r="T137" s="7">
        <f>Sintesi!$C$29</f>
        <v>0.23300000000000001</v>
      </c>
      <c r="U137" s="5">
        <f>O137/(Sintesi!$C$5*1000)</f>
        <v>0.2026234593395099</v>
      </c>
      <c r="V137" s="1">
        <f t="shared" si="10"/>
        <v>0.126</v>
      </c>
      <c r="W137" s="1">
        <v>0.614587813415027</v>
      </c>
      <c r="X137" s="1">
        <f t="shared" si="11"/>
        <v>7.7438064490293404E-2</v>
      </c>
      <c r="Y137" s="1">
        <f t="shared" si="12"/>
        <v>0.15556193550970659</v>
      </c>
      <c r="Z137" s="1">
        <f>'Paste cellinfo here'!$B$11</f>
        <v>0.52400000000000002</v>
      </c>
    </row>
    <row r="138" spans="1:26">
      <c r="A138" s="1">
        <v>137</v>
      </c>
      <c r="B138" s="2">
        <f>DATE(Sintesi!$C$4-1,12,31)+A138</f>
        <v>44333</v>
      </c>
      <c r="C138" s="1">
        <f>'Paste cell here'!B138</f>
        <v>3.7599999999999696</v>
      </c>
      <c r="D138" s="1">
        <f>'Paste cell here'!I138</f>
        <v>0</v>
      </c>
      <c r="E138" s="1">
        <f>'Paste cell here'!J138</f>
        <v>3.4240345323740713</v>
      </c>
      <c r="F138" s="1">
        <f>'Paste cell here'!K138</f>
        <v>3.7599999999999696</v>
      </c>
      <c r="G138" s="1">
        <f>'Paste cell here'!L138</f>
        <v>3.4240345323740713</v>
      </c>
      <c r="H138" s="1">
        <f>'Paste cell here'!M138</f>
        <v>0.33596546762589841</v>
      </c>
      <c r="I138" s="1">
        <f>'Paste cell here'!N138</f>
        <v>0</v>
      </c>
      <c r="J138" s="1">
        <f>'Paste cell here'!O138</f>
        <v>3.4240346344182524</v>
      </c>
      <c r="K138" s="1">
        <f>'Paste cell here'!Q138</f>
        <v>4.9378086339216658</v>
      </c>
      <c r="L138" s="1">
        <f>'Paste cell here'!S138</f>
        <v>0</v>
      </c>
      <c r="M138" s="1">
        <f>'Paste cell here'!T138</f>
        <v>1.0830145041357051E-2</v>
      </c>
      <c r="N138" s="1">
        <f>'Paste cell here'!W138</f>
        <v>0</v>
      </c>
      <c r="O138" s="1">
        <f>'Paste cell here'!U138</f>
        <v>18.737741789406211</v>
      </c>
      <c r="P138" s="1">
        <f t="shared" si="13"/>
        <v>20.262345933950989</v>
      </c>
      <c r="Q138" s="1">
        <f>'Paste cell here'!V138</f>
        <v>0</v>
      </c>
      <c r="R138" s="1">
        <f t="shared" si="14"/>
        <v>1.0204417222325901E-7</v>
      </c>
      <c r="S138" s="7">
        <f>Sintesi!$C$30</f>
        <v>0.107</v>
      </c>
      <c r="T138" s="7">
        <f>Sintesi!$C$29</f>
        <v>0.23300000000000001</v>
      </c>
      <c r="U138" s="5">
        <f>O138/(Sintesi!$C$5*1000)</f>
        <v>0.18737741789406212</v>
      </c>
      <c r="V138" s="1">
        <f t="shared" si="10"/>
        <v>0.126</v>
      </c>
      <c r="W138" s="1">
        <v>0.56365755547914198</v>
      </c>
      <c r="X138" s="1">
        <f t="shared" si="11"/>
        <v>7.1020851990371892E-2</v>
      </c>
      <c r="Y138" s="1">
        <f t="shared" si="12"/>
        <v>0.16197914800962812</v>
      </c>
      <c r="Z138" s="1">
        <f>'Paste cellinfo here'!$B$11</f>
        <v>0.52400000000000002</v>
      </c>
    </row>
    <row r="139" spans="1:26">
      <c r="A139" s="1">
        <v>138</v>
      </c>
      <c r="B139" s="2">
        <f>DATE(Sintesi!$C$4-1,12,31)+A139</f>
        <v>44334</v>
      </c>
      <c r="C139" s="1">
        <f>'Paste cell here'!B139</f>
        <v>1.2399999999999807</v>
      </c>
      <c r="D139" s="1">
        <f>'Paste cell here'!I139</f>
        <v>0</v>
      </c>
      <c r="E139" s="1">
        <f>'Paste cell here'!J139</f>
        <v>1.0106815789473511</v>
      </c>
      <c r="F139" s="1">
        <f>'Paste cell here'!K139</f>
        <v>1.2399999999999807</v>
      </c>
      <c r="G139" s="1">
        <f>'Paste cell here'!L139</f>
        <v>1.0106815789473511</v>
      </c>
      <c r="H139" s="1">
        <f>'Paste cell here'!M139</f>
        <v>0.22931842105262948</v>
      </c>
      <c r="I139" s="1">
        <f>'Paste cell here'!N139</f>
        <v>0</v>
      </c>
      <c r="J139" s="1">
        <f>'Paste cell here'!O139</f>
        <v>1.0106816090680093</v>
      </c>
      <c r="K139" s="1">
        <f>'Paste cell here'!Q139</f>
        <v>4.3811833877563338</v>
      </c>
      <c r="L139" s="1">
        <f>'Paste cell here'!S139</f>
        <v>0</v>
      </c>
      <c r="M139" s="1">
        <f>'Paste cell here'!T139</f>
        <v>2.3500119186720373E-3</v>
      </c>
      <c r="N139" s="1">
        <f>'Paste cell here'!W139</f>
        <v>0</v>
      </c>
      <c r="O139" s="1">
        <f>'Paste cell here'!U139</f>
        <v>15.364889998799212</v>
      </c>
      <c r="P139" s="1">
        <f t="shared" si="13"/>
        <v>18.737741789406211</v>
      </c>
      <c r="Q139" s="1">
        <f>'Paste cell here'!V139</f>
        <v>0</v>
      </c>
      <c r="R139" s="1">
        <f t="shared" si="14"/>
        <v>3.0120654415100034E-8</v>
      </c>
      <c r="S139" s="7">
        <f>Sintesi!$C$30</f>
        <v>0.107</v>
      </c>
      <c r="T139" s="7">
        <f>Sintesi!$C$29</f>
        <v>0.23300000000000001</v>
      </c>
      <c r="U139" s="5">
        <f>O139/(Sintesi!$C$5*1000)</f>
        <v>0.15364889998799211</v>
      </c>
      <c r="V139" s="1">
        <f t="shared" si="10"/>
        <v>0.126</v>
      </c>
      <c r="W139" s="1">
        <v>0.55145669364238004</v>
      </c>
      <c r="X139" s="1">
        <f t="shared" si="11"/>
        <v>6.948354339893989E-2</v>
      </c>
      <c r="Y139" s="1">
        <f t="shared" si="12"/>
        <v>0.16351645660106012</v>
      </c>
      <c r="Z139" s="1">
        <f>'Paste cellinfo here'!$B$11</f>
        <v>0.52400000000000002</v>
      </c>
    </row>
    <row r="140" spans="1:26">
      <c r="A140" s="1">
        <v>139</v>
      </c>
      <c r="B140" s="2">
        <f>DATE(Sintesi!$C$4-1,12,31)+A140</f>
        <v>44335</v>
      </c>
      <c r="C140" s="1">
        <f>'Paste cell here'!B140</f>
        <v>0.15999999999999945</v>
      </c>
      <c r="D140" s="1">
        <f>'Paste cell here'!I140</f>
        <v>0</v>
      </c>
      <c r="E140" s="1">
        <f>'Paste cell here'!J140</f>
        <v>0.10871836734693838</v>
      </c>
      <c r="F140" s="1">
        <f>'Paste cell here'!K140</f>
        <v>0.15999999999999945</v>
      </c>
      <c r="G140" s="1">
        <f>'Paste cell here'!L140</f>
        <v>0.10871836734693838</v>
      </c>
      <c r="H140" s="1">
        <f>'Paste cell here'!M140</f>
        <v>5.1281632653061064E-2</v>
      </c>
      <c r="I140" s="1">
        <f>'Paste cell here'!N140</f>
        <v>0</v>
      </c>
      <c r="J140" s="1">
        <f>'Paste cell here'!O140</f>
        <v>0.10871837058699826</v>
      </c>
      <c r="K140" s="1">
        <f>'Paste cell here'!Q140</f>
        <v>3.5143017958589318</v>
      </c>
      <c r="L140" s="1">
        <f>'Paste cell here'!S140</f>
        <v>0</v>
      </c>
      <c r="M140" s="1">
        <f>'Paste cell here'!T140</f>
        <v>9.5370041462229514E-5</v>
      </c>
      <c r="N140" s="1">
        <f>'Paste cell here'!W140</f>
        <v>0</v>
      </c>
      <c r="O140" s="1">
        <f>'Paste cell here'!U140</f>
        <v>11.959211203485808</v>
      </c>
      <c r="P140" s="1">
        <f t="shared" si="13"/>
        <v>15.364889998799212</v>
      </c>
      <c r="Q140" s="1">
        <f>'Paste cell here'!V140</f>
        <v>0</v>
      </c>
      <c r="R140" s="1">
        <f t="shared" si="14"/>
        <v>3.2400517824271446E-9</v>
      </c>
      <c r="S140" s="7">
        <f>Sintesi!$C$30</f>
        <v>0.107</v>
      </c>
      <c r="T140" s="7">
        <f>Sintesi!$C$29</f>
        <v>0.23300000000000001</v>
      </c>
      <c r="U140" s="5">
        <f>O140/(Sintesi!$C$5*1000)</f>
        <v>0.11959211203485808</v>
      </c>
      <c r="V140" s="1">
        <f t="shared" si="10"/>
        <v>0.126</v>
      </c>
      <c r="W140" s="1">
        <v>0.611305651307125</v>
      </c>
      <c r="X140" s="1">
        <f t="shared" si="11"/>
        <v>7.702451206469775E-2</v>
      </c>
      <c r="Y140" s="1">
        <f t="shared" si="12"/>
        <v>0.15597548793530225</v>
      </c>
      <c r="Z140" s="1">
        <f>'Paste cellinfo here'!$B$11</f>
        <v>0.52400000000000002</v>
      </c>
    </row>
    <row r="141" spans="1:26">
      <c r="A141" s="1">
        <v>140</v>
      </c>
      <c r="B141" s="2">
        <f>DATE(Sintesi!$C$4-1,12,31)+A141</f>
        <v>44336</v>
      </c>
      <c r="C141" s="1">
        <f>'Paste cell here'!B141</f>
        <v>0</v>
      </c>
      <c r="D141" s="1">
        <f>'Paste cell here'!I141</f>
        <v>0</v>
      </c>
      <c r="E141" s="1">
        <f>'Paste cell here'!J141</f>
        <v>0</v>
      </c>
      <c r="F141" s="1">
        <f>'Paste cell here'!K141</f>
        <v>0</v>
      </c>
      <c r="G141" s="1">
        <f>'Paste cell here'!L141</f>
        <v>0</v>
      </c>
      <c r="H141" s="1">
        <f>'Paste cell here'!M141</f>
        <v>0</v>
      </c>
      <c r="I141" s="1">
        <f>'Paste cell here'!N141</f>
        <v>0</v>
      </c>
      <c r="J141" s="1">
        <f>'Paste cell here'!O141</f>
        <v>0</v>
      </c>
      <c r="K141" s="1">
        <f>'Paste cell here'!Q141</f>
        <v>2.32983404682928</v>
      </c>
      <c r="L141" s="1">
        <f>'Paste cell here'!S141</f>
        <v>0</v>
      </c>
      <c r="M141" s="1">
        <f>'Paste cell here'!T141</f>
        <v>1.0454650583579894E-6</v>
      </c>
      <c r="N141" s="1">
        <f>'Paste cell here'!W141</f>
        <v>0</v>
      </c>
      <c r="O141" s="1">
        <f>'Paste cell here'!U141</f>
        <v>9.6293761111914691</v>
      </c>
      <c r="P141" s="1">
        <f t="shared" si="13"/>
        <v>11.959211203485808</v>
      </c>
      <c r="Q141" s="1">
        <f>'Paste cell here'!V141</f>
        <v>0</v>
      </c>
      <c r="R141" s="1">
        <f t="shared" si="14"/>
        <v>0</v>
      </c>
      <c r="S141" s="7">
        <f>Sintesi!$C$30</f>
        <v>0.107</v>
      </c>
      <c r="T141" s="7">
        <f>Sintesi!$C$29</f>
        <v>0.23300000000000001</v>
      </c>
      <c r="U141" s="5">
        <f>O141/(Sintesi!$C$5*1000)</f>
        <v>9.6293761111914691E-2</v>
      </c>
      <c r="V141" s="1">
        <f t="shared" si="10"/>
        <v>0.126</v>
      </c>
      <c r="W141" s="1">
        <v>0.63457617660772603</v>
      </c>
      <c r="X141" s="1">
        <f t="shared" si="11"/>
        <v>7.995659825257348E-2</v>
      </c>
      <c r="Y141" s="1">
        <f t="shared" si="12"/>
        <v>0.15304340174742653</v>
      </c>
      <c r="Z141" s="1">
        <f>'Paste cellinfo here'!$B$11</f>
        <v>0.52400000000000002</v>
      </c>
    </row>
    <row r="142" spans="1:26">
      <c r="A142" s="1">
        <v>141</v>
      </c>
      <c r="B142" s="2">
        <f>DATE(Sintesi!$C$4-1,12,31)+A142</f>
        <v>44337</v>
      </c>
      <c r="C142" s="1">
        <f>'Paste cell here'!B142</f>
        <v>0.23999999999999491</v>
      </c>
      <c r="D142" s="1">
        <f>'Paste cell here'!I142</f>
        <v>0</v>
      </c>
      <c r="E142" s="1">
        <f>'Paste cell here'!J142</f>
        <v>0.15070588235293775</v>
      </c>
      <c r="F142" s="1">
        <f>'Paste cell here'!K142</f>
        <v>0.23999999999999491</v>
      </c>
      <c r="G142" s="1">
        <f>'Paste cell here'!L142</f>
        <v>0.15070588235293775</v>
      </c>
      <c r="H142" s="1">
        <f>'Paste cell here'!M142</f>
        <v>8.929411764705715E-2</v>
      </c>
      <c r="I142" s="1">
        <f>'Paste cell here'!N142</f>
        <v>0</v>
      </c>
      <c r="J142" s="1">
        <f>'Paste cell here'!O142</f>
        <v>0.15070588684432298</v>
      </c>
      <c r="K142" s="1">
        <f>'Paste cell here'!Q142</f>
        <v>1.3109022910068158</v>
      </c>
      <c r="L142" s="1">
        <f>'Paste cell here'!S142</f>
        <v>0</v>
      </c>
      <c r="M142" s="1">
        <f>'Paste cell here'!T142</f>
        <v>6.5976735671796016E-9</v>
      </c>
      <c r="N142" s="1">
        <f>'Paste cell here'!W142</f>
        <v>0</v>
      </c>
      <c r="O142" s="1">
        <f>'Paste cell here'!U142</f>
        <v>8.4691797004313081</v>
      </c>
      <c r="P142" s="1">
        <f t="shared" si="13"/>
        <v>9.6293761111914691</v>
      </c>
      <c r="Q142" s="1">
        <f>'Paste cell here'!V142</f>
        <v>0</v>
      </c>
      <c r="R142" s="1">
        <f t="shared" si="14"/>
        <v>4.4913903707310965E-9</v>
      </c>
      <c r="S142" s="7">
        <f>Sintesi!$C$30</f>
        <v>0.107</v>
      </c>
      <c r="T142" s="7">
        <f>Sintesi!$C$29</f>
        <v>0.23300000000000001</v>
      </c>
      <c r="U142" s="5">
        <f>O142/(Sintesi!$C$5*1000)</f>
        <v>8.4691797004313077E-2</v>
      </c>
      <c r="V142" s="1">
        <f t="shared" si="10"/>
        <v>0.126</v>
      </c>
      <c r="W142" s="1">
        <v>0.61510276823326904</v>
      </c>
      <c r="X142" s="1">
        <f t="shared" si="11"/>
        <v>7.7502948797391905E-2</v>
      </c>
      <c r="Y142" s="1">
        <f t="shared" si="12"/>
        <v>0.15549705120260809</v>
      </c>
      <c r="Z142" s="1">
        <f>'Paste cellinfo here'!$B$11</f>
        <v>0.52400000000000002</v>
      </c>
    </row>
    <row r="143" spans="1:26">
      <c r="A143" s="1">
        <v>142</v>
      </c>
      <c r="B143" s="2">
        <f>DATE(Sintesi!$C$4-1,12,31)+A143</f>
        <v>44338</v>
      </c>
      <c r="C143" s="1">
        <f>'Paste cell here'!B143</f>
        <v>3.1199999999999846</v>
      </c>
      <c r="D143" s="1">
        <f>'Paste cell here'!I143</f>
        <v>0</v>
      </c>
      <c r="E143" s="1">
        <f>'Paste cell here'!J143</f>
        <v>2.5972097560975467</v>
      </c>
      <c r="F143" s="1">
        <f>'Paste cell here'!K143</f>
        <v>3.1199999999999846</v>
      </c>
      <c r="G143" s="1">
        <f>'Paste cell here'!L143</f>
        <v>2.5972097560975467</v>
      </c>
      <c r="H143" s="1">
        <f>'Paste cell here'!M143</f>
        <v>0.52279024390243811</v>
      </c>
      <c r="I143" s="1">
        <f>'Paste cell here'!N143</f>
        <v>0</v>
      </c>
      <c r="J143" s="1">
        <f>'Paste cell here'!O143</f>
        <v>2.597209833500429</v>
      </c>
      <c r="K143" s="1">
        <f>'Paste cell here'!Q143</f>
        <v>0.88340868328978772</v>
      </c>
      <c r="L143" s="1">
        <f>'Paste cell here'!S143</f>
        <v>0</v>
      </c>
      <c r="M143" s="1">
        <f>'Paste cell here'!T143</f>
        <v>1.1570594961902256E-8</v>
      </c>
      <c r="N143" s="1">
        <f>'Paste cell here'!W143</f>
        <v>0</v>
      </c>
      <c r="O143" s="1">
        <f>'Paste cell here'!U143</f>
        <v>10.182980839071355</v>
      </c>
      <c r="P143" s="1">
        <f t="shared" si="13"/>
        <v>8.4691797004313081</v>
      </c>
      <c r="Q143" s="1">
        <f>'Paste cell here'!V143</f>
        <v>0</v>
      </c>
      <c r="R143" s="1">
        <f t="shared" si="14"/>
        <v>7.7402884102184544E-8</v>
      </c>
      <c r="S143" s="7">
        <f>Sintesi!$C$30</f>
        <v>0.107</v>
      </c>
      <c r="T143" s="7">
        <f>Sintesi!$C$29</f>
        <v>0.23300000000000001</v>
      </c>
      <c r="U143" s="5">
        <f>O143/(Sintesi!$C$5*1000)</f>
        <v>0.10182980839071355</v>
      </c>
      <c r="V143" s="1">
        <f t="shared" si="10"/>
        <v>0.126</v>
      </c>
      <c r="W143" s="1">
        <v>0.53996840293265402</v>
      </c>
      <c r="X143" s="1">
        <f t="shared" si="11"/>
        <v>6.8036018769514414E-2</v>
      </c>
      <c r="Y143" s="1">
        <f t="shared" si="12"/>
        <v>0.16496398123048561</v>
      </c>
      <c r="Z143" s="1">
        <f>'Paste cellinfo here'!$B$11</f>
        <v>0.52400000000000002</v>
      </c>
    </row>
    <row r="144" spans="1:26">
      <c r="A144" s="1">
        <v>143</v>
      </c>
      <c r="B144" s="2">
        <f>DATE(Sintesi!$C$4-1,12,31)+A144</f>
        <v>44339</v>
      </c>
      <c r="C144" s="1">
        <f>'Paste cell here'!B144</f>
        <v>0</v>
      </c>
      <c r="D144" s="1">
        <f>'Paste cell here'!I144</f>
        <v>0</v>
      </c>
      <c r="E144" s="1">
        <f>'Paste cell here'!J144</f>
        <v>0</v>
      </c>
      <c r="F144" s="1">
        <f>'Paste cell here'!K144</f>
        <v>0</v>
      </c>
      <c r="G144" s="1">
        <f>'Paste cell here'!L144</f>
        <v>0</v>
      </c>
      <c r="H144" s="1">
        <f>'Paste cell here'!M144</f>
        <v>0</v>
      </c>
      <c r="I144" s="1">
        <f>'Paste cell here'!N144</f>
        <v>0</v>
      </c>
      <c r="J144" s="1">
        <f>'Paste cell here'!O144</f>
        <v>0</v>
      </c>
      <c r="K144" s="1">
        <f>'Paste cell here'!Q144</f>
        <v>1.4905179623040796</v>
      </c>
      <c r="L144" s="1">
        <f>'Paste cell here'!S144</f>
        <v>0</v>
      </c>
      <c r="M144" s="1">
        <f>'Paste cell here'!T144</f>
        <v>2.7652997369106146E-8</v>
      </c>
      <c r="N144" s="1">
        <f>'Paste cell here'!W144</f>
        <v>0</v>
      </c>
      <c r="O144" s="1">
        <f>'Paste cell here'!U144</f>
        <v>8.6924628491142801</v>
      </c>
      <c r="P144" s="1">
        <f t="shared" si="13"/>
        <v>10.182980839071355</v>
      </c>
      <c r="Q144" s="1">
        <f>'Paste cell here'!V144</f>
        <v>0</v>
      </c>
      <c r="R144" s="1">
        <f t="shared" si="14"/>
        <v>1.7763568394002505E-15</v>
      </c>
      <c r="S144" s="7">
        <f>Sintesi!$C$30</f>
        <v>0.107</v>
      </c>
      <c r="T144" s="7">
        <f>Sintesi!$C$29</f>
        <v>0.23300000000000001</v>
      </c>
      <c r="U144" s="5">
        <f>O144/(Sintesi!$C$5*1000)</f>
        <v>8.6924628491142797E-2</v>
      </c>
      <c r="V144" s="1">
        <f t="shared" si="10"/>
        <v>0.126</v>
      </c>
      <c r="W144" s="1">
        <v>0.53411231779656199</v>
      </c>
      <c r="X144" s="1">
        <f t="shared" si="11"/>
        <v>6.7298152042366804E-2</v>
      </c>
      <c r="Y144" s="1">
        <f t="shared" si="12"/>
        <v>0.16570184795763321</v>
      </c>
      <c r="Z144" s="1">
        <f>'Paste cellinfo here'!$B$11</f>
        <v>0.52400000000000002</v>
      </c>
    </row>
    <row r="145" spans="1:26">
      <c r="A145" s="1">
        <v>144</v>
      </c>
      <c r="B145" s="2">
        <f>DATE(Sintesi!$C$4-1,12,31)+A145</f>
        <v>44340</v>
      </c>
      <c r="C145" s="1">
        <f>'Paste cell here'!B145</f>
        <v>25.999999999999595</v>
      </c>
      <c r="D145" s="1">
        <f>'Paste cell here'!I145</f>
        <v>0</v>
      </c>
      <c r="E145" s="1">
        <f>'Paste cell here'!J145</f>
        <v>25.106086330934847</v>
      </c>
      <c r="F145" s="1">
        <f>'Paste cell here'!K145</f>
        <v>25.999999999999595</v>
      </c>
      <c r="G145" s="1">
        <f>'Paste cell here'!L145</f>
        <v>24.934904937039697</v>
      </c>
      <c r="H145" s="1">
        <f>'Paste cell here'!M145</f>
        <v>0.89391366906474723</v>
      </c>
      <c r="I145" s="1">
        <f>'Paste cell here'!N145</f>
        <v>0.17118139389514941</v>
      </c>
      <c r="J145" s="1">
        <f>'Paste cell here'!O145</f>
        <v>24.93490568015778</v>
      </c>
      <c r="K145" s="1">
        <f>'Paste cell here'!Q145</f>
        <v>0.7605562585636596</v>
      </c>
      <c r="L145" s="1">
        <f>'Paste cell here'!S145</f>
        <v>0</v>
      </c>
      <c r="M145" s="1">
        <f>'Paste cell here'!T145</f>
        <v>0.49004057317291472</v>
      </c>
      <c r="N145" s="1">
        <f>'Paste cell here'!W145</f>
        <v>0</v>
      </c>
      <c r="O145" s="1">
        <f>'Paste cell here'!U145</f>
        <v>32.376771697535474</v>
      </c>
      <c r="P145" s="1">
        <f t="shared" si="13"/>
        <v>8.6924628491142801</v>
      </c>
      <c r="Q145" s="1">
        <f>'Paste cell here'!V145</f>
        <v>0</v>
      </c>
      <c r="R145" s="1">
        <f t="shared" si="14"/>
        <v>7.4311806486093701E-7</v>
      </c>
      <c r="S145" s="7">
        <f>Sintesi!$C$30</f>
        <v>0.107</v>
      </c>
      <c r="T145" s="7">
        <f>Sintesi!$C$29</f>
        <v>0.23300000000000001</v>
      </c>
      <c r="U145" s="5">
        <f>O145/(Sintesi!$C$5*1000)</f>
        <v>0.32376771697535472</v>
      </c>
      <c r="V145" s="1">
        <f t="shared" si="10"/>
        <v>0.126</v>
      </c>
      <c r="W145" s="1">
        <v>0.51390072230976502</v>
      </c>
      <c r="X145" s="1">
        <f t="shared" si="11"/>
        <v>6.4751491011030393E-2</v>
      </c>
      <c r="Y145" s="1">
        <f t="shared" si="12"/>
        <v>0.16824850898896962</v>
      </c>
      <c r="Z145" s="1">
        <f>'Paste cellinfo here'!$B$11</f>
        <v>0.52400000000000002</v>
      </c>
    </row>
    <row r="146" spans="1:26">
      <c r="A146" s="1">
        <v>145</v>
      </c>
      <c r="B146" s="2">
        <f>DATE(Sintesi!$C$4-1,12,31)+A146</f>
        <v>44341</v>
      </c>
      <c r="C146" s="1">
        <f>'Paste cell here'!B146</f>
        <v>0</v>
      </c>
      <c r="D146" s="1">
        <f>'Paste cell here'!I146</f>
        <v>0</v>
      </c>
      <c r="E146" s="1">
        <f>'Paste cell here'!J146</f>
        <v>0</v>
      </c>
      <c r="F146" s="1">
        <f>'Paste cell here'!K146</f>
        <v>0</v>
      </c>
      <c r="G146" s="1">
        <f>'Paste cell here'!L146</f>
        <v>0</v>
      </c>
      <c r="H146" s="1">
        <f>'Paste cell here'!M146</f>
        <v>0</v>
      </c>
      <c r="I146" s="1">
        <f>'Paste cell here'!N146</f>
        <v>0</v>
      </c>
      <c r="J146" s="1">
        <f>'Paste cell here'!O146</f>
        <v>0</v>
      </c>
      <c r="K146" s="1">
        <f>'Paste cell here'!Q146</f>
        <v>4.0225948482368441</v>
      </c>
      <c r="L146" s="1">
        <f>'Paste cell here'!S146</f>
        <v>0</v>
      </c>
      <c r="M146" s="1">
        <f>'Paste cell here'!T146</f>
        <v>1.7350769879234536</v>
      </c>
      <c r="N146" s="1">
        <f>'Paste cell here'!W146</f>
        <v>0</v>
      </c>
      <c r="O146" s="1">
        <f>'Paste cell here'!U146</f>
        <v>26.619099861375165</v>
      </c>
      <c r="P146" s="1">
        <f t="shared" si="13"/>
        <v>32.376771697535474</v>
      </c>
      <c r="Q146" s="1">
        <f>'Paste cell here'!V146</f>
        <v>0</v>
      </c>
      <c r="R146" s="1">
        <f t="shared" si="14"/>
        <v>1.4210854715202004E-14</v>
      </c>
      <c r="S146" s="7">
        <f>Sintesi!$C$30</f>
        <v>0.107</v>
      </c>
      <c r="T146" s="7">
        <f>Sintesi!$C$29</f>
        <v>0.23300000000000001</v>
      </c>
      <c r="U146" s="5">
        <f>O146/(Sintesi!$C$5*1000)</f>
        <v>0.26619099861375167</v>
      </c>
      <c r="V146" s="1">
        <f t="shared" si="10"/>
        <v>0.126</v>
      </c>
      <c r="W146" s="1">
        <v>0.52653998962155102</v>
      </c>
      <c r="X146" s="1">
        <f t="shared" si="11"/>
        <v>6.6344038692315435E-2</v>
      </c>
      <c r="Y146" s="1">
        <f t="shared" si="12"/>
        <v>0.16665596130768456</v>
      </c>
      <c r="Z146" s="1">
        <f>'Paste cellinfo here'!$B$11</f>
        <v>0.52400000000000002</v>
      </c>
    </row>
    <row r="147" spans="1:26">
      <c r="A147" s="1">
        <v>146</v>
      </c>
      <c r="B147" s="2">
        <f>DATE(Sintesi!$C$4-1,12,31)+A147</f>
        <v>44342</v>
      </c>
      <c r="C147" s="1">
        <f>'Paste cell here'!B147</f>
        <v>0</v>
      </c>
      <c r="D147" s="1">
        <f>'Paste cell here'!I147</f>
        <v>0</v>
      </c>
      <c r="E147" s="1">
        <f>'Paste cell here'!J147</f>
        <v>0</v>
      </c>
      <c r="F147" s="1">
        <f>'Paste cell here'!K147</f>
        <v>0</v>
      </c>
      <c r="G147" s="1">
        <f>'Paste cell here'!L147</f>
        <v>0</v>
      </c>
      <c r="H147" s="1">
        <f>'Paste cell here'!M147</f>
        <v>0</v>
      </c>
      <c r="I147" s="1">
        <f>'Paste cell here'!N147</f>
        <v>0</v>
      </c>
      <c r="J147" s="1">
        <f>'Paste cell here'!O147</f>
        <v>0</v>
      </c>
      <c r="K147" s="1">
        <f>'Paste cell here'!Q147</f>
        <v>3.4137879453130622</v>
      </c>
      <c r="L147" s="1">
        <f>'Paste cell here'!S147</f>
        <v>0</v>
      </c>
      <c r="M147" s="1">
        <f>'Paste cell here'!T147</f>
        <v>0.22784811913210823</v>
      </c>
      <c r="N147" s="1">
        <f>'Paste cell here'!W147</f>
        <v>0</v>
      </c>
      <c r="O147" s="1">
        <f>'Paste cell here'!U147</f>
        <v>22.977463796929996</v>
      </c>
      <c r="P147" s="1">
        <f t="shared" si="13"/>
        <v>26.619099861375165</v>
      </c>
      <c r="Q147" s="1">
        <f>'Paste cell here'!V147</f>
        <v>0</v>
      </c>
      <c r="R147" s="1">
        <f t="shared" si="14"/>
        <v>0</v>
      </c>
      <c r="S147" s="7">
        <f>Sintesi!$C$30</f>
        <v>0.107</v>
      </c>
      <c r="T147" s="7">
        <f>Sintesi!$C$29</f>
        <v>0.23300000000000001</v>
      </c>
      <c r="U147" s="5">
        <f>O147/(Sintesi!$C$5*1000)</f>
        <v>0.22977463796929995</v>
      </c>
      <c r="V147" s="1">
        <f t="shared" si="10"/>
        <v>0.126</v>
      </c>
      <c r="W147" s="1">
        <v>0.56040104983835604</v>
      </c>
      <c r="X147" s="1">
        <f t="shared" si="11"/>
        <v>7.0610532279632862E-2</v>
      </c>
      <c r="Y147" s="1">
        <f t="shared" si="12"/>
        <v>0.16238946772036716</v>
      </c>
      <c r="Z147" s="1">
        <f>'Paste cellinfo here'!$B$11</f>
        <v>0.52400000000000002</v>
      </c>
    </row>
    <row r="148" spans="1:26">
      <c r="A148" s="1">
        <v>147</v>
      </c>
      <c r="B148" s="2">
        <f>DATE(Sintesi!$C$4-1,12,31)+A148</f>
        <v>44343</v>
      </c>
      <c r="C148" s="1">
        <f>'Paste cell here'!B148</f>
        <v>0</v>
      </c>
      <c r="D148" s="1">
        <f>'Paste cell here'!I148</f>
        <v>0</v>
      </c>
      <c r="E148" s="1">
        <f>'Paste cell here'!J148</f>
        <v>0</v>
      </c>
      <c r="F148" s="1">
        <f>'Paste cell here'!K148</f>
        <v>0</v>
      </c>
      <c r="G148" s="1">
        <f>'Paste cell here'!L148</f>
        <v>0</v>
      </c>
      <c r="H148" s="1">
        <f>'Paste cell here'!M148</f>
        <v>0</v>
      </c>
      <c r="I148" s="1">
        <f>'Paste cell here'!N148</f>
        <v>0</v>
      </c>
      <c r="J148" s="1">
        <f>'Paste cell here'!O148</f>
        <v>0</v>
      </c>
      <c r="K148" s="1">
        <f>'Paste cell here'!Q148</f>
        <v>3.5192978741657446</v>
      </c>
      <c r="L148" s="1">
        <f>'Paste cell here'!S148</f>
        <v>0</v>
      </c>
      <c r="M148" s="1">
        <f>'Paste cell here'!T148</f>
        <v>3.5485515148815046E-2</v>
      </c>
      <c r="N148" s="1">
        <f>'Paste cell here'!W148</f>
        <v>0</v>
      </c>
      <c r="O148" s="1">
        <f>'Paste cell here'!U148</f>
        <v>19.422680407615438</v>
      </c>
      <c r="P148" s="1">
        <f t="shared" si="13"/>
        <v>22.977463796929996</v>
      </c>
      <c r="Q148" s="1">
        <f>'Paste cell here'!V148</f>
        <v>0</v>
      </c>
      <c r="R148" s="1">
        <f t="shared" si="14"/>
        <v>0</v>
      </c>
      <c r="S148" s="7">
        <f>Sintesi!$C$30</f>
        <v>0.107</v>
      </c>
      <c r="T148" s="7">
        <f>Sintesi!$C$29</f>
        <v>0.23300000000000001</v>
      </c>
      <c r="U148" s="5">
        <f>O148/(Sintesi!$C$5*1000)</f>
        <v>0.19422680407615439</v>
      </c>
      <c r="V148" s="1">
        <f t="shared" si="10"/>
        <v>0.126</v>
      </c>
      <c r="W148" s="1">
        <v>0.51366834836081099</v>
      </c>
      <c r="X148" s="1">
        <f t="shared" si="11"/>
        <v>6.4722211893462181E-2</v>
      </c>
      <c r="Y148" s="1">
        <f t="shared" si="12"/>
        <v>0.16827778810653782</v>
      </c>
      <c r="Z148" s="1">
        <f>'Paste cellinfo here'!$B$11</f>
        <v>0.52400000000000002</v>
      </c>
    </row>
    <row r="149" spans="1:26">
      <c r="A149" s="1">
        <v>148</v>
      </c>
      <c r="B149" s="2">
        <f>DATE(Sintesi!$C$4-1,12,31)+A149</f>
        <v>44344</v>
      </c>
      <c r="C149" s="1">
        <f>'Paste cell here'!B149</f>
        <v>0</v>
      </c>
      <c r="D149" s="1">
        <f>'Paste cell here'!I149</f>
        <v>0</v>
      </c>
      <c r="E149" s="1">
        <f>'Paste cell here'!J149</f>
        <v>0</v>
      </c>
      <c r="F149" s="1">
        <f>'Paste cell here'!K149</f>
        <v>0</v>
      </c>
      <c r="G149" s="1">
        <f>'Paste cell here'!L149</f>
        <v>0</v>
      </c>
      <c r="H149" s="1">
        <f>'Paste cell here'!M149</f>
        <v>0</v>
      </c>
      <c r="I149" s="1">
        <f>'Paste cell here'!N149</f>
        <v>0</v>
      </c>
      <c r="J149" s="1">
        <f>'Paste cell here'!O149</f>
        <v>0</v>
      </c>
      <c r="K149" s="1">
        <f>'Paste cell here'!Q149</f>
        <v>3.1944080143119966</v>
      </c>
      <c r="L149" s="1">
        <f>'Paste cell here'!S149</f>
        <v>0</v>
      </c>
      <c r="M149" s="1">
        <f>'Paste cell here'!T149</f>
        <v>3.6717104382578488E-3</v>
      </c>
      <c r="N149" s="1">
        <f>'Paste cell here'!W149</f>
        <v>0</v>
      </c>
      <c r="O149" s="1">
        <f>'Paste cell here'!U149</f>
        <v>16.224600682865187</v>
      </c>
      <c r="P149" s="1">
        <f t="shared" si="13"/>
        <v>19.422680407615438</v>
      </c>
      <c r="Q149" s="1">
        <f>'Paste cell here'!V149</f>
        <v>0</v>
      </c>
      <c r="R149" s="1">
        <f t="shared" si="14"/>
        <v>3.5527136788005009E-15</v>
      </c>
      <c r="S149" s="7">
        <f>Sintesi!$C$30</f>
        <v>0.107</v>
      </c>
      <c r="T149" s="7">
        <f>Sintesi!$C$29</f>
        <v>0.23300000000000001</v>
      </c>
      <c r="U149" s="5">
        <f>O149/(Sintesi!$C$5*1000)</f>
        <v>0.16224600682865187</v>
      </c>
      <c r="V149" s="1">
        <f t="shared" si="10"/>
        <v>0.126</v>
      </c>
      <c r="W149" s="1">
        <v>0.66226304000794001</v>
      </c>
      <c r="X149" s="1">
        <f t="shared" si="11"/>
        <v>8.3445143041000439E-2</v>
      </c>
      <c r="Y149" s="1">
        <f t="shared" si="12"/>
        <v>0.14955485695899956</v>
      </c>
      <c r="Z149" s="1">
        <f>'Paste cellinfo here'!$B$11</f>
        <v>0.52400000000000002</v>
      </c>
    </row>
    <row r="150" spans="1:26">
      <c r="A150" s="1">
        <v>149</v>
      </c>
      <c r="B150" s="2">
        <f>DATE(Sintesi!$C$4-1,12,31)+A150</f>
        <v>44345</v>
      </c>
      <c r="C150" s="1">
        <f>'Paste cell here'!B150</f>
        <v>0</v>
      </c>
      <c r="D150" s="1">
        <f>'Paste cell here'!I150</f>
        <v>0</v>
      </c>
      <c r="E150" s="1">
        <f>'Paste cell here'!J150</f>
        <v>0</v>
      </c>
      <c r="F150" s="1">
        <f>'Paste cell here'!K150</f>
        <v>0</v>
      </c>
      <c r="G150" s="1">
        <f>'Paste cell here'!L150</f>
        <v>0</v>
      </c>
      <c r="H150" s="1">
        <f>'Paste cell here'!M150</f>
        <v>0</v>
      </c>
      <c r="I150" s="1">
        <f>'Paste cell here'!N150</f>
        <v>0</v>
      </c>
      <c r="J150" s="1">
        <f>'Paste cell here'!O150</f>
        <v>0</v>
      </c>
      <c r="K150" s="1">
        <f>'Paste cell here'!Q150</f>
        <v>2.8322332760787332</v>
      </c>
      <c r="L150" s="1">
        <f>'Paste cell here'!S150</f>
        <v>0</v>
      </c>
      <c r="M150" s="1">
        <f>'Paste cell here'!T150</f>
        <v>2.4455825874124943E-4</v>
      </c>
      <c r="N150" s="1">
        <f>'Paste cell here'!W150</f>
        <v>0</v>
      </c>
      <c r="O150" s="1">
        <f>'Paste cell here'!U150</f>
        <v>13.392122848527714</v>
      </c>
      <c r="P150" s="1">
        <f t="shared" si="13"/>
        <v>16.224600682865187</v>
      </c>
      <c r="Q150" s="1">
        <f>'Paste cell here'!V150</f>
        <v>0</v>
      </c>
      <c r="R150" s="1">
        <f t="shared" si="14"/>
        <v>1.7763568394002505E-15</v>
      </c>
      <c r="S150" s="7">
        <f>Sintesi!$C$30</f>
        <v>0.107</v>
      </c>
      <c r="T150" s="7">
        <f>Sintesi!$C$29</f>
        <v>0.23300000000000001</v>
      </c>
      <c r="U150" s="5">
        <f>O150/(Sintesi!$C$5*1000)</f>
        <v>0.13392122848527716</v>
      </c>
      <c r="V150" s="1">
        <f t="shared" si="10"/>
        <v>0.126</v>
      </c>
      <c r="W150" s="1">
        <v>0.55453697148582104</v>
      </c>
      <c r="X150" s="1">
        <f t="shared" si="11"/>
        <v>6.9871658407213447E-2</v>
      </c>
      <c r="Y150" s="1">
        <f t="shared" si="12"/>
        <v>0.16312834159278655</v>
      </c>
      <c r="Z150" s="1">
        <f>'Paste cellinfo here'!$B$11</f>
        <v>0.52400000000000002</v>
      </c>
    </row>
    <row r="151" spans="1:26">
      <c r="A151" s="1">
        <v>150</v>
      </c>
      <c r="B151" s="2">
        <f>DATE(Sintesi!$C$4-1,12,31)+A151</f>
        <v>44346</v>
      </c>
      <c r="C151" s="1">
        <f>'Paste cell here'!B151</f>
        <v>0</v>
      </c>
      <c r="D151" s="1">
        <f>'Paste cell here'!I151</f>
        <v>0</v>
      </c>
      <c r="E151" s="1">
        <f>'Paste cell here'!J151</f>
        <v>0</v>
      </c>
      <c r="F151" s="1">
        <f>'Paste cell here'!K151</f>
        <v>0</v>
      </c>
      <c r="G151" s="1">
        <f>'Paste cell here'!L151</f>
        <v>0</v>
      </c>
      <c r="H151" s="1">
        <f>'Paste cell here'!M151</f>
        <v>0</v>
      </c>
      <c r="I151" s="1">
        <f>'Paste cell here'!N151</f>
        <v>0</v>
      </c>
      <c r="J151" s="1">
        <f>'Paste cell here'!O151</f>
        <v>0</v>
      </c>
      <c r="K151" s="1">
        <f>'Paste cell here'!Q151</f>
        <v>2.181726834070099</v>
      </c>
      <c r="L151" s="1">
        <f>'Paste cell here'!S151</f>
        <v>0</v>
      </c>
      <c r="M151" s="1">
        <f>'Paste cell here'!T151</f>
        <v>9.9789346621095121E-6</v>
      </c>
      <c r="N151" s="1">
        <f>'Paste cell here'!W151</f>
        <v>0</v>
      </c>
      <c r="O151" s="1">
        <f>'Paste cell here'!U151</f>
        <v>11.210386035522951</v>
      </c>
      <c r="P151" s="1">
        <f t="shared" si="13"/>
        <v>13.392122848527714</v>
      </c>
      <c r="Q151" s="1">
        <f>'Paste cell here'!V151</f>
        <v>0</v>
      </c>
      <c r="R151" s="1">
        <f t="shared" si="14"/>
        <v>1.7763568394002505E-15</v>
      </c>
      <c r="S151" s="7">
        <f>Sintesi!$C$30</f>
        <v>0.107</v>
      </c>
      <c r="T151" s="7">
        <f>Sintesi!$C$29</f>
        <v>0.23300000000000001</v>
      </c>
      <c r="U151" s="5">
        <f>O151/(Sintesi!$C$5*1000)</f>
        <v>0.11210386035522951</v>
      </c>
      <c r="V151" s="1">
        <f t="shared" si="10"/>
        <v>0.126</v>
      </c>
      <c r="W151" s="1">
        <v>0.61940017351381005</v>
      </c>
      <c r="X151" s="1">
        <f t="shared" si="11"/>
        <v>7.8044421862740063E-2</v>
      </c>
      <c r="Y151" s="1">
        <f t="shared" si="12"/>
        <v>0.15495557813725996</v>
      </c>
      <c r="Z151" s="1">
        <f>'Paste cellinfo here'!$B$11</f>
        <v>0.52400000000000002</v>
      </c>
    </row>
    <row r="152" spans="1:26">
      <c r="A152" s="1">
        <v>151</v>
      </c>
      <c r="B152" s="2">
        <f>DATE(Sintesi!$C$4-1,12,31)+A152</f>
        <v>44347</v>
      </c>
      <c r="C152" s="1">
        <f>'Paste cell here'!B152</f>
        <v>0</v>
      </c>
      <c r="D152" s="1">
        <f>'Paste cell here'!I152</f>
        <v>0</v>
      </c>
      <c r="E152" s="1">
        <f>'Paste cell here'!J152</f>
        <v>0</v>
      </c>
      <c r="F152" s="1">
        <f>'Paste cell here'!K152</f>
        <v>0</v>
      </c>
      <c r="G152" s="1">
        <f>'Paste cell here'!L152</f>
        <v>0</v>
      </c>
      <c r="H152" s="1">
        <f>'Paste cell here'!M152</f>
        <v>0</v>
      </c>
      <c r="I152" s="1">
        <f>'Paste cell here'!N152</f>
        <v>0</v>
      </c>
      <c r="J152" s="1">
        <f>'Paste cell here'!O152</f>
        <v>0</v>
      </c>
      <c r="K152" s="1">
        <f>'Paste cell here'!Q152</f>
        <v>1.4014505532217216</v>
      </c>
      <c r="L152" s="1">
        <f>'Paste cell here'!S152</f>
        <v>0</v>
      </c>
      <c r="M152" s="1">
        <f>'Paste cell here'!T152</f>
        <v>3.0496264135702671E-7</v>
      </c>
      <c r="N152" s="1">
        <f>'Paste cell here'!W152</f>
        <v>0</v>
      </c>
      <c r="O152" s="1">
        <f>'Paste cell here'!U152</f>
        <v>9.80893517733859</v>
      </c>
      <c r="P152" s="1">
        <f t="shared" si="13"/>
        <v>11.210386035522951</v>
      </c>
      <c r="Q152" s="1">
        <f>'Paste cell here'!V152</f>
        <v>0</v>
      </c>
      <c r="R152" s="1">
        <f t="shared" si="14"/>
        <v>1.7763568394002505E-15</v>
      </c>
      <c r="S152" s="7">
        <f>Sintesi!$C$30</f>
        <v>0.107</v>
      </c>
      <c r="T152" s="7">
        <f>Sintesi!$C$29</f>
        <v>0.23300000000000001</v>
      </c>
      <c r="U152" s="5">
        <f>O152/(Sintesi!$C$5*1000)</f>
        <v>9.8089351773385902E-2</v>
      </c>
      <c r="V152" s="1">
        <f t="shared" si="10"/>
        <v>0.126</v>
      </c>
      <c r="W152" s="1">
        <v>0.54788616709579896</v>
      </c>
      <c r="X152" s="1">
        <f t="shared" si="11"/>
        <v>6.9033657054070663E-2</v>
      </c>
      <c r="Y152" s="1">
        <f t="shared" si="12"/>
        <v>0.16396634294592935</v>
      </c>
      <c r="Z152" s="1">
        <f>'Paste cellinfo here'!$B$11</f>
        <v>0.52400000000000002</v>
      </c>
    </row>
    <row r="153" spans="1:26">
      <c r="A153" s="1">
        <v>152</v>
      </c>
      <c r="B153" s="2">
        <f>DATE(Sintesi!$C$4-1,12,31)+A153</f>
        <v>44348</v>
      </c>
      <c r="C153" s="1">
        <f>'Paste cell here'!B153</f>
        <v>0</v>
      </c>
      <c r="D153" s="1">
        <f>'Paste cell here'!I153</f>
        <v>0</v>
      </c>
      <c r="E153" s="1">
        <f>'Paste cell here'!J153</f>
        <v>0</v>
      </c>
      <c r="F153" s="1">
        <f>'Paste cell here'!K153</f>
        <v>0</v>
      </c>
      <c r="G153" s="1">
        <f>'Paste cell here'!L153</f>
        <v>0</v>
      </c>
      <c r="H153" s="1">
        <f>'Paste cell here'!M153</f>
        <v>0</v>
      </c>
      <c r="I153" s="1">
        <f>'Paste cell here'!N153</f>
        <v>0</v>
      </c>
      <c r="J153" s="1">
        <f>'Paste cell here'!O153</f>
        <v>0</v>
      </c>
      <c r="K153" s="1">
        <f>'Paste cell here'!Q153</f>
        <v>1.0435100724733912</v>
      </c>
      <c r="L153" s="1">
        <f>'Paste cell here'!S153</f>
        <v>0</v>
      </c>
      <c r="M153" s="1">
        <f>'Paste cell here'!T153</f>
        <v>1.1108653660677676E-8</v>
      </c>
      <c r="N153" s="1">
        <f>'Paste cell here'!W153</f>
        <v>0</v>
      </c>
      <c r="O153" s="1">
        <f>'Paste cell here'!U153</f>
        <v>8.7654250937565479</v>
      </c>
      <c r="P153" s="1">
        <f t="shared" si="13"/>
        <v>9.80893517733859</v>
      </c>
      <c r="Q153" s="1">
        <f>'Paste cell here'!V153</f>
        <v>0</v>
      </c>
      <c r="R153" s="1">
        <f t="shared" si="14"/>
        <v>3.5527136788005009E-15</v>
      </c>
      <c r="S153" s="7">
        <f>Sintesi!$C$30</f>
        <v>0.107</v>
      </c>
      <c r="T153" s="7">
        <f>Sintesi!$C$29</f>
        <v>0.23300000000000001</v>
      </c>
      <c r="U153" s="5">
        <f>O153/(Sintesi!$C$5*1000)</f>
        <v>8.7654250937565473E-2</v>
      </c>
      <c r="V153" s="1">
        <f t="shared" si="10"/>
        <v>0.126</v>
      </c>
      <c r="W153" s="1">
        <v>0.49944484358049401</v>
      </c>
      <c r="X153" s="1">
        <f t="shared" si="11"/>
        <v>6.293005029114225E-2</v>
      </c>
      <c r="Y153" s="1">
        <f t="shared" si="12"/>
        <v>0.17006994970885775</v>
      </c>
      <c r="Z153" s="1">
        <f>'Paste cellinfo here'!$B$11</f>
        <v>0.52400000000000002</v>
      </c>
    </row>
    <row r="154" spans="1:26">
      <c r="A154" s="1">
        <v>153</v>
      </c>
      <c r="B154" s="2">
        <f>DATE(Sintesi!$C$4-1,12,31)+A154</f>
        <v>44349</v>
      </c>
      <c r="C154" s="1">
        <f>'Paste cell here'!B154</f>
        <v>0</v>
      </c>
      <c r="D154" s="1">
        <f>'Paste cell here'!I154</f>
        <v>0</v>
      </c>
      <c r="E154" s="1">
        <f>'Paste cell here'!J154</f>
        <v>0</v>
      </c>
      <c r="F154" s="1">
        <f>'Paste cell here'!K154</f>
        <v>0</v>
      </c>
      <c r="G154" s="1">
        <f>'Paste cell here'!L154</f>
        <v>0</v>
      </c>
      <c r="H154" s="1">
        <f>'Paste cell here'!M154</f>
        <v>0</v>
      </c>
      <c r="I154" s="1">
        <f>'Paste cell here'!N154</f>
        <v>0</v>
      </c>
      <c r="J154" s="1">
        <f>'Paste cell here'!O154</f>
        <v>0</v>
      </c>
      <c r="K154" s="1">
        <f>'Paste cell here'!Q154</f>
        <v>0.72720847122099819</v>
      </c>
      <c r="L154" s="1">
        <f>'Paste cell here'!S154</f>
        <v>0</v>
      </c>
      <c r="M154" s="1">
        <f>'Paste cell here'!T154</f>
        <v>3.1139728831516922E-10</v>
      </c>
      <c r="N154" s="1">
        <f>'Paste cell here'!W154</f>
        <v>0</v>
      </c>
      <c r="O154" s="1">
        <f>'Paste cell here'!U154</f>
        <v>8.0382166222241498</v>
      </c>
      <c r="P154" s="1">
        <f t="shared" si="13"/>
        <v>8.7654250937565479</v>
      </c>
      <c r="Q154" s="1">
        <f>'Paste cell here'!V154</f>
        <v>0</v>
      </c>
      <c r="R154" s="1">
        <f t="shared" si="14"/>
        <v>3.5527136788005009E-15</v>
      </c>
      <c r="S154" s="7">
        <f>Sintesi!$C$30</f>
        <v>0.107</v>
      </c>
      <c r="T154" s="7">
        <f>Sintesi!$C$29</f>
        <v>0.23300000000000001</v>
      </c>
      <c r="U154" s="5">
        <f>O154/(Sintesi!$C$5*1000)</f>
        <v>8.0382166222241494E-2</v>
      </c>
      <c r="V154" s="1">
        <f t="shared" si="10"/>
        <v>0.126</v>
      </c>
      <c r="W154" s="1">
        <v>0.47397236539349102</v>
      </c>
      <c r="X154" s="1">
        <f t="shared" si="11"/>
        <v>5.9720518039579867E-2</v>
      </c>
      <c r="Y154" s="1">
        <f t="shared" si="12"/>
        <v>0.17327948196042015</v>
      </c>
      <c r="Z154" s="1">
        <f>'Paste cellinfo here'!$B$11</f>
        <v>0.52400000000000002</v>
      </c>
    </row>
    <row r="155" spans="1:26">
      <c r="A155" s="1">
        <v>154</v>
      </c>
      <c r="B155" s="2">
        <f>DATE(Sintesi!$C$4-1,12,31)+A155</f>
        <v>44350</v>
      </c>
      <c r="C155" s="1">
        <f>'Paste cell here'!B155</f>
        <v>0</v>
      </c>
      <c r="D155" s="1">
        <f>'Paste cell here'!I155</f>
        <v>0</v>
      </c>
      <c r="E155" s="1">
        <f>'Paste cell here'!J155</f>
        <v>0</v>
      </c>
      <c r="F155" s="1">
        <f>'Paste cell here'!K155</f>
        <v>0</v>
      </c>
      <c r="G155" s="1">
        <f>'Paste cell here'!L155</f>
        <v>0</v>
      </c>
      <c r="H155" s="1">
        <f>'Paste cell here'!M155</f>
        <v>0</v>
      </c>
      <c r="I155" s="1">
        <f>'Paste cell here'!N155</f>
        <v>0</v>
      </c>
      <c r="J155" s="1">
        <f>'Paste cell here'!O155</f>
        <v>0</v>
      </c>
      <c r="K155" s="1">
        <f>'Paste cell here'!Q155</f>
        <v>0.65697154261628943</v>
      </c>
      <c r="L155" s="1">
        <f>'Paste cell here'!S155</f>
        <v>0</v>
      </c>
      <c r="M155" s="1">
        <f>'Paste cell here'!T155</f>
        <v>6.8319011626744655E-12</v>
      </c>
      <c r="N155" s="1">
        <f>'Paste cell here'!W155</f>
        <v>0</v>
      </c>
      <c r="O155" s="1">
        <f>'Paste cell here'!U155</f>
        <v>7.3812450796010269</v>
      </c>
      <c r="P155" s="1">
        <f t="shared" si="13"/>
        <v>8.0382166222241498</v>
      </c>
      <c r="Q155" s="1">
        <f>'Paste cell here'!V155</f>
        <v>0</v>
      </c>
      <c r="R155" s="1">
        <f t="shared" si="14"/>
        <v>1.7763568394002505E-15</v>
      </c>
      <c r="S155" s="7">
        <f>Sintesi!$C$30</f>
        <v>0.107</v>
      </c>
      <c r="T155" s="7">
        <f>Sintesi!$C$29</f>
        <v>0.23300000000000001</v>
      </c>
      <c r="U155" s="5">
        <f>O155/(Sintesi!$C$5*1000)</f>
        <v>7.3812450796010273E-2</v>
      </c>
      <c r="V155" s="1">
        <f t="shared" si="10"/>
        <v>0.126</v>
      </c>
      <c r="W155" s="1">
        <v>0.48220186215408201</v>
      </c>
      <c r="X155" s="1">
        <f t="shared" si="11"/>
        <v>6.0757434631414337E-2</v>
      </c>
      <c r="Y155" s="1">
        <f t="shared" si="12"/>
        <v>0.17224256536858568</v>
      </c>
      <c r="Z155" s="1">
        <f>'Paste cellinfo here'!$B$11</f>
        <v>0.52400000000000002</v>
      </c>
    </row>
    <row r="156" spans="1:26">
      <c r="A156" s="1">
        <v>155</v>
      </c>
      <c r="B156" s="2">
        <f>DATE(Sintesi!$C$4-1,12,31)+A156</f>
        <v>44351</v>
      </c>
      <c r="C156" s="1">
        <f>'Paste cell here'!B156</f>
        <v>0</v>
      </c>
      <c r="D156" s="1">
        <f>'Paste cell here'!I156</f>
        <v>54</v>
      </c>
      <c r="E156" s="1">
        <f>'Paste cell here'!J156</f>
        <v>0</v>
      </c>
      <c r="F156" s="1">
        <f>'Paste cell here'!K156</f>
        <v>54</v>
      </c>
      <c r="G156" s="1">
        <f>'Paste cell here'!L156</f>
        <v>0</v>
      </c>
      <c r="H156" s="1">
        <f>'Paste cell here'!M156</f>
        <v>0</v>
      </c>
      <c r="I156" s="1">
        <f>'Paste cell here'!N156</f>
        <v>0</v>
      </c>
      <c r="J156" s="1">
        <f>'Paste cell here'!O156</f>
        <v>0</v>
      </c>
      <c r="K156" s="1">
        <f>'Paste cell here'!Q156</f>
        <v>2.0065303452697423</v>
      </c>
      <c r="L156" s="1">
        <f>'Paste cell here'!S156</f>
        <v>0</v>
      </c>
      <c r="M156" s="1">
        <f>'Paste cell here'!T156</f>
        <v>31.926413174131437</v>
      </c>
      <c r="N156" s="1">
        <f>'Paste cell here'!W156</f>
        <v>0</v>
      </c>
      <c r="O156" s="1">
        <f>'Paste cell here'!U156</f>
        <v>27.448301560199845</v>
      </c>
      <c r="P156" s="1">
        <f t="shared" si="13"/>
        <v>7.3812450796010269</v>
      </c>
      <c r="Q156" s="1">
        <f>'Paste cell here'!V156</f>
        <v>0</v>
      </c>
      <c r="R156" s="1">
        <f t="shared" si="14"/>
        <v>3.5527136788005009E-15</v>
      </c>
      <c r="S156" s="7">
        <f>Sintesi!$C$30</f>
        <v>0.107</v>
      </c>
      <c r="T156" s="7">
        <f>Sintesi!$C$29</f>
        <v>0.23300000000000001</v>
      </c>
      <c r="U156" s="5">
        <f>O156/(Sintesi!$C$5*1000)</f>
        <v>0.27448301560199845</v>
      </c>
      <c r="V156" s="1">
        <f t="shared" si="10"/>
        <v>0.126</v>
      </c>
      <c r="W156" s="1">
        <v>0.492118123196849</v>
      </c>
      <c r="X156" s="1">
        <f t="shared" si="11"/>
        <v>6.2006883522802973E-2</v>
      </c>
      <c r="Y156" s="1">
        <f t="shared" si="12"/>
        <v>0.17099311647719703</v>
      </c>
      <c r="Z156" s="1">
        <f>'Paste cellinfo here'!$B$11</f>
        <v>0.52400000000000002</v>
      </c>
    </row>
    <row r="157" spans="1:26">
      <c r="A157" s="1">
        <v>156</v>
      </c>
      <c r="B157" s="2">
        <f>DATE(Sintesi!$C$4-1,12,31)+A157</f>
        <v>44352</v>
      </c>
      <c r="C157" s="1">
        <f>'Paste cell here'!B157</f>
        <v>7.1199999999999752</v>
      </c>
      <c r="D157" s="1">
        <f>'Paste cell here'!I157</f>
        <v>0</v>
      </c>
      <c r="E157" s="1">
        <f>'Paste cell here'!J157</f>
        <v>5.7287264573990795</v>
      </c>
      <c r="F157" s="1">
        <f>'Paste cell here'!K157</f>
        <v>7.1199999999999752</v>
      </c>
      <c r="G157" s="1">
        <f>'Paste cell here'!L157</f>
        <v>5.5437562984496029</v>
      </c>
      <c r="H157" s="1">
        <f>'Paste cell here'!M157</f>
        <v>1.3912735426008958</v>
      </c>
      <c r="I157" s="1">
        <f>'Paste cell here'!N157</f>
        <v>0.18497015894947624</v>
      </c>
      <c r="J157" s="1">
        <f>'Paste cell here'!O157</f>
        <v>5.5437564636664138</v>
      </c>
      <c r="K157" s="1">
        <f>'Paste cell here'!Q157</f>
        <v>1.6779080654755787</v>
      </c>
      <c r="L157" s="1">
        <f>'Paste cell here'!S157</f>
        <v>0</v>
      </c>
      <c r="M157" s="1">
        <f>'Paste cell here'!T157</f>
        <v>4.0399010541061013</v>
      </c>
      <c r="N157" s="1">
        <f>'Paste cell here'!W157</f>
        <v>0</v>
      </c>
      <c r="O157" s="1">
        <f>'Paste cell here'!U157</f>
        <v>27.274248904284562</v>
      </c>
      <c r="P157" s="1">
        <f t="shared" si="13"/>
        <v>27.448301560199845</v>
      </c>
      <c r="Q157" s="1">
        <f>'Paste cell here'!V157</f>
        <v>0</v>
      </c>
      <c r="R157" s="1">
        <f t="shared" si="14"/>
        <v>1.6521678958270059E-7</v>
      </c>
      <c r="S157" s="7">
        <f>Sintesi!$C$30</f>
        <v>0.107</v>
      </c>
      <c r="T157" s="7">
        <f>Sintesi!$C$29</f>
        <v>0.23300000000000001</v>
      </c>
      <c r="U157" s="5">
        <f>O157/(Sintesi!$C$5*1000)</f>
        <v>0.27274248904284559</v>
      </c>
      <c r="V157" s="1">
        <f t="shared" si="10"/>
        <v>0.126</v>
      </c>
      <c r="W157" s="1">
        <v>0.48495629987690902</v>
      </c>
      <c r="X157" s="1">
        <f t="shared" si="11"/>
        <v>6.1104493784490538E-2</v>
      </c>
      <c r="Y157" s="1">
        <f t="shared" si="12"/>
        <v>0.17189550621550947</v>
      </c>
      <c r="Z157" s="1">
        <f>'Paste cellinfo here'!$B$11</f>
        <v>0.52400000000000002</v>
      </c>
    </row>
    <row r="158" spans="1:26">
      <c r="A158" s="1">
        <v>157</v>
      </c>
      <c r="B158" s="2">
        <f>DATE(Sintesi!$C$4-1,12,31)+A158</f>
        <v>44353</v>
      </c>
      <c r="C158" s="1">
        <f>'Paste cell here'!B158</f>
        <v>26.319999999999805</v>
      </c>
      <c r="D158" s="1">
        <f>'Paste cell here'!I158</f>
        <v>0</v>
      </c>
      <c r="E158" s="1">
        <f>'Paste cell here'!J158</f>
        <v>24.627863653815879</v>
      </c>
      <c r="F158" s="1">
        <f>'Paste cell here'!K158</f>
        <v>26.319999999999805</v>
      </c>
      <c r="G158" s="1">
        <f>'Paste cell here'!L158</f>
        <v>14.629496727841911</v>
      </c>
      <c r="H158" s="1">
        <f>'Paste cell here'!M158</f>
        <v>1.6921363461839272</v>
      </c>
      <c r="I158" s="1">
        <f>'Paste cell here'!N158</f>
        <v>9.9983669259739685</v>
      </c>
      <c r="J158" s="1">
        <f>'Paste cell here'!O158</f>
        <v>14.629497163834886</v>
      </c>
      <c r="K158" s="1">
        <f>'Paste cell here'!Q158</f>
        <v>2.4618154928623897</v>
      </c>
      <c r="L158" s="1">
        <f>'Paste cell here'!S158</f>
        <v>0</v>
      </c>
      <c r="M158" s="1">
        <f>'Paste cell here'!T158</f>
        <v>8.6966804215452349</v>
      </c>
      <c r="N158" s="1">
        <f>'Paste cell here'!W158</f>
        <v>0</v>
      </c>
      <c r="O158" s="1">
        <f>'Paste cell here'!U158</f>
        <v>30.745250153711837</v>
      </c>
      <c r="P158" s="1">
        <f t="shared" si="13"/>
        <v>27.274248904284562</v>
      </c>
      <c r="Q158" s="1">
        <f>'Paste cell here'!V158</f>
        <v>0</v>
      </c>
      <c r="R158" s="1">
        <f t="shared" si="14"/>
        <v>4.3599299104357669E-7</v>
      </c>
      <c r="S158" s="7">
        <f>Sintesi!$C$30</f>
        <v>0.107</v>
      </c>
      <c r="T158" s="7">
        <f>Sintesi!$C$29</f>
        <v>0.23300000000000001</v>
      </c>
      <c r="U158" s="5">
        <f>O158/(Sintesi!$C$5*1000)</f>
        <v>0.30745250153711834</v>
      </c>
      <c r="V158" s="1">
        <f t="shared" si="10"/>
        <v>0.126</v>
      </c>
      <c r="W158" s="1">
        <v>0.482468186636001</v>
      </c>
      <c r="X158" s="1">
        <f t="shared" si="11"/>
        <v>6.0790991516136123E-2</v>
      </c>
      <c r="Y158" s="1">
        <f t="shared" si="12"/>
        <v>0.17220900848386389</v>
      </c>
      <c r="Z158" s="1">
        <f>'Paste cellinfo here'!$B$11</f>
        <v>0.52400000000000002</v>
      </c>
    </row>
    <row r="159" spans="1:26">
      <c r="A159" s="1">
        <v>158</v>
      </c>
      <c r="B159" s="2">
        <f>DATE(Sintesi!$C$4-1,12,31)+A159</f>
        <v>44354</v>
      </c>
      <c r="C159" s="1">
        <f>'Paste cell here'!B159</f>
        <v>1.6399999999999921</v>
      </c>
      <c r="D159" s="1">
        <f>'Paste cell here'!I159</f>
        <v>0</v>
      </c>
      <c r="E159" s="1">
        <f>'Paste cell here'!J159</f>
        <v>0.76543912573281925</v>
      </c>
      <c r="F159" s="1">
        <f>'Paste cell here'!K159</f>
        <v>1.6399999999999921</v>
      </c>
      <c r="G159" s="1">
        <f>'Paste cell here'!L159</f>
        <v>0.76543912573281925</v>
      </c>
      <c r="H159" s="1">
        <f>'Paste cell here'!M159</f>
        <v>0.87456087426717288</v>
      </c>
      <c r="I159" s="1">
        <f>'Paste cell here'!N159</f>
        <v>0</v>
      </c>
      <c r="J159" s="1">
        <f>'Paste cell here'!O159</f>
        <v>0.76543914854468287</v>
      </c>
      <c r="K159" s="1">
        <f>'Paste cell here'!Q159</f>
        <v>1.1893526695187122</v>
      </c>
      <c r="L159" s="1">
        <f>'Paste cell here'!S159</f>
        <v>0</v>
      </c>
      <c r="M159" s="1">
        <f>'Paste cell here'!T159</f>
        <v>3.8868234679929028</v>
      </c>
      <c r="N159" s="1">
        <f>'Paste cell here'!W159</f>
        <v>0</v>
      </c>
      <c r="O159" s="1">
        <f>'Paste cell here'!U159</f>
        <v>26.43451316474491</v>
      </c>
      <c r="P159" s="1">
        <f t="shared" si="13"/>
        <v>30.745250153711837</v>
      </c>
      <c r="Q159" s="1">
        <f>'Paste cell here'!V159</f>
        <v>0</v>
      </c>
      <c r="R159" s="1">
        <f t="shared" si="14"/>
        <v>2.2811864397453974E-8</v>
      </c>
      <c r="S159" s="7">
        <f>Sintesi!$C$30</f>
        <v>0.107</v>
      </c>
      <c r="T159" s="7">
        <f>Sintesi!$C$29</f>
        <v>0.23300000000000001</v>
      </c>
      <c r="U159" s="5">
        <f>O159/(Sintesi!$C$5*1000)</f>
        <v>0.26434513164744911</v>
      </c>
      <c r="V159" s="1">
        <f t="shared" si="10"/>
        <v>0.126</v>
      </c>
      <c r="W159" s="1">
        <v>0.52832517082921304</v>
      </c>
      <c r="X159" s="1">
        <f t="shared" si="11"/>
        <v>6.6568971524480838E-2</v>
      </c>
      <c r="Y159" s="1">
        <f t="shared" si="12"/>
        <v>0.16643102847551916</v>
      </c>
      <c r="Z159" s="1">
        <f>'Paste cellinfo here'!$B$11</f>
        <v>0.52400000000000002</v>
      </c>
    </row>
    <row r="160" spans="1:26">
      <c r="A160" s="1">
        <v>159</v>
      </c>
      <c r="B160" s="2">
        <f>DATE(Sintesi!$C$4-1,12,31)+A160</f>
        <v>44355</v>
      </c>
      <c r="C160" s="1">
        <f>'Paste cell here'!B160</f>
        <v>0.47999999999999826</v>
      </c>
      <c r="D160" s="1">
        <f>'Paste cell here'!I160</f>
        <v>0</v>
      </c>
      <c r="E160" s="1">
        <f>'Paste cell here'!J160</f>
        <v>9.5214480535580848E-2</v>
      </c>
      <c r="F160" s="1">
        <f>'Paste cell here'!K160</f>
        <v>0.47999999999999826</v>
      </c>
      <c r="G160" s="1">
        <f>'Paste cell here'!L160</f>
        <v>9.5214480535580848E-2</v>
      </c>
      <c r="H160" s="1">
        <f>'Paste cell here'!M160</f>
        <v>0.38478551946441741</v>
      </c>
      <c r="I160" s="1">
        <f>'Paste cell here'!N160</f>
        <v>0</v>
      </c>
      <c r="J160" s="1">
        <f>'Paste cell here'!O160</f>
        <v>9.521448337319352E-2</v>
      </c>
      <c r="K160" s="1">
        <f>'Paste cell here'!Q160</f>
        <v>1.3609241242165129</v>
      </c>
      <c r="L160" s="1">
        <f>'Paste cell here'!S160</f>
        <v>0</v>
      </c>
      <c r="M160" s="1">
        <f>'Paste cell here'!T160</f>
        <v>0.85171711221070967</v>
      </c>
      <c r="N160" s="1">
        <f>'Paste cell here'!W160</f>
        <v>0</v>
      </c>
      <c r="O160" s="1">
        <f>'Paste cell here'!U160</f>
        <v>24.317086411690884</v>
      </c>
      <c r="P160" s="1">
        <f t="shared" si="13"/>
        <v>26.43451316474491</v>
      </c>
      <c r="Q160" s="1">
        <f>'Paste cell here'!V160</f>
        <v>0</v>
      </c>
      <c r="R160" s="1">
        <f t="shared" si="14"/>
        <v>2.8376199168178573E-9</v>
      </c>
      <c r="S160" s="7">
        <f>Sintesi!$C$30</f>
        <v>0.107</v>
      </c>
      <c r="T160" s="7">
        <f>Sintesi!$C$29</f>
        <v>0.23300000000000001</v>
      </c>
      <c r="U160" s="5">
        <f>O160/(Sintesi!$C$5*1000)</f>
        <v>0.24317086411690883</v>
      </c>
      <c r="V160" s="1">
        <f t="shared" si="10"/>
        <v>0.126</v>
      </c>
      <c r="W160" s="1">
        <v>0.48000323223791103</v>
      </c>
      <c r="X160" s="1">
        <f t="shared" si="11"/>
        <v>6.0480407261976787E-2</v>
      </c>
      <c r="Y160" s="1">
        <f t="shared" si="12"/>
        <v>0.17251959273802323</v>
      </c>
      <c r="Z160" s="1">
        <f>'Paste cellinfo here'!$B$11</f>
        <v>0.52400000000000002</v>
      </c>
    </row>
    <row r="161" spans="1:26">
      <c r="A161" s="1">
        <v>160</v>
      </c>
      <c r="B161" s="2">
        <f>DATE(Sintesi!$C$4-1,12,31)+A161</f>
        <v>44356</v>
      </c>
      <c r="C161" s="1">
        <f>'Paste cell here'!B161</f>
        <v>0</v>
      </c>
      <c r="D161" s="1">
        <f>'Paste cell here'!I161</f>
        <v>0</v>
      </c>
      <c r="E161" s="1">
        <f>'Paste cell here'!J161</f>
        <v>0</v>
      </c>
      <c r="F161" s="1">
        <f>'Paste cell here'!K161</f>
        <v>0</v>
      </c>
      <c r="G161" s="1">
        <f>'Paste cell here'!L161</f>
        <v>0</v>
      </c>
      <c r="H161" s="1">
        <f>'Paste cell here'!M161</f>
        <v>0</v>
      </c>
      <c r="I161" s="1">
        <f>'Paste cell here'!N161</f>
        <v>0</v>
      </c>
      <c r="J161" s="1">
        <f>'Paste cell here'!O161</f>
        <v>0</v>
      </c>
      <c r="K161" s="1">
        <f>'Paste cell here'!Q161</f>
        <v>2.0821935086381376</v>
      </c>
      <c r="L161" s="1">
        <f>'Paste cell here'!S161</f>
        <v>0</v>
      </c>
      <c r="M161" s="1">
        <f>'Paste cell here'!T161</f>
        <v>0.24028567500883405</v>
      </c>
      <c r="N161" s="1">
        <f>'Paste cell here'!W161</f>
        <v>0</v>
      </c>
      <c r="O161" s="1">
        <f>'Paste cell here'!U161</f>
        <v>21.994607228043911</v>
      </c>
      <c r="P161" s="1">
        <f t="shared" si="13"/>
        <v>24.317086411690884</v>
      </c>
      <c r="Q161" s="1">
        <f>'Paste cell here'!V161</f>
        <v>0</v>
      </c>
      <c r="R161" s="1">
        <f t="shared" si="14"/>
        <v>0</v>
      </c>
      <c r="S161" s="7">
        <f>Sintesi!$C$30</f>
        <v>0.107</v>
      </c>
      <c r="T161" s="7">
        <f>Sintesi!$C$29</f>
        <v>0.23300000000000001</v>
      </c>
      <c r="U161" s="5">
        <f>O161/(Sintesi!$C$5*1000)</f>
        <v>0.21994607228043911</v>
      </c>
      <c r="V161" s="1">
        <f t="shared" si="10"/>
        <v>0.126</v>
      </c>
      <c r="W161" s="1">
        <v>0.47611367671472299</v>
      </c>
      <c r="X161" s="1">
        <f t="shared" si="11"/>
        <v>5.99903232660551E-2</v>
      </c>
      <c r="Y161" s="1">
        <f t="shared" si="12"/>
        <v>0.17300967673394491</v>
      </c>
      <c r="Z161" s="1">
        <f>'Paste cellinfo here'!$B$11</f>
        <v>0.52400000000000002</v>
      </c>
    </row>
    <row r="162" spans="1:26">
      <c r="A162" s="1">
        <v>161</v>
      </c>
      <c r="B162" s="2">
        <f>DATE(Sintesi!$C$4-1,12,31)+A162</f>
        <v>44357</v>
      </c>
      <c r="C162" s="1">
        <f>'Paste cell here'!B162</f>
        <v>0</v>
      </c>
      <c r="D162" s="1">
        <f>'Paste cell here'!I162</f>
        <v>0</v>
      </c>
      <c r="E162" s="1">
        <f>'Paste cell here'!J162</f>
        <v>0</v>
      </c>
      <c r="F162" s="1">
        <f>'Paste cell here'!K162</f>
        <v>0</v>
      </c>
      <c r="G162" s="1">
        <f>'Paste cell here'!L162</f>
        <v>0</v>
      </c>
      <c r="H162" s="1">
        <f>'Paste cell here'!M162</f>
        <v>0</v>
      </c>
      <c r="I162" s="1">
        <f>'Paste cell here'!N162</f>
        <v>0</v>
      </c>
      <c r="J162" s="1">
        <f>'Paste cell here'!O162</f>
        <v>0</v>
      </c>
      <c r="K162" s="1">
        <f>'Paste cell here'!Q162</f>
        <v>1.8405126484285488</v>
      </c>
      <c r="L162" s="1">
        <f>'Paste cell here'!S162</f>
        <v>0</v>
      </c>
      <c r="M162" s="1">
        <f>'Paste cell here'!T162</f>
        <v>5.8976930770709063E-2</v>
      </c>
      <c r="N162" s="1">
        <f>'Paste cell here'!W162</f>
        <v>0</v>
      </c>
      <c r="O162" s="1">
        <f>'Paste cell here'!U162</f>
        <v>20.095117648844667</v>
      </c>
      <c r="P162" s="1">
        <f t="shared" si="13"/>
        <v>21.994607228043911</v>
      </c>
      <c r="Q162" s="1">
        <f>'Paste cell here'!V162</f>
        <v>0</v>
      </c>
      <c r="R162" s="1">
        <f t="shared" si="14"/>
        <v>1.4210854715202004E-14</v>
      </c>
      <c r="S162" s="7">
        <f>Sintesi!$C$30</f>
        <v>0.107</v>
      </c>
      <c r="T162" s="7">
        <f>Sintesi!$C$29</f>
        <v>0.23300000000000001</v>
      </c>
      <c r="U162" s="5">
        <f>O162/(Sintesi!$C$5*1000)</f>
        <v>0.20095117648844668</v>
      </c>
      <c r="V162" s="1">
        <f t="shared" si="10"/>
        <v>0.126</v>
      </c>
      <c r="W162" s="1">
        <v>0.45630450306385401</v>
      </c>
      <c r="X162" s="1">
        <f t="shared" si="11"/>
        <v>5.7494367386045603E-2</v>
      </c>
      <c r="Y162" s="1">
        <f t="shared" si="12"/>
        <v>0.17550563261395441</v>
      </c>
      <c r="Z162" s="1">
        <f>'Paste cellinfo here'!$B$11</f>
        <v>0.52400000000000002</v>
      </c>
    </row>
    <row r="163" spans="1:26">
      <c r="A163" s="1">
        <v>162</v>
      </c>
      <c r="B163" s="2">
        <f>DATE(Sintesi!$C$4-1,12,31)+A163</f>
        <v>44358</v>
      </c>
      <c r="C163" s="1">
        <f>'Paste cell here'!B163</f>
        <v>3.8799999999999502</v>
      </c>
      <c r="D163" s="1">
        <f>'Paste cell here'!I163</f>
        <v>0</v>
      </c>
      <c r="E163" s="1">
        <f>'Paste cell here'!J163</f>
        <v>2.5023936170212329</v>
      </c>
      <c r="F163" s="1">
        <f>'Paste cell here'!K163</f>
        <v>3.8799999999999502</v>
      </c>
      <c r="G163" s="1">
        <f>'Paste cell here'!L163</f>
        <v>2.5023936170212329</v>
      </c>
      <c r="H163" s="1">
        <f>'Paste cell here'!M163</f>
        <v>1.3776063829787171</v>
      </c>
      <c r="I163" s="1">
        <f>'Paste cell here'!N163</f>
        <v>0</v>
      </c>
      <c r="J163" s="1">
        <f>'Paste cell here'!O163</f>
        <v>2.5023936915983747</v>
      </c>
      <c r="K163" s="1">
        <f>'Paste cell here'!Q163</f>
        <v>1.7256608491915069</v>
      </c>
      <c r="L163" s="1">
        <f>'Paste cell here'!S163</f>
        <v>0</v>
      </c>
      <c r="M163" s="1">
        <f>'Paste cell here'!T163</f>
        <v>3.1128014341590363E-2</v>
      </c>
      <c r="N163" s="1">
        <f>'Paste cell here'!W163</f>
        <v>0</v>
      </c>
      <c r="O163" s="1">
        <f>'Paste cell here'!U163</f>
        <v>20.840722476909939</v>
      </c>
      <c r="P163" s="1">
        <f t="shared" si="13"/>
        <v>20.095117648844667</v>
      </c>
      <c r="Q163" s="1">
        <f>'Paste cell here'!V163</f>
        <v>0</v>
      </c>
      <c r="R163" s="1">
        <f t="shared" si="14"/>
        <v>7.4577133801767559E-8</v>
      </c>
      <c r="S163" s="7">
        <f>Sintesi!$C$30</f>
        <v>0.107</v>
      </c>
      <c r="T163" s="7">
        <f>Sintesi!$C$29</f>
        <v>0.23300000000000001</v>
      </c>
      <c r="U163" s="5">
        <f>O163/(Sintesi!$C$5*1000)</f>
        <v>0.2084072247690994</v>
      </c>
      <c r="V163" s="1">
        <f t="shared" si="10"/>
        <v>0.126</v>
      </c>
      <c r="W163" s="1">
        <v>0.45004783902072898</v>
      </c>
      <c r="X163" s="1">
        <f t="shared" si="11"/>
        <v>5.6706027716611852E-2</v>
      </c>
      <c r="Y163" s="1">
        <f t="shared" si="12"/>
        <v>0.17629397228338817</v>
      </c>
      <c r="Z163" s="1">
        <f>'Paste cellinfo here'!$B$11</f>
        <v>0.52400000000000002</v>
      </c>
    </row>
    <row r="164" spans="1:26">
      <c r="A164" s="1">
        <v>163</v>
      </c>
      <c r="B164" s="2">
        <f>DATE(Sintesi!$C$4-1,12,31)+A164</f>
        <v>44359</v>
      </c>
      <c r="C164" s="1">
        <f>'Paste cell here'!B164</f>
        <v>0</v>
      </c>
      <c r="D164" s="1">
        <f>'Paste cell here'!I164</f>
        <v>0</v>
      </c>
      <c r="E164" s="1">
        <f>'Paste cell here'!J164</f>
        <v>0</v>
      </c>
      <c r="F164" s="1">
        <f>'Paste cell here'!K164</f>
        <v>0</v>
      </c>
      <c r="G164" s="1">
        <f>'Paste cell here'!L164</f>
        <v>0</v>
      </c>
      <c r="H164" s="1">
        <f>'Paste cell here'!M164</f>
        <v>0</v>
      </c>
      <c r="I164" s="1">
        <f>'Paste cell here'!N164</f>
        <v>0</v>
      </c>
      <c r="J164" s="1">
        <f>'Paste cell here'!O164</f>
        <v>0</v>
      </c>
      <c r="K164" s="1">
        <f>'Paste cell here'!Q164</f>
        <v>1.7908603928258053</v>
      </c>
      <c r="L164" s="1">
        <f>'Paste cell here'!S164</f>
        <v>0</v>
      </c>
      <c r="M164" s="1">
        <f>'Paste cell here'!T164</f>
        <v>2.1457857722149927E-2</v>
      </c>
      <c r="N164" s="1">
        <f>'Paste cell here'!W164</f>
        <v>0</v>
      </c>
      <c r="O164" s="1">
        <f>'Paste cell here'!U164</f>
        <v>19.028404226361982</v>
      </c>
      <c r="P164" s="1">
        <f t="shared" si="13"/>
        <v>20.840722476909939</v>
      </c>
      <c r="Q164" s="1">
        <f>'Paste cell here'!V164</f>
        <v>0</v>
      </c>
      <c r="R164" s="1">
        <f t="shared" si="14"/>
        <v>0</v>
      </c>
      <c r="S164" s="7">
        <f>Sintesi!$C$30</f>
        <v>0.107</v>
      </c>
      <c r="T164" s="7">
        <f>Sintesi!$C$29</f>
        <v>0.23300000000000001</v>
      </c>
      <c r="U164" s="5">
        <f>O164/(Sintesi!$C$5*1000)</f>
        <v>0.19028404226361981</v>
      </c>
      <c r="V164" s="1">
        <f t="shared" si="10"/>
        <v>0.126</v>
      </c>
      <c r="W164" s="1">
        <v>0.48404935885406802</v>
      </c>
      <c r="X164" s="1">
        <f t="shared" si="11"/>
        <v>6.0990219215612575E-2</v>
      </c>
      <c r="Y164" s="1">
        <f t="shared" si="12"/>
        <v>0.17200978078438744</v>
      </c>
      <c r="Z164" s="1">
        <f>'Paste cellinfo here'!$B$11</f>
        <v>0.52400000000000002</v>
      </c>
    </row>
    <row r="165" spans="1:26">
      <c r="A165" s="1">
        <v>164</v>
      </c>
      <c r="B165" s="2">
        <f>DATE(Sintesi!$C$4-1,12,31)+A165</f>
        <v>44360</v>
      </c>
      <c r="C165" s="1">
        <f>'Paste cell here'!B165</f>
        <v>0</v>
      </c>
      <c r="D165" s="1">
        <f>'Paste cell here'!I165</f>
        <v>0</v>
      </c>
      <c r="E165" s="1">
        <f>'Paste cell here'!J165</f>
        <v>0</v>
      </c>
      <c r="F165" s="1">
        <f>'Paste cell here'!K165</f>
        <v>0</v>
      </c>
      <c r="G165" s="1">
        <f>'Paste cell here'!L165</f>
        <v>0</v>
      </c>
      <c r="H165" s="1">
        <f>'Paste cell here'!M165</f>
        <v>0</v>
      </c>
      <c r="I165" s="1">
        <f>'Paste cell here'!N165</f>
        <v>0</v>
      </c>
      <c r="J165" s="1">
        <f>'Paste cell here'!O165</f>
        <v>0</v>
      </c>
      <c r="K165" s="1">
        <f>'Paste cell here'!Q165</f>
        <v>2.1604359944677212</v>
      </c>
      <c r="L165" s="1">
        <f>'Paste cell here'!S165</f>
        <v>0</v>
      </c>
      <c r="M165" s="1">
        <f>'Paste cell here'!T165</f>
        <v>4.9232969897831562E-3</v>
      </c>
      <c r="N165" s="1">
        <f>'Paste cell here'!W165</f>
        <v>0</v>
      </c>
      <c r="O165" s="1">
        <f>'Paste cell here'!U165</f>
        <v>16.863044934904465</v>
      </c>
      <c r="P165" s="1">
        <f t="shared" si="13"/>
        <v>19.028404226361982</v>
      </c>
      <c r="Q165" s="1">
        <f>'Paste cell here'!V165</f>
        <v>0</v>
      </c>
      <c r="R165" s="1">
        <f t="shared" si="14"/>
        <v>1.0658141036401503E-14</v>
      </c>
      <c r="S165" s="7">
        <f>Sintesi!$C$30</f>
        <v>0.107</v>
      </c>
      <c r="T165" s="7">
        <f>Sintesi!$C$29</f>
        <v>0.23300000000000001</v>
      </c>
      <c r="U165" s="5">
        <f>O165/(Sintesi!$C$5*1000)</f>
        <v>0.16863044934904464</v>
      </c>
      <c r="V165" s="1">
        <f t="shared" si="10"/>
        <v>0.126</v>
      </c>
      <c r="W165" s="1">
        <v>0.58639127837830096</v>
      </c>
      <c r="X165" s="1">
        <f t="shared" si="11"/>
        <v>7.3885301075665918E-2</v>
      </c>
      <c r="Y165" s="1">
        <f t="shared" si="12"/>
        <v>0.15911469892433411</v>
      </c>
      <c r="Z165" s="1">
        <f>'Paste cellinfo here'!$B$11</f>
        <v>0.52400000000000002</v>
      </c>
    </row>
    <row r="166" spans="1:26">
      <c r="A166" s="1">
        <v>165</v>
      </c>
      <c r="B166" s="2">
        <f>DATE(Sintesi!$C$4-1,12,31)+A166</f>
        <v>44361</v>
      </c>
      <c r="C166" s="1">
        <f>'Paste cell here'!B166</f>
        <v>0</v>
      </c>
      <c r="D166" s="1">
        <f>'Paste cell here'!I166</f>
        <v>0</v>
      </c>
      <c r="E166" s="1">
        <f>'Paste cell here'!J166</f>
        <v>0</v>
      </c>
      <c r="F166" s="1">
        <f>'Paste cell here'!K166</f>
        <v>0</v>
      </c>
      <c r="G166" s="1">
        <f>'Paste cell here'!L166</f>
        <v>0</v>
      </c>
      <c r="H166" s="1">
        <f>'Paste cell here'!M166</f>
        <v>0</v>
      </c>
      <c r="I166" s="1">
        <f>'Paste cell here'!N166</f>
        <v>0</v>
      </c>
      <c r="J166" s="1">
        <f>'Paste cell here'!O166</f>
        <v>0</v>
      </c>
      <c r="K166" s="1">
        <f>'Paste cell here'!Q166</f>
        <v>1.5508619931465901</v>
      </c>
      <c r="L166" s="1">
        <f>'Paste cell here'!S166</f>
        <v>0</v>
      </c>
      <c r="M166" s="1">
        <f>'Paste cell here'!T166</f>
        <v>8.2963060998309532E-4</v>
      </c>
      <c r="N166" s="1">
        <f>'Paste cell here'!W166</f>
        <v>0</v>
      </c>
      <c r="O166" s="1">
        <f>'Paste cell here'!U166</f>
        <v>15.311353311147903</v>
      </c>
      <c r="P166" s="1">
        <f t="shared" si="13"/>
        <v>16.863044934904465</v>
      </c>
      <c r="Q166" s="1">
        <f>'Paste cell here'!V166</f>
        <v>0</v>
      </c>
      <c r="R166" s="1">
        <f t="shared" si="14"/>
        <v>1.0658141036401503E-14</v>
      </c>
      <c r="S166" s="7">
        <f>Sintesi!$C$30</f>
        <v>0.107</v>
      </c>
      <c r="T166" s="7">
        <f>Sintesi!$C$29</f>
        <v>0.23300000000000001</v>
      </c>
      <c r="U166" s="5">
        <f>O166/(Sintesi!$C$5*1000)</f>
        <v>0.15311353311147902</v>
      </c>
      <c r="V166" s="1">
        <f t="shared" si="10"/>
        <v>0.126</v>
      </c>
      <c r="W166" s="1">
        <v>0.42975707697827598</v>
      </c>
      <c r="X166" s="1">
        <f t="shared" si="11"/>
        <v>5.4149391699262771E-2</v>
      </c>
      <c r="Y166" s="1">
        <f t="shared" si="12"/>
        <v>0.17885060830073723</v>
      </c>
      <c r="Z166" s="1">
        <f>'Paste cellinfo here'!$B$11</f>
        <v>0.52400000000000002</v>
      </c>
    </row>
    <row r="167" spans="1:26">
      <c r="A167" s="1">
        <v>166</v>
      </c>
      <c r="B167" s="2">
        <f>DATE(Sintesi!$C$4-1,12,31)+A167</f>
        <v>44362</v>
      </c>
      <c r="C167" s="1">
        <f>'Paste cell here'!B167</f>
        <v>0</v>
      </c>
      <c r="D167" s="1">
        <f>'Paste cell here'!I167</f>
        <v>0</v>
      </c>
      <c r="E167" s="1">
        <f>'Paste cell here'!J167</f>
        <v>0</v>
      </c>
      <c r="F167" s="1">
        <f>'Paste cell here'!K167</f>
        <v>0</v>
      </c>
      <c r="G167" s="1">
        <f>'Paste cell here'!L167</f>
        <v>0</v>
      </c>
      <c r="H167" s="1">
        <f>'Paste cell here'!M167</f>
        <v>0</v>
      </c>
      <c r="I167" s="1">
        <f>'Paste cell here'!N167</f>
        <v>0</v>
      </c>
      <c r="J167" s="1">
        <f>'Paste cell here'!O167</f>
        <v>0</v>
      </c>
      <c r="K167" s="1">
        <f>'Paste cell here'!Q167</f>
        <v>1.3003322421048291</v>
      </c>
      <c r="L167" s="1">
        <f>'Paste cell here'!S167</f>
        <v>0</v>
      </c>
      <c r="M167" s="1">
        <f>'Paste cell here'!T167</f>
        <v>1.7290443888934518E-4</v>
      </c>
      <c r="N167" s="1">
        <f>'Paste cell here'!W167</f>
        <v>0</v>
      </c>
      <c r="O167" s="1">
        <f>'Paste cell here'!U167</f>
        <v>14.010848164604184</v>
      </c>
      <c r="P167" s="1">
        <f t="shared" si="13"/>
        <v>15.311353311147903</v>
      </c>
      <c r="Q167" s="1">
        <f>'Paste cell here'!V167</f>
        <v>0</v>
      </c>
      <c r="R167" s="1">
        <f t="shared" si="14"/>
        <v>0</v>
      </c>
      <c r="S167" s="7">
        <f>Sintesi!$C$30</f>
        <v>0.107</v>
      </c>
      <c r="T167" s="7">
        <f>Sintesi!$C$29</f>
        <v>0.23300000000000001</v>
      </c>
      <c r="U167" s="5">
        <f>O167/(Sintesi!$C$5*1000)</f>
        <v>0.14010848164604184</v>
      </c>
      <c r="V167" s="1">
        <f t="shared" si="10"/>
        <v>0.126</v>
      </c>
      <c r="W167" s="1">
        <v>0.42462164020563298</v>
      </c>
      <c r="X167" s="1">
        <f t="shared" si="11"/>
        <v>5.3502326665909754E-2</v>
      </c>
      <c r="Y167" s="1">
        <f t="shared" si="12"/>
        <v>0.17949767333409025</v>
      </c>
      <c r="Z167" s="1">
        <f>'Paste cellinfo here'!$B$11</f>
        <v>0.52400000000000002</v>
      </c>
    </row>
    <row r="168" spans="1:26">
      <c r="A168" s="1">
        <v>167</v>
      </c>
      <c r="B168" s="2">
        <f>DATE(Sintesi!$C$4-1,12,31)+A168</f>
        <v>44363</v>
      </c>
      <c r="C168" s="1">
        <f>'Paste cell here'!B168</f>
        <v>0</v>
      </c>
      <c r="D168" s="1">
        <f>'Paste cell here'!I168</f>
        <v>54</v>
      </c>
      <c r="E168" s="1">
        <f>'Paste cell here'!J168</f>
        <v>0</v>
      </c>
      <c r="F168" s="1">
        <f>'Paste cell here'!K168</f>
        <v>54</v>
      </c>
      <c r="G168" s="1">
        <f>'Paste cell here'!L168</f>
        <v>0</v>
      </c>
      <c r="H168" s="1">
        <f>'Paste cell here'!M168</f>
        <v>0</v>
      </c>
      <c r="I168" s="1">
        <f>'Paste cell here'!N168</f>
        <v>0</v>
      </c>
      <c r="J168" s="1">
        <f>'Paste cell here'!O168</f>
        <v>0</v>
      </c>
      <c r="K168" s="1">
        <f>'Paste cell here'!Q168</f>
        <v>0.87415405968843862</v>
      </c>
      <c r="L168" s="1">
        <f>'Paste cell here'!S168</f>
        <v>0</v>
      </c>
      <c r="M168" s="1">
        <f>'Paste cell here'!T168</f>
        <v>39.595113632464951</v>
      </c>
      <c r="N168" s="1">
        <f>'Paste cell here'!W168</f>
        <v>0</v>
      </c>
      <c r="O168" s="1">
        <f>'Paste cell here'!U168</f>
        <v>27.5415804724508</v>
      </c>
      <c r="P168" s="1">
        <f t="shared" si="13"/>
        <v>14.010848164604184</v>
      </c>
      <c r="Q168" s="1">
        <f>'Paste cell here'!V168</f>
        <v>0</v>
      </c>
      <c r="R168" s="1">
        <f t="shared" si="14"/>
        <v>3.5527136788005009E-15</v>
      </c>
      <c r="S168" s="7">
        <f>Sintesi!$C$30</f>
        <v>0.107</v>
      </c>
      <c r="T168" s="7">
        <f>Sintesi!$C$29</f>
        <v>0.23300000000000001</v>
      </c>
      <c r="U168" s="5">
        <f>O168/(Sintesi!$C$5*1000)</f>
        <v>0.275415804724508</v>
      </c>
      <c r="V168" s="1">
        <f t="shared" si="10"/>
        <v>0.126</v>
      </c>
      <c r="W168" s="1">
        <v>0.46939447088163799</v>
      </c>
      <c r="X168" s="1">
        <f t="shared" si="11"/>
        <v>5.9143703331086386E-2</v>
      </c>
      <c r="Y168" s="1">
        <f t="shared" si="12"/>
        <v>0.17385629666891361</v>
      </c>
      <c r="Z168" s="1">
        <f>'Paste cellinfo here'!$B$11</f>
        <v>0.52400000000000002</v>
      </c>
    </row>
    <row r="169" spans="1:26">
      <c r="A169" s="1">
        <v>168</v>
      </c>
      <c r="B169" s="2">
        <f>DATE(Sintesi!$C$4-1,12,31)+A169</f>
        <v>44364</v>
      </c>
      <c r="C169" s="1">
        <f>'Paste cell here'!B169</f>
        <v>7.9999999999999724E-2</v>
      </c>
      <c r="D169" s="1">
        <f>'Paste cell here'!I169</f>
        <v>0</v>
      </c>
      <c r="E169" s="1">
        <f>'Paste cell here'!J169</f>
        <v>2.4524831391783963E-3</v>
      </c>
      <c r="F169" s="1">
        <f>'Paste cell here'!K169</f>
        <v>7.9999999999999724E-2</v>
      </c>
      <c r="G169" s="1">
        <f>'Paste cell here'!L169</f>
        <v>2.4524831391783963E-3</v>
      </c>
      <c r="H169" s="1">
        <f>'Paste cell here'!M169</f>
        <v>7.7547516860821328E-2</v>
      </c>
      <c r="I169" s="1">
        <f>'Paste cell here'!N169</f>
        <v>0</v>
      </c>
      <c r="J169" s="1">
        <f>'Paste cell here'!O169</f>
        <v>2.4524832122680899E-3</v>
      </c>
      <c r="K169" s="1">
        <f>'Paste cell here'!Q169</f>
        <v>0.88897100536600726</v>
      </c>
      <c r="L169" s="1">
        <f>'Paste cell here'!S169</f>
        <v>0</v>
      </c>
      <c r="M169" s="1">
        <f>'Paste cell here'!T169</f>
        <v>2.1935654633903159</v>
      </c>
      <c r="N169" s="1">
        <f>'Paste cell here'!W169</f>
        <v>0</v>
      </c>
      <c r="O169" s="1">
        <f>'Paste cell here'!U169</f>
        <v>24.461496486906739</v>
      </c>
      <c r="P169" s="1">
        <f t="shared" si="13"/>
        <v>27.5415804724508</v>
      </c>
      <c r="Q169" s="1">
        <f>'Paste cell here'!V169</f>
        <v>0</v>
      </c>
      <c r="R169" s="1">
        <f t="shared" si="14"/>
        <v>7.3086425800283905E-11</v>
      </c>
      <c r="S169" s="7">
        <f>Sintesi!$C$30</f>
        <v>0.107</v>
      </c>
      <c r="T169" s="7">
        <f>Sintesi!$C$29</f>
        <v>0.23300000000000001</v>
      </c>
      <c r="U169" s="5">
        <f>O169/(Sintesi!$C$5*1000)</f>
        <v>0.24461496486906739</v>
      </c>
      <c r="V169" s="1">
        <f t="shared" si="10"/>
        <v>0.126</v>
      </c>
      <c r="W169" s="1">
        <v>0.436828608031821</v>
      </c>
      <c r="X169" s="1">
        <f t="shared" si="11"/>
        <v>5.5040404612009444E-2</v>
      </c>
      <c r="Y169" s="1">
        <f t="shared" si="12"/>
        <v>0.17795959538799055</v>
      </c>
      <c r="Z169" s="1">
        <f>'Paste cellinfo here'!$B$11</f>
        <v>0.52400000000000002</v>
      </c>
    </row>
    <row r="170" spans="1:26">
      <c r="A170" s="1">
        <v>169</v>
      </c>
      <c r="B170" s="2">
        <f>DATE(Sintesi!$C$4-1,12,31)+A170</f>
        <v>44365</v>
      </c>
      <c r="C170" s="1">
        <f>'Paste cell here'!B170</f>
        <v>0</v>
      </c>
      <c r="D170" s="1">
        <f>'Paste cell here'!I170</f>
        <v>0</v>
      </c>
      <c r="E170" s="1">
        <f>'Paste cell here'!J170</f>
        <v>0</v>
      </c>
      <c r="F170" s="1">
        <f>'Paste cell here'!K170</f>
        <v>0</v>
      </c>
      <c r="G170" s="1">
        <f>'Paste cell here'!L170</f>
        <v>0</v>
      </c>
      <c r="H170" s="1">
        <f>'Paste cell here'!M170</f>
        <v>0</v>
      </c>
      <c r="I170" s="1">
        <f>'Paste cell here'!N170</f>
        <v>0</v>
      </c>
      <c r="J170" s="1">
        <f>'Paste cell here'!O170</f>
        <v>0</v>
      </c>
      <c r="K170" s="1">
        <f>'Paste cell here'!Q170</f>
        <v>1.1778990475431843</v>
      </c>
      <c r="L170" s="1">
        <f>'Paste cell here'!S170</f>
        <v>0</v>
      </c>
      <c r="M170" s="1">
        <f>'Paste cell here'!T170</f>
        <v>0.54901985427280686</v>
      </c>
      <c r="N170" s="1">
        <f>'Paste cell here'!W170</f>
        <v>0</v>
      </c>
      <c r="O170" s="1">
        <f>'Paste cell here'!U170</f>
        <v>22.734577585090737</v>
      </c>
      <c r="P170" s="1">
        <f t="shared" si="13"/>
        <v>24.461496486906739</v>
      </c>
      <c r="Q170" s="1">
        <f>'Paste cell here'!V170</f>
        <v>0</v>
      </c>
      <c r="R170" s="1">
        <f t="shared" si="14"/>
        <v>1.0658141036401503E-14</v>
      </c>
      <c r="S170" s="7">
        <f>Sintesi!$C$30</f>
        <v>0.107</v>
      </c>
      <c r="T170" s="7">
        <f>Sintesi!$C$29</f>
        <v>0.23300000000000001</v>
      </c>
      <c r="U170" s="5">
        <f>O170/(Sintesi!$C$5*1000)</f>
        <v>0.22734577585090737</v>
      </c>
      <c r="V170" s="1">
        <f t="shared" si="10"/>
        <v>0.126</v>
      </c>
      <c r="W170" s="1">
        <v>0.43498801120479202</v>
      </c>
      <c r="X170" s="1">
        <f t="shared" si="11"/>
        <v>5.4808489411803794E-2</v>
      </c>
      <c r="Y170" s="1">
        <f t="shared" si="12"/>
        <v>0.17819151058819621</v>
      </c>
      <c r="Z170" s="1">
        <f>'Paste cellinfo here'!$B$11</f>
        <v>0.52400000000000002</v>
      </c>
    </row>
    <row r="171" spans="1:26">
      <c r="A171" s="1">
        <v>170</v>
      </c>
      <c r="B171" s="2">
        <f>DATE(Sintesi!$C$4-1,12,31)+A171</f>
        <v>44366</v>
      </c>
      <c r="C171" s="1">
        <f>'Paste cell here'!B171</f>
        <v>0</v>
      </c>
      <c r="D171" s="1">
        <f>'Paste cell here'!I171</f>
        <v>0</v>
      </c>
      <c r="E171" s="1">
        <f>'Paste cell here'!J171</f>
        <v>0</v>
      </c>
      <c r="F171" s="1">
        <f>'Paste cell here'!K171</f>
        <v>0</v>
      </c>
      <c r="G171" s="1">
        <f>'Paste cell here'!L171</f>
        <v>0</v>
      </c>
      <c r="H171" s="1">
        <f>'Paste cell here'!M171</f>
        <v>0</v>
      </c>
      <c r="I171" s="1">
        <f>'Paste cell here'!N171</f>
        <v>0</v>
      </c>
      <c r="J171" s="1">
        <f>'Paste cell here'!O171</f>
        <v>0</v>
      </c>
      <c r="K171" s="1">
        <f>'Paste cell here'!Q171</f>
        <v>0.8759605925166587</v>
      </c>
      <c r="L171" s="1">
        <f>'Paste cell here'!S171</f>
        <v>0</v>
      </c>
      <c r="M171" s="1">
        <f>'Paste cell here'!T171</f>
        <v>0.19795634864302633</v>
      </c>
      <c r="N171" s="1">
        <f>'Paste cell here'!W171</f>
        <v>0</v>
      </c>
      <c r="O171" s="1">
        <f>'Paste cell here'!U171</f>
        <v>21.660660643931045</v>
      </c>
      <c r="P171" s="1">
        <f t="shared" si="13"/>
        <v>22.734577585090737</v>
      </c>
      <c r="Q171" s="1">
        <f>'Paste cell here'!V171</f>
        <v>0</v>
      </c>
      <c r="R171" s="1">
        <f t="shared" si="14"/>
        <v>7.1054273576010019E-15</v>
      </c>
      <c r="S171" s="7">
        <f>Sintesi!$C$30</f>
        <v>0.107</v>
      </c>
      <c r="T171" s="7">
        <f>Sintesi!$C$29</f>
        <v>0.23300000000000001</v>
      </c>
      <c r="U171" s="5">
        <f>O171/(Sintesi!$C$5*1000)</f>
        <v>0.21660660643931046</v>
      </c>
      <c r="V171" s="1">
        <f t="shared" si="10"/>
        <v>0.126</v>
      </c>
      <c r="W171" s="1">
        <v>0.46867410807187998</v>
      </c>
      <c r="X171" s="1">
        <f t="shared" si="11"/>
        <v>5.9052937617056878E-2</v>
      </c>
      <c r="Y171" s="1">
        <f t="shared" si="12"/>
        <v>0.17394706238294314</v>
      </c>
      <c r="Z171" s="1">
        <f>'Paste cellinfo here'!$B$11</f>
        <v>0.52400000000000002</v>
      </c>
    </row>
    <row r="172" spans="1:26">
      <c r="A172" s="1">
        <v>171</v>
      </c>
      <c r="B172" s="2">
        <f>DATE(Sintesi!$C$4-1,12,31)+A172</f>
        <v>44367</v>
      </c>
      <c r="C172" s="1">
        <f>'Paste cell here'!B172</f>
        <v>0.15999999999999945</v>
      </c>
      <c r="D172" s="1">
        <f>'Paste cell here'!I172</f>
        <v>0</v>
      </c>
      <c r="E172" s="1">
        <f>'Paste cell here'!J172</f>
        <v>8.8691796008868451E-3</v>
      </c>
      <c r="F172" s="1">
        <f>'Paste cell here'!K172</f>
        <v>0.15999999999999945</v>
      </c>
      <c r="G172" s="1">
        <f>'Paste cell here'!L172</f>
        <v>8.8691796008868451E-3</v>
      </c>
      <c r="H172" s="1">
        <f>'Paste cell here'!M172</f>
        <v>0.1511308203991126</v>
      </c>
      <c r="I172" s="1">
        <f>'Paste cell here'!N172</f>
        <v>0</v>
      </c>
      <c r="J172" s="1">
        <f>'Paste cell here'!O172</f>
        <v>8.8691798652089943E-3</v>
      </c>
      <c r="K172" s="1">
        <f>'Paste cell here'!Q172</f>
        <v>0.55695746096716736</v>
      </c>
      <c r="L172" s="1">
        <f>'Paste cell here'!S172</f>
        <v>0</v>
      </c>
      <c r="M172" s="1">
        <f>'Paste cell here'!T172</f>
        <v>9.411799448031713E-2</v>
      </c>
      <c r="N172" s="1">
        <f>'Paste cell here'!W172</f>
        <v>0</v>
      </c>
      <c r="O172" s="1">
        <f>'Paste cell here'!U172</f>
        <v>21.01845436834877</v>
      </c>
      <c r="P172" s="1">
        <f t="shared" si="13"/>
        <v>21.660660643931045</v>
      </c>
      <c r="Q172" s="1">
        <f>'Paste cell here'!V172</f>
        <v>0</v>
      </c>
      <c r="R172" s="1">
        <f t="shared" si="14"/>
        <v>2.6432545041643607E-10</v>
      </c>
      <c r="S172" s="7">
        <f>Sintesi!$C$30</f>
        <v>0.107</v>
      </c>
      <c r="T172" s="7">
        <f>Sintesi!$C$29</f>
        <v>0.23300000000000001</v>
      </c>
      <c r="U172" s="5">
        <f>O172/(Sintesi!$C$5*1000)</f>
        <v>0.21018454368348771</v>
      </c>
      <c r="V172" s="1">
        <f t="shared" si="10"/>
        <v>0.126</v>
      </c>
      <c r="W172" s="1">
        <v>0.44779756036518698</v>
      </c>
      <c r="X172" s="1">
        <f t="shared" si="11"/>
        <v>5.6422492606013556E-2</v>
      </c>
      <c r="Y172" s="1">
        <f t="shared" si="12"/>
        <v>0.17657750739398645</v>
      </c>
      <c r="Z172" s="1">
        <f>'Paste cellinfo here'!$B$11</f>
        <v>0.52400000000000002</v>
      </c>
    </row>
    <row r="173" spans="1:26">
      <c r="A173" s="1">
        <v>172</v>
      </c>
      <c r="B173" s="2">
        <f>DATE(Sintesi!$C$4-1,12,31)+A173</f>
        <v>44368</v>
      </c>
      <c r="C173" s="1">
        <f>'Paste cell here'!B173</f>
        <v>0</v>
      </c>
      <c r="D173" s="1">
        <f>'Paste cell here'!I173</f>
        <v>0</v>
      </c>
      <c r="E173" s="1">
        <f>'Paste cell here'!J173</f>
        <v>0</v>
      </c>
      <c r="F173" s="1">
        <f>'Paste cell here'!K173</f>
        <v>0</v>
      </c>
      <c r="G173" s="1">
        <f>'Paste cell here'!L173</f>
        <v>0</v>
      </c>
      <c r="H173" s="1">
        <f>'Paste cell here'!M173</f>
        <v>0</v>
      </c>
      <c r="I173" s="1">
        <f>'Paste cell here'!N173</f>
        <v>0</v>
      </c>
      <c r="J173" s="1">
        <f>'Paste cell here'!O173</f>
        <v>0</v>
      </c>
      <c r="K173" s="1">
        <f>'Paste cell here'!Q173</f>
        <v>0.70148069343320529</v>
      </c>
      <c r="L173" s="1">
        <f>'Paste cell here'!S173</f>
        <v>0</v>
      </c>
      <c r="M173" s="1">
        <f>'Paste cell here'!T173</f>
        <v>4.9953263625451959E-2</v>
      </c>
      <c r="N173" s="1">
        <f>'Paste cell here'!W173</f>
        <v>0</v>
      </c>
      <c r="O173" s="1">
        <f>'Paste cell here'!U173</f>
        <v>20.267020411290105</v>
      </c>
      <c r="P173" s="1">
        <f t="shared" si="13"/>
        <v>21.01845436834877</v>
      </c>
      <c r="Q173" s="1">
        <f>'Paste cell here'!V173</f>
        <v>0</v>
      </c>
      <c r="R173" s="1">
        <f t="shared" si="14"/>
        <v>1.0658141036401503E-14</v>
      </c>
      <c r="S173" s="7">
        <f>Sintesi!$C$30</f>
        <v>0.107</v>
      </c>
      <c r="T173" s="7">
        <f>Sintesi!$C$29</f>
        <v>0.23300000000000001</v>
      </c>
      <c r="U173" s="5">
        <f>O173/(Sintesi!$C$5*1000)</f>
        <v>0.20267020411290104</v>
      </c>
      <c r="V173" s="1">
        <f t="shared" si="10"/>
        <v>0.126</v>
      </c>
      <c r="W173" s="1">
        <v>0.51338630542942898</v>
      </c>
      <c r="X173" s="1">
        <f t="shared" si="11"/>
        <v>6.4686674484108059E-2</v>
      </c>
      <c r="Y173" s="1">
        <f t="shared" si="12"/>
        <v>0.16831332551589195</v>
      </c>
      <c r="Z173" s="1">
        <f>'Paste cellinfo here'!$B$11</f>
        <v>0.52400000000000002</v>
      </c>
    </row>
    <row r="174" spans="1:26">
      <c r="A174" s="1">
        <v>173</v>
      </c>
      <c r="B174" s="2">
        <f>DATE(Sintesi!$C$4-1,12,31)+A174</f>
        <v>44369</v>
      </c>
      <c r="C174" s="1">
        <f>'Paste cell here'!B174</f>
        <v>0.19999999999998863</v>
      </c>
      <c r="D174" s="1">
        <f>'Paste cell here'!I174</f>
        <v>0</v>
      </c>
      <c r="E174" s="1">
        <f>'Paste cell here'!J174</f>
        <v>1.3081300281246516E-2</v>
      </c>
      <c r="F174" s="1">
        <f>'Paste cell here'!K174</f>
        <v>0.19999999999998863</v>
      </c>
      <c r="G174" s="1">
        <f>'Paste cell here'!L174</f>
        <v>1.3081300281246516E-2</v>
      </c>
      <c r="H174" s="1">
        <f>'Paste cell here'!M174</f>
        <v>0.18691869971874212</v>
      </c>
      <c r="I174" s="1">
        <f>'Paste cell here'!N174</f>
        <v>0</v>
      </c>
      <c r="J174" s="1">
        <f>'Paste cell here'!O174</f>
        <v>1.3081300671099652E-2</v>
      </c>
      <c r="K174" s="1">
        <f>'Paste cell here'!Q174</f>
        <v>0.60812902960964277</v>
      </c>
      <c r="L174" s="1">
        <f>'Paste cell here'!S174</f>
        <v>0</v>
      </c>
      <c r="M174" s="1">
        <f>'Paste cell here'!T174</f>
        <v>2.634488290932754E-2</v>
      </c>
      <c r="N174" s="1">
        <f>'Paste cell here'!W174</f>
        <v>0</v>
      </c>
      <c r="O174" s="1">
        <f>'Paste cell here'!U174</f>
        <v>19.645627799442227</v>
      </c>
      <c r="P174" s="1">
        <f t="shared" si="13"/>
        <v>20.267020411290105</v>
      </c>
      <c r="Q174" s="1">
        <f>'Paste cell here'!V174</f>
        <v>0</v>
      </c>
      <c r="R174" s="1">
        <f t="shared" si="14"/>
        <v>3.8984637740213657E-10</v>
      </c>
      <c r="S174" s="7">
        <f>Sintesi!$C$30</f>
        <v>0.107</v>
      </c>
      <c r="T174" s="7">
        <f>Sintesi!$C$29</f>
        <v>0.23300000000000001</v>
      </c>
      <c r="U174" s="5">
        <f>O174/(Sintesi!$C$5*1000)</f>
        <v>0.19645627799442228</v>
      </c>
      <c r="V174" s="1">
        <f t="shared" si="10"/>
        <v>0.126</v>
      </c>
      <c r="W174" s="1">
        <v>0.45038459011381898</v>
      </c>
      <c r="X174" s="1">
        <f t="shared" si="11"/>
        <v>5.674845835434119E-2</v>
      </c>
      <c r="Y174" s="1">
        <f t="shared" si="12"/>
        <v>0.17625154164565882</v>
      </c>
      <c r="Z174" s="1">
        <f>'Paste cellinfo here'!$B$11</f>
        <v>0.52400000000000002</v>
      </c>
    </row>
    <row r="175" spans="1:26">
      <c r="A175" s="1">
        <v>174</v>
      </c>
      <c r="B175" s="2">
        <f>DATE(Sintesi!$C$4-1,12,31)+A175</f>
        <v>44370</v>
      </c>
      <c r="C175" s="1">
        <f>'Paste cell here'!B175</f>
        <v>0.59999999999996589</v>
      </c>
      <c r="D175" s="1">
        <f>'Paste cell here'!I175</f>
        <v>0</v>
      </c>
      <c r="E175" s="1">
        <f>'Paste cell here'!J175</f>
        <v>0.10217983651225099</v>
      </c>
      <c r="F175" s="1">
        <f>'Paste cell here'!K175</f>
        <v>0.59999999999996589</v>
      </c>
      <c r="G175" s="1">
        <f>'Paste cell here'!L175</f>
        <v>0.10217983651225099</v>
      </c>
      <c r="H175" s="1">
        <f>'Paste cell here'!M175</f>
        <v>0.49782016348771491</v>
      </c>
      <c r="I175" s="1">
        <f>'Paste cell here'!N175</f>
        <v>0</v>
      </c>
      <c r="J175" s="1">
        <f>'Paste cell here'!O175</f>
        <v>0.10217983955744739</v>
      </c>
      <c r="K175" s="1">
        <f>'Paste cell here'!Q175</f>
        <v>0.46551994813874609</v>
      </c>
      <c r="L175" s="1">
        <f>'Paste cell here'!S175</f>
        <v>0</v>
      </c>
      <c r="M175" s="1">
        <f>'Paste cell here'!T175</f>
        <v>1.5753742168891031E-2</v>
      </c>
      <c r="N175" s="1">
        <f>'Paste cell here'!W175</f>
        <v>0</v>
      </c>
      <c r="O175" s="1">
        <f>'Paste cell here'!U175</f>
        <v>19.266533948692032</v>
      </c>
      <c r="P175" s="1">
        <f t="shared" si="13"/>
        <v>19.645627799442227</v>
      </c>
      <c r="Q175" s="1">
        <f>'Paste cell here'!V175</f>
        <v>0</v>
      </c>
      <c r="R175" s="1">
        <f t="shared" si="14"/>
        <v>3.0451907662154554E-9</v>
      </c>
      <c r="S175" s="7">
        <f>Sintesi!$C$30</f>
        <v>0.107</v>
      </c>
      <c r="T175" s="7">
        <f>Sintesi!$C$29</f>
        <v>0.23300000000000001</v>
      </c>
      <c r="U175" s="5">
        <f>O175/(Sintesi!$C$5*1000)</f>
        <v>0.19266533948692033</v>
      </c>
      <c r="V175" s="1">
        <f t="shared" si="10"/>
        <v>0.126</v>
      </c>
      <c r="W175" s="1">
        <v>0.54411003924872103</v>
      </c>
      <c r="X175" s="1">
        <f t="shared" si="11"/>
        <v>6.8557864945338845E-2</v>
      </c>
      <c r="Y175" s="1">
        <f t="shared" si="12"/>
        <v>0.16444213505466115</v>
      </c>
      <c r="Z175" s="1">
        <f>'Paste cellinfo here'!$B$11</f>
        <v>0.52400000000000002</v>
      </c>
    </row>
    <row r="176" spans="1:26">
      <c r="A176" s="1">
        <v>175</v>
      </c>
      <c r="B176" s="2">
        <f>DATE(Sintesi!$C$4-1,12,31)+A176</f>
        <v>44371</v>
      </c>
      <c r="C176" s="1">
        <f>'Paste cell here'!B176</f>
        <v>0</v>
      </c>
      <c r="D176" s="1">
        <f>'Paste cell here'!I176</f>
        <v>0</v>
      </c>
      <c r="E176" s="1">
        <f>'Paste cell here'!J176</f>
        <v>0</v>
      </c>
      <c r="F176" s="1">
        <f>'Paste cell here'!K176</f>
        <v>0</v>
      </c>
      <c r="G176" s="1">
        <f>'Paste cell here'!L176</f>
        <v>0</v>
      </c>
      <c r="H176" s="1">
        <f>'Paste cell here'!M176</f>
        <v>0</v>
      </c>
      <c r="I176" s="1">
        <f>'Paste cell here'!N176</f>
        <v>0</v>
      </c>
      <c r="J176" s="1">
        <f>'Paste cell here'!O176</f>
        <v>0</v>
      </c>
      <c r="K176" s="1">
        <f>'Paste cell here'!Q176</f>
        <v>0.52352454483145439</v>
      </c>
      <c r="L176" s="1">
        <f>'Paste cell here'!S176</f>
        <v>0</v>
      </c>
      <c r="M176" s="1">
        <f>'Paste cell here'!T176</f>
        <v>9.9601758550537413E-3</v>
      </c>
      <c r="N176" s="1">
        <f>'Paste cell here'!W176</f>
        <v>0</v>
      </c>
      <c r="O176" s="1">
        <f>'Paste cell here'!U176</f>
        <v>18.733049228005527</v>
      </c>
      <c r="P176" s="1">
        <f t="shared" si="13"/>
        <v>19.266533948692032</v>
      </c>
      <c r="Q176" s="1">
        <f>'Paste cell here'!V176</f>
        <v>0</v>
      </c>
      <c r="R176" s="1">
        <f t="shared" si="14"/>
        <v>0</v>
      </c>
      <c r="S176" s="7">
        <f>Sintesi!$C$30</f>
        <v>0.107</v>
      </c>
      <c r="T176" s="7">
        <f>Sintesi!$C$29</f>
        <v>0.23300000000000001</v>
      </c>
      <c r="U176" s="5">
        <f>O176/(Sintesi!$C$5*1000)</f>
        <v>0.18733049228005527</v>
      </c>
      <c r="V176" s="1">
        <f t="shared" si="10"/>
        <v>0.126</v>
      </c>
      <c r="W176" s="1">
        <v>0.46919623683516898</v>
      </c>
      <c r="X176" s="1">
        <f t="shared" si="11"/>
        <v>5.911872584123129E-2</v>
      </c>
      <c r="Y176" s="1">
        <f t="shared" si="12"/>
        <v>0.17388127415876872</v>
      </c>
      <c r="Z176" s="1">
        <f>'Paste cellinfo here'!$B$11</f>
        <v>0.52400000000000002</v>
      </c>
    </row>
    <row r="177" spans="1:26">
      <c r="A177" s="1">
        <v>176</v>
      </c>
      <c r="B177" s="2">
        <f>DATE(Sintesi!$C$4-1,12,31)+A177</f>
        <v>44372</v>
      </c>
      <c r="C177" s="1">
        <f>'Paste cell here'!B177</f>
        <v>0</v>
      </c>
      <c r="D177" s="1">
        <f>'Paste cell here'!I177</f>
        <v>54</v>
      </c>
      <c r="E177" s="1">
        <f>'Paste cell here'!J177</f>
        <v>0</v>
      </c>
      <c r="F177" s="1">
        <f>'Paste cell here'!K177</f>
        <v>54</v>
      </c>
      <c r="G177" s="1">
        <f>'Paste cell here'!L177</f>
        <v>0</v>
      </c>
      <c r="H177" s="1">
        <f>'Paste cell here'!M177</f>
        <v>0</v>
      </c>
      <c r="I177" s="1">
        <f>'Paste cell here'!N177</f>
        <v>0</v>
      </c>
      <c r="J177" s="1">
        <f>'Paste cell here'!O177</f>
        <v>0</v>
      </c>
      <c r="K177" s="1">
        <f>'Paste cell here'!Q177</f>
        <v>0.55929753139725402</v>
      </c>
      <c r="L177" s="1">
        <f>'Paste cell here'!S177</f>
        <v>0</v>
      </c>
      <c r="M177" s="1">
        <f>'Paste cell here'!T177</f>
        <v>44.613764333934924</v>
      </c>
      <c r="N177" s="1">
        <f>'Paste cell here'!W177</f>
        <v>0</v>
      </c>
      <c r="O177" s="1">
        <f>'Paste cell here'!U177</f>
        <v>27.559987362673343</v>
      </c>
      <c r="P177" s="1">
        <f t="shared" si="13"/>
        <v>18.733049228005527</v>
      </c>
      <c r="Q177" s="1">
        <f>'Paste cell here'!V177</f>
        <v>0</v>
      </c>
      <c r="R177" s="1">
        <f t="shared" si="14"/>
        <v>1.0658141036401503E-14</v>
      </c>
      <c r="S177" s="7">
        <f>Sintesi!$C$30</f>
        <v>0.107</v>
      </c>
      <c r="T177" s="7">
        <f>Sintesi!$C$29</f>
        <v>0.23300000000000001</v>
      </c>
      <c r="U177" s="5">
        <f>O177/(Sintesi!$C$5*1000)</f>
        <v>0.27559987362673344</v>
      </c>
      <c r="V177" s="1">
        <f t="shared" si="10"/>
        <v>0.126</v>
      </c>
      <c r="W177" s="1">
        <v>0.44781891804861801</v>
      </c>
      <c r="X177" s="1">
        <f t="shared" si="11"/>
        <v>5.642518367412587E-2</v>
      </c>
      <c r="Y177" s="1">
        <f t="shared" si="12"/>
        <v>0.17657481632587413</v>
      </c>
      <c r="Z177" s="1">
        <f>'Paste cellinfo here'!$B$11</f>
        <v>0.52400000000000002</v>
      </c>
    </row>
    <row r="178" spans="1:26">
      <c r="A178" s="1">
        <v>177</v>
      </c>
      <c r="B178" s="2">
        <f>DATE(Sintesi!$C$4-1,12,31)+A178</f>
        <v>44373</v>
      </c>
      <c r="C178" s="1">
        <f>'Paste cell here'!B178</f>
        <v>0</v>
      </c>
      <c r="D178" s="1">
        <f>'Paste cell here'!I178</f>
        <v>0</v>
      </c>
      <c r="E178" s="1">
        <f>'Paste cell here'!J178</f>
        <v>0</v>
      </c>
      <c r="F178" s="1">
        <f>'Paste cell here'!K178</f>
        <v>0</v>
      </c>
      <c r="G178" s="1">
        <f>'Paste cell here'!L178</f>
        <v>0</v>
      </c>
      <c r="H178" s="1">
        <f>'Paste cell here'!M178</f>
        <v>0</v>
      </c>
      <c r="I178" s="1">
        <f>'Paste cell here'!N178</f>
        <v>0</v>
      </c>
      <c r="J178" s="1">
        <f>'Paste cell here'!O178</f>
        <v>0</v>
      </c>
      <c r="K178" s="1">
        <f>'Paste cell here'!Q178</f>
        <v>0.34111068927099403</v>
      </c>
      <c r="L178" s="1">
        <f>'Paste cell here'!S178</f>
        <v>0</v>
      </c>
      <c r="M178" s="1">
        <f>'Paste cell here'!T178</f>
        <v>2.3719181820760911</v>
      </c>
      <c r="N178" s="1">
        <f>'Paste cell here'!W178</f>
        <v>0</v>
      </c>
      <c r="O178" s="1">
        <f>'Paste cell here'!U178</f>
        <v>24.846958491326262</v>
      </c>
      <c r="P178" s="1">
        <f t="shared" si="13"/>
        <v>27.559987362673343</v>
      </c>
      <c r="Q178" s="1">
        <f>'Paste cell here'!V178</f>
        <v>0</v>
      </c>
      <c r="R178" s="1">
        <f t="shared" si="14"/>
        <v>3.5527136788005009E-15</v>
      </c>
      <c r="S178" s="7">
        <f>Sintesi!$C$30</f>
        <v>0.107</v>
      </c>
      <c r="T178" s="7">
        <f>Sintesi!$C$29</f>
        <v>0.23300000000000001</v>
      </c>
      <c r="U178" s="5">
        <f>O178/(Sintesi!$C$5*1000)</f>
        <v>0.24846958491326263</v>
      </c>
      <c r="V178" s="1">
        <f t="shared" si="10"/>
        <v>0.126</v>
      </c>
      <c r="W178" s="1">
        <v>0.44566958887596297</v>
      </c>
      <c r="X178" s="1">
        <f t="shared" si="11"/>
        <v>5.6154368198371336E-2</v>
      </c>
      <c r="Y178" s="1">
        <f t="shared" si="12"/>
        <v>0.17684563180162868</v>
      </c>
      <c r="Z178" s="1">
        <f>'Paste cellinfo here'!$B$11</f>
        <v>0.52400000000000002</v>
      </c>
    </row>
    <row r="179" spans="1:26">
      <c r="A179" s="1">
        <v>178</v>
      </c>
      <c r="B179" s="2">
        <f>DATE(Sintesi!$C$4-1,12,31)+A179</f>
        <v>44374</v>
      </c>
      <c r="C179" s="1">
        <f>'Paste cell here'!B179</f>
        <v>0</v>
      </c>
      <c r="D179" s="1">
        <f>'Paste cell here'!I179</f>
        <v>0</v>
      </c>
      <c r="E179" s="1">
        <f>'Paste cell here'!J179</f>
        <v>0</v>
      </c>
      <c r="F179" s="1">
        <f>'Paste cell here'!K179</f>
        <v>0</v>
      </c>
      <c r="G179" s="1">
        <f>'Paste cell here'!L179</f>
        <v>0</v>
      </c>
      <c r="H179" s="1">
        <f>'Paste cell here'!M179</f>
        <v>0</v>
      </c>
      <c r="I179" s="1">
        <f>'Paste cell here'!N179</f>
        <v>0</v>
      </c>
      <c r="J179" s="1">
        <f>'Paste cell here'!O179</f>
        <v>0</v>
      </c>
      <c r="K179" s="1">
        <f>'Paste cell here'!Q179</f>
        <v>0.299969901458918</v>
      </c>
      <c r="L179" s="1">
        <f>'Paste cell here'!S179</f>
        <v>0</v>
      </c>
      <c r="M179" s="1">
        <f>'Paste cell here'!T179</f>
        <v>0.77271150905095476</v>
      </c>
      <c r="N179" s="1">
        <f>'Paste cell here'!W179</f>
        <v>0</v>
      </c>
      <c r="O179" s="1">
        <f>'Paste cell here'!U179</f>
        <v>23.77427708081639</v>
      </c>
      <c r="P179" s="1">
        <f t="shared" si="13"/>
        <v>24.846958491326262</v>
      </c>
      <c r="Q179" s="1">
        <f>'Paste cell here'!V179</f>
        <v>0</v>
      </c>
      <c r="R179" s="1">
        <f t="shared" si="14"/>
        <v>0</v>
      </c>
      <c r="S179" s="7">
        <f>Sintesi!$C$30</f>
        <v>0.107</v>
      </c>
      <c r="T179" s="7">
        <f>Sintesi!$C$29</f>
        <v>0.23300000000000001</v>
      </c>
      <c r="U179" s="5">
        <f>O179/(Sintesi!$C$5*1000)</f>
        <v>0.23774277080816389</v>
      </c>
      <c r="V179" s="1">
        <f t="shared" si="10"/>
        <v>0.126</v>
      </c>
      <c r="W179" s="1">
        <v>0.433018083538173</v>
      </c>
      <c r="X179" s="1">
        <f t="shared" si="11"/>
        <v>5.4560278525809802E-2</v>
      </c>
      <c r="Y179" s="1">
        <f t="shared" si="12"/>
        <v>0.17843972147419021</v>
      </c>
      <c r="Z179" s="1">
        <f>'Paste cellinfo here'!$B$11</f>
        <v>0.52400000000000002</v>
      </c>
    </row>
    <row r="180" spans="1:26">
      <c r="A180" s="1">
        <v>179</v>
      </c>
      <c r="B180" s="2">
        <f>DATE(Sintesi!$C$4-1,12,31)+A180</f>
        <v>44375</v>
      </c>
      <c r="C180" s="1">
        <f>'Paste cell here'!B180</f>
        <v>0</v>
      </c>
      <c r="D180" s="1">
        <f>'Paste cell here'!I180</f>
        <v>0</v>
      </c>
      <c r="E180" s="1">
        <f>'Paste cell here'!J180</f>
        <v>0</v>
      </c>
      <c r="F180" s="1">
        <f>'Paste cell here'!K180</f>
        <v>0</v>
      </c>
      <c r="G180" s="1">
        <f>'Paste cell here'!L180</f>
        <v>0</v>
      </c>
      <c r="H180" s="1">
        <f>'Paste cell here'!M180</f>
        <v>0</v>
      </c>
      <c r="I180" s="1">
        <f>'Paste cell here'!N180</f>
        <v>0</v>
      </c>
      <c r="J180" s="1">
        <f>'Paste cell here'!O180</f>
        <v>0</v>
      </c>
      <c r="K180" s="1">
        <f>'Paste cell here'!Q180</f>
        <v>0.40872862421986106</v>
      </c>
      <c r="L180" s="1">
        <f>'Paste cell here'!S180</f>
        <v>0</v>
      </c>
      <c r="M180" s="1">
        <f>'Paste cell here'!T180</f>
        <v>0.37723572711124681</v>
      </c>
      <c r="N180" s="1">
        <f>'Paste cell here'!W180</f>
        <v>0</v>
      </c>
      <c r="O180" s="1">
        <f>'Paste cell here'!U180</f>
        <v>22.98831272948528</v>
      </c>
      <c r="P180" s="1">
        <f t="shared" si="13"/>
        <v>23.77427708081639</v>
      </c>
      <c r="Q180" s="1">
        <f>'Paste cell here'!V180</f>
        <v>0</v>
      </c>
      <c r="R180" s="1">
        <f t="shared" si="14"/>
        <v>0</v>
      </c>
      <c r="S180" s="7">
        <f>Sintesi!$C$30</f>
        <v>0.107</v>
      </c>
      <c r="T180" s="7">
        <f>Sintesi!$C$29</f>
        <v>0.23300000000000001</v>
      </c>
      <c r="U180" s="5">
        <f>O180/(Sintesi!$C$5*1000)</f>
        <v>0.2298831272948528</v>
      </c>
      <c r="V180" s="1">
        <f t="shared" si="10"/>
        <v>0.126</v>
      </c>
      <c r="W180" s="1">
        <v>0.39774876648587898</v>
      </c>
      <c r="X180" s="1">
        <f t="shared" si="11"/>
        <v>5.0116344577220751E-2</v>
      </c>
      <c r="Y180" s="1">
        <f t="shared" si="12"/>
        <v>0.18288365542277926</v>
      </c>
      <c r="Z180" s="1">
        <f>'Paste cellinfo here'!$B$11</f>
        <v>0.52400000000000002</v>
      </c>
    </row>
    <row r="181" spans="1:26">
      <c r="A181" s="1">
        <v>180</v>
      </c>
      <c r="B181" s="2">
        <f>DATE(Sintesi!$C$4-1,12,31)+A181</f>
        <v>44376</v>
      </c>
      <c r="C181" s="1">
        <f>'Paste cell here'!B181</f>
        <v>0</v>
      </c>
      <c r="D181" s="1">
        <f>'Paste cell here'!I181</f>
        <v>0</v>
      </c>
      <c r="E181" s="1">
        <f>'Paste cell here'!J181</f>
        <v>0</v>
      </c>
      <c r="F181" s="1">
        <f>'Paste cell here'!K181</f>
        <v>0</v>
      </c>
      <c r="G181" s="1">
        <f>'Paste cell here'!L181</f>
        <v>0</v>
      </c>
      <c r="H181" s="1">
        <f>'Paste cell here'!M181</f>
        <v>0</v>
      </c>
      <c r="I181" s="1">
        <f>'Paste cell here'!N181</f>
        <v>0</v>
      </c>
      <c r="J181" s="1">
        <f>'Paste cell here'!O181</f>
        <v>0</v>
      </c>
      <c r="K181" s="1">
        <f>'Paste cell here'!Q181</f>
        <v>0.40880353754383975</v>
      </c>
      <c r="L181" s="1">
        <f>'Paste cell here'!S181</f>
        <v>0</v>
      </c>
      <c r="M181" s="1">
        <f>'Paste cell here'!T181</f>
        <v>0.20614923063983956</v>
      </c>
      <c r="N181" s="1">
        <f>'Paste cell here'!W181</f>
        <v>0</v>
      </c>
      <c r="O181" s="1">
        <f>'Paste cell here'!U181</f>
        <v>22.373359961301595</v>
      </c>
      <c r="P181" s="1">
        <f t="shared" si="13"/>
        <v>22.98831272948528</v>
      </c>
      <c r="Q181" s="1">
        <f>'Paste cell here'!V181</f>
        <v>0</v>
      </c>
      <c r="R181" s="1">
        <f t="shared" si="14"/>
        <v>7.1054273576010019E-15</v>
      </c>
      <c r="S181" s="7">
        <f>Sintesi!$C$30</f>
        <v>0.107</v>
      </c>
      <c r="T181" s="7">
        <f>Sintesi!$C$29</f>
        <v>0.23300000000000001</v>
      </c>
      <c r="U181" s="5">
        <f>O181/(Sintesi!$C$5*1000)</f>
        <v>0.22373359961301595</v>
      </c>
      <c r="V181" s="1">
        <f t="shared" si="10"/>
        <v>0.126</v>
      </c>
      <c r="W181" s="1">
        <v>0.37925079813193002</v>
      </c>
      <c r="X181" s="1">
        <f t="shared" si="11"/>
        <v>4.7785600564623186E-2</v>
      </c>
      <c r="Y181" s="1">
        <f t="shared" si="12"/>
        <v>0.18521439943537682</v>
      </c>
      <c r="Z181" s="1">
        <f>'Paste cellinfo here'!$B$11</f>
        <v>0.52400000000000002</v>
      </c>
    </row>
    <row r="182" spans="1:26">
      <c r="A182" s="1">
        <v>181</v>
      </c>
      <c r="B182" s="2">
        <f>DATE(Sintesi!$C$4-1,12,31)+A182</f>
        <v>44377</v>
      </c>
      <c r="C182" s="1">
        <f>'Paste cell here'!B182</f>
        <v>0</v>
      </c>
      <c r="D182" s="1">
        <f>'Paste cell here'!I182</f>
        <v>0</v>
      </c>
      <c r="E182" s="1">
        <f>'Paste cell here'!J182</f>
        <v>0</v>
      </c>
      <c r="F182" s="1">
        <f>'Paste cell here'!K182</f>
        <v>0</v>
      </c>
      <c r="G182" s="1">
        <f>'Paste cell here'!L182</f>
        <v>0</v>
      </c>
      <c r="H182" s="1">
        <f>'Paste cell here'!M182</f>
        <v>0</v>
      </c>
      <c r="I182" s="1">
        <f>'Paste cell here'!N182</f>
        <v>0</v>
      </c>
      <c r="J182" s="1">
        <f>'Paste cell here'!O182</f>
        <v>0</v>
      </c>
      <c r="K182" s="1">
        <f>'Paste cell here'!Q182</f>
        <v>0.40578970584319562</v>
      </c>
      <c r="L182" s="1">
        <f>'Paste cell here'!S182</f>
        <v>0</v>
      </c>
      <c r="M182" s="1">
        <f>'Paste cell here'!T182</f>
        <v>0.12135237989427157</v>
      </c>
      <c r="N182" s="1">
        <f>'Paste cell here'!W182</f>
        <v>0</v>
      </c>
      <c r="O182" s="1">
        <f>'Paste cell here'!U182</f>
        <v>21.846217875564122</v>
      </c>
      <c r="P182" s="1">
        <f t="shared" si="13"/>
        <v>22.373359961301595</v>
      </c>
      <c r="Q182" s="1">
        <f>'Paste cell here'!V182</f>
        <v>0</v>
      </c>
      <c r="R182" s="1">
        <f t="shared" si="14"/>
        <v>7.1054273576010019E-15</v>
      </c>
      <c r="S182" s="7">
        <f>Sintesi!$C$30</f>
        <v>0.107</v>
      </c>
      <c r="T182" s="7">
        <f>Sintesi!$C$29</f>
        <v>0.23300000000000001</v>
      </c>
      <c r="U182" s="5">
        <f>O182/(Sintesi!$C$5*1000)</f>
        <v>0.21846217875564122</v>
      </c>
      <c r="V182" s="1">
        <f t="shared" si="10"/>
        <v>0.126</v>
      </c>
      <c r="W182" s="1">
        <v>0.38053722321066202</v>
      </c>
      <c r="X182" s="1">
        <f t="shared" si="11"/>
        <v>4.7947690124543418E-2</v>
      </c>
      <c r="Y182" s="1">
        <f t="shared" si="12"/>
        <v>0.18505230987545659</v>
      </c>
      <c r="Z182" s="1">
        <f>'Paste cellinfo here'!$B$11</f>
        <v>0.52400000000000002</v>
      </c>
    </row>
    <row r="183" spans="1:26">
      <c r="A183" s="1">
        <v>182</v>
      </c>
      <c r="B183" s="2">
        <f>DATE(Sintesi!$C$4-1,12,31)+A183</f>
        <v>44378</v>
      </c>
      <c r="C183" s="1">
        <f>'Paste cell here'!B183</f>
        <v>0</v>
      </c>
      <c r="D183" s="1">
        <f>'Paste cell here'!I183</f>
        <v>0</v>
      </c>
      <c r="E183" s="1">
        <f>'Paste cell here'!J183</f>
        <v>0</v>
      </c>
      <c r="F183" s="1">
        <f>'Paste cell here'!K183</f>
        <v>0</v>
      </c>
      <c r="G183" s="1">
        <f>'Paste cell here'!L183</f>
        <v>0</v>
      </c>
      <c r="H183" s="1">
        <f>'Paste cell here'!M183</f>
        <v>0</v>
      </c>
      <c r="I183" s="1">
        <f>'Paste cell here'!N183</f>
        <v>0</v>
      </c>
      <c r="J183" s="1">
        <f>'Paste cell here'!O183</f>
        <v>0</v>
      </c>
      <c r="K183" s="1">
        <f>'Paste cell here'!Q183</f>
        <v>0.63494372660106413</v>
      </c>
      <c r="L183" s="1">
        <f>'Paste cell here'!S183</f>
        <v>0</v>
      </c>
      <c r="M183" s="1">
        <f>'Paste cell here'!T183</f>
        <v>7.0662749712944409E-2</v>
      </c>
      <c r="N183" s="1">
        <f>'Paste cell here'!W183</f>
        <v>0</v>
      </c>
      <c r="O183" s="1">
        <f>'Paste cell here'!U183</f>
        <v>21.14061139925013</v>
      </c>
      <c r="P183" s="1">
        <f t="shared" si="13"/>
        <v>21.846217875564122</v>
      </c>
      <c r="Q183" s="1">
        <f>'Paste cell here'!V183</f>
        <v>0</v>
      </c>
      <c r="R183" s="1">
        <f t="shared" si="14"/>
        <v>1.7763568394002505E-14</v>
      </c>
      <c r="S183" s="7">
        <f>Sintesi!$C$30</f>
        <v>0.107</v>
      </c>
      <c r="T183" s="7">
        <f>Sintesi!$C$29</f>
        <v>0.23300000000000001</v>
      </c>
      <c r="U183" s="5">
        <f>O183/(Sintesi!$C$5*1000)</f>
        <v>0.21140611399250131</v>
      </c>
      <c r="V183" s="1">
        <f t="shared" si="10"/>
        <v>0.126</v>
      </c>
      <c r="W183" s="1">
        <v>0.42037677712902899</v>
      </c>
      <c r="X183" s="1">
        <f t="shared" si="11"/>
        <v>5.2967473918257651E-2</v>
      </c>
      <c r="Y183" s="1">
        <f t="shared" si="12"/>
        <v>0.18003252608174236</v>
      </c>
      <c r="Z183" s="1">
        <f>'Paste cellinfo here'!$B$11</f>
        <v>0.52400000000000002</v>
      </c>
    </row>
    <row r="184" spans="1:26">
      <c r="A184" s="1">
        <v>183</v>
      </c>
      <c r="B184" s="2">
        <f>DATE(Sintesi!$C$4-1,12,31)+A184</f>
        <v>44379</v>
      </c>
      <c r="C184" s="1">
        <f>'Paste cell here'!B184</f>
        <v>0</v>
      </c>
      <c r="D184" s="1">
        <f>'Paste cell here'!I184</f>
        <v>54</v>
      </c>
      <c r="E184" s="1">
        <f>'Paste cell here'!J184</f>
        <v>0</v>
      </c>
      <c r="F184" s="1">
        <f>'Paste cell here'!K184</f>
        <v>54</v>
      </c>
      <c r="G184" s="1">
        <f>'Paste cell here'!L184</f>
        <v>0</v>
      </c>
      <c r="H184" s="1">
        <f>'Paste cell here'!M184</f>
        <v>0</v>
      </c>
      <c r="I184" s="1">
        <f>'Paste cell here'!N184</f>
        <v>0</v>
      </c>
      <c r="J184" s="1">
        <f>'Paste cell here'!O184</f>
        <v>0</v>
      </c>
      <c r="K184" s="1">
        <f>'Paste cell here'!Q184</f>
        <v>0.44690709928742778</v>
      </c>
      <c r="L184" s="1">
        <f>'Paste cell here'!S184</f>
        <v>0</v>
      </c>
      <c r="M184" s="1">
        <f>'Paste cell here'!T184</f>
        <v>47.128257319249919</v>
      </c>
      <c r="N184" s="1">
        <f>'Paste cell here'!W184</f>
        <v>0</v>
      </c>
      <c r="O184" s="1">
        <f>'Paste cell here'!U184</f>
        <v>27.565446980712782</v>
      </c>
      <c r="P184" s="1">
        <f t="shared" si="13"/>
        <v>21.14061139925013</v>
      </c>
      <c r="Q184" s="1">
        <f>'Paste cell here'!V184</f>
        <v>0</v>
      </c>
      <c r="R184" s="1">
        <f t="shared" si="14"/>
        <v>3.5527136788005009E-15</v>
      </c>
      <c r="S184" s="7">
        <f>Sintesi!$C$30</f>
        <v>0.107</v>
      </c>
      <c r="T184" s="7">
        <f>Sintesi!$C$29</f>
        <v>0.23300000000000001</v>
      </c>
      <c r="U184" s="5">
        <f>O184/(Sintesi!$C$5*1000)</f>
        <v>0.27565446980712782</v>
      </c>
      <c r="V184" s="1">
        <f t="shared" si="10"/>
        <v>0.126</v>
      </c>
      <c r="W184" s="1">
        <v>0.409373302519563</v>
      </c>
      <c r="X184" s="1">
        <f t="shared" si="11"/>
        <v>5.1581036117464937E-2</v>
      </c>
      <c r="Y184" s="1">
        <f t="shared" si="12"/>
        <v>0.18141896388253509</v>
      </c>
      <c r="Z184" s="1">
        <f>'Paste cellinfo here'!$B$11</f>
        <v>0.52400000000000002</v>
      </c>
    </row>
    <row r="185" spans="1:26">
      <c r="A185" s="1">
        <v>184</v>
      </c>
      <c r="B185" s="2">
        <f>DATE(Sintesi!$C$4-1,12,31)+A185</f>
        <v>44380</v>
      </c>
      <c r="C185" s="1">
        <f>'Paste cell here'!B185</f>
        <v>0</v>
      </c>
      <c r="D185" s="1">
        <f>'Paste cell here'!I185</f>
        <v>0</v>
      </c>
      <c r="E185" s="1">
        <f>'Paste cell here'!J185</f>
        <v>0</v>
      </c>
      <c r="F185" s="1">
        <f>'Paste cell here'!K185</f>
        <v>0</v>
      </c>
      <c r="G185" s="1">
        <f>'Paste cell here'!L185</f>
        <v>0</v>
      </c>
      <c r="H185" s="1">
        <f>'Paste cell here'!M185</f>
        <v>0</v>
      </c>
      <c r="I185" s="1">
        <f>'Paste cell here'!N185</f>
        <v>0</v>
      </c>
      <c r="J185" s="1">
        <f>'Paste cell here'!O185</f>
        <v>0</v>
      </c>
      <c r="K185" s="1">
        <f>'Paste cell here'!Q185</f>
        <v>0.20547620066454611</v>
      </c>
      <c r="L185" s="1">
        <f>'Paste cell here'!S185</f>
        <v>0</v>
      </c>
      <c r="M185" s="1">
        <f>'Paste cell here'!T185</f>
        <v>2.4203726640333612</v>
      </c>
      <c r="N185" s="1">
        <f>'Paste cell here'!W185</f>
        <v>0</v>
      </c>
      <c r="O185" s="1">
        <f>'Paste cell here'!U185</f>
        <v>24.939598116014878</v>
      </c>
      <c r="P185" s="1">
        <f t="shared" si="13"/>
        <v>27.565446980712782</v>
      </c>
      <c r="Q185" s="1">
        <f>'Paste cell here'!V185</f>
        <v>0</v>
      </c>
      <c r="R185" s="1">
        <f t="shared" si="14"/>
        <v>3.5527136788005009E-15</v>
      </c>
      <c r="S185" s="7">
        <f>Sintesi!$C$30</f>
        <v>0.107</v>
      </c>
      <c r="T185" s="7">
        <f>Sintesi!$C$29</f>
        <v>0.23300000000000001</v>
      </c>
      <c r="U185" s="5">
        <f>O185/(Sintesi!$C$5*1000)</f>
        <v>0.24939598116014877</v>
      </c>
      <c r="V185" s="1">
        <f t="shared" si="10"/>
        <v>0.126</v>
      </c>
      <c r="W185" s="1">
        <v>0.41221040263144798</v>
      </c>
      <c r="X185" s="1">
        <f t="shared" si="11"/>
        <v>5.1938510731562443E-2</v>
      </c>
      <c r="Y185" s="1">
        <f t="shared" si="12"/>
        <v>0.18106148926843757</v>
      </c>
      <c r="Z185" s="1">
        <f>'Paste cellinfo here'!$B$11</f>
        <v>0.52400000000000002</v>
      </c>
    </row>
    <row r="186" spans="1:26">
      <c r="A186" s="1">
        <v>185</v>
      </c>
      <c r="B186" s="2">
        <f>DATE(Sintesi!$C$4-1,12,31)+A186</f>
        <v>44381</v>
      </c>
      <c r="C186" s="1">
        <f>'Paste cell here'!B186</f>
        <v>6.9199999999999227</v>
      </c>
      <c r="D186" s="1">
        <f>'Paste cell here'!I186</f>
        <v>0</v>
      </c>
      <c r="E186" s="1">
        <f>'Paste cell here'!J186</f>
        <v>4.792473979183276</v>
      </c>
      <c r="F186" s="1">
        <f>'Paste cell here'!K186</f>
        <v>6.9199999999999227</v>
      </c>
      <c r="G186" s="1">
        <f>'Paste cell here'!L186</f>
        <v>4.792473979183276</v>
      </c>
      <c r="H186" s="1">
        <f>'Paste cell here'!M186</f>
        <v>2.1275260208166462</v>
      </c>
      <c r="I186" s="1">
        <f>'Paste cell here'!N186</f>
        <v>0</v>
      </c>
      <c r="J186" s="1">
        <f>'Paste cell here'!O186</f>
        <v>4.7924741220101295</v>
      </c>
      <c r="K186" s="1">
        <f>'Paste cell here'!Q186</f>
        <v>1.4270821785557244E-2</v>
      </c>
      <c r="L186" s="1">
        <f>'Paste cell here'!S186</f>
        <v>0</v>
      </c>
      <c r="M186" s="1">
        <f>'Paste cell here'!T186</f>
        <v>2.2497595019716936</v>
      </c>
      <c r="N186" s="1">
        <f>'Paste cell here'!W186</f>
        <v>0</v>
      </c>
      <c r="O186" s="1">
        <f>'Paste cell here'!U186</f>
        <v>27.468041914267765</v>
      </c>
      <c r="P186" s="1">
        <f t="shared" si="13"/>
        <v>24.939598116014878</v>
      </c>
      <c r="Q186" s="1">
        <f>'Paste cell here'!V186</f>
        <v>0</v>
      </c>
      <c r="R186" s="1">
        <f t="shared" si="14"/>
        <v>1.4282686322530935E-7</v>
      </c>
      <c r="S186" s="7">
        <f>Sintesi!$C$30</f>
        <v>0.107</v>
      </c>
      <c r="T186" s="7">
        <f>Sintesi!$C$29</f>
        <v>0.23300000000000001</v>
      </c>
      <c r="U186" s="5">
        <f>O186/(Sintesi!$C$5*1000)</f>
        <v>0.27468041914267766</v>
      </c>
      <c r="V186" s="1">
        <f t="shared" si="10"/>
        <v>0.126</v>
      </c>
      <c r="W186" s="1">
        <v>0.43755589255903499</v>
      </c>
      <c r="X186" s="1">
        <f t="shared" si="11"/>
        <v>5.5132042462438406E-2</v>
      </c>
      <c r="Y186" s="1">
        <f t="shared" si="12"/>
        <v>0.1778679575375616</v>
      </c>
      <c r="Z186" s="1">
        <f>'Paste cellinfo here'!$B$11</f>
        <v>0.52400000000000002</v>
      </c>
    </row>
    <row r="187" spans="1:26">
      <c r="A187" s="1">
        <v>186</v>
      </c>
      <c r="B187" s="2">
        <f>DATE(Sintesi!$C$4-1,12,31)+A187</f>
        <v>44382</v>
      </c>
      <c r="C187" s="1">
        <f>'Paste cell here'!B187</f>
        <v>0.15999999999999945</v>
      </c>
      <c r="D187" s="1">
        <f>'Paste cell here'!I187</f>
        <v>0</v>
      </c>
      <c r="E187" s="1">
        <f>'Paste cell here'!J187</f>
        <v>7.9355238685678287E-3</v>
      </c>
      <c r="F187" s="1">
        <f>'Paste cell here'!K187</f>
        <v>0.15999999999999945</v>
      </c>
      <c r="G187" s="1">
        <f>'Paste cell here'!L187</f>
        <v>7.9355238685678287E-3</v>
      </c>
      <c r="H187" s="1">
        <f>'Paste cell here'!M187</f>
        <v>0.15206447613143162</v>
      </c>
      <c r="I187" s="1">
        <f>'Paste cell here'!N187</f>
        <v>0</v>
      </c>
      <c r="J187" s="1">
        <f>'Paste cell here'!O187</f>
        <v>7.9355241050648711E-3</v>
      </c>
      <c r="K187" s="1">
        <f>'Paste cell here'!Q187</f>
        <v>0.27562051047122005</v>
      </c>
      <c r="L187" s="1">
        <f>'Paste cell here'!S187</f>
        <v>0</v>
      </c>
      <c r="M187" s="1">
        <f>'Paste cell here'!T187</f>
        <v>1.7024400662054755</v>
      </c>
      <c r="N187" s="1">
        <f>'Paste cell here'!W187</f>
        <v>0</v>
      </c>
      <c r="O187" s="1">
        <f>'Paste cell here'!U187</f>
        <v>25.497916861696119</v>
      </c>
      <c r="P187" s="1">
        <f t="shared" si="13"/>
        <v>27.468041914267765</v>
      </c>
      <c r="Q187" s="1">
        <f>'Paste cell here'!V187</f>
        <v>0</v>
      </c>
      <c r="R187" s="1">
        <f t="shared" si="14"/>
        <v>2.3648283331567654E-10</v>
      </c>
      <c r="S187" s="7">
        <f>Sintesi!$C$30</f>
        <v>0.107</v>
      </c>
      <c r="T187" s="7">
        <f>Sintesi!$C$29</f>
        <v>0.23300000000000001</v>
      </c>
      <c r="U187" s="5">
        <f>O187/(Sintesi!$C$5*1000)</f>
        <v>0.25497916861696118</v>
      </c>
      <c r="V187" s="1">
        <f t="shared" si="10"/>
        <v>0.126</v>
      </c>
      <c r="W187" s="1">
        <v>0.44955132964398797</v>
      </c>
      <c r="X187" s="1">
        <f t="shared" si="11"/>
        <v>5.6643467535142482E-2</v>
      </c>
      <c r="Y187" s="1">
        <f t="shared" si="12"/>
        <v>0.17635653246485752</v>
      </c>
      <c r="Z187" s="1">
        <f>'Paste cellinfo here'!$B$11</f>
        <v>0.52400000000000002</v>
      </c>
    </row>
    <row r="188" spans="1:26">
      <c r="A188" s="1">
        <v>187</v>
      </c>
      <c r="B188" s="2">
        <f>DATE(Sintesi!$C$4-1,12,31)+A188</f>
        <v>44383</v>
      </c>
      <c r="C188" s="1">
        <f>'Paste cell here'!B188</f>
        <v>0</v>
      </c>
      <c r="D188" s="1">
        <f>'Paste cell here'!I188</f>
        <v>0</v>
      </c>
      <c r="E188" s="1">
        <f>'Paste cell here'!J188</f>
        <v>0</v>
      </c>
      <c r="F188" s="1">
        <f>'Paste cell here'!K188</f>
        <v>0</v>
      </c>
      <c r="G188" s="1">
        <f>'Paste cell here'!L188</f>
        <v>0</v>
      </c>
      <c r="H188" s="1">
        <f>'Paste cell here'!M188</f>
        <v>0</v>
      </c>
      <c r="I188" s="1">
        <f>'Paste cell here'!N188</f>
        <v>0</v>
      </c>
      <c r="J188" s="1">
        <f>'Paste cell here'!O188</f>
        <v>0</v>
      </c>
      <c r="K188" s="1">
        <f>'Paste cell here'!Q188</f>
        <v>0.29220890273795563</v>
      </c>
      <c r="L188" s="1">
        <f>'Paste cell here'!S188</f>
        <v>0</v>
      </c>
      <c r="M188" s="1">
        <f>'Paste cell here'!T188</f>
        <v>0.6939547607951434</v>
      </c>
      <c r="N188" s="1">
        <f>'Paste cell here'!W188</f>
        <v>0</v>
      </c>
      <c r="O188" s="1">
        <f>'Paste cell here'!U188</f>
        <v>24.511753198163014</v>
      </c>
      <c r="P188" s="1">
        <f t="shared" si="13"/>
        <v>25.497916861696119</v>
      </c>
      <c r="Q188" s="1">
        <f>'Paste cell here'!V188</f>
        <v>0</v>
      </c>
      <c r="R188" s="1">
        <f t="shared" si="14"/>
        <v>7.1054273576010019E-15</v>
      </c>
      <c r="S188" s="7">
        <f>Sintesi!$C$30</f>
        <v>0.107</v>
      </c>
      <c r="T188" s="7">
        <f>Sintesi!$C$29</f>
        <v>0.23300000000000001</v>
      </c>
      <c r="U188" s="5">
        <f>O188/(Sintesi!$C$5*1000)</f>
        <v>0.24511753198163014</v>
      </c>
      <c r="V188" s="1">
        <f t="shared" si="10"/>
        <v>0.126</v>
      </c>
      <c r="W188" s="1">
        <v>0.42220944225157703</v>
      </c>
      <c r="X188" s="1">
        <f t="shared" si="11"/>
        <v>5.3198389723698704E-2</v>
      </c>
      <c r="Y188" s="1">
        <f t="shared" si="12"/>
        <v>0.17980161027630132</v>
      </c>
      <c r="Z188" s="1">
        <f>'Paste cellinfo here'!$B$11</f>
        <v>0.52400000000000002</v>
      </c>
    </row>
    <row r="189" spans="1:26">
      <c r="A189" s="1">
        <v>188</v>
      </c>
      <c r="B189" s="2">
        <f>DATE(Sintesi!$C$4-1,12,31)+A189</f>
        <v>44384</v>
      </c>
      <c r="C189" s="1">
        <f>'Paste cell here'!B189</f>
        <v>1.2399999999999296</v>
      </c>
      <c r="D189" s="1">
        <f>'Paste cell here'!I189</f>
        <v>0</v>
      </c>
      <c r="E189" s="1">
        <f>'Paste cell here'!J189</f>
        <v>0.35808104331622048</v>
      </c>
      <c r="F189" s="1">
        <f>'Paste cell here'!K189</f>
        <v>1.2399999999999296</v>
      </c>
      <c r="G189" s="1">
        <f>'Paste cell here'!L189</f>
        <v>0.35808104331622048</v>
      </c>
      <c r="H189" s="1">
        <f>'Paste cell here'!M189</f>
        <v>0.88191895668370912</v>
      </c>
      <c r="I189" s="1">
        <f>'Paste cell here'!N189</f>
        <v>0</v>
      </c>
      <c r="J189" s="1">
        <f>'Paste cell here'!O189</f>
        <v>0.35808105398786727</v>
      </c>
      <c r="K189" s="1">
        <f>'Paste cell here'!Q189</f>
        <v>0.31977701557119409</v>
      </c>
      <c r="L189" s="1">
        <f>'Paste cell here'!S189</f>
        <v>0</v>
      </c>
      <c r="M189" s="1">
        <f>'Paste cell here'!T189</f>
        <v>0.40513946926116051</v>
      </c>
      <c r="N189" s="1">
        <f>'Paste cell here'!W189</f>
        <v>0</v>
      </c>
      <c r="O189" s="1">
        <f>'Paste cell here'!U189</f>
        <v>24.144917767318528</v>
      </c>
      <c r="P189" s="1">
        <f t="shared" si="13"/>
        <v>24.511753198163014</v>
      </c>
      <c r="Q189" s="1">
        <f>'Paste cell here'!V189</f>
        <v>0</v>
      </c>
      <c r="R189" s="1">
        <f t="shared" si="14"/>
        <v>1.0671648453808302E-8</v>
      </c>
      <c r="S189" s="7">
        <f>Sintesi!$C$30</f>
        <v>0.107</v>
      </c>
      <c r="T189" s="7">
        <f>Sintesi!$C$29</f>
        <v>0.23300000000000001</v>
      </c>
      <c r="U189" s="5">
        <f>O189/(Sintesi!$C$5*1000)</f>
        <v>0.24144917767318527</v>
      </c>
      <c r="V189" s="1">
        <f t="shared" si="10"/>
        <v>0.126</v>
      </c>
      <c r="W189" s="1">
        <v>0.52262777393563897</v>
      </c>
      <c r="X189" s="1">
        <f t="shared" si="11"/>
        <v>6.5851099515890507E-2</v>
      </c>
      <c r="Y189" s="1">
        <f t="shared" si="12"/>
        <v>0.16714890048410952</v>
      </c>
      <c r="Z189" s="1">
        <f>'Paste cellinfo here'!$B$11</f>
        <v>0.52400000000000002</v>
      </c>
    </row>
    <row r="190" spans="1:26">
      <c r="A190" s="1">
        <v>189</v>
      </c>
      <c r="B190" s="2">
        <f>DATE(Sintesi!$C$4-1,12,31)+A190</f>
        <v>44385</v>
      </c>
      <c r="C190" s="1">
        <f>'Paste cell here'!B190</f>
        <v>20.479999999999634</v>
      </c>
      <c r="D190" s="1">
        <f>'Paste cell here'!I190</f>
        <v>0</v>
      </c>
      <c r="E190" s="1">
        <f>'Paste cell here'!J190</f>
        <v>17.826861611696344</v>
      </c>
      <c r="F190" s="1">
        <f>'Paste cell here'!K190</f>
        <v>20.479999999999634</v>
      </c>
      <c r="G190" s="1">
        <f>'Paste cell here'!L190</f>
        <v>15.435385981906997</v>
      </c>
      <c r="H190" s="1">
        <f>'Paste cell here'!M190</f>
        <v>2.653138388303292</v>
      </c>
      <c r="I190" s="1">
        <f>'Paste cell here'!N190</f>
        <v>2.3914756297893485</v>
      </c>
      <c r="J190" s="1">
        <f>'Paste cell here'!O190</f>
        <v>15.435386441917345</v>
      </c>
      <c r="K190" s="1">
        <f>'Paste cell here'!Q190</f>
        <v>0.11458443640513322</v>
      </c>
      <c r="L190" s="1">
        <f>'Paste cell here'!S190</f>
        <v>0</v>
      </c>
      <c r="M190" s="1">
        <f>'Paste cell here'!T190</f>
        <v>6.185446365286289</v>
      </c>
      <c r="N190" s="1">
        <f>'Paste cell here'!W190</f>
        <v>0</v>
      </c>
      <c r="O190" s="1">
        <f>'Paste cell here'!U190</f>
        <v>33.280273407544435</v>
      </c>
      <c r="P190" s="1">
        <f t="shared" si="13"/>
        <v>24.144917767318528</v>
      </c>
      <c r="Q190" s="1">
        <f>'Paste cell here'!V190</f>
        <v>0</v>
      </c>
      <c r="R190" s="1">
        <f t="shared" si="14"/>
        <v>4.6001032671938447E-7</v>
      </c>
      <c r="S190" s="7">
        <f>Sintesi!$C$30</f>
        <v>0.107</v>
      </c>
      <c r="T190" s="7">
        <f>Sintesi!$C$29</f>
        <v>0.23300000000000001</v>
      </c>
      <c r="U190" s="5">
        <f>O190/(Sintesi!$C$5*1000)</f>
        <v>0.33280273407544436</v>
      </c>
      <c r="V190" s="1">
        <f t="shared" si="10"/>
        <v>0.126</v>
      </c>
      <c r="W190" s="1">
        <v>0.426533078728562</v>
      </c>
      <c r="X190" s="1">
        <f t="shared" si="11"/>
        <v>5.3743167919798815E-2</v>
      </c>
      <c r="Y190" s="1">
        <f t="shared" si="12"/>
        <v>0.17925683208020121</v>
      </c>
      <c r="Z190" s="1">
        <f>'Paste cellinfo here'!$B$11</f>
        <v>0.52400000000000002</v>
      </c>
    </row>
    <row r="191" spans="1:26">
      <c r="A191" s="1">
        <v>190</v>
      </c>
      <c r="B191" s="2">
        <f>DATE(Sintesi!$C$4-1,12,31)+A191</f>
        <v>44386</v>
      </c>
      <c r="C191" s="1">
        <f>'Paste cell here'!B191</f>
        <v>0</v>
      </c>
      <c r="D191" s="1">
        <f>'Paste cell here'!I191</f>
        <v>0</v>
      </c>
      <c r="E191" s="1">
        <f>'Paste cell here'!J191</f>
        <v>0</v>
      </c>
      <c r="F191" s="1">
        <f>'Paste cell here'!K191</f>
        <v>0</v>
      </c>
      <c r="G191" s="1">
        <f>'Paste cell here'!L191</f>
        <v>0</v>
      </c>
      <c r="H191" s="1">
        <f>'Paste cell here'!M191</f>
        <v>0</v>
      </c>
      <c r="I191" s="1">
        <f>'Paste cell here'!N191</f>
        <v>0</v>
      </c>
      <c r="J191" s="1">
        <f>'Paste cell here'!O191</f>
        <v>0</v>
      </c>
      <c r="K191" s="1">
        <f>'Paste cell here'!Q191</f>
        <v>0.47837414654456439</v>
      </c>
      <c r="L191" s="1">
        <f>'Paste cell here'!S191</f>
        <v>0</v>
      </c>
      <c r="M191" s="1">
        <f>'Paste cell here'!T191</f>
        <v>4.3710015453559636</v>
      </c>
      <c r="N191" s="1">
        <f>'Paste cell here'!W191</f>
        <v>0</v>
      </c>
      <c r="O191" s="1">
        <f>'Paste cell here'!U191</f>
        <v>28.430897715643916</v>
      </c>
      <c r="P191" s="1">
        <f t="shared" si="13"/>
        <v>33.280273407544435</v>
      </c>
      <c r="Q191" s="1">
        <f>'Paste cell here'!V191</f>
        <v>0</v>
      </c>
      <c r="R191" s="1">
        <f t="shared" si="14"/>
        <v>1.0658141036401503E-14</v>
      </c>
      <c r="S191" s="7">
        <f>Sintesi!$C$30</f>
        <v>0.107</v>
      </c>
      <c r="T191" s="7">
        <f>Sintesi!$C$29</f>
        <v>0.23300000000000001</v>
      </c>
      <c r="U191" s="5">
        <f>O191/(Sintesi!$C$5*1000)</f>
        <v>0.28430897715643916</v>
      </c>
      <c r="V191" s="1">
        <f t="shared" si="10"/>
        <v>0.126</v>
      </c>
      <c r="W191" s="1">
        <v>0.47822415005922803</v>
      </c>
      <c r="X191" s="1">
        <f t="shared" si="11"/>
        <v>6.0256242907462731E-2</v>
      </c>
      <c r="Y191" s="1">
        <f t="shared" si="12"/>
        <v>0.17274375709253728</v>
      </c>
      <c r="Z191" s="1">
        <f>'Paste cellinfo here'!$B$11</f>
        <v>0.52400000000000002</v>
      </c>
    </row>
    <row r="192" spans="1:26">
      <c r="A192" s="1">
        <v>191</v>
      </c>
      <c r="B192" s="2">
        <f>DATE(Sintesi!$C$4-1,12,31)+A192</f>
        <v>44387</v>
      </c>
      <c r="C192" s="1">
        <f>'Paste cell here'!B192</f>
        <v>0</v>
      </c>
      <c r="D192" s="1">
        <f>'Paste cell here'!I192</f>
        <v>0</v>
      </c>
      <c r="E192" s="1">
        <f>'Paste cell here'!J192</f>
        <v>0</v>
      </c>
      <c r="F192" s="1">
        <f>'Paste cell here'!K192</f>
        <v>0</v>
      </c>
      <c r="G192" s="1">
        <f>'Paste cell here'!L192</f>
        <v>0</v>
      </c>
      <c r="H192" s="1">
        <f>'Paste cell here'!M192</f>
        <v>0</v>
      </c>
      <c r="I192" s="1">
        <f>'Paste cell here'!N192</f>
        <v>0</v>
      </c>
      <c r="J192" s="1">
        <f>'Paste cell here'!O192</f>
        <v>0</v>
      </c>
      <c r="K192" s="1">
        <f>'Paste cell here'!Q192</f>
        <v>0.38436343051874261</v>
      </c>
      <c r="L192" s="1">
        <f>'Paste cell here'!S192</f>
        <v>0</v>
      </c>
      <c r="M192" s="1">
        <f>'Paste cell here'!T192</f>
        <v>1.1785856352056876</v>
      </c>
      <c r="N192" s="1">
        <f>'Paste cell here'!W192</f>
        <v>0</v>
      </c>
      <c r="O192" s="1">
        <f>'Paste cell here'!U192</f>
        <v>26.867948649919491</v>
      </c>
      <c r="P192" s="1">
        <f t="shared" si="13"/>
        <v>28.430897715643916</v>
      </c>
      <c r="Q192" s="1">
        <f>'Paste cell here'!V192</f>
        <v>0</v>
      </c>
      <c r="R192" s="1">
        <f t="shared" si="14"/>
        <v>7.1054273576010019E-15</v>
      </c>
      <c r="S192" s="7">
        <f>Sintesi!$C$30</f>
        <v>0.107</v>
      </c>
      <c r="T192" s="7">
        <f>Sintesi!$C$29</f>
        <v>0.23300000000000001</v>
      </c>
      <c r="U192" s="5">
        <f>O192/(Sintesi!$C$5*1000)</f>
        <v>0.26867948649919493</v>
      </c>
      <c r="V192" s="1">
        <f t="shared" si="10"/>
        <v>0.126</v>
      </c>
      <c r="W192" s="1">
        <v>0.55087141040264298</v>
      </c>
      <c r="X192" s="1">
        <f t="shared" si="11"/>
        <v>6.9409797710733009E-2</v>
      </c>
      <c r="Y192" s="1">
        <f t="shared" si="12"/>
        <v>0.16359020228926702</v>
      </c>
      <c r="Z192" s="1">
        <f>'Paste cellinfo here'!$B$11</f>
        <v>0.52400000000000002</v>
      </c>
    </row>
    <row r="193" spans="1:26">
      <c r="A193" s="1">
        <v>192</v>
      </c>
      <c r="B193" s="2">
        <f>DATE(Sintesi!$C$4-1,12,31)+A193</f>
        <v>44388</v>
      </c>
      <c r="C193" s="1">
        <f>'Paste cell here'!B193</f>
        <v>0</v>
      </c>
      <c r="D193" s="1">
        <f>'Paste cell here'!I193</f>
        <v>0</v>
      </c>
      <c r="E193" s="1">
        <f>'Paste cell here'!J193</f>
        <v>0</v>
      </c>
      <c r="F193" s="1">
        <f>'Paste cell here'!K193</f>
        <v>0</v>
      </c>
      <c r="G193" s="1">
        <f>'Paste cell here'!L193</f>
        <v>0</v>
      </c>
      <c r="H193" s="1">
        <f>'Paste cell here'!M193</f>
        <v>0</v>
      </c>
      <c r="I193" s="1">
        <f>'Paste cell here'!N193</f>
        <v>0</v>
      </c>
      <c r="J193" s="1">
        <f>'Paste cell here'!O193</f>
        <v>0</v>
      </c>
      <c r="K193" s="1">
        <f>'Paste cell here'!Q193</f>
        <v>0.44505726168221144</v>
      </c>
      <c r="L193" s="1">
        <f>'Paste cell here'!S193</f>
        <v>0</v>
      </c>
      <c r="M193" s="1">
        <f>'Paste cell here'!T193</f>
        <v>0.59494368679939624</v>
      </c>
      <c r="N193" s="1">
        <f>'Paste cell here'!W193</f>
        <v>0</v>
      </c>
      <c r="O193" s="1">
        <f>'Paste cell here'!U193</f>
        <v>25.827947701437896</v>
      </c>
      <c r="P193" s="1">
        <f t="shared" si="13"/>
        <v>26.867948649919491</v>
      </c>
      <c r="Q193" s="1">
        <f>'Paste cell here'!V193</f>
        <v>0</v>
      </c>
      <c r="R193" s="1">
        <f t="shared" si="14"/>
        <v>1.4210854715202004E-14</v>
      </c>
      <c r="S193" s="7">
        <f>Sintesi!$C$30</f>
        <v>0.107</v>
      </c>
      <c r="T193" s="7">
        <f>Sintesi!$C$29</f>
        <v>0.23300000000000001</v>
      </c>
      <c r="U193" s="5">
        <f>O193/(Sintesi!$C$5*1000)</f>
        <v>0.25827947701437898</v>
      </c>
      <c r="V193" s="1">
        <f t="shared" si="10"/>
        <v>0.126</v>
      </c>
      <c r="W193" s="1">
        <v>0.46283717001582098</v>
      </c>
      <c r="X193" s="1">
        <f t="shared" si="11"/>
        <v>5.8317483421993443E-2</v>
      </c>
      <c r="Y193" s="1">
        <f t="shared" si="12"/>
        <v>0.17468251657800657</v>
      </c>
      <c r="Z193" s="1">
        <f>'Paste cellinfo here'!$B$11</f>
        <v>0.52400000000000002</v>
      </c>
    </row>
    <row r="194" spans="1:26">
      <c r="A194" s="1">
        <v>193</v>
      </c>
      <c r="B194" s="2">
        <f>DATE(Sintesi!$C$4-1,12,31)+A194</f>
        <v>44389</v>
      </c>
      <c r="C194" s="1">
        <f>'Paste cell here'!B194</f>
        <v>0</v>
      </c>
      <c r="D194" s="1">
        <f>'Paste cell here'!I194</f>
        <v>0</v>
      </c>
      <c r="E194" s="1">
        <f>'Paste cell here'!J194</f>
        <v>0</v>
      </c>
      <c r="F194" s="1">
        <f>'Paste cell here'!K194</f>
        <v>0</v>
      </c>
      <c r="G194" s="1">
        <f>'Paste cell here'!L194</f>
        <v>0</v>
      </c>
      <c r="H194" s="1">
        <f>'Paste cell here'!M194</f>
        <v>0</v>
      </c>
      <c r="I194" s="1">
        <f>'Paste cell here'!N194</f>
        <v>0</v>
      </c>
      <c r="J194" s="1">
        <f>'Paste cell here'!O194</f>
        <v>0</v>
      </c>
      <c r="K194" s="1">
        <f>'Paste cell here'!Q194</f>
        <v>0.1983197814177067</v>
      </c>
      <c r="L194" s="1">
        <f>'Paste cell here'!S194</f>
        <v>0</v>
      </c>
      <c r="M194" s="1">
        <f>'Paste cell here'!T194</f>
        <v>0.37167555784666195</v>
      </c>
      <c r="N194" s="1">
        <f>'Paste cell here'!W194</f>
        <v>0</v>
      </c>
      <c r="O194" s="1">
        <f>'Paste cell here'!U194</f>
        <v>25.257952362173523</v>
      </c>
      <c r="P194" s="1">
        <f t="shared" si="13"/>
        <v>25.827947701437896</v>
      </c>
      <c r="Q194" s="1">
        <f>'Paste cell here'!V194</f>
        <v>0</v>
      </c>
      <c r="R194" s="1">
        <f t="shared" si="14"/>
        <v>7.1054273576010019E-15</v>
      </c>
      <c r="S194" s="7">
        <f>Sintesi!$C$30</f>
        <v>0.107</v>
      </c>
      <c r="T194" s="7">
        <f>Sintesi!$C$29</f>
        <v>0.23300000000000001</v>
      </c>
      <c r="U194" s="5">
        <f>O194/(Sintesi!$C$5*1000)</f>
        <v>0.25257952362173525</v>
      </c>
      <c r="V194" s="1">
        <f t="shared" ref="V194:V257" si="15">T194-S194</f>
        <v>0.126</v>
      </c>
      <c r="W194" s="1">
        <v>0.52504138034619596</v>
      </c>
      <c r="X194" s="1">
        <f t="shared" ref="X194:X257" si="16">W194*V194</f>
        <v>6.6155213923620698E-2</v>
      </c>
      <c r="Y194" s="1">
        <f t="shared" ref="Y194:Y257" si="17">T194-X194</f>
        <v>0.16684478607637931</v>
      </c>
      <c r="Z194" s="1">
        <f>'Paste cellinfo here'!$B$11</f>
        <v>0.52400000000000002</v>
      </c>
    </row>
    <row r="195" spans="1:26">
      <c r="A195" s="1">
        <v>194</v>
      </c>
      <c r="B195" s="2">
        <f>DATE(Sintesi!$C$4-1,12,31)+A195</f>
        <v>44390</v>
      </c>
      <c r="C195" s="1">
        <f>'Paste cell here'!B195</f>
        <v>0</v>
      </c>
      <c r="D195" s="1">
        <f>'Paste cell here'!I195</f>
        <v>0</v>
      </c>
      <c r="E195" s="1">
        <f>'Paste cell here'!J195</f>
        <v>0</v>
      </c>
      <c r="F195" s="1">
        <f>'Paste cell here'!K195</f>
        <v>0</v>
      </c>
      <c r="G195" s="1">
        <f>'Paste cell here'!L195</f>
        <v>0</v>
      </c>
      <c r="H195" s="1">
        <f>'Paste cell here'!M195</f>
        <v>0</v>
      </c>
      <c r="I195" s="1">
        <f>'Paste cell here'!N195</f>
        <v>0</v>
      </c>
      <c r="J195" s="1">
        <f>'Paste cell here'!O195</f>
        <v>0</v>
      </c>
      <c r="K195" s="1">
        <f>'Paste cell here'!Q195</f>
        <v>0.33027406573311541</v>
      </c>
      <c r="L195" s="1">
        <f>'Paste cell here'!S195</f>
        <v>0</v>
      </c>
      <c r="M195" s="1">
        <f>'Paste cell here'!T195</f>
        <v>0.2601882013589607</v>
      </c>
      <c r="N195" s="1">
        <f>'Paste cell here'!W195</f>
        <v>0</v>
      </c>
      <c r="O195" s="1">
        <f>'Paste cell here'!U195</f>
        <v>24.667490095081465</v>
      </c>
      <c r="P195" s="1">
        <f t="shared" ref="P195:P258" si="18">O194</f>
        <v>25.257952362173523</v>
      </c>
      <c r="Q195" s="1">
        <f>'Paste cell here'!V195</f>
        <v>0</v>
      </c>
      <c r="R195" s="1">
        <f t="shared" ref="R195:R258" si="19">ABS(O194+C195+D195+N195+Q194-H195-I195-K195-L195-M195-O195-Q195)</f>
        <v>1.7763568394002505E-14</v>
      </c>
      <c r="S195" s="7">
        <f>Sintesi!$C$30</f>
        <v>0.107</v>
      </c>
      <c r="T195" s="7">
        <f>Sintesi!$C$29</f>
        <v>0.23300000000000001</v>
      </c>
      <c r="U195" s="5">
        <f>O195/(Sintesi!$C$5*1000)</f>
        <v>0.24667490095081465</v>
      </c>
      <c r="V195" s="1">
        <f t="shared" si="15"/>
        <v>0.126</v>
      </c>
      <c r="W195" s="1">
        <v>0.47586100438711898</v>
      </c>
      <c r="X195" s="1">
        <f t="shared" si="16"/>
        <v>5.9958486552776989E-2</v>
      </c>
      <c r="Y195" s="1">
        <f t="shared" si="17"/>
        <v>0.17304151344722302</v>
      </c>
      <c r="Z195" s="1">
        <f>'Paste cellinfo here'!$B$11</f>
        <v>0.52400000000000002</v>
      </c>
    </row>
    <row r="196" spans="1:26">
      <c r="A196" s="1">
        <v>195</v>
      </c>
      <c r="B196" s="2">
        <f>DATE(Sintesi!$C$4-1,12,31)+A196</f>
        <v>44391</v>
      </c>
      <c r="C196" s="1">
        <f>'Paste cell here'!B196</f>
        <v>6.0799999999999654</v>
      </c>
      <c r="D196" s="1">
        <f>'Paste cell here'!I196</f>
        <v>0</v>
      </c>
      <c r="E196" s="1">
        <f>'Paste cell here'!J196</f>
        <v>4.0658161020677213</v>
      </c>
      <c r="F196" s="1">
        <f>'Paste cell here'!K196</f>
        <v>6.0799999999999654</v>
      </c>
      <c r="G196" s="1">
        <f>'Paste cell here'!L196</f>
        <v>4.0658161020677213</v>
      </c>
      <c r="H196" s="1">
        <f>'Paste cell here'!M196</f>
        <v>2.0141838979322442</v>
      </c>
      <c r="I196" s="1">
        <f>'Paste cell here'!N196</f>
        <v>0</v>
      </c>
      <c r="J196" s="1">
        <f>'Paste cell here'!O196</f>
        <v>4.0658162232384827</v>
      </c>
      <c r="K196" s="1">
        <f>'Paste cell here'!Q196</f>
        <v>0.11809671125472231</v>
      </c>
      <c r="L196" s="1">
        <f>'Paste cell here'!S196</f>
        <v>0</v>
      </c>
      <c r="M196" s="1">
        <f>'Paste cell here'!T196</f>
        <v>0.53539332682292529</v>
      </c>
      <c r="N196" s="1">
        <f>'Paste cell here'!W196</f>
        <v>0</v>
      </c>
      <c r="O196" s="1">
        <f>'Paste cell here'!U196</f>
        <v>28.079816280242305</v>
      </c>
      <c r="P196" s="1">
        <f t="shared" si="18"/>
        <v>24.667490095081465</v>
      </c>
      <c r="Q196" s="1">
        <f>'Paste cell here'!V196</f>
        <v>0</v>
      </c>
      <c r="R196" s="1">
        <f t="shared" si="19"/>
        <v>1.2117076764184276E-7</v>
      </c>
      <c r="S196" s="7">
        <f>Sintesi!$C$30</f>
        <v>0.107</v>
      </c>
      <c r="T196" s="7">
        <f>Sintesi!$C$29</f>
        <v>0.23300000000000001</v>
      </c>
      <c r="U196" s="5">
        <f>O196/(Sintesi!$C$5*1000)</f>
        <v>0.28079816280242303</v>
      </c>
      <c r="V196" s="1">
        <f t="shared" si="15"/>
        <v>0.126</v>
      </c>
      <c r="W196" s="1">
        <v>0.47807804522998398</v>
      </c>
      <c r="X196" s="1">
        <f t="shared" si="16"/>
        <v>6.0237833698977984E-2</v>
      </c>
      <c r="Y196" s="1">
        <f t="shared" si="17"/>
        <v>0.17276216630102204</v>
      </c>
      <c r="Z196" s="1">
        <f>'Paste cellinfo here'!$B$11</f>
        <v>0.52400000000000002</v>
      </c>
    </row>
    <row r="197" spans="1:26">
      <c r="A197" s="1">
        <v>196</v>
      </c>
      <c r="B197" s="2">
        <f>DATE(Sintesi!$C$4-1,12,31)+A197</f>
        <v>44392</v>
      </c>
      <c r="C197" s="1">
        <f>'Paste cell here'!B197</f>
        <v>0</v>
      </c>
      <c r="D197" s="1">
        <f>'Paste cell here'!I197</f>
        <v>0</v>
      </c>
      <c r="E197" s="1">
        <f>'Paste cell here'!J197</f>
        <v>0</v>
      </c>
      <c r="F197" s="1">
        <f>'Paste cell here'!K197</f>
        <v>0</v>
      </c>
      <c r="G197" s="1">
        <f>'Paste cell here'!L197</f>
        <v>0</v>
      </c>
      <c r="H197" s="1">
        <f>'Paste cell here'!M197</f>
        <v>0</v>
      </c>
      <c r="I197" s="1">
        <f>'Paste cell here'!N197</f>
        <v>0</v>
      </c>
      <c r="J197" s="1">
        <f>'Paste cell here'!O197</f>
        <v>0</v>
      </c>
      <c r="K197" s="1">
        <f>'Paste cell here'!Q197</f>
        <v>9.8200488652225429E-2</v>
      </c>
      <c r="L197" s="1">
        <f>'Paste cell here'!S197</f>
        <v>0</v>
      </c>
      <c r="M197" s="1">
        <f>'Paste cell here'!T197</f>
        <v>0.79318150884169891</v>
      </c>
      <c r="N197" s="1">
        <f>'Paste cell here'!W197</f>
        <v>0</v>
      </c>
      <c r="O197" s="1">
        <f>'Paste cell here'!U197</f>
        <v>27.188434282748375</v>
      </c>
      <c r="P197" s="1">
        <f t="shared" si="18"/>
        <v>28.079816280242305</v>
      </c>
      <c r="Q197" s="1">
        <f>'Paste cell here'!V197</f>
        <v>0</v>
      </c>
      <c r="R197" s="1">
        <f t="shared" si="19"/>
        <v>7.1054273576010019E-15</v>
      </c>
      <c r="S197" s="7">
        <f>Sintesi!$C$30</f>
        <v>0.107</v>
      </c>
      <c r="T197" s="7">
        <f>Sintesi!$C$29</f>
        <v>0.23300000000000001</v>
      </c>
      <c r="U197" s="5">
        <f>O197/(Sintesi!$C$5*1000)</f>
        <v>0.27188434282748375</v>
      </c>
      <c r="V197" s="1">
        <f t="shared" si="15"/>
        <v>0.126</v>
      </c>
      <c r="W197" s="1">
        <v>0.55265560870242103</v>
      </c>
      <c r="X197" s="1">
        <f t="shared" si="16"/>
        <v>6.963460669650505E-2</v>
      </c>
      <c r="Y197" s="1">
        <f t="shared" si="17"/>
        <v>0.16336539330349498</v>
      </c>
      <c r="Z197" s="1">
        <f>'Paste cellinfo here'!$B$11</f>
        <v>0.52400000000000002</v>
      </c>
    </row>
    <row r="198" spans="1:26">
      <c r="A198" s="1">
        <v>197</v>
      </c>
      <c r="B198" s="2">
        <f>DATE(Sintesi!$C$4-1,12,31)+A198</f>
        <v>44393</v>
      </c>
      <c r="C198" s="1">
        <f>'Paste cell here'!B198</f>
        <v>1.3199999999999292</v>
      </c>
      <c r="D198" s="1">
        <f>'Paste cell here'!I198</f>
        <v>0</v>
      </c>
      <c r="E198" s="1">
        <f>'Paste cell here'!J198</f>
        <v>0.40333333333329668</v>
      </c>
      <c r="F198" s="1">
        <f>'Paste cell here'!K198</f>
        <v>1.3199999999999292</v>
      </c>
      <c r="G198" s="1">
        <f>'Paste cell here'!L198</f>
        <v>0.40333333333329668</v>
      </c>
      <c r="H198" s="1">
        <f>'Paste cell here'!M198</f>
        <v>0.91666666666663255</v>
      </c>
      <c r="I198" s="1">
        <f>'Paste cell here'!N198</f>
        <v>0</v>
      </c>
      <c r="J198" s="1">
        <f>'Paste cell here'!O198</f>
        <v>0.40333334535356663</v>
      </c>
      <c r="K198" s="1">
        <f>'Paste cell here'!Q198</f>
        <v>0.21858605345763329</v>
      </c>
      <c r="L198" s="1">
        <f>'Paste cell here'!S198</f>
        <v>0</v>
      </c>
      <c r="M198" s="1">
        <f>'Paste cell here'!T198</f>
        <v>0.5790612116994347</v>
      </c>
      <c r="N198" s="1">
        <f>'Paste cell here'!W198</f>
        <v>0</v>
      </c>
      <c r="O198" s="1">
        <f>'Paste cell here'!U198</f>
        <v>26.794120362944881</v>
      </c>
      <c r="P198" s="1">
        <f t="shared" si="18"/>
        <v>27.188434282748375</v>
      </c>
      <c r="Q198" s="1">
        <f>'Paste cell here'!V198</f>
        <v>0</v>
      </c>
      <c r="R198" s="1">
        <f t="shared" si="19"/>
        <v>1.2020279882563045E-8</v>
      </c>
      <c r="S198" s="7">
        <f>Sintesi!$C$30</f>
        <v>0.107</v>
      </c>
      <c r="T198" s="7">
        <f>Sintesi!$C$29</f>
        <v>0.23300000000000001</v>
      </c>
      <c r="U198" s="5">
        <f>O198/(Sintesi!$C$5*1000)</f>
        <v>0.26794120362944879</v>
      </c>
      <c r="V198" s="1">
        <f t="shared" si="15"/>
        <v>0.126</v>
      </c>
      <c r="W198" s="1">
        <v>0.55600989148386404</v>
      </c>
      <c r="X198" s="1">
        <f t="shared" si="16"/>
        <v>7.0057246326966874E-2</v>
      </c>
      <c r="Y198" s="1">
        <f t="shared" si="17"/>
        <v>0.16294275367303312</v>
      </c>
      <c r="Z198" s="1">
        <f>'Paste cellinfo here'!$B$11</f>
        <v>0.52400000000000002</v>
      </c>
    </row>
    <row r="199" spans="1:26">
      <c r="A199" s="1">
        <v>198</v>
      </c>
      <c r="B199" s="2">
        <f>DATE(Sintesi!$C$4-1,12,31)+A199</f>
        <v>44394</v>
      </c>
      <c r="C199" s="1">
        <f>'Paste cell here'!B199</f>
        <v>0</v>
      </c>
      <c r="D199" s="1">
        <f>'Paste cell here'!I199</f>
        <v>54</v>
      </c>
      <c r="E199" s="1">
        <f>'Paste cell here'!J199</f>
        <v>0</v>
      </c>
      <c r="F199" s="1">
        <f>'Paste cell here'!K199</f>
        <v>54</v>
      </c>
      <c r="G199" s="1">
        <f>'Paste cell here'!L199</f>
        <v>0</v>
      </c>
      <c r="H199" s="1">
        <f>'Paste cell here'!M199</f>
        <v>0</v>
      </c>
      <c r="I199" s="1">
        <f>'Paste cell here'!N199</f>
        <v>0</v>
      </c>
      <c r="J199" s="1">
        <f>'Paste cell here'!O199</f>
        <v>0</v>
      </c>
      <c r="K199" s="1">
        <f>'Paste cell here'!Q199</f>
        <v>0.23583813101506146</v>
      </c>
      <c r="L199" s="1">
        <f>'Paste cell here'!S199</f>
        <v>0</v>
      </c>
      <c r="M199" s="1">
        <f>'Paste cell here'!T199</f>
        <v>52.923771720783897</v>
      </c>
      <c r="N199" s="1">
        <f>'Paste cell here'!W199</f>
        <v>0</v>
      </c>
      <c r="O199" s="1">
        <f>'Paste cell here'!U199</f>
        <v>27.634510511145912</v>
      </c>
      <c r="P199" s="1">
        <f t="shared" si="18"/>
        <v>26.794120362944881</v>
      </c>
      <c r="Q199" s="1">
        <f>'Paste cell here'!V199</f>
        <v>0</v>
      </c>
      <c r="R199" s="1">
        <f t="shared" si="19"/>
        <v>1.4210854715202004E-14</v>
      </c>
      <c r="S199" s="7">
        <f>Sintesi!$C$30</f>
        <v>0.107</v>
      </c>
      <c r="T199" s="7">
        <f>Sintesi!$C$29</f>
        <v>0.23300000000000001</v>
      </c>
      <c r="U199" s="5">
        <f>O199/(Sintesi!$C$5*1000)</f>
        <v>0.2763451051114591</v>
      </c>
      <c r="V199" s="1">
        <f t="shared" si="15"/>
        <v>0.126</v>
      </c>
      <c r="W199" s="1">
        <v>0.475707243119326</v>
      </c>
      <c r="X199" s="1">
        <f t="shared" si="16"/>
        <v>5.9939112633035078E-2</v>
      </c>
      <c r="Y199" s="1">
        <f t="shared" si="17"/>
        <v>0.17306088736696493</v>
      </c>
      <c r="Z199" s="1">
        <f>'Paste cellinfo here'!$B$11</f>
        <v>0.52400000000000002</v>
      </c>
    </row>
    <row r="200" spans="1:26">
      <c r="A200" s="1">
        <v>199</v>
      </c>
      <c r="B200" s="2">
        <f>DATE(Sintesi!$C$4-1,12,31)+A200</f>
        <v>44395</v>
      </c>
      <c r="C200" s="1">
        <f>'Paste cell here'!B200</f>
        <v>0</v>
      </c>
      <c r="D200" s="1">
        <f>'Paste cell here'!I200</f>
        <v>0</v>
      </c>
      <c r="E200" s="1">
        <f>'Paste cell here'!J200</f>
        <v>0</v>
      </c>
      <c r="F200" s="1">
        <f>'Paste cell here'!K200</f>
        <v>0</v>
      </c>
      <c r="G200" s="1">
        <f>'Paste cell here'!L200</f>
        <v>0</v>
      </c>
      <c r="H200" s="1">
        <f>'Paste cell here'!M200</f>
        <v>0</v>
      </c>
      <c r="I200" s="1">
        <f>'Paste cell here'!N200</f>
        <v>0</v>
      </c>
      <c r="J200" s="1">
        <f>'Paste cell here'!O200</f>
        <v>0</v>
      </c>
      <c r="K200" s="1">
        <f>'Paste cell here'!Q200</f>
        <v>0.19488023142292421</v>
      </c>
      <c r="L200" s="1">
        <f>'Paste cell here'!S200</f>
        <v>0</v>
      </c>
      <c r="M200" s="1">
        <f>'Paste cell here'!T200</f>
        <v>2.4706474622460921</v>
      </c>
      <c r="N200" s="1">
        <f>'Paste cell here'!W200</f>
        <v>0</v>
      </c>
      <c r="O200" s="1">
        <f>'Paste cell here'!U200</f>
        <v>24.96898281747691</v>
      </c>
      <c r="P200" s="1">
        <f t="shared" si="18"/>
        <v>27.634510511145912</v>
      </c>
      <c r="Q200" s="1">
        <f>'Paste cell here'!V200</f>
        <v>0</v>
      </c>
      <c r="R200" s="1">
        <f t="shared" si="19"/>
        <v>1.4210854715202004E-14</v>
      </c>
      <c r="S200" s="7">
        <f>Sintesi!$C$30</f>
        <v>0.107</v>
      </c>
      <c r="T200" s="7">
        <f>Sintesi!$C$29</f>
        <v>0.23300000000000001</v>
      </c>
      <c r="U200" s="5">
        <f>O200/(Sintesi!$C$5*1000)</f>
        <v>0.24968982817476909</v>
      </c>
      <c r="V200" s="1">
        <f t="shared" si="15"/>
        <v>0.126</v>
      </c>
      <c r="W200" s="1">
        <v>0.452342872807518</v>
      </c>
      <c r="X200" s="1">
        <f t="shared" si="16"/>
        <v>5.6995201973747266E-2</v>
      </c>
      <c r="Y200" s="1">
        <f t="shared" si="17"/>
        <v>0.17600479802625274</v>
      </c>
      <c r="Z200" s="1">
        <f>'Paste cellinfo here'!$B$11</f>
        <v>0.52400000000000002</v>
      </c>
    </row>
    <row r="201" spans="1:26">
      <c r="A201" s="1">
        <v>200</v>
      </c>
      <c r="B201" s="2">
        <f>DATE(Sintesi!$C$4-1,12,31)+A201</f>
        <v>44396</v>
      </c>
      <c r="C201" s="1">
        <f>'Paste cell here'!B201</f>
        <v>0</v>
      </c>
      <c r="D201" s="1">
        <f>'Paste cell here'!I201</f>
        <v>0</v>
      </c>
      <c r="E201" s="1">
        <f>'Paste cell here'!J201</f>
        <v>0</v>
      </c>
      <c r="F201" s="1">
        <f>'Paste cell here'!K201</f>
        <v>0</v>
      </c>
      <c r="G201" s="1">
        <f>'Paste cell here'!L201</f>
        <v>0</v>
      </c>
      <c r="H201" s="1">
        <f>'Paste cell here'!M201</f>
        <v>0</v>
      </c>
      <c r="I201" s="1">
        <f>'Paste cell here'!N201</f>
        <v>0</v>
      </c>
      <c r="J201" s="1">
        <f>'Paste cell here'!O201</f>
        <v>0</v>
      </c>
      <c r="K201" s="1">
        <f>'Paste cell here'!Q201</f>
        <v>0.46645038837264913</v>
      </c>
      <c r="L201" s="1">
        <f>'Paste cell here'!S201</f>
        <v>0</v>
      </c>
      <c r="M201" s="1">
        <f>'Paste cell here'!T201</f>
        <v>0.78687192634819736</v>
      </c>
      <c r="N201" s="1">
        <f>'Paste cell here'!W201</f>
        <v>0</v>
      </c>
      <c r="O201" s="1">
        <f>'Paste cell here'!U201</f>
        <v>23.71566050275608</v>
      </c>
      <c r="P201" s="1">
        <f t="shared" si="18"/>
        <v>24.96898281747691</v>
      </c>
      <c r="Q201" s="1">
        <f>'Paste cell here'!V201</f>
        <v>0</v>
      </c>
      <c r="R201" s="1">
        <f t="shared" si="19"/>
        <v>1.7763568394002505E-14</v>
      </c>
      <c r="S201" s="7">
        <f>Sintesi!$C$30</f>
        <v>0.107</v>
      </c>
      <c r="T201" s="7">
        <f>Sintesi!$C$29</f>
        <v>0.23300000000000001</v>
      </c>
      <c r="U201" s="5">
        <f>O201/(Sintesi!$C$5*1000)</f>
        <v>0.23715660502756081</v>
      </c>
      <c r="V201" s="1">
        <f t="shared" si="15"/>
        <v>0.126</v>
      </c>
      <c r="W201" s="1">
        <v>0.52808554798449403</v>
      </c>
      <c r="X201" s="1">
        <f t="shared" si="16"/>
        <v>6.6538779046046242E-2</v>
      </c>
      <c r="Y201" s="1">
        <f t="shared" si="17"/>
        <v>0.16646122095395377</v>
      </c>
      <c r="Z201" s="1">
        <f>'Paste cellinfo here'!$B$11</f>
        <v>0.52400000000000002</v>
      </c>
    </row>
    <row r="202" spans="1:26">
      <c r="A202" s="1">
        <v>201</v>
      </c>
      <c r="B202" s="2">
        <f>DATE(Sintesi!$C$4-1,12,31)+A202</f>
        <v>44397</v>
      </c>
      <c r="C202" s="1">
        <f>'Paste cell here'!B202</f>
        <v>0</v>
      </c>
      <c r="D202" s="1">
        <f>'Paste cell here'!I202</f>
        <v>0</v>
      </c>
      <c r="E202" s="1">
        <f>'Paste cell here'!J202</f>
        <v>0</v>
      </c>
      <c r="F202" s="1">
        <f>'Paste cell here'!K202</f>
        <v>0</v>
      </c>
      <c r="G202" s="1">
        <f>'Paste cell here'!L202</f>
        <v>0</v>
      </c>
      <c r="H202" s="1">
        <f>'Paste cell here'!M202</f>
        <v>0</v>
      </c>
      <c r="I202" s="1">
        <f>'Paste cell here'!N202</f>
        <v>0</v>
      </c>
      <c r="J202" s="1">
        <f>'Paste cell here'!O202</f>
        <v>0</v>
      </c>
      <c r="K202" s="1">
        <f>'Paste cell here'!Q202</f>
        <v>0.38703383932687568</v>
      </c>
      <c r="L202" s="1">
        <f>'Paste cell here'!S202</f>
        <v>0</v>
      </c>
      <c r="M202" s="1">
        <f>'Paste cell here'!T202</f>
        <v>0.36855198261054317</v>
      </c>
      <c r="N202" s="1">
        <f>'Paste cell here'!W202</f>
        <v>0</v>
      </c>
      <c r="O202" s="1">
        <f>'Paste cell here'!U202</f>
        <v>22.960074680818657</v>
      </c>
      <c r="P202" s="1">
        <f t="shared" si="18"/>
        <v>23.71566050275608</v>
      </c>
      <c r="Q202" s="1">
        <f>'Paste cell here'!V202</f>
        <v>0</v>
      </c>
      <c r="R202" s="1">
        <f t="shared" si="19"/>
        <v>3.5527136788005009E-15</v>
      </c>
      <c r="S202" s="7">
        <f>Sintesi!$C$30</f>
        <v>0.107</v>
      </c>
      <c r="T202" s="7">
        <f>Sintesi!$C$29</f>
        <v>0.23300000000000001</v>
      </c>
      <c r="U202" s="5">
        <f>O202/(Sintesi!$C$5*1000)</f>
        <v>0.22960074680818657</v>
      </c>
      <c r="V202" s="1">
        <f t="shared" si="15"/>
        <v>0.126</v>
      </c>
      <c r="W202" s="1">
        <v>0.47485329225433998</v>
      </c>
      <c r="X202" s="1">
        <f t="shared" si="16"/>
        <v>5.983151482404684E-2</v>
      </c>
      <c r="Y202" s="1">
        <f t="shared" si="17"/>
        <v>0.17316848517595318</v>
      </c>
      <c r="Z202" s="1">
        <f>'Paste cellinfo here'!$B$11</f>
        <v>0.52400000000000002</v>
      </c>
    </row>
    <row r="203" spans="1:26">
      <c r="A203" s="1">
        <v>202</v>
      </c>
      <c r="B203" s="2">
        <f>DATE(Sintesi!$C$4-1,12,31)+A203</f>
        <v>44398</v>
      </c>
      <c r="C203" s="1">
        <f>'Paste cell here'!B203</f>
        <v>0</v>
      </c>
      <c r="D203" s="1">
        <f>'Paste cell here'!I203</f>
        <v>0</v>
      </c>
      <c r="E203" s="1">
        <f>'Paste cell here'!J203</f>
        <v>0</v>
      </c>
      <c r="F203" s="1">
        <f>'Paste cell here'!K203</f>
        <v>0</v>
      </c>
      <c r="G203" s="1">
        <f>'Paste cell here'!L203</f>
        <v>0</v>
      </c>
      <c r="H203" s="1">
        <f>'Paste cell here'!M203</f>
        <v>0</v>
      </c>
      <c r="I203" s="1">
        <f>'Paste cell here'!N203</f>
        <v>0</v>
      </c>
      <c r="J203" s="1">
        <f>'Paste cell here'!O203</f>
        <v>0</v>
      </c>
      <c r="K203" s="1">
        <f>'Paste cell here'!Q203</f>
        <v>0.26842188240284343</v>
      </c>
      <c r="L203" s="1">
        <f>'Paste cell here'!S203</f>
        <v>0</v>
      </c>
      <c r="M203" s="1">
        <f>'Paste cell here'!T203</f>
        <v>0.21019067148739293</v>
      </c>
      <c r="N203" s="1">
        <f>'Paste cell here'!W203</f>
        <v>0</v>
      </c>
      <c r="O203" s="1">
        <f>'Paste cell here'!U203</f>
        <v>22.481462126928424</v>
      </c>
      <c r="P203" s="1">
        <f t="shared" si="18"/>
        <v>22.960074680818657</v>
      </c>
      <c r="Q203" s="1">
        <f>'Paste cell here'!V203</f>
        <v>0</v>
      </c>
      <c r="R203" s="1">
        <f t="shared" si="19"/>
        <v>3.5527136788005009E-15</v>
      </c>
      <c r="S203" s="7">
        <f>Sintesi!$C$30</f>
        <v>0.107</v>
      </c>
      <c r="T203" s="7">
        <f>Sintesi!$C$29</f>
        <v>0.23300000000000001</v>
      </c>
      <c r="U203" s="5">
        <f>O203/(Sintesi!$C$5*1000)</f>
        <v>0.22481462126928423</v>
      </c>
      <c r="V203" s="1">
        <f t="shared" si="15"/>
        <v>0.126</v>
      </c>
      <c r="W203" s="1">
        <v>0.479907737522484</v>
      </c>
      <c r="X203" s="1">
        <f t="shared" si="16"/>
        <v>6.0468374927832982E-2</v>
      </c>
      <c r="Y203" s="1">
        <f t="shared" si="17"/>
        <v>0.17253162507216702</v>
      </c>
      <c r="Z203" s="1">
        <f>'Paste cellinfo here'!$B$11</f>
        <v>0.52400000000000002</v>
      </c>
    </row>
    <row r="204" spans="1:26">
      <c r="A204" s="1">
        <v>203</v>
      </c>
      <c r="B204" s="2">
        <f>DATE(Sintesi!$C$4-1,12,31)+A204</f>
        <v>44399</v>
      </c>
      <c r="C204" s="1">
        <f>'Paste cell here'!B204</f>
        <v>0</v>
      </c>
      <c r="D204" s="1">
        <f>'Paste cell here'!I204</f>
        <v>0</v>
      </c>
      <c r="E204" s="1">
        <f>'Paste cell here'!J204</f>
        <v>0</v>
      </c>
      <c r="F204" s="1">
        <f>'Paste cell here'!K204</f>
        <v>0</v>
      </c>
      <c r="G204" s="1">
        <f>'Paste cell here'!L204</f>
        <v>0</v>
      </c>
      <c r="H204" s="1">
        <f>'Paste cell here'!M204</f>
        <v>0</v>
      </c>
      <c r="I204" s="1">
        <f>'Paste cell here'!N204</f>
        <v>0</v>
      </c>
      <c r="J204" s="1">
        <f>'Paste cell here'!O204</f>
        <v>0</v>
      </c>
      <c r="K204" s="1">
        <f>'Paste cell here'!Q204</f>
        <v>0.28434474622048317</v>
      </c>
      <c r="L204" s="1">
        <f>'Paste cell here'!S204</f>
        <v>0</v>
      </c>
      <c r="M204" s="1">
        <f>'Paste cell here'!T204</f>
        <v>0.13302862759486053</v>
      </c>
      <c r="N204" s="1">
        <f>'Paste cell here'!W204</f>
        <v>0</v>
      </c>
      <c r="O204" s="1">
        <f>'Paste cell here'!U204</f>
        <v>22.064088753113086</v>
      </c>
      <c r="P204" s="1">
        <f t="shared" si="18"/>
        <v>22.481462126928424</v>
      </c>
      <c r="Q204" s="1">
        <f>'Paste cell here'!V204</f>
        <v>0</v>
      </c>
      <c r="R204" s="1">
        <f t="shared" si="19"/>
        <v>7.1054273576010019E-15</v>
      </c>
      <c r="S204" s="7">
        <f>Sintesi!$C$30</f>
        <v>0.107</v>
      </c>
      <c r="T204" s="7">
        <f>Sintesi!$C$29</f>
        <v>0.23300000000000001</v>
      </c>
      <c r="U204" s="5">
        <f>O204/(Sintesi!$C$5*1000)</f>
        <v>0.22064088753113087</v>
      </c>
      <c r="V204" s="1">
        <f t="shared" si="15"/>
        <v>0.126</v>
      </c>
      <c r="W204" s="1">
        <v>0.42070866918423999</v>
      </c>
      <c r="X204" s="1">
        <f t="shared" si="16"/>
        <v>5.3009292317214241E-2</v>
      </c>
      <c r="Y204" s="1">
        <f t="shared" si="17"/>
        <v>0.17999070768278577</v>
      </c>
      <c r="Z204" s="1">
        <f>'Paste cellinfo here'!$B$11</f>
        <v>0.52400000000000002</v>
      </c>
    </row>
    <row r="205" spans="1:26">
      <c r="A205" s="1">
        <v>204</v>
      </c>
      <c r="B205" s="2">
        <f>DATE(Sintesi!$C$4-1,12,31)+A205</f>
        <v>44400</v>
      </c>
      <c r="C205" s="1">
        <f>'Paste cell here'!B205</f>
        <v>0</v>
      </c>
      <c r="D205" s="1">
        <f>'Paste cell here'!I205</f>
        <v>0</v>
      </c>
      <c r="E205" s="1">
        <f>'Paste cell here'!J205</f>
        <v>0</v>
      </c>
      <c r="F205" s="1">
        <f>'Paste cell here'!K205</f>
        <v>0</v>
      </c>
      <c r="G205" s="1">
        <f>'Paste cell here'!L205</f>
        <v>0</v>
      </c>
      <c r="H205" s="1">
        <f>'Paste cell here'!M205</f>
        <v>0</v>
      </c>
      <c r="I205" s="1">
        <f>'Paste cell here'!N205</f>
        <v>0</v>
      </c>
      <c r="J205" s="1">
        <f>'Paste cell here'!O205</f>
        <v>0</v>
      </c>
      <c r="K205" s="1">
        <f>'Paste cell here'!Q205</f>
        <v>0.20392760609990188</v>
      </c>
      <c r="L205" s="1">
        <f>'Paste cell here'!S205</f>
        <v>0</v>
      </c>
      <c r="M205" s="1">
        <f>'Paste cell here'!T205</f>
        <v>8.994948288744499E-2</v>
      </c>
      <c r="N205" s="1">
        <f>'Paste cell here'!W205</f>
        <v>0</v>
      </c>
      <c r="O205" s="1">
        <f>'Paste cell here'!U205</f>
        <v>21.770211664125732</v>
      </c>
      <c r="P205" s="1">
        <f t="shared" si="18"/>
        <v>22.064088753113086</v>
      </c>
      <c r="Q205" s="1">
        <f>'Paste cell here'!V205</f>
        <v>0</v>
      </c>
      <c r="R205" s="1">
        <f t="shared" si="19"/>
        <v>7.1054273576010019E-15</v>
      </c>
      <c r="S205" s="7">
        <f>Sintesi!$C$30</f>
        <v>0.107</v>
      </c>
      <c r="T205" s="7">
        <f>Sintesi!$C$29</f>
        <v>0.23300000000000001</v>
      </c>
      <c r="U205" s="5">
        <f>O205/(Sintesi!$C$5*1000)</f>
        <v>0.21770211664125733</v>
      </c>
      <c r="V205" s="1">
        <f t="shared" si="15"/>
        <v>0.126</v>
      </c>
      <c r="W205" s="1">
        <v>0.53544148439359496</v>
      </c>
      <c r="X205" s="1">
        <f t="shared" si="16"/>
        <v>6.7465627033592962E-2</v>
      </c>
      <c r="Y205" s="1">
        <f t="shared" si="17"/>
        <v>0.16553437296640705</v>
      </c>
      <c r="Z205" s="1">
        <f>'Paste cellinfo here'!$B$11</f>
        <v>0.52400000000000002</v>
      </c>
    </row>
    <row r="206" spans="1:26">
      <c r="A206" s="1">
        <v>205</v>
      </c>
      <c r="B206" s="2">
        <f>DATE(Sintesi!$C$4-1,12,31)+A206</f>
        <v>44401</v>
      </c>
      <c r="C206" s="1">
        <f>'Paste cell here'!B206</f>
        <v>0.63999999999999779</v>
      </c>
      <c r="D206" s="1">
        <f>'Paste cell here'!I206</f>
        <v>0</v>
      </c>
      <c r="E206" s="1">
        <f>'Paste cell here'!J206</f>
        <v>0.11403118040089022</v>
      </c>
      <c r="F206" s="1">
        <f>'Paste cell here'!K206</f>
        <v>0.63999999999999779</v>
      </c>
      <c r="G206" s="1">
        <f>'Paste cell here'!L206</f>
        <v>0.11403118040089022</v>
      </c>
      <c r="H206" s="1">
        <f>'Paste cell here'!M206</f>
        <v>0.52596881959910757</v>
      </c>
      <c r="I206" s="1">
        <f>'Paste cell here'!N206</f>
        <v>0</v>
      </c>
      <c r="J206" s="1">
        <f>'Paste cell here'!O206</f>
        <v>0.11403118379928423</v>
      </c>
      <c r="K206" s="1">
        <f>'Paste cell here'!Q206</f>
        <v>0.16915768705815118</v>
      </c>
      <c r="L206" s="1">
        <f>'Paste cell here'!S206</f>
        <v>0</v>
      </c>
      <c r="M206" s="1">
        <f>'Paste cell here'!T206</f>
        <v>6.7596461201564914E-2</v>
      </c>
      <c r="N206" s="1">
        <f>'Paste cell here'!W206</f>
        <v>0</v>
      </c>
      <c r="O206" s="1">
        <f>'Paste cell here'!U206</f>
        <v>21.647488699665292</v>
      </c>
      <c r="P206" s="1">
        <f t="shared" si="18"/>
        <v>21.770211664125732</v>
      </c>
      <c r="Q206" s="1">
        <f>'Paste cell here'!V206</f>
        <v>0</v>
      </c>
      <c r="R206" s="1">
        <f t="shared" si="19"/>
        <v>3.398387349307086E-9</v>
      </c>
      <c r="S206" s="7">
        <f>Sintesi!$C$30</f>
        <v>0.107</v>
      </c>
      <c r="T206" s="7">
        <f>Sintesi!$C$29</f>
        <v>0.23300000000000001</v>
      </c>
      <c r="U206" s="5">
        <f>O206/(Sintesi!$C$5*1000)</f>
        <v>0.21647488699665293</v>
      </c>
      <c r="V206" s="1">
        <f t="shared" si="15"/>
        <v>0.126</v>
      </c>
      <c r="W206" s="1">
        <v>0.44066176249153099</v>
      </c>
      <c r="X206" s="1">
        <f t="shared" si="16"/>
        <v>5.5523382073932905E-2</v>
      </c>
      <c r="Y206" s="1">
        <f t="shared" si="17"/>
        <v>0.17747661792606712</v>
      </c>
      <c r="Z206" s="1">
        <f>'Paste cellinfo here'!$B$11</f>
        <v>0.52400000000000002</v>
      </c>
    </row>
    <row r="207" spans="1:26">
      <c r="A207" s="1">
        <v>206</v>
      </c>
      <c r="B207" s="2">
        <f>DATE(Sintesi!$C$4-1,12,31)+A207</f>
        <v>44402</v>
      </c>
      <c r="C207" s="1">
        <f>'Paste cell here'!B207</f>
        <v>0</v>
      </c>
      <c r="D207" s="1">
        <f>'Paste cell here'!I207</f>
        <v>54</v>
      </c>
      <c r="E207" s="1">
        <f>'Paste cell here'!J207</f>
        <v>0</v>
      </c>
      <c r="F207" s="1">
        <f>'Paste cell here'!K207</f>
        <v>54</v>
      </c>
      <c r="G207" s="1">
        <f>'Paste cell here'!L207</f>
        <v>0</v>
      </c>
      <c r="H207" s="1">
        <f>'Paste cell here'!M207</f>
        <v>0</v>
      </c>
      <c r="I207" s="1">
        <f>'Paste cell here'!N207</f>
        <v>0</v>
      </c>
      <c r="J207" s="1">
        <f>'Paste cell here'!O207</f>
        <v>0</v>
      </c>
      <c r="K207" s="1">
        <f>'Paste cell here'!Q207</f>
        <v>0.16370467812544037</v>
      </c>
      <c r="L207" s="1">
        <f>'Paste cell here'!S207</f>
        <v>0</v>
      </c>
      <c r="M207" s="1">
        <f>'Paste cell here'!T207</f>
        <v>47.904639805735975</v>
      </c>
      <c r="N207" s="1">
        <f>'Paste cell here'!W207</f>
        <v>0</v>
      </c>
      <c r="O207" s="1">
        <f>'Paste cell here'!U207</f>
        <v>27.579144215803883</v>
      </c>
      <c r="P207" s="1">
        <f t="shared" si="18"/>
        <v>21.647488699665292</v>
      </c>
      <c r="Q207" s="1">
        <f>'Paste cell here'!V207</f>
        <v>0</v>
      </c>
      <c r="R207" s="1">
        <f t="shared" si="19"/>
        <v>1.0658141036401503E-14</v>
      </c>
      <c r="S207" s="7">
        <f>Sintesi!$C$30</f>
        <v>0.107</v>
      </c>
      <c r="T207" s="7">
        <f>Sintesi!$C$29</f>
        <v>0.23300000000000001</v>
      </c>
      <c r="U207" s="5">
        <f>O207/(Sintesi!$C$5*1000)</f>
        <v>0.2757914421580388</v>
      </c>
      <c r="V207" s="1">
        <f t="shared" si="15"/>
        <v>0.126</v>
      </c>
      <c r="W207" s="1">
        <v>0.41676230226470701</v>
      </c>
      <c r="X207" s="1">
        <f t="shared" si="16"/>
        <v>5.2512050085353083E-2</v>
      </c>
      <c r="Y207" s="1">
        <f t="shared" si="17"/>
        <v>0.18048794991464692</v>
      </c>
      <c r="Z207" s="1">
        <f>'Paste cellinfo here'!$B$11</f>
        <v>0.52400000000000002</v>
      </c>
    </row>
    <row r="208" spans="1:26">
      <c r="A208" s="1">
        <v>207</v>
      </c>
      <c r="B208" s="2">
        <f>DATE(Sintesi!$C$4-1,12,31)+A208</f>
        <v>44403</v>
      </c>
      <c r="C208" s="1">
        <f>'Paste cell here'!B208</f>
        <v>19.43999999999992</v>
      </c>
      <c r="D208" s="1">
        <f>'Paste cell here'!I208</f>
        <v>0</v>
      </c>
      <c r="E208" s="1">
        <f>'Paste cell here'!J208</f>
        <v>16.886219839142012</v>
      </c>
      <c r="F208" s="1">
        <f>'Paste cell here'!K208</f>
        <v>19.43999999999992</v>
      </c>
      <c r="G208" s="1">
        <f>'Paste cell here'!L208</f>
        <v>13.716610036293433</v>
      </c>
      <c r="H208" s="1">
        <f>'Paste cell here'!M208</f>
        <v>2.5537801608579072</v>
      </c>
      <c r="I208" s="1">
        <f>'Paste cell here'!N208</f>
        <v>3.1696098028485777</v>
      </c>
      <c r="J208" s="1">
        <f>'Paste cell here'!O208</f>
        <v>13.716610445080265</v>
      </c>
      <c r="K208" s="1">
        <f>'Paste cell here'!Q208</f>
        <v>8.809051531586623E-2</v>
      </c>
      <c r="L208" s="1">
        <f>'Paste cell here'!S208</f>
        <v>0</v>
      </c>
      <c r="M208" s="1">
        <f>'Paste cell here'!T208</f>
        <v>10.995797190367794</v>
      </c>
      <c r="N208" s="1">
        <f>'Paste cell here'!W208</f>
        <v>0</v>
      </c>
      <c r="O208" s="1">
        <f>'Paste cell here'!U208</f>
        <v>30.211866955200495</v>
      </c>
      <c r="P208" s="1">
        <f t="shared" si="18"/>
        <v>27.579144215803883</v>
      </c>
      <c r="Q208" s="1">
        <f>'Paste cell here'!V208</f>
        <v>0</v>
      </c>
      <c r="R208" s="1">
        <f t="shared" si="19"/>
        <v>4.0878683549294692E-7</v>
      </c>
      <c r="S208" s="7">
        <f>Sintesi!$C$30</f>
        <v>0.107</v>
      </c>
      <c r="T208" s="7">
        <f>Sintesi!$C$29</f>
        <v>0.23300000000000001</v>
      </c>
      <c r="U208" s="5">
        <f>O208/(Sintesi!$C$5*1000)</f>
        <v>0.30211866955200495</v>
      </c>
      <c r="V208" s="1">
        <f t="shared" si="15"/>
        <v>0.126</v>
      </c>
      <c r="W208" s="1">
        <v>0.42785902437635298</v>
      </c>
      <c r="X208" s="1">
        <f t="shared" si="16"/>
        <v>5.3910237071420473E-2</v>
      </c>
      <c r="Y208" s="1">
        <f t="shared" si="17"/>
        <v>0.17908976292857953</v>
      </c>
      <c r="Z208" s="1">
        <f>'Paste cellinfo here'!$B$11</f>
        <v>0.52400000000000002</v>
      </c>
    </row>
    <row r="209" spans="1:26">
      <c r="A209" s="1">
        <v>208</v>
      </c>
      <c r="B209" s="2">
        <f>DATE(Sintesi!$C$4-1,12,31)+A209</f>
        <v>44404</v>
      </c>
      <c r="C209" s="1">
        <f>'Paste cell here'!B209</f>
        <v>0.55999999999999794</v>
      </c>
      <c r="D209" s="1">
        <f>'Paste cell here'!I209</f>
        <v>0</v>
      </c>
      <c r="E209" s="1">
        <f>'Paste cell here'!J209</f>
        <v>8.9753863766456166E-2</v>
      </c>
      <c r="F209" s="1">
        <f>'Paste cell here'!K209</f>
        <v>0.55999999999999794</v>
      </c>
      <c r="G209" s="1">
        <f>'Paste cell here'!L209</f>
        <v>8.9753863766456166E-2</v>
      </c>
      <c r="H209" s="1">
        <f>'Paste cell here'!M209</f>
        <v>0.47024613623354178</v>
      </c>
      <c r="I209" s="1">
        <f>'Paste cell here'!N209</f>
        <v>0</v>
      </c>
      <c r="J209" s="1">
        <f>'Paste cell here'!O209</f>
        <v>8.9753866441329766E-2</v>
      </c>
      <c r="K209" s="1">
        <f>'Paste cell here'!Q209</f>
        <v>4.6080602609584534E-2</v>
      </c>
      <c r="L209" s="1">
        <f>'Paste cell here'!S209</f>
        <v>0</v>
      </c>
      <c r="M209" s="1">
        <f>'Paste cell here'!T209</f>
        <v>4.089810555955478</v>
      </c>
      <c r="N209" s="1">
        <f>'Paste cell here'!W209</f>
        <v>0</v>
      </c>
      <c r="O209" s="1">
        <f>'Paste cell here'!U209</f>
        <v>26.165729663076757</v>
      </c>
      <c r="P209" s="1">
        <f t="shared" si="18"/>
        <v>30.211866955200495</v>
      </c>
      <c r="Q209" s="1">
        <f>'Paste cell here'!V209</f>
        <v>0</v>
      </c>
      <c r="R209" s="1">
        <f t="shared" si="19"/>
        <v>2.6748665504783276E-9</v>
      </c>
      <c r="S209" s="7">
        <f>Sintesi!$C$30</f>
        <v>0.107</v>
      </c>
      <c r="T209" s="7">
        <f>Sintesi!$C$29</f>
        <v>0.23300000000000001</v>
      </c>
      <c r="U209" s="5">
        <f>O209/(Sintesi!$C$5*1000)</f>
        <v>0.26165729663076759</v>
      </c>
      <c r="V209" s="1">
        <f t="shared" si="15"/>
        <v>0.126</v>
      </c>
      <c r="W209" s="1">
        <v>0.42305181227299099</v>
      </c>
      <c r="X209" s="1">
        <f t="shared" si="16"/>
        <v>5.3304528346396866E-2</v>
      </c>
      <c r="Y209" s="1">
        <f t="shared" si="17"/>
        <v>0.17969547165360314</v>
      </c>
      <c r="Z209" s="1">
        <f>'Paste cellinfo here'!$B$11</f>
        <v>0.52400000000000002</v>
      </c>
    </row>
    <row r="210" spans="1:26">
      <c r="A210" s="1">
        <v>209</v>
      </c>
      <c r="B210" s="2">
        <f>DATE(Sintesi!$C$4-1,12,31)+A210</f>
        <v>44405</v>
      </c>
      <c r="C210" s="1">
        <f>'Paste cell here'!B210</f>
        <v>0</v>
      </c>
      <c r="D210" s="1">
        <f>'Paste cell here'!I210</f>
        <v>0</v>
      </c>
      <c r="E210" s="1">
        <f>'Paste cell here'!J210</f>
        <v>0</v>
      </c>
      <c r="F210" s="1">
        <f>'Paste cell here'!K210</f>
        <v>0</v>
      </c>
      <c r="G210" s="1">
        <f>'Paste cell here'!L210</f>
        <v>0</v>
      </c>
      <c r="H210" s="1">
        <f>'Paste cell here'!M210</f>
        <v>0</v>
      </c>
      <c r="I210" s="1">
        <f>'Paste cell here'!N210</f>
        <v>0</v>
      </c>
      <c r="J210" s="1">
        <f>'Paste cell here'!O210</f>
        <v>0</v>
      </c>
      <c r="K210" s="1">
        <f>'Paste cell here'!Q210</f>
        <v>6.1759188651349793E-2</v>
      </c>
      <c r="L210" s="1">
        <f>'Paste cell here'!S210</f>
        <v>0</v>
      </c>
      <c r="M210" s="1">
        <f>'Paste cell here'!T210</f>
        <v>1.127973659270723</v>
      </c>
      <c r="N210" s="1">
        <f>'Paste cell here'!W210</f>
        <v>0</v>
      </c>
      <c r="O210" s="1">
        <f>'Paste cell here'!U210</f>
        <v>24.975996815154673</v>
      </c>
      <c r="P210" s="1">
        <f t="shared" si="18"/>
        <v>26.165729663076757</v>
      </c>
      <c r="Q210" s="1">
        <f>'Paste cell here'!V210</f>
        <v>0</v>
      </c>
      <c r="R210" s="1">
        <f t="shared" si="19"/>
        <v>1.0658141036401503E-14</v>
      </c>
      <c r="S210" s="7">
        <f>Sintesi!$C$30</f>
        <v>0.107</v>
      </c>
      <c r="T210" s="7">
        <f>Sintesi!$C$29</f>
        <v>0.23300000000000001</v>
      </c>
      <c r="U210" s="5">
        <f>O210/(Sintesi!$C$5*1000)</f>
        <v>0.24975996815154672</v>
      </c>
      <c r="V210" s="1">
        <f t="shared" si="15"/>
        <v>0.126</v>
      </c>
      <c r="W210" s="1">
        <v>0.54385274970063302</v>
      </c>
      <c r="X210" s="1">
        <f t="shared" si="16"/>
        <v>6.852544646227976E-2</v>
      </c>
      <c r="Y210" s="1">
        <f t="shared" si="17"/>
        <v>0.16447455353772025</v>
      </c>
      <c r="Z210" s="1">
        <f>'Paste cellinfo here'!$B$11</f>
        <v>0.52400000000000002</v>
      </c>
    </row>
    <row r="211" spans="1:26">
      <c r="A211" s="1">
        <v>210</v>
      </c>
      <c r="B211" s="2">
        <f>DATE(Sintesi!$C$4-1,12,31)+A211</f>
        <v>44406</v>
      </c>
      <c r="C211" s="1">
        <f>'Paste cell here'!B211</f>
        <v>0</v>
      </c>
      <c r="D211" s="1">
        <f>'Paste cell here'!I211</f>
        <v>0</v>
      </c>
      <c r="E211" s="1">
        <f>'Paste cell here'!J211</f>
        <v>0</v>
      </c>
      <c r="F211" s="1">
        <f>'Paste cell here'!K211</f>
        <v>0</v>
      </c>
      <c r="G211" s="1">
        <f>'Paste cell here'!L211</f>
        <v>0</v>
      </c>
      <c r="H211" s="1">
        <f>'Paste cell here'!M211</f>
        <v>0</v>
      </c>
      <c r="I211" s="1">
        <f>'Paste cell here'!N211</f>
        <v>0</v>
      </c>
      <c r="J211" s="1">
        <f>'Paste cell here'!O211</f>
        <v>0</v>
      </c>
      <c r="K211" s="1">
        <f>'Paste cell here'!Q211</f>
        <v>0.22374846034408322</v>
      </c>
      <c r="L211" s="1">
        <f>'Paste cell here'!S211</f>
        <v>0</v>
      </c>
      <c r="M211" s="1">
        <f>'Paste cell here'!T211</f>
        <v>0.5635183327596498</v>
      </c>
      <c r="N211" s="1">
        <f>'Paste cell here'!W211</f>
        <v>0</v>
      </c>
      <c r="O211" s="1">
        <f>'Paste cell here'!U211</f>
        <v>24.188730022050926</v>
      </c>
      <c r="P211" s="1">
        <f t="shared" si="18"/>
        <v>24.975996815154673</v>
      </c>
      <c r="Q211" s="1">
        <f>'Paste cell here'!V211</f>
        <v>0</v>
      </c>
      <c r="R211" s="1">
        <f t="shared" si="19"/>
        <v>1.4210854715202004E-14</v>
      </c>
      <c r="S211" s="7">
        <f>Sintesi!$C$30</f>
        <v>0.107</v>
      </c>
      <c r="T211" s="7">
        <f>Sintesi!$C$29</f>
        <v>0.23300000000000001</v>
      </c>
      <c r="U211" s="5">
        <f>O211/(Sintesi!$C$5*1000)</f>
        <v>0.24188730022050925</v>
      </c>
      <c r="V211" s="1">
        <f t="shared" si="15"/>
        <v>0.126</v>
      </c>
      <c r="W211" s="1">
        <v>0.61163490498147899</v>
      </c>
      <c r="X211" s="1">
        <f t="shared" si="16"/>
        <v>7.7065998027666352E-2</v>
      </c>
      <c r="Y211" s="1">
        <f t="shared" si="17"/>
        <v>0.15593400197233365</v>
      </c>
      <c r="Z211" s="1">
        <f>'Paste cellinfo here'!$B$11</f>
        <v>0.52400000000000002</v>
      </c>
    </row>
    <row r="212" spans="1:26">
      <c r="A212" s="1">
        <v>211</v>
      </c>
      <c r="B212" s="2">
        <f>DATE(Sintesi!$C$4-1,12,31)+A212</f>
        <v>44407</v>
      </c>
      <c r="C212" s="1">
        <f>'Paste cell here'!B212</f>
        <v>0</v>
      </c>
      <c r="D212" s="1">
        <f>'Paste cell here'!I212</f>
        <v>0</v>
      </c>
      <c r="E212" s="1">
        <f>'Paste cell here'!J212</f>
        <v>0</v>
      </c>
      <c r="F212" s="1">
        <f>'Paste cell here'!K212</f>
        <v>0</v>
      </c>
      <c r="G212" s="1">
        <f>'Paste cell here'!L212</f>
        <v>0</v>
      </c>
      <c r="H212" s="1">
        <f>'Paste cell here'!M212</f>
        <v>0</v>
      </c>
      <c r="I212" s="1">
        <f>'Paste cell here'!N212</f>
        <v>0</v>
      </c>
      <c r="J212" s="1">
        <f>'Paste cell here'!O212</f>
        <v>0</v>
      </c>
      <c r="K212" s="1">
        <f>'Paste cell here'!Q212</f>
        <v>0.11910627520897279</v>
      </c>
      <c r="L212" s="1">
        <f>'Paste cell here'!S212</f>
        <v>0</v>
      </c>
      <c r="M212" s="1">
        <f>'Paste cell here'!T212</f>
        <v>0.33550707158284077</v>
      </c>
      <c r="N212" s="1">
        <f>'Paste cell here'!W212</f>
        <v>0</v>
      </c>
      <c r="O212" s="1">
        <f>'Paste cell here'!U212</f>
        <v>23.734116675259127</v>
      </c>
      <c r="P212" s="1">
        <f t="shared" si="18"/>
        <v>24.188730022050926</v>
      </c>
      <c r="Q212" s="1">
        <f>'Paste cell here'!V212</f>
        <v>0</v>
      </c>
      <c r="R212" s="1">
        <f t="shared" si="19"/>
        <v>1.7763568394002505E-14</v>
      </c>
      <c r="S212" s="7">
        <f>Sintesi!$C$30</f>
        <v>0.107</v>
      </c>
      <c r="T212" s="7">
        <f>Sintesi!$C$29</f>
        <v>0.23300000000000001</v>
      </c>
      <c r="U212" s="5">
        <f>O212/(Sintesi!$C$5*1000)</f>
        <v>0.23734116675259126</v>
      </c>
      <c r="V212" s="1">
        <f t="shared" si="15"/>
        <v>0.126</v>
      </c>
      <c r="W212" s="1">
        <v>0.48083598142631701</v>
      </c>
      <c r="X212" s="1">
        <f t="shared" si="16"/>
        <v>6.058533365971594E-2</v>
      </c>
      <c r="Y212" s="1">
        <f t="shared" si="17"/>
        <v>0.17241466634028407</v>
      </c>
      <c r="Z212" s="1">
        <f>'Paste cellinfo here'!$B$11</f>
        <v>0.52400000000000002</v>
      </c>
    </row>
    <row r="213" spans="1:26">
      <c r="A213" s="1">
        <v>212</v>
      </c>
      <c r="B213" s="2">
        <f>DATE(Sintesi!$C$4-1,12,31)+A213</f>
        <v>44408</v>
      </c>
      <c r="C213" s="1">
        <f>'Paste cell here'!B213</f>
        <v>0.43999999999999206</v>
      </c>
      <c r="D213" s="1">
        <f>'Paste cell here'!I213</f>
        <v>0</v>
      </c>
      <c r="E213" s="1">
        <f>'Paste cell here'!J213</f>
        <v>5.7791044776117462E-2</v>
      </c>
      <c r="F213" s="1">
        <f>'Paste cell here'!K213</f>
        <v>0.43999999999999206</v>
      </c>
      <c r="G213" s="1">
        <f>'Paste cell here'!L213</f>
        <v>5.7791044776117462E-2</v>
      </c>
      <c r="H213" s="1">
        <f>'Paste cell here'!M213</f>
        <v>0.3822089552238746</v>
      </c>
      <c r="I213" s="1">
        <f>'Paste cell here'!N213</f>
        <v>0</v>
      </c>
      <c r="J213" s="1">
        <f>'Paste cell here'!O213</f>
        <v>5.7791046498424814E-2</v>
      </c>
      <c r="K213" s="1">
        <f>'Paste cell here'!Q213</f>
        <v>0.22139397967742688</v>
      </c>
      <c r="L213" s="1">
        <f>'Paste cell here'!S213</f>
        <v>0</v>
      </c>
      <c r="M213" s="1">
        <f>'Paste cell here'!T213</f>
        <v>0.22411201669769867</v>
      </c>
      <c r="N213" s="1">
        <f>'Paste cell here'!W213</f>
        <v>0</v>
      </c>
      <c r="O213" s="1">
        <f>'Paste cell here'!U213</f>
        <v>23.346401725382428</v>
      </c>
      <c r="P213" s="1">
        <f t="shared" si="18"/>
        <v>23.734116675259127</v>
      </c>
      <c r="Q213" s="1">
        <f>'Paste cell here'!V213</f>
        <v>0</v>
      </c>
      <c r="R213" s="1">
        <f t="shared" si="19"/>
        <v>1.7223094062046584E-9</v>
      </c>
      <c r="S213" s="7">
        <f>Sintesi!$C$30</f>
        <v>0.107</v>
      </c>
      <c r="T213" s="7">
        <f>Sintesi!$C$29</f>
        <v>0.23300000000000001</v>
      </c>
      <c r="U213" s="5">
        <f>O213/(Sintesi!$C$5*1000)</f>
        <v>0.23346401725382429</v>
      </c>
      <c r="V213" s="1">
        <f t="shared" si="15"/>
        <v>0.126</v>
      </c>
      <c r="W213" s="1">
        <v>0.53539514588620996</v>
      </c>
      <c r="X213" s="1">
        <f t="shared" si="16"/>
        <v>6.7459788381662458E-2</v>
      </c>
      <c r="Y213" s="1">
        <f t="shared" si="17"/>
        <v>0.16554021161833754</v>
      </c>
      <c r="Z213" s="1">
        <f>'Paste cellinfo here'!$B$11</f>
        <v>0.52400000000000002</v>
      </c>
    </row>
    <row r="214" spans="1:26">
      <c r="A214" s="1">
        <v>213</v>
      </c>
      <c r="B214" s="2">
        <f>DATE(Sintesi!$C$4-1,12,31)+A214</f>
        <v>44409</v>
      </c>
      <c r="C214" s="1">
        <f>'Paste cell here'!B214</f>
        <v>10.719999999999906</v>
      </c>
      <c r="D214" s="1">
        <f>'Paste cell here'!I214</f>
        <v>0</v>
      </c>
      <c r="E214" s="1">
        <f>'Paste cell here'!J214</f>
        <v>8.4349970640046088</v>
      </c>
      <c r="F214" s="1">
        <f>'Paste cell here'!K214</f>
        <v>10.719999999999906</v>
      </c>
      <c r="G214" s="1">
        <f>'Paste cell here'!L214</f>
        <v>8.3832633924103206</v>
      </c>
      <c r="H214" s="1">
        <f>'Paste cell here'!M214</f>
        <v>2.2850029359952981</v>
      </c>
      <c r="I214" s="1">
        <f>'Paste cell here'!N214</f>
        <v>5.1733671594287496E-2</v>
      </c>
      <c r="J214" s="1">
        <f>'Paste cell here'!O214</f>
        <v>8.3832636422510358</v>
      </c>
      <c r="K214" s="1">
        <f>'Paste cell here'!Q214</f>
        <v>5.541176046978219E-2</v>
      </c>
      <c r="L214" s="1">
        <f>'Paste cell here'!S214</f>
        <v>0</v>
      </c>
      <c r="M214" s="1">
        <f>'Paste cell here'!T214</f>
        <v>1.4559018478292847</v>
      </c>
      <c r="N214" s="1">
        <f>'Paste cell here'!W214</f>
        <v>0</v>
      </c>
      <c r="O214" s="1">
        <f>'Paste cell here'!U214</f>
        <v>30.218351759334407</v>
      </c>
      <c r="P214" s="1">
        <f t="shared" si="18"/>
        <v>23.346401725382428</v>
      </c>
      <c r="Q214" s="1">
        <f>'Paste cell here'!V214</f>
        <v>0</v>
      </c>
      <c r="R214" s="1">
        <f t="shared" si="19"/>
        <v>2.4984072410916269E-7</v>
      </c>
      <c r="S214" s="7">
        <f>Sintesi!$C$30</f>
        <v>0.107</v>
      </c>
      <c r="T214" s="7">
        <f>Sintesi!$C$29</f>
        <v>0.23300000000000001</v>
      </c>
      <c r="U214" s="5">
        <f>O214/(Sintesi!$C$5*1000)</f>
        <v>0.30218351759334405</v>
      </c>
      <c r="V214" s="1">
        <f t="shared" si="15"/>
        <v>0.126</v>
      </c>
      <c r="W214" s="1">
        <v>0.51052835394916596</v>
      </c>
      <c r="X214" s="1">
        <f t="shared" si="16"/>
        <v>6.4326572597594917E-2</v>
      </c>
      <c r="Y214" s="1">
        <f t="shared" si="17"/>
        <v>0.1686734274024051</v>
      </c>
      <c r="Z214" s="1">
        <f>'Paste cellinfo here'!$B$11</f>
        <v>0.52400000000000002</v>
      </c>
    </row>
    <row r="215" spans="1:26">
      <c r="A215" s="1">
        <v>214</v>
      </c>
      <c r="B215" s="2">
        <f>DATE(Sintesi!$C$4-1,12,31)+A215</f>
        <v>44410</v>
      </c>
      <c r="C215" s="1">
        <f>'Paste cell here'!B215</f>
        <v>2.7999999999999901</v>
      </c>
      <c r="D215" s="1">
        <f>'Paste cell here'!I215</f>
        <v>0</v>
      </c>
      <c r="E215" s="1">
        <f>'Paste cell here'!J215</f>
        <v>1.3759213759213684</v>
      </c>
      <c r="F215" s="1">
        <f>'Paste cell here'!K215</f>
        <v>2.7999999999999901</v>
      </c>
      <c r="G215" s="1">
        <f>'Paste cell here'!L215</f>
        <v>1.3759213759213684</v>
      </c>
      <c r="H215" s="1">
        <f>'Paste cell here'!M215</f>
        <v>1.4240786240786216</v>
      </c>
      <c r="I215" s="1">
        <f>'Paste cell here'!N215</f>
        <v>0</v>
      </c>
      <c r="J215" s="1">
        <f>'Paste cell here'!O215</f>
        <v>1.3759214169270209</v>
      </c>
      <c r="K215" s="1">
        <f>'Paste cell here'!Q215</f>
        <v>0.11994028887131468</v>
      </c>
      <c r="L215" s="1">
        <f>'Paste cell here'!S215</f>
        <v>0</v>
      </c>
      <c r="M215" s="1">
        <f>'Paste cell here'!T215</f>
        <v>2.546281203799778</v>
      </c>
      <c r="N215" s="1">
        <f>'Paste cell here'!W215</f>
        <v>0</v>
      </c>
      <c r="O215" s="1">
        <f>'Paste cell here'!U215</f>
        <v>28.928051683590347</v>
      </c>
      <c r="P215" s="1">
        <f t="shared" si="18"/>
        <v>30.218351759334407</v>
      </c>
      <c r="Q215" s="1">
        <f>'Paste cell here'!V215</f>
        <v>0</v>
      </c>
      <c r="R215" s="1">
        <f t="shared" si="19"/>
        <v>4.1005669970672898E-8</v>
      </c>
      <c r="S215" s="7">
        <f>Sintesi!$C$30</f>
        <v>0.107</v>
      </c>
      <c r="T215" s="7">
        <f>Sintesi!$C$29</f>
        <v>0.23300000000000001</v>
      </c>
      <c r="U215" s="5">
        <f>O215/(Sintesi!$C$5*1000)</f>
        <v>0.28928051683590345</v>
      </c>
      <c r="V215" s="1">
        <f t="shared" si="15"/>
        <v>0.126</v>
      </c>
      <c r="W215" s="1">
        <v>0.50611534803957003</v>
      </c>
      <c r="X215" s="1">
        <f t="shared" si="16"/>
        <v>6.3770533852985825E-2</v>
      </c>
      <c r="Y215" s="1">
        <f t="shared" si="17"/>
        <v>0.16922946614701417</v>
      </c>
      <c r="Z215" s="1">
        <f>'Paste cellinfo here'!$B$11</f>
        <v>0.52400000000000002</v>
      </c>
    </row>
    <row r="216" spans="1:26">
      <c r="A216" s="1">
        <v>215</v>
      </c>
      <c r="B216" s="2">
        <f>DATE(Sintesi!$C$4-1,12,31)+A216</f>
        <v>44411</v>
      </c>
      <c r="C216" s="1">
        <f>'Paste cell here'!B216</f>
        <v>0</v>
      </c>
      <c r="D216" s="1">
        <f>'Paste cell here'!I216</f>
        <v>0</v>
      </c>
      <c r="E216" s="1">
        <f>'Paste cell here'!J216</f>
        <v>0</v>
      </c>
      <c r="F216" s="1">
        <f>'Paste cell here'!K216</f>
        <v>0</v>
      </c>
      <c r="G216" s="1">
        <f>'Paste cell here'!L216</f>
        <v>0</v>
      </c>
      <c r="H216" s="1">
        <f>'Paste cell here'!M216</f>
        <v>0</v>
      </c>
      <c r="I216" s="1">
        <f>'Paste cell here'!N216</f>
        <v>0</v>
      </c>
      <c r="J216" s="1">
        <f>'Paste cell here'!O216</f>
        <v>0</v>
      </c>
      <c r="K216" s="1">
        <f>'Paste cell here'!Q216</f>
        <v>0.1061850769025164</v>
      </c>
      <c r="L216" s="1">
        <f>'Paste cell here'!S216</f>
        <v>0</v>
      </c>
      <c r="M216" s="1">
        <f>'Paste cell here'!T216</f>
        <v>1.3283312337801916</v>
      </c>
      <c r="N216" s="1">
        <f>'Paste cell here'!W216</f>
        <v>0</v>
      </c>
      <c r="O216" s="1">
        <f>'Paste cell here'!U216</f>
        <v>27.493535372907647</v>
      </c>
      <c r="P216" s="1">
        <f t="shared" si="18"/>
        <v>28.928051683590347</v>
      </c>
      <c r="Q216" s="1">
        <f>'Paste cell here'!V216</f>
        <v>0</v>
      </c>
      <c r="R216" s="1">
        <f t="shared" si="19"/>
        <v>7.1054273576010019E-15</v>
      </c>
      <c r="S216" s="7">
        <f>Sintesi!$C$30</f>
        <v>0.107</v>
      </c>
      <c r="T216" s="7">
        <f>Sintesi!$C$29</f>
        <v>0.23300000000000001</v>
      </c>
      <c r="U216" s="5">
        <f>O216/(Sintesi!$C$5*1000)</f>
        <v>0.27493535372907646</v>
      </c>
      <c r="V216" s="1">
        <f t="shared" si="15"/>
        <v>0.126</v>
      </c>
      <c r="W216" s="1">
        <v>0.54607224239502095</v>
      </c>
      <c r="X216" s="1">
        <f t="shared" si="16"/>
        <v>6.8805102541772634E-2</v>
      </c>
      <c r="Y216" s="1">
        <f t="shared" si="17"/>
        <v>0.16419489745822738</v>
      </c>
      <c r="Z216" s="1">
        <f>'Paste cellinfo here'!$B$11</f>
        <v>0.52400000000000002</v>
      </c>
    </row>
    <row r="217" spans="1:26">
      <c r="A217" s="1">
        <v>216</v>
      </c>
      <c r="B217" s="2">
        <f>DATE(Sintesi!$C$4-1,12,31)+A217</f>
        <v>44412</v>
      </c>
      <c r="C217" s="1">
        <f>'Paste cell here'!B217</f>
        <v>7.9199999999999546</v>
      </c>
      <c r="D217" s="1">
        <f>'Paste cell here'!I217</f>
        <v>0</v>
      </c>
      <c r="E217" s="1">
        <f>'Paste cell here'!J217</f>
        <v>5.8047751249305524</v>
      </c>
      <c r="F217" s="1">
        <f>'Paste cell here'!K217</f>
        <v>7.9199999999999546</v>
      </c>
      <c r="G217" s="1">
        <f>'Paste cell here'!L217</f>
        <v>5.7981780821033935</v>
      </c>
      <c r="H217" s="1">
        <f>'Paste cell here'!M217</f>
        <v>2.1152248750694023</v>
      </c>
      <c r="I217" s="1">
        <f>'Paste cell here'!N217</f>
        <v>6.5970428271584719E-3</v>
      </c>
      <c r="J217" s="1">
        <f>'Paste cell here'!O217</f>
        <v>5.7981782549025649</v>
      </c>
      <c r="K217" s="1">
        <f>'Paste cell here'!Q217</f>
        <v>1.2690768762416879E-2</v>
      </c>
      <c r="L217" s="1">
        <f>'Paste cell here'!S217</f>
        <v>0</v>
      </c>
      <c r="M217" s="1">
        <f>'Paste cell here'!T217</f>
        <v>2.236102720573474</v>
      </c>
      <c r="N217" s="1">
        <f>'Paste cell here'!W217</f>
        <v>0</v>
      </c>
      <c r="O217" s="1">
        <f>'Paste cell here'!U217</f>
        <v>31.042920138474322</v>
      </c>
      <c r="P217" s="1">
        <f t="shared" si="18"/>
        <v>27.493535372907647</v>
      </c>
      <c r="Q217" s="1">
        <f>'Paste cell here'!V217</f>
        <v>0</v>
      </c>
      <c r="R217" s="1">
        <f t="shared" si="19"/>
        <v>1.7279917230439423E-7</v>
      </c>
      <c r="S217" s="7">
        <f>Sintesi!$C$30</f>
        <v>0.107</v>
      </c>
      <c r="T217" s="7">
        <f>Sintesi!$C$29</f>
        <v>0.23300000000000001</v>
      </c>
      <c r="U217" s="5">
        <f>O217/(Sintesi!$C$5*1000)</f>
        <v>0.31042920138474323</v>
      </c>
      <c r="V217" s="1">
        <f t="shared" si="15"/>
        <v>0.126</v>
      </c>
      <c r="W217" s="1">
        <v>0.47428245196886798</v>
      </c>
      <c r="X217" s="1">
        <f t="shared" si="16"/>
        <v>5.9759588948077369E-2</v>
      </c>
      <c r="Y217" s="1">
        <f t="shared" si="17"/>
        <v>0.17324041105192264</v>
      </c>
      <c r="Z217" s="1">
        <f>'Paste cellinfo here'!$B$11</f>
        <v>0.52400000000000002</v>
      </c>
    </row>
    <row r="218" spans="1:26">
      <c r="A218" s="1">
        <v>217</v>
      </c>
      <c r="B218" s="2">
        <f>DATE(Sintesi!$C$4-1,12,31)+A218</f>
        <v>44413</v>
      </c>
      <c r="C218" s="1">
        <f>'Paste cell here'!B218</f>
        <v>0.3199999999999904</v>
      </c>
      <c r="D218" s="1">
        <f>'Paste cell here'!I218</f>
        <v>0</v>
      </c>
      <c r="E218" s="1">
        <f>'Paste cell here'!J218</f>
        <v>3.1999999999998197E-2</v>
      </c>
      <c r="F218" s="1">
        <f>'Paste cell here'!K218</f>
        <v>0.3199999999999904</v>
      </c>
      <c r="G218" s="1">
        <f>'Paste cell here'!L218</f>
        <v>3.1999999999998197E-2</v>
      </c>
      <c r="H218" s="1">
        <f>'Paste cell here'!M218</f>
        <v>0.28799999999999221</v>
      </c>
      <c r="I218" s="1">
        <f>'Paste cell here'!N218</f>
        <v>0</v>
      </c>
      <c r="J218" s="1">
        <f>'Paste cell here'!O218</f>
        <v>3.2000000953672524E-2</v>
      </c>
      <c r="K218" s="1">
        <f>'Paste cell here'!Q218</f>
        <v>0.40302343149360442</v>
      </c>
      <c r="L218" s="1">
        <f>'Paste cell here'!S218</f>
        <v>0</v>
      </c>
      <c r="M218" s="1">
        <f>'Paste cell here'!T218</f>
        <v>2.1006805916288931</v>
      </c>
      <c r="N218" s="1">
        <f>'Paste cell here'!W218</f>
        <v>0</v>
      </c>
      <c r="O218" s="1">
        <f>'Paste cell here'!U218</f>
        <v>28.571216116305497</v>
      </c>
      <c r="P218" s="1">
        <f t="shared" si="18"/>
        <v>31.042920138474322</v>
      </c>
      <c r="Q218" s="1">
        <f>'Paste cell here'!V218</f>
        <v>0</v>
      </c>
      <c r="R218" s="1">
        <f t="shared" si="19"/>
        <v>9.5367624908249127E-10</v>
      </c>
      <c r="S218" s="7">
        <f>Sintesi!$C$30</f>
        <v>0.107</v>
      </c>
      <c r="T218" s="7">
        <f>Sintesi!$C$29</f>
        <v>0.23300000000000001</v>
      </c>
      <c r="U218" s="5">
        <f>O218/(Sintesi!$C$5*1000)</f>
        <v>0.28571216116305498</v>
      </c>
      <c r="V218" s="1">
        <f t="shared" si="15"/>
        <v>0.126</v>
      </c>
      <c r="W218" s="1">
        <v>0.48269619901923999</v>
      </c>
      <c r="X218" s="1">
        <f t="shared" si="16"/>
        <v>6.0819721076424242E-2</v>
      </c>
      <c r="Y218" s="1">
        <f t="shared" si="17"/>
        <v>0.17218027892357576</v>
      </c>
      <c r="Z218" s="1">
        <f>'Paste cellinfo here'!$B$11</f>
        <v>0.52400000000000002</v>
      </c>
    </row>
    <row r="219" spans="1:26">
      <c r="A219" s="1">
        <v>218</v>
      </c>
      <c r="B219" s="2">
        <f>DATE(Sintesi!$C$4-1,12,31)+A219</f>
        <v>44414</v>
      </c>
      <c r="C219" s="1">
        <f>'Paste cell here'!B219</f>
        <v>0</v>
      </c>
      <c r="D219" s="1">
        <f>'Paste cell here'!I219</f>
        <v>0</v>
      </c>
      <c r="E219" s="1">
        <f>'Paste cell here'!J219</f>
        <v>0</v>
      </c>
      <c r="F219" s="1">
        <f>'Paste cell here'!K219</f>
        <v>0</v>
      </c>
      <c r="G219" s="1">
        <f>'Paste cell here'!L219</f>
        <v>0</v>
      </c>
      <c r="H219" s="1">
        <f>'Paste cell here'!M219</f>
        <v>0</v>
      </c>
      <c r="I219" s="1">
        <f>'Paste cell here'!N219</f>
        <v>0</v>
      </c>
      <c r="J219" s="1">
        <f>'Paste cell here'!O219</f>
        <v>0</v>
      </c>
      <c r="K219" s="1">
        <f>'Paste cell here'!Q219</f>
        <v>0.29136091215348148</v>
      </c>
      <c r="L219" s="1">
        <f>'Paste cell here'!S219</f>
        <v>0</v>
      </c>
      <c r="M219" s="1">
        <f>'Paste cell here'!T219</f>
        <v>0.95028186508497059</v>
      </c>
      <c r="N219" s="1">
        <f>'Paste cell here'!W219</f>
        <v>0</v>
      </c>
      <c r="O219" s="1">
        <f>'Paste cell here'!U219</f>
        <v>27.32957333906705</v>
      </c>
      <c r="P219" s="1">
        <f t="shared" si="18"/>
        <v>28.571216116305497</v>
      </c>
      <c r="Q219" s="1">
        <f>'Paste cell here'!V219</f>
        <v>0</v>
      </c>
      <c r="R219" s="1">
        <f t="shared" si="19"/>
        <v>7.1054273576010019E-15</v>
      </c>
      <c r="S219" s="7">
        <f>Sintesi!$C$30</f>
        <v>0.107</v>
      </c>
      <c r="T219" s="7">
        <f>Sintesi!$C$29</f>
        <v>0.23300000000000001</v>
      </c>
      <c r="U219" s="5">
        <f>O219/(Sintesi!$C$5*1000)</f>
        <v>0.27329573339067048</v>
      </c>
      <c r="V219" s="1">
        <f t="shared" si="15"/>
        <v>0.126</v>
      </c>
      <c r="W219" s="1">
        <v>0.48844104014233702</v>
      </c>
      <c r="X219" s="1">
        <f t="shared" si="16"/>
        <v>6.1543571057934468E-2</v>
      </c>
      <c r="Y219" s="1">
        <f t="shared" si="17"/>
        <v>0.17145642894206553</v>
      </c>
      <c r="Z219" s="1">
        <f>'Paste cellinfo here'!$B$11</f>
        <v>0.52400000000000002</v>
      </c>
    </row>
    <row r="220" spans="1:26">
      <c r="A220" s="1">
        <v>219</v>
      </c>
      <c r="B220" s="2">
        <f>DATE(Sintesi!$C$4-1,12,31)+A220</f>
        <v>44415</v>
      </c>
      <c r="C220" s="1">
        <f>'Paste cell here'!B220</f>
        <v>0</v>
      </c>
      <c r="D220" s="1">
        <f>'Paste cell here'!I220</f>
        <v>0</v>
      </c>
      <c r="E220" s="1">
        <f>'Paste cell here'!J220</f>
        <v>0</v>
      </c>
      <c r="F220" s="1">
        <f>'Paste cell here'!K220</f>
        <v>0</v>
      </c>
      <c r="G220" s="1">
        <f>'Paste cell here'!L220</f>
        <v>0</v>
      </c>
      <c r="H220" s="1">
        <f>'Paste cell here'!M220</f>
        <v>0</v>
      </c>
      <c r="I220" s="1">
        <f>'Paste cell here'!N220</f>
        <v>0</v>
      </c>
      <c r="J220" s="1">
        <f>'Paste cell here'!O220</f>
        <v>0</v>
      </c>
      <c r="K220" s="1">
        <f>'Paste cell here'!Q220</f>
        <v>6.1801761902187037E-2</v>
      </c>
      <c r="L220" s="1">
        <f>'Paste cell here'!S220</f>
        <v>0</v>
      </c>
      <c r="M220" s="1">
        <f>'Paste cell here'!T220</f>
        <v>0.60280700385006758</v>
      </c>
      <c r="N220" s="1">
        <f>'Paste cell here'!W220</f>
        <v>0</v>
      </c>
      <c r="O220" s="1">
        <f>'Paste cell here'!U220</f>
        <v>26.664964573314801</v>
      </c>
      <c r="P220" s="1">
        <f t="shared" si="18"/>
        <v>27.32957333906705</v>
      </c>
      <c r="Q220" s="1">
        <f>'Paste cell here'!V220</f>
        <v>0</v>
      </c>
      <c r="R220" s="1">
        <f t="shared" si="19"/>
        <v>7.1054273576010019E-15</v>
      </c>
      <c r="S220" s="7">
        <f>Sintesi!$C$30</f>
        <v>0.107</v>
      </c>
      <c r="T220" s="7">
        <f>Sintesi!$C$29</f>
        <v>0.23300000000000001</v>
      </c>
      <c r="U220" s="5">
        <f>O220/(Sintesi!$C$5*1000)</f>
        <v>0.26664964573314803</v>
      </c>
      <c r="V220" s="1">
        <f t="shared" si="15"/>
        <v>0.126</v>
      </c>
      <c r="W220" s="1">
        <v>0.50196954625064905</v>
      </c>
      <c r="X220" s="1">
        <f t="shared" si="16"/>
        <v>6.3248162827581778E-2</v>
      </c>
      <c r="Y220" s="1">
        <f t="shared" si="17"/>
        <v>0.16975183717241824</v>
      </c>
      <c r="Z220" s="1">
        <f>'Paste cellinfo here'!$B$11</f>
        <v>0.52400000000000002</v>
      </c>
    </row>
    <row r="221" spans="1:26">
      <c r="A221" s="1">
        <v>220</v>
      </c>
      <c r="B221" s="2">
        <f>DATE(Sintesi!$C$4-1,12,31)+A221</f>
        <v>44416</v>
      </c>
      <c r="C221" s="1">
        <f>'Paste cell here'!B221</f>
        <v>0</v>
      </c>
      <c r="D221" s="1">
        <f>'Paste cell here'!I221</f>
        <v>0</v>
      </c>
      <c r="E221" s="1">
        <f>'Paste cell here'!J221</f>
        <v>0</v>
      </c>
      <c r="F221" s="1">
        <f>'Paste cell here'!K221</f>
        <v>0</v>
      </c>
      <c r="G221" s="1">
        <f>'Paste cell here'!L221</f>
        <v>0</v>
      </c>
      <c r="H221" s="1">
        <f>'Paste cell here'!M221</f>
        <v>0</v>
      </c>
      <c r="I221" s="1">
        <f>'Paste cell here'!N221</f>
        <v>0</v>
      </c>
      <c r="J221" s="1">
        <f>'Paste cell here'!O221</f>
        <v>0</v>
      </c>
      <c r="K221" s="1">
        <f>'Paste cell here'!Q221</f>
        <v>0.16930024851101705</v>
      </c>
      <c r="L221" s="1">
        <f>'Paste cell here'!S221</f>
        <v>0</v>
      </c>
      <c r="M221" s="1">
        <f>'Paste cell here'!T221</f>
        <v>0.43677052977126385</v>
      </c>
      <c r="N221" s="1">
        <f>'Paste cell here'!W221</f>
        <v>0</v>
      </c>
      <c r="O221" s="1">
        <f>'Paste cell here'!U221</f>
        <v>26.058893795032517</v>
      </c>
      <c r="P221" s="1">
        <f t="shared" si="18"/>
        <v>26.664964573314801</v>
      </c>
      <c r="Q221" s="1">
        <f>'Paste cell here'!V221</f>
        <v>0</v>
      </c>
      <c r="R221" s="1">
        <f t="shared" si="19"/>
        <v>3.5527136788005009E-15</v>
      </c>
      <c r="S221" s="7">
        <f>Sintesi!$C$30</f>
        <v>0.107</v>
      </c>
      <c r="T221" s="7">
        <f>Sintesi!$C$29</f>
        <v>0.23300000000000001</v>
      </c>
      <c r="U221" s="5">
        <f>O221/(Sintesi!$C$5*1000)</f>
        <v>0.26058893795032517</v>
      </c>
      <c r="V221" s="1">
        <f t="shared" si="15"/>
        <v>0.126</v>
      </c>
      <c r="W221" s="1">
        <v>0.51148249295405901</v>
      </c>
      <c r="X221" s="1">
        <f t="shared" si="16"/>
        <v>6.4446794112211436E-2</v>
      </c>
      <c r="Y221" s="1">
        <f t="shared" si="17"/>
        <v>0.16855320588778858</v>
      </c>
      <c r="Z221" s="1">
        <f>'Paste cellinfo here'!$B$11</f>
        <v>0.52400000000000002</v>
      </c>
    </row>
    <row r="222" spans="1:26">
      <c r="A222" s="1">
        <v>221</v>
      </c>
      <c r="B222" s="2">
        <f>DATE(Sintesi!$C$4-1,12,31)+A222</f>
        <v>44417</v>
      </c>
      <c r="C222" s="1">
        <f>'Paste cell here'!B222</f>
        <v>0</v>
      </c>
      <c r="D222" s="1">
        <f>'Paste cell here'!I222</f>
        <v>0</v>
      </c>
      <c r="E222" s="1">
        <f>'Paste cell here'!J222</f>
        <v>0</v>
      </c>
      <c r="F222" s="1">
        <f>'Paste cell here'!K222</f>
        <v>0</v>
      </c>
      <c r="G222" s="1">
        <f>'Paste cell here'!L222</f>
        <v>0</v>
      </c>
      <c r="H222" s="1">
        <f>'Paste cell here'!M222</f>
        <v>0</v>
      </c>
      <c r="I222" s="1">
        <f>'Paste cell here'!N222</f>
        <v>0</v>
      </c>
      <c r="J222" s="1">
        <f>'Paste cell here'!O222</f>
        <v>0</v>
      </c>
      <c r="K222" s="1">
        <f>'Paste cell here'!Q222</f>
        <v>0.22775936497113458</v>
      </c>
      <c r="L222" s="1">
        <f>'Paste cell here'!S222</f>
        <v>0</v>
      </c>
      <c r="M222" s="1">
        <f>'Paste cell here'!T222</f>
        <v>0.32456377140071846</v>
      </c>
      <c r="N222" s="1">
        <f>'Paste cell here'!W222</f>
        <v>0</v>
      </c>
      <c r="O222" s="1">
        <f>'Paste cell here'!U222</f>
        <v>25.506570658660671</v>
      </c>
      <c r="P222" s="1">
        <f t="shared" si="18"/>
        <v>26.058893795032517</v>
      </c>
      <c r="Q222" s="1">
        <f>'Paste cell here'!V222</f>
        <v>0</v>
      </c>
      <c r="R222" s="1">
        <f t="shared" si="19"/>
        <v>7.1054273576010019E-15</v>
      </c>
      <c r="S222" s="7">
        <f>Sintesi!$C$30</f>
        <v>0.107</v>
      </c>
      <c r="T222" s="7">
        <f>Sintesi!$C$29</f>
        <v>0.23300000000000001</v>
      </c>
      <c r="U222" s="5">
        <f>O222/(Sintesi!$C$5*1000)</f>
        <v>0.25506570658660671</v>
      </c>
      <c r="V222" s="1">
        <f t="shared" si="15"/>
        <v>0.126</v>
      </c>
      <c r="W222" s="1">
        <v>0.52788804169807602</v>
      </c>
      <c r="X222" s="1">
        <f t="shared" si="16"/>
        <v>6.6513893253957582E-2</v>
      </c>
      <c r="Y222" s="1">
        <f t="shared" si="17"/>
        <v>0.16648610674604242</v>
      </c>
      <c r="Z222" s="1">
        <f>'Paste cellinfo here'!$B$11</f>
        <v>0.52400000000000002</v>
      </c>
    </row>
    <row r="223" spans="1:26">
      <c r="A223" s="1">
        <v>222</v>
      </c>
      <c r="B223" s="2">
        <f>DATE(Sintesi!$C$4-1,12,31)+A223</f>
        <v>44418</v>
      </c>
      <c r="C223" s="1">
        <f>'Paste cell here'!B223</f>
        <v>0</v>
      </c>
      <c r="D223" s="1">
        <f>'Paste cell here'!I223</f>
        <v>0</v>
      </c>
      <c r="E223" s="1">
        <f>'Paste cell here'!J223</f>
        <v>0</v>
      </c>
      <c r="F223" s="1">
        <f>'Paste cell here'!K223</f>
        <v>0</v>
      </c>
      <c r="G223" s="1">
        <f>'Paste cell here'!L223</f>
        <v>0</v>
      </c>
      <c r="H223" s="1">
        <f>'Paste cell here'!M223</f>
        <v>0</v>
      </c>
      <c r="I223" s="1">
        <f>'Paste cell here'!N223</f>
        <v>0</v>
      </c>
      <c r="J223" s="1">
        <f>'Paste cell here'!O223</f>
        <v>0</v>
      </c>
      <c r="K223" s="1">
        <f>'Paste cell here'!Q223</f>
        <v>0.23172250639945058</v>
      </c>
      <c r="L223" s="1">
        <f>'Paste cell here'!S223</f>
        <v>0</v>
      </c>
      <c r="M223" s="1">
        <f>'Paste cell here'!T223</f>
        <v>0.24813933687685719</v>
      </c>
      <c r="N223" s="1">
        <f>'Paste cell here'!W223</f>
        <v>0</v>
      </c>
      <c r="O223" s="1">
        <f>'Paste cell here'!U223</f>
        <v>25.026708815384367</v>
      </c>
      <c r="P223" s="1">
        <f t="shared" si="18"/>
        <v>25.506570658660671</v>
      </c>
      <c r="Q223" s="1">
        <f>'Paste cell here'!V223</f>
        <v>0</v>
      </c>
      <c r="R223" s="1">
        <f t="shared" si="19"/>
        <v>3.5527136788005009E-15</v>
      </c>
      <c r="S223" s="7">
        <f>Sintesi!$C$30</f>
        <v>0.107</v>
      </c>
      <c r="T223" s="7">
        <f>Sintesi!$C$29</f>
        <v>0.23300000000000001</v>
      </c>
      <c r="U223" s="5">
        <f>O223/(Sintesi!$C$5*1000)</f>
        <v>0.25026708815384369</v>
      </c>
      <c r="V223" s="1">
        <f t="shared" si="15"/>
        <v>0.126</v>
      </c>
      <c r="W223" s="1">
        <v>0.48587362789129601</v>
      </c>
      <c r="X223" s="1">
        <f t="shared" si="16"/>
        <v>6.1220077114303301E-2</v>
      </c>
      <c r="Y223" s="1">
        <f t="shared" si="17"/>
        <v>0.17177992288569671</v>
      </c>
      <c r="Z223" s="1">
        <f>'Paste cellinfo here'!$B$11</f>
        <v>0.52400000000000002</v>
      </c>
    </row>
    <row r="224" spans="1:26">
      <c r="A224" s="1">
        <v>223</v>
      </c>
      <c r="B224" s="2">
        <f>DATE(Sintesi!$C$4-1,12,31)+A224</f>
        <v>44419</v>
      </c>
      <c r="C224" s="1">
        <f>'Paste cell here'!B224</f>
        <v>0</v>
      </c>
      <c r="D224" s="1">
        <f>'Paste cell here'!I224</f>
        <v>54</v>
      </c>
      <c r="E224" s="1">
        <f>'Paste cell here'!J224</f>
        <v>0</v>
      </c>
      <c r="F224" s="1">
        <f>'Paste cell here'!K224</f>
        <v>54</v>
      </c>
      <c r="G224" s="1">
        <f>'Paste cell here'!L224</f>
        <v>0</v>
      </c>
      <c r="H224" s="1">
        <f>'Paste cell here'!M224</f>
        <v>0</v>
      </c>
      <c r="I224" s="1">
        <f>'Paste cell here'!N224</f>
        <v>0</v>
      </c>
      <c r="J224" s="1">
        <f>'Paste cell here'!O224</f>
        <v>0</v>
      </c>
      <c r="K224" s="1">
        <f>'Paste cell here'!Q224</f>
        <v>0.23609826820085469</v>
      </c>
      <c r="L224" s="1">
        <f>'Paste cell here'!S224</f>
        <v>0</v>
      </c>
      <c r="M224" s="1">
        <f>'Paste cell here'!T224</f>
        <v>51.213550086941346</v>
      </c>
      <c r="N224" s="1">
        <f>'Paste cell here'!W224</f>
        <v>0</v>
      </c>
      <c r="O224" s="1">
        <f>'Paste cell here'!U224</f>
        <v>27.577060460242166</v>
      </c>
      <c r="P224" s="1">
        <f t="shared" si="18"/>
        <v>25.026708815384367</v>
      </c>
      <c r="Q224" s="1">
        <f>'Paste cell here'!V224</f>
        <v>0</v>
      </c>
      <c r="R224" s="1">
        <f t="shared" si="19"/>
        <v>7.1054273576010019E-15</v>
      </c>
      <c r="S224" s="7">
        <f>Sintesi!$C$30</f>
        <v>0.107</v>
      </c>
      <c r="T224" s="7">
        <f>Sintesi!$C$29</f>
        <v>0.23300000000000001</v>
      </c>
      <c r="U224" s="5">
        <f>O224/(Sintesi!$C$5*1000)</f>
        <v>0.27577060460242164</v>
      </c>
      <c r="V224" s="1">
        <f t="shared" si="15"/>
        <v>0.126</v>
      </c>
      <c r="W224" s="1">
        <v>0.47511584727802098</v>
      </c>
      <c r="X224" s="1">
        <f t="shared" si="16"/>
        <v>5.9864596757030646E-2</v>
      </c>
      <c r="Y224" s="1">
        <f t="shared" si="17"/>
        <v>0.17313540324296936</v>
      </c>
      <c r="Z224" s="1">
        <f>'Paste cellinfo here'!$B$11</f>
        <v>0.52400000000000002</v>
      </c>
    </row>
    <row r="225" spans="1:26">
      <c r="A225" s="1">
        <v>224</v>
      </c>
      <c r="B225" s="2">
        <f>DATE(Sintesi!$C$4-1,12,31)+A225</f>
        <v>44420</v>
      </c>
      <c r="C225" s="1">
        <f>'Paste cell here'!B225</f>
        <v>0</v>
      </c>
      <c r="D225" s="1">
        <f>'Paste cell here'!I225</f>
        <v>0</v>
      </c>
      <c r="E225" s="1">
        <f>'Paste cell here'!J225</f>
        <v>0</v>
      </c>
      <c r="F225" s="1">
        <f>'Paste cell here'!K225</f>
        <v>0</v>
      </c>
      <c r="G225" s="1">
        <f>'Paste cell here'!L225</f>
        <v>0</v>
      </c>
      <c r="H225" s="1">
        <f>'Paste cell here'!M225</f>
        <v>0</v>
      </c>
      <c r="I225" s="1">
        <f>'Paste cell here'!N225</f>
        <v>0</v>
      </c>
      <c r="J225" s="1">
        <f>'Paste cell here'!O225</f>
        <v>0</v>
      </c>
      <c r="K225" s="1">
        <f>'Paste cell here'!Q225</f>
        <v>0.27211907755723569</v>
      </c>
      <c r="L225" s="1">
        <f>'Paste cell here'!S225</f>
        <v>0</v>
      </c>
      <c r="M225" s="1">
        <f>'Paste cell here'!T225</f>
        <v>2.4060032460358944</v>
      </c>
      <c r="N225" s="1">
        <f>'Paste cell here'!W225</f>
        <v>0</v>
      </c>
      <c r="O225" s="1">
        <f>'Paste cell here'!U225</f>
        <v>24.898938136649033</v>
      </c>
      <c r="P225" s="1">
        <f t="shared" si="18"/>
        <v>27.577060460242166</v>
      </c>
      <c r="Q225" s="1">
        <f>'Paste cell here'!V225</f>
        <v>0</v>
      </c>
      <c r="R225" s="1">
        <f t="shared" si="19"/>
        <v>3.5527136788005009E-15</v>
      </c>
      <c r="S225" s="7">
        <f>Sintesi!$C$30</f>
        <v>0.107</v>
      </c>
      <c r="T225" s="7">
        <f>Sintesi!$C$29</f>
        <v>0.23300000000000001</v>
      </c>
      <c r="U225" s="5">
        <f>O225/(Sintesi!$C$5*1000)</f>
        <v>0.24898938136649032</v>
      </c>
      <c r="V225" s="1">
        <f t="shared" si="15"/>
        <v>0.126</v>
      </c>
      <c r="W225" s="1">
        <v>0.46292764881423898</v>
      </c>
      <c r="X225" s="1">
        <f t="shared" si="16"/>
        <v>5.8328883750594113E-2</v>
      </c>
      <c r="Y225" s="1">
        <f t="shared" si="17"/>
        <v>0.1746711162494059</v>
      </c>
      <c r="Z225" s="1">
        <f>'Paste cellinfo here'!$B$11</f>
        <v>0.52400000000000002</v>
      </c>
    </row>
    <row r="226" spans="1:26">
      <c r="A226" s="1">
        <v>225</v>
      </c>
      <c r="B226" s="2">
        <f>DATE(Sintesi!$C$4-1,12,31)+A226</f>
        <v>44421</v>
      </c>
      <c r="C226" s="1">
        <f>'Paste cell here'!B226</f>
        <v>0</v>
      </c>
      <c r="D226" s="1">
        <f>'Paste cell here'!I226</f>
        <v>0</v>
      </c>
      <c r="E226" s="1">
        <f>'Paste cell here'!J226</f>
        <v>0</v>
      </c>
      <c r="F226" s="1">
        <f>'Paste cell here'!K226</f>
        <v>0</v>
      </c>
      <c r="G226" s="1">
        <f>'Paste cell here'!L226</f>
        <v>0</v>
      </c>
      <c r="H226" s="1">
        <f>'Paste cell here'!M226</f>
        <v>0</v>
      </c>
      <c r="I226" s="1">
        <f>'Paste cell here'!N226</f>
        <v>0</v>
      </c>
      <c r="J226" s="1">
        <f>'Paste cell here'!O226</f>
        <v>0</v>
      </c>
      <c r="K226" s="1">
        <f>'Paste cell here'!Q226</f>
        <v>0.24626544596840408</v>
      </c>
      <c r="L226" s="1">
        <f>'Paste cell here'!S226</f>
        <v>0</v>
      </c>
      <c r="M226" s="1">
        <f>'Paste cell here'!T226</f>
        <v>0.79841466176869247</v>
      </c>
      <c r="N226" s="1">
        <f>'Paste cell here'!W226</f>
        <v>0</v>
      </c>
      <c r="O226" s="1">
        <f>'Paste cell here'!U226</f>
        <v>23.854258028911953</v>
      </c>
      <c r="P226" s="1">
        <f t="shared" si="18"/>
        <v>24.898938136649033</v>
      </c>
      <c r="Q226" s="1">
        <f>'Paste cell here'!V226</f>
        <v>0</v>
      </c>
      <c r="R226" s="1">
        <f t="shared" si="19"/>
        <v>1.7763568394002505E-14</v>
      </c>
      <c r="S226" s="7">
        <f>Sintesi!$C$30</f>
        <v>0.107</v>
      </c>
      <c r="T226" s="7">
        <f>Sintesi!$C$29</f>
        <v>0.23300000000000001</v>
      </c>
      <c r="U226" s="5">
        <f>O226/(Sintesi!$C$5*1000)</f>
        <v>0.23854258028911954</v>
      </c>
      <c r="V226" s="1">
        <f t="shared" si="15"/>
        <v>0.126</v>
      </c>
      <c r="W226" s="1">
        <v>0.48517856453670499</v>
      </c>
      <c r="X226" s="1">
        <f t="shared" si="16"/>
        <v>6.1132499131624829E-2</v>
      </c>
      <c r="Y226" s="1">
        <f t="shared" si="17"/>
        <v>0.17186750086837518</v>
      </c>
      <c r="Z226" s="1">
        <f>'Paste cellinfo here'!$B$11</f>
        <v>0.52400000000000002</v>
      </c>
    </row>
    <row r="227" spans="1:26">
      <c r="A227" s="1">
        <v>226</v>
      </c>
      <c r="B227" s="2">
        <f>DATE(Sintesi!$C$4-1,12,31)+A227</f>
        <v>44422</v>
      </c>
      <c r="C227" s="1">
        <f>'Paste cell here'!B227</f>
        <v>0</v>
      </c>
      <c r="D227" s="1">
        <f>'Paste cell here'!I227</f>
        <v>0</v>
      </c>
      <c r="E227" s="1">
        <f>'Paste cell here'!J227</f>
        <v>0</v>
      </c>
      <c r="F227" s="1">
        <f>'Paste cell here'!K227</f>
        <v>0</v>
      </c>
      <c r="G227" s="1">
        <f>'Paste cell here'!L227</f>
        <v>0</v>
      </c>
      <c r="H227" s="1">
        <f>'Paste cell here'!M227</f>
        <v>0</v>
      </c>
      <c r="I227" s="1">
        <f>'Paste cell here'!N227</f>
        <v>0</v>
      </c>
      <c r="J227" s="1">
        <f>'Paste cell here'!O227</f>
        <v>0</v>
      </c>
      <c r="K227" s="1">
        <f>'Paste cell here'!Q227</f>
        <v>0.25105209915339133</v>
      </c>
      <c r="L227" s="1">
        <f>'Paste cell here'!S227</f>
        <v>0</v>
      </c>
      <c r="M227" s="1">
        <f>'Paste cell here'!T227</f>
        <v>0.40674392765305029</v>
      </c>
      <c r="N227" s="1">
        <f>'Paste cell here'!W227</f>
        <v>0</v>
      </c>
      <c r="O227" s="1">
        <f>'Paste cell here'!U227</f>
        <v>23.196462002105498</v>
      </c>
      <c r="P227" s="1">
        <f t="shared" si="18"/>
        <v>23.854258028911953</v>
      </c>
      <c r="Q227" s="1">
        <f>'Paste cell here'!V227</f>
        <v>0</v>
      </c>
      <c r="R227" s="1">
        <f t="shared" si="19"/>
        <v>1.4210854715202004E-14</v>
      </c>
      <c r="S227" s="7">
        <f>Sintesi!$C$30</f>
        <v>0.107</v>
      </c>
      <c r="T227" s="7">
        <f>Sintesi!$C$29</f>
        <v>0.23300000000000001</v>
      </c>
      <c r="U227" s="5">
        <f>O227/(Sintesi!$C$5*1000)</f>
        <v>0.23196462002105497</v>
      </c>
      <c r="V227" s="1">
        <f t="shared" si="15"/>
        <v>0.126</v>
      </c>
      <c r="W227" s="1">
        <v>0.50097616994046501</v>
      </c>
      <c r="X227" s="1">
        <f t="shared" si="16"/>
        <v>6.3122997412498591E-2</v>
      </c>
      <c r="Y227" s="1">
        <f t="shared" si="17"/>
        <v>0.16987700258750144</v>
      </c>
      <c r="Z227" s="1">
        <f>'Paste cellinfo here'!$B$11</f>
        <v>0.52400000000000002</v>
      </c>
    </row>
    <row r="228" spans="1:26">
      <c r="A228" s="1">
        <v>227</v>
      </c>
      <c r="B228" s="2">
        <f>DATE(Sintesi!$C$4-1,12,31)+A228</f>
        <v>44423</v>
      </c>
      <c r="C228" s="1">
        <f>'Paste cell here'!B228</f>
        <v>0</v>
      </c>
      <c r="D228" s="1">
        <f>'Paste cell here'!I228</f>
        <v>0</v>
      </c>
      <c r="E228" s="1">
        <f>'Paste cell here'!J228</f>
        <v>0</v>
      </c>
      <c r="F228" s="1">
        <f>'Paste cell here'!K228</f>
        <v>0</v>
      </c>
      <c r="G228" s="1">
        <f>'Paste cell here'!L228</f>
        <v>0</v>
      </c>
      <c r="H228" s="1">
        <f>'Paste cell here'!M228</f>
        <v>0</v>
      </c>
      <c r="I228" s="1">
        <f>'Paste cell here'!N228</f>
        <v>0</v>
      </c>
      <c r="J228" s="1">
        <f>'Paste cell here'!O228</f>
        <v>0</v>
      </c>
      <c r="K228" s="1">
        <f>'Paste cell here'!Q228</f>
        <v>0.31598320072327024</v>
      </c>
      <c r="L228" s="1">
        <f>'Paste cell here'!S228</f>
        <v>0</v>
      </c>
      <c r="M228" s="1">
        <f>'Paste cell here'!T228</f>
        <v>0.23527749815689583</v>
      </c>
      <c r="N228" s="1">
        <f>'Paste cell here'!W228</f>
        <v>0</v>
      </c>
      <c r="O228" s="1">
        <f>'Paste cell here'!U228</f>
        <v>22.645201303225335</v>
      </c>
      <c r="P228" s="1">
        <f t="shared" si="18"/>
        <v>23.196462002105498</v>
      </c>
      <c r="Q228" s="1">
        <f>'Paste cell here'!V228</f>
        <v>0</v>
      </c>
      <c r="R228" s="1">
        <f t="shared" si="19"/>
        <v>3.5527136788005009E-15</v>
      </c>
      <c r="S228" s="7">
        <f>Sintesi!$C$30</f>
        <v>0.107</v>
      </c>
      <c r="T228" s="7">
        <f>Sintesi!$C$29</f>
        <v>0.23300000000000001</v>
      </c>
      <c r="U228" s="5">
        <f>O228/(Sintesi!$C$5*1000)</f>
        <v>0.22645201303225335</v>
      </c>
      <c r="V228" s="1">
        <f t="shared" si="15"/>
        <v>0.126</v>
      </c>
      <c r="W228" s="1">
        <v>0.50179345045914503</v>
      </c>
      <c r="X228" s="1">
        <f t="shared" si="16"/>
        <v>6.3225974757852271E-2</v>
      </c>
      <c r="Y228" s="1">
        <f t="shared" si="17"/>
        <v>0.16977402524214774</v>
      </c>
      <c r="Z228" s="1">
        <f>'Paste cellinfo here'!$B$11</f>
        <v>0.52400000000000002</v>
      </c>
    </row>
    <row r="229" spans="1:26">
      <c r="A229" s="1">
        <v>228</v>
      </c>
      <c r="B229" s="2">
        <f>DATE(Sintesi!$C$4-1,12,31)+A229</f>
        <v>44424</v>
      </c>
      <c r="C229" s="1">
        <f>'Paste cell here'!B229</f>
        <v>9.2399999999997284</v>
      </c>
      <c r="D229" s="1">
        <f>'Paste cell here'!I229</f>
        <v>0</v>
      </c>
      <c r="E229" s="1">
        <f>'Paste cell here'!J229</f>
        <v>7.094580445729413</v>
      </c>
      <c r="F229" s="1">
        <f>'Paste cell here'!K229</f>
        <v>9.2399999999997284</v>
      </c>
      <c r="G229" s="1">
        <f>'Paste cell here'!L229</f>
        <v>7.094580445729413</v>
      </c>
      <c r="H229" s="1">
        <f>'Paste cell here'!M229</f>
        <v>2.1454195542703149</v>
      </c>
      <c r="I229" s="1">
        <f>'Paste cell here'!N229</f>
        <v>0</v>
      </c>
      <c r="J229" s="1">
        <f>'Paste cell here'!O229</f>
        <v>7.0945806571643883</v>
      </c>
      <c r="K229" s="1">
        <f>'Paste cell here'!Q229</f>
        <v>0.51529219853260755</v>
      </c>
      <c r="L229" s="1">
        <f>'Paste cell here'!S229</f>
        <v>0</v>
      </c>
      <c r="M229" s="1">
        <f>'Paste cell here'!T229</f>
        <v>0.96917012693259219</v>
      </c>
      <c r="N229" s="1">
        <f>'Paste cell here'!W229</f>
        <v>0</v>
      </c>
      <c r="O229" s="1">
        <f>'Paste cell here'!U229</f>
        <v>28.255319634924529</v>
      </c>
      <c r="P229" s="1">
        <f t="shared" si="18"/>
        <v>22.645201303225335</v>
      </c>
      <c r="Q229" s="1">
        <f>'Paste cell here'!V229</f>
        <v>0</v>
      </c>
      <c r="R229" s="1">
        <f t="shared" si="19"/>
        <v>2.114349797466275E-7</v>
      </c>
      <c r="S229" s="7">
        <f>Sintesi!$C$30</f>
        <v>0.107</v>
      </c>
      <c r="T229" s="7">
        <f>Sintesi!$C$29</f>
        <v>0.23300000000000001</v>
      </c>
      <c r="U229" s="5">
        <f>O229/(Sintesi!$C$5*1000)</f>
        <v>0.28255319634924531</v>
      </c>
      <c r="V229" s="1">
        <f t="shared" si="15"/>
        <v>0.126</v>
      </c>
      <c r="W229" s="1">
        <v>0.57379302150281097</v>
      </c>
      <c r="X229" s="1">
        <f t="shared" si="16"/>
        <v>7.2297920709354188E-2</v>
      </c>
      <c r="Y229" s="1">
        <f t="shared" si="17"/>
        <v>0.16070207929064584</v>
      </c>
      <c r="Z229" s="1">
        <f>'Paste cellinfo here'!$B$11</f>
        <v>0.52400000000000002</v>
      </c>
    </row>
    <row r="230" spans="1:26">
      <c r="A230" s="1">
        <v>229</v>
      </c>
      <c r="B230" s="2">
        <f>DATE(Sintesi!$C$4-1,12,31)+A230</f>
        <v>44425</v>
      </c>
      <c r="C230" s="1">
        <f>'Paste cell here'!B230</f>
        <v>0</v>
      </c>
      <c r="D230" s="1">
        <f>'Paste cell here'!I230</f>
        <v>0</v>
      </c>
      <c r="E230" s="1">
        <f>'Paste cell here'!J230</f>
        <v>0</v>
      </c>
      <c r="F230" s="1">
        <f>'Paste cell here'!K230</f>
        <v>0</v>
      </c>
      <c r="G230" s="1">
        <f>'Paste cell here'!L230</f>
        <v>0</v>
      </c>
      <c r="H230" s="1">
        <f>'Paste cell here'!M230</f>
        <v>0</v>
      </c>
      <c r="I230" s="1">
        <f>'Paste cell here'!N230</f>
        <v>0</v>
      </c>
      <c r="J230" s="1">
        <f>'Paste cell here'!O230</f>
        <v>0</v>
      </c>
      <c r="K230" s="1">
        <f>'Paste cell here'!Q230</f>
        <v>0.76519986988258382</v>
      </c>
      <c r="L230" s="1">
        <f>'Paste cell here'!S230</f>
        <v>0</v>
      </c>
      <c r="M230" s="1">
        <f>'Paste cell here'!T230</f>
        <v>1.3155618600244814</v>
      </c>
      <c r="N230" s="1">
        <f>'Paste cell here'!W230</f>
        <v>0</v>
      </c>
      <c r="O230" s="1">
        <f>'Paste cell here'!U230</f>
        <v>26.174557905017465</v>
      </c>
      <c r="P230" s="1">
        <f t="shared" si="18"/>
        <v>28.255319634924529</v>
      </c>
      <c r="Q230" s="1">
        <f>'Paste cell here'!V230</f>
        <v>0</v>
      </c>
      <c r="R230" s="1">
        <f t="shared" si="19"/>
        <v>0</v>
      </c>
      <c r="S230" s="7">
        <f>Sintesi!$C$30</f>
        <v>0.107</v>
      </c>
      <c r="T230" s="7">
        <f>Sintesi!$C$29</f>
        <v>0.23300000000000001</v>
      </c>
      <c r="U230" s="5">
        <f>O230/(Sintesi!$C$5*1000)</f>
        <v>0.26174557905017465</v>
      </c>
      <c r="V230" s="1">
        <f t="shared" si="15"/>
        <v>0.126</v>
      </c>
      <c r="W230" s="1">
        <v>0.50309251886311301</v>
      </c>
      <c r="X230" s="1">
        <f t="shared" si="16"/>
        <v>6.3389657376752243E-2</v>
      </c>
      <c r="Y230" s="1">
        <f t="shared" si="17"/>
        <v>0.16961034262324776</v>
      </c>
      <c r="Z230" s="1">
        <f>'Paste cellinfo here'!$B$11</f>
        <v>0.52400000000000002</v>
      </c>
    </row>
    <row r="231" spans="1:26">
      <c r="A231" s="1">
        <v>230</v>
      </c>
      <c r="B231" s="2">
        <f>DATE(Sintesi!$C$4-1,12,31)+A231</f>
        <v>44426</v>
      </c>
      <c r="C231" s="1">
        <f>'Paste cell here'!B231</f>
        <v>0</v>
      </c>
      <c r="D231" s="1">
        <f>'Paste cell here'!I231</f>
        <v>0</v>
      </c>
      <c r="E231" s="1">
        <f>'Paste cell here'!J231</f>
        <v>0</v>
      </c>
      <c r="F231" s="1">
        <f>'Paste cell here'!K231</f>
        <v>0</v>
      </c>
      <c r="G231" s="1">
        <f>'Paste cell here'!L231</f>
        <v>0</v>
      </c>
      <c r="H231" s="1">
        <f>'Paste cell here'!M231</f>
        <v>0</v>
      </c>
      <c r="I231" s="1">
        <f>'Paste cell here'!N231</f>
        <v>0</v>
      </c>
      <c r="J231" s="1">
        <f>'Paste cell here'!O231</f>
        <v>0</v>
      </c>
      <c r="K231" s="1">
        <f>'Paste cell here'!Q231</f>
        <v>0.74793556593835642</v>
      </c>
      <c r="L231" s="1">
        <f>'Paste cell here'!S231</f>
        <v>0</v>
      </c>
      <c r="M231" s="1">
        <f>'Paste cell here'!T231</f>
        <v>0.52777937966486566</v>
      </c>
      <c r="N231" s="1">
        <f>'Paste cell here'!W231</f>
        <v>0</v>
      </c>
      <c r="O231" s="1">
        <f>'Paste cell here'!U231</f>
        <v>24.898842959414242</v>
      </c>
      <c r="P231" s="1">
        <f t="shared" si="18"/>
        <v>26.174557905017465</v>
      </c>
      <c r="Q231" s="1">
        <f>'Paste cell here'!V231</f>
        <v>0</v>
      </c>
      <c r="R231" s="1">
        <f t="shared" si="19"/>
        <v>0</v>
      </c>
      <c r="S231" s="7">
        <f>Sintesi!$C$30</f>
        <v>0.107</v>
      </c>
      <c r="T231" s="7">
        <f>Sintesi!$C$29</f>
        <v>0.23300000000000001</v>
      </c>
      <c r="U231" s="5">
        <f>O231/(Sintesi!$C$5*1000)</f>
        <v>0.24898842959414241</v>
      </c>
      <c r="V231" s="1">
        <f t="shared" si="15"/>
        <v>0.126</v>
      </c>
      <c r="W231" s="1">
        <v>0.50727732913018098</v>
      </c>
      <c r="X231" s="1">
        <f t="shared" si="16"/>
        <v>6.3916943470402804E-2</v>
      </c>
      <c r="Y231" s="1">
        <f t="shared" si="17"/>
        <v>0.16908305652959721</v>
      </c>
      <c r="Z231" s="1">
        <f>'Paste cellinfo here'!$B$11</f>
        <v>0.52400000000000002</v>
      </c>
    </row>
    <row r="232" spans="1:26">
      <c r="A232" s="1">
        <v>231</v>
      </c>
      <c r="B232" s="2">
        <f>DATE(Sintesi!$C$4-1,12,31)+A232</f>
        <v>44427</v>
      </c>
      <c r="C232" s="1">
        <f>'Paste cell here'!B232</f>
        <v>0</v>
      </c>
      <c r="D232" s="1">
        <f>'Paste cell here'!I232</f>
        <v>0</v>
      </c>
      <c r="E232" s="1">
        <f>'Paste cell here'!J232</f>
        <v>0</v>
      </c>
      <c r="F232" s="1">
        <f>'Paste cell here'!K232</f>
        <v>0</v>
      </c>
      <c r="G232" s="1">
        <f>'Paste cell here'!L232</f>
        <v>0</v>
      </c>
      <c r="H232" s="1">
        <f>'Paste cell here'!M232</f>
        <v>0</v>
      </c>
      <c r="I232" s="1">
        <f>'Paste cell here'!N232</f>
        <v>0</v>
      </c>
      <c r="J232" s="1">
        <f>'Paste cell here'!O232</f>
        <v>0</v>
      </c>
      <c r="K232" s="1">
        <f>'Paste cell here'!Q232</f>
        <v>0.85494590541625615</v>
      </c>
      <c r="L232" s="1">
        <f>'Paste cell here'!S232</f>
        <v>0</v>
      </c>
      <c r="M232" s="1">
        <f>'Paste cell here'!T232</f>
        <v>0.25696211380467687</v>
      </c>
      <c r="N232" s="1">
        <f>'Paste cell here'!W232</f>
        <v>0</v>
      </c>
      <c r="O232" s="1">
        <f>'Paste cell here'!U232</f>
        <v>23.786934940193316</v>
      </c>
      <c r="P232" s="1">
        <f t="shared" si="18"/>
        <v>24.898842959414242</v>
      </c>
      <c r="Q232" s="1">
        <f>'Paste cell here'!V232</f>
        <v>0</v>
      </c>
      <c r="R232" s="1">
        <f t="shared" si="19"/>
        <v>3.5527136788005009E-15</v>
      </c>
      <c r="S232" s="7">
        <f>Sintesi!$C$30</f>
        <v>0.107</v>
      </c>
      <c r="T232" s="7">
        <f>Sintesi!$C$29</f>
        <v>0.23300000000000001</v>
      </c>
      <c r="U232" s="5">
        <f>O232/(Sintesi!$C$5*1000)</f>
        <v>0.23786934940193316</v>
      </c>
      <c r="V232" s="1">
        <f t="shared" si="15"/>
        <v>0.126</v>
      </c>
      <c r="W232" s="1">
        <v>0.49830253620849901</v>
      </c>
      <c r="X232" s="1">
        <f t="shared" si="16"/>
        <v>6.278611956227087E-2</v>
      </c>
      <c r="Y232" s="1">
        <f t="shared" si="17"/>
        <v>0.17021388043772914</v>
      </c>
      <c r="Z232" s="1">
        <f>'Paste cellinfo here'!$B$11</f>
        <v>0.52400000000000002</v>
      </c>
    </row>
    <row r="233" spans="1:26">
      <c r="A233" s="1">
        <v>232</v>
      </c>
      <c r="B233" s="2">
        <f>DATE(Sintesi!$C$4-1,12,31)+A233</f>
        <v>44428</v>
      </c>
      <c r="C233" s="1">
        <f>'Paste cell here'!B233</f>
        <v>0</v>
      </c>
      <c r="D233" s="1">
        <f>'Paste cell here'!I233</f>
        <v>0</v>
      </c>
      <c r="E233" s="1">
        <f>'Paste cell here'!J233</f>
        <v>0</v>
      </c>
      <c r="F233" s="1">
        <f>'Paste cell here'!K233</f>
        <v>0</v>
      </c>
      <c r="G233" s="1">
        <f>'Paste cell here'!L233</f>
        <v>0</v>
      </c>
      <c r="H233" s="1">
        <f>'Paste cell here'!M233</f>
        <v>0</v>
      </c>
      <c r="I233" s="1">
        <f>'Paste cell here'!N233</f>
        <v>0</v>
      </c>
      <c r="J233" s="1">
        <f>'Paste cell here'!O233</f>
        <v>0</v>
      </c>
      <c r="K233" s="1">
        <f>'Paste cell here'!Q233</f>
        <v>1.0070572565060132</v>
      </c>
      <c r="L233" s="1">
        <f>'Paste cell here'!S233</f>
        <v>0</v>
      </c>
      <c r="M233" s="1">
        <f>'Paste cell here'!T233</f>
        <v>0.12800805377544469</v>
      </c>
      <c r="N233" s="1">
        <f>'Paste cell here'!W233</f>
        <v>0</v>
      </c>
      <c r="O233" s="1">
        <f>'Paste cell here'!U233</f>
        <v>22.651869629911854</v>
      </c>
      <c r="P233" s="1">
        <f t="shared" si="18"/>
        <v>23.786934940193316</v>
      </c>
      <c r="Q233" s="1">
        <f>'Paste cell here'!V233</f>
        <v>0</v>
      </c>
      <c r="R233" s="1">
        <f t="shared" si="19"/>
        <v>3.5527136788005009E-15</v>
      </c>
      <c r="S233" s="7">
        <f>Sintesi!$C$30</f>
        <v>0.107</v>
      </c>
      <c r="T233" s="7">
        <f>Sintesi!$C$29</f>
        <v>0.23300000000000001</v>
      </c>
      <c r="U233" s="5">
        <f>O233/(Sintesi!$C$5*1000)</f>
        <v>0.22651869629911853</v>
      </c>
      <c r="V233" s="1">
        <f t="shared" si="15"/>
        <v>0.126</v>
      </c>
      <c r="W233" s="1">
        <v>0.48341737423362902</v>
      </c>
      <c r="X233" s="1">
        <f t="shared" si="16"/>
        <v>6.0910589153437257E-2</v>
      </c>
      <c r="Y233" s="1">
        <f t="shared" si="17"/>
        <v>0.17208941084656276</v>
      </c>
      <c r="Z233" s="1">
        <f>'Paste cellinfo here'!$B$11</f>
        <v>0.52400000000000002</v>
      </c>
    </row>
    <row r="234" spans="1:26">
      <c r="A234" s="1">
        <v>233</v>
      </c>
      <c r="B234" s="2">
        <f>DATE(Sintesi!$C$4-1,12,31)+A234</f>
        <v>44429</v>
      </c>
      <c r="C234" s="1">
        <f>'Paste cell here'!B234</f>
        <v>0</v>
      </c>
      <c r="D234" s="1">
        <f>'Paste cell here'!I234</f>
        <v>0</v>
      </c>
      <c r="E234" s="1">
        <f>'Paste cell here'!J234</f>
        <v>0</v>
      </c>
      <c r="F234" s="1">
        <f>'Paste cell here'!K234</f>
        <v>0</v>
      </c>
      <c r="G234" s="1">
        <f>'Paste cell here'!L234</f>
        <v>0</v>
      </c>
      <c r="H234" s="1">
        <f>'Paste cell here'!M234</f>
        <v>0</v>
      </c>
      <c r="I234" s="1">
        <f>'Paste cell here'!N234</f>
        <v>0</v>
      </c>
      <c r="J234" s="1">
        <f>'Paste cell here'!O234</f>
        <v>0</v>
      </c>
      <c r="K234" s="1">
        <f>'Paste cell here'!Q234</f>
        <v>1.2551234996644547</v>
      </c>
      <c r="L234" s="1">
        <f>'Paste cell here'!S234</f>
        <v>0</v>
      </c>
      <c r="M234" s="1">
        <f>'Paste cell here'!T234</f>
        <v>5.9543864751793678E-2</v>
      </c>
      <c r="N234" s="1">
        <f>'Paste cell here'!W234</f>
        <v>0</v>
      </c>
      <c r="O234" s="1">
        <f>'Paste cell here'!U234</f>
        <v>21.337202265495602</v>
      </c>
      <c r="P234" s="1">
        <f t="shared" si="18"/>
        <v>22.651869629911854</v>
      </c>
      <c r="Q234" s="1">
        <f>'Paste cell here'!V234</f>
        <v>0</v>
      </c>
      <c r="R234" s="1">
        <f t="shared" si="19"/>
        <v>3.5527136788005009E-15</v>
      </c>
      <c r="S234" s="7">
        <f>Sintesi!$C$30</f>
        <v>0.107</v>
      </c>
      <c r="T234" s="7">
        <f>Sintesi!$C$29</f>
        <v>0.23300000000000001</v>
      </c>
      <c r="U234" s="5">
        <f>O234/(Sintesi!$C$5*1000)</f>
        <v>0.21337202265495603</v>
      </c>
      <c r="V234" s="1">
        <f t="shared" si="15"/>
        <v>0.126</v>
      </c>
      <c r="W234" s="1">
        <v>0.48709623334988</v>
      </c>
      <c r="X234" s="1">
        <f t="shared" si="16"/>
        <v>6.1374125402084881E-2</v>
      </c>
      <c r="Y234" s="1">
        <f t="shared" si="17"/>
        <v>0.17162587459791512</v>
      </c>
      <c r="Z234" s="1">
        <f>'Paste cellinfo here'!$B$11</f>
        <v>0.52400000000000002</v>
      </c>
    </row>
    <row r="235" spans="1:26">
      <c r="A235" s="1">
        <v>234</v>
      </c>
      <c r="B235" s="2">
        <f>DATE(Sintesi!$C$4-1,12,31)+A235</f>
        <v>44430</v>
      </c>
      <c r="C235" s="1">
        <f>'Paste cell here'!B235</f>
        <v>0</v>
      </c>
      <c r="D235" s="1">
        <f>'Paste cell here'!I235</f>
        <v>54</v>
      </c>
      <c r="E235" s="1">
        <f>'Paste cell here'!J235</f>
        <v>0</v>
      </c>
      <c r="F235" s="1">
        <f>'Paste cell here'!K235</f>
        <v>54</v>
      </c>
      <c r="G235" s="1">
        <f>'Paste cell here'!L235</f>
        <v>0</v>
      </c>
      <c r="H235" s="1">
        <f>'Paste cell here'!M235</f>
        <v>0</v>
      </c>
      <c r="I235" s="1">
        <f>'Paste cell here'!N235</f>
        <v>0</v>
      </c>
      <c r="J235" s="1">
        <f>'Paste cell here'!O235</f>
        <v>0</v>
      </c>
      <c r="K235" s="1">
        <f>'Paste cell here'!Q235</f>
        <v>1.4235467004728695</v>
      </c>
      <c r="L235" s="1">
        <f>'Paste cell here'!S235</f>
        <v>0</v>
      </c>
      <c r="M235" s="1">
        <f>'Paste cell here'!T235</f>
        <v>46.378602383607145</v>
      </c>
      <c r="N235" s="1">
        <f>'Paste cell here'!W235</f>
        <v>0</v>
      </c>
      <c r="O235" s="1">
        <f>'Paste cell here'!U235</f>
        <v>27.535053181415609</v>
      </c>
      <c r="P235" s="1">
        <f t="shared" si="18"/>
        <v>21.337202265495602</v>
      </c>
      <c r="Q235" s="1">
        <f>'Paste cell here'!V235</f>
        <v>0</v>
      </c>
      <c r="R235" s="1">
        <f t="shared" si="19"/>
        <v>1.7763568394002505E-14</v>
      </c>
      <c r="S235" s="7">
        <f>Sintesi!$C$30</f>
        <v>0.107</v>
      </c>
      <c r="T235" s="7">
        <f>Sintesi!$C$29</f>
        <v>0.23300000000000001</v>
      </c>
      <c r="U235" s="5">
        <f>O235/(Sintesi!$C$5*1000)</f>
        <v>0.27535053181415609</v>
      </c>
      <c r="V235" s="1">
        <f t="shared" si="15"/>
        <v>0.126</v>
      </c>
      <c r="W235" s="1">
        <v>0.47593564628798302</v>
      </c>
      <c r="X235" s="1">
        <f t="shared" si="16"/>
        <v>5.9967891432285862E-2</v>
      </c>
      <c r="Y235" s="1">
        <f t="shared" si="17"/>
        <v>0.17303210856771414</v>
      </c>
      <c r="Z235" s="1">
        <f>'Paste cellinfo here'!$B$11</f>
        <v>0.52400000000000002</v>
      </c>
    </row>
    <row r="236" spans="1:26">
      <c r="A236" s="1">
        <v>235</v>
      </c>
      <c r="B236" s="2">
        <f>DATE(Sintesi!$C$4-1,12,31)+A236</f>
        <v>44431</v>
      </c>
      <c r="C236" s="1">
        <f>'Paste cell here'!B236</f>
        <v>6.7199999999999767</v>
      </c>
      <c r="D236" s="1">
        <f>'Paste cell here'!I236</f>
        <v>0</v>
      </c>
      <c r="E236" s="1">
        <f>'Paste cell here'!J236</f>
        <v>4.839506172839485</v>
      </c>
      <c r="F236" s="1">
        <f>'Paste cell here'!K236</f>
        <v>6.7199999999999767</v>
      </c>
      <c r="G236" s="1">
        <f>'Paste cell here'!L236</f>
        <v>4.839506172839485</v>
      </c>
      <c r="H236" s="1">
        <f>'Paste cell here'!M236</f>
        <v>1.8804938271604921</v>
      </c>
      <c r="I236" s="1">
        <f>'Paste cell here'!N236</f>
        <v>0</v>
      </c>
      <c r="J236" s="1">
        <f>'Paste cell here'!O236</f>
        <v>4.8395063170680075</v>
      </c>
      <c r="K236" s="1">
        <f>'Paste cell here'!Q236</f>
        <v>1.5868706748362844</v>
      </c>
      <c r="L236" s="1">
        <f>'Paste cell here'!S236</f>
        <v>0</v>
      </c>
      <c r="M236" s="1">
        <f>'Paste cell here'!T236</f>
        <v>3.8056963358876432</v>
      </c>
      <c r="N236" s="1">
        <f>'Paste cell here'!W236</f>
        <v>0</v>
      </c>
      <c r="O236" s="1">
        <f>'Paste cell here'!U236</f>
        <v>26.98199248775968</v>
      </c>
      <c r="P236" s="1">
        <f t="shared" si="18"/>
        <v>27.535053181415609</v>
      </c>
      <c r="Q236" s="1">
        <f>'Paste cell here'!V236</f>
        <v>0</v>
      </c>
      <c r="R236" s="1">
        <f t="shared" si="19"/>
        <v>1.4422851535300651E-7</v>
      </c>
      <c r="S236" s="7">
        <f>Sintesi!$C$30</f>
        <v>0.107</v>
      </c>
      <c r="T236" s="7">
        <f>Sintesi!$C$29</f>
        <v>0.23300000000000001</v>
      </c>
      <c r="U236" s="5">
        <f>O236/(Sintesi!$C$5*1000)</f>
        <v>0.26981992487759682</v>
      </c>
      <c r="V236" s="1">
        <f t="shared" si="15"/>
        <v>0.126</v>
      </c>
      <c r="W236" s="1">
        <v>0.52578000822592197</v>
      </c>
      <c r="X236" s="1">
        <f t="shared" si="16"/>
        <v>6.624828103646617E-2</v>
      </c>
      <c r="Y236" s="1">
        <f t="shared" si="17"/>
        <v>0.16675171896353386</v>
      </c>
      <c r="Z236" s="1">
        <f>'Paste cellinfo here'!$B$11</f>
        <v>0.52400000000000002</v>
      </c>
    </row>
    <row r="237" spans="1:26">
      <c r="A237" s="1">
        <v>236</v>
      </c>
      <c r="B237" s="2">
        <f>DATE(Sintesi!$C$4-1,12,31)+A237</f>
        <v>44432</v>
      </c>
      <c r="C237" s="1">
        <f>'Paste cell here'!B237</f>
        <v>7.9999999999999724E-2</v>
      </c>
      <c r="D237" s="1">
        <f>'Paste cell here'!I237</f>
        <v>0</v>
      </c>
      <c r="E237" s="1">
        <f>'Paste cell here'!J237</f>
        <v>2.4011405417573156E-3</v>
      </c>
      <c r="F237" s="1">
        <f>'Paste cell here'!K237</f>
        <v>7.9999999999999724E-2</v>
      </c>
      <c r="G237" s="1">
        <f>'Paste cell here'!L237</f>
        <v>2.4011405417573156E-3</v>
      </c>
      <c r="H237" s="1">
        <f>'Paste cell here'!M237</f>
        <v>7.7598859458242408E-2</v>
      </c>
      <c r="I237" s="1">
        <f>'Paste cell here'!N237</f>
        <v>0</v>
      </c>
      <c r="J237" s="1">
        <f>'Paste cell here'!O237</f>
        <v>2.4011406133168799E-3</v>
      </c>
      <c r="K237" s="1">
        <f>'Paste cell here'!Q237</f>
        <v>1.546030732114293</v>
      </c>
      <c r="L237" s="1">
        <f>'Paste cell here'!S237</f>
        <v>0</v>
      </c>
      <c r="M237" s="1">
        <f>'Paste cell here'!T237</f>
        <v>1.4244008326237787</v>
      </c>
      <c r="N237" s="1">
        <f>'Paste cell here'!W237</f>
        <v>0</v>
      </c>
      <c r="O237" s="1">
        <f>'Paste cell here'!U237</f>
        <v>24.013962063634924</v>
      </c>
      <c r="P237" s="1">
        <f t="shared" si="18"/>
        <v>26.98199248775968</v>
      </c>
      <c r="Q237" s="1">
        <f>'Paste cell here'!V237</f>
        <v>0</v>
      </c>
      <c r="R237" s="1">
        <f t="shared" si="19"/>
        <v>7.155875891839969E-11</v>
      </c>
      <c r="S237" s="7">
        <f>Sintesi!$C$30</f>
        <v>0.107</v>
      </c>
      <c r="T237" s="7">
        <f>Sintesi!$C$29</f>
        <v>0.23300000000000001</v>
      </c>
      <c r="U237" s="5">
        <f>O237/(Sintesi!$C$5*1000)</f>
        <v>0.24013962063634925</v>
      </c>
      <c r="V237" s="1">
        <f t="shared" si="15"/>
        <v>0.126</v>
      </c>
      <c r="W237" s="1">
        <v>0.62341423373353799</v>
      </c>
      <c r="X237" s="1">
        <f t="shared" si="16"/>
        <v>7.8550193450425784E-2</v>
      </c>
      <c r="Y237" s="1">
        <f t="shared" si="17"/>
        <v>0.15444980654957424</v>
      </c>
      <c r="Z237" s="1">
        <f>'Paste cellinfo here'!$B$11</f>
        <v>0.52400000000000002</v>
      </c>
    </row>
    <row r="238" spans="1:26">
      <c r="A238" s="1">
        <v>237</v>
      </c>
      <c r="B238" s="2">
        <f>DATE(Sintesi!$C$4-1,12,31)+A238</f>
        <v>44433</v>
      </c>
      <c r="C238" s="1">
        <f>'Paste cell here'!B238</f>
        <v>0</v>
      </c>
      <c r="D238" s="1">
        <f>'Paste cell here'!I238</f>
        <v>0</v>
      </c>
      <c r="E238" s="1">
        <f>'Paste cell here'!J238</f>
        <v>0</v>
      </c>
      <c r="F238" s="1">
        <f>'Paste cell here'!K238</f>
        <v>0</v>
      </c>
      <c r="G238" s="1">
        <f>'Paste cell here'!L238</f>
        <v>0</v>
      </c>
      <c r="H238" s="1">
        <f>'Paste cell here'!M238</f>
        <v>0</v>
      </c>
      <c r="I238" s="1">
        <f>'Paste cell here'!N238</f>
        <v>0</v>
      </c>
      <c r="J238" s="1">
        <f>'Paste cell here'!O238</f>
        <v>0</v>
      </c>
      <c r="K238" s="1">
        <f>'Paste cell here'!Q238</f>
        <v>1.7543921226615511</v>
      </c>
      <c r="L238" s="1">
        <f>'Paste cell here'!S238</f>
        <v>0</v>
      </c>
      <c r="M238" s="1">
        <f>'Paste cell here'!T238</f>
        <v>0.32418903038996422</v>
      </c>
      <c r="N238" s="1">
        <f>'Paste cell here'!W238</f>
        <v>0</v>
      </c>
      <c r="O238" s="1">
        <f>'Paste cell here'!U238</f>
        <v>21.935380910583408</v>
      </c>
      <c r="P238" s="1">
        <f t="shared" si="18"/>
        <v>24.013962063634924</v>
      </c>
      <c r="Q238" s="1">
        <f>'Paste cell here'!V238</f>
        <v>0</v>
      </c>
      <c r="R238" s="1">
        <f t="shared" si="19"/>
        <v>3.5527136788005009E-15</v>
      </c>
      <c r="S238" s="7">
        <f>Sintesi!$C$30</f>
        <v>0.107</v>
      </c>
      <c r="T238" s="7">
        <f>Sintesi!$C$29</f>
        <v>0.23300000000000001</v>
      </c>
      <c r="U238" s="5">
        <f>O238/(Sintesi!$C$5*1000)</f>
        <v>0.21935380910583407</v>
      </c>
      <c r="V238" s="1">
        <f t="shared" si="15"/>
        <v>0.126</v>
      </c>
      <c r="W238" s="1">
        <v>0.53167917624707495</v>
      </c>
      <c r="X238" s="1">
        <f t="shared" si="16"/>
        <v>6.6991576207131448E-2</v>
      </c>
      <c r="Y238" s="1">
        <f t="shared" si="17"/>
        <v>0.16600842379286856</v>
      </c>
      <c r="Z238" s="1">
        <f>'Paste cellinfo here'!$B$11</f>
        <v>0.52400000000000002</v>
      </c>
    </row>
    <row r="239" spans="1:26">
      <c r="A239" s="1">
        <v>238</v>
      </c>
      <c r="B239" s="2">
        <f>DATE(Sintesi!$C$4-1,12,31)+A239</f>
        <v>44434</v>
      </c>
      <c r="C239" s="1">
        <f>'Paste cell here'!B239</f>
        <v>0</v>
      </c>
      <c r="D239" s="1">
        <f>'Paste cell here'!I239</f>
        <v>0</v>
      </c>
      <c r="E239" s="1">
        <f>'Paste cell here'!J239</f>
        <v>0</v>
      </c>
      <c r="F239" s="1">
        <f>'Paste cell here'!K239</f>
        <v>0</v>
      </c>
      <c r="G239" s="1">
        <f>'Paste cell here'!L239</f>
        <v>0</v>
      </c>
      <c r="H239" s="1">
        <f>'Paste cell here'!M239</f>
        <v>0</v>
      </c>
      <c r="I239" s="1">
        <f>'Paste cell here'!N239</f>
        <v>0</v>
      </c>
      <c r="J239" s="1">
        <f>'Paste cell here'!O239</f>
        <v>0</v>
      </c>
      <c r="K239" s="1">
        <f>'Paste cell here'!Q239</f>
        <v>2.3208933714033457</v>
      </c>
      <c r="L239" s="1">
        <f>'Paste cell here'!S239</f>
        <v>0</v>
      </c>
      <c r="M239" s="1">
        <f>'Paste cell here'!T239</f>
        <v>7.5830459705121825E-2</v>
      </c>
      <c r="N239" s="1">
        <f>'Paste cell here'!W239</f>
        <v>0</v>
      </c>
      <c r="O239" s="1">
        <f>'Paste cell here'!U239</f>
        <v>19.538657079474948</v>
      </c>
      <c r="P239" s="1">
        <f t="shared" si="18"/>
        <v>21.935380910583408</v>
      </c>
      <c r="Q239" s="1">
        <f>'Paste cell here'!V239</f>
        <v>0</v>
      </c>
      <c r="R239" s="1">
        <f t="shared" si="19"/>
        <v>1.0658141036401503E-14</v>
      </c>
      <c r="S239" s="7">
        <f>Sintesi!$C$30</f>
        <v>0.107</v>
      </c>
      <c r="T239" s="7">
        <f>Sintesi!$C$29</f>
        <v>0.23300000000000001</v>
      </c>
      <c r="U239" s="5">
        <f>O239/(Sintesi!$C$5*1000)</f>
        <v>0.19538657079474947</v>
      </c>
      <c r="V239" s="1">
        <f t="shared" si="15"/>
        <v>0.126</v>
      </c>
      <c r="W239" s="1">
        <v>0.52911647254334004</v>
      </c>
      <c r="X239" s="1">
        <f t="shared" si="16"/>
        <v>6.6668675540460839E-2</v>
      </c>
      <c r="Y239" s="1">
        <f t="shared" si="17"/>
        <v>0.16633132445953919</v>
      </c>
      <c r="Z239" s="1">
        <f>'Paste cellinfo here'!$B$11</f>
        <v>0.52400000000000002</v>
      </c>
    </row>
    <row r="240" spans="1:26">
      <c r="A240" s="1">
        <v>239</v>
      </c>
      <c r="B240" s="2">
        <f>DATE(Sintesi!$C$4-1,12,31)+A240</f>
        <v>44435</v>
      </c>
      <c r="C240" s="1">
        <f>'Paste cell here'!B240</f>
        <v>0</v>
      </c>
      <c r="D240" s="1">
        <f>'Paste cell here'!I240</f>
        <v>0</v>
      </c>
      <c r="E240" s="1">
        <f>'Paste cell here'!J240</f>
        <v>0</v>
      </c>
      <c r="F240" s="1">
        <f>'Paste cell here'!K240</f>
        <v>0</v>
      </c>
      <c r="G240" s="1">
        <f>'Paste cell here'!L240</f>
        <v>0</v>
      </c>
      <c r="H240" s="1">
        <f>'Paste cell here'!M240</f>
        <v>0</v>
      </c>
      <c r="I240" s="1">
        <f>'Paste cell here'!N240</f>
        <v>0</v>
      </c>
      <c r="J240" s="1">
        <f>'Paste cell here'!O240</f>
        <v>0</v>
      </c>
      <c r="K240" s="1">
        <f>'Paste cell here'!Q240</f>
        <v>1.5512471656907176</v>
      </c>
      <c r="L240" s="1">
        <f>'Paste cell here'!S240</f>
        <v>0</v>
      </c>
      <c r="M240" s="1">
        <f>'Paste cell here'!T240</f>
        <v>1.4871954203945489E-2</v>
      </c>
      <c r="N240" s="1">
        <f>'Paste cell here'!W240</f>
        <v>0</v>
      </c>
      <c r="O240" s="1">
        <f>'Paste cell here'!U240</f>
        <v>17.972537959580286</v>
      </c>
      <c r="P240" s="1">
        <f t="shared" si="18"/>
        <v>19.538657079474948</v>
      </c>
      <c r="Q240" s="1">
        <f>'Paste cell here'!V240</f>
        <v>0</v>
      </c>
      <c r="R240" s="1">
        <f t="shared" si="19"/>
        <v>0</v>
      </c>
      <c r="S240" s="7">
        <f>Sintesi!$C$30</f>
        <v>0.107</v>
      </c>
      <c r="T240" s="7">
        <f>Sintesi!$C$29</f>
        <v>0.23300000000000001</v>
      </c>
      <c r="U240" s="5">
        <f>O240/(Sintesi!$C$5*1000)</f>
        <v>0.17972537959580287</v>
      </c>
      <c r="V240" s="1">
        <f t="shared" si="15"/>
        <v>0.126</v>
      </c>
      <c r="W240" s="1">
        <v>0.51385417066422601</v>
      </c>
      <c r="X240" s="1">
        <f t="shared" si="16"/>
        <v>6.4745625503692478E-2</v>
      </c>
      <c r="Y240" s="1">
        <f t="shared" si="17"/>
        <v>0.16825437449630753</v>
      </c>
      <c r="Z240" s="1">
        <f>'Paste cellinfo here'!$B$11</f>
        <v>0.52400000000000002</v>
      </c>
    </row>
    <row r="241" spans="1:26">
      <c r="A241" s="1">
        <v>240</v>
      </c>
      <c r="B241" s="2">
        <f>DATE(Sintesi!$C$4-1,12,31)+A241</f>
        <v>44436</v>
      </c>
      <c r="C241" s="1">
        <f>'Paste cell here'!B241</f>
        <v>0.11999999999999317</v>
      </c>
      <c r="D241" s="1">
        <f>'Paste cell here'!I241</f>
        <v>0</v>
      </c>
      <c r="E241" s="1">
        <f>'Paste cell here'!J241</f>
        <v>5.536332179930159E-3</v>
      </c>
      <c r="F241" s="1">
        <f>'Paste cell here'!K241</f>
        <v>0.11999999999999317</v>
      </c>
      <c r="G241" s="1">
        <f>'Paste cell here'!L241</f>
        <v>5.536332179930159E-3</v>
      </c>
      <c r="H241" s="1">
        <f>'Paste cell here'!M241</f>
        <v>0.11446366782006301</v>
      </c>
      <c r="I241" s="1">
        <f>'Paste cell here'!N241</f>
        <v>0</v>
      </c>
      <c r="J241" s="1">
        <f>'Paste cell here'!O241</f>
        <v>5.536332344925717E-3</v>
      </c>
      <c r="K241" s="1">
        <f>'Paste cell here'!Q241</f>
        <v>2.4325283163936553</v>
      </c>
      <c r="L241" s="1">
        <f>'Paste cell here'!S241</f>
        <v>0</v>
      </c>
      <c r="M241" s="1">
        <f>'Paste cell here'!T241</f>
        <v>3.0946983273859936E-3</v>
      </c>
      <c r="N241" s="1">
        <f>'Paste cell here'!W241</f>
        <v>0</v>
      </c>
      <c r="O241" s="1">
        <f>'Paste cell here'!U241</f>
        <v>15.542451277204158</v>
      </c>
      <c r="P241" s="1">
        <f t="shared" si="18"/>
        <v>17.972537959580286</v>
      </c>
      <c r="Q241" s="1">
        <f>'Paste cell here'!V241</f>
        <v>0</v>
      </c>
      <c r="R241" s="1">
        <f t="shared" si="19"/>
        <v>1.6498447052981646E-10</v>
      </c>
      <c r="S241" s="7">
        <f>Sintesi!$C$30</f>
        <v>0.107</v>
      </c>
      <c r="T241" s="7">
        <f>Sintesi!$C$29</f>
        <v>0.23300000000000001</v>
      </c>
      <c r="U241" s="5">
        <f>O241/(Sintesi!$C$5*1000)</f>
        <v>0.15542451277204158</v>
      </c>
      <c r="V241" s="1">
        <f t="shared" si="15"/>
        <v>0.126</v>
      </c>
      <c r="W241" s="1">
        <v>0.51517753395444699</v>
      </c>
      <c r="X241" s="1">
        <f t="shared" si="16"/>
        <v>6.4912369278260315E-2</v>
      </c>
      <c r="Y241" s="1">
        <f t="shared" si="17"/>
        <v>0.16808763072173971</v>
      </c>
      <c r="Z241" s="1">
        <f>'Paste cellinfo here'!$B$11</f>
        <v>0.52400000000000002</v>
      </c>
    </row>
    <row r="242" spans="1:26">
      <c r="A242" s="1">
        <v>241</v>
      </c>
      <c r="B242" s="2">
        <f>DATE(Sintesi!$C$4-1,12,31)+A242</f>
        <v>44437</v>
      </c>
      <c r="C242" s="1">
        <f>'Paste cell here'!B242</f>
        <v>0</v>
      </c>
      <c r="D242" s="1">
        <f>'Paste cell here'!I242</f>
        <v>0</v>
      </c>
      <c r="E242" s="1">
        <f>'Paste cell here'!J242</f>
        <v>0</v>
      </c>
      <c r="F242" s="1">
        <f>'Paste cell here'!K242</f>
        <v>0</v>
      </c>
      <c r="G242" s="1">
        <f>'Paste cell here'!L242</f>
        <v>0</v>
      </c>
      <c r="H242" s="1">
        <f>'Paste cell here'!M242</f>
        <v>0</v>
      </c>
      <c r="I242" s="1">
        <f>'Paste cell here'!N242</f>
        <v>0</v>
      </c>
      <c r="J242" s="1">
        <f>'Paste cell here'!O242</f>
        <v>0</v>
      </c>
      <c r="K242" s="1">
        <f>'Paste cell here'!Q242</f>
        <v>2.2916484073821461</v>
      </c>
      <c r="L242" s="1">
        <f>'Paste cell here'!S242</f>
        <v>0</v>
      </c>
      <c r="M242" s="1">
        <f>'Paste cell here'!T242</f>
        <v>2.6956193111495963E-4</v>
      </c>
      <c r="N242" s="1">
        <f>'Paste cell here'!W242</f>
        <v>0</v>
      </c>
      <c r="O242" s="1">
        <f>'Paste cell here'!U242</f>
        <v>13.250533307890894</v>
      </c>
      <c r="P242" s="1">
        <f t="shared" si="18"/>
        <v>15.542451277204158</v>
      </c>
      <c r="Q242" s="1">
        <f>'Paste cell here'!V242</f>
        <v>0</v>
      </c>
      <c r="R242" s="1">
        <f t="shared" si="19"/>
        <v>3.5527136788005009E-15</v>
      </c>
      <c r="S242" s="7">
        <f>Sintesi!$C$30</f>
        <v>0.107</v>
      </c>
      <c r="T242" s="7">
        <f>Sintesi!$C$29</f>
        <v>0.23300000000000001</v>
      </c>
      <c r="U242" s="5">
        <f>O242/(Sintesi!$C$5*1000)</f>
        <v>0.13250533307890894</v>
      </c>
      <c r="V242" s="1">
        <f t="shared" si="15"/>
        <v>0.126</v>
      </c>
      <c r="W242" s="1">
        <v>0.531477092191871</v>
      </c>
      <c r="X242" s="1">
        <f t="shared" si="16"/>
        <v>6.6966113616175743E-2</v>
      </c>
      <c r="Y242" s="1">
        <f t="shared" si="17"/>
        <v>0.16603388638382427</v>
      </c>
      <c r="Z242" s="1">
        <f>'Paste cellinfo here'!$B$11</f>
        <v>0.52400000000000002</v>
      </c>
    </row>
    <row r="243" spans="1:26">
      <c r="A243" s="1">
        <v>242</v>
      </c>
      <c r="B243" s="2">
        <f>DATE(Sintesi!$C$4-1,12,31)+A243</f>
        <v>44438</v>
      </c>
      <c r="C243" s="1">
        <f>'Paste cell here'!B243</f>
        <v>0</v>
      </c>
      <c r="D243" s="1">
        <f>'Paste cell here'!I243</f>
        <v>0</v>
      </c>
      <c r="E243" s="1">
        <f>'Paste cell here'!J243</f>
        <v>0</v>
      </c>
      <c r="F243" s="1">
        <f>'Paste cell here'!K243</f>
        <v>0</v>
      </c>
      <c r="G243" s="1">
        <f>'Paste cell here'!L243</f>
        <v>0</v>
      </c>
      <c r="H243" s="1">
        <f>'Paste cell here'!M243</f>
        <v>0</v>
      </c>
      <c r="I243" s="1">
        <f>'Paste cell here'!N243</f>
        <v>0</v>
      </c>
      <c r="J243" s="1">
        <f>'Paste cell here'!O243</f>
        <v>0</v>
      </c>
      <c r="K243" s="1">
        <f>'Paste cell here'!Q243</f>
        <v>1.9258699646521458</v>
      </c>
      <c r="L243" s="1">
        <f>'Paste cell here'!S243</f>
        <v>0</v>
      </c>
      <c r="M243" s="1">
        <f>'Paste cell here'!T243</f>
        <v>1.5283155080459937E-5</v>
      </c>
      <c r="N243" s="1">
        <f>'Paste cell here'!W243</f>
        <v>0</v>
      </c>
      <c r="O243" s="1">
        <f>'Paste cell here'!U243</f>
        <v>11.324648060083669</v>
      </c>
      <c r="P243" s="1">
        <f t="shared" si="18"/>
        <v>13.250533307890894</v>
      </c>
      <c r="Q243" s="1">
        <f>'Paste cell here'!V243</f>
        <v>0</v>
      </c>
      <c r="R243" s="1">
        <f t="shared" si="19"/>
        <v>1.7763568394002505E-15</v>
      </c>
      <c r="S243" s="7">
        <f>Sintesi!$C$30</f>
        <v>0.107</v>
      </c>
      <c r="T243" s="7">
        <f>Sintesi!$C$29</f>
        <v>0.23300000000000001</v>
      </c>
      <c r="U243" s="5">
        <f>O243/(Sintesi!$C$5*1000)</f>
        <v>0.1132464806008367</v>
      </c>
      <c r="V243" s="1">
        <f t="shared" si="15"/>
        <v>0.126</v>
      </c>
      <c r="W243" s="1">
        <v>0.50404672929994099</v>
      </c>
      <c r="X243" s="1">
        <f t="shared" si="16"/>
        <v>6.3509887891792571E-2</v>
      </c>
      <c r="Y243" s="1">
        <f t="shared" si="17"/>
        <v>0.16949011210820744</v>
      </c>
      <c r="Z243" s="1">
        <f>'Paste cellinfo here'!$B$11</f>
        <v>0.52400000000000002</v>
      </c>
    </row>
    <row r="244" spans="1:26">
      <c r="A244" s="1">
        <v>243</v>
      </c>
      <c r="B244" s="2">
        <f>DATE(Sintesi!$C$4-1,12,31)+A244</f>
        <v>44439</v>
      </c>
      <c r="C244" s="1">
        <f>'Paste cell here'!B244</f>
        <v>0</v>
      </c>
      <c r="D244" s="1">
        <f>'Paste cell here'!I244</f>
        <v>0</v>
      </c>
      <c r="E244" s="1">
        <f>'Paste cell here'!J244</f>
        <v>0</v>
      </c>
      <c r="F244" s="1">
        <f>'Paste cell here'!K244</f>
        <v>0</v>
      </c>
      <c r="G244" s="1">
        <f>'Paste cell here'!L244</f>
        <v>0</v>
      </c>
      <c r="H244" s="1">
        <f>'Paste cell here'!M244</f>
        <v>0</v>
      </c>
      <c r="I244" s="1">
        <f>'Paste cell here'!N244</f>
        <v>0</v>
      </c>
      <c r="J244" s="1">
        <f>'Paste cell here'!O244</f>
        <v>0</v>
      </c>
      <c r="K244" s="1">
        <f>'Paste cell here'!Q244</f>
        <v>1.3975312820756962</v>
      </c>
      <c r="L244" s="1">
        <f>'Paste cell here'!S244</f>
        <v>0</v>
      </c>
      <c r="M244" s="1">
        <f>'Paste cell here'!T244</f>
        <v>6.090170379609002E-7</v>
      </c>
      <c r="N244" s="1">
        <f>'Paste cell here'!W244</f>
        <v>0</v>
      </c>
      <c r="O244" s="1">
        <f>'Paste cell here'!U244</f>
        <v>9.9271161689909349</v>
      </c>
      <c r="P244" s="1">
        <f t="shared" si="18"/>
        <v>11.324648060083669</v>
      </c>
      <c r="Q244" s="1">
        <f>'Paste cell here'!V244</f>
        <v>0</v>
      </c>
      <c r="R244" s="1">
        <f t="shared" si="19"/>
        <v>0</v>
      </c>
      <c r="S244" s="7">
        <f>Sintesi!$C$30</f>
        <v>0.107</v>
      </c>
      <c r="T244" s="7">
        <f>Sintesi!$C$29</f>
        <v>0.23300000000000001</v>
      </c>
      <c r="U244" s="5">
        <f>O244/(Sintesi!$C$5*1000)</f>
        <v>9.9271161689909349E-2</v>
      </c>
      <c r="V244" s="1">
        <f t="shared" si="15"/>
        <v>0.126</v>
      </c>
      <c r="W244" s="1">
        <v>0.50978162821000605</v>
      </c>
      <c r="X244" s="1">
        <f t="shared" si="16"/>
        <v>6.4232485154460769E-2</v>
      </c>
      <c r="Y244" s="1">
        <f t="shared" si="17"/>
        <v>0.16876751484553926</v>
      </c>
      <c r="Z244" s="1">
        <f>'Paste cellinfo here'!$B$11</f>
        <v>0.52400000000000002</v>
      </c>
    </row>
    <row r="245" spans="1:26">
      <c r="A245" s="1">
        <v>244</v>
      </c>
      <c r="B245" s="2">
        <f>DATE(Sintesi!$C$4-1,12,31)+A245</f>
        <v>44440</v>
      </c>
      <c r="C245" s="1">
        <f>'Paste cell here'!B245</f>
        <v>0</v>
      </c>
      <c r="D245" s="1">
        <f>'Paste cell here'!I245</f>
        <v>0</v>
      </c>
      <c r="E245" s="1">
        <f>'Paste cell here'!J245</f>
        <v>0</v>
      </c>
      <c r="F245" s="1">
        <f>'Paste cell here'!K245</f>
        <v>0</v>
      </c>
      <c r="G245" s="1">
        <f>'Paste cell here'!L245</f>
        <v>0</v>
      </c>
      <c r="H245" s="1">
        <f>'Paste cell here'!M245</f>
        <v>0</v>
      </c>
      <c r="I245" s="1">
        <f>'Paste cell here'!N245</f>
        <v>0</v>
      </c>
      <c r="J245" s="1">
        <f>'Paste cell here'!O245</f>
        <v>0</v>
      </c>
      <c r="K245" s="1">
        <f>'Paste cell here'!Q245</f>
        <v>1.1692473868671587</v>
      </c>
      <c r="L245" s="1">
        <f>'Paste cell here'!S245</f>
        <v>0</v>
      </c>
      <c r="M245" s="1">
        <f>'Paste cell here'!T245</f>
        <v>2.1696230077560373E-8</v>
      </c>
      <c r="N245" s="1">
        <f>'Paste cell here'!W245</f>
        <v>0</v>
      </c>
      <c r="O245" s="1">
        <f>'Paste cell here'!U245</f>
        <v>8.7578687604275416</v>
      </c>
      <c r="P245" s="1">
        <f t="shared" si="18"/>
        <v>9.9271161689909349</v>
      </c>
      <c r="Q245" s="1">
        <f>'Paste cell here'!V245</f>
        <v>0</v>
      </c>
      <c r="R245" s="1">
        <f t="shared" si="19"/>
        <v>3.5527136788005009E-15</v>
      </c>
      <c r="S245" s="7">
        <f>Sintesi!$C$30</f>
        <v>0.107</v>
      </c>
      <c r="T245" s="7">
        <f>Sintesi!$C$29</f>
        <v>0.23300000000000001</v>
      </c>
      <c r="U245" s="5">
        <f>O245/(Sintesi!$C$5*1000)</f>
        <v>8.757868760427541E-2</v>
      </c>
      <c r="V245" s="1">
        <f t="shared" si="15"/>
        <v>0.126</v>
      </c>
      <c r="W245" s="1">
        <v>0.603998850668788</v>
      </c>
      <c r="X245" s="1">
        <f t="shared" si="16"/>
        <v>7.6103855184267294E-2</v>
      </c>
      <c r="Y245" s="1">
        <f t="shared" si="17"/>
        <v>0.15689614481573272</v>
      </c>
      <c r="Z245" s="1">
        <f>'Paste cellinfo here'!$B$11</f>
        <v>0.52400000000000002</v>
      </c>
    </row>
    <row r="246" spans="1:26">
      <c r="A246" s="1">
        <v>245</v>
      </c>
      <c r="B246" s="2">
        <f>DATE(Sintesi!$C$4-1,12,31)+A246</f>
        <v>44441</v>
      </c>
      <c r="C246" s="1">
        <f>'Paste cell here'!B246</f>
        <v>0</v>
      </c>
      <c r="D246" s="1">
        <f>'Paste cell here'!I246</f>
        <v>0</v>
      </c>
      <c r="E246" s="1">
        <f>'Paste cell here'!J246</f>
        <v>0</v>
      </c>
      <c r="F246" s="1">
        <f>'Paste cell here'!K246</f>
        <v>0</v>
      </c>
      <c r="G246" s="1">
        <f>'Paste cell here'!L246</f>
        <v>0</v>
      </c>
      <c r="H246" s="1">
        <f>'Paste cell here'!M246</f>
        <v>0</v>
      </c>
      <c r="I246" s="1">
        <f>'Paste cell here'!N246</f>
        <v>0</v>
      </c>
      <c r="J246" s="1">
        <f>'Paste cell here'!O246</f>
        <v>0</v>
      </c>
      <c r="K246" s="1">
        <f>'Paste cell here'!Q246</f>
        <v>1.0046827822136355</v>
      </c>
      <c r="L246" s="1">
        <f>'Paste cell here'!S246</f>
        <v>0</v>
      </c>
      <c r="M246" s="1">
        <f>'Paste cell here'!T246</f>
        <v>3.6542940330984004E-10</v>
      </c>
      <c r="N246" s="1">
        <f>'Paste cell here'!W246</f>
        <v>0</v>
      </c>
      <c r="O246" s="1">
        <f>'Paste cell here'!U246</f>
        <v>7.7531859778484806</v>
      </c>
      <c r="P246" s="1">
        <f t="shared" si="18"/>
        <v>8.7578687604275416</v>
      </c>
      <c r="Q246" s="1">
        <f>'Paste cell here'!V246</f>
        <v>0</v>
      </c>
      <c r="R246" s="1">
        <f t="shared" si="19"/>
        <v>3.5527136788005009E-15</v>
      </c>
      <c r="S246" s="7">
        <f>Sintesi!$C$30</f>
        <v>0.107</v>
      </c>
      <c r="T246" s="7">
        <f>Sintesi!$C$29</f>
        <v>0.23300000000000001</v>
      </c>
      <c r="U246" s="5">
        <f>O246/(Sintesi!$C$5*1000)</f>
        <v>7.7531859778484813E-2</v>
      </c>
      <c r="V246" s="1">
        <f t="shared" si="15"/>
        <v>0.126</v>
      </c>
      <c r="W246" s="1">
        <v>0.51732653275103002</v>
      </c>
      <c r="X246" s="1">
        <f t="shared" si="16"/>
        <v>6.5183143126629789E-2</v>
      </c>
      <c r="Y246" s="1">
        <f t="shared" si="17"/>
        <v>0.16781685687337022</v>
      </c>
      <c r="Z246" s="1">
        <f>'Paste cellinfo here'!$B$11</f>
        <v>0.52400000000000002</v>
      </c>
    </row>
    <row r="247" spans="1:26">
      <c r="A247" s="1">
        <v>246</v>
      </c>
      <c r="B247" s="2">
        <f>DATE(Sintesi!$C$4-1,12,31)+A247</f>
        <v>44442</v>
      </c>
      <c r="C247" s="1">
        <f>'Paste cell here'!B247</f>
        <v>0</v>
      </c>
      <c r="D247" s="1">
        <f>'Paste cell here'!I247</f>
        <v>0</v>
      </c>
      <c r="E247" s="1">
        <f>'Paste cell here'!J247</f>
        <v>0</v>
      </c>
      <c r="F247" s="1">
        <f>'Paste cell here'!K247</f>
        <v>0</v>
      </c>
      <c r="G247" s="1">
        <f>'Paste cell here'!L247</f>
        <v>0</v>
      </c>
      <c r="H247" s="1">
        <f>'Paste cell here'!M247</f>
        <v>0</v>
      </c>
      <c r="I247" s="1">
        <f>'Paste cell here'!N247</f>
        <v>0</v>
      </c>
      <c r="J247" s="1">
        <f>'Paste cell here'!O247</f>
        <v>0</v>
      </c>
      <c r="K247" s="1">
        <f>'Paste cell here'!Q247</f>
        <v>0.68184499675451227</v>
      </c>
      <c r="L247" s="1">
        <f>'Paste cell here'!S247</f>
        <v>0</v>
      </c>
      <c r="M247" s="1">
        <f>'Paste cell here'!T247</f>
        <v>1.1189089280224238E-12</v>
      </c>
      <c r="N247" s="1">
        <f>'Paste cell here'!W247</f>
        <v>0</v>
      </c>
      <c r="O247" s="1">
        <f>'Paste cell here'!U247</f>
        <v>7.0713409810928498</v>
      </c>
      <c r="P247" s="1">
        <f t="shared" si="18"/>
        <v>7.7531859778484806</v>
      </c>
      <c r="Q247" s="1">
        <f>'Paste cell here'!V247</f>
        <v>0</v>
      </c>
      <c r="R247" s="1">
        <f t="shared" si="19"/>
        <v>8.8817841970012523E-16</v>
      </c>
      <c r="S247" s="7">
        <f>Sintesi!$C$30</f>
        <v>0.107</v>
      </c>
      <c r="T247" s="7">
        <f>Sintesi!$C$29</f>
        <v>0.23300000000000001</v>
      </c>
      <c r="U247" s="5">
        <f>O247/(Sintesi!$C$5*1000)</f>
        <v>7.0713409810928496E-2</v>
      </c>
      <c r="V247" s="1">
        <f t="shared" si="15"/>
        <v>0.126</v>
      </c>
      <c r="W247" s="1">
        <v>0.55644632564566598</v>
      </c>
      <c r="X247" s="1">
        <f t="shared" si="16"/>
        <v>7.0112237031353913E-2</v>
      </c>
      <c r="Y247" s="1">
        <f t="shared" si="17"/>
        <v>0.1628877629686461</v>
      </c>
      <c r="Z247" s="1">
        <f>'Paste cellinfo here'!$B$11</f>
        <v>0.52400000000000002</v>
      </c>
    </row>
    <row r="248" spans="1:26">
      <c r="A248" s="1">
        <v>247</v>
      </c>
      <c r="B248" s="2">
        <f>DATE(Sintesi!$C$4-1,12,31)+A248</f>
        <v>44443</v>
      </c>
      <c r="C248" s="1">
        <f>'Paste cell here'!B248</f>
        <v>0</v>
      </c>
      <c r="D248" s="1">
        <f>'Paste cell here'!I248</f>
        <v>0</v>
      </c>
      <c r="E248" s="1">
        <f>'Paste cell here'!J248</f>
        <v>0</v>
      </c>
      <c r="F248" s="1">
        <f>'Paste cell here'!K248</f>
        <v>0</v>
      </c>
      <c r="G248" s="1">
        <f>'Paste cell here'!L248</f>
        <v>0</v>
      </c>
      <c r="H248" s="1">
        <f>'Paste cell here'!M248</f>
        <v>0</v>
      </c>
      <c r="I248" s="1">
        <f>'Paste cell here'!N248</f>
        <v>0</v>
      </c>
      <c r="J248" s="1">
        <f>'Paste cell here'!O248</f>
        <v>0</v>
      </c>
      <c r="K248" s="1">
        <f>'Paste cell here'!Q248</f>
        <v>0.4823487448605277</v>
      </c>
      <c r="L248" s="1">
        <f>'Paste cell here'!S248</f>
        <v>0</v>
      </c>
      <c r="M248" s="1">
        <f>'Paste cell here'!T248</f>
        <v>2.9036338360119271E-16</v>
      </c>
      <c r="N248" s="1">
        <f>'Paste cell here'!W248</f>
        <v>0</v>
      </c>
      <c r="O248" s="1">
        <f>'Paste cell here'!U248</f>
        <v>6.5889922362323219</v>
      </c>
      <c r="P248" s="1">
        <f t="shared" si="18"/>
        <v>7.0713409810928498</v>
      </c>
      <c r="Q248" s="1">
        <f>'Paste cell here'!V248</f>
        <v>0</v>
      </c>
      <c r="R248" s="1">
        <f t="shared" si="19"/>
        <v>0</v>
      </c>
      <c r="S248" s="7">
        <f>Sintesi!$C$30</f>
        <v>0.107</v>
      </c>
      <c r="T248" s="7">
        <f>Sintesi!$C$29</f>
        <v>0.23300000000000001</v>
      </c>
      <c r="U248" s="5">
        <f>O248/(Sintesi!$C$5*1000)</f>
        <v>6.5889922362323217E-2</v>
      </c>
      <c r="V248" s="1">
        <f t="shared" si="15"/>
        <v>0.126</v>
      </c>
      <c r="W248" s="1">
        <v>0.50379745903999495</v>
      </c>
      <c r="X248" s="1">
        <f t="shared" si="16"/>
        <v>6.347847983903937E-2</v>
      </c>
      <c r="Y248" s="1">
        <f t="shared" si="17"/>
        <v>0.16952152016096064</v>
      </c>
      <c r="Z248" s="1">
        <f>'Paste cellinfo here'!$B$11</f>
        <v>0.52400000000000002</v>
      </c>
    </row>
    <row r="249" spans="1:26">
      <c r="A249" s="1">
        <v>248</v>
      </c>
      <c r="B249" s="2">
        <f>DATE(Sintesi!$C$4-1,12,31)+A249</f>
        <v>44444</v>
      </c>
      <c r="C249" s="1">
        <f>'Paste cell here'!B249</f>
        <v>0</v>
      </c>
      <c r="D249" s="1">
        <f>'Paste cell here'!I249</f>
        <v>0</v>
      </c>
      <c r="E249" s="1">
        <f>'Paste cell here'!J249</f>
        <v>0</v>
      </c>
      <c r="F249" s="1">
        <f>'Paste cell here'!K249</f>
        <v>0</v>
      </c>
      <c r="G249" s="1">
        <f>'Paste cell here'!L249</f>
        <v>0</v>
      </c>
      <c r="H249" s="1">
        <f>'Paste cell here'!M249</f>
        <v>0</v>
      </c>
      <c r="I249" s="1">
        <f>'Paste cell here'!N249</f>
        <v>0</v>
      </c>
      <c r="J249" s="1">
        <f>'Paste cell here'!O249</f>
        <v>0</v>
      </c>
      <c r="K249" s="1">
        <f>'Paste cell here'!Q249</f>
        <v>0.35521267516457911</v>
      </c>
      <c r="L249" s="1">
        <f>'Paste cell here'!S249</f>
        <v>0</v>
      </c>
      <c r="M249" s="1">
        <f>'Paste cell here'!T249</f>
        <v>0</v>
      </c>
      <c r="N249" s="1">
        <f>'Paste cell here'!W249</f>
        <v>0</v>
      </c>
      <c r="O249" s="1">
        <f>'Paste cell here'!U249</f>
        <v>6.2337795610677436</v>
      </c>
      <c r="P249" s="1">
        <f t="shared" si="18"/>
        <v>6.5889922362323219</v>
      </c>
      <c r="Q249" s="1">
        <f>'Paste cell here'!V249</f>
        <v>0</v>
      </c>
      <c r="R249" s="1">
        <f t="shared" si="19"/>
        <v>8.8817841970012523E-16</v>
      </c>
      <c r="S249" s="7">
        <f>Sintesi!$C$30</f>
        <v>0.107</v>
      </c>
      <c r="T249" s="7">
        <f>Sintesi!$C$29</f>
        <v>0.23300000000000001</v>
      </c>
      <c r="U249" s="5">
        <f>O249/(Sintesi!$C$5*1000)</f>
        <v>6.2337795610677434E-2</v>
      </c>
      <c r="V249" s="1">
        <f t="shared" si="15"/>
        <v>0.126</v>
      </c>
      <c r="W249" s="1">
        <v>0.53796455837561696</v>
      </c>
      <c r="X249" s="1">
        <f t="shared" si="16"/>
        <v>6.7783534355327732E-2</v>
      </c>
      <c r="Y249" s="1">
        <f t="shared" si="17"/>
        <v>0.16521646564467229</v>
      </c>
      <c r="Z249" s="1">
        <f>'Paste cellinfo here'!$B$11</f>
        <v>0.52400000000000002</v>
      </c>
    </row>
    <row r="250" spans="1:26">
      <c r="A250" s="1">
        <v>249</v>
      </c>
      <c r="B250" s="2">
        <f>DATE(Sintesi!$C$4-1,12,31)+A250</f>
        <v>44445</v>
      </c>
      <c r="C250" s="1">
        <f>'Paste cell here'!B250</f>
        <v>0</v>
      </c>
      <c r="D250" s="1">
        <f>'Paste cell here'!I250</f>
        <v>54</v>
      </c>
      <c r="E250" s="1">
        <f>'Paste cell here'!J250</f>
        <v>0</v>
      </c>
      <c r="F250" s="1">
        <f>'Paste cell here'!K250</f>
        <v>54</v>
      </c>
      <c r="G250" s="1">
        <f>'Paste cell here'!L250</f>
        <v>0</v>
      </c>
      <c r="H250" s="1">
        <f>'Paste cell here'!M250</f>
        <v>0</v>
      </c>
      <c r="I250" s="1">
        <f>'Paste cell here'!N250</f>
        <v>0</v>
      </c>
      <c r="J250" s="1">
        <f>'Paste cell here'!O250</f>
        <v>0</v>
      </c>
      <c r="K250" s="1">
        <f>'Paste cell here'!Q250</f>
        <v>2.7609635141894069</v>
      </c>
      <c r="L250" s="1">
        <f>'Paste cell here'!S250</f>
        <v>0</v>
      </c>
      <c r="M250" s="1">
        <f>'Paste cell here'!T250</f>
        <v>30.023759968386731</v>
      </c>
      <c r="N250" s="1">
        <f>'Paste cell here'!W250</f>
        <v>0</v>
      </c>
      <c r="O250" s="1">
        <f>'Paste cell here'!U250</f>
        <v>27.449056078491594</v>
      </c>
      <c r="P250" s="1">
        <f t="shared" si="18"/>
        <v>6.2337795610677436</v>
      </c>
      <c r="Q250" s="1">
        <f>'Paste cell here'!V250</f>
        <v>0</v>
      </c>
      <c r="R250" s="1">
        <f t="shared" si="19"/>
        <v>1.0658141036401503E-14</v>
      </c>
      <c r="S250" s="7">
        <f>Sintesi!$C$30</f>
        <v>0.107</v>
      </c>
      <c r="T250" s="7">
        <f>Sintesi!$C$29</f>
        <v>0.23300000000000001</v>
      </c>
      <c r="U250" s="5">
        <f>O250/(Sintesi!$C$5*1000)</f>
        <v>0.27449056078491596</v>
      </c>
      <c r="V250" s="1">
        <f t="shared" si="15"/>
        <v>0.126</v>
      </c>
      <c r="W250" s="1">
        <v>0.53438277290438596</v>
      </c>
      <c r="X250" s="1">
        <f t="shared" si="16"/>
        <v>6.7332229385952638E-2</v>
      </c>
      <c r="Y250" s="1">
        <f t="shared" si="17"/>
        <v>0.16566777061404736</v>
      </c>
      <c r="Z250" s="1">
        <f>'Paste cellinfo here'!$B$11</f>
        <v>0.52400000000000002</v>
      </c>
    </row>
    <row r="251" spans="1:26">
      <c r="A251" s="1">
        <v>250</v>
      </c>
      <c r="B251" s="2">
        <f>DATE(Sintesi!$C$4-1,12,31)+A251</f>
        <v>44446</v>
      </c>
      <c r="C251" s="1">
        <f>'Paste cell here'!B251</f>
        <v>0</v>
      </c>
      <c r="D251" s="1">
        <f>'Paste cell here'!I251</f>
        <v>0</v>
      </c>
      <c r="E251" s="1">
        <f>'Paste cell here'!J251</f>
        <v>0</v>
      </c>
      <c r="F251" s="1">
        <f>'Paste cell here'!K251</f>
        <v>0</v>
      </c>
      <c r="G251" s="1">
        <f>'Paste cell here'!L251</f>
        <v>0</v>
      </c>
      <c r="H251" s="1">
        <f>'Paste cell here'!M251</f>
        <v>0</v>
      </c>
      <c r="I251" s="1">
        <f>'Paste cell here'!N251</f>
        <v>0</v>
      </c>
      <c r="J251" s="1">
        <f>'Paste cell here'!O251</f>
        <v>0</v>
      </c>
      <c r="K251" s="1">
        <f>'Paste cell here'!Q251</f>
        <v>3.9912401297669438</v>
      </c>
      <c r="L251" s="1">
        <f>'Paste cell here'!S251</f>
        <v>0</v>
      </c>
      <c r="M251" s="1">
        <f>'Paste cell here'!T251</f>
        <v>1.5629588736119253</v>
      </c>
      <c r="N251" s="1">
        <f>'Paste cell here'!W251</f>
        <v>0</v>
      </c>
      <c r="O251" s="1">
        <f>'Paste cell here'!U251</f>
        <v>21.894857075112728</v>
      </c>
      <c r="P251" s="1">
        <f t="shared" si="18"/>
        <v>27.449056078491594</v>
      </c>
      <c r="Q251" s="1">
        <f>'Paste cell here'!V251</f>
        <v>0</v>
      </c>
      <c r="R251" s="1">
        <f t="shared" si="19"/>
        <v>3.5527136788005009E-15</v>
      </c>
      <c r="S251" s="7">
        <f>Sintesi!$C$30</f>
        <v>0.107</v>
      </c>
      <c r="T251" s="7">
        <f>Sintesi!$C$29</f>
        <v>0.23300000000000001</v>
      </c>
      <c r="U251" s="5">
        <f>O251/(Sintesi!$C$5*1000)</f>
        <v>0.21894857075112728</v>
      </c>
      <c r="V251" s="1">
        <f t="shared" si="15"/>
        <v>0.126</v>
      </c>
      <c r="W251" s="1">
        <v>0.57912295636045796</v>
      </c>
      <c r="X251" s="1">
        <f t="shared" si="16"/>
        <v>7.296949250141771E-2</v>
      </c>
      <c r="Y251" s="1">
        <f t="shared" si="17"/>
        <v>0.1600305074985823</v>
      </c>
      <c r="Z251" s="1">
        <f>'Paste cellinfo here'!$B$11</f>
        <v>0.52400000000000002</v>
      </c>
    </row>
    <row r="252" spans="1:26">
      <c r="A252" s="1">
        <v>251</v>
      </c>
      <c r="B252" s="2">
        <f>DATE(Sintesi!$C$4-1,12,31)+A252</f>
        <v>44447</v>
      </c>
      <c r="C252" s="1">
        <f>'Paste cell here'!B252</f>
        <v>0</v>
      </c>
      <c r="D252" s="1">
        <f>'Paste cell here'!I252</f>
        <v>0</v>
      </c>
      <c r="E252" s="1">
        <f>'Paste cell here'!J252</f>
        <v>0</v>
      </c>
      <c r="F252" s="1">
        <f>'Paste cell here'!K252</f>
        <v>0</v>
      </c>
      <c r="G252" s="1">
        <f>'Paste cell here'!L252</f>
        <v>0</v>
      </c>
      <c r="H252" s="1">
        <f>'Paste cell here'!M252</f>
        <v>0</v>
      </c>
      <c r="I252" s="1">
        <f>'Paste cell here'!N252</f>
        <v>0</v>
      </c>
      <c r="J252" s="1">
        <f>'Paste cell here'!O252</f>
        <v>0</v>
      </c>
      <c r="K252" s="1">
        <f>'Paste cell here'!Q252</f>
        <v>4.6129520314551753</v>
      </c>
      <c r="L252" s="1">
        <f>'Paste cell here'!S252</f>
        <v>0</v>
      </c>
      <c r="M252" s="1">
        <f>'Paste cell here'!T252</f>
        <v>8.9476411533271807E-2</v>
      </c>
      <c r="N252" s="1">
        <f>'Paste cell here'!W252</f>
        <v>0</v>
      </c>
      <c r="O252" s="1">
        <f>'Paste cell here'!U252</f>
        <v>17.192428632124265</v>
      </c>
      <c r="P252" s="1">
        <f t="shared" si="18"/>
        <v>21.894857075112728</v>
      </c>
      <c r="Q252" s="1">
        <f>'Paste cell here'!V252</f>
        <v>0</v>
      </c>
      <c r="R252" s="1">
        <f t="shared" si="19"/>
        <v>1.4210854715202004E-14</v>
      </c>
      <c r="S252" s="7">
        <f>Sintesi!$C$30</f>
        <v>0.107</v>
      </c>
      <c r="T252" s="7">
        <f>Sintesi!$C$29</f>
        <v>0.23300000000000001</v>
      </c>
      <c r="U252" s="5">
        <f>O252/(Sintesi!$C$5*1000)</f>
        <v>0.17192428632124265</v>
      </c>
      <c r="V252" s="1">
        <f t="shared" si="15"/>
        <v>0.126</v>
      </c>
      <c r="W252" s="1">
        <v>0.56576453846738095</v>
      </c>
      <c r="X252" s="1">
        <f t="shared" si="16"/>
        <v>7.1286331846889997E-2</v>
      </c>
      <c r="Y252" s="1">
        <f t="shared" si="17"/>
        <v>0.16171366815311</v>
      </c>
      <c r="Z252" s="1">
        <f>'Paste cellinfo here'!$B$11</f>
        <v>0.52400000000000002</v>
      </c>
    </row>
    <row r="253" spans="1:26">
      <c r="A253" s="1">
        <v>252</v>
      </c>
      <c r="B253" s="2">
        <f>DATE(Sintesi!$C$4-1,12,31)+A253</f>
        <v>44448</v>
      </c>
      <c r="C253" s="1">
        <f>'Paste cell here'!B253</f>
        <v>0</v>
      </c>
      <c r="D253" s="1">
        <f>'Paste cell here'!I253</f>
        <v>0</v>
      </c>
      <c r="E253" s="1">
        <f>'Paste cell here'!J253</f>
        <v>0</v>
      </c>
      <c r="F253" s="1">
        <f>'Paste cell here'!K253</f>
        <v>0</v>
      </c>
      <c r="G253" s="1">
        <f>'Paste cell here'!L253</f>
        <v>0</v>
      </c>
      <c r="H253" s="1">
        <f>'Paste cell here'!M253</f>
        <v>0</v>
      </c>
      <c r="I253" s="1">
        <f>'Paste cell here'!N253</f>
        <v>0</v>
      </c>
      <c r="J253" s="1">
        <f>'Paste cell here'!O253</f>
        <v>0</v>
      </c>
      <c r="K253" s="1">
        <f>'Paste cell here'!Q253</f>
        <v>3.8393255734664673</v>
      </c>
      <c r="L253" s="1">
        <f>'Paste cell here'!S253</f>
        <v>0</v>
      </c>
      <c r="M253" s="1">
        <f>'Paste cell here'!T253</f>
        <v>2.4390672040336316E-3</v>
      </c>
      <c r="N253" s="1">
        <f>'Paste cell here'!W253</f>
        <v>0</v>
      </c>
      <c r="O253" s="1">
        <f>'Paste cell here'!U253</f>
        <v>13.350663991453763</v>
      </c>
      <c r="P253" s="1">
        <f t="shared" si="18"/>
        <v>17.192428632124265</v>
      </c>
      <c r="Q253" s="1">
        <f>'Paste cell here'!V253</f>
        <v>0</v>
      </c>
      <c r="R253" s="1">
        <f t="shared" si="19"/>
        <v>1.7763568394002505E-15</v>
      </c>
      <c r="S253" s="7">
        <f>Sintesi!$C$30</f>
        <v>0.107</v>
      </c>
      <c r="T253" s="7">
        <f>Sintesi!$C$29</f>
        <v>0.23300000000000001</v>
      </c>
      <c r="U253" s="5">
        <f>O253/(Sintesi!$C$5*1000)</f>
        <v>0.13350663991453762</v>
      </c>
      <c r="V253" s="1">
        <f t="shared" si="15"/>
        <v>0.126</v>
      </c>
      <c r="W253" s="1">
        <v>0.66707911665863495</v>
      </c>
      <c r="X253" s="1">
        <f t="shared" si="16"/>
        <v>8.4051968698988011E-2</v>
      </c>
      <c r="Y253" s="1">
        <f t="shared" si="17"/>
        <v>0.148948031301012</v>
      </c>
      <c r="Z253" s="1">
        <f>'Paste cellinfo here'!$B$11</f>
        <v>0.52400000000000002</v>
      </c>
    </row>
    <row r="254" spans="1:26">
      <c r="A254" s="1">
        <v>253</v>
      </c>
      <c r="B254" s="2">
        <f>DATE(Sintesi!$C$4-1,12,31)+A254</f>
        <v>44449</v>
      </c>
      <c r="C254" s="1">
        <f>'Paste cell here'!B254</f>
        <v>0</v>
      </c>
      <c r="D254" s="1">
        <f>'Paste cell here'!I254</f>
        <v>0</v>
      </c>
      <c r="E254" s="1">
        <f>'Paste cell here'!J254</f>
        <v>0</v>
      </c>
      <c r="F254" s="1">
        <f>'Paste cell here'!K254</f>
        <v>0</v>
      </c>
      <c r="G254" s="1">
        <f>'Paste cell here'!L254</f>
        <v>0</v>
      </c>
      <c r="H254" s="1">
        <f>'Paste cell here'!M254</f>
        <v>0</v>
      </c>
      <c r="I254" s="1">
        <f>'Paste cell here'!N254</f>
        <v>0</v>
      </c>
      <c r="J254" s="1">
        <f>'Paste cell here'!O254</f>
        <v>0</v>
      </c>
      <c r="K254" s="1">
        <f>'Paste cell here'!Q254</f>
        <v>2.2767895525806341</v>
      </c>
      <c r="L254" s="1">
        <f>'Paste cell here'!S254</f>
        <v>0</v>
      </c>
      <c r="M254" s="1">
        <f>'Paste cell here'!T254</f>
        <v>3.2987898078357206E-5</v>
      </c>
      <c r="N254" s="1">
        <f>'Paste cell here'!W254</f>
        <v>0</v>
      </c>
      <c r="O254" s="1">
        <f>'Paste cell here'!U254</f>
        <v>11.073841450975051</v>
      </c>
      <c r="P254" s="1">
        <f t="shared" si="18"/>
        <v>13.350663991453763</v>
      </c>
      <c r="Q254" s="1">
        <f>'Paste cell here'!V254</f>
        <v>0</v>
      </c>
      <c r="R254" s="1">
        <f t="shared" si="19"/>
        <v>1.7763568394002505E-15</v>
      </c>
      <c r="S254" s="7">
        <f>Sintesi!$C$30</f>
        <v>0.107</v>
      </c>
      <c r="T254" s="7">
        <f>Sintesi!$C$29</f>
        <v>0.23300000000000001</v>
      </c>
      <c r="U254" s="5">
        <f>O254/(Sintesi!$C$5*1000)</f>
        <v>0.11073841450975051</v>
      </c>
      <c r="V254" s="1">
        <f t="shared" si="15"/>
        <v>0.126</v>
      </c>
      <c r="W254" s="1">
        <v>0.55037764783467402</v>
      </c>
      <c r="X254" s="1">
        <f t="shared" si="16"/>
        <v>6.9347583627168932E-2</v>
      </c>
      <c r="Y254" s="1">
        <f t="shared" si="17"/>
        <v>0.16365241637283107</v>
      </c>
      <c r="Z254" s="1">
        <f>'Paste cellinfo here'!$B$11</f>
        <v>0.52400000000000002</v>
      </c>
    </row>
    <row r="255" spans="1:26">
      <c r="A255" s="1">
        <v>254</v>
      </c>
      <c r="B255" s="2">
        <f>DATE(Sintesi!$C$4-1,12,31)+A255</f>
        <v>44450</v>
      </c>
      <c r="C255" s="1">
        <f>'Paste cell here'!B255</f>
        <v>0</v>
      </c>
      <c r="D255" s="1">
        <f>'Paste cell here'!I255</f>
        <v>0</v>
      </c>
      <c r="E255" s="1">
        <f>'Paste cell here'!J255</f>
        <v>0</v>
      </c>
      <c r="F255" s="1">
        <f>'Paste cell here'!K255</f>
        <v>0</v>
      </c>
      <c r="G255" s="1">
        <f>'Paste cell here'!L255</f>
        <v>0</v>
      </c>
      <c r="H255" s="1">
        <f>'Paste cell here'!M255</f>
        <v>0</v>
      </c>
      <c r="I255" s="1">
        <f>'Paste cell here'!N255</f>
        <v>0</v>
      </c>
      <c r="J255" s="1">
        <f>'Paste cell here'!O255</f>
        <v>0</v>
      </c>
      <c r="K255" s="1">
        <f>'Paste cell here'!Q255</f>
        <v>1.8482575078499781</v>
      </c>
      <c r="L255" s="1">
        <f>'Paste cell here'!S255</f>
        <v>0</v>
      </c>
      <c r="M255" s="1">
        <f>'Paste cell here'!T255</f>
        <v>6.075535060484304E-7</v>
      </c>
      <c r="N255" s="1">
        <f>'Paste cell here'!W255</f>
        <v>0</v>
      </c>
      <c r="O255" s="1">
        <f>'Paste cell here'!U255</f>
        <v>9.225583335571562</v>
      </c>
      <c r="P255" s="1">
        <f t="shared" si="18"/>
        <v>11.073841450975051</v>
      </c>
      <c r="Q255" s="1">
        <f>'Paste cell here'!V255</f>
        <v>0</v>
      </c>
      <c r="R255" s="1">
        <f t="shared" si="19"/>
        <v>5.3290705182007514E-15</v>
      </c>
      <c r="S255" s="7">
        <f>Sintesi!$C$30</f>
        <v>0.107</v>
      </c>
      <c r="T255" s="7">
        <f>Sintesi!$C$29</f>
        <v>0.23300000000000001</v>
      </c>
      <c r="U255" s="5">
        <f>O255/(Sintesi!$C$5*1000)</f>
        <v>9.2255833355715619E-2</v>
      </c>
      <c r="V255" s="1">
        <f t="shared" si="15"/>
        <v>0.126</v>
      </c>
      <c r="W255" s="1">
        <v>0.56274163163174395</v>
      </c>
      <c r="X255" s="1">
        <f t="shared" si="16"/>
        <v>7.0905445585599733E-2</v>
      </c>
      <c r="Y255" s="1">
        <f t="shared" si="17"/>
        <v>0.16209455441440029</v>
      </c>
      <c r="Z255" s="1">
        <f>'Paste cellinfo here'!$B$11</f>
        <v>0.52400000000000002</v>
      </c>
    </row>
    <row r="256" spans="1:26">
      <c r="A256" s="1">
        <v>255</v>
      </c>
      <c r="B256" s="2">
        <f>DATE(Sintesi!$C$4-1,12,31)+A256</f>
        <v>44451</v>
      </c>
      <c r="C256" s="1">
        <f>'Paste cell here'!B256</f>
        <v>0</v>
      </c>
      <c r="D256" s="1">
        <f>'Paste cell here'!I256</f>
        <v>0</v>
      </c>
      <c r="E256" s="1">
        <f>'Paste cell here'!J256</f>
        <v>0</v>
      </c>
      <c r="F256" s="1">
        <f>'Paste cell here'!K256</f>
        <v>0</v>
      </c>
      <c r="G256" s="1">
        <f>'Paste cell here'!L256</f>
        <v>0</v>
      </c>
      <c r="H256" s="1">
        <f>'Paste cell here'!M256</f>
        <v>0</v>
      </c>
      <c r="I256" s="1">
        <f>'Paste cell here'!N256</f>
        <v>0</v>
      </c>
      <c r="J256" s="1">
        <f>'Paste cell here'!O256</f>
        <v>0</v>
      </c>
      <c r="K256" s="1">
        <f>'Paste cell here'!Q256</f>
        <v>1.2730439495155024</v>
      </c>
      <c r="L256" s="1">
        <f>'Paste cell here'!S256</f>
        <v>0</v>
      </c>
      <c r="M256" s="1">
        <f>'Paste cell here'!T256</f>
        <v>3.8820741713835445E-9</v>
      </c>
      <c r="N256" s="1">
        <f>'Paste cell here'!W256</f>
        <v>0</v>
      </c>
      <c r="O256" s="1">
        <f>'Paste cell here'!U256</f>
        <v>7.9525393821739874</v>
      </c>
      <c r="P256" s="1">
        <f t="shared" si="18"/>
        <v>9.225583335571562</v>
      </c>
      <c r="Q256" s="1">
        <f>'Paste cell here'!V256</f>
        <v>0</v>
      </c>
      <c r="R256" s="1">
        <f t="shared" si="19"/>
        <v>1.7763568394002505E-15</v>
      </c>
      <c r="S256" s="7">
        <f>Sintesi!$C$30</f>
        <v>0.107</v>
      </c>
      <c r="T256" s="7">
        <f>Sintesi!$C$29</f>
        <v>0.23300000000000001</v>
      </c>
      <c r="U256" s="5">
        <f>O256/(Sintesi!$C$5*1000)</f>
        <v>7.952539382173987E-2</v>
      </c>
      <c r="V256" s="1">
        <f t="shared" si="15"/>
        <v>0.126</v>
      </c>
      <c r="W256" s="1">
        <v>0.55551507319272797</v>
      </c>
      <c r="X256" s="1">
        <f t="shared" si="16"/>
        <v>6.9994899222283719E-2</v>
      </c>
      <c r="Y256" s="1">
        <f t="shared" si="17"/>
        <v>0.16300510077771629</v>
      </c>
      <c r="Z256" s="1">
        <f>'Paste cellinfo here'!$B$11</f>
        <v>0.52400000000000002</v>
      </c>
    </row>
    <row r="257" spans="1:26">
      <c r="A257" s="1">
        <v>256</v>
      </c>
      <c r="B257" s="2">
        <f>DATE(Sintesi!$C$4-1,12,31)+A257</f>
        <v>44452</v>
      </c>
      <c r="C257" s="1">
        <f>'Paste cell here'!B257</f>
        <v>0</v>
      </c>
      <c r="D257" s="1">
        <f>'Paste cell here'!I257</f>
        <v>0</v>
      </c>
      <c r="E257" s="1">
        <f>'Paste cell here'!J257</f>
        <v>0</v>
      </c>
      <c r="F257" s="1">
        <f>'Paste cell here'!K257</f>
        <v>0</v>
      </c>
      <c r="G257" s="1">
        <f>'Paste cell here'!L257</f>
        <v>0</v>
      </c>
      <c r="H257" s="1">
        <f>'Paste cell here'!M257</f>
        <v>0</v>
      </c>
      <c r="I257" s="1">
        <f>'Paste cell here'!N257</f>
        <v>0</v>
      </c>
      <c r="J257" s="1">
        <f>'Paste cell here'!O257</f>
        <v>0</v>
      </c>
      <c r="K257" s="1">
        <f>'Paste cell here'!Q257</f>
        <v>0.84785331489235038</v>
      </c>
      <c r="L257" s="1">
        <f>'Paste cell here'!S257</f>
        <v>0</v>
      </c>
      <c r="M257" s="1">
        <f>'Paste cell here'!T257</f>
        <v>7.7167291640715045E-12</v>
      </c>
      <c r="N257" s="1">
        <f>'Paste cell here'!W257</f>
        <v>0</v>
      </c>
      <c r="O257" s="1">
        <f>'Paste cell here'!U257</f>
        <v>7.1046860672739216</v>
      </c>
      <c r="P257" s="1">
        <f t="shared" si="18"/>
        <v>7.9525393821739874</v>
      </c>
      <c r="Q257" s="1">
        <f>'Paste cell here'!V257</f>
        <v>0</v>
      </c>
      <c r="R257" s="1">
        <f t="shared" si="19"/>
        <v>8.8817841970012523E-16</v>
      </c>
      <c r="S257" s="7">
        <f>Sintesi!$C$30</f>
        <v>0.107</v>
      </c>
      <c r="T257" s="7">
        <f>Sintesi!$C$29</f>
        <v>0.23300000000000001</v>
      </c>
      <c r="U257" s="5">
        <f>O257/(Sintesi!$C$5*1000)</f>
        <v>7.1046860672739215E-2</v>
      </c>
      <c r="V257" s="1">
        <f t="shared" si="15"/>
        <v>0.126</v>
      </c>
      <c r="W257" s="1">
        <v>0.551049676833679</v>
      </c>
      <c r="X257" s="1">
        <f t="shared" si="16"/>
        <v>6.943225928104356E-2</v>
      </c>
      <c r="Y257" s="1">
        <f t="shared" si="17"/>
        <v>0.16356774071895647</v>
      </c>
      <c r="Z257" s="1">
        <f>'Paste cellinfo here'!$B$11</f>
        <v>0.52400000000000002</v>
      </c>
    </row>
    <row r="258" spans="1:26">
      <c r="A258" s="1">
        <v>257</v>
      </c>
      <c r="B258" s="2">
        <f>DATE(Sintesi!$C$4-1,12,31)+A258</f>
        <v>44453</v>
      </c>
      <c r="C258" s="1">
        <f>'Paste cell here'!B258</f>
        <v>0</v>
      </c>
      <c r="D258" s="1">
        <f>'Paste cell here'!I258</f>
        <v>0</v>
      </c>
      <c r="E258" s="1">
        <f>'Paste cell here'!J258</f>
        <v>0</v>
      </c>
      <c r="F258" s="1">
        <f>'Paste cell here'!K258</f>
        <v>0</v>
      </c>
      <c r="G258" s="1">
        <f>'Paste cell here'!L258</f>
        <v>0</v>
      </c>
      <c r="H258" s="1">
        <f>'Paste cell here'!M258</f>
        <v>0</v>
      </c>
      <c r="I258" s="1">
        <f>'Paste cell here'!N258</f>
        <v>0</v>
      </c>
      <c r="J258" s="1">
        <f>'Paste cell here'!O258</f>
        <v>0</v>
      </c>
      <c r="K258" s="1">
        <f>'Paste cell here'!Q258</f>
        <v>0.4347736364011347</v>
      </c>
      <c r="L258" s="1">
        <f>'Paste cell here'!S258</f>
        <v>0</v>
      </c>
      <c r="M258" s="1">
        <f>'Paste cell here'!T258</f>
        <v>8.4203966166636644E-16</v>
      </c>
      <c r="N258" s="1">
        <f>'Paste cell here'!W258</f>
        <v>0</v>
      </c>
      <c r="O258" s="1">
        <f>'Paste cell here'!U258</f>
        <v>6.6699124308727882</v>
      </c>
      <c r="P258" s="1">
        <f t="shared" si="18"/>
        <v>7.1046860672739216</v>
      </c>
      <c r="Q258" s="1">
        <f>'Paste cell here'!V258</f>
        <v>0</v>
      </c>
      <c r="R258" s="1">
        <f t="shared" si="19"/>
        <v>1.7763568394002505E-15</v>
      </c>
      <c r="S258" s="7">
        <f>Sintesi!$C$30</f>
        <v>0.107</v>
      </c>
      <c r="T258" s="7">
        <f>Sintesi!$C$29</f>
        <v>0.23300000000000001</v>
      </c>
      <c r="U258" s="5">
        <f>O258/(Sintesi!$C$5*1000)</f>
        <v>6.6699124308727875E-2</v>
      </c>
      <c r="V258" s="1">
        <f t="shared" ref="V258:V321" si="20">T258-S258</f>
        <v>0.126</v>
      </c>
      <c r="W258" s="1">
        <v>0.54259740441127402</v>
      </c>
      <c r="X258" s="1">
        <f t="shared" ref="X258:X321" si="21">W258*V258</f>
        <v>6.8367272955820527E-2</v>
      </c>
      <c r="Y258" s="1">
        <f t="shared" ref="Y258:Y321" si="22">T258-X258</f>
        <v>0.16463272704417947</v>
      </c>
      <c r="Z258" s="1">
        <f>'Paste cellinfo here'!$B$11</f>
        <v>0.52400000000000002</v>
      </c>
    </row>
    <row r="259" spans="1:26">
      <c r="A259" s="1">
        <v>258</v>
      </c>
      <c r="B259" s="2">
        <f>DATE(Sintesi!$C$4-1,12,31)+A259</f>
        <v>44454</v>
      </c>
      <c r="C259" s="1">
        <f>'Paste cell here'!B259</f>
        <v>0</v>
      </c>
      <c r="D259" s="1">
        <f>'Paste cell here'!I259</f>
        <v>0</v>
      </c>
      <c r="E259" s="1">
        <f>'Paste cell here'!J259</f>
        <v>0</v>
      </c>
      <c r="F259" s="1">
        <f>'Paste cell here'!K259</f>
        <v>0</v>
      </c>
      <c r="G259" s="1">
        <f>'Paste cell here'!L259</f>
        <v>0</v>
      </c>
      <c r="H259" s="1">
        <f>'Paste cell here'!M259</f>
        <v>0</v>
      </c>
      <c r="I259" s="1">
        <f>'Paste cell here'!N259</f>
        <v>0</v>
      </c>
      <c r="J259" s="1">
        <f>'Paste cell here'!O259</f>
        <v>0</v>
      </c>
      <c r="K259" s="1">
        <f>'Paste cell here'!Q259</f>
        <v>0.3188429051388964</v>
      </c>
      <c r="L259" s="1">
        <f>'Paste cell here'!S259</f>
        <v>0</v>
      </c>
      <c r="M259" s="1">
        <f>'Paste cell here'!T259</f>
        <v>9.7371598032198031E-24</v>
      </c>
      <c r="N259" s="1">
        <f>'Paste cell here'!W259</f>
        <v>0</v>
      </c>
      <c r="O259" s="1">
        <f>'Paste cell here'!U259</f>
        <v>6.3510695257338909</v>
      </c>
      <c r="P259" s="1">
        <f t="shared" ref="P259:P322" si="23">O258</f>
        <v>6.6699124308727882</v>
      </c>
      <c r="Q259" s="1">
        <f>'Paste cell here'!V259</f>
        <v>0</v>
      </c>
      <c r="R259" s="1">
        <f t="shared" ref="R259:R322" si="24">ABS(O258+C259+D259+N259+Q258-H259-I259-K259-L259-M259-O259-Q259)</f>
        <v>8.8817841970012523E-16</v>
      </c>
      <c r="S259" s="7">
        <f>Sintesi!$C$30</f>
        <v>0.107</v>
      </c>
      <c r="T259" s="7">
        <f>Sintesi!$C$29</f>
        <v>0.23300000000000001</v>
      </c>
      <c r="U259" s="5">
        <f>O259/(Sintesi!$C$5*1000)</f>
        <v>6.3510695257338906E-2</v>
      </c>
      <c r="V259" s="1">
        <f t="shared" si="20"/>
        <v>0.126</v>
      </c>
      <c r="W259" s="1">
        <v>0.54904740486210302</v>
      </c>
      <c r="X259" s="1">
        <f t="shared" si="21"/>
        <v>6.9179973012624976E-2</v>
      </c>
      <c r="Y259" s="1">
        <f t="shared" si="22"/>
        <v>0.16382002698737502</v>
      </c>
      <c r="Z259" s="1">
        <f>'Paste cellinfo here'!$B$11</f>
        <v>0.52400000000000002</v>
      </c>
    </row>
    <row r="260" spans="1:26">
      <c r="A260" s="1">
        <v>259</v>
      </c>
      <c r="B260" s="2">
        <f>DATE(Sintesi!$C$4-1,12,31)+A260</f>
        <v>44455</v>
      </c>
      <c r="C260" s="1">
        <f>'Paste cell here'!B260</f>
        <v>52.359999999999332</v>
      </c>
      <c r="D260" s="1">
        <f>'Paste cell here'!I260</f>
        <v>0</v>
      </c>
      <c r="E260" s="1">
        <f>'Paste cell here'!J260</f>
        <v>52.359999999999332</v>
      </c>
      <c r="F260" s="1">
        <f>'Paste cell here'!K260</f>
        <v>52.359999999999332</v>
      </c>
      <c r="G260" s="1">
        <f>'Paste cell here'!L260</f>
        <v>38.664964356051073</v>
      </c>
      <c r="H260" s="1">
        <f>'Paste cell here'!M260</f>
        <v>0</v>
      </c>
      <c r="I260" s="1">
        <f>'Paste cell here'!N260</f>
        <v>13.695035643948263</v>
      </c>
      <c r="J260" s="1">
        <f>'Paste cell here'!O260</f>
        <v>38.664965508356822</v>
      </c>
      <c r="K260" s="1">
        <f>'Paste cell here'!Q260</f>
        <v>2.4789104975770293</v>
      </c>
      <c r="L260" s="1">
        <f>'Paste cell here'!S260</f>
        <v>0</v>
      </c>
      <c r="M260" s="1">
        <f>'Paste cell here'!T260</f>
        <v>5.0830568854680944</v>
      </c>
      <c r="N260" s="1">
        <f>'Paste cell here'!W260</f>
        <v>0</v>
      </c>
      <c r="O260" s="1">
        <f>'Paste cell here'!U260</f>
        <v>37.45406765104557</v>
      </c>
      <c r="P260" s="1">
        <f t="shared" si="23"/>
        <v>6.3510695257338909</v>
      </c>
      <c r="Q260" s="1">
        <f>'Paste cell here'!V260</f>
        <v>0</v>
      </c>
      <c r="R260" s="1">
        <f t="shared" si="24"/>
        <v>1.1523057352746946E-6</v>
      </c>
      <c r="S260" s="7">
        <f>Sintesi!$C$30</f>
        <v>0.107</v>
      </c>
      <c r="T260" s="7">
        <f>Sintesi!$C$29</f>
        <v>0.23300000000000001</v>
      </c>
      <c r="U260" s="5">
        <f>O260/(Sintesi!$C$5*1000)</f>
        <v>0.37454067651045569</v>
      </c>
      <c r="V260" s="1">
        <f t="shared" si="20"/>
        <v>0.126</v>
      </c>
      <c r="W260" s="1">
        <v>0.56351167686995096</v>
      </c>
      <c r="X260" s="1">
        <f t="shared" si="21"/>
        <v>7.1002471285613822E-2</v>
      </c>
      <c r="Y260" s="1">
        <f t="shared" si="22"/>
        <v>0.16199752871438619</v>
      </c>
      <c r="Z260" s="1">
        <f>'Paste cellinfo here'!$B$11</f>
        <v>0.52400000000000002</v>
      </c>
    </row>
    <row r="261" spans="1:26">
      <c r="A261" s="1">
        <v>260</v>
      </c>
      <c r="B261" s="2">
        <f>DATE(Sintesi!$C$4-1,12,31)+A261</f>
        <v>44456</v>
      </c>
      <c r="C261" s="1">
        <f>'Paste cell here'!B261</f>
        <v>7.9999999999999724E-2</v>
      </c>
      <c r="D261" s="1">
        <f>'Paste cell here'!I261</f>
        <v>0</v>
      </c>
      <c r="E261" s="1">
        <f>'Paste cell here'!J261</f>
        <v>7.9999999999999724E-2</v>
      </c>
      <c r="F261" s="1">
        <f>'Paste cell here'!K261</f>
        <v>7.9999999999999724E-2</v>
      </c>
      <c r="G261" s="1">
        <f>'Paste cell here'!L261</f>
        <v>7.9999999999999724E-2</v>
      </c>
      <c r="H261" s="1">
        <f>'Paste cell here'!M261</f>
        <v>0</v>
      </c>
      <c r="I261" s="1">
        <f>'Paste cell here'!N261</f>
        <v>0</v>
      </c>
      <c r="J261" s="1">
        <f>'Paste cell here'!O261</f>
        <v>8.000000238418549E-2</v>
      </c>
      <c r="K261" s="1">
        <f>'Paste cell here'!Q261</f>
        <v>3.4005712072227348</v>
      </c>
      <c r="L261" s="1">
        <f>'Paste cell here'!S261</f>
        <v>0</v>
      </c>
      <c r="M261" s="1">
        <f>'Paste cell here'!T261</f>
        <v>5.9531344147676091</v>
      </c>
      <c r="N261" s="1">
        <f>'Paste cell here'!W261</f>
        <v>0</v>
      </c>
      <c r="O261" s="1">
        <f>'Paste cell here'!U261</f>
        <v>28.180362031439405</v>
      </c>
      <c r="P261" s="1">
        <f t="shared" si="23"/>
        <v>37.45406765104557</v>
      </c>
      <c r="Q261" s="1">
        <f>'Paste cell here'!V261</f>
        <v>0</v>
      </c>
      <c r="R261" s="1">
        <f t="shared" si="24"/>
        <v>2.3841799645651918E-9</v>
      </c>
      <c r="S261" s="7">
        <f>Sintesi!$C$30</f>
        <v>0.107</v>
      </c>
      <c r="T261" s="7">
        <f>Sintesi!$C$29</f>
        <v>0.23300000000000001</v>
      </c>
      <c r="U261" s="5">
        <f>O261/(Sintesi!$C$5*1000)</f>
        <v>0.28180362031439404</v>
      </c>
      <c r="V261" s="1">
        <f t="shared" si="20"/>
        <v>0.126</v>
      </c>
      <c r="W261" s="1">
        <v>0.55413337156108</v>
      </c>
      <c r="X261" s="1">
        <f t="shared" si="21"/>
        <v>6.9820804816696086E-2</v>
      </c>
      <c r="Y261" s="1">
        <f t="shared" si="22"/>
        <v>0.16317919518330393</v>
      </c>
      <c r="Z261" s="1">
        <f>'Paste cellinfo here'!$B$11</f>
        <v>0.52400000000000002</v>
      </c>
    </row>
    <row r="262" spans="1:26">
      <c r="A262" s="1">
        <v>261</v>
      </c>
      <c r="B262" s="2">
        <f>DATE(Sintesi!$C$4-1,12,31)+A262</f>
        <v>44457</v>
      </c>
      <c r="C262" s="1">
        <f>'Paste cell here'!B262</f>
        <v>0.959999999999954</v>
      </c>
      <c r="D262" s="1">
        <f>'Paste cell here'!I262</f>
        <v>0</v>
      </c>
      <c r="E262" s="1">
        <f>'Paste cell here'!J262</f>
        <v>0.959999999999954</v>
      </c>
      <c r="F262" s="1">
        <f>'Paste cell here'!K262</f>
        <v>0.959999999999954</v>
      </c>
      <c r="G262" s="1">
        <f>'Paste cell here'!L262</f>
        <v>0.959999999999954</v>
      </c>
      <c r="H262" s="1">
        <f>'Paste cell here'!M262</f>
        <v>0</v>
      </c>
      <c r="I262" s="1">
        <f>'Paste cell here'!N262</f>
        <v>0</v>
      </c>
      <c r="J262" s="1">
        <f>'Paste cell here'!O262</f>
        <v>0.96000002861018385</v>
      </c>
      <c r="K262" s="1">
        <f>'Paste cell here'!Q262</f>
        <v>3.4198611582123895</v>
      </c>
      <c r="L262" s="1">
        <f>'Paste cell here'!S262</f>
        <v>0</v>
      </c>
      <c r="M262" s="1">
        <f>'Paste cell here'!T262</f>
        <v>0.61248695510338647</v>
      </c>
      <c r="N262" s="1">
        <f>'Paste cell here'!W262</f>
        <v>0</v>
      </c>
      <c r="O262" s="1">
        <f>'Paste cell here'!U262</f>
        <v>25.108013946733799</v>
      </c>
      <c r="P262" s="1">
        <f t="shared" si="23"/>
        <v>28.180362031439405</v>
      </c>
      <c r="Q262" s="1">
        <f>'Paste cell here'!V262</f>
        <v>0</v>
      </c>
      <c r="R262" s="1">
        <f t="shared" si="24"/>
        <v>2.8610212865487483E-8</v>
      </c>
      <c r="S262" s="7">
        <f>Sintesi!$C$30</f>
        <v>0.107</v>
      </c>
      <c r="T262" s="7">
        <f>Sintesi!$C$29</f>
        <v>0.23300000000000001</v>
      </c>
      <c r="U262" s="5">
        <f>O262/(Sintesi!$C$5*1000)</f>
        <v>0.25108013946733798</v>
      </c>
      <c r="V262" s="1">
        <f t="shared" si="20"/>
        <v>0.126</v>
      </c>
      <c r="W262" s="1">
        <v>0.55009054030992299</v>
      </c>
      <c r="X262" s="1">
        <f t="shared" si="21"/>
        <v>6.9311408079050299E-2</v>
      </c>
      <c r="Y262" s="1">
        <f t="shared" si="22"/>
        <v>0.1636885919209497</v>
      </c>
      <c r="Z262" s="1">
        <f>'Paste cellinfo here'!$B$11</f>
        <v>0.52400000000000002</v>
      </c>
    </row>
    <row r="263" spans="1:26">
      <c r="A263" s="1">
        <v>262</v>
      </c>
      <c r="B263" s="2">
        <f>DATE(Sintesi!$C$4-1,12,31)+A263</f>
        <v>44458</v>
      </c>
      <c r="C263" s="1">
        <f>'Paste cell here'!B263</f>
        <v>9.9599999999998872</v>
      </c>
      <c r="D263" s="1">
        <f>'Paste cell here'!I263</f>
        <v>0</v>
      </c>
      <c r="E263" s="1">
        <f>'Paste cell here'!J263</f>
        <v>9.9599999999998872</v>
      </c>
      <c r="F263" s="1">
        <f>'Paste cell here'!K263</f>
        <v>9.9599999999998872</v>
      </c>
      <c r="G263" s="1">
        <f>'Paste cell here'!L263</f>
        <v>7.735415221310971</v>
      </c>
      <c r="H263" s="1">
        <f>'Paste cell here'!M263</f>
        <v>0</v>
      </c>
      <c r="I263" s="1">
        <f>'Paste cell here'!N263</f>
        <v>2.2245847786889157</v>
      </c>
      <c r="J263" s="1">
        <f>'Paste cell here'!O263</f>
        <v>7.7354154518443128</v>
      </c>
      <c r="K263" s="1">
        <f>'Paste cell here'!Q263</f>
        <v>2.8967391027395628</v>
      </c>
      <c r="L263" s="1">
        <f>'Paste cell here'!S263</f>
        <v>0</v>
      </c>
      <c r="M263" s="1">
        <f>'Paste cell here'!T263</f>
        <v>0.72094103489265904</v>
      </c>
      <c r="N263" s="1">
        <f>'Paste cell here'!W263</f>
        <v>0</v>
      </c>
      <c r="O263" s="1">
        <f>'Paste cell here'!U263</f>
        <v>29.225749260945889</v>
      </c>
      <c r="P263" s="1">
        <f t="shared" si="23"/>
        <v>25.108013946733799</v>
      </c>
      <c r="Q263" s="1">
        <f>'Paste cell here'!V263</f>
        <v>0</v>
      </c>
      <c r="R263" s="1">
        <f t="shared" si="24"/>
        <v>2.3053333819689215E-7</v>
      </c>
      <c r="S263" s="7">
        <f>Sintesi!$C$30</f>
        <v>0.107</v>
      </c>
      <c r="T263" s="7">
        <f>Sintesi!$C$29</f>
        <v>0.23300000000000001</v>
      </c>
      <c r="U263" s="5">
        <f>O263/(Sintesi!$C$5*1000)</f>
        <v>0.29225749260945888</v>
      </c>
      <c r="V263" s="1">
        <f t="shared" si="20"/>
        <v>0.126</v>
      </c>
      <c r="W263" s="1">
        <v>0.64190166004143501</v>
      </c>
      <c r="X263" s="1">
        <f t="shared" si="21"/>
        <v>8.0879609165220814E-2</v>
      </c>
      <c r="Y263" s="1">
        <f t="shared" si="22"/>
        <v>0.15212039083477918</v>
      </c>
      <c r="Z263" s="1">
        <f>'Paste cellinfo here'!$B$11</f>
        <v>0.52400000000000002</v>
      </c>
    </row>
    <row r="264" spans="1:26">
      <c r="A264" s="1">
        <v>263</v>
      </c>
      <c r="B264" s="2">
        <f>DATE(Sintesi!$C$4-1,12,31)+A264</f>
        <v>44459</v>
      </c>
      <c r="C264" s="1">
        <f>'Paste cell here'!B264</f>
        <v>10.359999999999808</v>
      </c>
      <c r="D264" s="1">
        <f>'Paste cell here'!I264</f>
        <v>0</v>
      </c>
      <c r="E264" s="1">
        <f>'Paste cell here'!J264</f>
        <v>10.359999999999808</v>
      </c>
      <c r="F264" s="1">
        <f>'Paste cell here'!K264</f>
        <v>10.359999999999808</v>
      </c>
      <c r="G264" s="1">
        <f>'Paste cell here'!L264</f>
        <v>7.8878754518523078</v>
      </c>
      <c r="H264" s="1">
        <f>'Paste cell here'!M264</f>
        <v>0</v>
      </c>
      <c r="I264" s="1">
        <f>'Paste cell here'!N264</f>
        <v>2.4721245481474994</v>
      </c>
      <c r="J264" s="1">
        <f>'Paste cell here'!O264</f>
        <v>7.8878756869293181</v>
      </c>
      <c r="K264" s="1">
        <f>'Paste cell here'!Q264</f>
        <v>3.1487745042392254</v>
      </c>
      <c r="L264" s="1">
        <f>'Paste cell here'!S264</f>
        <v>0</v>
      </c>
      <c r="M264" s="1">
        <f>'Paste cell here'!T264</f>
        <v>2.4394203213157772</v>
      </c>
      <c r="N264" s="1">
        <f>'Paste cell here'!W264</f>
        <v>0</v>
      </c>
      <c r="O264" s="1">
        <f>'Paste cell here'!U264</f>
        <v>31.525430122320202</v>
      </c>
      <c r="P264" s="1">
        <f t="shared" si="23"/>
        <v>29.225749260945889</v>
      </c>
      <c r="Q264" s="1">
        <f>'Paste cell here'!V264</f>
        <v>0</v>
      </c>
      <c r="R264" s="1">
        <f t="shared" si="24"/>
        <v>2.3507700674940679E-7</v>
      </c>
      <c r="S264" s="7">
        <f>Sintesi!$C$30</f>
        <v>0.107</v>
      </c>
      <c r="T264" s="7">
        <f>Sintesi!$C$29</f>
        <v>0.23300000000000001</v>
      </c>
      <c r="U264" s="5">
        <f>O264/(Sintesi!$C$5*1000)</f>
        <v>0.31525430122320203</v>
      </c>
      <c r="V264" s="1">
        <f t="shared" si="20"/>
        <v>0.126</v>
      </c>
      <c r="W264" s="1">
        <v>0.57013023812944197</v>
      </c>
      <c r="X264" s="1">
        <f t="shared" si="21"/>
        <v>7.1836410004309695E-2</v>
      </c>
      <c r="Y264" s="1">
        <f t="shared" si="22"/>
        <v>0.1611635899956903</v>
      </c>
      <c r="Z264" s="1">
        <f>'Paste cellinfo here'!$B$11</f>
        <v>0.52400000000000002</v>
      </c>
    </row>
    <row r="265" spans="1:26">
      <c r="A265" s="1">
        <v>264</v>
      </c>
      <c r="B265" s="2">
        <f>DATE(Sintesi!$C$4-1,12,31)+A265</f>
        <v>44460</v>
      </c>
      <c r="C265" s="1">
        <f>'Paste cell here'!B265</f>
        <v>0.15999999999999945</v>
      </c>
      <c r="D265" s="1">
        <f>'Paste cell here'!I265</f>
        <v>0</v>
      </c>
      <c r="E265" s="1">
        <f>'Paste cell here'!J265</f>
        <v>0.15999999999999945</v>
      </c>
      <c r="F265" s="1">
        <f>'Paste cell here'!K265</f>
        <v>0.15999999999999945</v>
      </c>
      <c r="G265" s="1">
        <f>'Paste cell here'!L265</f>
        <v>0.15999999999999945</v>
      </c>
      <c r="H265" s="1">
        <f>'Paste cell here'!M265</f>
        <v>0</v>
      </c>
      <c r="I265" s="1">
        <f>'Paste cell here'!N265</f>
        <v>0</v>
      </c>
      <c r="J265" s="1">
        <f>'Paste cell here'!O265</f>
        <v>0.16000000476837098</v>
      </c>
      <c r="K265" s="1">
        <f>'Paste cell here'!Q265</f>
        <v>3.0609731859131073</v>
      </c>
      <c r="L265" s="1">
        <f>'Paste cell here'!S265</f>
        <v>0</v>
      </c>
      <c r="M265" s="1">
        <f>'Paste cell here'!T265</f>
        <v>1.610668089340302</v>
      </c>
      <c r="N265" s="1">
        <f>'Paste cell here'!W265</f>
        <v>0</v>
      </c>
      <c r="O265" s="1">
        <f>'Paste cell here'!U265</f>
        <v>27.013788851835166</v>
      </c>
      <c r="P265" s="1">
        <f t="shared" si="23"/>
        <v>31.525430122320202</v>
      </c>
      <c r="Q265" s="1">
        <f>'Paste cell here'!V265</f>
        <v>0</v>
      </c>
      <c r="R265" s="1">
        <f t="shared" si="24"/>
        <v>4.7683705872714199E-9</v>
      </c>
      <c r="S265" s="7">
        <f>Sintesi!$C$30</f>
        <v>0.107</v>
      </c>
      <c r="T265" s="7">
        <f>Sintesi!$C$29</f>
        <v>0.23300000000000001</v>
      </c>
      <c r="U265" s="5">
        <f>O265/(Sintesi!$C$5*1000)</f>
        <v>0.27013788851835163</v>
      </c>
      <c r="V265" s="1">
        <f t="shared" si="20"/>
        <v>0.126</v>
      </c>
      <c r="W265" s="1">
        <v>0.57297393817833098</v>
      </c>
      <c r="X265" s="1">
        <f t="shared" si="21"/>
        <v>7.2194716210469703E-2</v>
      </c>
      <c r="Y265" s="1">
        <f t="shared" si="22"/>
        <v>0.1608052837895303</v>
      </c>
      <c r="Z265" s="1">
        <f>'Paste cellinfo here'!$B$11</f>
        <v>0.52400000000000002</v>
      </c>
    </row>
    <row r="266" spans="1:26">
      <c r="A266" s="1">
        <v>265</v>
      </c>
      <c r="B266" s="2">
        <f>DATE(Sintesi!$C$4-1,12,31)+A266</f>
        <v>44461</v>
      </c>
      <c r="C266" s="1">
        <f>'Paste cell here'!B266</f>
        <v>0</v>
      </c>
      <c r="D266" s="1">
        <f>'Paste cell here'!I266</f>
        <v>0</v>
      </c>
      <c r="E266" s="1">
        <f>'Paste cell here'!J266</f>
        <v>0</v>
      </c>
      <c r="F266" s="1">
        <f>'Paste cell here'!K266</f>
        <v>0</v>
      </c>
      <c r="G266" s="1">
        <f>'Paste cell here'!L266</f>
        <v>0</v>
      </c>
      <c r="H266" s="1">
        <f>'Paste cell here'!M266</f>
        <v>0</v>
      </c>
      <c r="I266" s="1">
        <f>'Paste cell here'!N266</f>
        <v>0</v>
      </c>
      <c r="J266" s="1">
        <f>'Paste cell here'!O266</f>
        <v>0</v>
      </c>
      <c r="K266" s="1">
        <f>'Paste cell here'!Q266</f>
        <v>3.1996929056755219</v>
      </c>
      <c r="L266" s="1">
        <f>'Paste cell here'!S266</f>
        <v>0</v>
      </c>
      <c r="M266" s="1">
        <f>'Paste cell here'!T266</f>
        <v>0.29939649355227904</v>
      </c>
      <c r="N266" s="1">
        <f>'Paste cell here'!W266</f>
        <v>0</v>
      </c>
      <c r="O266" s="1">
        <f>'Paste cell here'!U266</f>
        <v>23.514699452607367</v>
      </c>
      <c r="P266" s="1">
        <f t="shared" si="23"/>
        <v>27.013788851835166</v>
      </c>
      <c r="Q266" s="1">
        <f>'Paste cell here'!V266</f>
        <v>0</v>
      </c>
      <c r="R266" s="1">
        <f t="shared" si="24"/>
        <v>3.5527136788005009E-15</v>
      </c>
      <c r="S266" s="7">
        <f>Sintesi!$C$30</f>
        <v>0.107</v>
      </c>
      <c r="T266" s="7">
        <f>Sintesi!$C$29</f>
        <v>0.23300000000000001</v>
      </c>
      <c r="U266" s="5">
        <f>O266/(Sintesi!$C$5*1000)</f>
        <v>0.23514699452607368</v>
      </c>
      <c r="V266" s="1">
        <f t="shared" si="20"/>
        <v>0.126</v>
      </c>
      <c r="W266" s="1">
        <v>0.57939614949742502</v>
      </c>
      <c r="X266" s="1">
        <f t="shared" si="21"/>
        <v>7.3003914836675551E-2</v>
      </c>
      <c r="Y266" s="1">
        <f t="shared" si="22"/>
        <v>0.15999608516332448</v>
      </c>
      <c r="Z266" s="1">
        <f>'Paste cellinfo here'!$B$11</f>
        <v>0.52400000000000002</v>
      </c>
    </row>
    <row r="267" spans="1:26">
      <c r="A267" s="1">
        <v>266</v>
      </c>
      <c r="B267" s="2">
        <f>DATE(Sintesi!$C$4-1,12,31)+A267</f>
        <v>44462</v>
      </c>
      <c r="C267" s="1">
        <f>'Paste cell here'!B267</f>
        <v>0</v>
      </c>
      <c r="D267" s="1">
        <f>'Paste cell here'!I267</f>
        <v>0</v>
      </c>
      <c r="E267" s="1">
        <f>'Paste cell here'!J267</f>
        <v>0</v>
      </c>
      <c r="F267" s="1">
        <f>'Paste cell here'!K267</f>
        <v>0</v>
      </c>
      <c r="G267" s="1">
        <f>'Paste cell here'!L267</f>
        <v>0</v>
      </c>
      <c r="H267" s="1">
        <f>'Paste cell here'!M267</f>
        <v>0</v>
      </c>
      <c r="I267" s="1">
        <f>'Paste cell here'!N267</f>
        <v>0</v>
      </c>
      <c r="J267" s="1">
        <f>'Paste cell here'!O267</f>
        <v>0</v>
      </c>
      <c r="K267" s="1">
        <f>'Paste cell here'!Q267</f>
        <v>2.9778472482099954</v>
      </c>
      <c r="L267" s="1">
        <f>'Paste cell here'!S267</f>
        <v>0</v>
      </c>
      <c r="M267" s="1">
        <f>'Paste cell here'!T267</f>
        <v>5.4408609029219041E-2</v>
      </c>
      <c r="N267" s="1">
        <f>'Paste cell here'!W267</f>
        <v>0</v>
      </c>
      <c r="O267" s="1">
        <f>'Paste cell here'!U267</f>
        <v>20.482443595368153</v>
      </c>
      <c r="P267" s="1">
        <f t="shared" si="23"/>
        <v>23.514699452607367</v>
      </c>
      <c r="Q267" s="1">
        <f>'Paste cell here'!V267</f>
        <v>0</v>
      </c>
      <c r="R267" s="1">
        <f t="shared" si="24"/>
        <v>3.5527136788005009E-15</v>
      </c>
      <c r="S267" s="7">
        <f>Sintesi!$C$30</f>
        <v>0.107</v>
      </c>
      <c r="T267" s="7">
        <f>Sintesi!$C$29</f>
        <v>0.23300000000000001</v>
      </c>
      <c r="U267" s="5">
        <f>O267/(Sintesi!$C$5*1000)</f>
        <v>0.20482443595368152</v>
      </c>
      <c r="V267" s="1">
        <f t="shared" si="20"/>
        <v>0.126</v>
      </c>
      <c r="W267" s="1">
        <v>0.64531645178753005</v>
      </c>
      <c r="X267" s="1">
        <f t="shared" si="21"/>
        <v>8.1309872925228788E-2</v>
      </c>
      <c r="Y267" s="1">
        <f t="shared" si="22"/>
        <v>0.15169012707477122</v>
      </c>
      <c r="Z267" s="1">
        <f>'Paste cellinfo here'!$B$11</f>
        <v>0.52400000000000002</v>
      </c>
    </row>
    <row r="268" spans="1:26">
      <c r="A268" s="1">
        <v>267</v>
      </c>
      <c r="B268" s="2">
        <f>DATE(Sintesi!$C$4-1,12,31)+A268</f>
        <v>44463</v>
      </c>
      <c r="C268" s="1">
        <f>'Paste cell here'!B268</f>
        <v>3.9999999999997732E-2</v>
      </c>
      <c r="D268" s="1">
        <f>'Paste cell here'!I268</f>
        <v>0</v>
      </c>
      <c r="E268" s="1">
        <f>'Paste cell here'!J268</f>
        <v>3.9999999999997732E-2</v>
      </c>
      <c r="F268" s="1">
        <f>'Paste cell here'!K268</f>
        <v>3.9999999999997732E-2</v>
      </c>
      <c r="G268" s="1">
        <f>'Paste cell here'!L268</f>
        <v>3.9999999999997732E-2</v>
      </c>
      <c r="H268" s="1">
        <f>'Paste cell here'!M268</f>
        <v>0</v>
      </c>
      <c r="I268" s="1">
        <f>'Paste cell here'!N268</f>
        <v>0</v>
      </c>
      <c r="J268" s="1">
        <f>'Paste cell here'!O268</f>
        <v>4.0000001192090635E-2</v>
      </c>
      <c r="K268" s="1">
        <f>'Paste cell here'!Q268</f>
        <v>3.1182355472716097</v>
      </c>
      <c r="L268" s="1">
        <f>'Paste cell here'!S268</f>
        <v>0</v>
      </c>
      <c r="M268" s="1">
        <f>'Paste cell here'!T268</f>
        <v>8.4284678452357358E-3</v>
      </c>
      <c r="N268" s="1">
        <f>'Paste cell here'!W268</f>
        <v>0</v>
      </c>
      <c r="O268" s="1">
        <f>'Paste cell here'!U268</f>
        <v>17.395779581443406</v>
      </c>
      <c r="P268" s="1">
        <f t="shared" si="23"/>
        <v>20.482443595368153</v>
      </c>
      <c r="Q268" s="1">
        <f>'Paste cell here'!V268</f>
        <v>0</v>
      </c>
      <c r="R268" s="1">
        <f t="shared" si="24"/>
        <v>1.1920988640667929E-9</v>
      </c>
      <c r="S268" s="7">
        <f>Sintesi!$C$30</f>
        <v>0.107</v>
      </c>
      <c r="T268" s="7">
        <f>Sintesi!$C$29</f>
        <v>0.23300000000000001</v>
      </c>
      <c r="U268" s="5">
        <f>O268/(Sintesi!$C$5*1000)</f>
        <v>0.17395779581443407</v>
      </c>
      <c r="V268" s="1">
        <f t="shared" si="20"/>
        <v>0.126</v>
      </c>
      <c r="W268" s="1">
        <v>0.65211190114083095</v>
      </c>
      <c r="X268" s="1">
        <f t="shared" si="21"/>
        <v>8.2166099543744694E-2</v>
      </c>
      <c r="Y268" s="1">
        <f t="shared" si="22"/>
        <v>0.15083390045625533</v>
      </c>
      <c r="Z268" s="1">
        <f>'Paste cellinfo here'!$B$11</f>
        <v>0.52400000000000002</v>
      </c>
    </row>
    <row r="269" spans="1:26">
      <c r="A269" s="1">
        <v>268</v>
      </c>
      <c r="B269" s="2">
        <f>DATE(Sintesi!$C$4-1,12,31)+A269</f>
        <v>44464</v>
      </c>
      <c r="C269" s="1">
        <f>'Paste cell here'!B269</f>
        <v>0</v>
      </c>
      <c r="D269" s="1">
        <f>'Paste cell here'!I269</f>
        <v>0</v>
      </c>
      <c r="E269" s="1">
        <f>'Paste cell here'!J269</f>
        <v>0</v>
      </c>
      <c r="F269" s="1">
        <f>'Paste cell here'!K269</f>
        <v>0</v>
      </c>
      <c r="G269" s="1">
        <f>'Paste cell here'!L269</f>
        <v>0</v>
      </c>
      <c r="H269" s="1">
        <f>'Paste cell here'!M269</f>
        <v>0</v>
      </c>
      <c r="I269" s="1">
        <f>'Paste cell here'!N269</f>
        <v>0</v>
      </c>
      <c r="J269" s="1">
        <f>'Paste cell here'!O269</f>
        <v>0</v>
      </c>
      <c r="K269" s="1">
        <f>'Paste cell here'!Q269</f>
        <v>2.0657586689190475</v>
      </c>
      <c r="L269" s="1">
        <f>'Paste cell here'!S269</f>
        <v>0</v>
      </c>
      <c r="M269" s="1">
        <f>'Paste cell here'!T269</f>
        <v>8.9750543719854705E-4</v>
      </c>
      <c r="N269" s="1">
        <f>'Paste cell here'!W269</f>
        <v>0</v>
      </c>
      <c r="O269" s="1">
        <f>'Paste cell here'!U269</f>
        <v>15.329123407087161</v>
      </c>
      <c r="P269" s="1">
        <f t="shared" si="23"/>
        <v>17.395779581443406</v>
      </c>
      <c r="Q269" s="1">
        <f>'Paste cell here'!V269</f>
        <v>0</v>
      </c>
      <c r="R269" s="1">
        <f t="shared" si="24"/>
        <v>0</v>
      </c>
      <c r="S269" s="7">
        <f>Sintesi!$C$30</f>
        <v>0.107</v>
      </c>
      <c r="T269" s="7">
        <f>Sintesi!$C$29</f>
        <v>0.23300000000000001</v>
      </c>
      <c r="U269" s="5">
        <f>O269/(Sintesi!$C$5*1000)</f>
        <v>0.15329123407087161</v>
      </c>
      <c r="V269" s="1">
        <f t="shared" si="20"/>
        <v>0.126</v>
      </c>
      <c r="W269" s="1">
        <v>0.596358739855951</v>
      </c>
      <c r="X269" s="1">
        <f t="shared" si="21"/>
        <v>7.5141201221849821E-2</v>
      </c>
      <c r="Y269" s="1">
        <f t="shared" si="22"/>
        <v>0.15785879877815018</v>
      </c>
      <c r="Z269" s="1">
        <f>'Paste cellinfo here'!$B$11</f>
        <v>0.52400000000000002</v>
      </c>
    </row>
    <row r="270" spans="1:26">
      <c r="A270" s="1">
        <v>269</v>
      </c>
      <c r="B270" s="2">
        <f>DATE(Sintesi!$C$4-1,12,31)+A270</f>
        <v>44465</v>
      </c>
      <c r="C270" s="1">
        <f>'Paste cell here'!B270</f>
        <v>26.079999999999686</v>
      </c>
      <c r="D270" s="1">
        <f>'Paste cell here'!I270</f>
        <v>0</v>
      </c>
      <c r="E270" s="1">
        <f>'Paste cell here'!J270</f>
        <v>26.079999999999686</v>
      </c>
      <c r="F270" s="1">
        <f>'Paste cell here'!K270</f>
        <v>26.079999999999686</v>
      </c>
      <c r="G270" s="1">
        <f>'Paste cell here'!L270</f>
        <v>19.40777309224589</v>
      </c>
      <c r="H270" s="1">
        <f>'Paste cell here'!M270</f>
        <v>0</v>
      </c>
      <c r="I270" s="1">
        <f>'Paste cell here'!N270</f>
        <v>6.672226907753795</v>
      </c>
      <c r="J270" s="1">
        <f>'Paste cell here'!O270</f>
        <v>19.407773670642598</v>
      </c>
      <c r="K270" s="1">
        <f>'Paste cell here'!Q270</f>
        <v>0.98332858230993958</v>
      </c>
      <c r="L270" s="1">
        <f>'Paste cell here'!S270</f>
        <v>0</v>
      </c>
      <c r="M270" s="1">
        <f>'Paste cell here'!T270</f>
        <v>0.84994186236356939</v>
      </c>
      <c r="N270" s="1">
        <f>'Paste cell here'!W270</f>
        <v>0</v>
      </c>
      <c r="O270" s="1">
        <f>'Paste cell here'!U270</f>
        <v>32.903626633056255</v>
      </c>
      <c r="P270" s="1">
        <f t="shared" si="23"/>
        <v>15.329123407087161</v>
      </c>
      <c r="Q270" s="1">
        <f>'Paste cell here'!V270</f>
        <v>0</v>
      </c>
      <c r="R270" s="1">
        <f t="shared" si="24"/>
        <v>5.7839671541159987E-7</v>
      </c>
      <c r="S270" s="7">
        <f>Sintesi!$C$30</f>
        <v>0.107</v>
      </c>
      <c r="T270" s="7">
        <f>Sintesi!$C$29</f>
        <v>0.23300000000000001</v>
      </c>
      <c r="U270" s="5">
        <f>O270/(Sintesi!$C$5*1000)</f>
        <v>0.32903626633056254</v>
      </c>
      <c r="V270" s="1">
        <f t="shared" si="20"/>
        <v>0.126</v>
      </c>
      <c r="W270" s="1">
        <v>0.62865118820506805</v>
      </c>
      <c r="X270" s="1">
        <f t="shared" si="21"/>
        <v>7.9210049713838576E-2</v>
      </c>
      <c r="Y270" s="1">
        <f t="shared" si="22"/>
        <v>0.15378995028616144</v>
      </c>
      <c r="Z270" s="1">
        <f>'Paste cellinfo here'!$B$11</f>
        <v>0.52400000000000002</v>
      </c>
    </row>
    <row r="271" spans="1:26">
      <c r="A271" s="1">
        <v>270</v>
      </c>
      <c r="B271" s="2">
        <f>DATE(Sintesi!$C$4-1,12,31)+A271</f>
        <v>44466</v>
      </c>
      <c r="C271" s="1">
        <f>'Paste cell here'!B271</f>
        <v>0.11999999999999746</v>
      </c>
      <c r="D271" s="1">
        <f>'Paste cell here'!I271</f>
        <v>0</v>
      </c>
      <c r="E271" s="1">
        <f>'Paste cell here'!J271</f>
        <v>0.11999999999999746</v>
      </c>
      <c r="F271" s="1">
        <f>'Paste cell here'!K271</f>
        <v>0.11999999999999746</v>
      </c>
      <c r="G271" s="1">
        <f>'Paste cell here'!L271</f>
        <v>0.11999999999999746</v>
      </c>
      <c r="H271" s="1">
        <f>'Paste cell here'!M271</f>
        <v>0</v>
      </c>
      <c r="I271" s="1">
        <f>'Paste cell here'!N271</f>
        <v>0</v>
      </c>
      <c r="J271" s="1">
        <f>'Paste cell here'!O271</f>
        <v>0.12000000357627612</v>
      </c>
      <c r="K271" s="1">
        <f>'Paste cell here'!Q271</f>
        <v>2.1411778885488135</v>
      </c>
      <c r="L271" s="1">
        <f>'Paste cell here'!S271</f>
        <v>0</v>
      </c>
      <c r="M271" s="1">
        <f>'Paste cell here'!T271</f>
        <v>2.3771708647110654</v>
      </c>
      <c r="N271" s="1">
        <f>'Paste cell here'!W271</f>
        <v>0</v>
      </c>
      <c r="O271" s="1">
        <f>'Paste cell here'!U271</f>
        <v>28.505277883372674</v>
      </c>
      <c r="P271" s="1">
        <f t="shared" si="23"/>
        <v>32.903626633056255</v>
      </c>
      <c r="Q271" s="1">
        <f>'Paste cell here'!V271</f>
        <v>0</v>
      </c>
      <c r="R271" s="1">
        <f t="shared" si="24"/>
        <v>3.5763001449140575E-9</v>
      </c>
      <c r="S271" s="7">
        <f>Sintesi!$C$30</f>
        <v>0.107</v>
      </c>
      <c r="T271" s="7">
        <f>Sintesi!$C$29</f>
        <v>0.23300000000000001</v>
      </c>
      <c r="U271" s="5">
        <f>O271/(Sintesi!$C$5*1000)</f>
        <v>0.28505277883372676</v>
      </c>
      <c r="V271" s="1">
        <f t="shared" si="20"/>
        <v>0.126</v>
      </c>
      <c r="W271" s="1">
        <v>0.60019667387752995</v>
      </c>
      <c r="X271" s="1">
        <f t="shared" si="21"/>
        <v>7.5624780908568778E-2</v>
      </c>
      <c r="Y271" s="1">
        <f t="shared" si="22"/>
        <v>0.15737521909143123</v>
      </c>
      <c r="Z271" s="1">
        <f>'Paste cellinfo here'!$B$11</f>
        <v>0.52400000000000002</v>
      </c>
    </row>
    <row r="272" spans="1:26">
      <c r="A272" s="1">
        <v>271</v>
      </c>
      <c r="B272" s="2">
        <f>DATE(Sintesi!$C$4-1,12,31)+A272</f>
        <v>44467</v>
      </c>
      <c r="C272" s="1">
        <f>'Paste cell here'!B272</f>
        <v>0</v>
      </c>
      <c r="D272" s="1">
        <f>'Paste cell here'!I272</f>
        <v>0</v>
      </c>
      <c r="E272" s="1">
        <f>'Paste cell here'!J272</f>
        <v>0</v>
      </c>
      <c r="F272" s="1">
        <f>'Paste cell here'!K272</f>
        <v>0</v>
      </c>
      <c r="G272" s="1">
        <f>'Paste cell here'!L272</f>
        <v>0</v>
      </c>
      <c r="H272" s="1">
        <f>'Paste cell here'!M272</f>
        <v>0</v>
      </c>
      <c r="I272" s="1">
        <f>'Paste cell here'!N272</f>
        <v>0</v>
      </c>
      <c r="J272" s="1">
        <f>'Paste cell here'!O272</f>
        <v>0</v>
      </c>
      <c r="K272" s="1">
        <f>'Paste cell here'!Q272</f>
        <v>2.8546397182906973</v>
      </c>
      <c r="L272" s="1">
        <f>'Paste cell here'!S272</f>
        <v>0</v>
      </c>
      <c r="M272" s="1">
        <f>'Paste cell here'!T272</f>
        <v>0.54256373762408938</v>
      </c>
      <c r="N272" s="1">
        <f>'Paste cell here'!W272</f>
        <v>0</v>
      </c>
      <c r="O272" s="1">
        <f>'Paste cell here'!U272</f>
        <v>25.108074427457883</v>
      </c>
      <c r="P272" s="1">
        <f t="shared" si="23"/>
        <v>28.505277883372674</v>
      </c>
      <c r="Q272" s="1">
        <f>'Paste cell here'!V272</f>
        <v>0</v>
      </c>
      <c r="R272" s="1">
        <f t="shared" si="24"/>
        <v>3.5527136788005009E-15</v>
      </c>
      <c r="S272" s="7">
        <f>Sintesi!$C$30</f>
        <v>0.107</v>
      </c>
      <c r="T272" s="7">
        <f>Sintesi!$C$29</f>
        <v>0.23300000000000001</v>
      </c>
      <c r="U272" s="5">
        <f>O272/(Sintesi!$C$5*1000)</f>
        <v>0.25108074427457883</v>
      </c>
      <c r="V272" s="1">
        <f t="shared" si="20"/>
        <v>0.126</v>
      </c>
      <c r="W272" s="1">
        <v>0.62269335698132999</v>
      </c>
      <c r="X272" s="1">
        <f t="shared" si="21"/>
        <v>7.8459362979647576E-2</v>
      </c>
      <c r="Y272" s="1">
        <f t="shared" si="22"/>
        <v>0.15454063702035242</v>
      </c>
      <c r="Z272" s="1">
        <f>'Paste cellinfo here'!$B$11</f>
        <v>0.52400000000000002</v>
      </c>
    </row>
    <row r="273" spans="1:26">
      <c r="A273" s="1">
        <v>272</v>
      </c>
      <c r="B273" s="2">
        <f>DATE(Sintesi!$C$4-1,12,31)+A273</f>
        <v>44468</v>
      </c>
      <c r="C273" s="1">
        <f>'Paste cell here'!B273</f>
        <v>0</v>
      </c>
      <c r="D273" s="1">
        <f>'Paste cell here'!I273</f>
        <v>0</v>
      </c>
      <c r="E273" s="1">
        <f>'Paste cell here'!J273</f>
        <v>0</v>
      </c>
      <c r="F273" s="1">
        <f>'Paste cell here'!K273</f>
        <v>0</v>
      </c>
      <c r="G273" s="1">
        <f>'Paste cell here'!L273</f>
        <v>0</v>
      </c>
      <c r="H273" s="1">
        <f>'Paste cell here'!M273</f>
        <v>0</v>
      </c>
      <c r="I273" s="1">
        <f>'Paste cell here'!N273</f>
        <v>0</v>
      </c>
      <c r="J273" s="1">
        <f>'Paste cell here'!O273</f>
        <v>0</v>
      </c>
      <c r="K273" s="1">
        <f>'Paste cell here'!Q273</f>
        <v>3.1392059102226439</v>
      </c>
      <c r="L273" s="1">
        <f>'Paste cell here'!S273</f>
        <v>0</v>
      </c>
      <c r="M273" s="1">
        <f>'Paste cell here'!T273</f>
        <v>0.11714134746310634</v>
      </c>
      <c r="N273" s="1">
        <f>'Paste cell here'!W273</f>
        <v>0</v>
      </c>
      <c r="O273" s="1">
        <f>'Paste cell here'!U273</f>
        <v>21.851727169772126</v>
      </c>
      <c r="P273" s="1">
        <f t="shared" si="23"/>
        <v>25.108074427457883</v>
      </c>
      <c r="Q273" s="1">
        <f>'Paste cell here'!V273</f>
        <v>0</v>
      </c>
      <c r="R273" s="1">
        <f t="shared" si="24"/>
        <v>7.1054273576010019E-15</v>
      </c>
      <c r="S273" s="7">
        <f>Sintesi!$C$30</f>
        <v>0.107</v>
      </c>
      <c r="T273" s="7">
        <f>Sintesi!$C$29</f>
        <v>0.23300000000000001</v>
      </c>
      <c r="U273" s="5">
        <f>O273/(Sintesi!$C$5*1000)</f>
        <v>0.21851727169772125</v>
      </c>
      <c r="V273" s="1">
        <f t="shared" si="20"/>
        <v>0.126</v>
      </c>
      <c r="W273" s="1">
        <v>0.60452048073617604</v>
      </c>
      <c r="X273" s="1">
        <f t="shared" si="21"/>
        <v>7.6169580572758175E-2</v>
      </c>
      <c r="Y273" s="1">
        <f t="shared" si="22"/>
        <v>0.15683041942724185</v>
      </c>
      <c r="Z273" s="1">
        <f>'Paste cellinfo here'!$B$11</f>
        <v>0.52400000000000002</v>
      </c>
    </row>
    <row r="274" spans="1:26">
      <c r="A274" s="1">
        <v>273</v>
      </c>
      <c r="B274" s="2">
        <f>DATE(Sintesi!$C$4-1,12,31)+A274</f>
        <v>44469</v>
      </c>
      <c r="C274" s="1">
        <f>'Paste cell here'!B274</f>
        <v>0</v>
      </c>
      <c r="D274" s="1">
        <f>'Paste cell here'!I274</f>
        <v>0</v>
      </c>
      <c r="E274" s="1">
        <f>'Paste cell here'!J274</f>
        <v>0</v>
      </c>
      <c r="F274" s="1">
        <f>'Paste cell here'!K274</f>
        <v>0</v>
      </c>
      <c r="G274" s="1">
        <f>'Paste cell here'!L274</f>
        <v>0</v>
      </c>
      <c r="H274" s="1">
        <f>'Paste cell here'!M274</f>
        <v>0</v>
      </c>
      <c r="I274" s="1">
        <f>'Paste cell here'!N274</f>
        <v>0</v>
      </c>
      <c r="J274" s="1">
        <f>'Paste cell here'!O274</f>
        <v>0</v>
      </c>
      <c r="K274" s="1">
        <f>'Paste cell here'!Q274</f>
        <v>2.8456073934472328</v>
      </c>
      <c r="L274" s="1">
        <f>'Paste cell here'!S274</f>
        <v>0</v>
      </c>
      <c r="M274" s="1">
        <f>'Paste cell here'!T274</f>
        <v>2.0276997226560366E-2</v>
      </c>
      <c r="N274" s="1">
        <f>'Paste cell here'!W274</f>
        <v>0</v>
      </c>
      <c r="O274" s="1">
        <f>'Paste cell here'!U274</f>
        <v>18.985842779098345</v>
      </c>
      <c r="P274" s="1">
        <f t="shared" si="23"/>
        <v>21.851727169772126</v>
      </c>
      <c r="Q274" s="1">
        <f>'Paste cell here'!V274</f>
        <v>0</v>
      </c>
      <c r="R274" s="1">
        <f t="shared" si="24"/>
        <v>1.0658141036401503E-14</v>
      </c>
      <c r="S274" s="7">
        <f>Sintesi!$C$30</f>
        <v>0.107</v>
      </c>
      <c r="T274" s="7">
        <f>Sintesi!$C$29</f>
        <v>0.23300000000000001</v>
      </c>
      <c r="U274" s="5">
        <f>O274/(Sintesi!$C$5*1000)</f>
        <v>0.18985842779098344</v>
      </c>
      <c r="V274" s="1">
        <f t="shared" si="20"/>
        <v>0.126</v>
      </c>
      <c r="W274" s="1">
        <v>0.60001982369973195</v>
      </c>
      <c r="X274" s="1">
        <f t="shared" si="21"/>
        <v>7.560249778616622E-2</v>
      </c>
      <c r="Y274" s="1">
        <f t="shared" si="22"/>
        <v>0.15739750221383381</v>
      </c>
      <c r="Z274" s="1">
        <f>'Paste cellinfo here'!$B$11</f>
        <v>0.52400000000000002</v>
      </c>
    </row>
    <row r="275" spans="1:26">
      <c r="A275" s="1">
        <v>274</v>
      </c>
      <c r="B275" s="2">
        <f>DATE(Sintesi!$C$4-1,12,31)+A275</f>
        <v>44470</v>
      </c>
      <c r="C275" s="1">
        <f>'Paste cell here'!B275</f>
        <v>0</v>
      </c>
      <c r="D275" s="1">
        <f>'Paste cell here'!I275</f>
        <v>0</v>
      </c>
      <c r="E275" s="1">
        <f>'Paste cell here'!J275</f>
        <v>0</v>
      </c>
      <c r="F275" s="1">
        <f>'Paste cell here'!K275</f>
        <v>0</v>
      </c>
      <c r="G275" s="1">
        <f>'Paste cell here'!L275</f>
        <v>0</v>
      </c>
      <c r="H275" s="1">
        <f>'Paste cell here'!M275</f>
        <v>0</v>
      </c>
      <c r="I275" s="1">
        <f>'Paste cell here'!N275</f>
        <v>0</v>
      </c>
      <c r="J275" s="1">
        <f>'Paste cell here'!O275</f>
        <v>0</v>
      </c>
      <c r="K275" s="1">
        <f>'Paste cell here'!Q275</f>
        <v>2.9311029553846546</v>
      </c>
      <c r="L275" s="1">
        <f>'Paste cell here'!S275</f>
        <v>0</v>
      </c>
      <c r="M275" s="1">
        <f>'Paste cell here'!T275</f>
        <v>2.8275617819059247E-3</v>
      </c>
      <c r="N275" s="1">
        <f>'Paste cell here'!W275</f>
        <v>0</v>
      </c>
      <c r="O275" s="1">
        <f>'Paste cell here'!U275</f>
        <v>16.051912261931779</v>
      </c>
      <c r="P275" s="1">
        <f t="shared" si="23"/>
        <v>18.985842779098345</v>
      </c>
      <c r="Q275" s="1">
        <f>'Paste cell here'!V275</f>
        <v>0</v>
      </c>
      <c r="R275" s="1">
        <f t="shared" si="24"/>
        <v>3.5527136788005009E-15</v>
      </c>
      <c r="S275" s="7">
        <f>Sintesi!$C$30</f>
        <v>0.107</v>
      </c>
      <c r="T275" s="7">
        <f>Sintesi!$C$29</f>
        <v>0.23300000000000001</v>
      </c>
      <c r="U275" s="5">
        <f>O275/(Sintesi!$C$5*1000)</f>
        <v>0.16051912261931778</v>
      </c>
      <c r="V275" s="1">
        <f t="shared" si="20"/>
        <v>0.126</v>
      </c>
      <c r="W275" s="1">
        <v>0.58537986902837702</v>
      </c>
      <c r="X275" s="1">
        <f t="shared" si="21"/>
        <v>7.3757863497575502E-2</v>
      </c>
      <c r="Y275" s="1">
        <f t="shared" si="22"/>
        <v>0.15924213650242453</v>
      </c>
      <c r="Z275" s="1">
        <f>'Paste cellinfo here'!$B$11</f>
        <v>0.52400000000000002</v>
      </c>
    </row>
    <row r="276" spans="1:26">
      <c r="A276" s="1">
        <v>275</v>
      </c>
      <c r="B276" s="2">
        <f>DATE(Sintesi!$C$4-1,12,31)+A276</f>
        <v>44471</v>
      </c>
      <c r="C276" s="1">
        <f>'Paste cell here'!B276</f>
        <v>0</v>
      </c>
      <c r="D276" s="1">
        <f>'Paste cell here'!I276</f>
        <v>0</v>
      </c>
      <c r="E276" s="1">
        <f>'Paste cell here'!J276</f>
        <v>0</v>
      </c>
      <c r="F276" s="1">
        <f>'Paste cell here'!K276</f>
        <v>0</v>
      </c>
      <c r="G276" s="1">
        <f>'Paste cell here'!L276</f>
        <v>0</v>
      </c>
      <c r="H276" s="1">
        <f>'Paste cell here'!M276</f>
        <v>0</v>
      </c>
      <c r="I276" s="1">
        <f>'Paste cell here'!N276</f>
        <v>0</v>
      </c>
      <c r="J276" s="1">
        <f>'Paste cell here'!O276</f>
        <v>0</v>
      </c>
      <c r="K276" s="1">
        <f>'Paste cell here'!Q276</f>
        <v>2.467523552173152</v>
      </c>
      <c r="L276" s="1">
        <f>'Paste cell here'!S276</f>
        <v>0</v>
      </c>
      <c r="M276" s="1">
        <f>'Paste cell here'!T276</f>
        <v>2.2793838666088523E-4</v>
      </c>
      <c r="N276" s="1">
        <f>'Paste cell here'!W276</f>
        <v>0</v>
      </c>
      <c r="O276" s="1">
        <f>'Paste cell here'!U276</f>
        <v>13.58416077137197</v>
      </c>
      <c r="P276" s="1">
        <f t="shared" si="23"/>
        <v>16.051912261931779</v>
      </c>
      <c r="Q276" s="1">
        <f>'Paste cell here'!V276</f>
        <v>0</v>
      </c>
      <c r="R276" s="1">
        <f t="shared" si="24"/>
        <v>3.5527136788005009E-15</v>
      </c>
      <c r="S276" s="7">
        <f>Sintesi!$C$30</f>
        <v>0.107</v>
      </c>
      <c r="T276" s="7">
        <f>Sintesi!$C$29</f>
        <v>0.23300000000000001</v>
      </c>
      <c r="U276" s="5">
        <f>O276/(Sintesi!$C$5*1000)</f>
        <v>0.1358416077137197</v>
      </c>
      <c r="V276" s="1">
        <f t="shared" si="20"/>
        <v>0.126</v>
      </c>
      <c r="W276" s="1">
        <v>0.62159899124741902</v>
      </c>
      <c r="X276" s="1">
        <f t="shared" si="21"/>
        <v>7.8321472897174796E-2</v>
      </c>
      <c r="Y276" s="1">
        <f t="shared" si="22"/>
        <v>0.1546785271028252</v>
      </c>
      <c r="Z276" s="1">
        <f>'Paste cellinfo here'!$B$11</f>
        <v>0.52400000000000002</v>
      </c>
    </row>
    <row r="277" spans="1:26">
      <c r="A277" s="1">
        <v>276</v>
      </c>
      <c r="B277" s="2">
        <f>DATE(Sintesi!$C$4-1,12,31)+A277</f>
        <v>44472</v>
      </c>
      <c r="C277" s="1">
        <f>'Paste cell here'!B277</f>
        <v>2.6799999999999375</v>
      </c>
      <c r="D277" s="1">
        <f>'Paste cell here'!I277</f>
        <v>0</v>
      </c>
      <c r="E277" s="1">
        <f>'Paste cell here'!J277</f>
        <v>2.6799999999999375</v>
      </c>
      <c r="F277" s="1">
        <f>'Paste cell here'!K277</f>
        <v>2.6799999999999375</v>
      </c>
      <c r="G277" s="1">
        <f>'Paste cell here'!L277</f>
        <v>2.6799999999999375</v>
      </c>
      <c r="H277" s="1">
        <f>'Paste cell here'!M277</f>
        <v>0</v>
      </c>
      <c r="I277" s="1">
        <f>'Paste cell here'!N277</f>
        <v>0</v>
      </c>
      <c r="J277" s="1">
        <f>'Paste cell here'!O277</f>
        <v>2.6800000798701613</v>
      </c>
      <c r="K277" s="1">
        <f>'Paste cell here'!Q277</f>
        <v>1.0295053373119767</v>
      </c>
      <c r="L277" s="1">
        <f>'Paste cell here'!S277</f>
        <v>0</v>
      </c>
      <c r="M277" s="1">
        <f>'Paste cell here'!T277</f>
        <v>9.1087333115115791E-5</v>
      </c>
      <c r="N277" s="1">
        <f>'Paste cell here'!W277</f>
        <v>0</v>
      </c>
      <c r="O277" s="1">
        <f>'Paste cell here'!U277</f>
        <v>15.234564426597046</v>
      </c>
      <c r="P277" s="1">
        <f t="shared" si="23"/>
        <v>13.58416077137197</v>
      </c>
      <c r="Q277" s="1">
        <f>'Paste cell here'!V277</f>
        <v>0</v>
      </c>
      <c r="R277" s="1">
        <f t="shared" si="24"/>
        <v>7.9870231317613616E-8</v>
      </c>
      <c r="S277" s="7">
        <f>Sintesi!$C$30</f>
        <v>0.107</v>
      </c>
      <c r="T277" s="7">
        <f>Sintesi!$C$29</f>
        <v>0.23300000000000001</v>
      </c>
      <c r="U277" s="5">
        <f>O277/(Sintesi!$C$5*1000)</f>
        <v>0.15234564426597047</v>
      </c>
      <c r="V277" s="1">
        <f t="shared" si="20"/>
        <v>0.126</v>
      </c>
      <c r="W277" s="1">
        <v>0.628265081412404</v>
      </c>
      <c r="X277" s="1">
        <f t="shared" si="21"/>
        <v>7.9161400257962908E-2</v>
      </c>
      <c r="Y277" s="1">
        <f t="shared" si="22"/>
        <v>0.15383859974203712</v>
      </c>
      <c r="Z277" s="1">
        <f>'Paste cellinfo here'!$B$11</f>
        <v>0.52400000000000002</v>
      </c>
    </row>
    <row r="278" spans="1:26">
      <c r="A278" s="1">
        <v>277</v>
      </c>
      <c r="B278" s="2">
        <f>DATE(Sintesi!$C$4-1,12,31)+A278</f>
        <v>44473</v>
      </c>
      <c r="C278" s="1">
        <f>'Paste cell here'!B278</f>
        <v>44.599999999999369</v>
      </c>
      <c r="D278" s="1">
        <f>'Paste cell here'!I278</f>
        <v>0</v>
      </c>
      <c r="E278" s="1">
        <f>'Paste cell here'!J278</f>
        <v>44.599999999999369</v>
      </c>
      <c r="F278" s="1">
        <f>'Paste cell here'!K278</f>
        <v>44.599999999999369</v>
      </c>
      <c r="G278" s="1">
        <f>'Paste cell here'!L278</f>
        <v>25.239434399851636</v>
      </c>
      <c r="H278" s="1">
        <f>'Paste cell here'!M278</f>
        <v>0</v>
      </c>
      <c r="I278" s="1">
        <f>'Paste cell here'!N278</f>
        <v>19.360565600147734</v>
      </c>
      <c r="J278" s="1">
        <f>'Paste cell here'!O278</f>
        <v>25.239435152045409</v>
      </c>
      <c r="K278" s="1">
        <f>'Paste cell here'!Q278</f>
        <v>1.038836018700837</v>
      </c>
      <c r="L278" s="1">
        <f>'Paste cell here'!S278</f>
        <v>0</v>
      </c>
      <c r="M278" s="1">
        <f>'Paste cell here'!T278</f>
        <v>3.0636509959914555</v>
      </c>
      <c r="N278" s="1">
        <f>'Paste cell here'!W278</f>
        <v>0</v>
      </c>
      <c r="O278" s="1">
        <f>'Paste cell here'!U278</f>
        <v>36.371512563950148</v>
      </c>
      <c r="P278" s="1">
        <f t="shared" si="23"/>
        <v>15.234564426597046</v>
      </c>
      <c r="Q278" s="1">
        <f>'Paste cell here'!V278</f>
        <v>0</v>
      </c>
      <c r="R278" s="1">
        <f t="shared" si="24"/>
        <v>7.5219375617052719E-7</v>
      </c>
      <c r="S278" s="7">
        <f>Sintesi!$C$30</f>
        <v>0.107</v>
      </c>
      <c r="T278" s="7">
        <f>Sintesi!$C$29</f>
        <v>0.23300000000000001</v>
      </c>
      <c r="U278" s="5">
        <f>O278/(Sintesi!$C$5*1000)</f>
        <v>0.36371512563950148</v>
      </c>
      <c r="V278" s="1">
        <f t="shared" si="20"/>
        <v>0.126</v>
      </c>
      <c r="W278" s="1">
        <v>0.60729526392600497</v>
      </c>
      <c r="X278" s="1">
        <f t="shared" si="21"/>
        <v>7.6519203254676621E-2</v>
      </c>
      <c r="Y278" s="1">
        <f t="shared" si="22"/>
        <v>0.15648079674532339</v>
      </c>
      <c r="Z278" s="1">
        <f>'Paste cellinfo here'!$B$11</f>
        <v>0.52400000000000002</v>
      </c>
    </row>
    <row r="279" spans="1:26">
      <c r="A279" s="1">
        <v>278</v>
      </c>
      <c r="B279" s="2">
        <f>DATE(Sintesi!$C$4-1,12,31)+A279</f>
        <v>44474</v>
      </c>
      <c r="C279" s="1">
        <f>'Paste cell here'!B279</f>
        <v>2.0399999999999268</v>
      </c>
      <c r="D279" s="1">
        <f>'Paste cell here'!I279</f>
        <v>0</v>
      </c>
      <c r="E279" s="1">
        <f>'Paste cell here'!J279</f>
        <v>2.0399999999999268</v>
      </c>
      <c r="F279" s="1">
        <f>'Paste cell here'!K279</f>
        <v>2.0399999999999268</v>
      </c>
      <c r="G279" s="1">
        <f>'Paste cell here'!L279</f>
        <v>2.0399999999999268</v>
      </c>
      <c r="H279" s="1">
        <f>'Paste cell here'!M279</f>
        <v>0</v>
      </c>
      <c r="I279" s="1">
        <f>'Paste cell here'!N279</f>
        <v>0</v>
      </c>
      <c r="J279" s="1">
        <f>'Paste cell here'!O279</f>
        <v>2.0400000607966642</v>
      </c>
      <c r="K279" s="1">
        <f>'Paste cell here'!Q279</f>
        <v>1.6480741357324709</v>
      </c>
      <c r="L279" s="1">
        <f>'Paste cell here'!S279</f>
        <v>0</v>
      </c>
      <c r="M279" s="1">
        <f>'Paste cell here'!T279</f>
        <v>5.7553337228927344</v>
      </c>
      <c r="N279" s="1">
        <f>'Paste cell here'!W279</f>
        <v>0</v>
      </c>
      <c r="O279" s="1">
        <f>'Paste cell here'!U279</f>
        <v>31.008104766121605</v>
      </c>
      <c r="P279" s="1">
        <f t="shared" si="23"/>
        <v>36.371512563950148</v>
      </c>
      <c r="Q279" s="1">
        <f>'Paste cell here'!V279</f>
        <v>0</v>
      </c>
      <c r="R279" s="1">
        <f t="shared" si="24"/>
        <v>6.079673653403006E-8</v>
      </c>
      <c r="S279" s="7">
        <f>Sintesi!$C$30</f>
        <v>0.107</v>
      </c>
      <c r="T279" s="7">
        <f>Sintesi!$C$29</f>
        <v>0.23300000000000001</v>
      </c>
      <c r="U279" s="5">
        <f>O279/(Sintesi!$C$5*1000)</f>
        <v>0.31008104766121602</v>
      </c>
      <c r="V279" s="1">
        <f t="shared" si="20"/>
        <v>0.126</v>
      </c>
      <c r="W279" s="1">
        <v>0.62499218256881495</v>
      </c>
      <c r="X279" s="1">
        <f t="shared" si="21"/>
        <v>7.874901500367068E-2</v>
      </c>
      <c r="Y279" s="1">
        <f t="shared" si="22"/>
        <v>0.15425098499632933</v>
      </c>
      <c r="Z279" s="1">
        <f>'Paste cellinfo here'!$B$11</f>
        <v>0.52400000000000002</v>
      </c>
    </row>
    <row r="280" spans="1:26">
      <c r="A280" s="1">
        <v>279</v>
      </c>
      <c r="B280" s="2">
        <f>DATE(Sintesi!$C$4-1,12,31)+A280</f>
        <v>44475</v>
      </c>
      <c r="C280" s="1">
        <f>'Paste cell here'!B280</f>
        <v>14.759999999999616</v>
      </c>
      <c r="D280" s="1">
        <f>'Paste cell here'!I280</f>
        <v>0</v>
      </c>
      <c r="E280" s="1">
        <f>'Paste cell here'!J280</f>
        <v>14.759999999999616</v>
      </c>
      <c r="F280" s="1">
        <f>'Paste cell here'!K280</f>
        <v>14.759999999999616</v>
      </c>
      <c r="G280" s="1">
        <f>'Paste cell here'!L280</f>
        <v>9.484680003927588</v>
      </c>
      <c r="H280" s="1">
        <f>'Paste cell here'!M280</f>
        <v>0</v>
      </c>
      <c r="I280" s="1">
        <f>'Paste cell here'!N280</f>
        <v>5.2753199960720281</v>
      </c>
      <c r="J280" s="1">
        <f>'Paste cell here'!O280</f>
        <v>9.4846802865930844</v>
      </c>
      <c r="K280" s="1">
        <f>'Paste cell here'!Q280</f>
        <v>1.5742186234728288</v>
      </c>
      <c r="L280" s="1">
        <f>'Paste cell here'!S280</f>
        <v>0</v>
      </c>
      <c r="M280" s="1">
        <f>'Paste cell here'!T280</f>
        <v>5.0407229011408035</v>
      </c>
      <c r="N280" s="1">
        <f>'Paste cell here'!W280</f>
        <v>0</v>
      </c>
      <c r="O280" s="1">
        <f>'Paste cell here'!U280</f>
        <v>33.877843528101032</v>
      </c>
      <c r="P280" s="1">
        <f t="shared" si="23"/>
        <v>31.008104766121605</v>
      </c>
      <c r="Q280" s="1">
        <f>'Paste cell here'!V280</f>
        <v>0</v>
      </c>
      <c r="R280" s="1">
        <f t="shared" si="24"/>
        <v>2.8266547502653339E-7</v>
      </c>
      <c r="S280" s="7">
        <f>Sintesi!$C$30</f>
        <v>0.107</v>
      </c>
      <c r="T280" s="7">
        <f>Sintesi!$C$29</f>
        <v>0.23300000000000001</v>
      </c>
      <c r="U280" s="5">
        <f>O280/(Sintesi!$C$5*1000)</f>
        <v>0.33877843528101032</v>
      </c>
      <c r="V280" s="1">
        <f t="shared" si="20"/>
        <v>0.126</v>
      </c>
      <c r="W280" s="1">
        <v>0.61350670937117802</v>
      </c>
      <c r="X280" s="1">
        <f t="shared" si="21"/>
        <v>7.7301845380768425E-2</v>
      </c>
      <c r="Y280" s="1">
        <f t="shared" si="22"/>
        <v>0.15569815461923159</v>
      </c>
      <c r="Z280" s="1">
        <f>'Paste cellinfo here'!$B$11</f>
        <v>0.52400000000000002</v>
      </c>
    </row>
    <row r="281" spans="1:26">
      <c r="A281" s="1">
        <v>280</v>
      </c>
      <c r="B281" s="2">
        <f>DATE(Sintesi!$C$4-1,12,31)+A281</f>
        <v>44476</v>
      </c>
      <c r="C281" s="1">
        <f>'Paste cell here'!B281</f>
        <v>3.9999999999997732E-2</v>
      </c>
      <c r="D281" s="1">
        <f>'Paste cell here'!I281</f>
        <v>0</v>
      </c>
      <c r="E281" s="1">
        <f>'Paste cell here'!J281</f>
        <v>3.9999999999997732E-2</v>
      </c>
      <c r="F281" s="1">
        <f>'Paste cell here'!K281</f>
        <v>3.9999999999997732E-2</v>
      </c>
      <c r="G281" s="1">
        <f>'Paste cell here'!L281</f>
        <v>3.9999999999997732E-2</v>
      </c>
      <c r="H281" s="1">
        <f>'Paste cell here'!M281</f>
        <v>0</v>
      </c>
      <c r="I281" s="1">
        <f>'Paste cell here'!N281</f>
        <v>0</v>
      </c>
      <c r="J281" s="1">
        <f>'Paste cell here'!O281</f>
        <v>4.0000001192090635E-2</v>
      </c>
      <c r="K281" s="1">
        <f>'Paste cell here'!Q281</f>
        <v>2.0066141741651409</v>
      </c>
      <c r="L281" s="1">
        <f>'Paste cell here'!S281</f>
        <v>0</v>
      </c>
      <c r="M281" s="1">
        <f>'Paste cell here'!T281</f>
        <v>2.9962562023999761</v>
      </c>
      <c r="N281" s="1">
        <f>'Paste cell here'!W281</f>
        <v>0</v>
      </c>
      <c r="O281" s="1">
        <f>'Paste cell here'!U281</f>
        <v>28.914973152728017</v>
      </c>
      <c r="P281" s="1">
        <f t="shared" si="23"/>
        <v>33.877843528101032</v>
      </c>
      <c r="Q281" s="1">
        <f>'Paste cell here'!V281</f>
        <v>0</v>
      </c>
      <c r="R281" s="1">
        <f t="shared" si="24"/>
        <v>1.1921024167804717E-9</v>
      </c>
      <c r="S281" s="7">
        <f>Sintesi!$C$30</f>
        <v>0.107</v>
      </c>
      <c r="T281" s="7">
        <f>Sintesi!$C$29</f>
        <v>0.23300000000000001</v>
      </c>
      <c r="U281" s="5">
        <f>O281/(Sintesi!$C$5*1000)</f>
        <v>0.28914973152728018</v>
      </c>
      <c r="V281" s="1">
        <f t="shared" si="20"/>
        <v>0.126</v>
      </c>
      <c r="W281" s="1">
        <v>0.61889481074950903</v>
      </c>
      <c r="X281" s="1">
        <f t="shared" si="21"/>
        <v>7.7980746154438133E-2</v>
      </c>
      <c r="Y281" s="1">
        <f t="shared" si="22"/>
        <v>0.15501925384556187</v>
      </c>
      <c r="Z281" s="1">
        <f>'Paste cellinfo here'!$B$11</f>
        <v>0.52400000000000002</v>
      </c>
    </row>
    <row r="282" spans="1:26">
      <c r="A282" s="1">
        <v>281</v>
      </c>
      <c r="B282" s="2">
        <f>DATE(Sintesi!$C$4-1,12,31)+A282</f>
        <v>44477</v>
      </c>
      <c r="C282" s="1">
        <f>'Paste cell here'!B282</f>
        <v>0</v>
      </c>
      <c r="D282" s="1">
        <f>'Paste cell here'!I282</f>
        <v>0</v>
      </c>
      <c r="E282" s="1">
        <f>'Paste cell here'!J282</f>
        <v>0</v>
      </c>
      <c r="F282" s="1">
        <f>'Paste cell here'!K282</f>
        <v>0</v>
      </c>
      <c r="G282" s="1">
        <f>'Paste cell here'!L282</f>
        <v>0</v>
      </c>
      <c r="H282" s="1">
        <f>'Paste cell here'!M282</f>
        <v>0</v>
      </c>
      <c r="I282" s="1">
        <f>'Paste cell here'!N282</f>
        <v>0</v>
      </c>
      <c r="J282" s="1">
        <f>'Paste cell here'!O282</f>
        <v>0</v>
      </c>
      <c r="K282" s="1">
        <f>'Paste cell here'!Q282</f>
        <v>1.9678699161885558</v>
      </c>
      <c r="L282" s="1">
        <f>'Paste cell here'!S282</f>
        <v>0</v>
      </c>
      <c r="M282" s="1">
        <f>'Paste cell here'!T282</f>
        <v>0.70718967986057091</v>
      </c>
      <c r="N282" s="1">
        <f>'Paste cell here'!W282</f>
        <v>0</v>
      </c>
      <c r="O282" s="1">
        <f>'Paste cell here'!U282</f>
        <v>26.239913556678889</v>
      </c>
      <c r="P282" s="1">
        <f t="shared" si="23"/>
        <v>28.914973152728017</v>
      </c>
      <c r="Q282" s="1">
        <f>'Paste cell here'!V282</f>
        <v>0</v>
      </c>
      <c r="R282" s="1">
        <f t="shared" si="24"/>
        <v>3.5527136788005009E-15</v>
      </c>
      <c r="S282" s="7">
        <f>Sintesi!$C$30</f>
        <v>0.107</v>
      </c>
      <c r="T282" s="7">
        <f>Sintesi!$C$29</f>
        <v>0.23300000000000001</v>
      </c>
      <c r="U282" s="5">
        <f>O282/(Sintesi!$C$5*1000)</f>
        <v>0.2623991355667889</v>
      </c>
      <c r="V282" s="1">
        <f t="shared" si="20"/>
        <v>0.126</v>
      </c>
      <c r="W282" s="1">
        <v>0.61088486274455001</v>
      </c>
      <c r="X282" s="1">
        <f t="shared" si="21"/>
        <v>7.6971492705813299E-2</v>
      </c>
      <c r="Y282" s="1">
        <f t="shared" si="22"/>
        <v>0.15602850729418671</v>
      </c>
      <c r="Z282" s="1">
        <f>'Paste cellinfo here'!$B$11</f>
        <v>0.52400000000000002</v>
      </c>
    </row>
    <row r="283" spans="1:26">
      <c r="A283" s="1">
        <v>282</v>
      </c>
      <c r="B283" s="2">
        <f>DATE(Sintesi!$C$4-1,12,31)+A283</f>
        <v>44478</v>
      </c>
      <c r="C283" s="1">
        <f>'Paste cell here'!B283</f>
        <v>0</v>
      </c>
      <c r="D283" s="1">
        <f>'Paste cell here'!I283</f>
        <v>0</v>
      </c>
      <c r="E283" s="1">
        <f>'Paste cell here'!J283</f>
        <v>0</v>
      </c>
      <c r="F283" s="1">
        <f>'Paste cell here'!K283</f>
        <v>0</v>
      </c>
      <c r="G283" s="1">
        <f>'Paste cell here'!L283</f>
        <v>0</v>
      </c>
      <c r="H283" s="1">
        <f>'Paste cell here'!M283</f>
        <v>0</v>
      </c>
      <c r="I283" s="1">
        <f>'Paste cell here'!N283</f>
        <v>0</v>
      </c>
      <c r="J283" s="1">
        <f>'Paste cell here'!O283</f>
        <v>0</v>
      </c>
      <c r="K283" s="1">
        <f>'Paste cell here'!Q283</f>
        <v>2.1064044258863621</v>
      </c>
      <c r="L283" s="1">
        <f>'Paste cell here'!S283</f>
        <v>0</v>
      </c>
      <c r="M283" s="1">
        <f>'Paste cell here'!T283</f>
        <v>0.23104244672650096</v>
      </c>
      <c r="N283" s="1">
        <f>'Paste cell here'!W283</f>
        <v>0</v>
      </c>
      <c r="O283" s="1">
        <f>'Paste cell here'!U283</f>
        <v>23.902466684066031</v>
      </c>
      <c r="P283" s="1">
        <f t="shared" si="23"/>
        <v>26.239913556678889</v>
      </c>
      <c r="Q283" s="1">
        <f>'Paste cell here'!V283</f>
        <v>0</v>
      </c>
      <c r="R283" s="1">
        <f t="shared" si="24"/>
        <v>7.1054273576010019E-15</v>
      </c>
      <c r="S283" s="7">
        <f>Sintesi!$C$30</f>
        <v>0.107</v>
      </c>
      <c r="T283" s="7">
        <f>Sintesi!$C$29</f>
        <v>0.23300000000000001</v>
      </c>
      <c r="U283" s="5">
        <f>O283/(Sintesi!$C$5*1000)</f>
        <v>0.23902466684066032</v>
      </c>
      <c r="V283" s="1">
        <f t="shared" si="20"/>
        <v>0.126</v>
      </c>
      <c r="W283" s="1">
        <v>0.62250683875578094</v>
      </c>
      <c r="X283" s="1">
        <f t="shared" si="21"/>
        <v>7.84358616832284E-2</v>
      </c>
      <c r="Y283" s="1">
        <f t="shared" si="22"/>
        <v>0.15456413831677163</v>
      </c>
      <c r="Z283" s="1">
        <f>'Paste cellinfo here'!$B$11</f>
        <v>0.52400000000000002</v>
      </c>
    </row>
    <row r="284" spans="1:26">
      <c r="A284" s="1">
        <v>283</v>
      </c>
      <c r="B284" s="2">
        <f>DATE(Sintesi!$C$4-1,12,31)+A284</f>
        <v>44479</v>
      </c>
      <c r="C284" s="1">
        <f>'Paste cell here'!B284</f>
        <v>0</v>
      </c>
      <c r="D284" s="1">
        <f>'Paste cell here'!I284</f>
        <v>0</v>
      </c>
      <c r="E284" s="1">
        <f>'Paste cell here'!J284</f>
        <v>0</v>
      </c>
      <c r="F284" s="1">
        <f>'Paste cell here'!K284</f>
        <v>0</v>
      </c>
      <c r="G284" s="1">
        <f>'Paste cell here'!L284</f>
        <v>0</v>
      </c>
      <c r="H284" s="1">
        <f>'Paste cell here'!M284</f>
        <v>0</v>
      </c>
      <c r="I284" s="1">
        <f>'Paste cell here'!N284</f>
        <v>0</v>
      </c>
      <c r="J284" s="1">
        <f>'Paste cell here'!O284</f>
        <v>0</v>
      </c>
      <c r="K284" s="1">
        <f>'Paste cell here'!Q284</f>
        <v>1.9659282267070894</v>
      </c>
      <c r="L284" s="1">
        <f>'Paste cell here'!S284</f>
        <v>0</v>
      </c>
      <c r="M284" s="1">
        <f>'Paste cell here'!T284</f>
        <v>7.4667897075451364E-2</v>
      </c>
      <c r="N284" s="1">
        <f>'Paste cell here'!W284</f>
        <v>0</v>
      </c>
      <c r="O284" s="1">
        <f>'Paste cell here'!U284</f>
        <v>21.861870560283489</v>
      </c>
      <c r="P284" s="1">
        <f t="shared" si="23"/>
        <v>23.902466684066031</v>
      </c>
      <c r="Q284" s="1">
        <f>'Paste cell here'!V284</f>
        <v>0</v>
      </c>
      <c r="R284" s="1">
        <f t="shared" si="24"/>
        <v>3.5527136788005009E-15</v>
      </c>
      <c r="S284" s="7">
        <f>Sintesi!$C$30</f>
        <v>0.107</v>
      </c>
      <c r="T284" s="7">
        <f>Sintesi!$C$29</f>
        <v>0.23300000000000001</v>
      </c>
      <c r="U284" s="5">
        <f>O284/(Sintesi!$C$5*1000)</f>
        <v>0.21861870560283489</v>
      </c>
      <c r="V284" s="1">
        <f t="shared" si="20"/>
        <v>0.126</v>
      </c>
      <c r="W284" s="1">
        <v>0.650841618899893</v>
      </c>
      <c r="X284" s="1">
        <f t="shared" si="21"/>
        <v>8.2006043981386514E-2</v>
      </c>
      <c r="Y284" s="1">
        <f t="shared" si="22"/>
        <v>0.15099395601861348</v>
      </c>
      <c r="Z284" s="1">
        <f>'Paste cellinfo here'!$B$11</f>
        <v>0.52400000000000002</v>
      </c>
    </row>
    <row r="285" spans="1:26">
      <c r="A285" s="1">
        <v>284</v>
      </c>
      <c r="B285" s="2">
        <f>DATE(Sintesi!$C$4-1,12,31)+A285</f>
        <v>44480</v>
      </c>
      <c r="C285" s="1">
        <f>'Paste cell here'!B285</f>
        <v>0</v>
      </c>
      <c r="D285" s="1">
        <f>'Paste cell here'!I285</f>
        <v>0</v>
      </c>
      <c r="E285" s="1">
        <f>'Paste cell here'!J285</f>
        <v>0</v>
      </c>
      <c r="F285" s="1">
        <f>'Paste cell here'!K285</f>
        <v>0</v>
      </c>
      <c r="G285" s="1">
        <f>'Paste cell here'!L285</f>
        <v>0</v>
      </c>
      <c r="H285" s="1">
        <f>'Paste cell here'!M285</f>
        <v>0</v>
      </c>
      <c r="I285" s="1">
        <f>'Paste cell here'!N285</f>
        <v>0</v>
      </c>
      <c r="J285" s="1">
        <f>'Paste cell here'!O285</f>
        <v>0</v>
      </c>
      <c r="K285" s="1">
        <f>'Paste cell here'!Q285</f>
        <v>1.9412495463721349</v>
      </c>
      <c r="L285" s="1">
        <f>'Paste cell here'!S285</f>
        <v>0</v>
      </c>
      <c r="M285" s="1">
        <f>'Paste cell here'!T285</f>
        <v>2.3500487915324227E-2</v>
      </c>
      <c r="N285" s="1">
        <f>'Paste cell here'!W285</f>
        <v>0</v>
      </c>
      <c r="O285" s="1">
        <f>'Paste cell here'!U285</f>
        <v>19.897120525996023</v>
      </c>
      <c r="P285" s="1">
        <f t="shared" si="23"/>
        <v>21.861870560283489</v>
      </c>
      <c r="Q285" s="1">
        <f>'Paste cell here'!V285</f>
        <v>0</v>
      </c>
      <c r="R285" s="1">
        <f t="shared" si="24"/>
        <v>7.1054273576010019E-15</v>
      </c>
      <c r="S285" s="7">
        <f>Sintesi!$C$30</f>
        <v>0.107</v>
      </c>
      <c r="T285" s="7">
        <f>Sintesi!$C$29</f>
        <v>0.23300000000000001</v>
      </c>
      <c r="U285" s="5">
        <f>O285/(Sintesi!$C$5*1000)</f>
        <v>0.19897120525996023</v>
      </c>
      <c r="V285" s="1">
        <f t="shared" si="20"/>
        <v>0.126</v>
      </c>
      <c r="W285" s="1">
        <v>0.63615942475502796</v>
      </c>
      <c r="X285" s="1">
        <f t="shared" si="21"/>
        <v>8.0156087519133529E-2</v>
      </c>
      <c r="Y285" s="1">
        <f t="shared" si="22"/>
        <v>0.15284391248086648</v>
      </c>
      <c r="Z285" s="1">
        <f>'Paste cellinfo here'!$B$11</f>
        <v>0.52400000000000002</v>
      </c>
    </row>
    <row r="286" spans="1:26">
      <c r="A286" s="1">
        <v>285</v>
      </c>
      <c r="B286" s="2">
        <f>DATE(Sintesi!$C$4-1,12,31)+A286</f>
        <v>44481</v>
      </c>
      <c r="C286" s="1">
        <f>'Paste cell here'!B286</f>
        <v>0</v>
      </c>
      <c r="D286" s="1">
        <f>'Paste cell here'!I286</f>
        <v>0</v>
      </c>
      <c r="E286" s="1">
        <f>'Paste cell here'!J286</f>
        <v>0</v>
      </c>
      <c r="F286" s="1">
        <f>'Paste cell here'!K286</f>
        <v>0</v>
      </c>
      <c r="G286" s="1">
        <f>'Paste cell here'!L286</f>
        <v>0</v>
      </c>
      <c r="H286" s="1">
        <f>'Paste cell here'!M286</f>
        <v>0</v>
      </c>
      <c r="I286" s="1">
        <f>'Paste cell here'!N286</f>
        <v>0</v>
      </c>
      <c r="J286" s="1">
        <f>'Paste cell here'!O286</f>
        <v>0</v>
      </c>
      <c r="K286" s="1">
        <f>'Paste cell here'!Q286</f>
        <v>1.8716251812479439</v>
      </c>
      <c r="L286" s="1">
        <f>'Paste cell here'!S286</f>
        <v>0</v>
      </c>
      <c r="M286" s="1">
        <f>'Paste cell here'!T286</f>
        <v>6.5308285799573285E-3</v>
      </c>
      <c r="N286" s="1">
        <f>'Paste cell here'!W286</f>
        <v>0</v>
      </c>
      <c r="O286" s="1">
        <f>'Paste cell here'!U286</f>
        <v>18.018964516168122</v>
      </c>
      <c r="P286" s="1">
        <f t="shared" si="23"/>
        <v>19.897120525996023</v>
      </c>
      <c r="Q286" s="1">
        <f>'Paste cell here'!V286</f>
        <v>0</v>
      </c>
      <c r="R286" s="1">
        <f t="shared" si="24"/>
        <v>0</v>
      </c>
      <c r="S286" s="7">
        <f>Sintesi!$C$30</f>
        <v>0.107</v>
      </c>
      <c r="T286" s="7">
        <f>Sintesi!$C$29</f>
        <v>0.23300000000000001</v>
      </c>
      <c r="U286" s="5">
        <f>O286/(Sintesi!$C$5*1000)</f>
        <v>0.18018964516168123</v>
      </c>
      <c r="V286" s="1">
        <f t="shared" si="20"/>
        <v>0.126</v>
      </c>
      <c r="W286" s="1">
        <v>0.62770974111422395</v>
      </c>
      <c r="X286" s="1">
        <f t="shared" si="21"/>
        <v>7.9091427380392224E-2</v>
      </c>
      <c r="Y286" s="1">
        <f t="shared" si="22"/>
        <v>0.15390857261960778</v>
      </c>
      <c r="Z286" s="1">
        <f>'Paste cellinfo here'!$B$11</f>
        <v>0.52400000000000002</v>
      </c>
    </row>
    <row r="287" spans="1:26">
      <c r="A287" s="1">
        <v>286</v>
      </c>
      <c r="B287" s="2">
        <f>DATE(Sintesi!$C$4-1,12,31)+A287</f>
        <v>44482</v>
      </c>
      <c r="C287" s="1">
        <f>'Paste cell here'!B287</f>
        <v>0</v>
      </c>
      <c r="D287" s="1">
        <f>'Paste cell here'!I287</f>
        <v>0</v>
      </c>
      <c r="E287" s="1">
        <f>'Paste cell here'!J287</f>
        <v>0</v>
      </c>
      <c r="F287" s="1">
        <f>'Paste cell here'!K287</f>
        <v>0</v>
      </c>
      <c r="G287" s="1">
        <f>'Paste cell here'!L287</f>
        <v>0</v>
      </c>
      <c r="H287" s="1">
        <f>'Paste cell here'!M287</f>
        <v>0</v>
      </c>
      <c r="I287" s="1">
        <f>'Paste cell here'!N287</f>
        <v>0</v>
      </c>
      <c r="J287" s="1">
        <f>'Paste cell here'!O287</f>
        <v>0</v>
      </c>
      <c r="K287" s="1">
        <f>'Paste cell here'!Q287</f>
        <v>1.9456808185071224</v>
      </c>
      <c r="L287" s="1">
        <f>'Paste cell here'!S287</f>
        <v>0</v>
      </c>
      <c r="M287" s="1">
        <f>'Paste cell here'!T287</f>
        <v>1.5336083356018609E-3</v>
      </c>
      <c r="N287" s="1">
        <f>'Paste cell here'!W287</f>
        <v>0</v>
      </c>
      <c r="O287" s="1">
        <f>'Paste cell here'!U287</f>
        <v>16.071750089325395</v>
      </c>
      <c r="P287" s="1">
        <f t="shared" si="23"/>
        <v>18.018964516168122</v>
      </c>
      <c r="Q287" s="1">
        <f>'Paste cell here'!V287</f>
        <v>0</v>
      </c>
      <c r="R287" s="1">
        <f t="shared" si="24"/>
        <v>3.5527136788005009E-15</v>
      </c>
      <c r="S287" s="7">
        <f>Sintesi!$C$30</f>
        <v>0.107</v>
      </c>
      <c r="T287" s="7">
        <f>Sintesi!$C$29</f>
        <v>0.23300000000000001</v>
      </c>
      <c r="U287" s="5">
        <f>O287/(Sintesi!$C$5*1000)</f>
        <v>0.16071750089325396</v>
      </c>
      <c r="V287" s="1">
        <f t="shared" si="20"/>
        <v>0.126</v>
      </c>
      <c r="W287" s="1">
        <v>0.63091663500274198</v>
      </c>
      <c r="X287" s="1">
        <f t="shared" si="21"/>
        <v>7.9495496010345487E-2</v>
      </c>
      <c r="Y287" s="1">
        <f t="shared" si="22"/>
        <v>0.15350450398965454</v>
      </c>
      <c r="Z287" s="1">
        <f>'Paste cellinfo here'!$B$11</f>
        <v>0.52400000000000002</v>
      </c>
    </row>
    <row r="288" spans="1:26">
      <c r="A288" s="1">
        <v>287</v>
      </c>
      <c r="B288" s="2">
        <f>DATE(Sintesi!$C$4-1,12,31)+A288</f>
        <v>44483</v>
      </c>
      <c r="C288" s="1">
        <f>'Paste cell here'!B288</f>
        <v>0</v>
      </c>
      <c r="D288" s="1">
        <f>'Paste cell here'!I288</f>
        <v>0</v>
      </c>
      <c r="E288" s="1">
        <f>'Paste cell here'!J288</f>
        <v>0</v>
      </c>
      <c r="F288" s="1">
        <f>'Paste cell here'!K288</f>
        <v>0</v>
      </c>
      <c r="G288" s="1">
        <f>'Paste cell here'!L288</f>
        <v>0</v>
      </c>
      <c r="H288" s="1">
        <f>'Paste cell here'!M288</f>
        <v>0</v>
      </c>
      <c r="I288" s="1">
        <f>'Paste cell here'!N288</f>
        <v>0</v>
      </c>
      <c r="J288" s="1">
        <f>'Paste cell here'!O288</f>
        <v>0</v>
      </c>
      <c r="K288" s="1">
        <f>'Paste cell here'!Q288</f>
        <v>1.7111533606231284</v>
      </c>
      <c r="L288" s="1">
        <f>'Paste cell here'!S288</f>
        <v>0</v>
      </c>
      <c r="M288" s="1">
        <f>'Paste cell here'!T288</f>
        <v>2.6967600827683489E-4</v>
      </c>
      <c r="N288" s="1">
        <f>'Paste cell here'!W288</f>
        <v>0</v>
      </c>
      <c r="O288" s="1">
        <f>'Paste cell here'!U288</f>
        <v>14.360327052693995</v>
      </c>
      <c r="P288" s="1">
        <f t="shared" si="23"/>
        <v>16.071750089325395</v>
      </c>
      <c r="Q288" s="1">
        <f>'Paste cell here'!V288</f>
        <v>0</v>
      </c>
      <c r="R288" s="1">
        <f t="shared" si="24"/>
        <v>5.3290705182007514E-15</v>
      </c>
      <c r="S288" s="7">
        <f>Sintesi!$C$30</f>
        <v>0.107</v>
      </c>
      <c r="T288" s="7">
        <f>Sintesi!$C$29</f>
        <v>0.23300000000000001</v>
      </c>
      <c r="U288" s="5">
        <f>O288/(Sintesi!$C$5*1000)</f>
        <v>0.14360327052693994</v>
      </c>
      <c r="V288" s="1">
        <f t="shared" si="20"/>
        <v>0.126</v>
      </c>
      <c r="W288" s="1">
        <v>0.63273225261608901</v>
      </c>
      <c r="X288" s="1">
        <f t="shared" si="21"/>
        <v>7.9724263829627218E-2</v>
      </c>
      <c r="Y288" s="1">
        <f t="shared" si="22"/>
        <v>0.15327573617037279</v>
      </c>
      <c r="Z288" s="1">
        <f>'Paste cellinfo here'!$B$11</f>
        <v>0.52400000000000002</v>
      </c>
    </row>
    <row r="289" spans="1:26">
      <c r="A289" s="1">
        <v>288</v>
      </c>
      <c r="B289" s="2">
        <f>DATE(Sintesi!$C$4-1,12,31)+A289</f>
        <v>44484</v>
      </c>
      <c r="C289" s="1">
        <f>'Paste cell here'!B289</f>
        <v>0</v>
      </c>
      <c r="D289" s="1">
        <f>'Paste cell here'!I289</f>
        <v>0</v>
      </c>
      <c r="E289" s="1">
        <f>'Paste cell here'!J289</f>
        <v>0</v>
      </c>
      <c r="F289" s="1">
        <f>'Paste cell here'!K289</f>
        <v>0</v>
      </c>
      <c r="G289" s="1">
        <f>'Paste cell here'!L289</f>
        <v>0</v>
      </c>
      <c r="H289" s="1">
        <f>'Paste cell here'!M289</f>
        <v>0</v>
      </c>
      <c r="I289" s="1">
        <f>'Paste cell here'!N289</f>
        <v>0</v>
      </c>
      <c r="J289" s="1">
        <f>'Paste cell here'!O289</f>
        <v>0</v>
      </c>
      <c r="K289" s="1">
        <f>'Paste cell here'!Q289</f>
        <v>1.2774649104031521</v>
      </c>
      <c r="L289" s="1">
        <f>'Paste cell here'!S289</f>
        <v>0</v>
      </c>
      <c r="M289" s="1">
        <f>'Paste cell here'!T289</f>
        <v>4.5905910513970008E-5</v>
      </c>
      <c r="N289" s="1">
        <f>'Paste cell here'!W289</f>
        <v>0</v>
      </c>
      <c r="O289" s="1">
        <f>'Paste cell here'!U289</f>
        <v>13.082816236380332</v>
      </c>
      <c r="P289" s="1">
        <f t="shared" si="23"/>
        <v>14.360327052693995</v>
      </c>
      <c r="Q289" s="1">
        <f>'Paste cell here'!V289</f>
        <v>0</v>
      </c>
      <c r="R289" s="1">
        <f t="shared" si="24"/>
        <v>3.5527136788005009E-15</v>
      </c>
      <c r="S289" s="7">
        <f>Sintesi!$C$30</f>
        <v>0.107</v>
      </c>
      <c r="T289" s="7">
        <f>Sintesi!$C$29</f>
        <v>0.23300000000000001</v>
      </c>
      <c r="U289" s="5">
        <f>O289/(Sintesi!$C$5*1000)</f>
        <v>0.13082816236380332</v>
      </c>
      <c r="V289" s="1">
        <f t="shared" si="20"/>
        <v>0.126</v>
      </c>
      <c r="W289" s="1">
        <v>0.63307370436102195</v>
      </c>
      <c r="X289" s="1">
        <f t="shared" si="21"/>
        <v>7.9767286749488769E-2</v>
      </c>
      <c r="Y289" s="1">
        <f t="shared" si="22"/>
        <v>0.15323271325051124</v>
      </c>
      <c r="Z289" s="1">
        <f>'Paste cellinfo here'!$B$11</f>
        <v>0.52400000000000002</v>
      </c>
    </row>
    <row r="290" spans="1:26">
      <c r="A290" s="1">
        <v>289</v>
      </c>
      <c r="B290" s="2">
        <f>DATE(Sintesi!$C$4-1,12,31)+A290</f>
        <v>44485</v>
      </c>
      <c r="C290" s="1">
        <f>'Paste cell here'!B290</f>
        <v>7.9999999999999724E-2</v>
      </c>
      <c r="D290" s="1">
        <f>'Paste cell here'!I290</f>
        <v>0</v>
      </c>
      <c r="E290" s="1">
        <f>'Paste cell here'!J290</f>
        <v>7.9999999999999724E-2</v>
      </c>
      <c r="F290" s="1">
        <f>'Paste cell here'!K290</f>
        <v>7.9999999999999724E-2</v>
      </c>
      <c r="G290" s="1">
        <f>'Paste cell here'!L290</f>
        <v>7.9999999999999724E-2</v>
      </c>
      <c r="H290" s="1">
        <f>'Paste cell here'!M290</f>
        <v>0</v>
      </c>
      <c r="I290" s="1">
        <f>'Paste cell here'!N290</f>
        <v>0</v>
      </c>
      <c r="J290" s="1">
        <f>'Paste cell here'!O290</f>
        <v>8.000000238418549E-2</v>
      </c>
      <c r="K290" s="1">
        <f>'Paste cell here'!Q290</f>
        <v>1.1130284333100391</v>
      </c>
      <c r="L290" s="1">
        <f>'Paste cell here'!S290</f>
        <v>0</v>
      </c>
      <c r="M290" s="1">
        <f>'Paste cell here'!T290</f>
        <v>9.1950266218723558E-6</v>
      </c>
      <c r="N290" s="1">
        <f>'Paste cell here'!W290</f>
        <v>0</v>
      </c>
      <c r="O290" s="1">
        <f>'Paste cell here'!U290</f>
        <v>12.049778610427856</v>
      </c>
      <c r="P290" s="1">
        <f t="shared" si="23"/>
        <v>13.082816236380332</v>
      </c>
      <c r="Q290" s="1">
        <f>'Paste cell here'!V290</f>
        <v>0</v>
      </c>
      <c r="R290" s="1">
        <f t="shared" si="24"/>
        <v>2.3841835172788706E-9</v>
      </c>
      <c r="S290" s="7">
        <f>Sintesi!$C$30</f>
        <v>0.107</v>
      </c>
      <c r="T290" s="7">
        <f>Sintesi!$C$29</f>
        <v>0.23300000000000001</v>
      </c>
      <c r="U290" s="5">
        <f>O290/(Sintesi!$C$5*1000)</f>
        <v>0.12049778610427855</v>
      </c>
      <c r="V290" s="1">
        <f t="shared" si="20"/>
        <v>0.126</v>
      </c>
      <c r="W290" s="1">
        <v>0.63901578100658696</v>
      </c>
      <c r="X290" s="1">
        <f t="shared" si="21"/>
        <v>8.0515988406829955E-2</v>
      </c>
      <c r="Y290" s="1">
        <f t="shared" si="22"/>
        <v>0.15248401159317004</v>
      </c>
      <c r="Z290" s="1">
        <f>'Paste cellinfo here'!$B$11</f>
        <v>0.52400000000000002</v>
      </c>
    </row>
    <row r="291" spans="1:26">
      <c r="A291" s="1">
        <v>290</v>
      </c>
      <c r="B291" s="2">
        <f>DATE(Sintesi!$C$4-1,12,31)+A291</f>
        <v>44486</v>
      </c>
      <c r="C291" s="1">
        <f>'Paste cell here'!B291</f>
        <v>0</v>
      </c>
      <c r="D291" s="1">
        <f>'Paste cell here'!I291</f>
        <v>0</v>
      </c>
      <c r="E291" s="1">
        <f>'Paste cell here'!J291</f>
        <v>0</v>
      </c>
      <c r="F291" s="1">
        <f>'Paste cell here'!K291</f>
        <v>0</v>
      </c>
      <c r="G291" s="1">
        <f>'Paste cell here'!L291</f>
        <v>0</v>
      </c>
      <c r="H291" s="1">
        <f>'Paste cell here'!M291</f>
        <v>0</v>
      </c>
      <c r="I291" s="1">
        <f>'Paste cell here'!N291</f>
        <v>0</v>
      </c>
      <c r="J291" s="1">
        <f>'Paste cell here'!O291</f>
        <v>0</v>
      </c>
      <c r="K291" s="1">
        <f>'Paste cell here'!Q291</f>
        <v>0.94105673682198165</v>
      </c>
      <c r="L291" s="1">
        <f>'Paste cell here'!S291</f>
        <v>0</v>
      </c>
      <c r="M291" s="1">
        <f>'Paste cell here'!T291</f>
        <v>1.8308070084707999E-6</v>
      </c>
      <c r="N291" s="1">
        <f>'Paste cell here'!W291</f>
        <v>0</v>
      </c>
      <c r="O291" s="1">
        <f>'Paste cell here'!U291</f>
        <v>11.108720042798863</v>
      </c>
      <c r="P291" s="1">
        <f t="shared" si="23"/>
        <v>12.049778610427856</v>
      </c>
      <c r="Q291" s="1">
        <f>'Paste cell here'!V291</f>
        <v>0</v>
      </c>
      <c r="R291" s="1">
        <f t="shared" si="24"/>
        <v>3.5527136788005009E-15</v>
      </c>
      <c r="S291" s="7">
        <f>Sintesi!$C$30</f>
        <v>0.107</v>
      </c>
      <c r="T291" s="7">
        <f>Sintesi!$C$29</f>
        <v>0.23300000000000001</v>
      </c>
      <c r="U291" s="5">
        <f>O291/(Sintesi!$C$5*1000)</f>
        <v>0.11108720042798863</v>
      </c>
      <c r="V291" s="1">
        <f t="shared" si="20"/>
        <v>0.126</v>
      </c>
      <c r="W291" s="1">
        <v>0.63113043652299206</v>
      </c>
      <c r="X291" s="1">
        <f t="shared" si="21"/>
        <v>7.9522435001896999E-2</v>
      </c>
      <c r="Y291" s="1">
        <f t="shared" si="22"/>
        <v>0.153477564998103</v>
      </c>
      <c r="Z291" s="1">
        <f>'Paste cellinfo here'!$B$11</f>
        <v>0.52400000000000002</v>
      </c>
    </row>
    <row r="292" spans="1:26">
      <c r="A292" s="1">
        <v>291</v>
      </c>
      <c r="B292" s="2">
        <f>DATE(Sintesi!$C$4-1,12,31)+A292</f>
        <v>44487</v>
      </c>
      <c r="C292" s="1">
        <f>'Paste cell here'!B292</f>
        <v>7.9999999999999724E-2</v>
      </c>
      <c r="D292" s="1">
        <f>'Paste cell here'!I292</f>
        <v>0</v>
      </c>
      <c r="E292" s="1">
        <f>'Paste cell here'!J292</f>
        <v>7.9999999999999724E-2</v>
      </c>
      <c r="F292" s="1">
        <f>'Paste cell here'!K292</f>
        <v>7.9999999999999724E-2</v>
      </c>
      <c r="G292" s="1">
        <f>'Paste cell here'!L292</f>
        <v>7.9999999999999724E-2</v>
      </c>
      <c r="H292" s="1">
        <f>'Paste cell here'!M292</f>
        <v>0</v>
      </c>
      <c r="I292" s="1">
        <f>'Paste cell here'!N292</f>
        <v>0</v>
      </c>
      <c r="J292" s="1">
        <f>'Paste cell here'!O292</f>
        <v>8.000000238418549E-2</v>
      </c>
      <c r="K292" s="1">
        <f>'Paste cell here'!Q292</f>
        <v>0.79482393463656831</v>
      </c>
      <c r="L292" s="1">
        <f>'Paste cell here'!S292</f>
        <v>0</v>
      </c>
      <c r="M292" s="1">
        <f>'Paste cell here'!T292</f>
        <v>3.4425015727329641E-7</v>
      </c>
      <c r="N292" s="1">
        <f>'Paste cell here'!W292</f>
        <v>0</v>
      </c>
      <c r="O292" s="1">
        <f>'Paste cell here'!U292</f>
        <v>10.393895766296328</v>
      </c>
      <c r="P292" s="1">
        <f t="shared" si="23"/>
        <v>11.108720042798863</v>
      </c>
      <c r="Q292" s="1">
        <f>'Paste cell here'!V292</f>
        <v>0</v>
      </c>
      <c r="R292" s="1">
        <f t="shared" si="24"/>
        <v>2.3841906227062282E-9</v>
      </c>
      <c r="S292" s="7">
        <f>Sintesi!$C$30</f>
        <v>0.107</v>
      </c>
      <c r="T292" s="7">
        <f>Sintesi!$C$29</f>
        <v>0.23300000000000001</v>
      </c>
      <c r="U292" s="5">
        <f>O292/(Sintesi!$C$5*1000)</f>
        <v>0.10393895766296328</v>
      </c>
      <c r="V292" s="1">
        <f t="shared" si="20"/>
        <v>0.126</v>
      </c>
      <c r="W292" s="1">
        <v>0.628366489124635</v>
      </c>
      <c r="X292" s="1">
        <f t="shared" si="21"/>
        <v>7.917417762970401E-2</v>
      </c>
      <c r="Y292" s="1">
        <f t="shared" si="22"/>
        <v>0.15382582237029602</v>
      </c>
      <c r="Z292" s="1">
        <f>'Paste cellinfo here'!$B$11</f>
        <v>0.52400000000000002</v>
      </c>
    </row>
    <row r="293" spans="1:26">
      <c r="A293" s="1">
        <v>292</v>
      </c>
      <c r="B293" s="2">
        <f>DATE(Sintesi!$C$4-1,12,31)+A293</f>
        <v>44488</v>
      </c>
      <c r="C293" s="1">
        <f>'Paste cell here'!B293</f>
        <v>0</v>
      </c>
      <c r="D293" s="1">
        <f>'Paste cell here'!I293</f>
        <v>0</v>
      </c>
      <c r="E293" s="1">
        <f>'Paste cell here'!J293</f>
        <v>0</v>
      </c>
      <c r="F293" s="1">
        <f>'Paste cell here'!K293</f>
        <v>0</v>
      </c>
      <c r="G293" s="1">
        <f>'Paste cell here'!L293</f>
        <v>0</v>
      </c>
      <c r="H293" s="1">
        <f>'Paste cell here'!M293</f>
        <v>0</v>
      </c>
      <c r="I293" s="1">
        <f>'Paste cell here'!N293</f>
        <v>0</v>
      </c>
      <c r="J293" s="1">
        <f>'Paste cell here'!O293</f>
        <v>0</v>
      </c>
      <c r="K293" s="1">
        <f>'Paste cell here'!Q293</f>
        <v>0.60910227934223293</v>
      </c>
      <c r="L293" s="1">
        <f>'Paste cell here'!S293</f>
        <v>0</v>
      </c>
      <c r="M293" s="1">
        <f>'Paste cell here'!T293</f>
        <v>7.055860673880943E-8</v>
      </c>
      <c r="N293" s="1">
        <f>'Paste cell here'!W293</f>
        <v>0</v>
      </c>
      <c r="O293" s="1">
        <f>'Paste cell here'!U293</f>
        <v>9.7847934163954875</v>
      </c>
      <c r="P293" s="1">
        <f t="shared" si="23"/>
        <v>10.393895766296328</v>
      </c>
      <c r="Q293" s="1">
        <f>'Paste cell here'!V293</f>
        <v>0</v>
      </c>
      <c r="R293" s="1">
        <f t="shared" si="24"/>
        <v>1.7763568394002505E-15</v>
      </c>
      <c r="S293" s="7">
        <f>Sintesi!$C$30</f>
        <v>0.107</v>
      </c>
      <c r="T293" s="7">
        <f>Sintesi!$C$29</f>
        <v>0.23300000000000001</v>
      </c>
      <c r="U293" s="5">
        <f>O293/(Sintesi!$C$5*1000)</f>
        <v>9.7847934163954875E-2</v>
      </c>
      <c r="V293" s="1">
        <f t="shared" si="20"/>
        <v>0.126</v>
      </c>
      <c r="W293" s="1">
        <v>0.64289050275009396</v>
      </c>
      <c r="X293" s="1">
        <f t="shared" si="21"/>
        <v>8.1004203346511844E-2</v>
      </c>
      <c r="Y293" s="1">
        <f t="shared" si="22"/>
        <v>0.15199579665348817</v>
      </c>
      <c r="Z293" s="1">
        <f>'Paste cellinfo here'!$B$11</f>
        <v>0.52400000000000002</v>
      </c>
    </row>
    <row r="294" spans="1:26">
      <c r="A294" s="1">
        <v>293</v>
      </c>
      <c r="B294" s="2">
        <f>DATE(Sintesi!$C$4-1,12,31)+A294</f>
        <v>44489</v>
      </c>
      <c r="C294" s="1">
        <f>'Paste cell here'!B294</f>
        <v>0</v>
      </c>
      <c r="D294" s="1">
        <f>'Paste cell here'!I294</f>
        <v>0</v>
      </c>
      <c r="E294" s="1">
        <f>'Paste cell here'!J294</f>
        <v>0</v>
      </c>
      <c r="F294" s="1">
        <f>'Paste cell here'!K294</f>
        <v>0</v>
      </c>
      <c r="G294" s="1">
        <f>'Paste cell here'!L294</f>
        <v>0</v>
      </c>
      <c r="H294" s="1">
        <f>'Paste cell here'!M294</f>
        <v>0</v>
      </c>
      <c r="I294" s="1">
        <f>'Paste cell here'!N294</f>
        <v>0</v>
      </c>
      <c r="J294" s="1">
        <f>'Paste cell here'!O294</f>
        <v>0</v>
      </c>
      <c r="K294" s="1">
        <f>'Paste cell here'!Q294</f>
        <v>0.44791434411004516</v>
      </c>
      <c r="L294" s="1">
        <f>'Paste cell here'!S294</f>
        <v>0</v>
      </c>
      <c r="M294" s="1">
        <f>'Paste cell here'!T294</f>
        <v>1.5181993126899496E-8</v>
      </c>
      <c r="N294" s="1">
        <f>'Paste cell here'!W294</f>
        <v>0</v>
      </c>
      <c r="O294" s="1">
        <f>'Paste cell here'!U294</f>
        <v>9.3368790571034523</v>
      </c>
      <c r="P294" s="1">
        <f t="shared" si="23"/>
        <v>9.7847934163954875</v>
      </c>
      <c r="Q294" s="1">
        <f>'Paste cell here'!V294</f>
        <v>0</v>
      </c>
      <c r="R294" s="1">
        <f t="shared" si="24"/>
        <v>1.7763568394002505E-15</v>
      </c>
      <c r="S294" s="7">
        <f>Sintesi!$C$30</f>
        <v>0.107</v>
      </c>
      <c r="T294" s="7">
        <f>Sintesi!$C$29</f>
        <v>0.23300000000000001</v>
      </c>
      <c r="U294" s="5">
        <f>O294/(Sintesi!$C$5*1000)</f>
        <v>9.3368790571034518E-2</v>
      </c>
      <c r="V294" s="1">
        <f t="shared" si="20"/>
        <v>0.126</v>
      </c>
      <c r="W294" s="1">
        <v>0.64190045978212096</v>
      </c>
      <c r="X294" s="1">
        <f t="shared" si="21"/>
        <v>8.0879457932547236E-2</v>
      </c>
      <c r="Y294" s="1">
        <f t="shared" si="22"/>
        <v>0.15212054206745279</v>
      </c>
      <c r="Z294" s="1">
        <f>'Paste cellinfo here'!$B$11</f>
        <v>0.52400000000000002</v>
      </c>
    </row>
    <row r="295" spans="1:26">
      <c r="A295" s="1">
        <v>294</v>
      </c>
      <c r="B295" s="2">
        <f>DATE(Sintesi!$C$4-1,12,31)+A295</f>
        <v>44490</v>
      </c>
      <c r="C295" s="1">
        <f>'Paste cell here'!B295</f>
        <v>5.0399999999999734</v>
      </c>
      <c r="D295" s="1">
        <f>'Paste cell here'!I295</f>
        <v>0</v>
      </c>
      <c r="E295" s="1">
        <f>'Paste cell here'!J295</f>
        <v>5.0399999999999734</v>
      </c>
      <c r="F295" s="1">
        <f>'Paste cell here'!K295</f>
        <v>5.0399999999999734</v>
      </c>
      <c r="G295" s="1">
        <f>'Paste cell here'!L295</f>
        <v>5.0399999999999734</v>
      </c>
      <c r="H295" s="1">
        <f>'Paste cell here'!M295</f>
        <v>0</v>
      </c>
      <c r="I295" s="1">
        <f>'Paste cell here'!N295</f>
        <v>0</v>
      </c>
      <c r="J295" s="1">
        <f>'Paste cell here'!O295</f>
        <v>5.0400001502036762</v>
      </c>
      <c r="K295" s="1">
        <f>'Paste cell here'!Q295</f>
        <v>0.40958580318250443</v>
      </c>
      <c r="L295" s="1">
        <f>'Paste cell here'!S295</f>
        <v>0</v>
      </c>
      <c r="M295" s="1">
        <f>'Paste cell here'!T295</f>
        <v>7.0138269441219143E-6</v>
      </c>
      <c r="N295" s="1">
        <f>'Paste cell here'!W295</f>
        <v>0</v>
      </c>
      <c r="O295" s="1">
        <f>'Paste cell here'!U295</f>
        <v>13.967286390297682</v>
      </c>
      <c r="P295" s="1">
        <f t="shared" si="23"/>
        <v>9.3368790571034523</v>
      </c>
      <c r="Q295" s="1">
        <f>'Paste cell here'!V295</f>
        <v>0</v>
      </c>
      <c r="R295" s="1">
        <f t="shared" si="24"/>
        <v>1.50203703697116E-7</v>
      </c>
      <c r="S295" s="7">
        <f>Sintesi!$C$30</f>
        <v>0.107</v>
      </c>
      <c r="T295" s="7">
        <f>Sintesi!$C$29</f>
        <v>0.23300000000000001</v>
      </c>
      <c r="U295" s="5">
        <f>O295/(Sintesi!$C$5*1000)</f>
        <v>0.13967286390297681</v>
      </c>
      <c r="V295" s="1">
        <f t="shared" si="20"/>
        <v>0.126</v>
      </c>
      <c r="W295" s="1">
        <v>0.62462724068280695</v>
      </c>
      <c r="X295" s="1">
        <f t="shared" si="21"/>
        <v>7.8703032326033678E-2</v>
      </c>
      <c r="Y295" s="1">
        <f t="shared" si="22"/>
        <v>0.15429696767396633</v>
      </c>
      <c r="Z295" s="1">
        <f>'Paste cellinfo here'!$B$11</f>
        <v>0.52400000000000002</v>
      </c>
    </row>
    <row r="296" spans="1:26">
      <c r="A296" s="1">
        <v>295</v>
      </c>
      <c r="B296" s="2">
        <f>DATE(Sintesi!$C$4-1,12,31)+A296</f>
        <v>44491</v>
      </c>
      <c r="C296" s="1">
        <f>'Paste cell here'!B296</f>
        <v>3.9999999999997732E-2</v>
      </c>
      <c r="D296" s="1">
        <f>'Paste cell here'!I296</f>
        <v>0</v>
      </c>
      <c r="E296" s="1">
        <f>'Paste cell here'!J296</f>
        <v>3.9999999999997732E-2</v>
      </c>
      <c r="F296" s="1">
        <f>'Paste cell here'!K296</f>
        <v>3.9999999999997732E-2</v>
      </c>
      <c r="G296" s="1">
        <f>'Paste cell here'!L296</f>
        <v>3.9999999999997732E-2</v>
      </c>
      <c r="H296" s="1">
        <f>'Paste cell here'!M296</f>
        <v>0</v>
      </c>
      <c r="I296" s="1">
        <f>'Paste cell here'!N296</f>
        <v>0</v>
      </c>
      <c r="J296" s="1">
        <f>'Paste cell here'!O296</f>
        <v>4.0000001192090635E-2</v>
      </c>
      <c r="K296" s="1">
        <f>'Paste cell here'!Q296</f>
        <v>1.0354877044841306</v>
      </c>
      <c r="L296" s="1">
        <f>'Paste cell here'!S296</f>
        <v>0</v>
      </c>
      <c r="M296" s="1">
        <f>'Paste cell here'!T296</f>
        <v>3.1080484622758916E-5</v>
      </c>
      <c r="N296" s="1">
        <f>'Paste cell here'!W296</f>
        <v>0</v>
      </c>
      <c r="O296" s="1">
        <f>'Paste cell here'!U296</f>
        <v>12.971767606521018</v>
      </c>
      <c r="P296" s="1">
        <f t="shared" si="23"/>
        <v>13.967286390297682</v>
      </c>
      <c r="Q296" s="1">
        <f>'Paste cell here'!V296</f>
        <v>0</v>
      </c>
      <c r="R296" s="1">
        <f t="shared" si="24"/>
        <v>1.1920935349962747E-9</v>
      </c>
      <c r="S296" s="7">
        <f>Sintesi!$C$30</f>
        <v>0.107</v>
      </c>
      <c r="T296" s="7">
        <f>Sintesi!$C$29</f>
        <v>0.23300000000000001</v>
      </c>
      <c r="U296" s="5">
        <f>O296/(Sintesi!$C$5*1000)</f>
        <v>0.12971767606521017</v>
      </c>
      <c r="V296" s="1">
        <f t="shared" si="20"/>
        <v>0.126</v>
      </c>
      <c r="W296" s="1">
        <v>0.61811433192206899</v>
      </c>
      <c r="X296" s="1">
        <f t="shared" si="21"/>
        <v>7.78824058221807E-2</v>
      </c>
      <c r="Y296" s="1">
        <f t="shared" si="22"/>
        <v>0.15511759417781931</v>
      </c>
      <c r="Z296" s="1">
        <f>'Paste cellinfo here'!$B$11</f>
        <v>0.52400000000000002</v>
      </c>
    </row>
    <row r="297" spans="1:26">
      <c r="A297" s="1">
        <v>296</v>
      </c>
      <c r="B297" s="2">
        <f>DATE(Sintesi!$C$4-1,12,31)+A297</f>
        <v>44492</v>
      </c>
      <c r="C297" s="1">
        <f>'Paste cell here'!B297</f>
        <v>0</v>
      </c>
      <c r="D297" s="1">
        <f>'Paste cell here'!I297</f>
        <v>0</v>
      </c>
      <c r="E297" s="1">
        <f>'Paste cell here'!J297</f>
        <v>0</v>
      </c>
      <c r="F297" s="1">
        <f>'Paste cell here'!K297</f>
        <v>0</v>
      </c>
      <c r="G297" s="1">
        <f>'Paste cell here'!L297</f>
        <v>0</v>
      </c>
      <c r="H297" s="1">
        <f>'Paste cell here'!M297</f>
        <v>0</v>
      </c>
      <c r="I297" s="1">
        <f>'Paste cell here'!N297</f>
        <v>0</v>
      </c>
      <c r="J297" s="1">
        <f>'Paste cell here'!O297</f>
        <v>0</v>
      </c>
      <c r="K297" s="1">
        <f>'Paste cell here'!Q297</f>
        <v>0.80135538414108831</v>
      </c>
      <c r="L297" s="1">
        <f>'Paste cell here'!S297</f>
        <v>0</v>
      </c>
      <c r="M297" s="1">
        <f>'Paste cell here'!T297</f>
        <v>8.5177283904760101E-6</v>
      </c>
      <c r="N297" s="1">
        <f>'Paste cell here'!W297</f>
        <v>0</v>
      </c>
      <c r="O297" s="1">
        <f>'Paste cell here'!U297</f>
        <v>12.170403704651541</v>
      </c>
      <c r="P297" s="1">
        <f t="shared" si="23"/>
        <v>12.971767606521018</v>
      </c>
      <c r="Q297" s="1">
        <f>'Paste cell here'!V297</f>
        <v>0</v>
      </c>
      <c r="R297" s="1">
        <f t="shared" si="24"/>
        <v>1.7763568394002505E-15</v>
      </c>
      <c r="S297" s="7">
        <f>Sintesi!$C$30</f>
        <v>0.107</v>
      </c>
      <c r="T297" s="7">
        <f>Sintesi!$C$29</f>
        <v>0.23300000000000001</v>
      </c>
      <c r="U297" s="5">
        <f>O297/(Sintesi!$C$5*1000)</f>
        <v>0.1217040370465154</v>
      </c>
      <c r="V297" s="1">
        <f t="shared" si="20"/>
        <v>0.126</v>
      </c>
      <c r="W297" s="1">
        <v>0.64352310364367404</v>
      </c>
      <c r="X297" s="1">
        <f t="shared" si="21"/>
        <v>8.1083911059102926E-2</v>
      </c>
      <c r="Y297" s="1">
        <f t="shared" si="22"/>
        <v>0.15191608894089709</v>
      </c>
      <c r="Z297" s="1">
        <f>'Paste cellinfo here'!$B$11</f>
        <v>0.52400000000000002</v>
      </c>
    </row>
    <row r="298" spans="1:26">
      <c r="A298" s="1">
        <v>297</v>
      </c>
      <c r="B298" s="2">
        <f>DATE(Sintesi!$C$4-1,12,31)+A298</f>
        <v>44493</v>
      </c>
      <c r="C298" s="1">
        <f>'Paste cell here'!B298</f>
        <v>3.9999999999997732E-2</v>
      </c>
      <c r="D298" s="1">
        <f>'Paste cell here'!I298</f>
        <v>0</v>
      </c>
      <c r="E298" s="1">
        <f>'Paste cell here'!J298</f>
        <v>3.9999999999997732E-2</v>
      </c>
      <c r="F298" s="1">
        <f>'Paste cell here'!K298</f>
        <v>3.9999999999997732E-2</v>
      </c>
      <c r="G298" s="1">
        <f>'Paste cell here'!L298</f>
        <v>3.9999999999997732E-2</v>
      </c>
      <c r="H298" s="1">
        <f>'Paste cell here'!M298</f>
        <v>0</v>
      </c>
      <c r="I298" s="1">
        <f>'Paste cell here'!N298</f>
        <v>0</v>
      </c>
      <c r="J298" s="1">
        <f>'Paste cell here'!O298</f>
        <v>4.0000001192090635E-2</v>
      </c>
      <c r="K298" s="1">
        <f>'Paste cell here'!Q298</f>
        <v>0.78478703777034187</v>
      </c>
      <c r="L298" s="1">
        <f>'Paste cell here'!S298</f>
        <v>0</v>
      </c>
      <c r="M298" s="1">
        <f>'Paste cell here'!T298</f>
        <v>2.4752529287732527E-6</v>
      </c>
      <c r="N298" s="1">
        <f>'Paste cell here'!W298</f>
        <v>0</v>
      </c>
      <c r="O298" s="1">
        <f>'Paste cell here'!U298</f>
        <v>11.425614192820362</v>
      </c>
      <c r="P298" s="1">
        <f t="shared" si="23"/>
        <v>12.170403704651541</v>
      </c>
      <c r="Q298" s="1">
        <f>'Paste cell here'!V298</f>
        <v>0</v>
      </c>
      <c r="R298" s="1">
        <f t="shared" si="24"/>
        <v>1.1920935349962747E-9</v>
      </c>
      <c r="S298" s="7">
        <f>Sintesi!$C$30</f>
        <v>0.107</v>
      </c>
      <c r="T298" s="7">
        <f>Sintesi!$C$29</f>
        <v>0.23300000000000001</v>
      </c>
      <c r="U298" s="5">
        <f>O298/(Sintesi!$C$5*1000)</f>
        <v>0.11425614192820362</v>
      </c>
      <c r="V298" s="1">
        <f t="shared" si="20"/>
        <v>0.126</v>
      </c>
      <c r="W298" s="1">
        <v>0.63947523673653905</v>
      </c>
      <c r="X298" s="1">
        <f t="shared" si="21"/>
        <v>8.0573879828803915E-2</v>
      </c>
      <c r="Y298" s="1">
        <f t="shared" si="22"/>
        <v>0.15242612017119611</v>
      </c>
      <c r="Z298" s="1">
        <f>'Paste cellinfo here'!$B$11</f>
        <v>0.52400000000000002</v>
      </c>
    </row>
    <row r="299" spans="1:26">
      <c r="A299" s="1">
        <v>298</v>
      </c>
      <c r="B299" s="2">
        <f>DATE(Sintesi!$C$4-1,12,31)+A299</f>
        <v>44494</v>
      </c>
      <c r="C299" s="1">
        <f>'Paste cell here'!B299</f>
        <v>0</v>
      </c>
      <c r="D299" s="1">
        <f>'Paste cell here'!I299</f>
        <v>0</v>
      </c>
      <c r="E299" s="1">
        <f>'Paste cell here'!J299</f>
        <v>0</v>
      </c>
      <c r="F299" s="1">
        <f>'Paste cell here'!K299</f>
        <v>0</v>
      </c>
      <c r="G299" s="1">
        <f>'Paste cell here'!L299</f>
        <v>0</v>
      </c>
      <c r="H299" s="1">
        <f>'Paste cell here'!M299</f>
        <v>0</v>
      </c>
      <c r="I299" s="1">
        <f>'Paste cell here'!N299</f>
        <v>0</v>
      </c>
      <c r="J299" s="1">
        <f>'Paste cell here'!O299</f>
        <v>0</v>
      </c>
      <c r="K299" s="1">
        <f>'Paste cell here'!Q299</f>
        <v>0.60487212384631117</v>
      </c>
      <c r="L299" s="1">
        <f>'Paste cell here'!S299</f>
        <v>0</v>
      </c>
      <c r="M299" s="1">
        <f>'Paste cell here'!T299</f>
        <v>6.8580786281197595E-7</v>
      </c>
      <c r="N299" s="1">
        <f>'Paste cell here'!W299</f>
        <v>0</v>
      </c>
      <c r="O299" s="1">
        <f>'Paste cell here'!U299</f>
        <v>10.820741383166192</v>
      </c>
      <c r="P299" s="1">
        <f t="shared" si="23"/>
        <v>11.425614192820362</v>
      </c>
      <c r="Q299" s="1">
        <f>'Paste cell here'!V299</f>
        <v>0</v>
      </c>
      <c r="R299" s="1">
        <f t="shared" si="24"/>
        <v>3.5527136788005009E-15</v>
      </c>
      <c r="S299" s="7">
        <f>Sintesi!$C$30</f>
        <v>0.107</v>
      </c>
      <c r="T299" s="7">
        <f>Sintesi!$C$29</f>
        <v>0.23300000000000001</v>
      </c>
      <c r="U299" s="5">
        <f>O299/(Sintesi!$C$5*1000)</f>
        <v>0.10820741383166192</v>
      </c>
      <c r="V299" s="1">
        <f t="shared" si="20"/>
        <v>0.126</v>
      </c>
      <c r="W299" s="1">
        <v>0.66146036409954601</v>
      </c>
      <c r="X299" s="1">
        <f t="shared" si="21"/>
        <v>8.3344005876542795E-2</v>
      </c>
      <c r="Y299" s="1">
        <f t="shared" si="22"/>
        <v>0.1496559941234572</v>
      </c>
      <c r="Z299" s="1">
        <f>'Paste cellinfo here'!$B$11</f>
        <v>0.52400000000000002</v>
      </c>
    </row>
    <row r="300" spans="1:26">
      <c r="A300" s="1">
        <v>299</v>
      </c>
      <c r="B300" s="2">
        <f>DATE(Sintesi!$C$4-1,12,31)+A300</f>
        <v>44495</v>
      </c>
      <c r="C300" s="1">
        <f>'Paste cell here'!B300</f>
        <v>7.9999999999999724E-2</v>
      </c>
      <c r="D300" s="1">
        <f>'Paste cell here'!I300</f>
        <v>0</v>
      </c>
      <c r="E300" s="1">
        <f>'Paste cell here'!J300</f>
        <v>7.9999999999999724E-2</v>
      </c>
      <c r="F300" s="1">
        <f>'Paste cell here'!K300</f>
        <v>7.9999999999999724E-2</v>
      </c>
      <c r="G300" s="1">
        <f>'Paste cell here'!L300</f>
        <v>7.9999999999999724E-2</v>
      </c>
      <c r="H300" s="1">
        <f>'Paste cell here'!M300</f>
        <v>0</v>
      </c>
      <c r="I300" s="1">
        <f>'Paste cell here'!N300</f>
        <v>0</v>
      </c>
      <c r="J300" s="1">
        <f>'Paste cell here'!O300</f>
        <v>8.000000238418549E-2</v>
      </c>
      <c r="K300" s="1">
        <f>'Paste cell here'!Q300</f>
        <v>0.58593713152475202</v>
      </c>
      <c r="L300" s="1">
        <f>'Paste cell here'!S300</f>
        <v>0</v>
      </c>
      <c r="M300" s="1">
        <f>'Paste cell here'!T300</f>
        <v>2.0939959982646798E-7</v>
      </c>
      <c r="N300" s="1">
        <f>'Paste cell here'!W300</f>
        <v>0</v>
      </c>
      <c r="O300" s="1">
        <f>'Paste cell here'!U300</f>
        <v>10.314804044626026</v>
      </c>
      <c r="P300" s="1">
        <f t="shared" si="23"/>
        <v>10.820741383166192</v>
      </c>
      <c r="Q300" s="1">
        <f>'Paste cell here'!V300</f>
        <v>0</v>
      </c>
      <c r="R300" s="1">
        <f t="shared" si="24"/>
        <v>2.38418529363571E-9</v>
      </c>
      <c r="S300" s="7">
        <f>Sintesi!$C$30</f>
        <v>0.107</v>
      </c>
      <c r="T300" s="7">
        <f>Sintesi!$C$29</f>
        <v>0.23300000000000001</v>
      </c>
      <c r="U300" s="5">
        <f>O300/(Sintesi!$C$5*1000)</f>
        <v>0.10314804044626026</v>
      </c>
      <c r="V300" s="1">
        <f t="shared" si="20"/>
        <v>0.126</v>
      </c>
      <c r="W300" s="1">
        <v>0.64631567745844198</v>
      </c>
      <c r="X300" s="1">
        <f t="shared" si="21"/>
        <v>8.1435775359763693E-2</v>
      </c>
      <c r="Y300" s="1">
        <f t="shared" si="22"/>
        <v>0.15156422464023633</v>
      </c>
      <c r="Z300" s="1">
        <f>'Paste cellinfo here'!$B$11</f>
        <v>0.52400000000000002</v>
      </c>
    </row>
    <row r="301" spans="1:26">
      <c r="A301" s="1">
        <v>300</v>
      </c>
      <c r="B301" s="2">
        <f>DATE(Sintesi!$C$4-1,12,31)+A301</f>
        <v>44496</v>
      </c>
      <c r="C301" s="1">
        <f>'Paste cell here'!B301</f>
        <v>7.9999999999999724E-2</v>
      </c>
      <c r="D301" s="1">
        <f>'Paste cell here'!I301</f>
        <v>0</v>
      </c>
      <c r="E301" s="1">
        <f>'Paste cell here'!J301</f>
        <v>7.9999999999999724E-2</v>
      </c>
      <c r="F301" s="1">
        <f>'Paste cell here'!K301</f>
        <v>7.9999999999999724E-2</v>
      </c>
      <c r="G301" s="1">
        <f>'Paste cell here'!L301</f>
        <v>7.9999999999999724E-2</v>
      </c>
      <c r="H301" s="1">
        <f>'Paste cell here'!M301</f>
        <v>0</v>
      </c>
      <c r="I301" s="1">
        <f>'Paste cell here'!N301</f>
        <v>0</v>
      </c>
      <c r="J301" s="1">
        <f>'Paste cell here'!O301</f>
        <v>8.000000238418549E-2</v>
      </c>
      <c r="K301" s="1">
        <f>'Paste cell here'!Q301</f>
        <v>0.56336209972822293</v>
      </c>
      <c r="L301" s="1">
        <f>'Paste cell here'!S301</f>
        <v>0</v>
      </c>
      <c r="M301" s="1">
        <f>'Paste cell here'!T301</f>
        <v>6.4094627590308063E-8</v>
      </c>
      <c r="N301" s="1">
        <f>'Paste cell here'!W301</f>
        <v>0</v>
      </c>
      <c r="O301" s="1">
        <f>'Paste cell here'!U301</f>
        <v>9.8314418831873613</v>
      </c>
      <c r="P301" s="1">
        <f t="shared" si="23"/>
        <v>10.314804044626026</v>
      </c>
      <c r="Q301" s="1">
        <f>'Paste cell here'!V301</f>
        <v>0</v>
      </c>
      <c r="R301" s="1">
        <f t="shared" si="24"/>
        <v>2.3841870699925494E-9</v>
      </c>
      <c r="S301" s="7">
        <f>Sintesi!$C$30</f>
        <v>0.107</v>
      </c>
      <c r="T301" s="7">
        <f>Sintesi!$C$29</f>
        <v>0.23300000000000001</v>
      </c>
      <c r="U301" s="5">
        <f>O301/(Sintesi!$C$5*1000)</f>
        <v>9.8314418831873612E-2</v>
      </c>
      <c r="V301" s="1">
        <f t="shared" si="20"/>
        <v>0.126</v>
      </c>
      <c r="W301" s="1">
        <v>0.64208491711821802</v>
      </c>
      <c r="X301" s="1">
        <f t="shared" si="21"/>
        <v>8.0902699556895469E-2</v>
      </c>
      <c r="Y301" s="1">
        <f t="shared" si="22"/>
        <v>0.15209730044310454</v>
      </c>
      <c r="Z301" s="1">
        <f>'Paste cellinfo here'!$B$11</f>
        <v>0.52400000000000002</v>
      </c>
    </row>
    <row r="302" spans="1:26">
      <c r="A302" s="1">
        <v>301</v>
      </c>
      <c r="B302" s="2">
        <f>DATE(Sintesi!$C$4-1,12,31)+A302</f>
        <v>44497</v>
      </c>
      <c r="C302" s="1">
        <f>'Paste cell here'!B302</f>
        <v>0</v>
      </c>
      <c r="D302" s="1">
        <f>'Paste cell here'!I302</f>
        <v>0</v>
      </c>
      <c r="E302" s="1">
        <f>'Paste cell here'!J302</f>
        <v>0</v>
      </c>
      <c r="F302" s="1">
        <f>'Paste cell here'!K302</f>
        <v>0</v>
      </c>
      <c r="G302" s="1">
        <f>'Paste cell here'!L302</f>
        <v>0</v>
      </c>
      <c r="H302" s="1">
        <f>'Paste cell here'!M302</f>
        <v>0</v>
      </c>
      <c r="I302" s="1">
        <f>'Paste cell here'!N302</f>
        <v>0</v>
      </c>
      <c r="J302" s="1">
        <f>'Paste cell here'!O302</f>
        <v>0</v>
      </c>
      <c r="K302" s="1">
        <f>'Paste cell here'!Q302</f>
        <v>0.45201644933898194</v>
      </c>
      <c r="L302" s="1">
        <f>'Paste cell here'!S302</f>
        <v>0</v>
      </c>
      <c r="M302" s="1">
        <f>'Paste cell here'!T302</f>
        <v>1.7377884544891515E-8</v>
      </c>
      <c r="N302" s="1">
        <f>'Paste cell here'!W302</f>
        <v>0</v>
      </c>
      <c r="O302" s="1">
        <f>'Paste cell here'!U302</f>
        <v>9.3794254164704913</v>
      </c>
      <c r="P302" s="1">
        <f t="shared" si="23"/>
        <v>9.8314418831873613</v>
      </c>
      <c r="Q302" s="1">
        <f>'Paste cell here'!V302</f>
        <v>0</v>
      </c>
      <c r="R302" s="1">
        <f t="shared" si="24"/>
        <v>3.5527136788005009E-15</v>
      </c>
      <c r="S302" s="7">
        <f>Sintesi!$C$30</f>
        <v>0.107</v>
      </c>
      <c r="T302" s="7">
        <f>Sintesi!$C$29</f>
        <v>0.23300000000000001</v>
      </c>
      <c r="U302" s="5">
        <f>O302/(Sintesi!$C$5*1000)</f>
        <v>9.379425416470491E-2</v>
      </c>
      <c r="V302" s="1">
        <f t="shared" si="20"/>
        <v>0.126</v>
      </c>
      <c r="W302" s="1">
        <v>0.64284007758085304</v>
      </c>
      <c r="X302" s="1">
        <f t="shared" si="21"/>
        <v>8.099784977518748E-2</v>
      </c>
      <c r="Y302" s="1">
        <f t="shared" si="22"/>
        <v>0.15200215022481253</v>
      </c>
      <c r="Z302" s="1">
        <f>'Paste cellinfo here'!$B$11</f>
        <v>0.52400000000000002</v>
      </c>
    </row>
    <row r="303" spans="1:26">
      <c r="A303" s="1">
        <v>302</v>
      </c>
      <c r="B303" s="2">
        <f>DATE(Sintesi!$C$4-1,12,31)+A303</f>
        <v>44498</v>
      </c>
      <c r="C303" s="1">
        <f>'Paste cell here'!B303</f>
        <v>0.15999999999999945</v>
      </c>
      <c r="D303" s="1">
        <f>'Paste cell here'!I303</f>
        <v>0</v>
      </c>
      <c r="E303" s="1">
        <f>'Paste cell here'!J303</f>
        <v>0.15999999999999945</v>
      </c>
      <c r="F303" s="1">
        <f>'Paste cell here'!K303</f>
        <v>0.15999999999999945</v>
      </c>
      <c r="G303" s="1">
        <f>'Paste cell here'!L303</f>
        <v>0.15999999999999945</v>
      </c>
      <c r="H303" s="1">
        <f>'Paste cell here'!M303</f>
        <v>0</v>
      </c>
      <c r="I303" s="1">
        <f>'Paste cell here'!N303</f>
        <v>0</v>
      </c>
      <c r="J303" s="1">
        <f>'Paste cell here'!O303</f>
        <v>0.16000000476837098</v>
      </c>
      <c r="K303" s="1">
        <f>'Paste cell here'!Q303</f>
        <v>0.39688337183532524</v>
      </c>
      <c r="L303" s="1">
        <f>'Paste cell here'!S303</f>
        <v>0</v>
      </c>
      <c r="M303" s="1">
        <f>'Paste cell here'!T303</f>
        <v>5.3870322682395005E-9</v>
      </c>
      <c r="N303" s="1">
        <f>'Paste cell here'!W303</f>
        <v>0</v>
      </c>
      <c r="O303" s="1">
        <f>'Paste cell here'!U303</f>
        <v>9.1425420440165048</v>
      </c>
      <c r="P303" s="1">
        <f t="shared" si="23"/>
        <v>9.3794254164704913</v>
      </c>
      <c r="Q303" s="1">
        <f>'Paste cell here'!V303</f>
        <v>0</v>
      </c>
      <c r="R303" s="1">
        <f t="shared" si="24"/>
        <v>4.7683723636282593E-9</v>
      </c>
      <c r="S303" s="7">
        <f>Sintesi!$C$30</f>
        <v>0.107</v>
      </c>
      <c r="T303" s="7">
        <f>Sintesi!$C$29</f>
        <v>0.23300000000000001</v>
      </c>
      <c r="U303" s="5">
        <f>O303/(Sintesi!$C$5*1000)</f>
        <v>9.1425420440165051E-2</v>
      </c>
      <c r="V303" s="1">
        <f t="shared" si="20"/>
        <v>0.126</v>
      </c>
      <c r="W303" s="1">
        <v>0.66702810426666403</v>
      </c>
      <c r="X303" s="1">
        <f t="shared" si="21"/>
        <v>8.4045541137599669E-2</v>
      </c>
      <c r="Y303" s="1">
        <f t="shared" si="22"/>
        <v>0.14895445886240033</v>
      </c>
      <c r="Z303" s="1">
        <f>'Paste cellinfo here'!$B$11</f>
        <v>0.52400000000000002</v>
      </c>
    </row>
    <row r="304" spans="1:26">
      <c r="A304" s="1">
        <v>303</v>
      </c>
      <c r="B304" s="2">
        <f>DATE(Sintesi!$C$4-1,12,31)+A304</f>
        <v>44499</v>
      </c>
      <c r="C304" s="1">
        <f>'Paste cell here'!B304</f>
        <v>1.1999999999999913</v>
      </c>
      <c r="D304" s="1">
        <f>'Paste cell here'!I304</f>
        <v>0</v>
      </c>
      <c r="E304" s="1">
        <f>'Paste cell here'!J304</f>
        <v>1.1999999999999913</v>
      </c>
      <c r="F304" s="1">
        <f>'Paste cell here'!K304</f>
        <v>1.1999999999999913</v>
      </c>
      <c r="G304" s="1">
        <f>'Paste cell here'!L304</f>
        <v>1.1999999999999913</v>
      </c>
      <c r="H304" s="1">
        <f>'Paste cell here'!M304</f>
        <v>0</v>
      </c>
      <c r="I304" s="1">
        <f>'Paste cell here'!N304</f>
        <v>0</v>
      </c>
      <c r="J304" s="1">
        <f>'Paste cell here'!O304</f>
        <v>1.2000000357627785</v>
      </c>
      <c r="K304" s="1">
        <f>'Paste cell here'!Q304</f>
        <v>0.31420157432739215</v>
      </c>
      <c r="L304" s="1">
        <f>'Paste cell here'!S304</f>
        <v>0</v>
      </c>
      <c r="M304" s="1">
        <f>'Paste cell here'!T304</f>
        <v>1.64191374994581E-8</v>
      </c>
      <c r="N304" s="1">
        <f>'Paste cell here'!W304</f>
        <v>0</v>
      </c>
      <c r="O304" s="1">
        <f>'Paste cell here'!U304</f>
        <v>10.028340489032756</v>
      </c>
      <c r="P304" s="1">
        <f t="shared" si="23"/>
        <v>9.1425420440165048</v>
      </c>
      <c r="Q304" s="1">
        <f>'Paste cell here'!V304</f>
        <v>0</v>
      </c>
      <c r="R304" s="1">
        <f t="shared" si="24"/>
        <v>3.5762788286319847E-8</v>
      </c>
      <c r="S304" s="7">
        <f>Sintesi!$C$30</f>
        <v>0.107</v>
      </c>
      <c r="T304" s="7">
        <f>Sintesi!$C$29</f>
        <v>0.23300000000000001</v>
      </c>
      <c r="U304" s="5">
        <f>O304/(Sintesi!$C$5*1000)</f>
        <v>0.10028340489032755</v>
      </c>
      <c r="V304" s="1">
        <f t="shared" si="20"/>
        <v>0.126</v>
      </c>
      <c r="W304" s="1">
        <v>0.67295640095716902</v>
      </c>
      <c r="X304" s="1">
        <f t="shared" si="21"/>
        <v>8.47925065206033E-2</v>
      </c>
      <c r="Y304" s="1">
        <f t="shared" si="22"/>
        <v>0.14820749347939671</v>
      </c>
      <c r="Z304" s="1">
        <f>'Paste cellinfo here'!$B$11</f>
        <v>0.52400000000000002</v>
      </c>
    </row>
    <row r="305" spans="1:26">
      <c r="A305" s="1">
        <v>304</v>
      </c>
      <c r="B305" s="2">
        <f>DATE(Sintesi!$C$4-1,12,31)+A305</f>
        <v>44500</v>
      </c>
      <c r="C305" s="1">
        <f>'Paste cell here'!B305</f>
        <v>0.3199999999999989</v>
      </c>
      <c r="D305" s="1">
        <f>'Paste cell here'!I305</f>
        <v>0</v>
      </c>
      <c r="E305" s="1">
        <f>'Paste cell here'!J305</f>
        <v>0.3199999999999989</v>
      </c>
      <c r="F305" s="1">
        <f>'Paste cell here'!K305</f>
        <v>0.3199999999999989</v>
      </c>
      <c r="G305" s="1">
        <f>'Paste cell here'!L305</f>
        <v>0.3199999999999989</v>
      </c>
      <c r="H305" s="1">
        <f>'Paste cell here'!M305</f>
        <v>0</v>
      </c>
      <c r="I305" s="1">
        <f>'Paste cell here'!N305</f>
        <v>0</v>
      </c>
      <c r="J305" s="1">
        <f>'Paste cell here'!O305</f>
        <v>0.32000000953674196</v>
      </c>
      <c r="K305" s="1">
        <f>'Paste cell here'!Q305</f>
        <v>0.32255837610644705</v>
      </c>
      <c r="L305" s="1">
        <f>'Paste cell here'!S305</f>
        <v>0</v>
      </c>
      <c r="M305" s="1">
        <f>'Paste cell here'!T305</f>
        <v>4.9386010682356838E-8</v>
      </c>
      <c r="N305" s="1">
        <f>'Paste cell here'!W305</f>
        <v>0</v>
      </c>
      <c r="O305" s="1">
        <f>'Paste cell here'!U305</f>
        <v>10.025782073077041</v>
      </c>
      <c r="P305" s="1">
        <f t="shared" si="23"/>
        <v>10.028340489032756</v>
      </c>
      <c r="Q305" s="1">
        <f>'Paste cell here'!V305</f>
        <v>0</v>
      </c>
      <c r="R305" s="1">
        <f t="shared" si="24"/>
        <v>9.5367429508996793E-9</v>
      </c>
      <c r="S305" s="7">
        <f>Sintesi!$C$30</f>
        <v>0.107</v>
      </c>
      <c r="T305" s="7">
        <f>Sintesi!$C$29</f>
        <v>0.23300000000000001</v>
      </c>
      <c r="U305" s="5">
        <f>O305/(Sintesi!$C$5*1000)</f>
        <v>0.10025782073077041</v>
      </c>
      <c r="V305" s="1">
        <f t="shared" si="20"/>
        <v>0.126</v>
      </c>
      <c r="W305" s="1">
        <v>0.65628031321041802</v>
      </c>
      <c r="X305" s="1">
        <f t="shared" si="21"/>
        <v>8.2691319464512678E-2</v>
      </c>
      <c r="Y305" s="1">
        <f t="shared" si="22"/>
        <v>0.15030868053548735</v>
      </c>
      <c r="Z305" s="1">
        <f>'Paste cellinfo here'!$B$11</f>
        <v>0.52400000000000002</v>
      </c>
    </row>
    <row r="306" spans="1:26">
      <c r="A306" s="1">
        <v>305</v>
      </c>
      <c r="B306" s="2">
        <f>DATE(Sintesi!$C$4-1,12,31)+A306</f>
        <v>44501</v>
      </c>
      <c r="C306" s="1">
        <f>'Paste cell here'!B306</f>
        <v>30.079999999999878</v>
      </c>
      <c r="D306" s="1">
        <f>'Paste cell here'!I306</f>
        <v>0</v>
      </c>
      <c r="E306" s="1">
        <f>'Paste cell here'!J306</f>
        <v>30.079999999999878</v>
      </c>
      <c r="F306" s="1">
        <f>'Paste cell here'!K306</f>
        <v>30.079999999999878</v>
      </c>
      <c r="G306" s="1">
        <f>'Paste cell here'!L306</f>
        <v>24.556994084221742</v>
      </c>
      <c r="H306" s="1">
        <f>'Paste cell here'!M306</f>
        <v>0</v>
      </c>
      <c r="I306" s="1">
        <f>'Paste cell here'!N306</f>
        <v>5.5230059157781346</v>
      </c>
      <c r="J306" s="1">
        <f>'Paste cell here'!O306</f>
        <v>24.556994816077211</v>
      </c>
      <c r="K306" s="1">
        <f>'Paste cell here'!Q306</f>
        <v>0.53956735374915565</v>
      </c>
      <c r="L306" s="1">
        <f>'Paste cell here'!S306</f>
        <v>0</v>
      </c>
      <c r="M306" s="1">
        <f>'Paste cell here'!T306</f>
        <v>0.74073925041507782</v>
      </c>
      <c r="N306" s="1">
        <f>'Paste cell here'!W306</f>
        <v>0</v>
      </c>
      <c r="O306" s="1">
        <f>'Paste cell here'!U306</f>
        <v>33.302470284990008</v>
      </c>
      <c r="P306" s="1">
        <f t="shared" si="23"/>
        <v>10.025782073077041</v>
      </c>
      <c r="Q306" s="1">
        <f>'Paste cell here'!V306</f>
        <v>0</v>
      </c>
      <c r="R306" s="1">
        <f t="shared" si="24"/>
        <v>7.3185545801379703E-7</v>
      </c>
      <c r="S306" s="7">
        <f>Sintesi!$C$30</f>
        <v>0.107</v>
      </c>
      <c r="T306" s="7">
        <f>Sintesi!$C$29</f>
        <v>0.23300000000000001</v>
      </c>
      <c r="U306" s="5">
        <f>O306/(Sintesi!$C$5*1000)</f>
        <v>0.3330247028499001</v>
      </c>
      <c r="V306" s="1">
        <f t="shared" si="20"/>
        <v>0.126</v>
      </c>
      <c r="W306" s="1">
        <v>0.65743297539938805</v>
      </c>
      <c r="X306" s="1">
        <f t="shared" si="21"/>
        <v>8.2836554900322892E-2</v>
      </c>
      <c r="Y306" s="1">
        <f t="shared" si="22"/>
        <v>0.15016344509967711</v>
      </c>
      <c r="Z306" s="1">
        <f>'Paste cellinfo here'!$B$11</f>
        <v>0.52400000000000002</v>
      </c>
    </row>
    <row r="307" spans="1:26">
      <c r="A307" s="1">
        <v>306</v>
      </c>
      <c r="B307" s="2">
        <f>DATE(Sintesi!$C$4-1,12,31)+A307</f>
        <v>44502</v>
      </c>
      <c r="C307" s="1">
        <f>'Paste cell here'!B307</f>
        <v>0.15999999999999945</v>
      </c>
      <c r="D307" s="1">
        <f>'Paste cell here'!I307</f>
        <v>0</v>
      </c>
      <c r="E307" s="1">
        <f>'Paste cell here'!J307</f>
        <v>0.15999999999999945</v>
      </c>
      <c r="F307" s="1">
        <f>'Paste cell here'!K307</f>
        <v>0.15999999999999945</v>
      </c>
      <c r="G307" s="1">
        <f>'Paste cell here'!L307</f>
        <v>0.15999999999999945</v>
      </c>
      <c r="H307" s="1">
        <f>'Paste cell here'!M307</f>
        <v>0</v>
      </c>
      <c r="I307" s="1">
        <f>'Paste cell here'!N307</f>
        <v>0</v>
      </c>
      <c r="J307" s="1">
        <f>'Paste cell here'!O307</f>
        <v>0.16000000476837098</v>
      </c>
      <c r="K307" s="1">
        <f>'Paste cell here'!Q307</f>
        <v>0.82592656916772389</v>
      </c>
      <c r="L307" s="1">
        <f>'Paste cell here'!S307</f>
        <v>0</v>
      </c>
      <c r="M307" s="1">
        <f>'Paste cell here'!T307</f>
        <v>2.9842183111960239</v>
      </c>
      <c r="N307" s="1">
        <f>'Paste cell here'!W307</f>
        <v>0</v>
      </c>
      <c r="O307" s="1">
        <f>'Paste cell here'!U307</f>
        <v>29.652325409394606</v>
      </c>
      <c r="P307" s="1">
        <f t="shared" si="23"/>
        <v>33.302470284990008</v>
      </c>
      <c r="Q307" s="1">
        <f>'Paste cell here'!V307</f>
        <v>0</v>
      </c>
      <c r="R307" s="1">
        <f t="shared" si="24"/>
        <v>4.7683528237030259E-9</v>
      </c>
      <c r="S307" s="7">
        <f>Sintesi!$C$30</f>
        <v>0.107</v>
      </c>
      <c r="T307" s="7">
        <f>Sintesi!$C$29</f>
        <v>0.23300000000000001</v>
      </c>
      <c r="U307" s="5">
        <f>O307/(Sintesi!$C$5*1000)</f>
        <v>0.29652325409394609</v>
      </c>
      <c r="V307" s="1">
        <f t="shared" si="20"/>
        <v>0.126</v>
      </c>
      <c r="W307" s="1">
        <v>0.66359517522382305</v>
      </c>
      <c r="X307" s="1">
        <f t="shared" si="21"/>
        <v>8.3612992078201706E-2</v>
      </c>
      <c r="Y307" s="1">
        <f t="shared" si="22"/>
        <v>0.14938700792179832</v>
      </c>
      <c r="Z307" s="1">
        <f>'Paste cellinfo here'!$B$11</f>
        <v>0.52400000000000002</v>
      </c>
    </row>
    <row r="308" spans="1:26">
      <c r="A308" s="1">
        <v>307</v>
      </c>
      <c r="B308" s="2">
        <f>DATE(Sintesi!$C$4-1,12,31)+A308</f>
        <v>44503</v>
      </c>
      <c r="C308" s="1">
        <f>'Paste cell here'!B308</f>
        <v>28.03999999999975</v>
      </c>
      <c r="D308" s="1">
        <f>'Paste cell here'!I308</f>
        <v>0</v>
      </c>
      <c r="E308" s="1">
        <f>'Paste cell here'!J308</f>
        <v>28.03999999999975</v>
      </c>
      <c r="F308" s="1">
        <f>'Paste cell here'!K308</f>
        <v>28.03999999999975</v>
      </c>
      <c r="G308" s="1">
        <f>'Paste cell here'!L308</f>
        <v>12.230225948550308</v>
      </c>
      <c r="H308" s="1">
        <f>'Paste cell here'!M308</f>
        <v>0</v>
      </c>
      <c r="I308" s="1">
        <f>'Paste cell here'!N308</f>
        <v>15.809774051449443</v>
      </c>
      <c r="J308" s="1">
        <f>'Paste cell here'!O308</f>
        <v>12.23022631303944</v>
      </c>
      <c r="K308" s="1">
        <f>'Paste cell here'!Q308</f>
        <v>0.62162489970503798</v>
      </c>
      <c r="L308" s="1">
        <f>'Paste cell here'!S308</f>
        <v>0</v>
      </c>
      <c r="M308" s="1">
        <f>'Paste cell here'!T308</f>
        <v>6.2252009683563063</v>
      </c>
      <c r="N308" s="1">
        <f>'Paste cell here'!W308</f>
        <v>0</v>
      </c>
      <c r="O308" s="1">
        <f>'Paste cell here'!U308</f>
        <v>35.035725854372714</v>
      </c>
      <c r="P308" s="1">
        <f t="shared" si="23"/>
        <v>29.652325409394606</v>
      </c>
      <c r="Q308" s="1">
        <f>'Paste cell here'!V308</f>
        <v>0</v>
      </c>
      <c r="R308" s="1">
        <f t="shared" si="24"/>
        <v>3.6448914642051022E-7</v>
      </c>
      <c r="S308" s="7">
        <f>Sintesi!$C$30</f>
        <v>0.107</v>
      </c>
      <c r="T308" s="7">
        <f>Sintesi!$C$29</f>
        <v>0.23300000000000001</v>
      </c>
      <c r="U308" s="5">
        <f>O308/(Sintesi!$C$5*1000)</f>
        <v>0.35035725854372712</v>
      </c>
      <c r="V308" s="1">
        <f t="shared" si="20"/>
        <v>0.126</v>
      </c>
      <c r="W308" s="1">
        <v>0.67437945469625604</v>
      </c>
      <c r="X308" s="1">
        <f t="shared" si="21"/>
        <v>8.4971811291728261E-2</v>
      </c>
      <c r="Y308" s="1">
        <f t="shared" si="22"/>
        <v>0.14802818870827175</v>
      </c>
      <c r="Z308" s="1">
        <f>'Paste cellinfo here'!$B$11</f>
        <v>0.52400000000000002</v>
      </c>
    </row>
    <row r="309" spans="1:26">
      <c r="A309" s="1">
        <v>308</v>
      </c>
      <c r="B309" s="2">
        <f>DATE(Sintesi!$C$4-1,12,31)+A309</f>
        <v>44504</v>
      </c>
      <c r="C309" s="1">
        <f>'Paste cell here'!B309</f>
        <v>6.8399999999998879</v>
      </c>
      <c r="D309" s="1">
        <f>'Paste cell here'!I309</f>
        <v>0</v>
      </c>
      <c r="E309" s="1">
        <f>'Paste cell here'!J309</f>
        <v>6.8399999999998879</v>
      </c>
      <c r="F309" s="1">
        <f>'Paste cell here'!K309</f>
        <v>6.8399999999998879</v>
      </c>
      <c r="G309" s="1">
        <f>'Paste cell here'!L309</f>
        <v>6.0030015011344009</v>
      </c>
      <c r="H309" s="1">
        <f>'Paste cell here'!M309</f>
        <v>0</v>
      </c>
      <c r="I309" s="1">
        <f>'Paste cell here'!N309</f>
        <v>0.83699849886548716</v>
      </c>
      <c r="J309" s="1">
        <f>'Paste cell here'!O309</f>
        <v>6.0030016800377908</v>
      </c>
      <c r="K309" s="1">
        <f>'Paste cell here'!Q309</f>
        <v>1.1692628338428641</v>
      </c>
      <c r="L309" s="1">
        <f>'Paste cell here'!S309</f>
        <v>0</v>
      </c>
      <c r="M309" s="1">
        <f>'Paste cell here'!T309</f>
        <v>6.7984568766290998</v>
      </c>
      <c r="N309" s="1">
        <f>'Paste cell here'!W309</f>
        <v>0</v>
      </c>
      <c r="O309" s="1">
        <f>'Paste cell here'!U309</f>
        <v>33.071007823938551</v>
      </c>
      <c r="P309" s="1">
        <f t="shared" si="23"/>
        <v>35.035725854372714</v>
      </c>
      <c r="Q309" s="1">
        <f>'Paste cell here'!V309</f>
        <v>0</v>
      </c>
      <c r="R309" s="1">
        <f t="shared" si="24"/>
        <v>1.7890339876203143E-7</v>
      </c>
      <c r="S309" s="7">
        <f>Sintesi!$C$30</f>
        <v>0.107</v>
      </c>
      <c r="T309" s="7">
        <f>Sintesi!$C$29</f>
        <v>0.23300000000000001</v>
      </c>
      <c r="U309" s="5">
        <f>O309/(Sintesi!$C$5*1000)</f>
        <v>0.33071007823938553</v>
      </c>
      <c r="V309" s="1">
        <f t="shared" si="20"/>
        <v>0.126</v>
      </c>
      <c r="W309" s="1">
        <v>0.67386348618894298</v>
      </c>
      <c r="X309" s="1">
        <f t="shared" si="21"/>
        <v>8.490679925980682E-2</v>
      </c>
      <c r="Y309" s="1">
        <f t="shared" si="22"/>
        <v>0.14809320074019319</v>
      </c>
      <c r="Z309" s="1">
        <f>'Paste cellinfo here'!$B$11</f>
        <v>0.52400000000000002</v>
      </c>
    </row>
    <row r="310" spans="1:26">
      <c r="A310" s="1">
        <v>309</v>
      </c>
      <c r="B310" s="2">
        <f>DATE(Sintesi!$C$4-1,12,31)+A310</f>
        <v>44505</v>
      </c>
      <c r="C310" s="1">
        <f>'Paste cell here'!B310</f>
        <v>0</v>
      </c>
      <c r="D310" s="1">
        <f>'Paste cell here'!I310</f>
        <v>0</v>
      </c>
      <c r="E310" s="1">
        <f>'Paste cell here'!J310</f>
        <v>0</v>
      </c>
      <c r="F310" s="1">
        <f>'Paste cell here'!K310</f>
        <v>0</v>
      </c>
      <c r="G310" s="1">
        <f>'Paste cell here'!L310</f>
        <v>0</v>
      </c>
      <c r="H310" s="1">
        <f>'Paste cell here'!M310</f>
        <v>0</v>
      </c>
      <c r="I310" s="1">
        <f>'Paste cell here'!N310</f>
        <v>0</v>
      </c>
      <c r="J310" s="1">
        <f>'Paste cell here'!O310</f>
        <v>0</v>
      </c>
      <c r="K310" s="1">
        <f>'Paste cell here'!Q310</f>
        <v>0.88726659903424476</v>
      </c>
      <c r="L310" s="1">
        <f>'Paste cell here'!S310</f>
        <v>0</v>
      </c>
      <c r="M310" s="1">
        <f>'Paste cell here'!T310</f>
        <v>2.7660090531322887</v>
      </c>
      <c r="N310" s="1">
        <f>'Paste cell here'!W310</f>
        <v>0</v>
      </c>
      <c r="O310" s="1">
        <f>'Paste cell here'!U310</f>
        <v>29.41773217177202</v>
      </c>
      <c r="P310" s="1">
        <f t="shared" si="23"/>
        <v>33.071007823938551</v>
      </c>
      <c r="Q310" s="1">
        <f>'Paste cell here'!V310</f>
        <v>0</v>
      </c>
      <c r="R310" s="1">
        <f t="shared" si="24"/>
        <v>0</v>
      </c>
      <c r="S310" s="7">
        <f>Sintesi!$C$30</f>
        <v>0.107</v>
      </c>
      <c r="T310" s="7">
        <f>Sintesi!$C$29</f>
        <v>0.23300000000000001</v>
      </c>
      <c r="U310" s="5">
        <f>O310/(Sintesi!$C$5*1000)</f>
        <v>0.29417732171772021</v>
      </c>
      <c r="V310" s="1">
        <f t="shared" si="20"/>
        <v>0.126</v>
      </c>
      <c r="W310" s="1">
        <v>0.649333885859122</v>
      </c>
      <c r="X310" s="1">
        <f t="shared" si="21"/>
        <v>8.1816069618249374E-2</v>
      </c>
      <c r="Y310" s="1">
        <f t="shared" si="22"/>
        <v>0.15118393038175065</v>
      </c>
      <c r="Z310" s="1">
        <f>'Paste cellinfo here'!$B$11</f>
        <v>0.52400000000000002</v>
      </c>
    </row>
    <row r="311" spans="1:26">
      <c r="A311" s="1">
        <v>310</v>
      </c>
      <c r="B311" s="2">
        <f>DATE(Sintesi!$C$4-1,12,31)+A311</f>
        <v>44506</v>
      </c>
      <c r="C311" s="1">
        <f>'Paste cell here'!B311</f>
        <v>0</v>
      </c>
      <c r="D311" s="1">
        <f>'Paste cell here'!I311</f>
        <v>0</v>
      </c>
      <c r="E311" s="1">
        <f>'Paste cell here'!J311</f>
        <v>0</v>
      </c>
      <c r="F311" s="1">
        <f>'Paste cell here'!K311</f>
        <v>0</v>
      </c>
      <c r="G311" s="1">
        <f>'Paste cell here'!L311</f>
        <v>0</v>
      </c>
      <c r="H311" s="1">
        <f>'Paste cell here'!M311</f>
        <v>0</v>
      </c>
      <c r="I311" s="1">
        <f>'Paste cell here'!N311</f>
        <v>0</v>
      </c>
      <c r="J311" s="1">
        <f>'Paste cell here'!O311</f>
        <v>0</v>
      </c>
      <c r="K311" s="1">
        <f>'Paste cell here'!Q311</f>
        <v>0.85812107299860385</v>
      </c>
      <c r="L311" s="1">
        <f>'Paste cell here'!S311</f>
        <v>0</v>
      </c>
      <c r="M311" s="1">
        <f>'Paste cell here'!T311</f>
        <v>0.98887888376326283</v>
      </c>
      <c r="N311" s="1">
        <f>'Paste cell here'!W311</f>
        <v>0</v>
      </c>
      <c r="O311" s="1">
        <f>'Paste cell here'!U311</f>
        <v>27.570732215010153</v>
      </c>
      <c r="P311" s="1">
        <f t="shared" si="23"/>
        <v>29.41773217177202</v>
      </c>
      <c r="Q311" s="1">
        <f>'Paste cell here'!V311</f>
        <v>0</v>
      </c>
      <c r="R311" s="1">
        <f t="shared" si="24"/>
        <v>0</v>
      </c>
      <c r="S311" s="7">
        <f>Sintesi!$C$30</f>
        <v>0.107</v>
      </c>
      <c r="T311" s="7">
        <f>Sintesi!$C$29</f>
        <v>0.23300000000000001</v>
      </c>
      <c r="U311" s="5">
        <f>O311/(Sintesi!$C$5*1000)</f>
        <v>0.27570732215010152</v>
      </c>
      <c r="V311" s="1">
        <f t="shared" si="20"/>
        <v>0.126</v>
      </c>
      <c r="W311" s="1">
        <v>0.66461917728992204</v>
      </c>
      <c r="X311" s="1">
        <f t="shared" si="21"/>
        <v>8.3742016338530179E-2</v>
      </c>
      <c r="Y311" s="1">
        <f t="shared" si="22"/>
        <v>0.14925798366146983</v>
      </c>
      <c r="Z311" s="1">
        <f>'Paste cellinfo here'!$B$11</f>
        <v>0.52400000000000002</v>
      </c>
    </row>
    <row r="312" spans="1:26">
      <c r="A312" s="1">
        <v>311</v>
      </c>
      <c r="B312" s="2">
        <f>DATE(Sintesi!$C$4-1,12,31)+A312</f>
        <v>44507</v>
      </c>
      <c r="C312" s="1">
        <f>'Paste cell here'!B312</f>
        <v>0</v>
      </c>
      <c r="D312" s="1">
        <f>'Paste cell here'!I312</f>
        <v>0</v>
      </c>
      <c r="E312" s="1">
        <f>'Paste cell here'!J312</f>
        <v>0</v>
      </c>
      <c r="F312" s="1">
        <f>'Paste cell here'!K312</f>
        <v>0</v>
      </c>
      <c r="G312" s="1">
        <f>'Paste cell here'!L312</f>
        <v>0</v>
      </c>
      <c r="H312" s="1">
        <f>'Paste cell here'!M312</f>
        <v>0</v>
      </c>
      <c r="I312" s="1">
        <f>'Paste cell here'!N312</f>
        <v>0</v>
      </c>
      <c r="J312" s="1">
        <f>'Paste cell here'!O312</f>
        <v>0</v>
      </c>
      <c r="K312" s="1">
        <f>'Paste cell here'!Q312</f>
        <v>0.88327499450659219</v>
      </c>
      <c r="L312" s="1">
        <f>'Paste cell here'!S312</f>
        <v>0</v>
      </c>
      <c r="M312" s="1">
        <f>'Paste cell here'!T312</f>
        <v>0.4986088201717726</v>
      </c>
      <c r="N312" s="1">
        <f>'Paste cell here'!W312</f>
        <v>0</v>
      </c>
      <c r="O312" s="1">
        <f>'Paste cell here'!U312</f>
        <v>26.1888484003318</v>
      </c>
      <c r="P312" s="1">
        <f t="shared" si="23"/>
        <v>27.570732215010153</v>
      </c>
      <c r="Q312" s="1">
        <f>'Paste cell here'!V312</f>
        <v>0</v>
      </c>
      <c r="R312" s="1">
        <f t="shared" si="24"/>
        <v>1.0658141036401503E-14</v>
      </c>
      <c r="S312" s="7">
        <f>Sintesi!$C$30</f>
        <v>0.107</v>
      </c>
      <c r="T312" s="7">
        <f>Sintesi!$C$29</f>
        <v>0.23300000000000001</v>
      </c>
      <c r="U312" s="5">
        <f>O312/(Sintesi!$C$5*1000)</f>
        <v>0.26188848400331799</v>
      </c>
      <c r="V312" s="1">
        <f t="shared" si="20"/>
        <v>0.126</v>
      </c>
      <c r="W312" s="1">
        <v>0.673349572678138</v>
      </c>
      <c r="X312" s="1">
        <f t="shared" si="21"/>
        <v>8.4842046157445394E-2</v>
      </c>
      <c r="Y312" s="1">
        <f t="shared" si="22"/>
        <v>0.14815795384255462</v>
      </c>
      <c r="Z312" s="1">
        <f>'Paste cellinfo here'!$B$11</f>
        <v>0.52400000000000002</v>
      </c>
    </row>
    <row r="313" spans="1:26">
      <c r="A313" s="1">
        <v>312</v>
      </c>
      <c r="B313" s="2">
        <f>DATE(Sintesi!$C$4-1,12,31)+A313</f>
        <v>44508</v>
      </c>
      <c r="C313" s="1">
        <f>'Paste cell here'!B313</f>
        <v>0.839999999999965</v>
      </c>
      <c r="D313" s="1">
        <f>'Paste cell here'!I313</f>
        <v>0</v>
      </c>
      <c r="E313" s="1">
        <f>'Paste cell here'!J313</f>
        <v>0.839999999999965</v>
      </c>
      <c r="F313" s="1">
        <f>'Paste cell here'!K313</f>
        <v>0.839999999999965</v>
      </c>
      <c r="G313" s="1">
        <f>'Paste cell here'!L313</f>
        <v>0.839999999999965</v>
      </c>
      <c r="H313" s="1">
        <f>'Paste cell here'!M313</f>
        <v>0</v>
      </c>
      <c r="I313" s="1">
        <f>'Paste cell here'!N313</f>
        <v>0</v>
      </c>
      <c r="J313" s="1">
        <f>'Paste cell here'!O313</f>
        <v>0.84000002503391624</v>
      </c>
      <c r="K313" s="1">
        <f>'Paste cell here'!Q313</f>
        <v>0.58530747358843016</v>
      </c>
      <c r="L313" s="1">
        <f>'Paste cell here'!S313</f>
        <v>0</v>
      </c>
      <c r="M313" s="1">
        <f>'Paste cell here'!T313</f>
        <v>0.35111782429427224</v>
      </c>
      <c r="N313" s="1">
        <f>'Paste cell here'!W313</f>
        <v>0</v>
      </c>
      <c r="O313" s="1">
        <f>'Paste cell here'!U313</f>
        <v>26.09242312748302</v>
      </c>
      <c r="P313" s="1">
        <f t="shared" si="23"/>
        <v>26.1888484003318</v>
      </c>
      <c r="Q313" s="1">
        <f>'Paste cell here'!V313</f>
        <v>0</v>
      </c>
      <c r="R313" s="1">
        <f t="shared" si="24"/>
        <v>2.5033955353137571E-8</v>
      </c>
      <c r="S313" s="7">
        <f>Sintesi!$C$30</f>
        <v>0.107</v>
      </c>
      <c r="T313" s="7">
        <f>Sintesi!$C$29</f>
        <v>0.23300000000000001</v>
      </c>
      <c r="U313" s="5">
        <f>O313/(Sintesi!$C$5*1000)</f>
        <v>0.26092423127483022</v>
      </c>
      <c r="V313" s="1">
        <f t="shared" si="20"/>
        <v>0.126</v>
      </c>
      <c r="W313" s="1">
        <v>0.66689154436625298</v>
      </c>
      <c r="X313" s="1">
        <f t="shared" si="21"/>
        <v>8.4028334590147871E-2</v>
      </c>
      <c r="Y313" s="1">
        <f t="shared" si="22"/>
        <v>0.14897166540985213</v>
      </c>
      <c r="Z313" s="1">
        <f>'Paste cellinfo here'!$B$11</f>
        <v>0.52400000000000002</v>
      </c>
    </row>
    <row r="314" spans="1:26">
      <c r="A314" s="1">
        <v>313</v>
      </c>
      <c r="B314" s="2">
        <f>DATE(Sintesi!$C$4-1,12,31)+A314</f>
        <v>44509</v>
      </c>
      <c r="C314" s="1">
        <f>'Paste cell here'!B314</f>
        <v>0</v>
      </c>
      <c r="D314" s="1">
        <f>'Paste cell here'!I314</f>
        <v>0</v>
      </c>
      <c r="E314" s="1">
        <f>'Paste cell here'!J314</f>
        <v>0</v>
      </c>
      <c r="F314" s="1">
        <f>'Paste cell here'!K314</f>
        <v>0</v>
      </c>
      <c r="G314" s="1">
        <f>'Paste cell here'!L314</f>
        <v>0</v>
      </c>
      <c r="H314" s="1">
        <f>'Paste cell here'!M314</f>
        <v>0</v>
      </c>
      <c r="I314" s="1">
        <f>'Paste cell here'!N314</f>
        <v>0</v>
      </c>
      <c r="J314" s="1">
        <f>'Paste cell here'!O314</f>
        <v>0</v>
      </c>
      <c r="K314" s="1">
        <f>'Paste cell here'!Q314</f>
        <v>0.72844309172670574</v>
      </c>
      <c r="L314" s="1">
        <f>'Paste cell here'!S314</f>
        <v>0</v>
      </c>
      <c r="M314" s="1">
        <f>'Paste cell here'!T314</f>
        <v>0.27456117935151614</v>
      </c>
      <c r="N314" s="1">
        <f>'Paste cell here'!W314</f>
        <v>0</v>
      </c>
      <c r="O314" s="1">
        <f>'Paste cell here'!U314</f>
        <v>25.089418856404787</v>
      </c>
      <c r="P314" s="1">
        <f t="shared" si="23"/>
        <v>26.09242312748302</v>
      </c>
      <c r="Q314" s="1">
        <f>'Paste cell here'!V314</f>
        <v>0</v>
      </c>
      <c r="R314" s="1">
        <f t="shared" si="24"/>
        <v>1.0658141036401503E-14</v>
      </c>
      <c r="S314" s="7">
        <f>Sintesi!$C$30</f>
        <v>0.107</v>
      </c>
      <c r="T314" s="7">
        <f>Sintesi!$C$29</f>
        <v>0.23300000000000001</v>
      </c>
      <c r="U314" s="5">
        <f>O314/(Sintesi!$C$5*1000)</f>
        <v>0.25089418856404788</v>
      </c>
      <c r="V314" s="1">
        <f t="shared" si="20"/>
        <v>0.126</v>
      </c>
      <c r="W314" s="1">
        <v>0.66760972918224504</v>
      </c>
      <c r="X314" s="1">
        <f t="shared" si="21"/>
        <v>8.4118825876962872E-2</v>
      </c>
      <c r="Y314" s="1">
        <f t="shared" si="22"/>
        <v>0.14888117412303714</v>
      </c>
      <c r="Z314" s="1">
        <f>'Paste cellinfo here'!$B$11</f>
        <v>0.52400000000000002</v>
      </c>
    </row>
    <row r="315" spans="1:26">
      <c r="A315" s="1">
        <v>314</v>
      </c>
      <c r="B315" s="2">
        <f>DATE(Sintesi!$C$4-1,12,31)+A315</f>
        <v>44510</v>
      </c>
      <c r="C315" s="1">
        <f>'Paste cell here'!B315</f>
        <v>0</v>
      </c>
      <c r="D315" s="1">
        <f>'Paste cell here'!I315</f>
        <v>0</v>
      </c>
      <c r="E315" s="1">
        <f>'Paste cell here'!J315</f>
        <v>0</v>
      </c>
      <c r="F315" s="1">
        <f>'Paste cell here'!K315</f>
        <v>0</v>
      </c>
      <c r="G315" s="1">
        <f>'Paste cell here'!L315</f>
        <v>0</v>
      </c>
      <c r="H315" s="1">
        <f>'Paste cell here'!M315</f>
        <v>0</v>
      </c>
      <c r="I315" s="1">
        <f>'Paste cell here'!N315</f>
        <v>0</v>
      </c>
      <c r="J315" s="1">
        <f>'Paste cell here'!O315</f>
        <v>0</v>
      </c>
      <c r="K315" s="1">
        <f>'Paste cell here'!Q315</f>
        <v>0.83047650413828455</v>
      </c>
      <c r="L315" s="1">
        <f>'Paste cell here'!S315</f>
        <v>0</v>
      </c>
      <c r="M315" s="1">
        <f>'Paste cell here'!T315</f>
        <v>0.16895768287994012</v>
      </c>
      <c r="N315" s="1">
        <f>'Paste cell here'!W315</f>
        <v>0</v>
      </c>
      <c r="O315" s="1">
        <f>'Paste cell here'!U315</f>
        <v>24.089984669386567</v>
      </c>
      <c r="P315" s="1">
        <f t="shared" si="23"/>
        <v>25.089418856404787</v>
      </c>
      <c r="Q315" s="1">
        <f>'Paste cell here'!V315</f>
        <v>0</v>
      </c>
      <c r="R315" s="1">
        <f t="shared" si="24"/>
        <v>7.1054273576010019E-15</v>
      </c>
      <c r="S315" s="7">
        <f>Sintesi!$C$30</f>
        <v>0.107</v>
      </c>
      <c r="T315" s="7">
        <f>Sintesi!$C$29</f>
        <v>0.23300000000000001</v>
      </c>
      <c r="U315" s="5">
        <f>O315/(Sintesi!$C$5*1000)</f>
        <v>0.24089984669386566</v>
      </c>
      <c r="V315" s="1">
        <f t="shared" si="20"/>
        <v>0.126</v>
      </c>
      <c r="W315" s="1">
        <v>0.66533421071792198</v>
      </c>
      <c r="X315" s="1">
        <f t="shared" si="21"/>
        <v>8.3832110550458167E-2</v>
      </c>
      <c r="Y315" s="1">
        <f t="shared" si="22"/>
        <v>0.14916788944954185</v>
      </c>
      <c r="Z315" s="1">
        <f>'Paste cellinfo here'!$B$11</f>
        <v>0.52400000000000002</v>
      </c>
    </row>
    <row r="316" spans="1:26">
      <c r="A316" s="1">
        <v>315</v>
      </c>
      <c r="B316" s="2">
        <f>DATE(Sintesi!$C$4-1,12,31)+A316</f>
        <v>44511</v>
      </c>
      <c r="C316" s="1">
        <f>'Paste cell here'!B316</f>
        <v>7.9999999999999724E-2</v>
      </c>
      <c r="D316" s="1">
        <f>'Paste cell here'!I316</f>
        <v>0</v>
      </c>
      <c r="E316" s="1">
        <f>'Paste cell here'!J316</f>
        <v>7.9999999999999724E-2</v>
      </c>
      <c r="F316" s="1">
        <f>'Paste cell here'!K316</f>
        <v>7.9999999999999724E-2</v>
      </c>
      <c r="G316" s="1">
        <f>'Paste cell here'!L316</f>
        <v>7.9999999999999724E-2</v>
      </c>
      <c r="H316" s="1">
        <f>'Paste cell here'!M316</f>
        <v>0</v>
      </c>
      <c r="I316" s="1">
        <f>'Paste cell here'!N316</f>
        <v>0</v>
      </c>
      <c r="J316" s="1">
        <f>'Paste cell here'!O316</f>
        <v>8.000000238418549E-2</v>
      </c>
      <c r="K316" s="1">
        <f>'Paste cell here'!Q316</f>
        <v>0.79550788609918599</v>
      </c>
      <c r="L316" s="1">
        <f>'Paste cell here'!S316</f>
        <v>0</v>
      </c>
      <c r="M316" s="1">
        <f>'Paste cell here'!T316</f>
        <v>0.10554266699306809</v>
      </c>
      <c r="N316" s="1">
        <f>'Paste cell here'!W316</f>
        <v>0</v>
      </c>
      <c r="O316" s="1">
        <f>'Paste cell here'!U316</f>
        <v>23.268934118678512</v>
      </c>
      <c r="P316" s="1">
        <f t="shared" si="23"/>
        <v>24.089984669386567</v>
      </c>
      <c r="Q316" s="1">
        <f>'Paste cell here'!V316</f>
        <v>0</v>
      </c>
      <c r="R316" s="1">
        <f t="shared" si="24"/>
        <v>2.3842012808472646E-9</v>
      </c>
      <c r="S316" s="7">
        <f>Sintesi!$C$30</f>
        <v>0.107</v>
      </c>
      <c r="T316" s="7">
        <f>Sintesi!$C$29</f>
        <v>0.23300000000000001</v>
      </c>
      <c r="U316" s="5">
        <f>O316/(Sintesi!$C$5*1000)</f>
        <v>0.23268934118678511</v>
      </c>
      <c r="V316" s="1">
        <f t="shared" si="20"/>
        <v>0.126</v>
      </c>
      <c r="W316" s="1">
        <v>0.67022755725238603</v>
      </c>
      <c r="X316" s="1">
        <f t="shared" si="21"/>
        <v>8.4448672213800646E-2</v>
      </c>
      <c r="Y316" s="1">
        <f t="shared" si="22"/>
        <v>0.14855132778619937</v>
      </c>
      <c r="Z316" s="1">
        <f>'Paste cellinfo here'!$B$11</f>
        <v>0.52400000000000002</v>
      </c>
    </row>
    <row r="317" spans="1:26">
      <c r="A317" s="1">
        <v>316</v>
      </c>
      <c r="B317" s="2">
        <f>DATE(Sintesi!$C$4-1,12,31)+A317</f>
        <v>44512</v>
      </c>
      <c r="C317" s="1">
        <f>'Paste cell here'!B317</f>
        <v>7.9999999999999724E-2</v>
      </c>
      <c r="D317" s="1">
        <f>'Paste cell here'!I317</f>
        <v>0</v>
      </c>
      <c r="E317" s="1">
        <f>'Paste cell here'!J317</f>
        <v>7.9999999999999724E-2</v>
      </c>
      <c r="F317" s="1">
        <f>'Paste cell here'!K317</f>
        <v>7.9999999999999724E-2</v>
      </c>
      <c r="G317" s="1">
        <f>'Paste cell here'!L317</f>
        <v>7.9999999999999724E-2</v>
      </c>
      <c r="H317" s="1">
        <f>'Paste cell here'!M317</f>
        <v>0</v>
      </c>
      <c r="I317" s="1">
        <f>'Paste cell here'!N317</f>
        <v>0</v>
      </c>
      <c r="J317" s="1">
        <f>'Paste cell here'!O317</f>
        <v>8.000000238418549E-2</v>
      </c>
      <c r="K317" s="1">
        <f>'Paste cell here'!Q317</f>
        <v>0.7191133489160132</v>
      </c>
      <c r="L317" s="1">
        <f>'Paste cell here'!S317</f>
        <v>0</v>
      </c>
      <c r="M317" s="1">
        <f>'Paste cell here'!T317</f>
        <v>6.9587427343663605E-2</v>
      </c>
      <c r="N317" s="1">
        <f>'Paste cell here'!W317</f>
        <v>0</v>
      </c>
      <c r="O317" s="1">
        <f>'Paste cell here'!U317</f>
        <v>22.560233344803027</v>
      </c>
      <c r="P317" s="1">
        <f t="shared" si="23"/>
        <v>23.268934118678512</v>
      </c>
      <c r="Q317" s="1">
        <f>'Paste cell here'!V317</f>
        <v>0</v>
      </c>
      <c r="R317" s="1">
        <f t="shared" si="24"/>
        <v>2.384194175419907E-9</v>
      </c>
      <c r="S317" s="7">
        <f>Sintesi!$C$30</f>
        <v>0.107</v>
      </c>
      <c r="T317" s="7">
        <f>Sintesi!$C$29</f>
        <v>0.23300000000000001</v>
      </c>
      <c r="U317" s="5">
        <f>O317/(Sintesi!$C$5*1000)</f>
        <v>0.22560233344803027</v>
      </c>
      <c r="V317" s="1">
        <f t="shared" si="20"/>
        <v>0.126</v>
      </c>
      <c r="W317" s="1">
        <v>0.66733067029514204</v>
      </c>
      <c r="X317" s="1">
        <f t="shared" si="21"/>
        <v>8.4083664457187901E-2</v>
      </c>
      <c r="Y317" s="1">
        <f t="shared" si="22"/>
        <v>0.14891633554281211</v>
      </c>
      <c r="Z317" s="1">
        <f>'Paste cellinfo here'!$B$11</f>
        <v>0.52400000000000002</v>
      </c>
    </row>
    <row r="318" spans="1:26">
      <c r="A318" s="1">
        <v>317</v>
      </c>
      <c r="B318" s="2">
        <f>DATE(Sintesi!$C$4-1,12,31)+A318</f>
        <v>44513</v>
      </c>
      <c r="C318" s="1">
        <f>'Paste cell here'!B318</f>
        <v>18.159999999999762</v>
      </c>
      <c r="D318" s="1">
        <f>'Paste cell here'!I318</f>
        <v>0</v>
      </c>
      <c r="E318" s="1">
        <f>'Paste cell here'!J318</f>
        <v>18.159999999999762</v>
      </c>
      <c r="F318" s="1">
        <f>'Paste cell here'!K318</f>
        <v>18.159999999999762</v>
      </c>
      <c r="G318" s="1">
        <f>'Paste cell here'!L318</f>
        <v>10.511095256743127</v>
      </c>
      <c r="H318" s="1">
        <f>'Paste cell here'!M318</f>
        <v>0</v>
      </c>
      <c r="I318" s="1">
        <f>'Paste cell here'!N318</f>
        <v>7.6489047432566348</v>
      </c>
      <c r="J318" s="1">
        <f>'Paste cell here'!O318</f>
        <v>10.511095569998178</v>
      </c>
      <c r="K318" s="1">
        <f>'Paste cell here'!Q318</f>
        <v>0.65350390331406649</v>
      </c>
      <c r="L318" s="1">
        <f>'Paste cell here'!S318</f>
        <v>0</v>
      </c>
      <c r="M318" s="1">
        <f>'Paste cell here'!T318</f>
        <v>0.92433266339249587</v>
      </c>
      <c r="N318" s="1">
        <f>'Paste cell here'!W318</f>
        <v>0</v>
      </c>
      <c r="O318" s="1">
        <f>'Paste cell here'!U318</f>
        <v>31.493492348094644</v>
      </c>
      <c r="P318" s="1">
        <f t="shared" si="23"/>
        <v>22.560233344803027</v>
      </c>
      <c r="Q318" s="1">
        <f>'Paste cell here'!V318</f>
        <v>0</v>
      </c>
      <c r="R318" s="1">
        <f t="shared" si="24"/>
        <v>3.1325505034374146E-7</v>
      </c>
      <c r="S318" s="7">
        <f>Sintesi!$C$30</f>
        <v>0.107</v>
      </c>
      <c r="T318" s="7">
        <f>Sintesi!$C$29</f>
        <v>0.23300000000000001</v>
      </c>
      <c r="U318" s="5">
        <f>O318/(Sintesi!$C$5*1000)</f>
        <v>0.31493492348094643</v>
      </c>
      <c r="V318" s="1">
        <f t="shared" si="20"/>
        <v>0.126</v>
      </c>
      <c r="W318" s="1">
        <v>0.67610339632322303</v>
      </c>
      <c r="X318" s="1">
        <f t="shared" si="21"/>
        <v>8.51890279367261E-2</v>
      </c>
      <c r="Y318" s="1">
        <f t="shared" si="22"/>
        <v>0.14781097206327393</v>
      </c>
      <c r="Z318" s="1">
        <f>'Paste cellinfo here'!$B$11</f>
        <v>0.52400000000000002</v>
      </c>
    </row>
    <row r="319" spans="1:26">
      <c r="A319" s="1">
        <v>318</v>
      </c>
      <c r="B319" s="2">
        <f>DATE(Sintesi!$C$4-1,12,31)+A319</f>
        <v>44514</v>
      </c>
      <c r="C319" s="1">
        <f>'Paste cell here'!B319</f>
        <v>36.439999999999529</v>
      </c>
      <c r="D319" s="1">
        <f>'Paste cell here'!I319</f>
        <v>0</v>
      </c>
      <c r="E319" s="1">
        <f>'Paste cell here'!J319</f>
        <v>36.439999999999529</v>
      </c>
      <c r="F319" s="1">
        <f>'Paste cell here'!K319</f>
        <v>36.439999999999529</v>
      </c>
      <c r="G319" s="1">
        <f>'Paste cell here'!L319</f>
        <v>13.116350031473036</v>
      </c>
      <c r="H319" s="1">
        <f>'Paste cell here'!M319</f>
        <v>0</v>
      </c>
      <c r="I319" s="1">
        <f>'Paste cell here'!N319</f>
        <v>23.323649968526492</v>
      </c>
      <c r="J319" s="1">
        <f>'Paste cell here'!O319</f>
        <v>13.116350422370726</v>
      </c>
      <c r="K319" s="1">
        <f>'Paste cell here'!Q319</f>
        <v>0.5006606449980755</v>
      </c>
      <c r="L319" s="1">
        <f>'Paste cell here'!S319</f>
        <v>0</v>
      </c>
      <c r="M319" s="1">
        <f>'Paste cell here'!T319</f>
        <v>8.609617285147257</v>
      </c>
      <c r="N319" s="1">
        <f>'Paste cell here'!W319</f>
        <v>0</v>
      </c>
      <c r="O319" s="1">
        <f>'Paste cell here'!U319</f>
        <v>35.499564840320048</v>
      </c>
      <c r="P319" s="1">
        <f t="shared" si="23"/>
        <v>31.493492348094644</v>
      </c>
      <c r="Q319" s="1">
        <f>'Paste cell here'!V319</f>
        <v>0</v>
      </c>
      <c r="R319" s="1">
        <f t="shared" si="24"/>
        <v>3.9089770353939457E-7</v>
      </c>
      <c r="S319" s="7">
        <f>Sintesi!$C$30</f>
        <v>0.107</v>
      </c>
      <c r="T319" s="7">
        <f>Sintesi!$C$29</f>
        <v>0.23300000000000001</v>
      </c>
      <c r="U319" s="5">
        <f>O319/(Sintesi!$C$5*1000)</f>
        <v>0.35499564840320047</v>
      </c>
      <c r="V319" s="1">
        <f t="shared" si="20"/>
        <v>0.126</v>
      </c>
      <c r="W319" s="1">
        <v>0.664889469575906</v>
      </c>
      <c r="X319" s="1">
        <f t="shared" si="21"/>
        <v>8.3776073166564158E-2</v>
      </c>
      <c r="Y319" s="1">
        <f t="shared" si="22"/>
        <v>0.14922392683343585</v>
      </c>
      <c r="Z319" s="1">
        <f>'Paste cellinfo here'!$B$11</f>
        <v>0.52400000000000002</v>
      </c>
    </row>
    <row r="320" spans="1:26">
      <c r="A320" s="1">
        <v>319</v>
      </c>
      <c r="B320" s="2">
        <f>DATE(Sintesi!$C$4-1,12,31)+A320</f>
        <v>44515</v>
      </c>
      <c r="C320" s="1">
        <f>'Paste cell here'!B320</f>
        <v>4.2799999999999274</v>
      </c>
      <c r="D320" s="1">
        <f>'Paste cell here'!I320</f>
        <v>0</v>
      </c>
      <c r="E320" s="1">
        <f>'Paste cell here'!J320</f>
        <v>4.2799999999999274</v>
      </c>
      <c r="F320" s="1">
        <f>'Paste cell here'!K320</f>
        <v>4.2799999999999274</v>
      </c>
      <c r="G320" s="1">
        <f>'Paste cell here'!L320</f>
        <v>4.1593435485459693</v>
      </c>
      <c r="H320" s="1">
        <f>'Paste cell here'!M320</f>
        <v>0</v>
      </c>
      <c r="I320" s="1">
        <f>'Paste cell here'!N320</f>
        <v>0.12065645145395799</v>
      </c>
      <c r="J320" s="1">
        <f>'Paste cell here'!O320</f>
        <v>4.1593436725040656</v>
      </c>
      <c r="K320" s="1">
        <f>'Paste cell here'!Q320</f>
        <v>0.55838806700877608</v>
      </c>
      <c r="L320" s="1">
        <f>'Paste cell here'!S320</f>
        <v>0</v>
      </c>
      <c r="M320" s="1">
        <f>'Paste cell here'!T320</f>
        <v>6.5626368752723803</v>
      </c>
      <c r="N320" s="1">
        <f>'Paste cell here'!W320</f>
        <v>0</v>
      </c>
      <c r="O320" s="1">
        <f>'Paste cell here'!U320</f>
        <v>32.537883570542981</v>
      </c>
      <c r="P320" s="1">
        <f t="shared" si="23"/>
        <v>35.499564840320048</v>
      </c>
      <c r="Q320" s="1">
        <f>'Paste cell here'!V320</f>
        <v>0</v>
      </c>
      <c r="R320" s="1">
        <f t="shared" si="24"/>
        <v>1.2395812376553295E-7</v>
      </c>
      <c r="S320" s="7">
        <f>Sintesi!$C$30</f>
        <v>0.107</v>
      </c>
      <c r="T320" s="7">
        <f>Sintesi!$C$29</f>
        <v>0.23300000000000001</v>
      </c>
      <c r="U320" s="5">
        <f>O320/(Sintesi!$C$5*1000)</f>
        <v>0.3253788357054298</v>
      </c>
      <c r="V320" s="1">
        <f t="shared" si="20"/>
        <v>0.126</v>
      </c>
      <c r="W320" s="1">
        <v>0.64169548452283898</v>
      </c>
      <c r="X320" s="1">
        <f t="shared" si="21"/>
        <v>8.0853631049877708E-2</v>
      </c>
      <c r="Y320" s="1">
        <f t="shared" si="22"/>
        <v>0.15214636895012229</v>
      </c>
      <c r="Z320" s="1">
        <f>'Paste cellinfo here'!$B$11</f>
        <v>0.52400000000000002</v>
      </c>
    </row>
    <row r="321" spans="1:26">
      <c r="A321" s="1">
        <v>320</v>
      </c>
      <c r="B321" s="2">
        <f>DATE(Sintesi!$C$4-1,12,31)+A321</f>
        <v>44516</v>
      </c>
      <c r="C321" s="1">
        <f>'Paste cell here'!B321</f>
        <v>2.9199999999999449</v>
      </c>
      <c r="D321" s="1">
        <f>'Paste cell here'!I321</f>
        <v>0</v>
      </c>
      <c r="E321" s="1">
        <f>'Paste cell here'!J321</f>
        <v>2.9199999999999449</v>
      </c>
      <c r="F321" s="1">
        <f>'Paste cell here'!K321</f>
        <v>2.9199999999999449</v>
      </c>
      <c r="G321" s="1">
        <f>'Paste cell here'!L321</f>
        <v>2.9199954141345912</v>
      </c>
      <c r="H321" s="1">
        <f>'Paste cell here'!M321</f>
        <v>0</v>
      </c>
      <c r="I321" s="1">
        <f>'Paste cell here'!N321</f>
        <v>4.5858653534773306E-6</v>
      </c>
      <c r="J321" s="1">
        <f>'Paste cell here'!O321</f>
        <v>2.9199955011572376</v>
      </c>
      <c r="K321" s="1">
        <f>'Paste cell here'!Q321</f>
        <v>0.66415966294888218</v>
      </c>
      <c r="L321" s="1">
        <f>'Paste cell here'!S321</f>
        <v>0</v>
      </c>
      <c r="M321" s="1">
        <f>'Paste cell here'!T321</f>
        <v>3.5104673689312604</v>
      </c>
      <c r="N321" s="1">
        <f>'Paste cell here'!W321</f>
        <v>0</v>
      </c>
      <c r="O321" s="1">
        <f>'Paste cell here'!U321</f>
        <v>31.283252039820045</v>
      </c>
      <c r="P321" s="1">
        <f t="shared" si="23"/>
        <v>32.537883570542981</v>
      </c>
      <c r="Q321" s="1">
        <f>'Paste cell here'!V321</f>
        <v>0</v>
      </c>
      <c r="R321" s="1">
        <f t="shared" si="24"/>
        <v>8.7022616668264163E-8</v>
      </c>
      <c r="S321" s="7">
        <f>Sintesi!$C$30</f>
        <v>0.107</v>
      </c>
      <c r="T321" s="7">
        <f>Sintesi!$C$29</f>
        <v>0.23300000000000001</v>
      </c>
      <c r="U321" s="5">
        <f>O321/(Sintesi!$C$5*1000)</f>
        <v>0.31283252039820048</v>
      </c>
      <c r="V321" s="1">
        <f t="shared" si="20"/>
        <v>0.126</v>
      </c>
      <c r="W321" s="1">
        <v>0.67123581948719002</v>
      </c>
      <c r="X321" s="1">
        <f t="shared" si="21"/>
        <v>8.4575713255385945E-2</v>
      </c>
      <c r="Y321" s="1">
        <f t="shared" si="22"/>
        <v>0.14842428674461405</v>
      </c>
      <c r="Z321" s="1">
        <f>'Paste cellinfo here'!$B$11</f>
        <v>0.52400000000000002</v>
      </c>
    </row>
    <row r="322" spans="1:26">
      <c r="A322" s="1">
        <v>321</v>
      </c>
      <c r="B322" s="2">
        <f>DATE(Sintesi!$C$4-1,12,31)+A322</f>
        <v>44517</v>
      </c>
      <c r="C322" s="1">
        <f>'Paste cell here'!B322</f>
        <v>2.3599999999999639</v>
      </c>
      <c r="D322" s="1">
        <f>'Paste cell here'!I322</f>
        <v>0</v>
      </c>
      <c r="E322" s="1">
        <f>'Paste cell here'!J322</f>
        <v>2.3599999999999639</v>
      </c>
      <c r="F322" s="1">
        <f>'Paste cell here'!K322</f>
        <v>2.3599999999999639</v>
      </c>
      <c r="G322" s="1">
        <f>'Paste cell here'!L322</f>
        <v>2.3599999999999639</v>
      </c>
      <c r="H322" s="1">
        <f>'Paste cell here'!M322</f>
        <v>0</v>
      </c>
      <c r="I322" s="1">
        <f>'Paste cell here'!N322</f>
        <v>0</v>
      </c>
      <c r="J322" s="1">
        <f>'Paste cell here'!O322</f>
        <v>2.3600000703334452</v>
      </c>
      <c r="K322" s="1">
        <f>'Paste cell here'!Q322</f>
        <v>0.61381882555491452</v>
      </c>
      <c r="L322" s="1">
        <f>'Paste cell here'!S322</f>
        <v>0</v>
      </c>
      <c r="M322" s="1">
        <f>'Paste cell here'!T322</f>
        <v>2.4904255221599212</v>
      </c>
      <c r="N322" s="1">
        <f>'Paste cell here'!W322</f>
        <v>0</v>
      </c>
      <c r="O322" s="1">
        <f>'Paste cell here'!U322</f>
        <v>30.539007762438658</v>
      </c>
      <c r="P322" s="1">
        <f t="shared" si="23"/>
        <v>31.283252039820045</v>
      </c>
      <c r="Q322" s="1">
        <f>'Paste cell here'!V322</f>
        <v>0</v>
      </c>
      <c r="R322" s="1">
        <f t="shared" si="24"/>
        <v>7.0333481261286579E-8</v>
      </c>
      <c r="S322" s="7">
        <f>Sintesi!$C$30</f>
        <v>0.107</v>
      </c>
      <c r="T322" s="7">
        <f>Sintesi!$C$29</f>
        <v>0.23300000000000001</v>
      </c>
      <c r="U322" s="5">
        <f>O322/(Sintesi!$C$5*1000)</f>
        <v>0.30539007762438658</v>
      </c>
      <c r="V322" s="1">
        <f t="shared" ref="V322:V366" si="25">T322-S322</f>
        <v>0.126</v>
      </c>
      <c r="W322" s="1">
        <v>0.669237351614134</v>
      </c>
      <c r="X322" s="1">
        <f t="shared" ref="X322:X366" si="26">W322*V322</f>
        <v>8.432390630338088E-2</v>
      </c>
      <c r="Y322" s="1">
        <f t="shared" ref="Y322:Y366" si="27">T322-X322</f>
        <v>0.14867609369661913</v>
      </c>
      <c r="Z322" s="1">
        <f>'Paste cellinfo here'!$B$11</f>
        <v>0.52400000000000002</v>
      </c>
    </row>
    <row r="323" spans="1:26">
      <c r="A323" s="1">
        <v>322</v>
      </c>
      <c r="B323" s="2">
        <f>DATE(Sintesi!$C$4-1,12,31)+A323</f>
        <v>44518</v>
      </c>
      <c r="C323" s="1">
        <f>'Paste cell here'!B323</f>
        <v>0.15999999999999945</v>
      </c>
      <c r="D323" s="1">
        <f>'Paste cell here'!I323</f>
        <v>0</v>
      </c>
      <c r="E323" s="1">
        <f>'Paste cell here'!J323</f>
        <v>0.15999999999999945</v>
      </c>
      <c r="F323" s="1">
        <f>'Paste cell here'!K323</f>
        <v>0.15999999999999945</v>
      </c>
      <c r="G323" s="1">
        <f>'Paste cell here'!L323</f>
        <v>0.15999999999999945</v>
      </c>
      <c r="H323" s="1">
        <f>'Paste cell here'!M323</f>
        <v>0</v>
      </c>
      <c r="I323" s="1">
        <f>'Paste cell here'!N323</f>
        <v>0</v>
      </c>
      <c r="J323" s="1">
        <f>'Paste cell here'!O323</f>
        <v>0.16000000476837098</v>
      </c>
      <c r="K323" s="1">
        <f>'Paste cell here'!Q323</f>
        <v>0.58535362087218279</v>
      </c>
      <c r="L323" s="1">
        <f>'Paste cell here'!S323</f>
        <v>0</v>
      </c>
      <c r="M323" s="1">
        <f>'Paste cell here'!T323</f>
        <v>1.5048149155440194</v>
      </c>
      <c r="N323" s="1">
        <f>'Paste cell here'!W323</f>
        <v>0</v>
      </c>
      <c r="O323" s="1">
        <f>'Paste cell here'!U323</f>
        <v>28.608839230790817</v>
      </c>
      <c r="P323" s="1">
        <f t="shared" ref="P323:P366" si="28">O322</f>
        <v>30.539007762438658</v>
      </c>
      <c r="Q323" s="1">
        <f>'Paste cell here'!V323</f>
        <v>0</v>
      </c>
      <c r="R323" s="1">
        <f t="shared" ref="R323:R366" si="29">ABS(O322+C323+D323+N323+Q322-H323-I323-K323-L323-M323-O323-Q323)</f>
        <v>4.7683634818440623E-9</v>
      </c>
      <c r="S323" s="7">
        <f>Sintesi!$C$30</f>
        <v>0.107</v>
      </c>
      <c r="T323" s="7">
        <f>Sintesi!$C$29</f>
        <v>0.23300000000000001</v>
      </c>
      <c r="U323" s="5">
        <f>O323/(Sintesi!$C$5*1000)</f>
        <v>0.28608839230790817</v>
      </c>
      <c r="V323" s="1">
        <f t="shared" si="25"/>
        <v>0.126</v>
      </c>
      <c r="W323" s="1">
        <v>0.67650510539031805</v>
      </c>
      <c r="X323" s="1">
        <f t="shared" si="26"/>
        <v>8.5239643279180072E-2</v>
      </c>
      <c r="Y323" s="1">
        <f t="shared" si="27"/>
        <v>0.14776035672081994</v>
      </c>
      <c r="Z323" s="1">
        <f>'Paste cellinfo here'!$B$11</f>
        <v>0.52400000000000002</v>
      </c>
    </row>
    <row r="324" spans="1:26">
      <c r="A324" s="1">
        <v>323</v>
      </c>
      <c r="B324" s="2">
        <f>DATE(Sintesi!$C$4-1,12,31)+A324</f>
        <v>44519</v>
      </c>
      <c r="C324" s="1">
        <f>'Paste cell here'!B324</f>
        <v>0</v>
      </c>
      <c r="D324" s="1">
        <f>'Paste cell here'!I324</f>
        <v>0</v>
      </c>
      <c r="E324" s="1">
        <f>'Paste cell here'!J324</f>
        <v>0</v>
      </c>
      <c r="F324" s="1">
        <f>'Paste cell here'!K324</f>
        <v>0</v>
      </c>
      <c r="G324" s="1">
        <f>'Paste cell here'!L324</f>
        <v>0</v>
      </c>
      <c r="H324" s="1">
        <f>'Paste cell here'!M324</f>
        <v>0</v>
      </c>
      <c r="I324" s="1">
        <f>'Paste cell here'!N324</f>
        <v>0</v>
      </c>
      <c r="J324" s="1">
        <f>'Paste cell here'!O324</f>
        <v>0</v>
      </c>
      <c r="K324" s="1">
        <f>'Paste cell here'!Q324</f>
        <v>0.66105692592815724</v>
      </c>
      <c r="L324" s="1">
        <f>'Paste cell here'!S324</f>
        <v>0</v>
      </c>
      <c r="M324" s="1">
        <f>'Paste cell here'!T324</f>
        <v>0.76817193103106385</v>
      </c>
      <c r="N324" s="1">
        <f>'Paste cell here'!W324</f>
        <v>0</v>
      </c>
      <c r="O324" s="1">
        <f>'Paste cell here'!U324</f>
        <v>27.179610373831608</v>
      </c>
      <c r="P324" s="1">
        <f t="shared" si="28"/>
        <v>28.608839230790817</v>
      </c>
      <c r="Q324" s="1">
        <f>'Paste cell here'!V324</f>
        <v>0</v>
      </c>
      <c r="R324" s="1">
        <f t="shared" si="29"/>
        <v>1.0658141036401503E-14</v>
      </c>
      <c r="S324" s="7">
        <f>Sintesi!$C$30</f>
        <v>0.107</v>
      </c>
      <c r="T324" s="7">
        <f>Sintesi!$C$29</f>
        <v>0.23300000000000001</v>
      </c>
      <c r="U324" s="5">
        <f>O324/(Sintesi!$C$5*1000)</f>
        <v>0.27179610373831609</v>
      </c>
      <c r="V324" s="1">
        <f t="shared" si="25"/>
        <v>0.126</v>
      </c>
      <c r="W324" s="1">
        <v>0.67308729616057905</v>
      </c>
      <c r="X324" s="1">
        <f t="shared" si="26"/>
        <v>8.4808999316232966E-2</v>
      </c>
      <c r="Y324" s="1">
        <f t="shared" si="27"/>
        <v>0.14819100068376706</v>
      </c>
      <c r="Z324" s="1">
        <f>'Paste cellinfo here'!$B$11</f>
        <v>0.52400000000000002</v>
      </c>
    </row>
    <row r="325" spans="1:26">
      <c r="A325" s="1">
        <v>324</v>
      </c>
      <c r="B325" s="2">
        <f>DATE(Sintesi!$C$4-1,12,31)+A325</f>
        <v>44520</v>
      </c>
      <c r="C325" s="1">
        <f>'Paste cell here'!B325</f>
        <v>0</v>
      </c>
      <c r="D325" s="1">
        <f>'Paste cell here'!I325</f>
        <v>0</v>
      </c>
      <c r="E325" s="1">
        <f>'Paste cell here'!J325</f>
        <v>0</v>
      </c>
      <c r="F325" s="1">
        <f>'Paste cell here'!K325</f>
        <v>0</v>
      </c>
      <c r="G325" s="1">
        <f>'Paste cell here'!L325</f>
        <v>0</v>
      </c>
      <c r="H325" s="1">
        <f>'Paste cell here'!M325</f>
        <v>0</v>
      </c>
      <c r="I325" s="1">
        <f>'Paste cell here'!N325</f>
        <v>0</v>
      </c>
      <c r="J325" s="1">
        <f>'Paste cell here'!O325</f>
        <v>0</v>
      </c>
      <c r="K325" s="1">
        <f>'Paste cell here'!Q325</f>
        <v>0.5458302005628004</v>
      </c>
      <c r="L325" s="1">
        <f>'Paste cell here'!S325</f>
        <v>0</v>
      </c>
      <c r="M325" s="1">
        <f>'Paste cell here'!T325</f>
        <v>0.4524411709485418</v>
      </c>
      <c r="N325" s="1">
        <f>'Paste cell here'!W325</f>
        <v>0</v>
      </c>
      <c r="O325" s="1">
        <f>'Paste cell here'!U325</f>
        <v>26.181339002320271</v>
      </c>
      <c r="P325" s="1">
        <f t="shared" si="28"/>
        <v>27.179610373831608</v>
      </c>
      <c r="Q325" s="1">
        <f>'Paste cell here'!V325</f>
        <v>0</v>
      </c>
      <c r="R325" s="1">
        <f t="shared" si="29"/>
        <v>7.1054273576010019E-15</v>
      </c>
      <c r="S325" s="7">
        <f>Sintesi!$C$30</f>
        <v>0.107</v>
      </c>
      <c r="T325" s="7">
        <f>Sintesi!$C$29</f>
        <v>0.23300000000000001</v>
      </c>
      <c r="U325" s="5">
        <f>O325/(Sintesi!$C$5*1000)</f>
        <v>0.2618133900232027</v>
      </c>
      <c r="V325" s="1">
        <f t="shared" si="25"/>
        <v>0.126</v>
      </c>
      <c r="W325" s="1">
        <v>0.66479356031877102</v>
      </c>
      <c r="X325" s="1">
        <f t="shared" si="26"/>
        <v>8.3763988600165151E-2</v>
      </c>
      <c r="Y325" s="1">
        <f t="shared" si="27"/>
        <v>0.14923601139983486</v>
      </c>
      <c r="Z325" s="1">
        <f>'Paste cellinfo here'!$B$11</f>
        <v>0.52400000000000002</v>
      </c>
    </row>
    <row r="326" spans="1:26">
      <c r="A326" s="1">
        <v>325</v>
      </c>
      <c r="B326" s="2">
        <f>DATE(Sintesi!$C$4-1,12,31)+A326</f>
        <v>44521</v>
      </c>
      <c r="C326" s="1">
        <f>'Paste cell here'!B326</f>
        <v>1.9199999999999762</v>
      </c>
      <c r="D326" s="1">
        <f>'Paste cell here'!I326</f>
        <v>0</v>
      </c>
      <c r="E326" s="1">
        <f>'Paste cell here'!J326</f>
        <v>1.9199999999999762</v>
      </c>
      <c r="F326" s="1">
        <f>'Paste cell here'!K326</f>
        <v>1.9199999999999762</v>
      </c>
      <c r="G326" s="1">
        <f>'Paste cell here'!L326</f>
        <v>1.9199999999999762</v>
      </c>
      <c r="H326" s="1">
        <f>'Paste cell here'!M326</f>
        <v>0</v>
      </c>
      <c r="I326" s="1">
        <f>'Paste cell here'!N326</f>
        <v>0</v>
      </c>
      <c r="J326" s="1">
        <f>'Paste cell here'!O326</f>
        <v>1.9200000572204341</v>
      </c>
      <c r="K326" s="1">
        <f>'Paste cell here'!Q326</f>
        <v>0.53623407855441108</v>
      </c>
      <c r="L326" s="1">
        <f>'Paste cell here'!S326</f>
        <v>0</v>
      </c>
      <c r="M326" s="1">
        <f>'Paste cell here'!T326</f>
        <v>0.44802296305918055</v>
      </c>
      <c r="N326" s="1">
        <f>'Paste cell here'!W326</f>
        <v>0</v>
      </c>
      <c r="O326" s="1">
        <f>'Paste cell here'!U326</f>
        <v>27.117082017927114</v>
      </c>
      <c r="P326" s="1">
        <f t="shared" si="28"/>
        <v>26.181339002320271</v>
      </c>
      <c r="Q326" s="1">
        <f>'Paste cell here'!V326</f>
        <v>0</v>
      </c>
      <c r="R326" s="1">
        <f t="shared" si="29"/>
        <v>5.7220457705398076E-8</v>
      </c>
      <c r="S326" s="7">
        <f>Sintesi!$C$30</f>
        <v>0.107</v>
      </c>
      <c r="T326" s="7">
        <f>Sintesi!$C$29</f>
        <v>0.23300000000000001</v>
      </c>
      <c r="U326" s="5">
        <f>O326/(Sintesi!$C$5*1000)</f>
        <v>0.27117082017927113</v>
      </c>
      <c r="V326" s="1">
        <f t="shared" si="25"/>
        <v>0.126</v>
      </c>
      <c r="W326" s="1">
        <v>0.67657049382566903</v>
      </c>
      <c r="X326" s="1">
        <f t="shared" si="26"/>
        <v>8.5247882222034305E-2</v>
      </c>
      <c r="Y326" s="1">
        <f t="shared" si="27"/>
        <v>0.14775211777796571</v>
      </c>
      <c r="Z326" s="1">
        <f>'Paste cellinfo here'!$B$11</f>
        <v>0.52400000000000002</v>
      </c>
    </row>
    <row r="327" spans="1:26">
      <c r="A327" s="1">
        <v>326</v>
      </c>
      <c r="B327" s="2">
        <f>DATE(Sintesi!$C$4-1,12,31)+A327</f>
        <v>44522</v>
      </c>
      <c r="C327" s="1">
        <f>'Paste cell here'!B327</f>
        <v>12.039999999999832</v>
      </c>
      <c r="D327" s="1">
        <f>'Paste cell here'!I327</f>
        <v>0</v>
      </c>
      <c r="E327" s="1">
        <f>'Paste cell here'!J327</f>
        <v>12.039999999999832</v>
      </c>
      <c r="F327" s="1">
        <f>'Paste cell here'!K327</f>
        <v>12.039999999999832</v>
      </c>
      <c r="G327" s="1">
        <f>'Paste cell here'!L327</f>
        <v>8.5703693803993843</v>
      </c>
      <c r="H327" s="1">
        <f>'Paste cell here'!M327</f>
        <v>0</v>
      </c>
      <c r="I327" s="1">
        <f>'Paste cell here'!N327</f>
        <v>3.4696306196004478</v>
      </c>
      <c r="J327" s="1">
        <f>'Paste cell here'!O327</f>
        <v>8.5703696358162968</v>
      </c>
      <c r="K327" s="1">
        <f>'Paste cell here'!Q327</f>
        <v>0.48992269964674845</v>
      </c>
      <c r="L327" s="1">
        <f>'Paste cell here'!S327</f>
        <v>0</v>
      </c>
      <c r="M327" s="1">
        <f>'Paste cell here'!T327</f>
        <v>2.3907927748065014</v>
      </c>
      <c r="N327" s="1">
        <f>'Paste cell here'!W327</f>
        <v>0</v>
      </c>
      <c r="O327" s="1">
        <f>'Paste cell here'!U327</f>
        <v>32.806736179290162</v>
      </c>
      <c r="P327" s="1">
        <f t="shared" si="28"/>
        <v>27.117082017927114</v>
      </c>
      <c r="Q327" s="1">
        <f>'Paste cell here'!V327</f>
        <v>0</v>
      </c>
      <c r="R327" s="1">
        <f t="shared" si="29"/>
        <v>2.5541690718000609E-7</v>
      </c>
      <c r="S327" s="7">
        <f>Sintesi!$C$30</f>
        <v>0.107</v>
      </c>
      <c r="T327" s="7">
        <f>Sintesi!$C$29</f>
        <v>0.23300000000000001</v>
      </c>
      <c r="U327" s="5">
        <f>O327/(Sintesi!$C$5*1000)</f>
        <v>0.32806736179290164</v>
      </c>
      <c r="V327" s="1">
        <f t="shared" si="25"/>
        <v>0.126</v>
      </c>
      <c r="W327" s="1">
        <v>0.68149323470959799</v>
      </c>
      <c r="X327" s="1">
        <f t="shared" si="26"/>
        <v>8.5868147573409354E-2</v>
      </c>
      <c r="Y327" s="1">
        <f t="shared" si="27"/>
        <v>0.14713185242659066</v>
      </c>
      <c r="Z327" s="1">
        <f>'Paste cellinfo here'!$B$11</f>
        <v>0.52400000000000002</v>
      </c>
    </row>
    <row r="328" spans="1:26">
      <c r="A328" s="1">
        <v>327</v>
      </c>
      <c r="B328" s="2">
        <f>DATE(Sintesi!$C$4-1,12,31)+A328</f>
        <v>44523</v>
      </c>
      <c r="C328" s="1">
        <f>'Paste cell here'!B328</f>
        <v>2.5199999999999756</v>
      </c>
      <c r="D328" s="1">
        <f>'Paste cell here'!I328</f>
        <v>0</v>
      </c>
      <c r="E328" s="1">
        <f>'Paste cell here'!J328</f>
        <v>2.5199999999999756</v>
      </c>
      <c r="F328" s="1">
        <f>'Paste cell here'!K328</f>
        <v>2.5199999999999756</v>
      </c>
      <c r="G328" s="1">
        <f>'Paste cell here'!L328</f>
        <v>2.5199999999999756</v>
      </c>
      <c r="H328" s="1">
        <f>'Paste cell here'!M328</f>
        <v>0</v>
      </c>
      <c r="I328" s="1">
        <f>'Paste cell here'!N328</f>
        <v>0</v>
      </c>
      <c r="J328" s="1">
        <f>'Paste cell here'!O328</f>
        <v>2.520000075101827</v>
      </c>
      <c r="K328" s="1">
        <f>'Paste cell here'!Q328</f>
        <v>0.66472227124715755</v>
      </c>
      <c r="L328" s="1">
        <f>'Paste cell here'!S328</f>
        <v>0</v>
      </c>
      <c r="M328" s="1">
        <f>'Paste cell here'!T328</f>
        <v>3.5429670317793129</v>
      </c>
      <c r="N328" s="1">
        <f>'Paste cell here'!W328</f>
        <v>0</v>
      </c>
      <c r="O328" s="1">
        <f>'Paste cell here'!U328</f>
        <v>31.119046951365512</v>
      </c>
      <c r="P328" s="1">
        <f t="shared" si="28"/>
        <v>32.806736179290162</v>
      </c>
      <c r="Q328" s="1">
        <f>'Paste cell here'!V328</f>
        <v>0</v>
      </c>
      <c r="R328" s="1">
        <f t="shared" si="29"/>
        <v>7.5101844743130641E-8</v>
      </c>
      <c r="S328" s="7">
        <f>Sintesi!$C$30</f>
        <v>0.107</v>
      </c>
      <c r="T328" s="7">
        <f>Sintesi!$C$29</f>
        <v>0.23300000000000001</v>
      </c>
      <c r="U328" s="5">
        <f>O328/(Sintesi!$C$5*1000)</f>
        <v>0.31119046951365514</v>
      </c>
      <c r="V328" s="1">
        <f t="shared" si="25"/>
        <v>0.126</v>
      </c>
      <c r="W328" s="1">
        <v>0.664889109699764</v>
      </c>
      <c r="X328" s="1">
        <f t="shared" si="26"/>
        <v>8.3776027822170265E-2</v>
      </c>
      <c r="Y328" s="1">
        <f t="shared" si="27"/>
        <v>0.14922397217782973</v>
      </c>
      <c r="Z328" s="1">
        <f>'Paste cellinfo here'!$B$11</f>
        <v>0.52400000000000002</v>
      </c>
    </row>
    <row r="329" spans="1:26">
      <c r="A329" s="1">
        <v>328</v>
      </c>
      <c r="B329" s="2">
        <f>DATE(Sintesi!$C$4-1,12,31)+A329</f>
        <v>44524</v>
      </c>
      <c r="C329" s="1">
        <f>'Paste cell here'!B329</f>
        <v>7.9999999999999724E-2</v>
      </c>
      <c r="D329" s="1">
        <f>'Paste cell here'!I329</f>
        <v>0</v>
      </c>
      <c r="E329" s="1">
        <f>'Paste cell here'!J329</f>
        <v>7.9999999999999724E-2</v>
      </c>
      <c r="F329" s="1">
        <f>'Paste cell here'!K329</f>
        <v>7.9999999999999724E-2</v>
      </c>
      <c r="G329" s="1">
        <f>'Paste cell here'!L329</f>
        <v>7.9999999999999724E-2</v>
      </c>
      <c r="H329" s="1">
        <f>'Paste cell here'!M329</f>
        <v>0</v>
      </c>
      <c r="I329" s="1">
        <f>'Paste cell here'!N329</f>
        <v>0</v>
      </c>
      <c r="J329" s="1">
        <f>'Paste cell here'!O329</f>
        <v>8.000000238418549E-2</v>
      </c>
      <c r="K329" s="1">
        <f>'Paste cell here'!Q329</f>
        <v>0.43216375784706984</v>
      </c>
      <c r="L329" s="1">
        <f>'Paste cell here'!S329</f>
        <v>0</v>
      </c>
      <c r="M329" s="1">
        <f>'Paste cell here'!T329</f>
        <v>1.7958911971757743</v>
      </c>
      <c r="N329" s="1">
        <f>'Paste cell here'!W329</f>
        <v>0</v>
      </c>
      <c r="O329" s="1">
        <f>'Paste cell here'!U329</f>
        <v>28.970991998726866</v>
      </c>
      <c r="P329" s="1">
        <f t="shared" si="28"/>
        <v>31.119046951365512</v>
      </c>
      <c r="Q329" s="1">
        <f>'Paste cell here'!V329</f>
        <v>0</v>
      </c>
      <c r="R329" s="1">
        <f t="shared" si="29"/>
        <v>2.3842012808472646E-9</v>
      </c>
      <c r="S329" s="7">
        <f>Sintesi!$C$30</f>
        <v>0.107</v>
      </c>
      <c r="T329" s="7">
        <f>Sintesi!$C$29</f>
        <v>0.23300000000000001</v>
      </c>
      <c r="U329" s="5">
        <f>O329/(Sintesi!$C$5*1000)</f>
        <v>0.28970991998726864</v>
      </c>
      <c r="V329" s="1">
        <f t="shared" si="25"/>
        <v>0.126</v>
      </c>
      <c r="W329" s="1">
        <v>0.65368348668654797</v>
      </c>
      <c r="X329" s="1">
        <f t="shared" si="26"/>
        <v>8.236411932250505E-2</v>
      </c>
      <c r="Y329" s="1">
        <f t="shared" si="27"/>
        <v>0.15063588067749495</v>
      </c>
      <c r="Z329" s="1">
        <f>'Paste cellinfo here'!$B$11</f>
        <v>0.52400000000000002</v>
      </c>
    </row>
    <row r="330" spans="1:26">
      <c r="A330" s="1">
        <v>329</v>
      </c>
      <c r="B330" s="2">
        <f>DATE(Sintesi!$C$4-1,12,31)+A330</f>
        <v>44525</v>
      </c>
      <c r="C330" s="1">
        <f>'Paste cell here'!B330</f>
        <v>11.039999999999857</v>
      </c>
      <c r="D330" s="1">
        <f>'Paste cell here'!I330</f>
        <v>0</v>
      </c>
      <c r="E330" s="1">
        <f>'Paste cell here'!J330</f>
        <v>11.039999999999857</v>
      </c>
      <c r="F330" s="1">
        <f>'Paste cell here'!K330</f>
        <v>11.039999999999857</v>
      </c>
      <c r="G330" s="1">
        <f>'Paste cell here'!L330</f>
        <v>8.153995762103925</v>
      </c>
      <c r="H330" s="1">
        <f>'Paste cell here'!M330</f>
        <v>0</v>
      </c>
      <c r="I330" s="1">
        <f>'Paste cell here'!N330</f>
        <v>2.886004237895933</v>
      </c>
      <c r="J330" s="1">
        <f>'Paste cell here'!O330</f>
        <v>8.1539960051119369</v>
      </c>
      <c r="K330" s="1">
        <f>'Paste cell here'!Q330</f>
        <v>0.55517066196358567</v>
      </c>
      <c r="L330" s="1">
        <f>'Paste cell here'!S330</f>
        <v>0</v>
      </c>
      <c r="M330" s="1">
        <f>'Paste cell here'!T330</f>
        <v>3.3684994789388831</v>
      </c>
      <c r="N330" s="1">
        <f>'Paste cell here'!W330</f>
        <v>0</v>
      </c>
      <c r="O330" s="1">
        <f>'Paste cell here'!U330</f>
        <v>33.201317862936335</v>
      </c>
      <c r="P330" s="1">
        <f t="shared" si="28"/>
        <v>28.970991998726866</v>
      </c>
      <c r="Q330" s="1">
        <f>'Paste cell here'!V330</f>
        <v>0</v>
      </c>
      <c r="R330" s="1">
        <f t="shared" si="29"/>
        <v>2.4300801726440113E-7</v>
      </c>
      <c r="S330" s="7">
        <f>Sintesi!$C$30</f>
        <v>0.107</v>
      </c>
      <c r="T330" s="7">
        <f>Sintesi!$C$29</f>
        <v>0.23300000000000001</v>
      </c>
      <c r="U330" s="5">
        <f>O330/(Sintesi!$C$5*1000)</f>
        <v>0.33201317862936336</v>
      </c>
      <c r="V330" s="1">
        <f t="shared" si="25"/>
        <v>0.126</v>
      </c>
      <c r="W330" s="1">
        <v>0.65375708009544997</v>
      </c>
      <c r="X330" s="1">
        <f t="shared" si="26"/>
        <v>8.2373392092026695E-2</v>
      </c>
      <c r="Y330" s="1">
        <f t="shared" si="27"/>
        <v>0.15062660790797333</v>
      </c>
      <c r="Z330" s="1">
        <f>'Paste cellinfo here'!$B$11</f>
        <v>0.52400000000000002</v>
      </c>
    </row>
    <row r="331" spans="1:26">
      <c r="A331" s="1">
        <v>330</v>
      </c>
      <c r="B331" s="2">
        <f>DATE(Sintesi!$C$4-1,12,31)+A331</f>
        <v>44526</v>
      </c>
      <c r="C331" s="1">
        <f>'Paste cell here'!B331</f>
        <v>0</v>
      </c>
      <c r="D331" s="1">
        <f>'Paste cell here'!I331</f>
        <v>0</v>
      </c>
      <c r="E331" s="1">
        <f>'Paste cell here'!J331</f>
        <v>0</v>
      </c>
      <c r="F331" s="1">
        <f>'Paste cell here'!K331</f>
        <v>0</v>
      </c>
      <c r="G331" s="1">
        <f>'Paste cell here'!L331</f>
        <v>0</v>
      </c>
      <c r="H331" s="1">
        <f>'Paste cell here'!M331</f>
        <v>0</v>
      </c>
      <c r="I331" s="1">
        <f>'Paste cell here'!N331</f>
        <v>0</v>
      </c>
      <c r="J331" s="1">
        <f>'Paste cell here'!O331</f>
        <v>0</v>
      </c>
      <c r="K331" s="1">
        <f>'Paste cell here'!Q331</f>
        <v>0.45277835773979519</v>
      </c>
      <c r="L331" s="1">
        <f>'Paste cell here'!S331</f>
        <v>0</v>
      </c>
      <c r="M331" s="1">
        <f>'Paste cell here'!T331</f>
        <v>2.9829605596194342</v>
      </c>
      <c r="N331" s="1">
        <f>'Paste cell here'!W331</f>
        <v>0</v>
      </c>
      <c r="O331" s="1">
        <f>'Paste cell here'!U331</f>
        <v>29.765578945577104</v>
      </c>
      <c r="P331" s="1">
        <f t="shared" si="28"/>
        <v>33.201317862936335</v>
      </c>
      <c r="Q331" s="1">
        <f>'Paste cell here'!V331</f>
        <v>0</v>
      </c>
      <c r="R331" s="1">
        <f t="shared" si="29"/>
        <v>0</v>
      </c>
      <c r="S331" s="7">
        <f>Sintesi!$C$30</f>
        <v>0.107</v>
      </c>
      <c r="T331" s="7">
        <f>Sintesi!$C$29</f>
        <v>0.23300000000000001</v>
      </c>
      <c r="U331" s="5">
        <f>O331/(Sintesi!$C$5*1000)</f>
        <v>0.29765578945577104</v>
      </c>
      <c r="V331" s="1">
        <f t="shared" si="25"/>
        <v>0.126</v>
      </c>
      <c r="W331" s="1">
        <v>0.66641001493900698</v>
      </c>
      <c r="X331" s="1">
        <f t="shared" si="26"/>
        <v>8.3967661882314873E-2</v>
      </c>
      <c r="Y331" s="1">
        <f t="shared" si="27"/>
        <v>0.14903233811768513</v>
      </c>
      <c r="Z331" s="1">
        <f>'Paste cellinfo here'!$B$11</f>
        <v>0.52400000000000002</v>
      </c>
    </row>
    <row r="332" spans="1:26">
      <c r="A332" s="1">
        <v>331</v>
      </c>
      <c r="B332" s="2">
        <f>DATE(Sintesi!$C$4-1,12,31)+A332</f>
        <v>44527</v>
      </c>
      <c r="C332" s="1">
        <f>'Paste cell here'!B332</f>
        <v>2.1999999999998749</v>
      </c>
      <c r="D332" s="1">
        <f>'Paste cell here'!I332</f>
        <v>0</v>
      </c>
      <c r="E332" s="1">
        <f>'Paste cell here'!J332</f>
        <v>2.1999999999998749</v>
      </c>
      <c r="F332" s="1">
        <f>'Paste cell here'!K332</f>
        <v>2.1999999999998749</v>
      </c>
      <c r="G332" s="1">
        <f>'Paste cell here'!L332</f>
        <v>2.1999999999998749</v>
      </c>
      <c r="H332" s="1">
        <f>'Paste cell here'!M332</f>
        <v>0</v>
      </c>
      <c r="I332" s="1">
        <f>'Paste cell here'!N332</f>
        <v>0</v>
      </c>
      <c r="J332" s="1">
        <f>'Paste cell here'!O332</f>
        <v>2.2000000655649852</v>
      </c>
      <c r="K332" s="1">
        <f>'Paste cell here'!Q332</f>
        <v>0.49140053571256809</v>
      </c>
      <c r="L332" s="1">
        <f>'Paste cell here'!S332</f>
        <v>0</v>
      </c>
      <c r="M332" s="1">
        <f>'Paste cell here'!T332</f>
        <v>1.6574320495858728</v>
      </c>
      <c r="N332" s="1">
        <f>'Paste cell here'!W332</f>
        <v>0</v>
      </c>
      <c r="O332" s="1">
        <f>'Paste cell here'!U332</f>
        <v>29.816746425843633</v>
      </c>
      <c r="P332" s="1">
        <f t="shared" si="28"/>
        <v>29.765578945577104</v>
      </c>
      <c r="Q332" s="1">
        <f>'Paste cell here'!V332</f>
        <v>0</v>
      </c>
      <c r="R332" s="1">
        <f t="shared" si="29"/>
        <v>6.5565092910446765E-8</v>
      </c>
      <c r="S332" s="7">
        <f>Sintesi!$C$30</f>
        <v>0.107</v>
      </c>
      <c r="T332" s="7">
        <f>Sintesi!$C$29</f>
        <v>0.23300000000000001</v>
      </c>
      <c r="U332" s="5">
        <f>O332/(Sintesi!$C$5*1000)</f>
        <v>0.29816746425843632</v>
      </c>
      <c r="V332" s="1">
        <f t="shared" si="25"/>
        <v>0.126</v>
      </c>
      <c r="W332" s="1">
        <v>0.67716488419963305</v>
      </c>
      <c r="X332" s="1">
        <f t="shared" si="26"/>
        <v>8.532277540915377E-2</v>
      </c>
      <c r="Y332" s="1">
        <f t="shared" si="27"/>
        <v>0.14767722459084626</v>
      </c>
      <c r="Z332" s="1">
        <f>'Paste cellinfo here'!$B$11</f>
        <v>0.52400000000000002</v>
      </c>
    </row>
    <row r="333" spans="1:26">
      <c r="A333" s="1">
        <v>332</v>
      </c>
      <c r="B333" s="2">
        <f>DATE(Sintesi!$C$4-1,12,31)+A333</f>
        <v>44528</v>
      </c>
      <c r="C333" s="1">
        <f>'Paste cell here'!B333</f>
        <v>0.71999999999998465</v>
      </c>
      <c r="D333" s="1">
        <f>'Paste cell here'!I333</f>
        <v>0</v>
      </c>
      <c r="E333" s="1">
        <f>'Paste cell here'!J333</f>
        <v>0.71999999999998465</v>
      </c>
      <c r="F333" s="1">
        <f>'Paste cell here'!K333</f>
        <v>0.71999999999998465</v>
      </c>
      <c r="G333" s="1">
        <f>'Paste cell here'!L333</f>
        <v>0.71999999999998465</v>
      </c>
      <c r="H333" s="1">
        <f>'Paste cell here'!M333</f>
        <v>0</v>
      </c>
      <c r="I333" s="1">
        <f>'Paste cell here'!N333</f>
        <v>0</v>
      </c>
      <c r="J333" s="1">
        <f>'Paste cell here'!O333</f>
        <v>0.72000002145765696</v>
      </c>
      <c r="K333" s="1">
        <f>'Paste cell here'!Q333</f>
        <v>0.53652388034779597</v>
      </c>
      <c r="L333" s="1">
        <f>'Paste cell here'!S333</f>
        <v>0</v>
      </c>
      <c r="M333" s="1">
        <f>'Paste cell here'!T333</f>
        <v>1.3240769050382699</v>
      </c>
      <c r="N333" s="1">
        <f>'Paste cell here'!W333</f>
        <v>0</v>
      </c>
      <c r="O333" s="1">
        <f>'Paste cell here'!U333</f>
        <v>28.676145661915243</v>
      </c>
      <c r="P333" s="1">
        <f t="shared" si="28"/>
        <v>29.816746425843633</v>
      </c>
      <c r="Q333" s="1">
        <f>'Paste cell here'!V333</f>
        <v>0</v>
      </c>
      <c r="R333" s="1">
        <f t="shared" si="29"/>
        <v>2.1457694288073981E-8</v>
      </c>
      <c r="S333" s="7">
        <f>Sintesi!$C$30</f>
        <v>0.107</v>
      </c>
      <c r="T333" s="7">
        <f>Sintesi!$C$29</f>
        <v>0.23300000000000001</v>
      </c>
      <c r="U333" s="5">
        <f>O333/(Sintesi!$C$5*1000)</f>
        <v>0.28676145661915242</v>
      </c>
      <c r="V333" s="1">
        <f t="shared" si="25"/>
        <v>0.126</v>
      </c>
      <c r="W333" s="1">
        <v>0.67562023337087895</v>
      </c>
      <c r="X333" s="1">
        <f t="shared" si="26"/>
        <v>8.5128149404730749E-2</v>
      </c>
      <c r="Y333" s="1">
        <f t="shared" si="27"/>
        <v>0.14787185059526925</v>
      </c>
      <c r="Z333" s="1">
        <f>'Paste cellinfo here'!$B$11</f>
        <v>0.52400000000000002</v>
      </c>
    </row>
    <row r="334" spans="1:26">
      <c r="A334" s="1">
        <v>333</v>
      </c>
      <c r="B334" s="2">
        <f>DATE(Sintesi!$C$4-1,12,31)+A334</f>
        <v>44529</v>
      </c>
      <c r="C334" s="1">
        <f>'Paste cell here'!B334</f>
        <v>0</v>
      </c>
      <c r="D334" s="1">
        <f>'Paste cell here'!I334</f>
        <v>0</v>
      </c>
      <c r="E334" s="1">
        <f>'Paste cell here'!J334</f>
        <v>0</v>
      </c>
      <c r="F334" s="1">
        <f>'Paste cell here'!K334</f>
        <v>0</v>
      </c>
      <c r="G334" s="1">
        <f>'Paste cell here'!L334</f>
        <v>0</v>
      </c>
      <c r="H334" s="1">
        <f>'Paste cell here'!M334</f>
        <v>0</v>
      </c>
      <c r="I334" s="1">
        <f>'Paste cell here'!N334</f>
        <v>0</v>
      </c>
      <c r="J334" s="1">
        <f>'Paste cell here'!O334</f>
        <v>0</v>
      </c>
      <c r="K334" s="1">
        <f>'Paste cell here'!Q334</f>
        <v>1.164716429387918</v>
      </c>
      <c r="L334" s="1">
        <f>'Paste cell here'!S334</f>
        <v>0</v>
      </c>
      <c r="M334" s="1">
        <f>'Paste cell here'!T334</f>
        <v>0.72707498245829749</v>
      </c>
      <c r="N334" s="1">
        <f>'Paste cell here'!W334</f>
        <v>0</v>
      </c>
      <c r="O334" s="1">
        <f>'Paste cell here'!U334</f>
        <v>26.784354250069029</v>
      </c>
      <c r="P334" s="1">
        <f t="shared" si="28"/>
        <v>28.676145661915243</v>
      </c>
      <c r="Q334" s="1">
        <f>'Paste cell here'!V334</f>
        <v>0</v>
      </c>
      <c r="R334" s="1">
        <f t="shared" si="29"/>
        <v>3.5527136788005009E-15</v>
      </c>
      <c r="S334" s="7">
        <f>Sintesi!$C$30</f>
        <v>0.107</v>
      </c>
      <c r="T334" s="7">
        <f>Sintesi!$C$29</f>
        <v>0.23300000000000001</v>
      </c>
      <c r="U334" s="5">
        <f>O334/(Sintesi!$C$5*1000)</f>
        <v>0.26784354250069031</v>
      </c>
      <c r="V334" s="1">
        <f t="shared" si="25"/>
        <v>0.126</v>
      </c>
      <c r="W334" s="1">
        <v>0.67988279166766297</v>
      </c>
      <c r="X334" s="1">
        <f t="shared" si="26"/>
        <v>8.5665231750125539E-2</v>
      </c>
      <c r="Y334" s="1">
        <f t="shared" si="27"/>
        <v>0.14733476824987446</v>
      </c>
      <c r="Z334" s="1">
        <f>'Paste cellinfo here'!$B$11</f>
        <v>0.52400000000000002</v>
      </c>
    </row>
    <row r="335" spans="1:26">
      <c r="A335" s="1">
        <v>334</v>
      </c>
      <c r="B335" s="2">
        <f>DATE(Sintesi!$C$4-1,12,31)+A335</f>
        <v>44530</v>
      </c>
      <c r="C335" s="1">
        <f>'Paste cell here'!B335</f>
        <v>0</v>
      </c>
      <c r="D335" s="1">
        <f>'Paste cell here'!I335</f>
        <v>0</v>
      </c>
      <c r="E335" s="1">
        <f>'Paste cell here'!J335</f>
        <v>0</v>
      </c>
      <c r="F335" s="1">
        <f>'Paste cell here'!K335</f>
        <v>0</v>
      </c>
      <c r="G335" s="1">
        <f>'Paste cell here'!L335</f>
        <v>0</v>
      </c>
      <c r="H335" s="1">
        <f>'Paste cell here'!M335</f>
        <v>0</v>
      </c>
      <c r="I335" s="1">
        <f>'Paste cell here'!N335</f>
        <v>0</v>
      </c>
      <c r="J335" s="1">
        <f>'Paste cell here'!O335</f>
        <v>0</v>
      </c>
      <c r="K335" s="1">
        <f>'Paste cell here'!Q335</f>
        <v>1.4295784786660237</v>
      </c>
      <c r="L335" s="1">
        <f>'Paste cell here'!S335</f>
        <v>0</v>
      </c>
      <c r="M335" s="1">
        <f>'Paste cell here'!T335</f>
        <v>0.3280101283336096</v>
      </c>
      <c r="N335" s="1">
        <f>'Paste cell here'!W335</f>
        <v>0</v>
      </c>
      <c r="O335" s="1">
        <f>'Paste cell here'!U335</f>
        <v>25.026765643069393</v>
      </c>
      <c r="P335" s="1">
        <f t="shared" si="28"/>
        <v>26.784354250069029</v>
      </c>
      <c r="Q335" s="1">
        <f>'Paste cell here'!V335</f>
        <v>0</v>
      </c>
      <c r="R335" s="1">
        <f t="shared" si="29"/>
        <v>3.5527136788005009E-15</v>
      </c>
      <c r="S335" s="7">
        <f>Sintesi!$C$30</f>
        <v>0.107</v>
      </c>
      <c r="T335" s="7">
        <f>Sintesi!$C$29</f>
        <v>0.23300000000000001</v>
      </c>
      <c r="U335" s="5">
        <f>O335/(Sintesi!$C$5*1000)</f>
        <v>0.25026765643069393</v>
      </c>
      <c r="V335" s="1">
        <f t="shared" si="25"/>
        <v>0.126</v>
      </c>
      <c r="W335" s="1">
        <v>0.68460747721901505</v>
      </c>
      <c r="X335" s="1">
        <f t="shared" si="26"/>
        <v>8.6260542129595899E-2</v>
      </c>
      <c r="Y335" s="1">
        <f t="shared" si="27"/>
        <v>0.1467394578704041</v>
      </c>
      <c r="Z335" s="1">
        <f>'Paste cellinfo here'!$B$11</f>
        <v>0.52400000000000002</v>
      </c>
    </row>
    <row r="336" spans="1:26">
      <c r="A336" s="1">
        <v>335</v>
      </c>
      <c r="B336" s="2">
        <f>DATE(Sintesi!$C$4-1,12,31)+A336</f>
        <v>44531</v>
      </c>
      <c r="C336" s="1">
        <f>'Paste cell here'!B336</f>
        <v>0.47999999999999404</v>
      </c>
      <c r="D336" s="1">
        <f>'Paste cell here'!I336</f>
        <v>0</v>
      </c>
      <c r="E336" s="1">
        <f>'Paste cell here'!J336</f>
        <v>0.47999999999999404</v>
      </c>
      <c r="F336" s="1">
        <f>'Paste cell here'!K336</f>
        <v>0.47999999999999404</v>
      </c>
      <c r="G336" s="1">
        <f>'Paste cell here'!L336</f>
        <v>0.47999999999999404</v>
      </c>
      <c r="H336" s="1">
        <f>'Paste cell here'!M336</f>
        <v>0</v>
      </c>
      <c r="I336" s="1">
        <f>'Paste cell here'!N336</f>
        <v>0</v>
      </c>
      <c r="J336" s="1">
        <f>'Paste cell here'!O336</f>
        <v>0.48000001430510852</v>
      </c>
      <c r="K336" s="1">
        <f>'Paste cell here'!Q336</f>
        <v>0.67296226709296814</v>
      </c>
      <c r="L336" s="1">
        <f>'Paste cell here'!S336</f>
        <v>0</v>
      </c>
      <c r="M336" s="1">
        <f>'Paste cell here'!T336</f>
        <v>0.18850978279098926</v>
      </c>
      <c r="N336" s="1">
        <f>'Paste cell here'!W336</f>
        <v>0</v>
      </c>
      <c r="O336" s="1">
        <f>'Paste cell here'!U336</f>
        <v>24.64529360749054</v>
      </c>
      <c r="P336" s="1">
        <f t="shared" si="28"/>
        <v>25.026765643069393</v>
      </c>
      <c r="Q336" s="1">
        <f>'Paste cell here'!V336</f>
        <v>0</v>
      </c>
      <c r="R336" s="1">
        <f t="shared" si="29"/>
        <v>1.430511176181426E-8</v>
      </c>
      <c r="S336" s="7">
        <f>Sintesi!$C$30</f>
        <v>0.107</v>
      </c>
      <c r="T336" s="7">
        <f>Sintesi!$C$29</f>
        <v>0.23300000000000001</v>
      </c>
      <c r="U336" s="5">
        <f>O336/(Sintesi!$C$5*1000)</f>
        <v>0.2464529360749054</v>
      </c>
      <c r="V336" s="1">
        <f t="shared" si="25"/>
        <v>0.126</v>
      </c>
      <c r="W336" s="1">
        <v>0.67718653282308705</v>
      </c>
      <c r="X336" s="1">
        <f t="shared" si="26"/>
        <v>8.5325503135708969E-2</v>
      </c>
      <c r="Y336" s="1">
        <f t="shared" si="27"/>
        <v>0.14767449686429104</v>
      </c>
      <c r="Z336" s="1">
        <f>'Paste cellinfo here'!$B$11</f>
        <v>0.52400000000000002</v>
      </c>
    </row>
    <row r="337" spans="1:26">
      <c r="A337" s="1">
        <v>336</v>
      </c>
      <c r="B337" s="2">
        <f>DATE(Sintesi!$C$4-1,12,31)+A337</f>
        <v>44532</v>
      </c>
      <c r="C337" s="1">
        <f>'Paste cell here'!B337</f>
        <v>0.39999999999999436</v>
      </c>
      <c r="D337" s="1">
        <f>'Paste cell here'!I337</f>
        <v>0</v>
      </c>
      <c r="E337" s="1">
        <f>'Paste cell here'!J337</f>
        <v>0.39999999999999436</v>
      </c>
      <c r="F337" s="1">
        <f>'Paste cell here'!K337</f>
        <v>0.39999999999999436</v>
      </c>
      <c r="G337" s="1">
        <f>'Paste cell here'!L337</f>
        <v>0.39999999999999436</v>
      </c>
      <c r="H337" s="1">
        <f>'Paste cell here'!M337</f>
        <v>0</v>
      </c>
      <c r="I337" s="1">
        <f>'Paste cell here'!N337</f>
        <v>0</v>
      </c>
      <c r="J337" s="1">
        <f>'Paste cell here'!O337</f>
        <v>0.40000001192092322</v>
      </c>
      <c r="K337" s="1">
        <f>'Paste cell here'!Q337</f>
        <v>0.34817909475629277</v>
      </c>
      <c r="L337" s="1">
        <f>'Paste cell here'!S337</f>
        <v>0</v>
      </c>
      <c r="M337" s="1">
        <f>'Paste cell here'!T337</f>
        <v>0.16609348296257967</v>
      </c>
      <c r="N337" s="1">
        <f>'Paste cell here'!W337</f>
        <v>0</v>
      </c>
      <c r="O337" s="1">
        <f>'Paste cell here'!U337</f>
        <v>24.531021041692597</v>
      </c>
      <c r="P337" s="1">
        <f t="shared" si="28"/>
        <v>24.64529360749054</v>
      </c>
      <c r="Q337" s="1">
        <f>'Paste cell here'!V337</f>
        <v>0</v>
      </c>
      <c r="R337" s="1">
        <f t="shared" si="29"/>
        <v>1.1920935349962747E-8</v>
      </c>
      <c r="S337" s="7">
        <f>Sintesi!$C$30</f>
        <v>0.107</v>
      </c>
      <c r="T337" s="7">
        <f>Sintesi!$C$29</f>
        <v>0.23300000000000001</v>
      </c>
      <c r="U337" s="5">
        <f>O337/(Sintesi!$C$5*1000)</f>
        <v>0.24531021041692597</v>
      </c>
      <c r="V337" s="1">
        <f t="shared" si="25"/>
        <v>0.126</v>
      </c>
      <c r="W337" s="1">
        <v>0.66148457119354498</v>
      </c>
      <c r="X337" s="1">
        <f t="shared" si="26"/>
        <v>8.3347055970386663E-2</v>
      </c>
      <c r="Y337" s="1">
        <f t="shared" si="27"/>
        <v>0.14965294402961335</v>
      </c>
      <c r="Z337" s="1">
        <f>'Paste cellinfo here'!$B$11</f>
        <v>0.52400000000000002</v>
      </c>
    </row>
    <row r="338" spans="1:26">
      <c r="A338" s="1">
        <v>337</v>
      </c>
      <c r="B338" s="2">
        <f>DATE(Sintesi!$C$4-1,12,31)+A338</f>
        <v>44533</v>
      </c>
      <c r="C338" s="1">
        <f>'Paste cell here'!B338</f>
        <v>7.9999999999999724E-2</v>
      </c>
      <c r="D338" s="1">
        <f>'Paste cell here'!I338</f>
        <v>0</v>
      </c>
      <c r="E338" s="1">
        <f>'Paste cell here'!J338</f>
        <v>7.9999999999999724E-2</v>
      </c>
      <c r="F338" s="1">
        <f>'Paste cell here'!K338</f>
        <v>7.9999999999999724E-2</v>
      </c>
      <c r="G338" s="1">
        <f>'Paste cell here'!L338</f>
        <v>7.9999999999999724E-2</v>
      </c>
      <c r="H338" s="1">
        <f>'Paste cell here'!M338</f>
        <v>0</v>
      </c>
      <c r="I338" s="1">
        <f>'Paste cell here'!N338</f>
        <v>0</v>
      </c>
      <c r="J338" s="1">
        <f>'Paste cell here'!O338</f>
        <v>8.000000238418549E-2</v>
      </c>
      <c r="K338" s="1">
        <f>'Paste cell here'!Q338</f>
        <v>0.3487199654526798</v>
      </c>
      <c r="L338" s="1">
        <f>'Paste cell here'!S338</f>
        <v>0</v>
      </c>
      <c r="M338" s="1">
        <f>'Paste cell here'!T338</f>
        <v>0.14569948656334161</v>
      </c>
      <c r="N338" s="1">
        <f>'Paste cell here'!W338</f>
        <v>0</v>
      </c>
      <c r="O338" s="1">
        <f>'Paste cell here'!U338</f>
        <v>24.116601592060761</v>
      </c>
      <c r="P338" s="1">
        <f t="shared" si="28"/>
        <v>24.531021041692597</v>
      </c>
      <c r="Q338" s="1">
        <f>'Paste cell here'!V338</f>
        <v>0</v>
      </c>
      <c r="R338" s="1">
        <f t="shared" si="29"/>
        <v>2.3841870699925494E-9</v>
      </c>
      <c r="S338" s="7">
        <f>Sintesi!$C$30</f>
        <v>0.107</v>
      </c>
      <c r="T338" s="7">
        <f>Sintesi!$C$29</f>
        <v>0.23300000000000001</v>
      </c>
      <c r="U338" s="5">
        <f>O338/(Sintesi!$C$5*1000)</f>
        <v>0.2411660159206076</v>
      </c>
      <c r="V338" s="1">
        <f t="shared" si="25"/>
        <v>0.126</v>
      </c>
      <c r="W338" s="1">
        <v>0.68217655767683705</v>
      </c>
      <c r="X338" s="1">
        <f t="shared" si="26"/>
        <v>8.5954246267281473E-2</v>
      </c>
      <c r="Y338" s="1">
        <f t="shared" si="27"/>
        <v>0.14704575373271855</v>
      </c>
      <c r="Z338" s="1">
        <f>'Paste cellinfo here'!$B$11</f>
        <v>0.52400000000000002</v>
      </c>
    </row>
    <row r="339" spans="1:26">
      <c r="A339" s="1">
        <v>338</v>
      </c>
      <c r="B339" s="2">
        <f>DATE(Sintesi!$C$4-1,12,31)+A339</f>
        <v>44534</v>
      </c>
      <c r="C339" s="1">
        <f>'Paste cell here'!B339</f>
        <v>0</v>
      </c>
      <c r="D339" s="1">
        <f>'Paste cell here'!I339</f>
        <v>0</v>
      </c>
      <c r="E339" s="1">
        <f>'Paste cell here'!J339</f>
        <v>0</v>
      </c>
      <c r="F339" s="1">
        <f>'Paste cell here'!K339</f>
        <v>0</v>
      </c>
      <c r="G339" s="1">
        <f>'Paste cell here'!L339</f>
        <v>0</v>
      </c>
      <c r="H339" s="1">
        <f>'Paste cell here'!M339</f>
        <v>0</v>
      </c>
      <c r="I339" s="1">
        <f>'Paste cell here'!N339</f>
        <v>0</v>
      </c>
      <c r="J339" s="1">
        <f>'Paste cell here'!O339</f>
        <v>0</v>
      </c>
      <c r="K339" s="1">
        <f>'Paste cell here'!Q339</f>
        <v>0.51336852530365029</v>
      </c>
      <c r="L339" s="1">
        <f>'Paste cell here'!S339</f>
        <v>0</v>
      </c>
      <c r="M339" s="1">
        <f>'Paste cell here'!T339</f>
        <v>0.11187219135675264</v>
      </c>
      <c r="N339" s="1">
        <f>'Paste cell here'!W339</f>
        <v>0</v>
      </c>
      <c r="O339" s="1">
        <f>'Paste cell here'!U339</f>
        <v>23.491360875400343</v>
      </c>
      <c r="P339" s="1">
        <f t="shared" si="28"/>
        <v>24.116601592060761</v>
      </c>
      <c r="Q339" s="1">
        <f>'Paste cell here'!V339</f>
        <v>0</v>
      </c>
      <c r="R339" s="1">
        <f t="shared" si="29"/>
        <v>1.4210854715202004E-14</v>
      </c>
      <c r="S339" s="7">
        <f>Sintesi!$C$30</f>
        <v>0.107</v>
      </c>
      <c r="T339" s="7">
        <f>Sintesi!$C$29</f>
        <v>0.23300000000000001</v>
      </c>
      <c r="U339" s="5">
        <f>O339/(Sintesi!$C$5*1000)</f>
        <v>0.23491360875400344</v>
      </c>
      <c r="V339" s="1">
        <f t="shared" si="25"/>
        <v>0.126</v>
      </c>
      <c r="W339" s="1">
        <v>0.67109048690834205</v>
      </c>
      <c r="X339" s="1">
        <f t="shared" si="26"/>
        <v>8.4557401350451103E-2</v>
      </c>
      <c r="Y339" s="1">
        <f t="shared" si="27"/>
        <v>0.1484425986495489</v>
      </c>
      <c r="Z339" s="1">
        <f>'Paste cellinfo here'!$B$11</f>
        <v>0.52400000000000002</v>
      </c>
    </row>
    <row r="340" spans="1:26">
      <c r="A340" s="1">
        <v>339</v>
      </c>
      <c r="B340" s="2">
        <f>DATE(Sintesi!$C$4-1,12,31)+A340</f>
        <v>44535</v>
      </c>
      <c r="C340" s="1">
        <f>'Paste cell here'!B340</f>
        <v>0</v>
      </c>
      <c r="D340" s="1">
        <f>'Paste cell here'!I340</f>
        <v>0</v>
      </c>
      <c r="E340" s="1">
        <f>'Paste cell here'!J340</f>
        <v>0</v>
      </c>
      <c r="F340" s="1">
        <f>'Paste cell here'!K340</f>
        <v>0</v>
      </c>
      <c r="G340" s="1">
        <f>'Paste cell here'!L340</f>
        <v>0</v>
      </c>
      <c r="H340" s="1">
        <f>'Paste cell here'!M340</f>
        <v>0</v>
      </c>
      <c r="I340" s="1">
        <f>'Paste cell here'!N340</f>
        <v>0</v>
      </c>
      <c r="J340" s="1">
        <f>'Paste cell here'!O340</f>
        <v>0</v>
      </c>
      <c r="K340" s="1">
        <f>'Paste cell here'!Q340</f>
        <v>0.30585044013302998</v>
      </c>
      <c r="L340" s="1">
        <f>'Paste cell here'!S340</f>
        <v>0</v>
      </c>
      <c r="M340" s="1">
        <f>'Paste cell here'!T340</f>
        <v>8.479807672290475E-2</v>
      </c>
      <c r="N340" s="1">
        <f>'Paste cell here'!W340</f>
        <v>0</v>
      </c>
      <c r="O340" s="1">
        <f>'Paste cell here'!U340</f>
        <v>23.100712358544392</v>
      </c>
      <c r="P340" s="1">
        <f t="shared" si="28"/>
        <v>23.491360875400343</v>
      </c>
      <c r="Q340" s="1">
        <f>'Paste cell here'!V340</f>
        <v>0</v>
      </c>
      <c r="R340" s="1">
        <f t="shared" si="29"/>
        <v>1.4210854715202004E-14</v>
      </c>
      <c r="S340" s="7">
        <f>Sintesi!$C$30</f>
        <v>0.107</v>
      </c>
      <c r="T340" s="7">
        <f>Sintesi!$C$29</f>
        <v>0.23300000000000001</v>
      </c>
      <c r="U340" s="5">
        <f>O340/(Sintesi!$C$5*1000)</f>
        <v>0.23100712358544392</v>
      </c>
      <c r="V340" s="1">
        <f t="shared" si="25"/>
        <v>0.126</v>
      </c>
      <c r="W340" s="1">
        <v>0.68357748176862099</v>
      </c>
      <c r="X340" s="1">
        <f t="shared" si="26"/>
        <v>8.6130762702846239E-2</v>
      </c>
      <c r="Y340" s="1">
        <f t="shared" si="27"/>
        <v>0.14686923729715379</v>
      </c>
      <c r="Z340" s="1">
        <f>'Paste cellinfo here'!$B$11</f>
        <v>0.52400000000000002</v>
      </c>
    </row>
    <row r="341" spans="1:26">
      <c r="A341" s="1">
        <v>340</v>
      </c>
      <c r="B341" s="2">
        <f>DATE(Sintesi!$C$4-1,12,31)+A341</f>
        <v>44536</v>
      </c>
      <c r="C341" s="1">
        <f>'Paste cell here'!B341</f>
        <v>0.15999999999999945</v>
      </c>
      <c r="D341" s="1">
        <f>'Paste cell here'!I341</f>
        <v>0</v>
      </c>
      <c r="E341" s="1">
        <f>'Paste cell here'!J341</f>
        <v>0.15999999999999945</v>
      </c>
      <c r="F341" s="1">
        <f>'Paste cell here'!K341</f>
        <v>0.15999999999999945</v>
      </c>
      <c r="G341" s="1">
        <f>'Paste cell here'!L341</f>
        <v>0.15999999999999945</v>
      </c>
      <c r="H341" s="1">
        <f>'Paste cell here'!M341</f>
        <v>0</v>
      </c>
      <c r="I341" s="1">
        <f>'Paste cell here'!N341</f>
        <v>0</v>
      </c>
      <c r="J341" s="1">
        <f>'Paste cell here'!O341</f>
        <v>0.16000000476837098</v>
      </c>
      <c r="K341" s="1">
        <f>'Paste cell here'!Q341</f>
        <v>0.19094726065698778</v>
      </c>
      <c r="L341" s="1">
        <f>'Paste cell here'!S341</f>
        <v>0</v>
      </c>
      <c r="M341" s="1">
        <f>'Paste cell here'!T341</f>
        <v>7.37701085505367E-2</v>
      </c>
      <c r="N341" s="1">
        <f>'Paste cell here'!W341</f>
        <v>0</v>
      </c>
      <c r="O341" s="1">
        <f>'Paste cell here'!U341</f>
        <v>22.995994994105235</v>
      </c>
      <c r="P341" s="1">
        <f t="shared" si="28"/>
        <v>23.100712358544392</v>
      </c>
      <c r="Q341" s="1">
        <f>'Paste cell here'!V341</f>
        <v>0</v>
      </c>
      <c r="R341" s="1">
        <f t="shared" si="29"/>
        <v>4.7683670345577411E-9</v>
      </c>
      <c r="S341" s="7">
        <f>Sintesi!$C$30</f>
        <v>0.107</v>
      </c>
      <c r="T341" s="7">
        <f>Sintesi!$C$29</f>
        <v>0.23300000000000001</v>
      </c>
      <c r="U341" s="5">
        <f>O341/(Sintesi!$C$5*1000)</f>
        <v>0.22995994994105234</v>
      </c>
      <c r="V341" s="1">
        <f t="shared" si="25"/>
        <v>0.126</v>
      </c>
      <c r="W341" s="1">
        <v>0.68763567383634505</v>
      </c>
      <c r="X341" s="1">
        <f t="shared" si="26"/>
        <v>8.6642094903379471E-2</v>
      </c>
      <c r="Y341" s="1">
        <f t="shared" si="27"/>
        <v>0.14635790509662056</v>
      </c>
      <c r="Z341" s="1">
        <f>'Paste cellinfo here'!$B$11</f>
        <v>0.52400000000000002</v>
      </c>
    </row>
    <row r="342" spans="1:26">
      <c r="A342" s="1">
        <v>341</v>
      </c>
      <c r="B342" s="2">
        <f>DATE(Sintesi!$C$4-1,12,31)+A342</f>
        <v>44537</v>
      </c>
      <c r="C342" s="1">
        <f>'Paste cell here'!B342</f>
        <v>7.9999999999999724E-2</v>
      </c>
      <c r="D342" s="1">
        <f>'Paste cell here'!I342</f>
        <v>0</v>
      </c>
      <c r="E342" s="1">
        <f>'Paste cell here'!J342</f>
        <v>7.9999999999999724E-2</v>
      </c>
      <c r="F342" s="1">
        <f>'Paste cell here'!K342</f>
        <v>7.9999999999999724E-2</v>
      </c>
      <c r="G342" s="1">
        <f>'Paste cell here'!L342</f>
        <v>7.9999999999999724E-2</v>
      </c>
      <c r="H342" s="1">
        <f>'Paste cell here'!M342</f>
        <v>0</v>
      </c>
      <c r="I342" s="1">
        <f>'Paste cell here'!N342</f>
        <v>0</v>
      </c>
      <c r="J342" s="1">
        <f>'Paste cell here'!O342</f>
        <v>8.000000238418549E-2</v>
      </c>
      <c r="K342" s="1">
        <f>'Paste cell here'!Q342</f>
        <v>0.34341350442036273</v>
      </c>
      <c r="L342" s="1">
        <f>'Paste cell here'!S342</f>
        <v>0</v>
      </c>
      <c r="M342" s="1">
        <f>'Paste cell here'!T342</f>
        <v>6.5633485553651741E-2</v>
      </c>
      <c r="N342" s="1">
        <f>'Paste cell here'!W342</f>
        <v>0</v>
      </c>
      <c r="O342" s="1">
        <f>'Paste cell here'!U342</f>
        <v>22.666948006515415</v>
      </c>
      <c r="P342" s="1">
        <f t="shared" si="28"/>
        <v>22.995994994105235</v>
      </c>
      <c r="Q342" s="1">
        <f>'Paste cell here'!V342</f>
        <v>0</v>
      </c>
      <c r="R342" s="1">
        <f t="shared" si="29"/>
        <v>2.384194175419907E-9</v>
      </c>
      <c r="S342" s="7">
        <f>Sintesi!$C$30</f>
        <v>0.107</v>
      </c>
      <c r="T342" s="7">
        <f>Sintesi!$C$29</f>
        <v>0.23300000000000001</v>
      </c>
      <c r="U342" s="5">
        <f>O342/(Sintesi!$C$5*1000)</f>
        <v>0.22666948006515417</v>
      </c>
      <c r="V342" s="1">
        <f t="shared" si="25"/>
        <v>0.126</v>
      </c>
      <c r="W342" s="1">
        <v>0.68744898214141703</v>
      </c>
      <c r="X342" s="1">
        <f t="shared" si="26"/>
        <v>8.6618571749818546E-2</v>
      </c>
      <c r="Y342" s="1">
        <f t="shared" si="27"/>
        <v>0.14638142825018147</v>
      </c>
      <c r="Z342" s="1">
        <f>'Paste cellinfo here'!$B$11</f>
        <v>0.52400000000000002</v>
      </c>
    </row>
    <row r="343" spans="1:26">
      <c r="A343" s="1">
        <v>342</v>
      </c>
      <c r="B343" s="2">
        <f>DATE(Sintesi!$C$4-1,12,31)+A343</f>
        <v>44538</v>
      </c>
      <c r="C343" s="1">
        <f>'Paste cell here'!B343</f>
        <v>17.919999999999789</v>
      </c>
      <c r="D343" s="1">
        <f>'Paste cell here'!I343</f>
        <v>0</v>
      </c>
      <c r="E343" s="1">
        <f>'Paste cell here'!J343</f>
        <v>17.919999999999789</v>
      </c>
      <c r="F343" s="1">
        <f>'Paste cell here'!K343</f>
        <v>17.919999999999789</v>
      </c>
      <c r="G343" s="1">
        <f>'Paste cell here'!L343</f>
        <v>10.440827866737056</v>
      </c>
      <c r="H343" s="1">
        <f>'Paste cell here'!M343</f>
        <v>0</v>
      </c>
      <c r="I343" s="1">
        <f>'Paste cell here'!N343</f>
        <v>7.4791721332627334</v>
      </c>
      <c r="J343" s="1">
        <f>'Paste cell here'!O343</f>
        <v>10.440828177897979</v>
      </c>
      <c r="K343" s="1">
        <f>'Paste cell here'!Q343</f>
        <v>0.4937167239998852</v>
      </c>
      <c r="L343" s="1">
        <f>'Paste cell here'!S343</f>
        <v>0</v>
      </c>
      <c r="M343" s="1">
        <f>'Paste cell here'!T343</f>
        <v>0.98439861267784567</v>
      </c>
      <c r="N343" s="1">
        <f>'Paste cell here'!W343</f>
        <v>0</v>
      </c>
      <c r="O343" s="1">
        <f>'Paste cell here'!U343</f>
        <v>31.629660847735661</v>
      </c>
      <c r="P343" s="1">
        <f t="shared" si="28"/>
        <v>22.666948006515415</v>
      </c>
      <c r="Q343" s="1">
        <f>'Paste cell here'!V343</f>
        <v>0</v>
      </c>
      <c r="R343" s="1">
        <f t="shared" si="29"/>
        <v>3.1116093168748193E-7</v>
      </c>
      <c r="S343" s="7">
        <f>Sintesi!$C$30</f>
        <v>0.107</v>
      </c>
      <c r="T343" s="7">
        <f>Sintesi!$C$29</f>
        <v>0.23300000000000001</v>
      </c>
      <c r="U343" s="5">
        <f>O343/(Sintesi!$C$5*1000)</f>
        <v>0.31629660847735663</v>
      </c>
      <c r="V343" s="1">
        <f t="shared" si="25"/>
        <v>0.126</v>
      </c>
      <c r="W343" s="1">
        <v>0.68580075904577797</v>
      </c>
      <c r="X343" s="1">
        <f t="shared" si="26"/>
        <v>8.6410895639768032E-2</v>
      </c>
      <c r="Y343" s="1">
        <f t="shared" si="27"/>
        <v>0.14658910436023198</v>
      </c>
      <c r="Z343" s="1">
        <f>'Paste cellinfo here'!$B$11</f>
        <v>0.52400000000000002</v>
      </c>
    </row>
    <row r="344" spans="1:26">
      <c r="A344" s="1">
        <v>343</v>
      </c>
      <c r="B344" s="2">
        <f>DATE(Sintesi!$C$4-1,12,31)+A344</f>
        <v>44539</v>
      </c>
      <c r="C344" s="1">
        <f>'Paste cell here'!B344</f>
        <v>1.5999999999999943</v>
      </c>
      <c r="D344" s="1">
        <f>'Paste cell here'!I344</f>
        <v>0</v>
      </c>
      <c r="E344" s="1">
        <f>'Paste cell here'!J344</f>
        <v>1.5999999999999943</v>
      </c>
      <c r="F344" s="1">
        <f>'Paste cell here'!K344</f>
        <v>1.5999999999999943</v>
      </c>
      <c r="G344" s="1">
        <f>'Paste cell here'!L344</f>
        <v>1.5999999999999943</v>
      </c>
      <c r="H344" s="1">
        <f>'Paste cell here'!M344</f>
        <v>0</v>
      </c>
      <c r="I344" s="1">
        <f>'Paste cell here'!N344</f>
        <v>0</v>
      </c>
      <c r="J344" s="1">
        <f>'Paste cell here'!O344</f>
        <v>1.6000000476837111</v>
      </c>
      <c r="K344" s="1">
        <f>'Paste cell here'!Q344</f>
        <v>0.23891675281629296</v>
      </c>
      <c r="L344" s="1">
        <f>'Paste cell here'!S344</f>
        <v>0</v>
      </c>
      <c r="M344" s="1">
        <f>'Paste cell here'!T344</f>
        <v>2.57800008838539</v>
      </c>
      <c r="N344" s="1">
        <f>'Paste cell here'!W344</f>
        <v>0</v>
      </c>
      <c r="O344" s="1">
        <f>'Paste cell here'!U344</f>
        <v>30.412744054217701</v>
      </c>
      <c r="P344" s="1">
        <f t="shared" si="28"/>
        <v>31.629660847735661</v>
      </c>
      <c r="Q344" s="1">
        <f>'Paste cell here'!V344</f>
        <v>0</v>
      </c>
      <c r="R344" s="1">
        <f t="shared" si="29"/>
        <v>4.7683727188996272E-8</v>
      </c>
      <c r="S344" s="7">
        <f>Sintesi!$C$30</f>
        <v>0.107</v>
      </c>
      <c r="T344" s="7">
        <f>Sintesi!$C$29</f>
        <v>0.23300000000000001</v>
      </c>
      <c r="U344" s="5">
        <f>O344/(Sintesi!$C$5*1000)</f>
        <v>0.304127440542177</v>
      </c>
      <c r="V344" s="1">
        <f t="shared" si="25"/>
        <v>0.126</v>
      </c>
      <c r="W344" s="1">
        <v>0.68844684693351299</v>
      </c>
      <c r="X344" s="1">
        <f t="shared" si="26"/>
        <v>8.6744302713622642E-2</v>
      </c>
      <c r="Y344" s="1">
        <f t="shared" si="27"/>
        <v>0.14625569728637738</v>
      </c>
      <c r="Z344" s="1">
        <f>'Paste cellinfo here'!$B$11</f>
        <v>0.52400000000000002</v>
      </c>
    </row>
    <row r="345" spans="1:26">
      <c r="A345" s="1">
        <v>344</v>
      </c>
      <c r="B345" s="2">
        <f>DATE(Sintesi!$C$4-1,12,31)+A345</f>
        <v>44540</v>
      </c>
      <c r="C345" s="1">
        <f>'Paste cell here'!B345</f>
        <v>4.199999999999978</v>
      </c>
      <c r="D345" s="1">
        <f>'Paste cell here'!I345</f>
        <v>0</v>
      </c>
      <c r="E345" s="1">
        <f>'Paste cell here'!J345</f>
        <v>4.199999999999978</v>
      </c>
      <c r="F345" s="1">
        <f>'Paste cell here'!K345</f>
        <v>4.199999999999978</v>
      </c>
      <c r="G345" s="1">
        <f>'Paste cell here'!L345</f>
        <v>4.0985539579489867</v>
      </c>
      <c r="H345" s="1">
        <f>'Paste cell here'!M345</f>
        <v>0</v>
      </c>
      <c r="I345" s="1">
        <f>'Paste cell here'!N345</f>
        <v>0.10144604205099166</v>
      </c>
      <c r="J345" s="1">
        <f>'Paste cell here'!O345</f>
        <v>4.0985540800954139</v>
      </c>
      <c r="K345" s="1">
        <f>'Paste cell here'!Q345</f>
        <v>0.36488871339121304</v>
      </c>
      <c r="L345" s="1">
        <f>'Paste cell here'!S345</f>
        <v>0</v>
      </c>
      <c r="M345" s="1">
        <f>'Paste cell here'!T345</f>
        <v>2.6660473565370171</v>
      </c>
      <c r="N345" s="1">
        <f>'Paste cell here'!W345</f>
        <v>0</v>
      </c>
      <c r="O345" s="1">
        <f>'Paste cell here'!U345</f>
        <v>31.480362064384902</v>
      </c>
      <c r="P345" s="1">
        <f t="shared" si="28"/>
        <v>30.412744054217701</v>
      </c>
      <c r="Q345" s="1">
        <f>'Paste cell here'!V345</f>
        <v>0</v>
      </c>
      <c r="R345" s="1">
        <f t="shared" si="29"/>
        <v>1.2214644584673806E-7</v>
      </c>
      <c r="S345" s="7">
        <f>Sintesi!$C$30</f>
        <v>0.107</v>
      </c>
      <c r="T345" s="7">
        <f>Sintesi!$C$29</f>
        <v>0.23300000000000001</v>
      </c>
      <c r="U345" s="5">
        <f>O345/(Sintesi!$C$5*1000)</f>
        <v>0.31480362064384904</v>
      </c>
      <c r="V345" s="1">
        <f t="shared" si="25"/>
        <v>0.126</v>
      </c>
      <c r="W345" s="1">
        <v>0.68525702249656795</v>
      </c>
      <c r="X345" s="1">
        <f t="shared" si="26"/>
        <v>8.6342384834567562E-2</v>
      </c>
      <c r="Y345" s="1">
        <f t="shared" si="27"/>
        <v>0.14665761516543246</v>
      </c>
      <c r="Z345" s="1">
        <f>'Paste cellinfo here'!$B$11</f>
        <v>0.52400000000000002</v>
      </c>
    </row>
    <row r="346" spans="1:26">
      <c r="A346" s="1">
        <v>345</v>
      </c>
      <c r="B346" s="2">
        <f>DATE(Sintesi!$C$4-1,12,31)+A346</f>
        <v>44541</v>
      </c>
      <c r="C346" s="1">
        <f>'Paste cell here'!B346</f>
        <v>7.9999999999999724E-2</v>
      </c>
      <c r="D346" s="1">
        <f>'Paste cell here'!I346</f>
        <v>0</v>
      </c>
      <c r="E346" s="1">
        <f>'Paste cell here'!J346</f>
        <v>7.9999999999999724E-2</v>
      </c>
      <c r="F346" s="1">
        <f>'Paste cell here'!K346</f>
        <v>7.9999999999999724E-2</v>
      </c>
      <c r="G346" s="1">
        <f>'Paste cell here'!L346</f>
        <v>7.9999999999999724E-2</v>
      </c>
      <c r="H346" s="1">
        <f>'Paste cell here'!M346</f>
        <v>0</v>
      </c>
      <c r="I346" s="1">
        <f>'Paste cell here'!N346</f>
        <v>0</v>
      </c>
      <c r="J346" s="1">
        <f>'Paste cell here'!O346</f>
        <v>8.000000238418549E-2</v>
      </c>
      <c r="K346" s="1">
        <f>'Paste cell here'!Q346</f>
        <v>0.1470879598713066</v>
      </c>
      <c r="L346" s="1">
        <f>'Paste cell here'!S346</f>
        <v>0</v>
      </c>
      <c r="M346" s="1">
        <f>'Paste cell here'!T346</f>
        <v>2.0577755461848173</v>
      </c>
      <c r="N346" s="1">
        <f>'Paste cell here'!W346</f>
        <v>0</v>
      </c>
      <c r="O346" s="1">
        <f>'Paste cell here'!U346</f>
        <v>29.355498560712967</v>
      </c>
      <c r="P346" s="1">
        <f t="shared" si="28"/>
        <v>31.480362064384902</v>
      </c>
      <c r="Q346" s="1">
        <f>'Paste cell here'!V346</f>
        <v>0</v>
      </c>
      <c r="R346" s="1">
        <f t="shared" si="29"/>
        <v>2.3841906227062282E-9</v>
      </c>
      <c r="S346" s="7">
        <f>Sintesi!$C$30</f>
        <v>0.107</v>
      </c>
      <c r="T346" s="7">
        <f>Sintesi!$C$29</f>
        <v>0.23300000000000001</v>
      </c>
      <c r="U346" s="5">
        <f>O346/(Sintesi!$C$5*1000)</f>
        <v>0.29355498560712967</v>
      </c>
      <c r="V346" s="1">
        <f t="shared" si="25"/>
        <v>0.126</v>
      </c>
      <c r="W346" s="1">
        <v>0.67924400463115897</v>
      </c>
      <c r="X346" s="1">
        <f t="shared" si="26"/>
        <v>8.5584744583526037E-2</v>
      </c>
      <c r="Y346" s="1">
        <f t="shared" si="27"/>
        <v>0.14741525541647399</v>
      </c>
      <c r="Z346" s="1">
        <f>'Paste cellinfo here'!$B$11</f>
        <v>0.52400000000000002</v>
      </c>
    </row>
    <row r="347" spans="1:26">
      <c r="A347" s="1">
        <v>346</v>
      </c>
      <c r="B347" s="2">
        <f>DATE(Sintesi!$C$4-1,12,31)+A347</f>
        <v>44542</v>
      </c>
      <c r="C347" s="1">
        <f>'Paste cell here'!B347</f>
        <v>0.15999999999999945</v>
      </c>
      <c r="D347" s="1">
        <f>'Paste cell here'!I347</f>
        <v>0</v>
      </c>
      <c r="E347" s="1">
        <f>'Paste cell here'!J347</f>
        <v>0.15999999999999945</v>
      </c>
      <c r="F347" s="1">
        <f>'Paste cell here'!K347</f>
        <v>0.15999999999999945</v>
      </c>
      <c r="G347" s="1">
        <f>'Paste cell here'!L347</f>
        <v>0.15999999999999945</v>
      </c>
      <c r="H347" s="1">
        <f>'Paste cell here'!M347</f>
        <v>0</v>
      </c>
      <c r="I347" s="1">
        <f>'Paste cell here'!N347</f>
        <v>0</v>
      </c>
      <c r="J347" s="1">
        <f>'Paste cell here'!O347</f>
        <v>0.16000000476837098</v>
      </c>
      <c r="K347" s="1">
        <f>'Paste cell here'!Q347</f>
        <v>0.25967319856237819</v>
      </c>
      <c r="L347" s="1">
        <f>'Paste cell here'!S347</f>
        <v>0</v>
      </c>
      <c r="M347" s="1">
        <f>'Paste cell here'!T347</f>
        <v>1.0906977159164888</v>
      </c>
      <c r="N347" s="1">
        <f>'Paste cell here'!W347</f>
        <v>0</v>
      </c>
      <c r="O347" s="1">
        <f>'Paste cell here'!U347</f>
        <v>28.165127651002461</v>
      </c>
      <c r="P347" s="1">
        <f t="shared" si="28"/>
        <v>29.355498560712967</v>
      </c>
      <c r="Q347" s="1">
        <f>'Paste cell here'!V347</f>
        <v>0</v>
      </c>
      <c r="R347" s="1">
        <f t="shared" si="29"/>
        <v>4.7683599291303835E-9</v>
      </c>
      <c r="S347" s="7">
        <f>Sintesi!$C$30</f>
        <v>0.107</v>
      </c>
      <c r="T347" s="7">
        <f>Sintesi!$C$29</f>
        <v>0.23300000000000001</v>
      </c>
      <c r="U347" s="5">
        <f>O347/(Sintesi!$C$5*1000)</f>
        <v>0.28165127651002458</v>
      </c>
      <c r="V347" s="1">
        <f t="shared" si="25"/>
        <v>0.126</v>
      </c>
      <c r="W347" s="1">
        <v>0.68921252424151402</v>
      </c>
      <c r="X347" s="1">
        <f t="shared" si="26"/>
        <v>8.6840778054430773E-2</v>
      </c>
      <c r="Y347" s="1">
        <f t="shared" si="27"/>
        <v>0.14615922194556924</v>
      </c>
      <c r="Z347" s="1">
        <f>'Paste cellinfo here'!$B$11</f>
        <v>0.52400000000000002</v>
      </c>
    </row>
    <row r="348" spans="1:26">
      <c r="A348" s="1">
        <v>347</v>
      </c>
      <c r="B348" s="2">
        <f>DATE(Sintesi!$C$4-1,12,31)+A348</f>
        <v>44543</v>
      </c>
      <c r="C348" s="1">
        <f>'Paste cell here'!B348</f>
        <v>0</v>
      </c>
      <c r="D348" s="1">
        <f>'Paste cell here'!I348</f>
        <v>0</v>
      </c>
      <c r="E348" s="1">
        <f>'Paste cell here'!J348</f>
        <v>0</v>
      </c>
      <c r="F348" s="1">
        <f>'Paste cell here'!K348</f>
        <v>0</v>
      </c>
      <c r="G348" s="1">
        <f>'Paste cell here'!L348</f>
        <v>0</v>
      </c>
      <c r="H348" s="1">
        <f>'Paste cell here'!M348</f>
        <v>0</v>
      </c>
      <c r="I348" s="1">
        <f>'Paste cell here'!N348</f>
        <v>0</v>
      </c>
      <c r="J348" s="1">
        <f>'Paste cell here'!O348</f>
        <v>0</v>
      </c>
      <c r="K348" s="1">
        <f>'Paste cell here'!Q348</f>
        <v>0.33174319547385583</v>
      </c>
      <c r="L348" s="1">
        <f>'Paste cell here'!S348</f>
        <v>0</v>
      </c>
      <c r="M348" s="1">
        <f>'Paste cell here'!T348</f>
        <v>0.69050749392377841</v>
      </c>
      <c r="N348" s="1">
        <f>'Paste cell here'!W348</f>
        <v>0</v>
      </c>
      <c r="O348" s="1">
        <f>'Paste cell here'!U348</f>
        <v>27.142876961604824</v>
      </c>
      <c r="P348" s="1">
        <f t="shared" si="28"/>
        <v>28.165127651002461</v>
      </c>
      <c r="Q348" s="1">
        <f>'Paste cell here'!V348</f>
        <v>0</v>
      </c>
      <c r="R348" s="1">
        <f t="shared" si="29"/>
        <v>3.5527136788005009E-15</v>
      </c>
      <c r="S348" s="7">
        <f>Sintesi!$C$30</f>
        <v>0.107</v>
      </c>
      <c r="T348" s="7">
        <f>Sintesi!$C$29</f>
        <v>0.23300000000000001</v>
      </c>
      <c r="U348" s="5">
        <f>O348/(Sintesi!$C$5*1000)</f>
        <v>0.27142876961604823</v>
      </c>
      <c r="V348" s="1">
        <f t="shared" si="25"/>
        <v>0.126</v>
      </c>
      <c r="W348" s="1">
        <v>0.68321687821962296</v>
      </c>
      <c r="X348" s="1">
        <f t="shared" si="26"/>
        <v>8.6085326655672492E-2</v>
      </c>
      <c r="Y348" s="1">
        <f t="shared" si="27"/>
        <v>0.14691467334432751</v>
      </c>
      <c r="Z348" s="1">
        <f>'Paste cellinfo here'!$B$11</f>
        <v>0.52400000000000002</v>
      </c>
    </row>
    <row r="349" spans="1:26">
      <c r="A349" s="1">
        <v>348</v>
      </c>
      <c r="B349" s="2">
        <f>DATE(Sintesi!$C$4-1,12,31)+A349</f>
        <v>44544</v>
      </c>
      <c r="C349" s="1">
        <f>'Paste cell here'!B349</f>
        <v>7.9999999999999724E-2</v>
      </c>
      <c r="D349" s="1">
        <f>'Paste cell here'!I349</f>
        <v>0</v>
      </c>
      <c r="E349" s="1">
        <f>'Paste cell here'!J349</f>
        <v>7.9999999999999724E-2</v>
      </c>
      <c r="F349" s="1">
        <f>'Paste cell here'!K349</f>
        <v>7.9999999999999724E-2</v>
      </c>
      <c r="G349" s="1">
        <f>'Paste cell here'!L349</f>
        <v>7.9999999999999724E-2</v>
      </c>
      <c r="H349" s="1">
        <f>'Paste cell here'!M349</f>
        <v>0</v>
      </c>
      <c r="I349" s="1">
        <f>'Paste cell here'!N349</f>
        <v>0</v>
      </c>
      <c r="J349" s="1">
        <f>'Paste cell here'!O349</f>
        <v>8.000000238418549E-2</v>
      </c>
      <c r="K349" s="1">
        <f>'Paste cell here'!Q349</f>
        <v>0.24675166963877179</v>
      </c>
      <c r="L349" s="1">
        <f>'Paste cell here'!S349</f>
        <v>0</v>
      </c>
      <c r="M349" s="1">
        <f>'Paste cell here'!T349</f>
        <v>0.47948370681694102</v>
      </c>
      <c r="N349" s="1">
        <f>'Paste cell here'!W349</f>
        <v>0</v>
      </c>
      <c r="O349" s="1">
        <f>'Paste cell here'!U349</f>
        <v>26.496641587533276</v>
      </c>
      <c r="P349" s="1">
        <f t="shared" si="28"/>
        <v>27.142876961604824</v>
      </c>
      <c r="Q349" s="1">
        <f>'Paste cell here'!V349</f>
        <v>0</v>
      </c>
      <c r="R349" s="1">
        <f t="shared" si="29"/>
        <v>2.3841657537104766E-9</v>
      </c>
      <c r="S349" s="7">
        <f>Sintesi!$C$30</f>
        <v>0.107</v>
      </c>
      <c r="T349" s="7">
        <f>Sintesi!$C$29</f>
        <v>0.23300000000000001</v>
      </c>
      <c r="U349" s="5">
        <f>O349/(Sintesi!$C$5*1000)</f>
        <v>0.26496641587533276</v>
      </c>
      <c r="V349" s="1">
        <f t="shared" si="25"/>
        <v>0.126</v>
      </c>
      <c r="W349" s="1">
        <v>0.68529354813517196</v>
      </c>
      <c r="X349" s="1">
        <f t="shared" si="26"/>
        <v>8.6346987065031661E-2</v>
      </c>
      <c r="Y349" s="1">
        <f t="shared" si="27"/>
        <v>0.14665301293496835</v>
      </c>
      <c r="Z349" s="1">
        <f>'Paste cellinfo here'!$B$11</f>
        <v>0.52400000000000002</v>
      </c>
    </row>
    <row r="350" spans="1:26">
      <c r="A350" s="1">
        <v>349</v>
      </c>
      <c r="B350" s="2">
        <f>DATE(Sintesi!$C$4-1,12,31)+A350</f>
        <v>44545</v>
      </c>
      <c r="C350" s="1">
        <f>'Paste cell here'!B350</f>
        <v>0</v>
      </c>
      <c r="D350" s="1">
        <f>'Paste cell here'!I350</f>
        <v>0</v>
      </c>
      <c r="E350" s="1">
        <f>'Paste cell here'!J350</f>
        <v>0</v>
      </c>
      <c r="F350" s="1">
        <f>'Paste cell here'!K350</f>
        <v>0</v>
      </c>
      <c r="G350" s="1">
        <f>'Paste cell here'!L350</f>
        <v>0</v>
      </c>
      <c r="H350" s="1">
        <f>'Paste cell here'!M350</f>
        <v>0</v>
      </c>
      <c r="I350" s="1">
        <f>'Paste cell here'!N350</f>
        <v>0</v>
      </c>
      <c r="J350" s="1">
        <f>'Paste cell here'!O350</f>
        <v>0</v>
      </c>
      <c r="K350" s="1">
        <f>'Paste cell here'!Q350</f>
        <v>0.25227459371892791</v>
      </c>
      <c r="L350" s="1">
        <f>'Paste cell here'!S350</f>
        <v>0</v>
      </c>
      <c r="M350" s="1">
        <f>'Paste cell here'!T350</f>
        <v>0.3604549245600161</v>
      </c>
      <c r="N350" s="1">
        <f>'Paste cell here'!W350</f>
        <v>0</v>
      </c>
      <c r="O350" s="1">
        <f>'Paste cell here'!U350</f>
        <v>25.883912069254325</v>
      </c>
      <c r="P350" s="1">
        <f t="shared" si="28"/>
        <v>26.496641587533276</v>
      </c>
      <c r="Q350" s="1">
        <f>'Paste cell here'!V350</f>
        <v>0</v>
      </c>
      <c r="R350" s="1">
        <f t="shared" si="29"/>
        <v>7.1054273576010019E-15</v>
      </c>
      <c r="S350" s="7">
        <f>Sintesi!$C$30</f>
        <v>0.107</v>
      </c>
      <c r="T350" s="7">
        <f>Sintesi!$C$29</f>
        <v>0.23300000000000001</v>
      </c>
      <c r="U350" s="5">
        <f>O350/(Sintesi!$C$5*1000)</f>
        <v>0.25883912069254328</v>
      </c>
      <c r="V350" s="1">
        <f t="shared" si="25"/>
        <v>0.126</v>
      </c>
      <c r="W350" s="1">
        <v>0.68495018566008603</v>
      </c>
      <c r="X350" s="1">
        <f t="shared" si="26"/>
        <v>8.6303723393170842E-2</v>
      </c>
      <c r="Y350" s="1">
        <f t="shared" si="27"/>
        <v>0.14669627660682916</v>
      </c>
      <c r="Z350" s="1">
        <f>'Paste cellinfo here'!$B$11</f>
        <v>0.52400000000000002</v>
      </c>
    </row>
    <row r="351" spans="1:26">
      <c r="A351" s="1">
        <v>350</v>
      </c>
      <c r="B351" s="2">
        <f>DATE(Sintesi!$C$4-1,12,31)+A351</f>
        <v>44546</v>
      </c>
      <c r="C351" s="1">
        <f>'Paste cell here'!B351</f>
        <v>0.15999999999999945</v>
      </c>
      <c r="D351" s="1">
        <f>'Paste cell here'!I351</f>
        <v>0</v>
      </c>
      <c r="E351" s="1">
        <f>'Paste cell here'!J351</f>
        <v>0.15999999999999945</v>
      </c>
      <c r="F351" s="1">
        <f>'Paste cell here'!K351</f>
        <v>0.15999999999999945</v>
      </c>
      <c r="G351" s="1">
        <f>'Paste cell here'!L351</f>
        <v>0.15999999999999945</v>
      </c>
      <c r="H351" s="1">
        <f>'Paste cell here'!M351</f>
        <v>0</v>
      </c>
      <c r="I351" s="1">
        <f>'Paste cell here'!N351</f>
        <v>0</v>
      </c>
      <c r="J351" s="1">
        <f>'Paste cell here'!O351</f>
        <v>0.16000000476837098</v>
      </c>
      <c r="K351" s="1">
        <f>'Paste cell here'!Q351</f>
        <v>0.19587750341487112</v>
      </c>
      <c r="L351" s="1">
        <f>'Paste cell here'!S351</f>
        <v>0</v>
      </c>
      <c r="M351" s="1">
        <f>'Paste cell here'!T351</f>
        <v>0.28912161595619046</v>
      </c>
      <c r="N351" s="1">
        <f>'Paste cell here'!W351</f>
        <v>0</v>
      </c>
      <c r="O351" s="1">
        <f>'Paste cell here'!U351</f>
        <v>25.558912954651646</v>
      </c>
      <c r="P351" s="1">
        <f t="shared" si="28"/>
        <v>25.883912069254325</v>
      </c>
      <c r="Q351" s="1">
        <f>'Paste cell here'!V351</f>
        <v>0</v>
      </c>
      <c r="R351" s="1">
        <f t="shared" si="29"/>
        <v>4.7683812454124563E-9</v>
      </c>
      <c r="S351" s="7">
        <f>Sintesi!$C$30</f>
        <v>0.107</v>
      </c>
      <c r="T351" s="7">
        <f>Sintesi!$C$29</f>
        <v>0.23300000000000001</v>
      </c>
      <c r="U351" s="5">
        <f>O351/(Sintesi!$C$5*1000)</f>
        <v>0.25558912954651647</v>
      </c>
      <c r="V351" s="1">
        <f t="shared" si="25"/>
        <v>0.126</v>
      </c>
      <c r="W351" s="1">
        <v>0.67845764007600495</v>
      </c>
      <c r="X351" s="1">
        <f t="shared" si="26"/>
        <v>8.5485662649576619E-2</v>
      </c>
      <c r="Y351" s="1">
        <f t="shared" si="27"/>
        <v>0.14751433735042341</v>
      </c>
      <c r="Z351" s="1">
        <f>'Paste cellinfo here'!$B$11</f>
        <v>0.52400000000000002</v>
      </c>
    </row>
    <row r="352" spans="1:26">
      <c r="A352" s="1">
        <v>351</v>
      </c>
      <c r="B352" s="2">
        <f>DATE(Sintesi!$C$4-1,12,31)+A352</f>
        <v>44547</v>
      </c>
      <c r="C352" s="1">
        <f>'Paste cell here'!B352</f>
        <v>7.9999999999999724E-2</v>
      </c>
      <c r="D352" s="1">
        <f>'Paste cell here'!I352</f>
        <v>0</v>
      </c>
      <c r="E352" s="1">
        <f>'Paste cell here'!J352</f>
        <v>7.9999999999999724E-2</v>
      </c>
      <c r="F352" s="1">
        <f>'Paste cell here'!K352</f>
        <v>7.9999999999999724E-2</v>
      </c>
      <c r="G352" s="1">
        <f>'Paste cell here'!L352</f>
        <v>7.9999999999999724E-2</v>
      </c>
      <c r="H352" s="1">
        <f>'Paste cell here'!M352</f>
        <v>0</v>
      </c>
      <c r="I352" s="1">
        <f>'Paste cell here'!N352</f>
        <v>0</v>
      </c>
      <c r="J352" s="1">
        <f>'Paste cell here'!O352</f>
        <v>8.000000238418549E-2</v>
      </c>
      <c r="K352" s="1">
        <f>'Paste cell here'!Q352</f>
        <v>0.32706600188358209</v>
      </c>
      <c r="L352" s="1">
        <f>'Paste cell here'!S352</f>
        <v>0</v>
      </c>
      <c r="M352" s="1">
        <f>'Paste cell here'!T352</f>
        <v>0.23863882882910598</v>
      </c>
      <c r="N352" s="1">
        <f>'Paste cell here'!W352</f>
        <v>0</v>
      </c>
      <c r="O352" s="1">
        <f>'Paste cell here'!U352</f>
        <v>25.073208126323149</v>
      </c>
      <c r="P352" s="1">
        <f t="shared" si="28"/>
        <v>25.558912954651646</v>
      </c>
      <c r="Q352" s="1">
        <f>'Paste cell here'!V352</f>
        <v>0</v>
      </c>
      <c r="R352" s="1">
        <f t="shared" si="29"/>
        <v>2.384194175419907E-9</v>
      </c>
      <c r="S352" s="7">
        <f>Sintesi!$C$30</f>
        <v>0.107</v>
      </c>
      <c r="T352" s="7">
        <f>Sintesi!$C$29</f>
        <v>0.23300000000000001</v>
      </c>
      <c r="U352" s="5">
        <f>O352/(Sintesi!$C$5*1000)</f>
        <v>0.25073208126323149</v>
      </c>
      <c r="V352" s="1">
        <f t="shared" si="25"/>
        <v>0.126</v>
      </c>
      <c r="W352" s="1">
        <v>0.67983473564729202</v>
      </c>
      <c r="X352" s="1">
        <f t="shared" si="26"/>
        <v>8.56591766915588E-2</v>
      </c>
      <c r="Y352" s="1">
        <f t="shared" si="27"/>
        <v>0.14734082330844123</v>
      </c>
      <c r="Z352" s="1">
        <f>'Paste cellinfo here'!$B$11</f>
        <v>0.52400000000000002</v>
      </c>
    </row>
    <row r="353" spans="1:26">
      <c r="A353" s="1">
        <v>352</v>
      </c>
      <c r="B353" s="2">
        <f>DATE(Sintesi!$C$4-1,12,31)+A353</f>
        <v>44548</v>
      </c>
      <c r="C353" s="1">
        <f>'Paste cell here'!B353</f>
        <v>0.23999999999999913</v>
      </c>
      <c r="D353" s="1">
        <f>'Paste cell here'!I353</f>
        <v>0</v>
      </c>
      <c r="E353" s="1">
        <f>'Paste cell here'!J353</f>
        <v>0.23999999999999913</v>
      </c>
      <c r="F353" s="1">
        <f>'Paste cell here'!K353</f>
        <v>0.23999999999999913</v>
      </c>
      <c r="G353" s="1">
        <f>'Paste cell here'!L353</f>
        <v>0.23999999999999913</v>
      </c>
      <c r="H353" s="1">
        <f>'Paste cell here'!M353</f>
        <v>0</v>
      </c>
      <c r="I353" s="1">
        <f>'Paste cell here'!N353</f>
        <v>0</v>
      </c>
      <c r="J353" s="1">
        <f>'Paste cell here'!O353</f>
        <v>0.24000000715255659</v>
      </c>
      <c r="K353" s="1">
        <f>'Paste cell here'!Q353</f>
        <v>0.17368205686977312</v>
      </c>
      <c r="L353" s="1">
        <f>'Paste cell here'!S353</f>
        <v>0</v>
      </c>
      <c r="M353" s="1">
        <f>'Paste cell here'!T353</f>
        <v>0.20428892311770508</v>
      </c>
      <c r="N353" s="1">
        <f>'Paste cell here'!W353</f>
        <v>0</v>
      </c>
      <c r="O353" s="1">
        <f>'Paste cell here'!U353</f>
        <v>24.935237153488224</v>
      </c>
      <c r="P353" s="1">
        <f t="shared" si="28"/>
        <v>25.073208126323149</v>
      </c>
      <c r="Q353" s="1">
        <f>'Paste cell here'!V353</f>
        <v>0</v>
      </c>
      <c r="R353" s="1">
        <f t="shared" si="29"/>
        <v>7.1525541045502905E-9</v>
      </c>
      <c r="S353" s="7">
        <f>Sintesi!$C$30</f>
        <v>0.107</v>
      </c>
      <c r="T353" s="7">
        <f>Sintesi!$C$29</f>
        <v>0.23300000000000001</v>
      </c>
      <c r="U353" s="5">
        <f>O353/(Sintesi!$C$5*1000)</f>
        <v>0.24935237153488224</v>
      </c>
      <c r="V353" s="1">
        <f t="shared" si="25"/>
        <v>0.126</v>
      </c>
      <c r="W353" s="1">
        <v>0.674481495928693</v>
      </c>
      <c r="X353" s="1">
        <f t="shared" si="26"/>
        <v>8.4984668487015316E-2</v>
      </c>
      <c r="Y353" s="1">
        <f t="shared" si="27"/>
        <v>0.14801533151298468</v>
      </c>
      <c r="Z353" s="1">
        <f>'Paste cellinfo here'!$B$11</f>
        <v>0.52400000000000002</v>
      </c>
    </row>
    <row r="354" spans="1:26">
      <c r="A354" s="1">
        <v>353</v>
      </c>
      <c r="B354" s="2">
        <f>DATE(Sintesi!$C$4-1,12,31)+A354</f>
        <v>44549</v>
      </c>
      <c r="C354" s="1">
        <f>'Paste cell here'!B354</f>
        <v>0</v>
      </c>
      <c r="D354" s="1">
        <f>'Paste cell here'!I354</f>
        <v>0</v>
      </c>
      <c r="E354" s="1">
        <f>'Paste cell here'!J354</f>
        <v>0</v>
      </c>
      <c r="F354" s="1">
        <f>'Paste cell here'!K354</f>
        <v>0</v>
      </c>
      <c r="G354" s="1">
        <f>'Paste cell here'!L354</f>
        <v>0</v>
      </c>
      <c r="H354" s="1">
        <f>'Paste cell here'!M354</f>
        <v>0</v>
      </c>
      <c r="I354" s="1">
        <f>'Paste cell here'!N354</f>
        <v>0</v>
      </c>
      <c r="J354" s="1">
        <f>'Paste cell here'!O354</f>
        <v>0</v>
      </c>
      <c r="K354" s="1">
        <f>'Paste cell here'!Q354</f>
        <v>0.31037717780791535</v>
      </c>
      <c r="L354" s="1">
        <f>'Paste cell here'!S354</f>
        <v>0</v>
      </c>
      <c r="M354" s="1">
        <f>'Paste cell here'!T354</f>
        <v>0.1756298311673152</v>
      </c>
      <c r="N354" s="1">
        <f>'Paste cell here'!W354</f>
        <v>0</v>
      </c>
      <c r="O354" s="1">
        <f>'Paste cell here'!U354</f>
        <v>24.449230144512999</v>
      </c>
      <c r="P354" s="1">
        <f t="shared" si="28"/>
        <v>24.935237153488224</v>
      </c>
      <c r="Q354" s="1">
        <f>'Paste cell here'!V354</f>
        <v>0</v>
      </c>
      <c r="R354" s="1">
        <f t="shared" si="29"/>
        <v>3.5527136788005009E-15</v>
      </c>
      <c r="S354" s="7">
        <f>Sintesi!$C$30</f>
        <v>0.107</v>
      </c>
      <c r="T354" s="7">
        <f>Sintesi!$C$29</f>
        <v>0.23300000000000001</v>
      </c>
      <c r="U354" s="5">
        <f>O354/(Sintesi!$C$5*1000)</f>
        <v>0.24449230144512998</v>
      </c>
      <c r="V354" s="1">
        <f t="shared" si="25"/>
        <v>0.126</v>
      </c>
      <c r="W354" s="1">
        <v>0.68273124229005999</v>
      </c>
      <c r="X354" s="1">
        <f t="shared" si="26"/>
        <v>8.6024136528547554E-2</v>
      </c>
      <c r="Y354" s="1">
        <f t="shared" si="27"/>
        <v>0.14697586347145247</v>
      </c>
      <c r="Z354" s="1">
        <f>'Paste cellinfo here'!$B$11</f>
        <v>0.52400000000000002</v>
      </c>
    </row>
    <row r="355" spans="1:26">
      <c r="A355" s="1">
        <v>354</v>
      </c>
      <c r="B355" s="2">
        <f>DATE(Sintesi!$C$4-1,12,31)+A355</f>
        <v>44550</v>
      </c>
      <c r="C355" s="1">
        <f>'Paste cell here'!B355</f>
        <v>0</v>
      </c>
      <c r="D355" s="1">
        <f>'Paste cell here'!I355</f>
        <v>0</v>
      </c>
      <c r="E355" s="1">
        <f>'Paste cell here'!J355</f>
        <v>0</v>
      </c>
      <c r="F355" s="1">
        <f>'Paste cell here'!K355</f>
        <v>0</v>
      </c>
      <c r="G355" s="1">
        <f>'Paste cell here'!L355</f>
        <v>0</v>
      </c>
      <c r="H355" s="1">
        <f>'Paste cell here'!M355</f>
        <v>0</v>
      </c>
      <c r="I355" s="1">
        <f>'Paste cell here'!N355</f>
        <v>0</v>
      </c>
      <c r="J355" s="1">
        <f>'Paste cell here'!O355</f>
        <v>0</v>
      </c>
      <c r="K355" s="1">
        <f>'Paste cell here'!Q355</f>
        <v>0.48715623037288136</v>
      </c>
      <c r="L355" s="1">
        <f>'Paste cell here'!S355</f>
        <v>0</v>
      </c>
      <c r="M355" s="1">
        <f>'Paste cell here'!T355</f>
        <v>0.13312401981531816</v>
      </c>
      <c r="N355" s="1">
        <f>'Paste cell here'!W355</f>
        <v>0</v>
      </c>
      <c r="O355" s="1">
        <f>'Paste cell here'!U355</f>
        <v>23.82894989432479</v>
      </c>
      <c r="P355" s="1">
        <f t="shared" si="28"/>
        <v>24.449230144512999</v>
      </c>
      <c r="Q355" s="1">
        <f>'Paste cell here'!V355</f>
        <v>0</v>
      </c>
      <c r="R355" s="1">
        <f t="shared" si="29"/>
        <v>7.1054273576010019E-15</v>
      </c>
      <c r="S355" s="7">
        <f>Sintesi!$C$30</f>
        <v>0.107</v>
      </c>
      <c r="T355" s="7">
        <f>Sintesi!$C$29</f>
        <v>0.23300000000000001</v>
      </c>
      <c r="U355" s="5">
        <f>O355/(Sintesi!$C$5*1000)</f>
        <v>0.23828949894324791</v>
      </c>
      <c r="V355" s="1">
        <f t="shared" si="25"/>
        <v>0.126</v>
      </c>
      <c r="W355" s="1">
        <v>0.68170378803830201</v>
      </c>
      <c r="X355" s="1">
        <f t="shared" si="26"/>
        <v>8.5894677292826058E-2</v>
      </c>
      <c r="Y355" s="1">
        <f t="shared" si="27"/>
        <v>0.14710532270717397</v>
      </c>
      <c r="Z355" s="1">
        <f>'Paste cellinfo here'!$B$11</f>
        <v>0.52400000000000002</v>
      </c>
    </row>
    <row r="356" spans="1:26">
      <c r="A356" s="1">
        <v>355</v>
      </c>
      <c r="B356" s="2">
        <f>DATE(Sintesi!$C$4-1,12,31)+A356</f>
        <v>44551</v>
      </c>
      <c r="C356" s="1">
        <f>'Paste cell here'!B356</f>
        <v>0</v>
      </c>
      <c r="D356" s="1">
        <f>'Paste cell here'!I356</f>
        <v>0</v>
      </c>
      <c r="E356" s="1">
        <f>'Paste cell here'!J356</f>
        <v>0</v>
      </c>
      <c r="F356" s="1">
        <f>'Paste cell here'!K356</f>
        <v>0</v>
      </c>
      <c r="G356" s="1">
        <f>'Paste cell here'!L356</f>
        <v>0</v>
      </c>
      <c r="H356" s="1">
        <f>'Paste cell here'!M356</f>
        <v>0</v>
      </c>
      <c r="I356" s="1">
        <f>'Paste cell here'!N356</f>
        <v>0</v>
      </c>
      <c r="J356" s="1">
        <f>'Paste cell here'!O356</f>
        <v>0</v>
      </c>
      <c r="K356" s="1">
        <f>'Paste cell here'!Q356</f>
        <v>0.41983578039010094</v>
      </c>
      <c r="L356" s="1">
        <f>'Paste cell here'!S356</f>
        <v>0</v>
      </c>
      <c r="M356" s="1">
        <f>'Paste cell here'!T356</f>
        <v>9.8541023646745218E-2</v>
      </c>
      <c r="N356" s="1">
        <f>'Paste cell here'!W356</f>
        <v>0</v>
      </c>
      <c r="O356" s="1">
        <f>'Paste cell here'!U356</f>
        <v>23.310573090287946</v>
      </c>
      <c r="P356" s="1">
        <f t="shared" si="28"/>
        <v>23.82894989432479</v>
      </c>
      <c r="Q356" s="1">
        <f>'Paste cell here'!V356</f>
        <v>0</v>
      </c>
      <c r="R356" s="1">
        <f t="shared" si="29"/>
        <v>3.5527136788005009E-15</v>
      </c>
      <c r="S356" s="7">
        <f>Sintesi!$C$30</f>
        <v>0.107</v>
      </c>
      <c r="T356" s="7">
        <f>Sintesi!$C$29</f>
        <v>0.23300000000000001</v>
      </c>
      <c r="U356" s="5">
        <f>O356/(Sintesi!$C$5*1000)</f>
        <v>0.23310573090287945</v>
      </c>
      <c r="V356" s="1">
        <f t="shared" si="25"/>
        <v>0.126</v>
      </c>
      <c r="W356" s="1">
        <v>0.67988763442774702</v>
      </c>
      <c r="X356" s="1">
        <f t="shared" si="26"/>
        <v>8.5665841937896128E-2</v>
      </c>
      <c r="Y356" s="1">
        <f t="shared" si="27"/>
        <v>0.14733415806210387</v>
      </c>
      <c r="Z356" s="1">
        <f>'Paste cellinfo here'!$B$11</f>
        <v>0.52400000000000002</v>
      </c>
    </row>
    <row r="357" spans="1:26">
      <c r="A357" s="1">
        <v>356</v>
      </c>
      <c r="B357" s="2">
        <f>DATE(Sintesi!$C$4-1,12,31)+A357</f>
        <v>44552</v>
      </c>
      <c r="C357" s="1">
        <f>'Paste cell here'!B357</f>
        <v>0</v>
      </c>
      <c r="D357" s="1">
        <f>'Paste cell here'!I357</f>
        <v>0</v>
      </c>
      <c r="E357" s="1">
        <f>'Paste cell here'!J357</f>
        <v>0</v>
      </c>
      <c r="F357" s="1">
        <f>'Paste cell here'!K357</f>
        <v>0</v>
      </c>
      <c r="G357" s="1">
        <f>'Paste cell here'!L357</f>
        <v>0</v>
      </c>
      <c r="H357" s="1">
        <f>'Paste cell here'!M357</f>
        <v>0</v>
      </c>
      <c r="I357" s="1">
        <f>'Paste cell here'!N357</f>
        <v>0</v>
      </c>
      <c r="J357" s="1">
        <f>'Paste cell here'!O357</f>
        <v>0</v>
      </c>
      <c r="K357" s="1">
        <f>'Paste cell here'!Q357</f>
        <v>0.25440380605863039</v>
      </c>
      <c r="L357" s="1">
        <f>'Paste cell here'!S357</f>
        <v>0</v>
      </c>
      <c r="M357" s="1">
        <f>'Paste cell here'!T357</f>
        <v>7.7982544822942201E-2</v>
      </c>
      <c r="N357" s="1">
        <f>'Paste cell here'!W357</f>
        <v>0</v>
      </c>
      <c r="O357" s="1">
        <f>'Paste cell here'!U357</f>
        <v>22.978186739406372</v>
      </c>
      <c r="P357" s="1">
        <f t="shared" si="28"/>
        <v>23.310573090287946</v>
      </c>
      <c r="Q357" s="1">
        <f>'Paste cell here'!V357</f>
        <v>0</v>
      </c>
      <c r="R357" s="1">
        <f t="shared" si="29"/>
        <v>3.5527136788005009E-15</v>
      </c>
      <c r="S357" s="7">
        <f>Sintesi!$C$30</f>
        <v>0.107</v>
      </c>
      <c r="T357" s="7">
        <f>Sintesi!$C$29</f>
        <v>0.23300000000000001</v>
      </c>
      <c r="U357" s="5">
        <f>O357/(Sintesi!$C$5*1000)</f>
        <v>0.22978186739406373</v>
      </c>
      <c r="V357" s="1">
        <f t="shared" si="25"/>
        <v>0.126</v>
      </c>
      <c r="W357" s="1">
        <v>0.67967703929663204</v>
      </c>
      <c r="X357" s="1">
        <f t="shared" si="26"/>
        <v>8.5639306951375643E-2</v>
      </c>
      <c r="Y357" s="1">
        <f t="shared" si="27"/>
        <v>0.14736069304862437</v>
      </c>
      <c r="Z357" s="1">
        <f>'Paste cellinfo here'!$B$11</f>
        <v>0.52400000000000002</v>
      </c>
    </row>
    <row r="358" spans="1:26">
      <c r="A358" s="1">
        <v>357</v>
      </c>
      <c r="B358" s="2">
        <f>DATE(Sintesi!$C$4-1,12,31)+A358</f>
        <v>44553</v>
      </c>
      <c r="C358" s="1">
        <f>'Paste cell here'!B358</f>
        <v>0</v>
      </c>
      <c r="D358" s="1">
        <f>'Paste cell here'!I358</f>
        <v>0</v>
      </c>
      <c r="E358" s="1">
        <f>'Paste cell here'!J358</f>
        <v>0</v>
      </c>
      <c r="F358" s="1">
        <f>'Paste cell here'!K358</f>
        <v>0</v>
      </c>
      <c r="G358" s="1">
        <f>'Paste cell here'!L358</f>
        <v>0</v>
      </c>
      <c r="H358" s="1">
        <f>'Paste cell here'!M358</f>
        <v>0</v>
      </c>
      <c r="I358" s="1">
        <f>'Paste cell here'!N358</f>
        <v>0</v>
      </c>
      <c r="J358" s="1">
        <f>'Paste cell here'!O358</f>
        <v>0</v>
      </c>
      <c r="K358" s="1">
        <f>'Paste cell here'!Q358</f>
        <v>0.35041979467063067</v>
      </c>
      <c r="L358" s="1">
        <f>'Paste cell here'!S358</f>
        <v>0</v>
      </c>
      <c r="M358" s="1">
        <f>'Paste cell here'!T358</f>
        <v>6.3552573206584001E-2</v>
      </c>
      <c r="N358" s="1">
        <f>'Paste cell here'!W358</f>
        <v>0</v>
      </c>
      <c r="O358" s="1">
        <f>'Paste cell here'!U358</f>
        <v>22.564214371529179</v>
      </c>
      <c r="P358" s="1">
        <f t="shared" si="28"/>
        <v>22.978186739406372</v>
      </c>
      <c r="Q358" s="1">
        <f>'Paste cell here'!V358</f>
        <v>0</v>
      </c>
      <c r="R358" s="1">
        <f t="shared" si="29"/>
        <v>2.1316282072803006E-14</v>
      </c>
      <c r="S358" s="7">
        <f>Sintesi!$C$30</f>
        <v>0.107</v>
      </c>
      <c r="T358" s="7">
        <f>Sintesi!$C$29</f>
        <v>0.23300000000000001</v>
      </c>
      <c r="U358" s="5">
        <f>O358/(Sintesi!$C$5*1000)</f>
        <v>0.22564214371529179</v>
      </c>
      <c r="V358" s="1">
        <f t="shared" si="25"/>
        <v>0.126</v>
      </c>
      <c r="W358" s="1">
        <v>0.67660749106312801</v>
      </c>
      <c r="X358" s="1">
        <f t="shared" si="26"/>
        <v>8.5252543873954131E-2</v>
      </c>
      <c r="Y358" s="1">
        <f t="shared" si="27"/>
        <v>0.1477474561260459</v>
      </c>
      <c r="Z358" s="1">
        <f>'Paste cellinfo here'!$B$11</f>
        <v>0.52400000000000002</v>
      </c>
    </row>
    <row r="359" spans="1:26">
      <c r="A359" s="1">
        <v>358</v>
      </c>
      <c r="B359" s="2">
        <f>DATE(Sintesi!$C$4-1,12,31)+A359</f>
        <v>44554</v>
      </c>
      <c r="C359" s="1">
        <f>'Paste cell here'!B359</f>
        <v>0</v>
      </c>
      <c r="D359" s="1">
        <f>'Paste cell here'!I359</f>
        <v>0</v>
      </c>
      <c r="E359" s="1">
        <f>'Paste cell here'!J359</f>
        <v>0</v>
      </c>
      <c r="F359" s="1">
        <f>'Paste cell here'!K359</f>
        <v>0</v>
      </c>
      <c r="G359" s="1">
        <f>'Paste cell here'!L359</f>
        <v>0</v>
      </c>
      <c r="H359" s="1">
        <f>'Paste cell here'!M359</f>
        <v>0</v>
      </c>
      <c r="I359" s="1">
        <f>'Paste cell here'!N359</f>
        <v>0</v>
      </c>
      <c r="J359" s="1">
        <f>'Paste cell here'!O359</f>
        <v>0</v>
      </c>
      <c r="K359" s="1">
        <f>'Paste cell here'!Q359</f>
        <v>0.56998937083993462</v>
      </c>
      <c r="L359" s="1">
        <f>'Paste cell here'!S359</f>
        <v>0</v>
      </c>
      <c r="M359" s="1">
        <f>'Paste cell here'!T359</f>
        <v>4.7733445920516974E-2</v>
      </c>
      <c r="N359" s="1">
        <f>'Paste cell here'!W359</f>
        <v>0</v>
      </c>
      <c r="O359" s="1">
        <f>'Paste cell here'!U359</f>
        <v>21.946491554768723</v>
      </c>
      <c r="P359" s="1">
        <f t="shared" si="28"/>
        <v>22.564214371529179</v>
      </c>
      <c r="Q359" s="1">
        <f>'Paste cell here'!V359</f>
        <v>0</v>
      </c>
      <c r="R359" s="1">
        <f t="shared" si="29"/>
        <v>3.5527136788005009E-15</v>
      </c>
      <c r="S359" s="7">
        <f>Sintesi!$C$30</f>
        <v>0.107</v>
      </c>
      <c r="T359" s="7">
        <f>Sintesi!$C$29</f>
        <v>0.23300000000000001</v>
      </c>
      <c r="U359" s="5">
        <f>O359/(Sintesi!$C$5*1000)</f>
        <v>0.21946491554768724</v>
      </c>
      <c r="V359" s="1">
        <f t="shared" si="25"/>
        <v>0.126</v>
      </c>
      <c r="W359" s="1">
        <v>0.66135713259260398</v>
      </c>
      <c r="X359" s="1">
        <f t="shared" si="26"/>
        <v>8.3330998706668102E-2</v>
      </c>
      <c r="Y359" s="1">
        <f t="shared" si="27"/>
        <v>0.14966900129333191</v>
      </c>
      <c r="Z359" s="1">
        <f>'Paste cellinfo here'!$B$11</f>
        <v>0.52400000000000002</v>
      </c>
    </row>
    <row r="360" spans="1:26">
      <c r="A360" s="1">
        <v>359</v>
      </c>
      <c r="B360" s="2">
        <f>DATE(Sintesi!$C$4-1,12,31)+A360</f>
        <v>44555</v>
      </c>
      <c r="C360" s="1">
        <f>'Paste cell here'!B360</f>
        <v>1.6799999999999473</v>
      </c>
      <c r="D360" s="1">
        <f>'Paste cell here'!I360</f>
        <v>0</v>
      </c>
      <c r="E360" s="1">
        <f>'Paste cell here'!J360</f>
        <v>1.6799999999999473</v>
      </c>
      <c r="F360" s="1">
        <f>'Paste cell here'!K360</f>
        <v>1.6799999999999473</v>
      </c>
      <c r="G360" s="1">
        <f>'Paste cell here'!L360</f>
        <v>1.6799999999999473</v>
      </c>
      <c r="H360" s="1">
        <f>'Paste cell here'!M360</f>
        <v>0</v>
      </c>
      <c r="I360" s="1">
        <f>'Paste cell here'!N360</f>
        <v>0</v>
      </c>
      <c r="J360" s="1">
        <f>'Paste cell here'!O360</f>
        <v>1.6800000500678496</v>
      </c>
      <c r="K360" s="1">
        <f>'Paste cell here'!Q360</f>
        <v>0.47188494560200184</v>
      </c>
      <c r="L360" s="1">
        <f>'Paste cell here'!S360</f>
        <v>0</v>
      </c>
      <c r="M360" s="1">
        <f>'Paste cell here'!T360</f>
        <v>5.5232556855255091E-2</v>
      </c>
      <c r="N360" s="1">
        <f>'Paste cell here'!W360</f>
        <v>0</v>
      </c>
      <c r="O360" s="1">
        <f>'Paste cell here'!U360</f>
        <v>23.099374102379318</v>
      </c>
      <c r="P360" s="1">
        <f t="shared" si="28"/>
        <v>21.946491554768723</v>
      </c>
      <c r="Q360" s="1">
        <f>'Paste cell here'!V360</f>
        <v>0</v>
      </c>
      <c r="R360" s="1">
        <f t="shared" si="29"/>
        <v>5.0067907153561464E-8</v>
      </c>
      <c r="S360" s="7">
        <f>Sintesi!$C$30</f>
        <v>0.107</v>
      </c>
      <c r="T360" s="7">
        <f>Sintesi!$C$29</f>
        <v>0.23300000000000001</v>
      </c>
      <c r="U360" s="5">
        <f>O360/(Sintesi!$C$5*1000)</f>
        <v>0.23099374102379319</v>
      </c>
      <c r="V360" s="1">
        <f t="shared" si="25"/>
        <v>0.126</v>
      </c>
      <c r="W360" s="1">
        <v>0.67277949524092395</v>
      </c>
      <c r="X360" s="1">
        <f t="shared" si="26"/>
        <v>8.4770216400356424E-2</v>
      </c>
      <c r="Y360" s="1">
        <f t="shared" si="27"/>
        <v>0.14822978359964359</v>
      </c>
      <c r="Z360" s="1">
        <f>'Paste cellinfo here'!$B$11</f>
        <v>0.52400000000000002</v>
      </c>
    </row>
    <row r="361" spans="1:26">
      <c r="A361" s="1">
        <v>360</v>
      </c>
      <c r="B361" s="2">
        <f>DATE(Sintesi!$C$4-1,12,31)+A361</f>
        <v>44556</v>
      </c>
      <c r="C361" s="1">
        <f>'Paste cell here'!B361</f>
        <v>7.9999999999999724E-2</v>
      </c>
      <c r="D361" s="1">
        <f>'Paste cell here'!I361</f>
        <v>0</v>
      </c>
      <c r="E361" s="1">
        <f>'Paste cell here'!J361</f>
        <v>7.9999999999999724E-2</v>
      </c>
      <c r="F361" s="1">
        <f>'Paste cell here'!K361</f>
        <v>7.9999999999999724E-2</v>
      </c>
      <c r="G361" s="1">
        <f>'Paste cell here'!L361</f>
        <v>7.9999999999999724E-2</v>
      </c>
      <c r="H361" s="1">
        <f>'Paste cell here'!M361</f>
        <v>0</v>
      </c>
      <c r="I361" s="1">
        <f>'Paste cell here'!N361</f>
        <v>0</v>
      </c>
      <c r="J361" s="1">
        <f>'Paste cell here'!O361</f>
        <v>8.000000238418549E-2</v>
      </c>
      <c r="K361" s="1">
        <f>'Paste cell here'!Q361</f>
        <v>0.29303633478090724</v>
      </c>
      <c r="L361" s="1">
        <f>'Paste cell here'!S361</f>
        <v>0</v>
      </c>
      <c r="M361" s="1">
        <f>'Paste cell here'!T361</f>
        <v>7.03338485199069E-2</v>
      </c>
      <c r="N361" s="1">
        <f>'Paste cell here'!W361</f>
        <v>0</v>
      </c>
      <c r="O361" s="1">
        <f>'Paste cell here'!U361</f>
        <v>22.816003921462706</v>
      </c>
      <c r="P361" s="1">
        <f t="shared" si="28"/>
        <v>23.099374102379318</v>
      </c>
      <c r="Q361" s="1">
        <f>'Paste cell here'!V361</f>
        <v>0</v>
      </c>
      <c r="R361" s="1">
        <f t="shared" si="29"/>
        <v>2.3842048335609434E-9</v>
      </c>
      <c r="S361" s="7">
        <f>Sintesi!$C$30</f>
        <v>0.107</v>
      </c>
      <c r="T361" s="7">
        <f>Sintesi!$C$29</f>
        <v>0.23300000000000001</v>
      </c>
      <c r="U361" s="5">
        <f>O361/(Sintesi!$C$5*1000)</f>
        <v>0.22816003921462705</v>
      </c>
      <c r="V361" s="1">
        <f t="shared" si="25"/>
        <v>0.126</v>
      </c>
      <c r="W361" s="1">
        <v>0.67800097291641204</v>
      </c>
      <c r="X361" s="1">
        <f t="shared" si="26"/>
        <v>8.5428122587467917E-2</v>
      </c>
      <c r="Y361" s="1">
        <f t="shared" si="27"/>
        <v>0.14757187741253208</v>
      </c>
      <c r="Z361" s="1">
        <f>'Paste cellinfo here'!$B$11</f>
        <v>0.52400000000000002</v>
      </c>
    </row>
    <row r="362" spans="1:26">
      <c r="A362" s="1">
        <v>361</v>
      </c>
      <c r="B362" s="2">
        <f>DATE(Sintesi!$C$4-1,12,31)+A362</f>
        <v>44557</v>
      </c>
      <c r="C362" s="1">
        <f>'Paste cell here'!B362</f>
        <v>3.3199999999999692</v>
      </c>
      <c r="D362" s="1">
        <f>'Paste cell here'!I362</f>
        <v>0</v>
      </c>
      <c r="E362" s="1">
        <f>'Paste cell here'!J362</f>
        <v>3.3199999999999692</v>
      </c>
      <c r="F362" s="1">
        <f>'Paste cell here'!K362</f>
        <v>3.3199999999999692</v>
      </c>
      <c r="G362" s="1">
        <f>'Paste cell here'!L362</f>
        <v>3.3126424821990192</v>
      </c>
      <c r="H362" s="1">
        <f>'Paste cell here'!M362</f>
        <v>0</v>
      </c>
      <c r="I362" s="1">
        <f>'Paste cell here'!N362</f>
        <v>7.3575178009501153E-3</v>
      </c>
      <c r="J362" s="1">
        <f>'Paste cell here'!O362</f>
        <v>3.3126425809234581</v>
      </c>
      <c r="K362" s="1">
        <f>'Paste cell here'!Q362</f>
        <v>0.39833420055332491</v>
      </c>
      <c r="L362" s="1">
        <f>'Paste cell here'!S362</f>
        <v>0</v>
      </c>
      <c r="M362" s="1">
        <f>'Paste cell here'!T362</f>
        <v>0.14548169683484496</v>
      </c>
      <c r="N362" s="1">
        <f>'Paste cell here'!W362</f>
        <v>0</v>
      </c>
      <c r="O362" s="1">
        <f>'Paste cell here'!U362</f>
        <v>25.584830604998011</v>
      </c>
      <c r="P362" s="1">
        <f t="shared" si="28"/>
        <v>22.816003921462706</v>
      </c>
      <c r="Q362" s="1">
        <f>'Paste cell here'!V362</f>
        <v>0</v>
      </c>
      <c r="R362" s="1">
        <f t="shared" si="29"/>
        <v>9.8724459718368962E-8</v>
      </c>
      <c r="S362" s="7">
        <f>Sintesi!$C$30</f>
        <v>0.107</v>
      </c>
      <c r="T362" s="7">
        <f>Sintesi!$C$29</f>
        <v>0.23300000000000001</v>
      </c>
      <c r="U362" s="5">
        <f>O362/(Sintesi!$C$5*1000)</f>
        <v>0.2558483060499801</v>
      </c>
      <c r="V362" s="1">
        <f t="shared" si="25"/>
        <v>0.126</v>
      </c>
      <c r="W362" s="1">
        <v>0.67596994196929205</v>
      </c>
      <c r="X362" s="1">
        <f t="shared" si="26"/>
        <v>8.5172212688130799E-2</v>
      </c>
      <c r="Y362" s="1">
        <f t="shared" si="27"/>
        <v>0.14782778731186921</v>
      </c>
      <c r="Z362" s="1">
        <f>'Paste cellinfo here'!$B$11</f>
        <v>0.52400000000000002</v>
      </c>
    </row>
    <row r="363" spans="1:26">
      <c r="A363" s="1">
        <v>362</v>
      </c>
      <c r="B363" s="2">
        <f>DATE(Sintesi!$C$4-1,12,31)+A363</f>
        <v>44558</v>
      </c>
      <c r="C363" s="1">
        <f>'Paste cell here'!B363</f>
        <v>0</v>
      </c>
      <c r="D363" s="1">
        <f>'Paste cell here'!I363</f>
        <v>0</v>
      </c>
      <c r="E363" s="1">
        <f>'Paste cell here'!J363</f>
        <v>0</v>
      </c>
      <c r="F363" s="1">
        <f>'Paste cell here'!K363</f>
        <v>0</v>
      </c>
      <c r="G363" s="1">
        <f>'Paste cell here'!L363</f>
        <v>0</v>
      </c>
      <c r="H363" s="1">
        <f>'Paste cell here'!M363</f>
        <v>0</v>
      </c>
      <c r="I363" s="1">
        <f>'Paste cell here'!N363</f>
        <v>0</v>
      </c>
      <c r="J363" s="1">
        <f>'Paste cell here'!O363</f>
        <v>0</v>
      </c>
      <c r="K363" s="1">
        <f>'Paste cell here'!Q363</f>
        <v>0.40906387098704677</v>
      </c>
      <c r="L363" s="1">
        <f>'Paste cell here'!S363</f>
        <v>0</v>
      </c>
      <c r="M363" s="1">
        <f>'Paste cell here'!T363</f>
        <v>0.23304466755662534</v>
      </c>
      <c r="N363" s="1">
        <f>'Paste cell here'!W363</f>
        <v>0</v>
      </c>
      <c r="O363" s="1">
        <f>'Paste cell here'!U363</f>
        <v>24.942722066454337</v>
      </c>
      <c r="P363" s="1">
        <f t="shared" si="28"/>
        <v>25.584830604998011</v>
      </c>
      <c r="Q363" s="1">
        <f>'Paste cell here'!V363</f>
        <v>0</v>
      </c>
      <c r="R363" s="1">
        <f t="shared" si="29"/>
        <v>0</v>
      </c>
      <c r="S363" s="7">
        <f>Sintesi!$C$30</f>
        <v>0.107</v>
      </c>
      <c r="T363" s="7">
        <f>Sintesi!$C$29</f>
        <v>0.23300000000000001</v>
      </c>
      <c r="U363" s="5">
        <f>O363/(Sintesi!$C$5*1000)</f>
        <v>0.24942722066454337</v>
      </c>
      <c r="V363" s="1">
        <f t="shared" si="25"/>
        <v>0.126</v>
      </c>
      <c r="W363" s="1">
        <v>0.68314670105296704</v>
      </c>
      <c r="X363" s="1">
        <f t="shared" si="26"/>
        <v>8.6076484332673842E-2</v>
      </c>
      <c r="Y363" s="1">
        <f t="shared" si="27"/>
        <v>0.14692351566732617</v>
      </c>
      <c r="Z363" s="1">
        <f>'Paste cellinfo here'!$B$11</f>
        <v>0.52400000000000002</v>
      </c>
    </row>
    <row r="364" spans="1:26">
      <c r="A364" s="1">
        <v>363</v>
      </c>
      <c r="B364" s="2">
        <f>DATE(Sintesi!$C$4-1,12,31)+A364</f>
        <v>44559</v>
      </c>
      <c r="C364" s="1">
        <f>'Paste cell here'!B364</f>
        <v>7.9999999999999724E-2</v>
      </c>
      <c r="D364" s="1">
        <f>'Paste cell here'!I364</f>
        <v>0</v>
      </c>
      <c r="E364" s="1">
        <f>'Paste cell here'!J364</f>
        <v>7.9999999999999724E-2</v>
      </c>
      <c r="F364" s="1">
        <f>'Paste cell here'!K364</f>
        <v>7.9999999999999724E-2</v>
      </c>
      <c r="G364" s="1">
        <f>'Paste cell here'!L364</f>
        <v>7.9999999999999724E-2</v>
      </c>
      <c r="H364" s="1">
        <f>'Paste cell here'!M364</f>
        <v>0</v>
      </c>
      <c r="I364" s="1">
        <f>'Paste cell here'!N364</f>
        <v>0</v>
      </c>
      <c r="J364" s="1">
        <f>'Paste cell here'!O364</f>
        <v>8.000000238418549E-2</v>
      </c>
      <c r="K364" s="1">
        <f>'Paste cell here'!Q364</f>
        <v>0.24536372830502884</v>
      </c>
      <c r="L364" s="1">
        <f>'Paste cell here'!S364</f>
        <v>0</v>
      </c>
      <c r="M364" s="1">
        <f>'Paste cell here'!T364</f>
        <v>0.18213544847142868</v>
      </c>
      <c r="N364" s="1">
        <f>'Paste cell here'!W364</f>
        <v>0</v>
      </c>
      <c r="O364" s="1">
        <f>'Paste cell here'!U364</f>
        <v>24.595222892062065</v>
      </c>
      <c r="P364" s="1">
        <f t="shared" si="28"/>
        <v>24.942722066454337</v>
      </c>
      <c r="Q364" s="1">
        <f>'Paste cell here'!V364</f>
        <v>0</v>
      </c>
      <c r="R364" s="1">
        <f t="shared" si="29"/>
        <v>2.3841870699925494E-9</v>
      </c>
      <c r="S364" s="7">
        <f>Sintesi!$C$30</f>
        <v>0.107</v>
      </c>
      <c r="T364" s="7">
        <f>Sintesi!$C$29</f>
        <v>0.23300000000000001</v>
      </c>
      <c r="U364" s="5">
        <f>O364/(Sintesi!$C$5*1000)</f>
        <v>0.24595222892062066</v>
      </c>
      <c r="V364" s="1">
        <f t="shared" si="25"/>
        <v>0.126</v>
      </c>
      <c r="W364" s="1">
        <v>0.67547041796790597</v>
      </c>
      <c r="X364" s="1">
        <f t="shared" si="26"/>
        <v>8.5109272663956154E-2</v>
      </c>
      <c r="Y364" s="1">
        <f t="shared" si="27"/>
        <v>0.14789072733604386</v>
      </c>
      <c r="Z364" s="1">
        <f>'Paste cellinfo here'!$B$11</f>
        <v>0.52400000000000002</v>
      </c>
    </row>
    <row r="365" spans="1:26">
      <c r="A365" s="1">
        <v>364</v>
      </c>
      <c r="B365" s="2">
        <f>DATE(Sintesi!$C$4-1,12,31)+A365</f>
        <v>44560</v>
      </c>
      <c r="C365" s="1">
        <f>'Paste cell here'!B365</f>
        <v>0</v>
      </c>
      <c r="D365" s="1">
        <f>'Paste cell here'!I365</f>
        <v>0</v>
      </c>
      <c r="E365" s="1">
        <f>'Paste cell here'!J365</f>
        <v>0</v>
      </c>
      <c r="F365" s="1">
        <f>'Paste cell here'!K365</f>
        <v>0</v>
      </c>
      <c r="G365" s="1">
        <f>'Paste cell here'!L365</f>
        <v>0</v>
      </c>
      <c r="H365" s="1">
        <f>'Paste cell here'!M365</f>
        <v>0</v>
      </c>
      <c r="I365" s="1">
        <f>'Paste cell here'!N365</f>
        <v>0</v>
      </c>
      <c r="J365" s="1">
        <f>'Paste cell here'!O365</f>
        <v>0</v>
      </c>
      <c r="K365" s="1">
        <f>'Paste cell here'!Q365</f>
        <v>0.30779934794753899</v>
      </c>
      <c r="L365" s="1">
        <f>'Paste cell here'!S365</f>
        <v>0</v>
      </c>
      <c r="M365" s="1">
        <f>'Paste cell here'!T365</f>
        <v>0.14897978896383232</v>
      </c>
      <c r="N365" s="1">
        <f>'Paste cell here'!W365</f>
        <v>0</v>
      </c>
      <c r="O365" s="1">
        <f>'Paste cell here'!U365</f>
        <v>24.138443755150714</v>
      </c>
      <c r="P365" s="1">
        <f t="shared" si="28"/>
        <v>24.595222892062065</v>
      </c>
      <c r="Q365" s="1">
        <f>'Paste cell here'!V365</f>
        <v>0</v>
      </c>
      <c r="R365" s="1">
        <f t="shared" si="29"/>
        <v>2.1316282072803006E-14</v>
      </c>
      <c r="S365" s="7">
        <f>Sintesi!$C$30</f>
        <v>0.107</v>
      </c>
      <c r="T365" s="7">
        <f>Sintesi!$C$29</f>
        <v>0.23300000000000001</v>
      </c>
      <c r="U365" s="5">
        <f>O365/(Sintesi!$C$5*1000)</f>
        <v>0.24138443755150715</v>
      </c>
      <c r="V365" s="1">
        <f t="shared" si="25"/>
        <v>0.126</v>
      </c>
      <c r="W365" s="1">
        <v>0.683461882635785</v>
      </c>
      <c r="X365" s="1">
        <f t="shared" si="26"/>
        <v>8.6116197212108905E-2</v>
      </c>
      <c r="Y365" s="1">
        <f t="shared" si="27"/>
        <v>0.14688380278789109</v>
      </c>
      <c r="Z365" s="1">
        <f>'Paste cellinfo here'!$B$11</f>
        <v>0.52400000000000002</v>
      </c>
    </row>
    <row r="366" spans="1:26">
      <c r="A366" s="1">
        <v>365</v>
      </c>
      <c r="B366" s="2">
        <f>DATE(Sintesi!$C$4-1,12,31)+A366</f>
        <v>44561</v>
      </c>
      <c r="C366" s="1">
        <f>'Paste cell here'!B366</f>
        <v>0</v>
      </c>
      <c r="D366" s="1">
        <f>'Paste cell here'!I366</f>
        <v>0</v>
      </c>
      <c r="E366" s="1">
        <f>'Paste cell here'!J366</f>
        <v>0</v>
      </c>
      <c r="F366" s="1">
        <f>'Paste cell here'!K366</f>
        <v>0</v>
      </c>
      <c r="G366" s="1">
        <f>'Paste cell here'!L366</f>
        <v>0</v>
      </c>
      <c r="H366" s="1">
        <f>'Paste cell here'!M366</f>
        <v>0</v>
      </c>
      <c r="I366" s="1">
        <f>'Paste cell here'!N366</f>
        <v>0</v>
      </c>
      <c r="J366" s="1">
        <f>'Paste cell here'!O366</f>
        <v>0</v>
      </c>
      <c r="K366" s="1">
        <f>'Paste cell here'!Q366</f>
        <v>0.25305354509381067</v>
      </c>
      <c r="L366" s="1">
        <f>'Paste cell here'!S366</f>
        <v>0</v>
      </c>
      <c r="M366" s="1">
        <f>'Paste cell here'!T366</f>
        <v>0.12012329964593556</v>
      </c>
      <c r="N366" s="1">
        <f>'Paste cell here'!W366</f>
        <v>0</v>
      </c>
      <c r="O366" s="1">
        <f>'Paste cell here'!U366</f>
        <v>23.765266910410968</v>
      </c>
      <c r="P366" s="1">
        <f t="shared" si="28"/>
        <v>24.138443755150714</v>
      </c>
      <c r="Q366" s="1">
        <f>'Paste cell here'!V366</f>
        <v>0</v>
      </c>
      <c r="R366" s="1">
        <f t="shared" si="29"/>
        <v>0</v>
      </c>
      <c r="S366" s="7">
        <f>Sintesi!$C$30</f>
        <v>0.107</v>
      </c>
      <c r="T366" s="7">
        <f>Sintesi!$C$29</f>
        <v>0.23300000000000001</v>
      </c>
      <c r="U366" s="5">
        <f>O366/(Sintesi!$C$5*1000)</f>
        <v>0.23765266910410968</v>
      </c>
      <c r="V366" s="1">
        <f t="shared" si="25"/>
        <v>0.126</v>
      </c>
      <c r="W366" s="1">
        <v>0.69069380757984999</v>
      </c>
      <c r="X366" s="1">
        <f t="shared" si="26"/>
        <v>8.7027419755061106E-2</v>
      </c>
      <c r="Y366" s="1">
        <f t="shared" si="27"/>
        <v>0.14597258024493892</v>
      </c>
      <c r="Z366" s="1">
        <f>'Paste cellinfo here'!$B$11</f>
        <v>0.52400000000000002</v>
      </c>
    </row>
    <row r="368" spans="1:26">
      <c r="D368" s="1">
        <f>D108+D124+D156+D172+D180+D188+D196+D204+D212+D220+D228+D236+D252+D260</f>
        <v>54</v>
      </c>
    </row>
    <row r="369" spans="4:4">
      <c r="D369" s="1">
        <f>D368/14</f>
        <v>3.8571428571428572</v>
      </c>
    </row>
    <row r="370" spans="4:4">
      <c r="D370" s="4"/>
    </row>
  </sheetData>
  <conditionalFormatting sqref="R1:R366">
    <cfRule type="cellIs" dxfId="8" priority="2" stopIfTrue="1" operator="lessThan">
      <formula>0.00001</formula>
    </cfRule>
  </conditionalFormatting>
  <conditionalFormatting sqref="R3:R366">
    <cfRule type="cellIs" dxfId="7" priority="3" stopIfTrue="1" operator="lessThan">
      <formula>0.01</formula>
    </cfRule>
    <cfRule type="cellIs" dxfId="6" priority="4" operator="greaterThanOrEqual">
      <formula>0.01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8"/>
  <dimension ref="A1:T372"/>
  <sheetViews>
    <sheetView zoomScale="113" zoomScaleNormal="100" workbookViewId="0">
      <pane xSplit="2" ySplit="1" topLeftCell="C332" activePane="bottomRight" state="frozen"/>
      <selection pane="topRight" activeCell="C1" sqref="C1"/>
      <selection pane="bottomLeft" activeCell="A2" sqref="A2"/>
      <selection pane="bottomRight" activeCell="E352" sqref="E352"/>
    </sheetView>
  </sheetViews>
  <sheetFormatPr defaultColWidth="14.109375" defaultRowHeight="10.199999999999999"/>
  <cols>
    <col min="1" max="2" width="14.109375" style="1" customWidth="1"/>
    <col min="3" max="8" width="17.109375" style="1" customWidth="1"/>
    <col min="9" max="9" width="15" style="1" customWidth="1"/>
    <col min="10" max="10" width="12" style="1" customWidth="1"/>
    <col min="11" max="11" width="9.44140625" style="1" bestFit="1" customWidth="1"/>
    <col min="12" max="13" width="9.5546875" style="1" customWidth="1"/>
    <col min="14" max="14" width="10.6640625" style="8" bestFit="1" customWidth="1"/>
    <col min="15" max="15" width="9.5546875" style="1" customWidth="1"/>
    <col min="16" max="16" width="10.5546875" style="1" bestFit="1" customWidth="1"/>
    <col min="17" max="17" width="10.6640625" style="1" bestFit="1" customWidth="1"/>
    <col min="18" max="18" width="12.5546875" style="1" bestFit="1" customWidth="1"/>
    <col min="19" max="19" width="16.88671875" style="1" bestFit="1" customWidth="1"/>
    <col min="20" max="20" width="11.109375" style="1" bestFit="1" customWidth="1"/>
    <col min="21" max="21" width="14.109375" style="1" customWidth="1"/>
    <col min="22" max="16384" width="14.109375" style="1"/>
  </cols>
  <sheetData>
    <row r="1" spans="1:20" ht="22.5" customHeight="1">
      <c r="A1" s="3" t="s">
        <v>90</v>
      </c>
      <c r="B1" s="3" t="s">
        <v>104</v>
      </c>
      <c r="C1" s="3" t="s">
        <v>121</v>
      </c>
      <c r="D1" s="3" t="s">
        <v>122</v>
      </c>
      <c r="E1" s="3" t="s">
        <v>108</v>
      </c>
      <c r="F1" s="3" t="s">
        <v>123</v>
      </c>
      <c r="G1" s="3" t="s">
        <v>73</v>
      </c>
      <c r="H1" s="3" t="s">
        <v>110</v>
      </c>
      <c r="I1" s="9" t="s">
        <v>124</v>
      </c>
      <c r="J1" s="4" t="s">
        <v>113</v>
      </c>
      <c r="K1" s="4" t="s">
        <v>125</v>
      </c>
      <c r="L1" s="6" t="s">
        <v>114</v>
      </c>
      <c r="M1" s="6" t="s">
        <v>115</v>
      </c>
      <c r="N1" s="3" t="s">
        <v>126</v>
      </c>
      <c r="O1" s="4" t="s">
        <v>4</v>
      </c>
      <c r="P1" s="4" t="s">
        <v>127</v>
      </c>
      <c r="Q1" s="4" t="s">
        <v>128</v>
      </c>
      <c r="R1" s="4" t="s">
        <v>129</v>
      </c>
      <c r="S1" s="3" t="s">
        <v>116</v>
      </c>
      <c r="T1" s="4" t="s">
        <v>130</v>
      </c>
    </row>
    <row r="2" spans="1:20">
      <c r="A2" s="1">
        <v>1</v>
      </c>
      <c r="B2" s="2">
        <f>DATE(Sintesi!$C$4-1,12,31)+A2</f>
        <v>44197</v>
      </c>
      <c r="C2" s="1">
        <f>'Paste cell here'!T2</f>
        <v>0.49087775584777443</v>
      </c>
      <c r="D2" s="1">
        <f>'Paste cell here'!AC2</f>
        <v>0</v>
      </c>
      <c r="E2" s="1">
        <f>'Paste cell here'!Y2</f>
        <v>0</v>
      </c>
      <c r="F2" s="1">
        <f>'Paste cell here'!AD2</f>
        <v>1.6849532340524331E-2</v>
      </c>
      <c r="G2" s="1">
        <f>'Paste cell here'!W2</f>
        <v>0</v>
      </c>
      <c r="H2" s="1">
        <f>'Paste cell here'!AE2</f>
        <v>196.94402822350727</v>
      </c>
      <c r="I2" s="1">
        <f>'Paste cell here'!AF2</f>
        <v>196.47</v>
      </c>
      <c r="J2" s="1">
        <f t="shared" ref="J2:J65" si="0">ABS(I2+C2+D2-E2-F2-G2-H2)</f>
        <v>2.8421709430404007E-14</v>
      </c>
      <c r="K2" s="1" t="str">
        <f>IF('(OLD) Bilancio primo strato'!D2&gt;0,1,"")</f>
        <v/>
      </c>
      <c r="L2" s="7">
        <f>Sintesi!$C$34</f>
        <v>0.128</v>
      </c>
      <c r="M2" s="7">
        <f>Sintesi!$C$33</f>
        <v>0.25700000000000001</v>
      </c>
      <c r="N2" s="1">
        <f>'Paste cell here'!AA2</f>
        <v>0.9</v>
      </c>
      <c r="O2" s="1">
        <f>'Paste cell here'!H2</f>
        <v>0.19999999552965164</v>
      </c>
      <c r="P2" s="1">
        <f t="shared" ref="P2:P65" si="1">(M2-L2)*N2*1000</f>
        <v>116.10000000000001</v>
      </c>
      <c r="Q2" s="1">
        <f t="shared" ref="Q2:Q65" si="2">P2*O2</f>
        <v>23.219999480992556</v>
      </c>
      <c r="R2" s="1">
        <f t="shared" ref="R2:R65" si="3">M2*N2*1000-Q2</f>
        <v>208.08000051900746</v>
      </c>
      <c r="S2" s="5">
        <f t="shared" ref="S2:S65" si="4">H2/($N2*1000)</f>
        <v>0.2188266980261192</v>
      </c>
      <c r="T2" s="5">
        <f t="shared" ref="T2:T65" si="5">R2/($N2*1000)</f>
        <v>0.23120000057667495</v>
      </c>
    </row>
    <row r="3" spans="1:20">
      <c r="A3" s="1">
        <v>2</v>
      </c>
      <c r="B3" s="2">
        <f>DATE(Sintesi!$C$4-1,12,31)+A3</f>
        <v>44198</v>
      </c>
      <c r="C3" s="1">
        <f>'Paste cell here'!T3</f>
        <v>6.763115199382332</v>
      </c>
      <c r="D3" s="1">
        <f>'Paste cell here'!AC3</f>
        <v>0</v>
      </c>
      <c r="E3" s="1">
        <f>'Paste cell here'!Y3</f>
        <v>0</v>
      </c>
      <c r="F3" s="1">
        <f>'Paste cell here'!AD3</f>
        <v>2.1240782223899354E-2</v>
      </c>
      <c r="G3" s="1">
        <f>'Paste cell here'!W3</f>
        <v>0</v>
      </c>
      <c r="H3" s="1">
        <f>'Paste cell here'!AE3</f>
        <v>203.68590264066572</v>
      </c>
      <c r="I3" s="1">
        <f>'Paste cell here'!AF3</f>
        <v>196.9440282235073</v>
      </c>
      <c r="J3" s="1">
        <f t="shared" si="0"/>
        <v>0</v>
      </c>
      <c r="K3" s="1" t="str">
        <f>IF('(OLD) Bilancio primo strato'!D3&gt;0,1,"")</f>
        <v/>
      </c>
      <c r="L3" s="7">
        <f>Sintesi!$C$34</f>
        <v>0.128</v>
      </c>
      <c r="M3" s="7">
        <f>Sintesi!$C$33</f>
        <v>0.25700000000000001</v>
      </c>
      <c r="N3" s="1">
        <f>'Paste cell here'!AA3</f>
        <v>0.9</v>
      </c>
      <c r="O3" s="1">
        <f>'Paste cell here'!H3</f>
        <v>0.18575147295823383</v>
      </c>
      <c r="P3" s="1">
        <f t="shared" si="1"/>
        <v>116.10000000000001</v>
      </c>
      <c r="Q3" s="1">
        <f t="shared" si="2"/>
        <v>21.565746010450948</v>
      </c>
      <c r="R3" s="1">
        <f t="shared" si="3"/>
        <v>209.73425398954907</v>
      </c>
      <c r="S3" s="5">
        <f t="shared" si="4"/>
        <v>0.22631766960073968</v>
      </c>
      <c r="T3" s="5">
        <f t="shared" si="5"/>
        <v>0.23303805998838786</v>
      </c>
    </row>
    <row r="4" spans="1:20">
      <c r="A4" s="1">
        <v>3</v>
      </c>
      <c r="B4" s="2">
        <f>DATE(Sintesi!$C$4-1,12,31)+A4</f>
        <v>44199</v>
      </c>
      <c r="C4" s="1">
        <f>'Paste cell here'!T4</f>
        <v>7.1983099561671313</v>
      </c>
      <c r="D4" s="1">
        <f>'Paste cell here'!AC4</f>
        <v>0</v>
      </c>
      <c r="E4" s="1">
        <f>'Paste cell here'!Y4</f>
        <v>0</v>
      </c>
      <c r="F4" s="1">
        <f>'Paste cell here'!AD4</f>
        <v>3.7572274649621484E-2</v>
      </c>
      <c r="G4" s="1">
        <f>'Paste cell here'!W4</f>
        <v>0</v>
      </c>
      <c r="H4" s="1">
        <f>'Paste cell here'!AE4</f>
        <v>210.84664032218322</v>
      </c>
      <c r="I4" s="1">
        <f>'Paste cell here'!AF4</f>
        <v>203.68590264066572</v>
      </c>
      <c r="J4" s="1">
        <f t="shared" si="0"/>
        <v>0</v>
      </c>
      <c r="K4" s="1" t="str">
        <f>IF('(OLD) Bilancio primo strato'!D4&gt;0,1,"")</f>
        <v/>
      </c>
      <c r="L4" s="7">
        <f>Sintesi!$C$34</f>
        <v>0.128</v>
      </c>
      <c r="M4" s="7">
        <f>Sintesi!$C$33</f>
        <v>0.25700000000000001</v>
      </c>
      <c r="N4" s="1">
        <f>'Paste cell here'!AA4</f>
        <v>0.9</v>
      </c>
      <c r="O4" s="1">
        <f>'Paste cell here'!H4</f>
        <v>0.18535875195952062</v>
      </c>
      <c r="P4" s="1">
        <f t="shared" si="1"/>
        <v>116.10000000000001</v>
      </c>
      <c r="Q4" s="1">
        <f t="shared" si="2"/>
        <v>21.520151102500346</v>
      </c>
      <c r="R4" s="1">
        <f t="shared" si="3"/>
        <v>209.77984889749968</v>
      </c>
      <c r="S4" s="5">
        <f t="shared" si="4"/>
        <v>0.23427404480242581</v>
      </c>
      <c r="T4" s="5">
        <f t="shared" si="5"/>
        <v>0.23308872099722186</v>
      </c>
    </row>
    <row r="5" spans="1:20">
      <c r="A5" s="1">
        <v>4</v>
      </c>
      <c r="B5" s="2">
        <f>DATE(Sintesi!$C$4-1,12,31)+A5</f>
        <v>44200</v>
      </c>
      <c r="C5" s="1">
        <f>'Paste cell here'!T5</f>
        <v>5.9868190061242883</v>
      </c>
      <c r="D5" s="1">
        <f>'Paste cell here'!AC5</f>
        <v>0</v>
      </c>
      <c r="E5" s="1">
        <f>'Paste cell here'!Y5</f>
        <v>0</v>
      </c>
      <c r="F5" s="1">
        <f>'Paste cell here'!AD5</f>
        <v>5.7227191802869906E-2</v>
      </c>
      <c r="G5" s="1">
        <f>'Paste cell here'!W5</f>
        <v>0</v>
      </c>
      <c r="H5" s="1">
        <f>'Paste cell here'!AE5</f>
        <v>216.77623213650466</v>
      </c>
      <c r="I5" s="1">
        <f>'Paste cell here'!AF5</f>
        <v>210.84664032218322</v>
      </c>
      <c r="J5" s="1">
        <f t="shared" si="0"/>
        <v>2.8421709430404007E-14</v>
      </c>
      <c r="K5" s="1" t="str">
        <f>IF('(OLD) Bilancio primo strato'!D5&gt;0,1,"")</f>
        <v/>
      </c>
      <c r="L5" s="7">
        <f>Sintesi!$C$34</f>
        <v>0.128</v>
      </c>
      <c r="M5" s="7">
        <f>Sintesi!$C$33</f>
        <v>0.25700000000000001</v>
      </c>
      <c r="N5" s="1">
        <f>'Paste cell here'!AA5</f>
        <v>0.9</v>
      </c>
      <c r="O5" s="1">
        <f>'Paste cell here'!H5</f>
        <v>0.18884427585929764</v>
      </c>
      <c r="P5" s="1">
        <f t="shared" si="1"/>
        <v>116.10000000000001</v>
      </c>
      <c r="Q5" s="1">
        <f t="shared" si="2"/>
        <v>21.924820427264457</v>
      </c>
      <c r="R5" s="1">
        <f t="shared" si="3"/>
        <v>209.37517957273556</v>
      </c>
      <c r="S5" s="5">
        <f t="shared" si="4"/>
        <v>0.24086248015167183</v>
      </c>
      <c r="T5" s="5">
        <f t="shared" si="5"/>
        <v>0.23263908841415062</v>
      </c>
    </row>
    <row r="6" spans="1:20">
      <c r="A6" s="1">
        <v>5</v>
      </c>
      <c r="B6" s="2">
        <f>DATE(Sintesi!$C$4-1,12,31)+A6</f>
        <v>44201</v>
      </c>
      <c r="C6" s="1">
        <f>'Paste cell here'!T6</f>
        <v>4.6718650890384401</v>
      </c>
      <c r="D6" s="1">
        <f>'Paste cell here'!AC6</f>
        <v>0</v>
      </c>
      <c r="E6" s="1">
        <f>'Paste cell here'!Y6</f>
        <v>0</v>
      </c>
      <c r="F6" s="1">
        <f>'Paste cell here'!AD6</f>
        <v>8.1342504599141455E-2</v>
      </c>
      <c r="G6" s="1">
        <f>'Paste cell here'!W6</f>
        <v>0</v>
      </c>
      <c r="H6" s="1">
        <f>'Paste cell here'!AE6</f>
        <v>221.36675472094399</v>
      </c>
      <c r="I6" s="1">
        <f>'Paste cell here'!AF6</f>
        <v>216.77623213650466</v>
      </c>
      <c r="J6" s="1">
        <f t="shared" si="0"/>
        <v>2.8421709430404007E-14</v>
      </c>
      <c r="K6" s="1" t="str">
        <f>IF('(OLD) Bilancio primo strato'!D6&gt;0,1,"")</f>
        <v/>
      </c>
      <c r="L6" s="7">
        <f>Sintesi!$C$34</f>
        <v>0.128</v>
      </c>
      <c r="M6" s="7">
        <f>Sintesi!$C$33</f>
        <v>0.25700000000000001</v>
      </c>
      <c r="N6" s="1">
        <f>'Paste cell here'!AA6</f>
        <v>0.9</v>
      </c>
      <c r="O6" s="1">
        <f>'Paste cell here'!H6</f>
        <v>0.18501180260975295</v>
      </c>
      <c r="P6" s="1">
        <f t="shared" si="1"/>
        <v>116.10000000000001</v>
      </c>
      <c r="Q6" s="1">
        <f t="shared" si="2"/>
        <v>21.479870282992319</v>
      </c>
      <c r="R6" s="1">
        <f t="shared" si="3"/>
        <v>209.82012971700769</v>
      </c>
      <c r="S6" s="5">
        <f t="shared" si="4"/>
        <v>0.24596306080104888</v>
      </c>
      <c r="T6" s="5">
        <f t="shared" si="5"/>
        <v>0.23313347746334187</v>
      </c>
    </row>
    <row r="7" spans="1:20">
      <c r="A7" s="1">
        <v>6</v>
      </c>
      <c r="B7" s="2">
        <f>DATE(Sintesi!$C$4-1,12,31)+A7</f>
        <v>44202</v>
      </c>
      <c r="C7" s="1">
        <f>'Paste cell here'!T7</f>
        <v>3.1281223168963908</v>
      </c>
      <c r="D7" s="1">
        <f>'Paste cell here'!AC7</f>
        <v>0</v>
      </c>
      <c r="E7" s="1">
        <f>'Paste cell here'!Y7</f>
        <v>0</v>
      </c>
      <c r="F7" s="1">
        <f>'Paste cell here'!AD7</f>
        <v>0.10300552691881741</v>
      </c>
      <c r="G7" s="1">
        <f>'Paste cell here'!W7</f>
        <v>0</v>
      </c>
      <c r="H7" s="1">
        <f>'Paste cell here'!AE7</f>
        <v>224.39187151092156</v>
      </c>
      <c r="I7" s="1">
        <f>'Paste cell here'!AF7</f>
        <v>221.36675472094399</v>
      </c>
      <c r="J7" s="1">
        <f t="shared" si="0"/>
        <v>0</v>
      </c>
      <c r="K7" s="1" t="str">
        <f>IF('(OLD) Bilancio primo strato'!D7&gt;0,1,"")</f>
        <v/>
      </c>
      <c r="L7" s="7">
        <f>Sintesi!$C$34</f>
        <v>0.128</v>
      </c>
      <c r="M7" s="7">
        <f>Sintesi!$C$33</f>
        <v>0.25700000000000001</v>
      </c>
      <c r="N7" s="1">
        <f>'Paste cell here'!AA7</f>
        <v>0.9</v>
      </c>
      <c r="O7" s="1">
        <f>'Paste cell here'!H7</f>
        <v>0.1818241260803998</v>
      </c>
      <c r="P7" s="1">
        <f t="shared" si="1"/>
        <v>116.10000000000001</v>
      </c>
      <c r="Q7" s="1">
        <f t="shared" si="2"/>
        <v>21.109781037934418</v>
      </c>
      <c r="R7" s="1">
        <f t="shared" si="3"/>
        <v>210.19021896206559</v>
      </c>
      <c r="S7" s="5">
        <f t="shared" si="4"/>
        <v>0.24932430167880174</v>
      </c>
      <c r="T7" s="5">
        <f t="shared" si="5"/>
        <v>0.23354468773562842</v>
      </c>
    </row>
    <row r="8" spans="1:20">
      <c r="A8" s="1">
        <v>7</v>
      </c>
      <c r="B8" s="2">
        <f>DATE(Sintesi!$C$4-1,12,31)+A8</f>
        <v>44203</v>
      </c>
      <c r="C8" s="1">
        <f>'Paste cell here'!T8</f>
        <v>1.721842299820217</v>
      </c>
      <c r="D8" s="1">
        <f>'Paste cell here'!AC8</f>
        <v>0</v>
      </c>
      <c r="E8" s="1">
        <f>'Paste cell here'!Y8</f>
        <v>0</v>
      </c>
      <c r="F8" s="1">
        <f>'Paste cell here'!AD8</f>
        <v>0.11888282372134787</v>
      </c>
      <c r="G8" s="1">
        <f>'Paste cell here'!W8</f>
        <v>0</v>
      </c>
      <c r="H8" s="1">
        <f>'Paste cell here'!AE8</f>
        <v>225.99483098702041</v>
      </c>
      <c r="I8" s="1">
        <f>'Paste cell here'!AF8</f>
        <v>224.39187151092159</v>
      </c>
      <c r="J8" s="1">
        <f t="shared" si="0"/>
        <v>5.6843418860808015E-14</v>
      </c>
      <c r="K8" s="1" t="str">
        <f>IF('(OLD) Bilancio primo strato'!D8&gt;0,1,"")</f>
        <v/>
      </c>
      <c r="L8" s="7">
        <f>Sintesi!$C$34</f>
        <v>0.128</v>
      </c>
      <c r="M8" s="7">
        <f>Sintesi!$C$33</f>
        <v>0.25700000000000001</v>
      </c>
      <c r="N8" s="1">
        <f>'Paste cell here'!AA8</f>
        <v>0.9</v>
      </c>
      <c r="O8" s="1">
        <f>'Paste cell here'!H8</f>
        <v>0.18406727504218415</v>
      </c>
      <c r="P8" s="1">
        <f t="shared" si="1"/>
        <v>116.10000000000001</v>
      </c>
      <c r="Q8" s="1">
        <f t="shared" si="2"/>
        <v>21.37021063239758</v>
      </c>
      <c r="R8" s="1">
        <f t="shared" si="3"/>
        <v>209.92978936760244</v>
      </c>
      <c r="S8" s="5">
        <f t="shared" si="4"/>
        <v>0.25110536776335601</v>
      </c>
      <c r="T8" s="5">
        <f t="shared" si="5"/>
        <v>0.23325532151955827</v>
      </c>
    </row>
    <row r="9" spans="1:20">
      <c r="A9" s="1">
        <v>8</v>
      </c>
      <c r="B9" s="2">
        <f>DATE(Sintesi!$C$4-1,12,31)+A9</f>
        <v>44204</v>
      </c>
      <c r="C9" s="1">
        <f>'Paste cell here'!T9</f>
        <v>0.91463227816850445</v>
      </c>
      <c r="D9" s="1">
        <f>'Paste cell here'!AC9</f>
        <v>0</v>
      </c>
      <c r="E9" s="1">
        <f>'Paste cell here'!Y9</f>
        <v>0</v>
      </c>
      <c r="F9" s="1">
        <f>'Paste cell here'!AD9</f>
        <v>0.12723653158731307</v>
      </c>
      <c r="G9" s="1">
        <f>'Paste cell here'!W9</f>
        <v>0</v>
      </c>
      <c r="H9" s="1">
        <f>'Paste cell here'!AE9</f>
        <v>226.78222673360165</v>
      </c>
      <c r="I9" s="1">
        <f>'Paste cell here'!AF9</f>
        <v>225.99483098702041</v>
      </c>
      <c r="J9" s="1">
        <f t="shared" si="0"/>
        <v>2.8421709430404007E-14</v>
      </c>
      <c r="K9" s="1" t="str">
        <f>IF('(OLD) Bilancio primo strato'!D9&gt;0,1,"")</f>
        <v/>
      </c>
      <c r="L9" s="7">
        <f>Sintesi!$C$34</f>
        <v>0.128</v>
      </c>
      <c r="M9" s="7">
        <f>Sintesi!$C$33</f>
        <v>0.25700000000000001</v>
      </c>
      <c r="N9" s="1">
        <f>'Paste cell here'!AA9</f>
        <v>0.9</v>
      </c>
      <c r="O9" s="1">
        <f>'Paste cell here'!H9</f>
        <v>0.18153434397284915</v>
      </c>
      <c r="P9" s="1">
        <f t="shared" si="1"/>
        <v>116.10000000000001</v>
      </c>
      <c r="Q9" s="1">
        <f t="shared" si="2"/>
        <v>21.076137335247786</v>
      </c>
      <c r="R9" s="1">
        <f t="shared" si="3"/>
        <v>210.22386266475223</v>
      </c>
      <c r="S9" s="5">
        <f t="shared" si="4"/>
        <v>0.25198025192622403</v>
      </c>
      <c r="T9" s="5">
        <f t="shared" si="5"/>
        <v>0.23358206962750247</v>
      </c>
    </row>
    <row r="10" spans="1:20">
      <c r="A10" s="1">
        <v>9</v>
      </c>
      <c r="B10" s="2">
        <f>DATE(Sintesi!$C$4-1,12,31)+A10</f>
        <v>44205</v>
      </c>
      <c r="C10" s="1">
        <f>'Paste cell here'!T10</f>
        <v>0.58536093865914418</v>
      </c>
      <c r="D10" s="1">
        <f>'Paste cell here'!AC10</f>
        <v>0</v>
      </c>
      <c r="E10" s="1">
        <f>'Paste cell here'!Y10</f>
        <v>0</v>
      </c>
      <c r="F10" s="1">
        <f>'Paste cell here'!AD10</f>
        <v>0.13206213968787331</v>
      </c>
      <c r="G10" s="1">
        <f>'Paste cell here'!W10</f>
        <v>0</v>
      </c>
      <c r="H10" s="1">
        <f>'Paste cell here'!AE10</f>
        <v>227.23552553257292</v>
      </c>
      <c r="I10" s="1">
        <f>'Paste cell here'!AF10</f>
        <v>226.78222673360162</v>
      </c>
      <c r="J10" s="1">
        <f t="shared" si="0"/>
        <v>2.8421709430404007E-14</v>
      </c>
      <c r="K10" s="1" t="str">
        <f>IF('(OLD) Bilancio primo strato'!D10&gt;0,1,"")</f>
        <v/>
      </c>
      <c r="L10" s="7">
        <f>Sintesi!$C$34</f>
        <v>0.128</v>
      </c>
      <c r="M10" s="7">
        <f>Sintesi!$C$33</f>
        <v>0.25700000000000001</v>
      </c>
      <c r="N10" s="1">
        <f>'Paste cell here'!AA10</f>
        <v>0.9</v>
      </c>
      <c r="O10" s="1">
        <f>'Paste cell here'!H10</f>
        <v>0.19245665354819771</v>
      </c>
      <c r="P10" s="1">
        <f t="shared" si="1"/>
        <v>116.10000000000001</v>
      </c>
      <c r="Q10" s="1">
        <f t="shared" si="2"/>
        <v>22.344217476945758</v>
      </c>
      <c r="R10" s="1">
        <f t="shared" si="3"/>
        <v>208.95578252305427</v>
      </c>
      <c r="S10" s="5">
        <f t="shared" si="4"/>
        <v>0.25248391725841435</v>
      </c>
      <c r="T10" s="5">
        <f t="shared" si="5"/>
        <v>0.23217309169228251</v>
      </c>
    </row>
    <row r="11" spans="1:20">
      <c r="A11" s="1">
        <v>10</v>
      </c>
      <c r="B11" s="2">
        <f>DATE(Sintesi!$C$4-1,12,31)+A11</f>
        <v>44206</v>
      </c>
      <c r="C11" s="1">
        <f>'Paste cell here'!T11</f>
        <v>0.38220644755256905</v>
      </c>
      <c r="D11" s="1">
        <f>'Paste cell here'!AC11</f>
        <v>0</v>
      </c>
      <c r="E11" s="1">
        <f>'Paste cell here'!Y11</f>
        <v>0</v>
      </c>
      <c r="F11" s="1">
        <f>'Paste cell here'!AD11</f>
        <v>0.13483675485275523</v>
      </c>
      <c r="G11" s="1">
        <f>'Paste cell here'!W11</f>
        <v>0</v>
      </c>
      <c r="H11" s="1">
        <f>'Paste cell here'!AE11</f>
        <v>227.48289522527276</v>
      </c>
      <c r="I11" s="1">
        <f>'Paste cell here'!AF11</f>
        <v>227.23552553257292</v>
      </c>
      <c r="J11" s="1">
        <f t="shared" si="0"/>
        <v>2.8421709430404007E-14</v>
      </c>
      <c r="K11" s="1" t="str">
        <f>IF('(OLD) Bilancio primo strato'!D11&gt;0,1,"")</f>
        <v/>
      </c>
      <c r="L11" s="7">
        <f>Sintesi!$C$34</f>
        <v>0.128</v>
      </c>
      <c r="M11" s="7">
        <f>Sintesi!$C$33</f>
        <v>0.25700000000000001</v>
      </c>
      <c r="N11" s="1">
        <f>'Paste cell here'!AA11</f>
        <v>0.9</v>
      </c>
      <c r="O11" s="1">
        <f>'Paste cell here'!H11</f>
        <v>0.18257748886415229</v>
      </c>
      <c r="P11" s="1">
        <f t="shared" si="1"/>
        <v>116.10000000000001</v>
      </c>
      <c r="Q11" s="1">
        <f t="shared" si="2"/>
        <v>21.197246457128081</v>
      </c>
      <c r="R11" s="1">
        <f t="shared" si="3"/>
        <v>210.10275354287194</v>
      </c>
      <c r="S11" s="5">
        <f t="shared" si="4"/>
        <v>0.25275877247252526</v>
      </c>
      <c r="T11" s="5">
        <f t="shared" si="5"/>
        <v>0.23344750393652439</v>
      </c>
    </row>
    <row r="12" spans="1:20">
      <c r="A12" s="1">
        <v>11</v>
      </c>
      <c r="B12" s="2">
        <f>DATE(Sintesi!$C$4-1,12,31)+A12</f>
        <v>44207</v>
      </c>
      <c r="C12" s="1">
        <f>'Paste cell here'!T12</f>
        <v>0.27960225808381328</v>
      </c>
      <c r="D12" s="1">
        <f>'Paste cell here'!AC12</f>
        <v>0</v>
      </c>
      <c r="E12" s="1">
        <f>'Paste cell here'!Y12</f>
        <v>0</v>
      </c>
      <c r="F12" s="1">
        <f>'Paste cell here'!AD12</f>
        <v>0.13636402617896043</v>
      </c>
      <c r="G12" s="1">
        <f>'Paste cell here'!W12</f>
        <v>0</v>
      </c>
      <c r="H12" s="1">
        <f>'Paste cell here'!AE12</f>
        <v>227.62613345717762</v>
      </c>
      <c r="I12" s="1">
        <f>'Paste cell here'!AF12</f>
        <v>227.48289522527273</v>
      </c>
      <c r="J12" s="1">
        <f t="shared" si="0"/>
        <v>2.8421709430404007E-14</v>
      </c>
      <c r="K12" s="1" t="str">
        <f>IF('(OLD) Bilancio primo strato'!D12&gt;0,1,"")</f>
        <v/>
      </c>
      <c r="L12" s="7">
        <f>Sintesi!$C$34</f>
        <v>0.128</v>
      </c>
      <c r="M12" s="7">
        <f>Sintesi!$C$33</f>
        <v>0.25700000000000001</v>
      </c>
      <c r="N12" s="1">
        <f>'Paste cell here'!AA12</f>
        <v>0.9</v>
      </c>
      <c r="O12" s="1">
        <f>'Paste cell here'!H12</f>
        <v>0.17965772668121635</v>
      </c>
      <c r="P12" s="1">
        <f t="shared" si="1"/>
        <v>116.10000000000001</v>
      </c>
      <c r="Q12" s="1">
        <f t="shared" si="2"/>
        <v>20.858262067689221</v>
      </c>
      <c r="R12" s="1">
        <f t="shared" si="3"/>
        <v>210.44173793231079</v>
      </c>
      <c r="S12" s="5">
        <f t="shared" si="4"/>
        <v>0.2529179260635307</v>
      </c>
      <c r="T12" s="5">
        <f t="shared" si="5"/>
        <v>0.23382415325812309</v>
      </c>
    </row>
    <row r="13" spans="1:20">
      <c r="A13" s="1">
        <v>12</v>
      </c>
      <c r="B13" s="2">
        <f>DATE(Sintesi!$C$4-1,12,31)+A13</f>
        <v>44208</v>
      </c>
      <c r="C13" s="1">
        <f>'Paste cell here'!T13</f>
        <v>0.21712464927288497</v>
      </c>
      <c r="D13" s="1">
        <f>'Paste cell here'!AC13</f>
        <v>0</v>
      </c>
      <c r="E13" s="1">
        <f>'Paste cell here'!Y13</f>
        <v>0</v>
      </c>
      <c r="F13" s="1">
        <f>'Paste cell here'!AD13</f>
        <v>0.13730374418371746</v>
      </c>
      <c r="G13" s="1">
        <f>'Paste cell here'!W13</f>
        <v>0</v>
      </c>
      <c r="H13" s="1">
        <f>'Paste cell here'!AE13</f>
        <v>227.70595436226688</v>
      </c>
      <c r="I13" s="1">
        <f>'Paste cell here'!AF13</f>
        <v>227.62613345717764</v>
      </c>
      <c r="J13" s="1">
        <f t="shared" si="0"/>
        <v>8.5265128291212022E-14</v>
      </c>
      <c r="K13" s="1" t="str">
        <f>IF('(OLD) Bilancio primo strato'!D13&gt;0,1,"")</f>
        <v/>
      </c>
      <c r="L13" s="7">
        <f>Sintesi!$C$34</f>
        <v>0.128</v>
      </c>
      <c r="M13" s="7">
        <f>Sintesi!$C$33</f>
        <v>0.25700000000000001</v>
      </c>
      <c r="N13" s="1">
        <f>'Paste cell here'!AA13</f>
        <v>0.9</v>
      </c>
      <c r="O13" s="1">
        <f>'Paste cell here'!H13</f>
        <v>0.19070308989373949</v>
      </c>
      <c r="P13" s="1">
        <f t="shared" si="1"/>
        <v>116.10000000000001</v>
      </c>
      <c r="Q13" s="1">
        <f t="shared" si="2"/>
        <v>22.140628736663157</v>
      </c>
      <c r="R13" s="1">
        <f t="shared" si="3"/>
        <v>209.15937126333685</v>
      </c>
      <c r="S13" s="5">
        <f t="shared" si="4"/>
        <v>0.25300661595807433</v>
      </c>
      <c r="T13" s="5">
        <f t="shared" si="5"/>
        <v>0.23239930140370763</v>
      </c>
    </row>
    <row r="14" spans="1:20">
      <c r="A14" s="1">
        <v>13</v>
      </c>
      <c r="B14" s="2">
        <f>DATE(Sintesi!$C$4-1,12,31)+A14</f>
        <v>44209</v>
      </c>
      <c r="C14" s="1">
        <f>'Paste cell here'!T14</f>
        <v>0.15046367103280231</v>
      </c>
      <c r="D14" s="1">
        <f>'Paste cell here'!AC14</f>
        <v>0</v>
      </c>
      <c r="E14" s="1">
        <f>'Paste cell here'!Y14</f>
        <v>0</v>
      </c>
      <c r="F14" s="1">
        <f>'Paste cell here'!AD14</f>
        <v>0.1376979434603961</v>
      </c>
      <c r="G14" s="1">
        <f>'Paste cell here'!W14</f>
        <v>0</v>
      </c>
      <c r="H14" s="1">
        <f>'Paste cell here'!AE14</f>
        <v>227.71872008983931</v>
      </c>
      <c r="I14" s="1">
        <f>'Paste cell here'!AF14</f>
        <v>227.70595436226691</v>
      </c>
      <c r="J14" s="1">
        <f t="shared" si="0"/>
        <v>0</v>
      </c>
      <c r="K14" s="1" t="str">
        <f>IF('(OLD) Bilancio primo strato'!D14&gt;0,1,"")</f>
        <v/>
      </c>
      <c r="L14" s="7">
        <f>Sintesi!$C$34</f>
        <v>0.128</v>
      </c>
      <c r="M14" s="7">
        <f>Sintesi!$C$33</f>
        <v>0.25700000000000001</v>
      </c>
      <c r="N14" s="1">
        <f>'Paste cell here'!AA14</f>
        <v>0.9</v>
      </c>
      <c r="O14" s="1">
        <f>'Paste cell here'!H14</f>
        <v>0.1835312400187587</v>
      </c>
      <c r="P14" s="1">
        <f t="shared" si="1"/>
        <v>116.10000000000001</v>
      </c>
      <c r="Q14" s="1">
        <f t="shared" si="2"/>
        <v>21.307976966177886</v>
      </c>
      <c r="R14" s="1">
        <f t="shared" si="3"/>
        <v>209.99202303382214</v>
      </c>
      <c r="S14" s="5">
        <f t="shared" si="4"/>
        <v>0.25302080009982147</v>
      </c>
      <c r="T14" s="5">
        <f t="shared" si="5"/>
        <v>0.23332447003758014</v>
      </c>
    </row>
    <row r="15" spans="1:20">
      <c r="A15" s="1">
        <v>14</v>
      </c>
      <c r="B15" s="2">
        <f>DATE(Sintesi!$C$4-1,12,31)+A15</f>
        <v>44210</v>
      </c>
      <c r="C15" s="1">
        <f>'Paste cell here'!T15</f>
        <v>9.4876686325410242E-2</v>
      </c>
      <c r="D15" s="1">
        <f>'Paste cell here'!AC15</f>
        <v>0</v>
      </c>
      <c r="E15" s="1">
        <f>'Paste cell here'!Y15</f>
        <v>0</v>
      </c>
      <c r="F15" s="1">
        <f>'Paste cell here'!AD15</f>
        <v>0.13755914146591505</v>
      </c>
      <c r="G15" s="1">
        <f>'Paste cell here'!W15</f>
        <v>0</v>
      </c>
      <c r="H15" s="1">
        <f>'Paste cell here'!AE15</f>
        <v>227.67603763469884</v>
      </c>
      <c r="I15" s="1">
        <f>'Paste cell here'!AF15</f>
        <v>227.71872008983934</v>
      </c>
      <c r="J15" s="1">
        <f t="shared" si="0"/>
        <v>0</v>
      </c>
      <c r="K15" s="1" t="str">
        <f>IF('(OLD) Bilancio primo strato'!D15&gt;0,1,"")</f>
        <v/>
      </c>
      <c r="L15" s="7">
        <f>Sintesi!$C$34</f>
        <v>0.128</v>
      </c>
      <c r="M15" s="7">
        <f>Sintesi!$C$33</f>
        <v>0.25700000000000001</v>
      </c>
      <c r="N15" s="1">
        <f>'Paste cell here'!AA15</f>
        <v>0.9</v>
      </c>
      <c r="O15" s="1">
        <f>'Paste cell here'!H15</f>
        <v>0.17105947279816569</v>
      </c>
      <c r="P15" s="1">
        <f t="shared" si="1"/>
        <v>116.10000000000001</v>
      </c>
      <c r="Q15" s="1">
        <f t="shared" si="2"/>
        <v>19.860004791867038</v>
      </c>
      <c r="R15" s="1">
        <f t="shared" si="3"/>
        <v>211.43999520813298</v>
      </c>
      <c r="S15" s="5">
        <f t="shared" si="4"/>
        <v>0.25297337514966539</v>
      </c>
      <c r="T15" s="5">
        <f t="shared" si="5"/>
        <v>0.23493332800903666</v>
      </c>
    </row>
    <row r="16" spans="1:20">
      <c r="A16" s="1">
        <v>15</v>
      </c>
      <c r="B16" s="2">
        <f>DATE(Sintesi!$C$4-1,12,31)+A16</f>
        <v>44211</v>
      </c>
      <c r="C16" s="1">
        <f>'Paste cell here'!T16</f>
        <v>5.9835783785630078E-2</v>
      </c>
      <c r="D16" s="1">
        <f>'Paste cell here'!AC16</f>
        <v>0</v>
      </c>
      <c r="E16" s="1">
        <f>'Paste cell here'!Y16</f>
        <v>0</v>
      </c>
      <c r="F16" s="1">
        <f>'Paste cell here'!AD16</f>
        <v>0.13704314639833232</v>
      </c>
      <c r="G16" s="1">
        <f>'Paste cell here'!W16</f>
        <v>0</v>
      </c>
      <c r="H16" s="1">
        <f>'Paste cell here'!AE16</f>
        <v>227.59883027208613</v>
      </c>
      <c r="I16" s="1">
        <f>'Paste cell here'!AF16</f>
        <v>227.67603763469884</v>
      </c>
      <c r="J16" s="1">
        <f t="shared" si="0"/>
        <v>2.8421709430404007E-14</v>
      </c>
      <c r="K16" s="1" t="str">
        <f>IF('(OLD) Bilancio primo strato'!D16&gt;0,1,"")</f>
        <v/>
      </c>
      <c r="L16" s="7">
        <f>Sintesi!$C$34</f>
        <v>0.128</v>
      </c>
      <c r="M16" s="7">
        <f>Sintesi!$C$33</f>
        <v>0.25700000000000001</v>
      </c>
      <c r="N16" s="1">
        <f>'Paste cell here'!AA16</f>
        <v>0.9</v>
      </c>
      <c r="O16" s="1">
        <f>'Paste cell here'!H16</f>
        <v>0.16720359917818406</v>
      </c>
      <c r="P16" s="1">
        <f t="shared" si="1"/>
        <v>116.10000000000001</v>
      </c>
      <c r="Q16" s="1">
        <f t="shared" si="2"/>
        <v>19.412337864587169</v>
      </c>
      <c r="R16" s="1">
        <f t="shared" si="3"/>
        <v>211.88766213541285</v>
      </c>
      <c r="S16" s="5">
        <f t="shared" si="4"/>
        <v>0.2528875891912068</v>
      </c>
      <c r="T16" s="5">
        <f t="shared" si="5"/>
        <v>0.23543073570601428</v>
      </c>
    </row>
    <row r="17" spans="1:20">
      <c r="A17" s="1">
        <v>16</v>
      </c>
      <c r="B17" s="2">
        <f>DATE(Sintesi!$C$4-1,12,31)+A17</f>
        <v>44212</v>
      </c>
      <c r="C17" s="1">
        <f>'Paste cell here'!T17</f>
        <v>4.2146789858066046E-2</v>
      </c>
      <c r="D17" s="1">
        <f>'Paste cell here'!AC17</f>
        <v>0</v>
      </c>
      <c r="E17" s="1">
        <f>'Paste cell here'!Y17</f>
        <v>0</v>
      </c>
      <c r="F17" s="1">
        <f>'Paste cell here'!AD17</f>
        <v>0.13632100882168274</v>
      </c>
      <c r="G17" s="1">
        <f>'Paste cell here'!W17</f>
        <v>0</v>
      </c>
      <c r="H17" s="1">
        <f>'Paste cell here'!AE17</f>
        <v>227.50465605312246</v>
      </c>
      <c r="I17" s="1">
        <f>'Paste cell here'!AF17</f>
        <v>227.59883027208613</v>
      </c>
      <c r="J17" s="1">
        <f t="shared" si="0"/>
        <v>5.6843418860808015E-14</v>
      </c>
      <c r="K17" s="1" t="str">
        <f>IF('(OLD) Bilancio primo strato'!D17&gt;0,1,"")</f>
        <v/>
      </c>
      <c r="L17" s="7">
        <f>Sintesi!$C$34</f>
        <v>0.128</v>
      </c>
      <c r="M17" s="7">
        <f>Sintesi!$C$33</f>
        <v>0.25700000000000001</v>
      </c>
      <c r="N17" s="1">
        <f>'Paste cell here'!AA17</f>
        <v>0.9</v>
      </c>
      <c r="O17" s="1">
        <f>'Paste cell here'!H17</f>
        <v>0.17259592015013903</v>
      </c>
      <c r="P17" s="1">
        <f t="shared" si="1"/>
        <v>116.10000000000001</v>
      </c>
      <c r="Q17" s="1">
        <f t="shared" si="2"/>
        <v>20.038386329431141</v>
      </c>
      <c r="R17" s="1">
        <f t="shared" si="3"/>
        <v>211.26161367056886</v>
      </c>
      <c r="S17" s="5">
        <f t="shared" si="4"/>
        <v>0.25278295117013605</v>
      </c>
      <c r="T17" s="5">
        <f t="shared" si="5"/>
        <v>0.23473512630063206</v>
      </c>
    </row>
    <row r="18" spans="1:20">
      <c r="A18" s="1">
        <v>17</v>
      </c>
      <c r="B18" s="2">
        <f>DATE(Sintesi!$C$4-1,12,31)+A18</f>
        <v>44213</v>
      </c>
      <c r="C18" s="1">
        <f>'Paste cell here'!T18</f>
        <v>3.2459545023853092E-2</v>
      </c>
      <c r="D18" s="1">
        <f>'Paste cell here'!AC18</f>
        <v>0</v>
      </c>
      <c r="E18" s="1">
        <f>'Paste cell here'!Y18</f>
        <v>0</v>
      </c>
      <c r="F18" s="1">
        <f>'Paste cell here'!AD18</f>
        <v>0.13550738890582786</v>
      </c>
      <c r="G18" s="1">
        <f>'Paste cell here'!W18</f>
        <v>0</v>
      </c>
      <c r="H18" s="1">
        <f>'Paste cell here'!AE18</f>
        <v>227.40160820924046</v>
      </c>
      <c r="I18" s="1">
        <f>'Paste cell here'!AF18</f>
        <v>227.50465605312246</v>
      </c>
      <c r="J18" s="1">
        <f t="shared" si="0"/>
        <v>0</v>
      </c>
      <c r="K18" s="1" t="str">
        <f>IF('(OLD) Bilancio primo strato'!D18&gt;0,1,"")</f>
        <v/>
      </c>
      <c r="L18" s="7">
        <f>Sintesi!$C$34</f>
        <v>0.128</v>
      </c>
      <c r="M18" s="7">
        <f>Sintesi!$C$33</f>
        <v>0.25700000000000001</v>
      </c>
      <c r="N18" s="1">
        <f>'Paste cell here'!AA18</f>
        <v>0.9</v>
      </c>
      <c r="O18" s="1">
        <f>'Paste cell here'!H18</f>
        <v>0.18426231661105644</v>
      </c>
      <c r="P18" s="1">
        <f t="shared" si="1"/>
        <v>116.10000000000001</v>
      </c>
      <c r="Q18" s="1">
        <f t="shared" si="2"/>
        <v>21.392854958543655</v>
      </c>
      <c r="R18" s="1">
        <f t="shared" si="3"/>
        <v>209.90714504145635</v>
      </c>
      <c r="S18" s="5">
        <f t="shared" si="4"/>
        <v>0.25266845356582274</v>
      </c>
      <c r="T18" s="5">
        <f t="shared" si="5"/>
        <v>0.23323016115717371</v>
      </c>
    </row>
    <row r="19" spans="1:20">
      <c r="A19" s="1">
        <v>18</v>
      </c>
      <c r="B19" s="2">
        <f>DATE(Sintesi!$C$4-1,12,31)+A19</f>
        <v>44214</v>
      </c>
      <c r="C19" s="1">
        <f>'Paste cell here'!T19</f>
        <v>2.604199764852913E-2</v>
      </c>
      <c r="D19" s="1">
        <f>'Paste cell here'!AC19</f>
        <v>0</v>
      </c>
      <c r="E19" s="1">
        <f>'Paste cell here'!Y19</f>
        <v>0</v>
      </c>
      <c r="F19" s="1">
        <f>'Paste cell here'!AD19</f>
        <v>0.13463643874745718</v>
      </c>
      <c r="G19" s="1">
        <f>'Paste cell here'!W19</f>
        <v>0</v>
      </c>
      <c r="H19" s="1">
        <f>'Paste cell here'!AE19</f>
        <v>227.29301376814155</v>
      </c>
      <c r="I19" s="1">
        <f>'Paste cell here'!AF19</f>
        <v>227.40160820924046</v>
      </c>
      <c r="J19" s="1">
        <f t="shared" si="0"/>
        <v>2.8421709430404007E-14</v>
      </c>
      <c r="K19" s="1" t="str">
        <f>IF('(OLD) Bilancio primo strato'!D19&gt;0,1,"")</f>
        <v/>
      </c>
      <c r="L19" s="7">
        <f>Sintesi!$C$34</f>
        <v>0.128</v>
      </c>
      <c r="M19" s="7">
        <f>Sintesi!$C$33</f>
        <v>0.25700000000000001</v>
      </c>
      <c r="N19" s="1">
        <f>'Paste cell here'!AA19</f>
        <v>0.9</v>
      </c>
      <c r="O19" s="1">
        <f>'Paste cell here'!H19</f>
        <v>0.18350794123697861</v>
      </c>
      <c r="P19" s="1">
        <f t="shared" si="1"/>
        <v>116.10000000000001</v>
      </c>
      <c r="Q19" s="1">
        <f t="shared" si="2"/>
        <v>21.30527197761322</v>
      </c>
      <c r="R19" s="1">
        <f t="shared" si="3"/>
        <v>209.99472802238679</v>
      </c>
      <c r="S19" s="5">
        <f t="shared" si="4"/>
        <v>0.25254779307571285</v>
      </c>
      <c r="T19" s="5">
        <f t="shared" si="5"/>
        <v>0.23332747558042977</v>
      </c>
    </row>
    <row r="20" spans="1:20">
      <c r="A20" s="1">
        <v>19</v>
      </c>
      <c r="B20" s="2">
        <f>DATE(Sintesi!$C$4-1,12,31)+A20</f>
        <v>44215</v>
      </c>
      <c r="C20" s="1">
        <f>'Paste cell here'!T20</f>
        <v>2.4971655360990417E-2</v>
      </c>
      <c r="D20" s="1">
        <f>'Paste cell here'!AC20</f>
        <v>0</v>
      </c>
      <c r="E20" s="1">
        <f>'Paste cell here'!Y20</f>
        <v>0</v>
      </c>
      <c r="F20" s="1">
        <f>'Paste cell here'!AD20</f>
        <v>0.1337472896465009</v>
      </c>
      <c r="G20" s="1">
        <f>'Paste cell here'!W20</f>
        <v>0</v>
      </c>
      <c r="H20" s="1">
        <f>'Paste cell here'!AE20</f>
        <v>227.18423813385598</v>
      </c>
      <c r="I20" s="1">
        <f>'Paste cell here'!AF20</f>
        <v>227.29301376814158</v>
      </c>
      <c r="J20" s="1">
        <f t="shared" si="0"/>
        <v>8.5265128291212022E-14</v>
      </c>
      <c r="K20" s="1" t="str">
        <f>IF('(OLD) Bilancio primo strato'!D20&gt;0,1,"")</f>
        <v/>
      </c>
      <c r="L20" s="7">
        <f>Sintesi!$C$34</f>
        <v>0.128</v>
      </c>
      <c r="M20" s="7">
        <f>Sintesi!$C$33</f>
        <v>0.25700000000000001</v>
      </c>
      <c r="N20" s="1">
        <f>'Paste cell here'!AA20</f>
        <v>0.9</v>
      </c>
      <c r="O20" s="1">
        <f>'Paste cell here'!H20</f>
        <v>0.19064238278430215</v>
      </c>
      <c r="P20" s="1">
        <f t="shared" si="1"/>
        <v>116.10000000000001</v>
      </c>
      <c r="Q20" s="1">
        <f t="shared" si="2"/>
        <v>22.133580641257481</v>
      </c>
      <c r="R20" s="1">
        <f t="shared" si="3"/>
        <v>209.16641935874253</v>
      </c>
      <c r="S20" s="5">
        <f t="shared" si="4"/>
        <v>0.25242693125984</v>
      </c>
      <c r="T20" s="5">
        <f t="shared" si="5"/>
        <v>0.23240713262082505</v>
      </c>
    </row>
    <row r="21" spans="1:20">
      <c r="A21" s="1">
        <v>20</v>
      </c>
      <c r="B21" s="2">
        <f>DATE(Sintesi!$C$4-1,12,31)+A21</f>
        <v>44216</v>
      </c>
      <c r="C21" s="1">
        <f>'Paste cell here'!T21</f>
        <v>0.11560819842387708</v>
      </c>
      <c r="D21" s="1">
        <f>'Paste cell here'!AC21</f>
        <v>0</v>
      </c>
      <c r="E21" s="1">
        <f>'Paste cell here'!Y21</f>
        <v>0</v>
      </c>
      <c r="F21" s="1">
        <f>'Paste cell here'!AD21</f>
        <v>0.1330615117625098</v>
      </c>
      <c r="G21" s="1">
        <f>'Paste cell here'!W21</f>
        <v>0</v>
      </c>
      <c r="H21" s="1">
        <f>'Paste cell here'!AE21</f>
        <v>227.16678482051739</v>
      </c>
      <c r="I21" s="1">
        <f>'Paste cell here'!AF21</f>
        <v>227.18423813385601</v>
      </c>
      <c r="J21" s="1">
        <f t="shared" si="0"/>
        <v>2.8421709430404007E-14</v>
      </c>
      <c r="K21" s="1" t="str">
        <f>IF('(OLD) Bilancio primo strato'!D21&gt;0,1,"")</f>
        <v/>
      </c>
      <c r="L21" s="7">
        <f>Sintesi!$C$34</f>
        <v>0.128</v>
      </c>
      <c r="M21" s="7">
        <f>Sintesi!$C$33</f>
        <v>0.25700000000000001</v>
      </c>
      <c r="N21" s="1">
        <f>'Paste cell here'!AA21</f>
        <v>0.9</v>
      </c>
      <c r="O21" s="1">
        <f>'Paste cell here'!H21</f>
        <v>0.18729472914251441</v>
      </c>
      <c r="P21" s="1">
        <f t="shared" si="1"/>
        <v>116.10000000000001</v>
      </c>
      <c r="Q21" s="1">
        <f t="shared" si="2"/>
        <v>21.744918053445925</v>
      </c>
      <c r="R21" s="1">
        <f t="shared" si="3"/>
        <v>209.55508194655408</v>
      </c>
      <c r="S21" s="5">
        <f t="shared" si="4"/>
        <v>0.25240753868946375</v>
      </c>
      <c r="T21" s="5">
        <f t="shared" si="5"/>
        <v>0.23283897994061564</v>
      </c>
    </row>
    <row r="22" spans="1:20">
      <c r="A22" s="1">
        <v>21</v>
      </c>
      <c r="B22" s="2">
        <f>DATE(Sintesi!$C$4-1,12,31)+A22</f>
        <v>44217</v>
      </c>
      <c r="C22" s="1">
        <f>'Paste cell here'!T22</f>
        <v>0.86464507934079426</v>
      </c>
      <c r="D22" s="1">
        <f>'Paste cell here'!AC22</f>
        <v>0</v>
      </c>
      <c r="E22" s="1">
        <f>'Paste cell here'!Y22</f>
        <v>0</v>
      </c>
      <c r="F22" s="1">
        <f>'Paste cell here'!AD22</f>
        <v>0.13516244624978066</v>
      </c>
      <c r="G22" s="1">
        <f>'Paste cell here'!W22</f>
        <v>0</v>
      </c>
      <c r="H22" s="1">
        <f>'Paste cell here'!AE22</f>
        <v>227.8962674536084</v>
      </c>
      <c r="I22" s="1">
        <f>'Paste cell here'!AF22</f>
        <v>227.16678482051739</v>
      </c>
      <c r="J22" s="1">
        <f t="shared" si="0"/>
        <v>0</v>
      </c>
      <c r="K22" s="1" t="str">
        <f>IF('(OLD) Bilancio primo strato'!D22&gt;0,1,"")</f>
        <v/>
      </c>
      <c r="L22" s="7">
        <f>Sintesi!$C$34</f>
        <v>0.128</v>
      </c>
      <c r="M22" s="7">
        <f>Sintesi!$C$33</f>
        <v>0.25700000000000001</v>
      </c>
      <c r="N22" s="1">
        <f>'Paste cell here'!AA22</f>
        <v>0.9</v>
      </c>
      <c r="O22" s="1">
        <f>'Paste cell here'!H22</f>
        <v>0.18411400660655605</v>
      </c>
      <c r="P22" s="1">
        <f t="shared" si="1"/>
        <v>116.10000000000001</v>
      </c>
      <c r="Q22" s="1">
        <f t="shared" si="2"/>
        <v>21.37563616702116</v>
      </c>
      <c r="R22" s="1">
        <f t="shared" si="3"/>
        <v>209.92436383297886</v>
      </c>
      <c r="S22" s="5">
        <f t="shared" si="4"/>
        <v>0.25321807494845378</v>
      </c>
      <c r="T22" s="5">
        <f t="shared" si="5"/>
        <v>0.23324929314775428</v>
      </c>
    </row>
    <row r="23" spans="1:20">
      <c r="A23" s="1">
        <v>22</v>
      </c>
      <c r="B23" s="2">
        <f>DATE(Sintesi!$C$4-1,12,31)+A23</f>
        <v>44218</v>
      </c>
      <c r="C23" s="1">
        <f>'Paste cell here'!T23</f>
        <v>6.2319447846618559</v>
      </c>
      <c r="D23" s="1">
        <f>'Paste cell here'!AC23</f>
        <v>0</v>
      </c>
      <c r="E23" s="1">
        <f>'Paste cell here'!Y23</f>
        <v>0</v>
      </c>
      <c r="F23" s="1">
        <f>'Paste cell here'!AD23</f>
        <v>0.15999935300178827</v>
      </c>
      <c r="G23" s="1">
        <f>'Paste cell here'!W23</f>
        <v>0</v>
      </c>
      <c r="H23" s="1">
        <f>'Paste cell here'!AE23</f>
        <v>233.96821288526846</v>
      </c>
      <c r="I23" s="1">
        <f>'Paste cell here'!AF23</f>
        <v>227.8962674536084</v>
      </c>
      <c r="J23" s="1">
        <f t="shared" si="0"/>
        <v>2.8421709430404007E-14</v>
      </c>
      <c r="K23" s="1" t="str">
        <f>IF('(OLD) Bilancio primo strato'!D23&gt;0,1,"")</f>
        <v/>
      </c>
      <c r="L23" s="7">
        <f>Sintesi!$C$34</f>
        <v>0.128</v>
      </c>
      <c r="M23" s="7">
        <f>Sintesi!$C$33</f>
        <v>0.25700000000000001</v>
      </c>
      <c r="N23" s="1">
        <f>'Paste cell here'!AA23</f>
        <v>0.9</v>
      </c>
      <c r="O23" s="1">
        <f>'Paste cell here'!H23</f>
        <v>0.18224576753650878</v>
      </c>
      <c r="P23" s="1">
        <f t="shared" si="1"/>
        <v>116.10000000000001</v>
      </c>
      <c r="Q23" s="1">
        <f t="shared" si="2"/>
        <v>21.158733610988673</v>
      </c>
      <c r="R23" s="1">
        <f t="shared" si="3"/>
        <v>210.14126638901135</v>
      </c>
      <c r="S23" s="5">
        <f t="shared" si="4"/>
        <v>0.25996468098363162</v>
      </c>
      <c r="T23" s="5">
        <f t="shared" si="5"/>
        <v>0.23349029598779039</v>
      </c>
    </row>
    <row r="24" spans="1:20">
      <c r="A24" s="1">
        <v>23</v>
      </c>
      <c r="B24" s="2">
        <f>DATE(Sintesi!$C$4-1,12,31)+A24</f>
        <v>44219</v>
      </c>
      <c r="C24" s="1">
        <f>'Paste cell here'!T24</f>
        <v>8.1039217051719401</v>
      </c>
      <c r="D24" s="1">
        <f>'Paste cell here'!AC24</f>
        <v>0</v>
      </c>
      <c r="E24" s="1">
        <f>'Paste cell here'!Y24</f>
        <v>0</v>
      </c>
      <c r="F24" s="1">
        <f>'Paste cell here'!AD24</f>
        <v>0.2546518393715505</v>
      </c>
      <c r="G24" s="1">
        <f>'Paste cell here'!W24</f>
        <v>0</v>
      </c>
      <c r="H24" s="1">
        <f>'Paste cell here'!AE24</f>
        <v>241.81748275106887</v>
      </c>
      <c r="I24" s="1">
        <f>'Paste cell here'!AF24</f>
        <v>233.96821288526849</v>
      </c>
      <c r="J24" s="1">
        <f t="shared" si="0"/>
        <v>0</v>
      </c>
      <c r="K24" s="1" t="str">
        <f>IF('(OLD) Bilancio primo strato'!D24&gt;0,1,"")</f>
        <v/>
      </c>
      <c r="L24" s="7">
        <f>Sintesi!$C$34</f>
        <v>0.128</v>
      </c>
      <c r="M24" s="7">
        <f>Sintesi!$C$33</f>
        <v>0.25700000000000001</v>
      </c>
      <c r="N24" s="1">
        <f>'Paste cell here'!AA24</f>
        <v>0.9</v>
      </c>
      <c r="O24" s="1">
        <f>'Paste cell here'!H24</f>
        <v>0.18275033309009112</v>
      </c>
      <c r="P24" s="1">
        <f t="shared" si="1"/>
        <v>116.10000000000001</v>
      </c>
      <c r="Q24" s="1">
        <f t="shared" si="2"/>
        <v>21.21731367175958</v>
      </c>
      <c r="R24" s="1">
        <f t="shared" si="3"/>
        <v>210.08268632824044</v>
      </c>
      <c r="S24" s="5">
        <f t="shared" si="4"/>
        <v>0.26868609194563209</v>
      </c>
      <c r="T24" s="5">
        <f t="shared" si="5"/>
        <v>0.23342520703137826</v>
      </c>
    </row>
    <row r="25" spans="1:20">
      <c r="A25" s="1">
        <v>24</v>
      </c>
      <c r="B25" s="2">
        <f>DATE(Sintesi!$C$4-1,12,31)+A25</f>
        <v>44220</v>
      </c>
      <c r="C25" s="1">
        <f>'Paste cell here'!T25</f>
        <v>3.4192177905670715</v>
      </c>
      <c r="D25" s="1">
        <f>'Paste cell here'!AC25</f>
        <v>0</v>
      </c>
      <c r="E25" s="1">
        <f>'Paste cell here'!Y25</f>
        <v>0</v>
      </c>
      <c r="F25" s="1">
        <f>'Paste cell here'!AD25</f>
        <v>0.34795242553720035</v>
      </c>
      <c r="G25" s="1">
        <f>'Paste cell here'!W25</f>
        <v>0</v>
      </c>
      <c r="H25" s="1">
        <f>'Paste cell here'!AE25</f>
        <v>244.88874811609872</v>
      </c>
      <c r="I25" s="1">
        <f>'Paste cell here'!AF25</f>
        <v>241.81748275106887</v>
      </c>
      <c r="J25" s="1">
        <f t="shared" si="0"/>
        <v>2.8421709430404007E-14</v>
      </c>
      <c r="K25" s="1" t="str">
        <f>IF('(OLD) Bilancio primo strato'!D25&gt;0,1,"")</f>
        <v/>
      </c>
      <c r="L25" s="7">
        <f>Sintesi!$C$34</f>
        <v>0.128</v>
      </c>
      <c r="M25" s="7">
        <f>Sintesi!$C$33</f>
        <v>0.25700000000000001</v>
      </c>
      <c r="N25" s="1">
        <f>'Paste cell here'!AA25</f>
        <v>0.9</v>
      </c>
      <c r="O25" s="1">
        <f>'Paste cell here'!H25</f>
        <v>0.16819254193276872</v>
      </c>
      <c r="P25" s="1">
        <f t="shared" si="1"/>
        <v>116.10000000000001</v>
      </c>
      <c r="Q25" s="1">
        <f t="shared" si="2"/>
        <v>19.527154118394449</v>
      </c>
      <c r="R25" s="1">
        <f t="shared" si="3"/>
        <v>211.77284588160558</v>
      </c>
      <c r="S25" s="5">
        <f t="shared" si="4"/>
        <v>0.27209860901788746</v>
      </c>
      <c r="T25" s="5">
        <f t="shared" si="5"/>
        <v>0.23530316209067287</v>
      </c>
    </row>
    <row r="26" spans="1:20">
      <c r="A26" s="1">
        <v>25</v>
      </c>
      <c r="B26" s="2">
        <f>DATE(Sintesi!$C$4-1,12,31)+A26</f>
        <v>44221</v>
      </c>
      <c r="C26" s="1">
        <f>'Paste cell here'!T26</f>
        <v>1.1161047439332696</v>
      </c>
      <c r="D26" s="1">
        <f>'Paste cell here'!AC26</f>
        <v>0</v>
      </c>
      <c r="E26" s="1">
        <f>'Paste cell here'!Y26</f>
        <v>0</v>
      </c>
      <c r="F26" s="1">
        <f>'Paste cell here'!AD26</f>
        <v>0.37866050473078072</v>
      </c>
      <c r="G26" s="1">
        <f>'Paste cell here'!W26</f>
        <v>0</v>
      </c>
      <c r="H26" s="1">
        <f>'Paste cell here'!AE26</f>
        <v>245.62619235530121</v>
      </c>
      <c r="I26" s="1">
        <f>'Paste cell here'!AF26</f>
        <v>244.88874811609872</v>
      </c>
      <c r="J26" s="1">
        <f t="shared" si="0"/>
        <v>0</v>
      </c>
      <c r="K26" s="1" t="str">
        <f>IF('(OLD) Bilancio primo strato'!D26&gt;0,1,"")</f>
        <v/>
      </c>
      <c r="L26" s="7">
        <f>Sintesi!$C$34</f>
        <v>0.128</v>
      </c>
      <c r="M26" s="7">
        <f>Sintesi!$C$33</f>
        <v>0.25700000000000001</v>
      </c>
      <c r="N26" s="1">
        <f>'Paste cell here'!AA26</f>
        <v>0.9</v>
      </c>
      <c r="O26" s="1">
        <f>'Paste cell here'!H26</f>
        <v>0.16338456231889317</v>
      </c>
      <c r="P26" s="1">
        <f t="shared" si="1"/>
        <v>116.10000000000001</v>
      </c>
      <c r="Q26" s="1">
        <f t="shared" si="2"/>
        <v>18.968947685223498</v>
      </c>
      <c r="R26" s="1">
        <f t="shared" si="3"/>
        <v>212.33105231477651</v>
      </c>
      <c r="S26" s="5">
        <f t="shared" si="4"/>
        <v>0.27291799150589025</v>
      </c>
      <c r="T26" s="5">
        <f t="shared" si="5"/>
        <v>0.2359233914608628</v>
      </c>
    </row>
    <row r="27" spans="1:20">
      <c r="A27" s="1">
        <v>26</v>
      </c>
      <c r="B27" s="2">
        <f>DATE(Sintesi!$C$4-1,12,31)+A27</f>
        <v>44222</v>
      </c>
      <c r="C27" s="1">
        <f>'Paste cell here'!T27</f>
        <v>0.44679492131909493</v>
      </c>
      <c r="D27" s="1">
        <f>'Paste cell here'!AC27</f>
        <v>0</v>
      </c>
      <c r="E27" s="1">
        <f>'Paste cell here'!Y27</f>
        <v>0</v>
      </c>
      <c r="F27" s="1">
        <f>'Paste cell here'!AD27</f>
        <v>0.38635390430234712</v>
      </c>
      <c r="G27" s="1">
        <f>'Paste cell here'!W27</f>
        <v>0</v>
      </c>
      <c r="H27" s="1">
        <f>'Paste cell here'!AE27</f>
        <v>245.68663337231794</v>
      </c>
      <c r="I27" s="1">
        <f>'Paste cell here'!AF27</f>
        <v>245.62619235530121</v>
      </c>
      <c r="J27" s="1">
        <f t="shared" si="0"/>
        <v>0</v>
      </c>
      <c r="K27" s="1" t="str">
        <f>IF('(OLD) Bilancio primo strato'!D27&gt;0,1,"")</f>
        <v/>
      </c>
      <c r="L27" s="7">
        <f>Sintesi!$C$34</f>
        <v>0.128</v>
      </c>
      <c r="M27" s="7">
        <f>Sintesi!$C$33</f>
        <v>0.25700000000000001</v>
      </c>
      <c r="N27" s="1">
        <f>'Paste cell here'!AA27</f>
        <v>0.9</v>
      </c>
      <c r="O27" s="1">
        <f>'Paste cell here'!H27</f>
        <v>0.1636537016182128</v>
      </c>
      <c r="P27" s="1">
        <f t="shared" si="1"/>
        <v>116.10000000000001</v>
      </c>
      <c r="Q27" s="1">
        <f t="shared" si="2"/>
        <v>19.000194757874507</v>
      </c>
      <c r="R27" s="1">
        <f t="shared" si="3"/>
        <v>212.2998052421255</v>
      </c>
      <c r="S27" s="5">
        <f t="shared" si="4"/>
        <v>0.27298514819146436</v>
      </c>
      <c r="T27" s="5">
        <f t="shared" si="5"/>
        <v>0.23588867249125056</v>
      </c>
    </row>
    <row r="28" spans="1:20">
      <c r="A28" s="1">
        <v>27</v>
      </c>
      <c r="B28" s="2">
        <f>DATE(Sintesi!$C$4-1,12,31)+A28</f>
        <v>44223</v>
      </c>
      <c r="C28" s="1">
        <f>'Paste cell here'!T28</f>
        <v>0.17687148172864689</v>
      </c>
      <c r="D28" s="1">
        <f>'Paste cell here'!AC28</f>
        <v>0</v>
      </c>
      <c r="E28" s="1">
        <f>'Paste cell here'!Y28</f>
        <v>0</v>
      </c>
      <c r="F28" s="1">
        <f>'Paste cell here'!AD28</f>
        <v>0.38388227780168105</v>
      </c>
      <c r="G28" s="1">
        <f>'Paste cell here'!W28</f>
        <v>0</v>
      </c>
      <c r="H28" s="1">
        <f>'Paste cell here'!AE28</f>
        <v>245.47962257624485</v>
      </c>
      <c r="I28" s="1">
        <f>'Paste cell here'!AF28</f>
        <v>245.68663337231791</v>
      </c>
      <c r="J28" s="1">
        <f t="shared" si="0"/>
        <v>2.8421709430404007E-14</v>
      </c>
      <c r="K28" s="1" t="str">
        <f>IF('(OLD) Bilancio primo strato'!D28&gt;0,1,"")</f>
        <v/>
      </c>
      <c r="L28" s="7">
        <f>Sintesi!$C$34</f>
        <v>0.128</v>
      </c>
      <c r="M28" s="7">
        <f>Sintesi!$C$33</f>
        <v>0.25700000000000001</v>
      </c>
      <c r="N28" s="1">
        <f>'Paste cell here'!AA28</f>
        <v>0.9</v>
      </c>
      <c r="O28" s="1">
        <f>'Paste cell here'!H28</f>
        <v>0.11404724606093056</v>
      </c>
      <c r="P28" s="1">
        <f t="shared" si="1"/>
        <v>116.10000000000001</v>
      </c>
      <c r="Q28" s="1">
        <f t="shared" si="2"/>
        <v>13.240885267674038</v>
      </c>
      <c r="R28" s="1">
        <f t="shared" si="3"/>
        <v>218.05911473232598</v>
      </c>
      <c r="S28" s="5">
        <f t="shared" si="4"/>
        <v>0.27275513619582759</v>
      </c>
      <c r="T28" s="5">
        <f t="shared" si="5"/>
        <v>0.24228790525813998</v>
      </c>
    </row>
    <row r="29" spans="1:20">
      <c r="A29" s="1">
        <v>28</v>
      </c>
      <c r="B29" s="2">
        <f>DATE(Sintesi!$C$4-1,12,31)+A29</f>
        <v>44224</v>
      </c>
      <c r="C29" s="1">
        <f>'Paste cell here'!T29</f>
        <v>0.11163302583085648</v>
      </c>
      <c r="D29" s="1">
        <f>'Paste cell here'!AC29</f>
        <v>0</v>
      </c>
      <c r="E29" s="1">
        <f>'Paste cell here'!Y29</f>
        <v>0</v>
      </c>
      <c r="F29" s="1">
        <f>'Paste cell here'!AD29</f>
        <v>0.37887003378732903</v>
      </c>
      <c r="G29" s="1">
        <f>'Paste cell here'!W29</f>
        <v>0</v>
      </c>
      <c r="H29" s="1">
        <f>'Paste cell here'!AE29</f>
        <v>245.21238556828837</v>
      </c>
      <c r="I29" s="1">
        <f>'Paste cell here'!AF29</f>
        <v>245.47962257624485</v>
      </c>
      <c r="J29" s="1">
        <f t="shared" si="0"/>
        <v>0</v>
      </c>
      <c r="K29" s="1" t="str">
        <f>IF('(OLD) Bilancio primo strato'!D29&gt;0,1,"")</f>
        <v/>
      </c>
      <c r="L29" s="7">
        <f>Sintesi!$C$34</f>
        <v>0.128</v>
      </c>
      <c r="M29" s="7">
        <f>Sintesi!$C$33</f>
        <v>0.25700000000000001</v>
      </c>
      <c r="N29" s="1">
        <f>'Paste cell here'!AA29</f>
        <v>0.9</v>
      </c>
      <c r="O29" s="1">
        <f>'Paste cell here'!H29</f>
        <v>0.16681077693248497</v>
      </c>
      <c r="P29" s="1">
        <f t="shared" si="1"/>
        <v>116.10000000000001</v>
      </c>
      <c r="Q29" s="1">
        <f t="shared" si="2"/>
        <v>19.366731201861505</v>
      </c>
      <c r="R29" s="1">
        <f t="shared" si="3"/>
        <v>211.9332687981385</v>
      </c>
      <c r="S29" s="5">
        <f t="shared" si="4"/>
        <v>0.27245820618698707</v>
      </c>
      <c r="T29" s="5">
        <f t="shared" si="5"/>
        <v>0.23548140977570944</v>
      </c>
    </row>
    <row r="30" spans="1:20">
      <c r="A30" s="1">
        <v>29</v>
      </c>
      <c r="B30" s="2">
        <f>DATE(Sintesi!$C$4-1,12,31)+A30</f>
        <v>44225</v>
      </c>
      <c r="C30" s="1">
        <f>'Paste cell here'!T30</f>
        <v>7.4731987028843441E-2</v>
      </c>
      <c r="D30" s="1">
        <f>'Paste cell here'!AC30</f>
        <v>0</v>
      </c>
      <c r="E30" s="1">
        <f>'Paste cell here'!Y30</f>
        <v>0</v>
      </c>
      <c r="F30" s="1">
        <f>'Paste cell here'!AD30</f>
        <v>0.37304346647142334</v>
      </c>
      <c r="G30" s="1">
        <f>'Paste cell here'!W30</f>
        <v>0</v>
      </c>
      <c r="H30" s="1">
        <f>'Paste cell here'!AE30</f>
        <v>244.91407408884581</v>
      </c>
      <c r="I30" s="1">
        <f>'Paste cell here'!AF30</f>
        <v>245.21238556828837</v>
      </c>
      <c r="J30" s="1">
        <f t="shared" si="0"/>
        <v>0</v>
      </c>
      <c r="K30" s="1" t="str">
        <f>IF('(OLD) Bilancio primo strato'!D30&gt;0,1,"")</f>
        <v/>
      </c>
      <c r="L30" s="7">
        <f>Sintesi!$C$34</f>
        <v>0.128</v>
      </c>
      <c r="M30" s="7">
        <f>Sintesi!$C$33</f>
        <v>0.25700000000000001</v>
      </c>
      <c r="N30" s="1">
        <f>'Paste cell here'!AA30</f>
        <v>0.9</v>
      </c>
      <c r="O30" s="1">
        <f>'Paste cell here'!H30</f>
        <v>0.17345607224717852</v>
      </c>
      <c r="P30" s="1">
        <f t="shared" si="1"/>
        <v>116.10000000000001</v>
      </c>
      <c r="Q30" s="1">
        <f t="shared" si="2"/>
        <v>20.138249987897428</v>
      </c>
      <c r="R30" s="1">
        <f t="shared" si="3"/>
        <v>211.16175001210257</v>
      </c>
      <c r="S30" s="5">
        <f t="shared" si="4"/>
        <v>0.27212674898760647</v>
      </c>
      <c r="T30" s="5">
        <f t="shared" si="5"/>
        <v>0.23462416668011396</v>
      </c>
    </row>
    <row r="31" spans="1:20">
      <c r="A31" s="1">
        <v>30</v>
      </c>
      <c r="B31" s="2">
        <f>DATE(Sintesi!$C$4-1,12,31)+A31</f>
        <v>44226</v>
      </c>
      <c r="C31" s="1">
        <f>'Paste cell here'!T31</f>
        <v>0.10686762972307939</v>
      </c>
      <c r="D31" s="1">
        <f>'Paste cell here'!AC31</f>
        <v>0</v>
      </c>
      <c r="E31" s="1">
        <f>'Paste cell here'!Y31</f>
        <v>0</v>
      </c>
      <c r="F31" s="1">
        <f>'Paste cell here'!AD31</f>
        <v>0.36717276755007738</v>
      </c>
      <c r="G31" s="1">
        <f>'Paste cell here'!W31</f>
        <v>0</v>
      </c>
      <c r="H31" s="1">
        <f>'Paste cell here'!AE31</f>
        <v>244.65376895101886</v>
      </c>
      <c r="I31" s="1">
        <f>'Paste cell here'!AF31</f>
        <v>244.91407408884584</v>
      </c>
      <c r="J31" s="1">
        <f t="shared" si="0"/>
        <v>2.8421709430404007E-14</v>
      </c>
      <c r="K31" s="1" t="str">
        <f>IF('(OLD) Bilancio primo strato'!D31&gt;0,1,"")</f>
        <v/>
      </c>
      <c r="L31" s="7">
        <f>Sintesi!$C$34</f>
        <v>0.128</v>
      </c>
      <c r="M31" s="7">
        <f>Sintesi!$C$33</f>
        <v>0.25700000000000001</v>
      </c>
      <c r="N31" s="1">
        <f>'Paste cell here'!AA31</f>
        <v>0.9</v>
      </c>
      <c r="O31" s="1">
        <f>'Paste cell here'!H31</f>
        <v>0.17446173439134086</v>
      </c>
      <c r="P31" s="1">
        <f t="shared" si="1"/>
        <v>116.10000000000001</v>
      </c>
      <c r="Q31" s="1">
        <f t="shared" si="2"/>
        <v>20.255007362834675</v>
      </c>
      <c r="R31" s="1">
        <f t="shared" si="3"/>
        <v>211.04499263716534</v>
      </c>
      <c r="S31" s="5">
        <f t="shared" si="4"/>
        <v>0.27183752105668763</v>
      </c>
      <c r="T31" s="5">
        <f t="shared" si="5"/>
        <v>0.23449443626351704</v>
      </c>
    </row>
    <row r="32" spans="1:20">
      <c r="A32" s="1">
        <v>31</v>
      </c>
      <c r="B32" s="2">
        <f>DATE(Sintesi!$C$4-1,12,31)+A32</f>
        <v>44227</v>
      </c>
      <c r="C32" s="1">
        <f>'Paste cell here'!T32</f>
        <v>0.74187495288969996</v>
      </c>
      <c r="D32" s="1">
        <f>'Paste cell here'!AC32</f>
        <v>0</v>
      </c>
      <c r="E32" s="1">
        <f>'Paste cell here'!Y32</f>
        <v>0</v>
      </c>
      <c r="F32" s="1">
        <f>'Paste cell here'!AD32</f>
        <v>0.36595938760254698</v>
      </c>
      <c r="G32" s="1">
        <f>'Paste cell here'!W32</f>
        <v>0</v>
      </c>
      <c r="H32" s="1">
        <f>'Paste cell here'!AE32</f>
        <v>245.02968451630602</v>
      </c>
      <c r="I32" s="1">
        <f>'Paste cell here'!AF32</f>
        <v>244.65376895101886</v>
      </c>
      <c r="J32" s="1">
        <f t="shared" si="0"/>
        <v>0</v>
      </c>
      <c r="K32" s="1" t="str">
        <f>IF('(OLD) Bilancio primo strato'!D32&gt;0,1,"")</f>
        <v/>
      </c>
      <c r="L32" s="7">
        <f>Sintesi!$C$34</f>
        <v>0.128</v>
      </c>
      <c r="M32" s="7">
        <f>Sintesi!$C$33</f>
        <v>0.25700000000000001</v>
      </c>
      <c r="N32" s="1">
        <f>'Paste cell here'!AA32</f>
        <v>0.9</v>
      </c>
      <c r="O32" s="1">
        <f>'Paste cell here'!H32</f>
        <v>0.16301024486413565</v>
      </c>
      <c r="P32" s="1">
        <f t="shared" si="1"/>
        <v>116.10000000000001</v>
      </c>
      <c r="Q32" s="1">
        <f t="shared" si="2"/>
        <v>18.925489428726152</v>
      </c>
      <c r="R32" s="1">
        <f t="shared" si="3"/>
        <v>212.37451057127385</v>
      </c>
      <c r="S32" s="5">
        <f t="shared" si="4"/>
        <v>0.27225520501811779</v>
      </c>
      <c r="T32" s="5">
        <f t="shared" si="5"/>
        <v>0.2359716784125265</v>
      </c>
    </row>
    <row r="33" spans="1:20">
      <c r="A33" s="1">
        <v>32</v>
      </c>
      <c r="B33" s="2">
        <f>DATE(Sintesi!$C$4-1,12,31)+A33</f>
        <v>44228</v>
      </c>
      <c r="C33" s="1">
        <f>'Paste cell here'!T33</f>
        <v>1.2033706811623983</v>
      </c>
      <c r="D33" s="1">
        <f>'Paste cell here'!AC33</f>
        <v>0</v>
      </c>
      <c r="E33" s="1">
        <f>'Paste cell here'!Y33</f>
        <v>0</v>
      </c>
      <c r="F33" s="1">
        <f>'Paste cell here'!AD33</f>
        <v>0.38241327547577858</v>
      </c>
      <c r="G33" s="1">
        <f>'Paste cell here'!W33</f>
        <v>0</v>
      </c>
      <c r="H33" s="1">
        <f>'Paste cell here'!AE33</f>
        <v>245.8506419219926</v>
      </c>
      <c r="I33" s="1">
        <f>'Paste cell here'!AF33</f>
        <v>245.02968451630602</v>
      </c>
      <c r="J33" s="1">
        <f t="shared" si="0"/>
        <v>2.8421709430404007E-14</v>
      </c>
      <c r="K33" s="1" t="str">
        <f>IF('(OLD) Bilancio primo strato'!D33&gt;0,1,"")</f>
        <v/>
      </c>
      <c r="L33" s="7">
        <f>Sintesi!$C$34</f>
        <v>0.128</v>
      </c>
      <c r="M33" s="7">
        <f>Sintesi!$C$33</f>
        <v>0.25700000000000001</v>
      </c>
      <c r="N33" s="1">
        <f>'Paste cell here'!AA33</f>
        <v>0.9</v>
      </c>
      <c r="O33" s="1">
        <f>'Paste cell here'!H33</f>
        <v>0.16685294957702015</v>
      </c>
      <c r="P33" s="1">
        <f t="shared" si="1"/>
        <v>116.10000000000001</v>
      </c>
      <c r="Q33" s="1">
        <f t="shared" si="2"/>
        <v>19.371627445892042</v>
      </c>
      <c r="R33" s="1">
        <f t="shared" si="3"/>
        <v>211.92837255410797</v>
      </c>
      <c r="S33" s="5">
        <f t="shared" si="4"/>
        <v>0.27316737991332513</v>
      </c>
      <c r="T33" s="5">
        <f t="shared" si="5"/>
        <v>0.2354759695045644</v>
      </c>
    </row>
    <row r="34" spans="1:20">
      <c r="A34" s="1">
        <v>33</v>
      </c>
      <c r="B34" s="2">
        <f>DATE(Sintesi!$C$4-1,12,31)+A34</f>
        <v>44229</v>
      </c>
      <c r="C34" s="1">
        <f>'Paste cell here'!T34</f>
        <v>0.63361501945692345</v>
      </c>
      <c r="D34" s="1">
        <f>'Paste cell here'!AC34</f>
        <v>0</v>
      </c>
      <c r="E34" s="1">
        <f>'Paste cell here'!Y34</f>
        <v>0</v>
      </c>
      <c r="F34" s="1">
        <f>'Paste cell here'!AD34</f>
        <v>0.39244698861833266</v>
      </c>
      <c r="G34" s="1">
        <f>'Paste cell here'!W34</f>
        <v>0</v>
      </c>
      <c r="H34" s="1">
        <f>'Paste cell here'!AE34</f>
        <v>246.09180995283126</v>
      </c>
      <c r="I34" s="1">
        <f>'Paste cell here'!AF34</f>
        <v>245.85064192199263</v>
      </c>
      <c r="J34" s="1">
        <f t="shared" si="0"/>
        <v>2.8421709430404007E-14</v>
      </c>
      <c r="K34" s="1" t="str">
        <f>IF('(OLD) Bilancio primo strato'!D34&gt;0,1,"")</f>
        <v/>
      </c>
      <c r="L34" s="7">
        <f>Sintesi!$C$34</f>
        <v>0.128</v>
      </c>
      <c r="M34" s="7">
        <f>Sintesi!$C$33</f>
        <v>0.25700000000000001</v>
      </c>
      <c r="N34" s="1">
        <f>'Paste cell here'!AA34</f>
        <v>0.9</v>
      </c>
      <c r="O34" s="1">
        <f>'Paste cell here'!H34</f>
        <v>0.1712664450106241</v>
      </c>
      <c r="P34" s="1">
        <f t="shared" si="1"/>
        <v>116.10000000000001</v>
      </c>
      <c r="Q34" s="1">
        <f t="shared" si="2"/>
        <v>19.884034265733458</v>
      </c>
      <c r="R34" s="1">
        <f t="shared" si="3"/>
        <v>211.41596573426656</v>
      </c>
      <c r="S34" s="5">
        <f t="shared" si="4"/>
        <v>0.27343534439203471</v>
      </c>
      <c r="T34" s="5">
        <f t="shared" si="5"/>
        <v>0.23490662859362951</v>
      </c>
    </row>
    <row r="35" spans="1:20">
      <c r="A35" s="1">
        <v>34</v>
      </c>
      <c r="B35" s="2">
        <f>DATE(Sintesi!$C$4-1,12,31)+A35</f>
        <v>44230</v>
      </c>
      <c r="C35" s="1">
        <f>'Paste cell here'!T35</f>
        <v>1.3190777337771371</v>
      </c>
      <c r="D35" s="1">
        <f>'Paste cell here'!AC35</f>
        <v>0</v>
      </c>
      <c r="E35" s="1">
        <f>'Paste cell here'!Y35</f>
        <v>0</v>
      </c>
      <c r="F35" s="1">
        <f>'Paste cell here'!AD35</f>
        <v>0.4007509021664159</v>
      </c>
      <c r="G35" s="1">
        <f>'Paste cell here'!W35</f>
        <v>0</v>
      </c>
      <c r="H35" s="1">
        <f>'Paste cell here'!AE35</f>
        <v>247.01013678444201</v>
      </c>
      <c r="I35" s="1">
        <f>'Paste cell here'!AF35</f>
        <v>246.09180995283126</v>
      </c>
      <c r="J35" s="1">
        <f t="shared" si="0"/>
        <v>2.8421709430404007E-14</v>
      </c>
      <c r="K35" s="1" t="str">
        <f>IF('(OLD) Bilancio primo strato'!D35&gt;0,1,"")</f>
        <v/>
      </c>
      <c r="L35" s="7">
        <f>Sintesi!$C$34</f>
        <v>0.128</v>
      </c>
      <c r="M35" s="7">
        <f>Sintesi!$C$33</f>
        <v>0.25700000000000001</v>
      </c>
      <c r="N35" s="1">
        <f>'Paste cell here'!AA35</f>
        <v>0.9</v>
      </c>
      <c r="O35" s="1">
        <f>'Paste cell here'!H35</f>
        <v>0.1787290711097643</v>
      </c>
      <c r="P35" s="1">
        <f t="shared" si="1"/>
        <v>116.10000000000001</v>
      </c>
      <c r="Q35" s="1">
        <f t="shared" si="2"/>
        <v>20.750445155843636</v>
      </c>
      <c r="R35" s="1">
        <f t="shared" si="3"/>
        <v>210.54955484415638</v>
      </c>
      <c r="S35" s="5">
        <f t="shared" si="4"/>
        <v>0.27445570753826892</v>
      </c>
      <c r="T35" s="5">
        <f t="shared" si="5"/>
        <v>0.23394394982684041</v>
      </c>
    </row>
    <row r="36" spans="1:20">
      <c r="A36" s="1">
        <v>35</v>
      </c>
      <c r="B36" s="2">
        <f>DATE(Sintesi!$C$4-1,12,31)+A36</f>
        <v>44231</v>
      </c>
      <c r="C36" s="1">
        <f>'Paste cell here'!T36</f>
        <v>1.8537134287198969</v>
      </c>
      <c r="D36" s="1">
        <f>'Paste cell here'!AC36</f>
        <v>0</v>
      </c>
      <c r="E36" s="1">
        <f>'Paste cell here'!Y36</f>
        <v>0</v>
      </c>
      <c r="F36" s="1">
        <f>'Paste cell here'!AD36</f>
        <v>0.43275902066490707</v>
      </c>
      <c r="G36" s="1">
        <f>'Paste cell here'!W36</f>
        <v>0</v>
      </c>
      <c r="H36" s="1">
        <f>'Paste cell here'!AE36</f>
        <v>248.43109119249706</v>
      </c>
      <c r="I36" s="1">
        <f>'Paste cell here'!AF36</f>
        <v>247.01013678444204</v>
      </c>
      <c r="J36" s="1">
        <f t="shared" si="0"/>
        <v>5.6843418860808015E-14</v>
      </c>
      <c r="K36" s="1" t="str">
        <f>IF('(OLD) Bilancio primo strato'!D36&gt;0,1,"")</f>
        <v/>
      </c>
      <c r="L36" s="7">
        <f>Sintesi!$C$34</f>
        <v>0.128</v>
      </c>
      <c r="M36" s="7">
        <f>Sintesi!$C$33</f>
        <v>0.25700000000000001</v>
      </c>
      <c r="N36" s="1">
        <f>'Paste cell here'!AA36</f>
        <v>0.9</v>
      </c>
      <c r="O36" s="1">
        <f>'Paste cell here'!H36</f>
        <v>0.18081969488685867</v>
      </c>
      <c r="P36" s="1">
        <f t="shared" si="1"/>
        <v>116.10000000000001</v>
      </c>
      <c r="Q36" s="1">
        <f t="shared" si="2"/>
        <v>20.993166576364292</v>
      </c>
      <c r="R36" s="1">
        <f t="shared" si="3"/>
        <v>210.30683342363571</v>
      </c>
      <c r="S36" s="5">
        <f t="shared" si="4"/>
        <v>0.2760345457694412</v>
      </c>
      <c r="T36" s="5">
        <f t="shared" si="5"/>
        <v>0.23367425935959524</v>
      </c>
    </row>
    <row r="37" spans="1:20">
      <c r="A37" s="1">
        <v>36</v>
      </c>
      <c r="B37" s="2">
        <f>DATE(Sintesi!$C$4-1,12,31)+A37</f>
        <v>44232</v>
      </c>
      <c r="C37" s="1">
        <f>'Paste cell here'!T37</f>
        <v>1.4538389349290264</v>
      </c>
      <c r="D37" s="1">
        <f>'Paste cell here'!AC37</f>
        <v>0</v>
      </c>
      <c r="E37" s="1">
        <f>'Paste cell here'!Y37</f>
        <v>0</v>
      </c>
      <c r="F37" s="1">
        <f>'Paste cell here'!AD37</f>
        <v>0.45950930753828828</v>
      </c>
      <c r="G37" s="1">
        <f>'Paste cell here'!W37</f>
        <v>0</v>
      </c>
      <c r="H37" s="1">
        <f>'Paste cell here'!AE37</f>
        <v>249.42542081988785</v>
      </c>
      <c r="I37" s="1">
        <f>'Paste cell here'!AF37</f>
        <v>248.43109119249709</v>
      </c>
      <c r="J37" s="1">
        <f t="shared" si="0"/>
        <v>2.8421709430404007E-14</v>
      </c>
      <c r="K37" s="1" t="str">
        <f>IF('(OLD) Bilancio primo strato'!D37&gt;0,1,"")</f>
        <v/>
      </c>
      <c r="L37" s="7">
        <f>Sintesi!$C$34</f>
        <v>0.128</v>
      </c>
      <c r="M37" s="7">
        <f>Sintesi!$C$33</f>
        <v>0.25700000000000001</v>
      </c>
      <c r="N37" s="1">
        <f>'Paste cell here'!AA37</f>
        <v>0.9</v>
      </c>
      <c r="O37" s="1">
        <f>'Paste cell here'!H37</f>
        <v>0.17379977223459953</v>
      </c>
      <c r="P37" s="1">
        <f t="shared" si="1"/>
        <v>116.10000000000001</v>
      </c>
      <c r="Q37" s="1">
        <f t="shared" si="2"/>
        <v>20.178153556437007</v>
      </c>
      <c r="R37" s="1">
        <f t="shared" si="3"/>
        <v>211.12184644356302</v>
      </c>
      <c r="S37" s="5">
        <f t="shared" si="4"/>
        <v>0.27713935646654203</v>
      </c>
      <c r="T37" s="5">
        <f t="shared" si="5"/>
        <v>0.23457982938173669</v>
      </c>
    </row>
    <row r="38" spans="1:20">
      <c r="A38" s="1">
        <v>37</v>
      </c>
      <c r="B38" s="2">
        <f>DATE(Sintesi!$C$4-1,12,31)+A38</f>
        <v>44233</v>
      </c>
      <c r="C38" s="1">
        <f>'Paste cell here'!T38</f>
        <v>1.0512574369723464</v>
      </c>
      <c r="D38" s="1">
        <f>'Paste cell here'!AC38</f>
        <v>0</v>
      </c>
      <c r="E38" s="1">
        <f>'Paste cell here'!Y38</f>
        <v>0</v>
      </c>
      <c r="F38" s="1">
        <f>'Paste cell here'!AD38</f>
        <v>0.48061636260583868</v>
      </c>
      <c r="G38" s="1">
        <f>'Paste cell here'!W38</f>
        <v>0</v>
      </c>
      <c r="H38" s="1">
        <f>'Paste cell here'!AE38</f>
        <v>249.99606189425441</v>
      </c>
      <c r="I38" s="1">
        <f>'Paste cell here'!AF38</f>
        <v>249.42542081988785</v>
      </c>
      <c r="J38" s="1">
        <f t="shared" si="0"/>
        <v>5.6843418860808015E-14</v>
      </c>
      <c r="K38" s="1" t="str">
        <f>IF('(OLD) Bilancio primo strato'!D38&gt;0,1,"")</f>
        <v/>
      </c>
      <c r="L38" s="7">
        <f>Sintesi!$C$34</f>
        <v>0.128</v>
      </c>
      <c r="M38" s="7">
        <f>Sintesi!$C$33</f>
        <v>0.25700000000000001</v>
      </c>
      <c r="N38" s="1">
        <f>'Paste cell here'!AA38</f>
        <v>0.9</v>
      </c>
      <c r="O38" s="1">
        <f>'Paste cell here'!H38</f>
        <v>0.17698487274061525</v>
      </c>
      <c r="P38" s="1">
        <f t="shared" si="1"/>
        <v>116.10000000000001</v>
      </c>
      <c r="Q38" s="1">
        <f t="shared" si="2"/>
        <v>20.547943725185434</v>
      </c>
      <c r="R38" s="1">
        <f t="shared" si="3"/>
        <v>210.75205627481458</v>
      </c>
      <c r="S38" s="5">
        <f t="shared" si="4"/>
        <v>0.27777340210472712</v>
      </c>
      <c r="T38" s="5">
        <f t="shared" si="5"/>
        <v>0.23416895141646063</v>
      </c>
    </row>
    <row r="39" spans="1:20">
      <c r="A39" s="1">
        <v>38</v>
      </c>
      <c r="B39" s="2">
        <f>DATE(Sintesi!$C$4-1,12,31)+A39</f>
        <v>44234</v>
      </c>
      <c r="C39" s="1">
        <f>'Paste cell here'!T39</f>
        <v>5.1045981647010192</v>
      </c>
      <c r="D39" s="1">
        <f>'Paste cell here'!AC39</f>
        <v>0</v>
      </c>
      <c r="E39" s="1">
        <f>'Paste cell here'!Y39</f>
        <v>0</v>
      </c>
      <c r="F39" s="1">
        <f>'Paste cell here'!AD39</f>
        <v>0.52521829653571128</v>
      </c>
      <c r="G39" s="1">
        <f>'Paste cell here'!W39</f>
        <v>0</v>
      </c>
      <c r="H39" s="1">
        <f>'Paste cell here'!AE39</f>
        <v>254.57544176241967</v>
      </c>
      <c r="I39" s="1">
        <f>'Paste cell here'!AF39</f>
        <v>249.99606189425441</v>
      </c>
      <c r="J39" s="1">
        <f t="shared" si="0"/>
        <v>5.6843418860808015E-14</v>
      </c>
      <c r="K39" s="1" t="str">
        <f>IF('(OLD) Bilancio primo strato'!D39&gt;0,1,"")</f>
        <v/>
      </c>
      <c r="L39" s="7">
        <f>Sintesi!$C$34</f>
        <v>0.128</v>
      </c>
      <c r="M39" s="7">
        <f>Sintesi!$C$33</f>
        <v>0.25700000000000001</v>
      </c>
      <c r="N39" s="1">
        <f>'Paste cell here'!AA39</f>
        <v>0.9</v>
      </c>
      <c r="O39" s="1">
        <f>'Paste cell here'!H39</f>
        <v>0.17605680746492836</v>
      </c>
      <c r="P39" s="1">
        <f t="shared" si="1"/>
        <v>116.10000000000001</v>
      </c>
      <c r="Q39" s="1">
        <f t="shared" si="2"/>
        <v>20.440195346678184</v>
      </c>
      <c r="R39" s="1">
        <f t="shared" si="3"/>
        <v>210.85980465332182</v>
      </c>
      <c r="S39" s="5">
        <f t="shared" si="4"/>
        <v>0.28286160195824406</v>
      </c>
      <c r="T39" s="5">
        <f t="shared" si="5"/>
        <v>0.23428867183702423</v>
      </c>
    </row>
    <row r="40" spans="1:20">
      <c r="A40" s="1">
        <v>39</v>
      </c>
      <c r="B40" s="2">
        <f>DATE(Sintesi!$C$4-1,12,31)+A40</f>
        <v>44235</v>
      </c>
      <c r="C40" s="1">
        <f>'Paste cell here'!T40</f>
        <v>4.9281852686485461</v>
      </c>
      <c r="D40" s="1">
        <f>'Paste cell here'!AC40</f>
        <v>0</v>
      </c>
      <c r="E40" s="1">
        <f>'Paste cell here'!Y40</f>
        <v>0</v>
      </c>
      <c r="F40" s="1">
        <f>'Paste cell here'!AD40</f>
        <v>0.71056168777704665</v>
      </c>
      <c r="G40" s="1">
        <f>'Paste cell here'!W40</f>
        <v>0</v>
      </c>
      <c r="H40" s="1">
        <f>'Paste cell here'!AE40</f>
        <v>258.79306534329112</v>
      </c>
      <c r="I40" s="1">
        <f>'Paste cell here'!AF40</f>
        <v>254.57544176241964</v>
      </c>
      <c r="J40" s="1">
        <f t="shared" si="0"/>
        <v>0</v>
      </c>
      <c r="K40" s="1" t="str">
        <f>IF('(OLD) Bilancio primo strato'!D40&gt;0,1,"")</f>
        <v/>
      </c>
      <c r="L40" s="7">
        <f>Sintesi!$C$34</f>
        <v>0.128</v>
      </c>
      <c r="M40" s="7">
        <f>Sintesi!$C$33</f>
        <v>0.25700000000000001</v>
      </c>
      <c r="N40" s="1">
        <f>'Paste cell here'!AA40</f>
        <v>0.9</v>
      </c>
      <c r="O40" s="1">
        <f>'Paste cell here'!H40</f>
        <v>0.18010727574154523</v>
      </c>
      <c r="P40" s="1">
        <f t="shared" si="1"/>
        <v>116.10000000000001</v>
      </c>
      <c r="Q40" s="1">
        <f t="shared" si="2"/>
        <v>20.910454713593403</v>
      </c>
      <c r="R40" s="1">
        <f t="shared" si="3"/>
        <v>210.38954528640662</v>
      </c>
      <c r="S40" s="5">
        <f t="shared" si="4"/>
        <v>0.2875478503814346</v>
      </c>
      <c r="T40" s="5">
        <f t="shared" si="5"/>
        <v>0.23376616142934067</v>
      </c>
    </row>
    <row r="41" spans="1:20">
      <c r="A41" s="1">
        <v>40</v>
      </c>
      <c r="B41" s="2">
        <f>DATE(Sintesi!$C$4-1,12,31)+A41</f>
        <v>44236</v>
      </c>
      <c r="C41" s="1">
        <f>'Paste cell here'!T41</f>
        <v>2.3885125499330684</v>
      </c>
      <c r="D41" s="1">
        <f>'Paste cell here'!AC41</f>
        <v>0</v>
      </c>
      <c r="E41" s="1">
        <f>'Paste cell here'!Y41</f>
        <v>0</v>
      </c>
      <c r="F41" s="1">
        <f>'Paste cell here'!AD41</f>
        <v>0.80181961024499404</v>
      </c>
      <c r="G41" s="1">
        <f>'Paste cell here'!W41</f>
        <v>0</v>
      </c>
      <c r="H41" s="1">
        <f>'Paste cell here'!AE41</f>
        <v>260.37975828297925</v>
      </c>
      <c r="I41" s="1">
        <f>'Paste cell here'!AF41</f>
        <v>258.79306534329118</v>
      </c>
      <c r="J41" s="1">
        <f t="shared" si="0"/>
        <v>0</v>
      </c>
      <c r="K41" s="1" t="str">
        <f>IF('(OLD) Bilancio primo strato'!D41&gt;0,1,"")</f>
        <v/>
      </c>
      <c r="L41" s="7">
        <f>Sintesi!$C$34</f>
        <v>0.128</v>
      </c>
      <c r="M41" s="7">
        <f>Sintesi!$C$33</f>
        <v>0.25700000000000001</v>
      </c>
      <c r="N41" s="1">
        <f>'Paste cell here'!AA41</f>
        <v>0.9</v>
      </c>
      <c r="O41" s="1">
        <f>'Paste cell here'!H41</f>
        <v>0.14905712677061664</v>
      </c>
      <c r="P41" s="1">
        <f t="shared" si="1"/>
        <v>116.10000000000001</v>
      </c>
      <c r="Q41" s="1">
        <f t="shared" si="2"/>
        <v>17.305532418068594</v>
      </c>
      <c r="R41" s="1">
        <f t="shared" si="3"/>
        <v>213.99446758193142</v>
      </c>
      <c r="S41" s="5">
        <f t="shared" si="4"/>
        <v>0.28931084253664363</v>
      </c>
      <c r="T41" s="5">
        <f t="shared" si="5"/>
        <v>0.23777163064659046</v>
      </c>
    </row>
    <row r="42" spans="1:20">
      <c r="A42" s="1">
        <v>41</v>
      </c>
      <c r="B42" s="2">
        <f>DATE(Sintesi!$C$4-1,12,31)+A42</f>
        <v>44237</v>
      </c>
      <c r="C42" s="1">
        <f>'Paste cell here'!T42</f>
        <v>5.2805694510399741</v>
      </c>
      <c r="D42" s="1">
        <f>'Paste cell here'!AC42</f>
        <v>0</v>
      </c>
      <c r="E42" s="1">
        <f>'Paste cell here'!Y42</f>
        <v>0</v>
      </c>
      <c r="F42" s="1">
        <f>'Paste cell here'!AD42</f>
        <v>0.90606014922904177</v>
      </c>
      <c r="G42" s="1">
        <f>'Paste cell here'!W42</f>
        <v>0</v>
      </c>
      <c r="H42" s="1">
        <f>'Paste cell here'!AE42</f>
        <v>264.75426758479023</v>
      </c>
      <c r="I42" s="1">
        <f>'Paste cell here'!AF42</f>
        <v>260.37975828297925</v>
      </c>
      <c r="J42" s="1">
        <f t="shared" si="0"/>
        <v>5.6843418860808015E-14</v>
      </c>
      <c r="K42" s="1" t="str">
        <f>IF('(OLD) Bilancio primo strato'!D42&gt;0,1,"")</f>
        <v/>
      </c>
      <c r="L42" s="7">
        <f>Sintesi!$C$34</f>
        <v>0.128</v>
      </c>
      <c r="M42" s="7">
        <f>Sintesi!$C$33</f>
        <v>0.25700000000000001</v>
      </c>
      <c r="N42" s="1">
        <f>'Paste cell here'!AA42</f>
        <v>0.9</v>
      </c>
      <c r="O42" s="1">
        <f>'Paste cell here'!H42</f>
        <v>0.16776642975749451</v>
      </c>
      <c r="P42" s="1">
        <f t="shared" si="1"/>
        <v>116.10000000000001</v>
      </c>
      <c r="Q42" s="1">
        <f t="shared" si="2"/>
        <v>19.477682494845112</v>
      </c>
      <c r="R42" s="1">
        <f t="shared" si="3"/>
        <v>211.8223175051549</v>
      </c>
      <c r="S42" s="5">
        <f t="shared" si="4"/>
        <v>0.29417140842754469</v>
      </c>
      <c r="T42" s="5">
        <f t="shared" si="5"/>
        <v>0.23535813056128321</v>
      </c>
    </row>
    <row r="43" spans="1:20">
      <c r="A43" s="1">
        <v>42</v>
      </c>
      <c r="B43" s="2">
        <f>DATE(Sintesi!$C$4-1,12,31)+A43</f>
        <v>44238</v>
      </c>
      <c r="C43" s="1">
        <f>'Paste cell here'!T43</f>
        <v>3.4936192727024875</v>
      </c>
      <c r="D43" s="1">
        <f>'Paste cell here'!AC43</f>
        <v>0</v>
      </c>
      <c r="E43" s="1">
        <f>'Paste cell here'!Y43</f>
        <v>0</v>
      </c>
      <c r="F43" s="1">
        <f>'Paste cell here'!AD43</f>
        <v>1.1216574983005785</v>
      </c>
      <c r="G43" s="1">
        <f>'Paste cell here'!W43</f>
        <v>0</v>
      </c>
      <c r="H43" s="1">
        <f>'Paste cell here'!AE43</f>
        <v>267.12622935919211</v>
      </c>
      <c r="I43" s="1">
        <f>'Paste cell here'!AF43</f>
        <v>264.75426758479023</v>
      </c>
      <c r="J43" s="1">
        <f t="shared" si="0"/>
        <v>0</v>
      </c>
      <c r="K43" s="1" t="str">
        <f>IF('(OLD) Bilancio primo strato'!D43&gt;0,1,"")</f>
        <v/>
      </c>
      <c r="L43" s="7">
        <f>Sintesi!$C$34</f>
        <v>0.128</v>
      </c>
      <c r="M43" s="7">
        <f>Sintesi!$C$33</f>
        <v>0.25700000000000001</v>
      </c>
      <c r="N43" s="1">
        <f>'Paste cell here'!AA43</f>
        <v>0.9</v>
      </c>
      <c r="O43" s="1">
        <f>'Paste cell here'!H43</f>
        <v>0.17671107609186629</v>
      </c>
      <c r="P43" s="1">
        <f t="shared" si="1"/>
        <v>116.10000000000001</v>
      </c>
      <c r="Q43" s="1">
        <f t="shared" si="2"/>
        <v>20.516155934265676</v>
      </c>
      <c r="R43" s="1">
        <f t="shared" si="3"/>
        <v>210.78384406573434</v>
      </c>
      <c r="S43" s="5">
        <f t="shared" si="4"/>
        <v>0.29680692151021343</v>
      </c>
      <c r="T43" s="5">
        <f t="shared" si="5"/>
        <v>0.23420427118414927</v>
      </c>
    </row>
    <row r="44" spans="1:20">
      <c r="A44" s="1">
        <v>43</v>
      </c>
      <c r="B44" s="2">
        <f>DATE(Sintesi!$C$4-1,12,31)+A44</f>
        <v>44239</v>
      </c>
      <c r="C44" s="1">
        <f>'Paste cell here'!T44</f>
        <v>1.0256487447430889</v>
      </c>
      <c r="D44" s="1">
        <f>'Paste cell here'!AC44</f>
        <v>0</v>
      </c>
      <c r="E44" s="1">
        <f>'Paste cell here'!Y44</f>
        <v>0</v>
      </c>
      <c r="F44" s="1">
        <f>'Paste cell here'!AD44</f>
        <v>1.1607711685760442</v>
      </c>
      <c r="G44" s="1">
        <f>'Paste cell here'!W44</f>
        <v>0</v>
      </c>
      <c r="H44" s="1">
        <f>'Paste cell here'!AE44</f>
        <v>266.99110693535914</v>
      </c>
      <c r="I44" s="1">
        <f>'Paste cell here'!AF44</f>
        <v>267.12622935919211</v>
      </c>
      <c r="J44" s="1">
        <f t="shared" si="0"/>
        <v>0</v>
      </c>
      <c r="K44" s="1" t="str">
        <f>IF('(OLD) Bilancio primo strato'!D44&gt;0,1,"")</f>
        <v/>
      </c>
      <c r="L44" s="7">
        <f>Sintesi!$C$34</f>
        <v>0.128</v>
      </c>
      <c r="M44" s="7">
        <f>Sintesi!$C$33</f>
        <v>0.25700000000000001</v>
      </c>
      <c r="N44" s="1">
        <f>'Paste cell here'!AA44</f>
        <v>0.9</v>
      </c>
      <c r="O44" s="1">
        <f>'Paste cell here'!H44</f>
        <v>0.15239475304306443</v>
      </c>
      <c r="P44" s="1">
        <f t="shared" si="1"/>
        <v>116.10000000000001</v>
      </c>
      <c r="Q44" s="1">
        <f t="shared" si="2"/>
        <v>17.693030828299783</v>
      </c>
      <c r="R44" s="1">
        <f t="shared" si="3"/>
        <v>213.60696917170023</v>
      </c>
      <c r="S44" s="5">
        <f t="shared" si="4"/>
        <v>0.29665678548373237</v>
      </c>
      <c r="T44" s="5">
        <f t="shared" si="5"/>
        <v>0.23734107685744471</v>
      </c>
    </row>
    <row r="45" spans="1:20">
      <c r="A45" s="1">
        <v>44</v>
      </c>
      <c r="B45" s="2">
        <f>DATE(Sintesi!$C$4-1,12,31)+A45</f>
        <v>44240</v>
      </c>
      <c r="C45" s="1">
        <f>'Paste cell here'!T45</f>
        <v>0.45885477902526112</v>
      </c>
      <c r="D45" s="1">
        <f>'Paste cell here'!AC45</f>
        <v>0</v>
      </c>
      <c r="E45" s="1">
        <f>'Paste cell here'!Y45</f>
        <v>0</v>
      </c>
      <c r="F45" s="1">
        <f>'Paste cell here'!AD45</f>
        <v>1.1348785501586118</v>
      </c>
      <c r="G45" s="1">
        <f>'Paste cell here'!W45</f>
        <v>0</v>
      </c>
      <c r="H45" s="1">
        <f>'Paste cell here'!AE45</f>
        <v>266.31508316422594</v>
      </c>
      <c r="I45" s="1">
        <f>'Paste cell here'!AF45</f>
        <v>266.99110693535914</v>
      </c>
      <c r="J45" s="1">
        <f t="shared" si="0"/>
        <v>1.1368683772161603E-13</v>
      </c>
      <c r="K45" s="1" t="str">
        <f>IF('(OLD) Bilancio primo strato'!D45&gt;0,1,"")</f>
        <v/>
      </c>
      <c r="L45" s="7">
        <f>Sintesi!$C$34</f>
        <v>0.128</v>
      </c>
      <c r="M45" s="7">
        <f>Sintesi!$C$33</f>
        <v>0.25700000000000001</v>
      </c>
      <c r="N45" s="1">
        <f>'Paste cell here'!AA45</f>
        <v>0.9</v>
      </c>
      <c r="O45" s="1">
        <f>'Paste cell here'!H45</f>
        <v>0.15086261172693902</v>
      </c>
      <c r="P45" s="1">
        <f t="shared" si="1"/>
        <v>116.10000000000001</v>
      </c>
      <c r="Q45" s="1">
        <f t="shared" si="2"/>
        <v>17.515149221497619</v>
      </c>
      <c r="R45" s="1">
        <f t="shared" si="3"/>
        <v>213.7848507785024</v>
      </c>
      <c r="S45" s="5">
        <f t="shared" si="4"/>
        <v>0.29590564796025104</v>
      </c>
      <c r="T45" s="5">
        <f t="shared" si="5"/>
        <v>0.2375387230872249</v>
      </c>
    </row>
    <row r="46" spans="1:20">
      <c r="A46" s="1">
        <v>45</v>
      </c>
      <c r="B46" s="2">
        <f>DATE(Sintesi!$C$4-1,12,31)+A46</f>
        <v>44241</v>
      </c>
      <c r="C46" s="1">
        <f>'Paste cell here'!T46</f>
        <v>0.23848060513870098</v>
      </c>
      <c r="D46" s="1">
        <f>'Paste cell here'!AC46</f>
        <v>0</v>
      </c>
      <c r="E46" s="1">
        <f>'Paste cell here'!Y46</f>
        <v>0</v>
      </c>
      <c r="F46" s="1">
        <f>'Paste cell here'!AD46</f>
        <v>1.0926167249831205</v>
      </c>
      <c r="G46" s="1">
        <f>'Paste cell here'!W46</f>
        <v>0</v>
      </c>
      <c r="H46" s="1">
        <f>'Paste cell here'!AE46</f>
        <v>265.46094704438138</v>
      </c>
      <c r="I46" s="1">
        <f>'Paste cell here'!AF46</f>
        <v>266.31508316422594</v>
      </c>
      <c r="J46" s="1">
        <f t="shared" si="0"/>
        <v>1.1368683772161603E-13</v>
      </c>
      <c r="K46" s="1" t="str">
        <f>IF('(OLD) Bilancio primo strato'!D46&gt;0,1,"")</f>
        <v/>
      </c>
      <c r="L46" s="7">
        <f>Sintesi!$C$34</f>
        <v>0.128</v>
      </c>
      <c r="M46" s="7">
        <f>Sintesi!$C$33</f>
        <v>0.25700000000000001</v>
      </c>
      <c r="N46" s="1">
        <f>'Paste cell here'!AA46</f>
        <v>0.9</v>
      </c>
      <c r="O46" s="1">
        <f>'Paste cell here'!H46</f>
        <v>0.1584977385260927</v>
      </c>
      <c r="P46" s="1">
        <f t="shared" si="1"/>
        <v>116.10000000000001</v>
      </c>
      <c r="Q46" s="1">
        <f t="shared" si="2"/>
        <v>18.401587442879364</v>
      </c>
      <c r="R46" s="1">
        <f t="shared" si="3"/>
        <v>212.89841255712065</v>
      </c>
      <c r="S46" s="5">
        <f t="shared" si="4"/>
        <v>0.29495660782709043</v>
      </c>
      <c r="T46" s="5">
        <f t="shared" si="5"/>
        <v>0.23655379173013405</v>
      </c>
    </row>
    <row r="47" spans="1:20">
      <c r="A47" s="1">
        <v>46</v>
      </c>
      <c r="B47" s="2">
        <f>DATE(Sintesi!$C$4-1,12,31)+A47</f>
        <v>44242</v>
      </c>
      <c r="C47" s="1">
        <f>'Paste cell here'!T47</f>
        <v>0.12746434274696025</v>
      </c>
      <c r="D47" s="1">
        <f>'Paste cell here'!AC47</f>
        <v>0</v>
      </c>
      <c r="E47" s="1">
        <f>'Paste cell here'!Y47</f>
        <v>0</v>
      </c>
      <c r="F47" s="1">
        <f>'Paste cell here'!AD47</f>
        <v>1.0458969263861408</v>
      </c>
      <c r="G47" s="1">
        <f>'Paste cell here'!W47</f>
        <v>0</v>
      </c>
      <c r="H47" s="1">
        <f>'Paste cell here'!AE47</f>
        <v>264.54251446074232</v>
      </c>
      <c r="I47" s="1">
        <f>'Paste cell here'!AF47</f>
        <v>265.46094704438138</v>
      </c>
      <c r="J47" s="1">
        <f t="shared" si="0"/>
        <v>1.1368683772161603E-13</v>
      </c>
      <c r="K47" s="1" t="str">
        <f>IF('(OLD) Bilancio primo strato'!D47&gt;0,1,"")</f>
        <v/>
      </c>
      <c r="L47" s="7">
        <f>Sintesi!$C$34</f>
        <v>0.128</v>
      </c>
      <c r="M47" s="7">
        <f>Sintesi!$C$33</f>
        <v>0.25700000000000001</v>
      </c>
      <c r="N47" s="1">
        <f>'Paste cell here'!AA47</f>
        <v>0.9</v>
      </c>
      <c r="O47" s="1">
        <f>'Paste cell here'!H47</f>
        <v>0.15633075976050009</v>
      </c>
      <c r="P47" s="1">
        <f t="shared" si="1"/>
        <v>116.10000000000001</v>
      </c>
      <c r="Q47" s="1">
        <f t="shared" si="2"/>
        <v>18.150001208194062</v>
      </c>
      <c r="R47" s="1">
        <f t="shared" si="3"/>
        <v>213.14999879180596</v>
      </c>
      <c r="S47" s="5">
        <f t="shared" si="4"/>
        <v>0.29393612717860257</v>
      </c>
      <c r="T47" s="5">
        <f t="shared" si="5"/>
        <v>0.23683333199089551</v>
      </c>
    </row>
    <row r="48" spans="1:20">
      <c r="A48" s="1">
        <v>47</v>
      </c>
      <c r="B48" s="2">
        <f>DATE(Sintesi!$C$4-1,12,31)+A48</f>
        <v>44243</v>
      </c>
      <c r="C48" s="1">
        <f>'Paste cell here'!T48</f>
        <v>6.8093378257767387E-2</v>
      </c>
      <c r="D48" s="1">
        <f>'Paste cell here'!AC48</f>
        <v>0</v>
      </c>
      <c r="E48" s="1">
        <f>'Paste cell here'!Y48</f>
        <v>0</v>
      </c>
      <c r="F48" s="1">
        <f>'Paste cell here'!AD48</f>
        <v>0.99928519871781818</v>
      </c>
      <c r="G48" s="1">
        <f>'Paste cell here'!W48</f>
        <v>0</v>
      </c>
      <c r="H48" s="1">
        <f>'Paste cell here'!AE48</f>
        <v>263.61132264028231</v>
      </c>
      <c r="I48" s="1">
        <f>'Paste cell here'!AF48</f>
        <v>264.54251446074232</v>
      </c>
      <c r="J48" s="1">
        <f t="shared" si="0"/>
        <v>5.6843418860808015E-14</v>
      </c>
      <c r="K48" s="1" t="str">
        <f>IF('(OLD) Bilancio primo strato'!D48&gt;0,1,"")</f>
        <v/>
      </c>
      <c r="L48" s="7">
        <f>Sintesi!$C$34</f>
        <v>0.128</v>
      </c>
      <c r="M48" s="7">
        <f>Sintesi!$C$33</f>
        <v>0.25700000000000001</v>
      </c>
      <c r="N48" s="1">
        <f>'Paste cell here'!AA48</f>
        <v>0.9</v>
      </c>
      <c r="O48" s="1">
        <f>'Paste cell here'!H48</f>
        <v>0.15807123175989457</v>
      </c>
      <c r="P48" s="1">
        <f t="shared" si="1"/>
        <v>116.10000000000001</v>
      </c>
      <c r="Q48" s="1">
        <f t="shared" si="2"/>
        <v>18.352070007323761</v>
      </c>
      <c r="R48" s="1">
        <f t="shared" si="3"/>
        <v>212.94792999267625</v>
      </c>
      <c r="S48" s="5">
        <f t="shared" si="4"/>
        <v>0.29290146960031366</v>
      </c>
      <c r="T48" s="5">
        <f t="shared" si="5"/>
        <v>0.2366088111029736</v>
      </c>
    </row>
    <row r="49" spans="1:20">
      <c r="A49" s="1">
        <v>48</v>
      </c>
      <c r="B49" s="2">
        <f>DATE(Sintesi!$C$4-1,12,31)+A49</f>
        <v>44244</v>
      </c>
      <c r="C49" s="1">
        <f>'Paste cell here'!T49</f>
        <v>3.6805580218422639E-2</v>
      </c>
      <c r="D49" s="1">
        <f>'Paste cell here'!AC49</f>
        <v>0</v>
      </c>
      <c r="E49" s="1">
        <f>'Paste cell here'!Y49</f>
        <v>0</v>
      </c>
      <c r="F49" s="1">
        <f>'Paste cell here'!AD49</f>
        <v>0.95459901733665853</v>
      </c>
      <c r="G49" s="1">
        <f>'Paste cell here'!W49</f>
        <v>0</v>
      </c>
      <c r="H49" s="1">
        <f>'Paste cell here'!AE49</f>
        <v>262.69352920316413</v>
      </c>
      <c r="I49" s="1">
        <f>'Paste cell here'!AF49</f>
        <v>263.61132264028231</v>
      </c>
      <c r="J49" s="1">
        <f t="shared" si="0"/>
        <v>5.6843418860808015E-14</v>
      </c>
      <c r="K49" s="1" t="str">
        <f>IF('(OLD) Bilancio primo strato'!D49&gt;0,1,"")</f>
        <v/>
      </c>
      <c r="L49" s="7">
        <f>Sintesi!$C$34</f>
        <v>0.128</v>
      </c>
      <c r="M49" s="7">
        <f>Sintesi!$C$33</f>
        <v>0.25700000000000001</v>
      </c>
      <c r="N49" s="1">
        <f>'Paste cell here'!AA49</f>
        <v>0.9</v>
      </c>
      <c r="O49" s="1">
        <f>'Paste cell here'!H49</f>
        <v>0.15488143196352719</v>
      </c>
      <c r="P49" s="1">
        <f t="shared" si="1"/>
        <v>116.10000000000001</v>
      </c>
      <c r="Q49" s="1">
        <f t="shared" si="2"/>
        <v>17.981734250965509</v>
      </c>
      <c r="R49" s="1">
        <f t="shared" si="3"/>
        <v>213.31826574903451</v>
      </c>
      <c r="S49" s="5">
        <f t="shared" si="4"/>
        <v>0.2918816991146268</v>
      </c>
      <c r="T49" s="5">
        <f t="shared" si="5"/>
        <v>0.23702029527670501</v>
      </c>
    </row>
    <row r="50" spans="1:20">
      <c r="A50" s="1">
        <v>49</v>
      </c>
      <c r="B50" s="2">
        <f>DATE(Sintesi!$C$4-1,12,31)+A50</f>
        <v>44245</v>
      </c>
      <c r="C50" s="1">
        <f>'Paste cell here'!T50</f>
        <v>2.3939137190709146E-2</v>
      </c>
      <c r="D50" s="1">
        <f>'Paste cell here'!AC50</f>
        <v>0</v>
      </c>
      <c r="E50" s="1">
        <f>'Paste cell here'!Y50</f>
        <v>0</v>
      </c>
      <c r="F50" s="1">
        <f>'Paste cell here'!AD50</f>
        <v>0.9127083130930097</v>
      </c>
      <c r="G50" s="1">
        <f>'Paste cell here'!W50</f>
        <v>0</v>
      </c>
      <c r="H50" s="1">
        <f>'Paste cell here'!AE50</f>
        <v>261.80476002726186</v>
      </c>
      <c r="I50" s="1">
        <f>'Paste cell here'!AF50</f>
        <v>262.69352920316413</v>
      </c>
      <c r="J50" s="1">
        <f t="shared" si="0"/>
        <v>0</v>
      </c>
      <c r="K50" s="1" t="str">
        <f>IF('(OLD) Bilancio primo strato'!D50&gt;0,1,"")</f>
        <v/>
      </c>
      <c r="L50" s="7">
        <f>Sintesi!$C$34</f>
        <v>0.128</v>
      </c>
      <c r="M50" s="7">
        <f>Sintesi!$C$33</f>
        <v>0.25700000000000001</v>
      </c>
      <c r="N50" s="1">
        <f>'Paste cell here'!AA50</f>
        <v>0.9</v>
      </c>
      <c r="O50" s="1">
        <f>'Paste cell here'!H50</f>
        <v>0.14828360391213694</v>
      </c>
      <c r="P50" s="1">
        <f t="shared" si="1"/>
        <v>116.10000000000001</v>
      </c>
      <c r="Q50" s="1">
        <f t="shared" si="2"/>
        <v>17.2157264141991</v>
      </c>
      <c r="R50" s="1">
        <f t="shared" si="3"/>
        <v>214.0842735858009</v>
      </c>
      <c r="S50" s="5">
        <f t="shared" si="4"/>
        <v>0.29089417780806875</v>
      </c>
      <c r="T50" s="5">
        <f t="shared" si="5"/>
        <v>0.23787141509533433</v>
      </c>
    </row>
    <row r="51" spans="1:20">
      <c r="A51" s="1">
        <v>50</v>
      </c>
      <c r="B51" s="2">
        <f>DATE(Sintesi!$C$4-1,12,31)+A51</f>
        <v>44246</v>
      </c>
      <c r="C51" s="1">
        <f>'Paste cell here'!T51</f>
        <v>1.9871493299891723E-2</v>
      </c>
      <c r="D51" s="1">
        <f>'Paste cell here'!AC51</f>
        <v>0</v>
      </c>
      <c r="E51" s="1">
        <f>'Paste cell here'!Y51</f>
        <v>0</v>
      </c>
      <c r="F51" s="1">
        <f>'Paste cell here'!AD51</f>
        <v>0.87390447935039262</v>
      </c>
      <c r="G51" s="1">
        <f>'Paste cell here'!W51</f>
        <v>0</v>
      </c>
      <c r="H51" s="1">
        <f>'Paste cell here'!AE51</f>
        <v>260.95072704121145</v>
      </c>
      <c r="I51" s="1">
        <f>'Paste cell here'!AF51</f>
        <v>261.80476002726186</v>
      </c>
      <c r="J51" s="1">
        <f t="shared" si="0"/>
        <v>1.1368683772161603E-13</v>
      </c>
      <c r="K51" s="1" t="str">
        <f>IF('(OLD) Bilancio primo strato'!D51&gt;0,1,"")</f>
        <v/>
      </c>
      <c r="L51" s="7">
        <f>Sintesi!$C$34</f>
        <v>0.128</v>
      </c>
      <c r="M51" s="7">
        <f>Sintesi!$C$33</f>
        <v>0.25700000000000001</v>
      </c>
      <c r="N51" s="1">
        <f>'Paste cell here'!AA51</f>
        <v>0.9</v>
      </c>
      <c r="O51" s="1">
        <f>'Paste cell here'!H51</f>
        <v>0.15764055263380888</v>
      </c>
      <c r="P51" s="1">
        <f t="shared" si="1"/>
        <v>116.10000000000001</v>
      </c>
      <c r="Q51" s="1">
        <f t="shared" si="2"/>
        <v>18.302068160785211</v>
      </c>
      <c r="R51" s="1">
        <f t="shared" si="3"/>
        <v>212.9979318392148</v>
      </c>
      <c r="S51" s="5">
        <f t="shared" si="4"/>
        <v>0.28994525226801271</v>
      </c>
      <c r="T51" s="5">
        <f t="shared" si="5"/>
        <v>0.23666436871023866</v>
      </c>
    </row>
    <row r="52" spans="1:20">
      <c r="A52" s="1">
        <v>51</v>
      </c>
      <c r="B52" s="2">
        <f>DATE(Sintesi!$C$4-1,12,31)+A52</f>
        <v>44247</v>
      </c>
      <c r="C52" s="1">
        <f>'Paste cell here'!T52</f>
        <v>1.447396610482999E-2</v>
      </c>
      <c r="D52" s="1">
        <f>'Paste cell here'!AC52</f>
        <v>0</v>
      </c>
      <c r="E52" s="1">
        <f>'Paste cell here'!Y52</f>
        <v>0</v>
      </c>
      <c r="F52" s="1">
        <f>'Paste cell here'!AD52</f>
        <v>0.83800041665379055</v>
      </c>
      <c r="G52" s="1">
        <f>'Paste cell here'!W52</f>
        <v>0</v>
      </c>
      <c r="H52" s="1">
        <f>'Paste cell here'!AE52</f>
        <v>260.12720059066237</v>
      </c>
      <c r="I52" s="1">
        <f>'Paste cell here'!AF52</f>
        <v>260.95072704121145</v>
      </c>
      <c r="J52" s="1">
        <f t="shared" si="0"/>
        <v>1.1368683772161603E-13</v>
      </c>
      <c r="K52" s="1" t="str">
        <f>IF('(OLD) Bilancio primo strato'!D52&gt;0,1,"")</f>
        <v/>
      </c>
      <c r="L52" s="7">
        <f>Sintesi!$C$34</f>
        <v>0.128</v>
      </c>
      <c r="M52" s="7">
        <f>Sintesi!$C$33</f>
        <v>0.25700000000000001</v>
      </c>
      <c r="N52" s="1">
        <f>'Paste cell here'!AA52</f>
        <v>0.9</v>
      </c>
      <c r="O52" s="1">
        <f>'Paste cell here'!H52</f>
        <v>0.16909375370134222</v>
      </c>
      <c r="P52" s="1">
        <f t="shared" si="1"/>
        <v>116.10000000000001</v>
      </c>
      <c r="Q52" s="1">
        <f t="shared" si="2"/>
        <v>19.631784804725832</v>
      </c>
      <c r="R52" s="1">
        <f t="shared" si="3"/>
        <v>211.66821519527417</v>
      </c>
      <c r="S52" s="5">
        <f t="shared" si="4"/>
        <v>0.28903022287851377</v>
      </c>
      <c r="T52" s="5">
        <f t="shared" si="5"/>
        <v>0.23518690577252685</v>
      </c>
    </row>
    <row r="53" spans="1:20">
      <c r="A53" s="1">
        <v>52</v>
      </c>
      <c r="B53" s="2">
        <f>DATE(Sintesi!$C$4-1,12,31)+A53</f>
        <v>44248</v>
      </c>
      <c r="C53" s="1">
        <f>'Paste cell here'!T53</f>
        <v>7.0657822282763636E-3</v>
      </c>
      <c r="D53" s="1">
        <f>'Paste cell here'!AC53</f>
        <v>0</v>
      </c>
      <c r="E53" s="1">
        <f>'Paste cell here'!Y53</f>
        <v>0</v>
      </c>
      <c r="F53" s="1">
        <f>'Paste cell here'!AD53</f>
        <v>0.80453799635620671</v>
      </c>
      <c r="G53" s="1">
        <f>'Paste cell here'!W53</f>
        <v>0</v>
      </c>
      <c r="H53" s="1">
        <f>'Paste cell here'!AE53</f>
        <v>259.32972837653455</v>
      </c>
      <c r="I53" s="1">
        <f>'Paste cell here'!AF53</f>
        <v>260.12720059066243</v>
      </c>
      <c r="J53" s="1">
        <f t="shared" si="0"/>
        <v>5.6843418860808015E-14</v>
      </c>
      <c r="K53" s="1" t="str">
        <f>IF('(OLD) Bilancio primo strato'!D53&gt;0,1,"")</f>
        <v/>
      </c>
      <c r="L53" s="7">
        <f>Sintesi!$C$34</f>
        <v>0.128</v>
      </c>
      <c r="M53" s="7">
        <f>Sintesi!$C$33</f>
        <v>0.25700000000000001</v>
      </c>
      <c r="N53" s="1">
        <f>'Paste cell here'!AA53</f>
        <v>0.9</v>
      </c>
      <c r="O53" s="1">
        <f>'Paste cell here'!H53</f>
        <v>0.16392274676718066</v>
      </c>
      <c r="P53" s="1">
        <f t="shared" si="1"/>
        <v>116.10000000000001</v>
      </c>
      <c r="Q53" s="1">
        <f t="shared" si="2"/>
        <v>19.031430899669676</v>
      </c>
      <c r="R53" s="1">
        <f t="shared" si="3"/>
        <v>212.26856910033032</v>
      </c>
      <c r="S53" s="5">
        <f t="shared" si="4"/>
        <v>0.28814414264059396</v>
      </c>
      <c r="T53" s="5">
        <f t="shared" si="5"/>
        <v>0.2358539656670337</v>
      </c>
    </row>
    <row r="54" spans="1:20">
      <c r="A54" s="1">
        <v>53</v>
      </c>
      <c r="B54" s="2">
        <f>DATE(Sintesi!$C$4-1,12,31)+A54</f>
        <v>44249</v>
      </c>
      <c r="C54" s="1">
        <f>'Paste cell here'!T54</f>
        <v>2.7578296563447111E-3</v>
      </c>
      <c r="D54" s="1">
        <f>'Paste cell here'!AC54</f>
        <v>0</v>
      </c>
      <c r="E54" s="1">
        <f>'Paste cell here'!Y54</f>
        <v>0</v>
      </c>
      <c r="F54" s="1">
        <f>'Paste cell here'!AD54</f>
        <v>0.77330532427672993</v>
      </c>
      <c r="G54" s="1">
        <f>'Paste cell here'!W54</f>
        <v>0</v>
      </c>
      <c r="H54" s="1">
        <f>'Paste cell here'!AE54</f>
        <v>258.55918088191407</v>
      </c>
      <c r="I54" s="1">
        <f>'Paste cell here'!AF54</f>
        <v>259.32972837653455</v>
      </c>
      <c r="J54" s="1">
        <f t="shared" si="0"/>
        <v>5.6843418860808015E-14</v>
      </c>
      <c r="K54" s="1" t="str">
        <f>IF('(OLD) Bilancio primo strato'!D54&gt;0,1,"")</f>
        <v/>
      </c>
      <c r="L54" s="7">
        <f>Sintesi!$C$34</f>
        <v>0.128</v>
      </c>
      <c r="M54" s="7">
        <f>Sintesi!$C$33</f>
        <v>0.25700000000000001</v>
      </c>
      <c r="N54" s="1">
        <f>'Paste cell here'!AA54</f>
        <v>0.9</v>
      </c>
      <c r="O54" s="1">
        <f>'Paste cell here'!H54</f>
        <v>0.14858801323227283</v>
      </c>
      <c r="P54" s="1">
        <f t="shared" si="1"/>
        <v>116.10000000000001</v>
      </c>
      <c r="Q54" s="1">
        <f t="shared" si="2"/>
        <v>17.251068336266876</v>
      </c>
      <c r="R54" s="1">
        <f t="shared" si="3"/>
        <v>214.04893166373313</v>
      </c>
      <c r="S54" s="5">
        <f t="shared" si="4"/>
        <v>0.28728797875768231</v>
      </c>
      <c r="T54" s="5">
        <f t="shared" si="5"/>
        <v>0.23783214629303681</v>
      </c>
    </row>
    <row r="55" spans="1:20">
      <c r="A55" s="1">
        <v>54</v>
      </c>
      <c r="B55" s="2">
        <f>DATE(Sintesi!$C$4-1,12,31)+A55</f>
        <v>44250</v>
      </c>
      <c r="C55" s="1">
        <f>'Paste cell here'!T55</f>
        <v>9.5828339287131218E-4</v>
      </c>
      <c r="D55" s="1">
        <f>'Paste cell here'!AC55</f>
        <v>0</v>
      </c>
      <c r="E55" s="1">
        <f>'Paste cell here'!Y55</f>
        <v>0</v>
      </c>
      <c r="F55" s="1">
        <f>'Paste cell here'!AD55</f>
        <v>0.74419720734329109</v>
      </c>
      <c r="G55" s="1">
        <f>'Paste cell here'!W55</f>
        <v>0</v>
      </c>
      <c r="H55" s="1">
        <f>'Paste cell here'!AE55</f>
        <v>257.81594195796373</v>
      </c>
      <c r="I55" s="1">
        <f>'Paste cell here'!AF55</f>
        <v>258.55918088191407</v>
      </c>
      <c r="J55" s="1">
        <f t="shared" si="0"/>
        <v>5.6843418860808015E-14</v>
      </c>
      <c r="K55" s="1" t="str">
        <f>IF('(OLD) Bilancio primo strato'!D55&gt;0,1,"")</f>
        <v/>
      </c>
      <c r="L55" s="7">
        <f>Sintesi!$C$34</f>
        <v>0.128</v>
      </c>
      <c r="M55" s="7">
        <f>Sintesi!$C$33</f>
        <v>0.25700000000000001</v>
      </c>
      <c r="N55" s="1">
        <f>'Paste cell here'!AA55</f>
        <v>0.9</v>
      </c>
      <c r="O55" s="1">
        <f>'Paste cell here'!H55</f>
        <v>0.15207947973719463</v>
      </c>
      <c r="P55" s="1">
        <f t="shared" si="1"/>
        <v>116.10000000000001</v>
      </c>
      <c r="Q55" s="1">
        <f t="shared" si="2"/>
        <v>17.656427597488296</v>
      </c>
      <c r="R55" s="1">
        <f t="shared" si="3"/>
        <v>213.64357240251172</v>
      </c>
      <c r="S55" s="5">
        <f t="shared" si="4"/>
        <v>0.28646215773107081</v>
      </c>
      <c r="T55" s="5">
        <f t="shared" si="5"/>
        <v>0.23738174711390192</v>
      </c>
    </row>
    <row r="56" spans="1:20">
      <c r="A56" s="1">
        <v>55</v>
      </c>
      <c r="B56" s="2">
        <f>DATE(Sintesi!$C$4-1,12,31)+A56</f>
        <v>44251</v>
      </c>
      <c r="C56" s="1">
        <f>'Paste cell here'!T56</f>
        <v>2.338767550735357E-4</v>
      </c>
      <c r="D56" s="1">
        <f>'Paste cell here'!AC56</f>
        <v>0</v>
      </c>
      <c r="E56" s="1">
        <f>'Paste cell here'!Y56</f>
        <v>0</v>
      </c>
      <c r="F56" s="1">
        <f>'Paste cell here'!AD56</f>
        <v>0.71705804155165442</v>
      </c>
      <c r="G56" s="1">
        <f>'Paste cell here'!W56</f>
        <v>0</v>
      </c>
      <c r="H56" s="1">
        <f>'Paste cell here'!AE56</f>
        <v>257.09911779316718</v>
      </c>
      <c r="I56" s="1">
        <f>'Paste cell here'!AF56</f>
        <v>257.81594195796373</v>
      </c>
      <c r="J56" s="1">
        <f t="shared" si="0"/>
        <v>0</v>
      </c>
      <c r="K56" s="1" t="str">
        <f>IF('(OLD) Bilancio primo strato'!D56&gt;0,1,"")</f>
        <v/>
      </c>
      <c r="L56" s="7">
        <f>Sintesi!$C$34</f>
        <v>0.128</v>
      </c>
      <c r="M56" s="7">
        <f>Sintesi!$C$33</f>
        <v>0.25700000000000001</v>
      </c>
      <c r="N56" s="1">
        <f>'Paste cell here'!AA56</f>
        <v>0.9</v>
      </c>
      <c r="O56" s="1">
        <f>'Paste cell here'!H56</f>
        <v>0.14248488682137134</v>
      </c>
      <c r="P56" s="1">
        <f t="shared" si="1"/>
        <v>116.10000000000001</v>
      </c>
      <c r="Q56" s="1">
        <f t="shared" si="2"/>
        <v>16.542495359961215</v>
      </c>
      <c r="R56" s="1">
        <f t="shared" si="3"/>
        <v>214.7575046400388</v>
      </c>
      <c r="S56" s="5">
        <f t="shared" si="4"/>
        <v>0.28566568643685242</v>
      </c>
      <c r="T56" s="5">
        <f t="shared" si="5"/>
        <v>0.23861944960004311</v>
      </c>
    </row>
    <row r="57" spans="1:20">
      <c r="A57" s="1">
        <v>56</v>
      </c>
      <c r="B57" s="2">
        <f>DATE(Sintesi!$C$4-1,12,31)+A57</f>
        <v>44252</v>
      </c>
      <c r="C57" s="1">
        <f>'Paste cell here'!T57</f>
        <v>4.187914133128583E-5</v>
      </c>
      <c r="D57" s="1">
        <f>'Paste cell here'!AC57</f>
        <v>0</v>
      </c>
      <c r="E57" s="1">
        <f>'Paste cell here'!Y57</f>
        <v>0</v>
      </c>
      <c r="F57" s="1">
        <f>'Paste cell here'!AD57</f>
        <v>0.69172280690680366</v>
      </c>
      <c r="G57" s="1">
        <f>'Paste cell here'!W57</f>
        <v>0</v>
      </c>
      <c r="H57" s="1">
        <f>'Paste cell here'!AE57</f>
        <v>256.40743686540185</v>
      </c>
      <c r="I57" s="1">
        <f>'Paste cell here'!AF57</f>
        <v>257.09911779316718</v>
      </c>
      <c r="J57" s="1">
        <f t="shared" si="0"/>
        <v>1.1368683772161603E-13</v>
      </c>
      <c r="K57" s="1" t="str">
        <f>IF('(OLD) Bilancio primo strato'!D57&gt;0,1,"")</f>
        <v/>
      </c>
      <c r="L57" s="7">
        <f>Sintesi!$C$34</f>
        <v>0.128</v>
      </c>
      <c r="M57" s="7">
        <f>Sintesi!$C$33</f>
        <v>0.25700000000000001</v>
      </c>
      <c r="N57" s="1">
        <f>'Paste cell here'!AA57</f>
        <v>0.9</v>
      </c>
      <c r="O57" s="1">
        <f>'Paste cell here'!H57</f>
        <v>0.12964371920282111</v>
      </c>
      <c r="P57" s="1">
        <f t="shared" si="1"/>
        <v>116.10000000000001</v>
      </c>
      <c r="Q57" s="1">
        <f t="shared" si="2"/>
        <v>15.051635799447531</v>
      </c>
      <c r="R57" s="1">
        <f t="shared" si="3"/>
        <v>216.24836420055249</v>
      </c>
      <c r="S57" s="5">
        <f t="shared" si="4"/>
        <v>0.28489715207266875</v>
      </c>
      <c r="T57" s="5">
        <f t="shared" si="5"/>
        <v>0.24027596022283609</v>
      </c>
    </row>
    <row r="58" spans="1:20">
      <c r="A58" s="1">
        <v>57</v>
      </c>
      <c r="B58" s="2">
        <f>DATE(Sintesi!$C$4-1,12,31)+A58</f>
        <v>44253</v>
      </c>
      <c r="C58" s="1">
        <f>'Paste cell here'!T58</f>
        <v>6.7670467995387991E-6</v>
      </c>
      <c r="D58" s="1">
        <f>'Paste cell here'!AC58</f>
        <v>0</v>
      </c>
      <c r="E58" s="1">
        <f>'Paste cell here'!Y58</f>
        <v>0</v>
      </c>
      <c r="F58" s="1">
        <f>'Paste cell here'!AD58</f>
        <v>0.66803001183186972</v>
      </c>
      <c r="G58" s="1">
        <f>'Paste cell here'!W58</f>
        <v>0</v>
      </c>
      <c r="H58" s="1">
        <f>'Paste cell here'!AE58</f>
        <v>255.73941362061672</v>
      </c>
      <c r="I58" s="1">
        <f>'Paste cell here'!AF58</f>
        <v>256.40743686540191</v>
      </c>
      <c r="J58" s="1">
        <f t="shared" si="0"/>
        <v>1.1368683772161603E-13</v>
      </c>
      <c r="K58" s="1" t="str">
        <f>IF('(OLD) Bilancio primo strato'!D58&gt;0,1,"")</f>
        <v/>
      </c>
      <c r="L58" s="7">
        <f>Sintesi!$C$34</f>
        <v>0.128</v>
      </c>
      <c r="M58" s="7">
        <f>Sintesi!$C$33</f>
        <v>0.25700000000000001</v>
      </c>
      <c r="N58" s="1">
        <f>'Paste cell here'!AA58</f>
        <v>0.9</v>
      </c>
      <c r="O58" s="1">
        <f>'Paste cell here'!H58</f>
        <v>0.12764645682274611</v>
      </c>
      <c r="P58" s="1">
        <f t="shared" si="1"/>
        <v>116.10000000000001</v>
      </c>
      <c r="Q58" s="1">
        <f t="shared" si="2"/>
        <v>14.819753637120824</v>
      </c>
      <c r="R58" s="1">
        <f t="shared" si="3"/>
        <v>216.4802463628792</v>
      </c>
      <c r="S58" s="5">
        <f t="shared" si="4"/>
        <v>0.28415490402290744</v>
      </c>
      <c r="T58" s="5">
        <f t="shared" si="5"/>
        <v>0.24053360706986579</v>
      </c>
    </row>
    <row r="59" spans="1:20">
      <c r="A59" s="1">
        <v>58</v>
      </c>
      <c r="B59" s="2">
        <f>DATE(Sintesi!$C$4-1,12,31)+A59</f>
        <v>44254</v>
      </c>
      <c r="C59" s="1">
        <f>'Paste cell here'!T59</f>
        <v>9.1351698844206419E-7</v>
      </c>
      <c r="D59" s="1">
        <f>'Paste cell here'!AC59</f>
        <v>0</v>
      </c>
      <c r="E59" s="1">
        <f>'Paste cell here'!Y59</f>
        <v>0</v>
      </c>
      <c r="F59" s="1">
        <f>'Paste cell here'!AD59</f>
        <v>0.64582969168153803</v>
      </c>
      <c r="G59" s="1">
        <f>'Paste cell here'!W59</f>
        <v>0</v>
      </c>
      <c r="H59" s="1">
        <f>'Paste cell here'!AE59</f>
        <v>255.09358484245215</v>
      </c>
      <c r="I59" s="1">
        <f>'Paste cell here'!AF59</f>
        <v>255.73941362061669</v>
      </c>
      <c r="J59" s="1">
        <f t="shared" si="0"/>
        <v>0</v>
      </c>
      <c r="K59" s="1" t="str">
        <f>IF('(OLD) Bilancio primo strato'!D59&gt;0,1,"")</f>
        <v/>
      </c>
      <c r="L59" s="7">
        <f>Sintesi!$C$34</f>
        <v>0.128</v>
      </c>
      <c r="M59" s="7">
        <f>Sintesi!$C$33</f>
        <v>0.25700000000000001</v>
      </c>
      <c r="N59" s="1">
        <f>'Paste cell here'!AA59</f>
        <v>0.9</v>
      </c>
      <c r="O59" s="1">
        <f>'Paste cell here'!H59</f>
        <v>0.12468325853099491</v>
      </c>
      <c r="P59" s="1">
        <f t="shared" si="1"/>
        <v>116.10000000000001</v>
      </c>
      <c r="Q59" s="1">
        <f t="shared" si="2"/>
        <v>14.47572631544851</v>
      </c>
      <c r="R59" s="1">
        <f t="shared" si="3"/>
        <v>216.82427368455151</v>
      </c>
      <c r="S59" s="5">
        <f t="shared" si="4"/>
        <v>0.28343731649161352</v>
      </c>
      <c r="T59" s="5">
        <f t="shared" si="5"/>
        <v>0.24091585964950168</v>
      </c>
    </row>
    <row r="60" spans="1:20">
      <c r="A60" s="1">
        <v>59</v>
      </c>
      <c r="B60" s="2">
        <f>DATE(Sintesi!$C$4-1,12,31)+A60</f>
        <v>44255</v>
      </c>
      <c r="C60" s="1">
        <f>'Paste cell here'!T60</f>
        <v>8.6166061008311923E-8</v>
      </c>
      <c r="D60" s="1">
        <f>'Paste cell here'!AC60</f>
        <v>0</v>
      </c>
      <c r="E60" s="1">
        <f>'Paste cell here'!Y60</f>
        <v>0</v>
      </c>
      <c r="F60" s="1">
        <f>'Paste cell here'!AD60</f>
        <v>0.6249877729878951</v>
      </c>
      <c r="G60" s="1">
        <f>'Paste cell here'!W60</f>
        <v>0</v>
      </c>
      <c r="H60" s="1">
        <f>'Paste cell here'!AE60</f>
        <v>254.46859715563031</v>
      </c>
      <c r="I60" s="1">
        <f>'Paste cell here'!AF60</f>
        <v>255.0935848424522</v>
      </c>
      <c r="J60" s="1">
        <f t="shared" si="0"/>
        <v>5.6843418860808015E-14</v>
      </c>
      <c r="K60" s="1" t="str">
        <f>IF('(OLD) Bilancio primo strato'!D60&gt;0,1,"")</f>
        <v/>
      </c>
      <c r="L60" s="7">
        <f>Sintesi!$C$34</f>
        <v>0.128</v>
      </c>
      <c r="M60" s="7">
        <f>Sintesi!$C$33</f>
        <v>0.25700000000000001</v>
      </c>
      <c r="N60" s="1">
        <f>'Paste cell here'!AA60</f>
        <v>0.9</v>
      </c>
      <c r="O60" s="1">
        <f>'Paste cell here'!H60</f>
        <v>0.11253066117581803</v>
      </c>
      <c r="P60" s="1">
        <f t="shared" si="1"/>
        <v>116.10000000000001</v>
      </c>
      <c r="Q60" s="1">
        <f t="shared" si="2"/>
        <v>13.064809762512475</v>
      </c>
      <c r="R60" s="1">
        <f t="shared" si="3"/>
        <v>218.23519023748753</v>
      </c>
      <c r="S60" s="5">
        <f t="shared" si="4"/>
        <v>0.28274288572847811</v>
      </c>
      <c r="T60" s="5">
        <f t="shared" si="5"/>
        <v>0.24248354470831948</v>
      </c>
    </row>
    <row r="61" spans="1:20">
      <c r="A61" s="1">
        <v>60</v>
      </c>
      <c r="B61" s="2">
        <f>DATE(Sintesi!$C$4-1,12,31)+A61</f>
        <v>44256</v>
      </c>
      <c r="C61" s="1">
        <f>'Paste cell here'!T61</f>
        <v>7.8932460838642695E-9</v>
      </c>
      <c r="D61" s="1">
        <f>'Paste cell here'!AC61</f>
        <v>0</v>
      </c>
      <c r="E61" s="1">
        <f>'Paste cell here'!Y61</f>
        <v>0</v>
      </c>
      <c r="F61" s="1">
        <f>'Paste cell here'!AD61</f>
        <v>0.6053853468509196</v>
      </c>
      <c r="G61" s="1">
        <f>'Paste cell here'!W61</f>
        <v>0</v>
      </c>
      <c r="H61" s="1">
        <f>'Paste cell here'!AE61</f>
        <v>253.86321181667262</v>
      </c>
      <c r="I61" s="1">
        <f>'Paste cell here'!AF61</f>
        <v>254.46859715563031</v>
      </c>
      <c r="J61" s="1">
        <f t="shared" si="0"/>
        <v>2.8421709430404007E-14</v>
      </c>
      <c r="K61" s="1" t="str">
        <f>IF('(OLD) Bilancio primo strato'!D61&gt;0,1,"")</f>
        <v/>
      </c>
      <c r="L61" s="7">
        <f>Sintesi!$C$34</f>
        <v>0.128</v>
      </c>
      <c r="M61" s="7">
        <f>Sintesi!$C$33</f>
        <v>0.25700000000000001</v>
      </c>
      <c r="N61" s="1">
        <f>'Paste cell here'!AA61</f>
        <v>0.9</v>
      </c>
      <c r="O61" s="1">
        <f>'Paste cell here'!H61</f>
        <v>0.11646578344405491</v>
      </c>
      <c r="P61" s="1">
        <f t="shared" si="1"/>
        <v>116.10000000000001</v>
      </c>
      <c r="Q61" s="1">
        <f t="shared" si="2"/>
        <v>13.521677457854775</v>
      </c>
      <c r="R61" s="1">
        <f t="shared" si="3"/>
        <v>217.77832254214525</v>
      </c>
      <c r="S61" s="5">
        <f t="shared" si="4"/>
        <v>0.28207023535185849</v>
      </c>
      <c r="T61" s="5">
        <f t="shared" si="5"/>
        <v>0.24197591393571694</v>
      </c>
    </row>
    <row r="62" spans="1:20">
      <c r="A62" s="1">
        <v>61</v>
      </c>
      <c r="B62" s="2">
        <f>DATE(Sintesi!$C$4-1,12,31)+A62</f>
        <v>44257</v>
      </c>
      <c r="C62" s="1">
        <f>'Paste cell here'!T62</f>
        <v>7.1623606638281297E-10</v>
      </c>
      <c r="D62" s="1">
        <f>'Paste cell here'!AC62</f>
        <v>0</v>
      </c>
      <c r="E62" s="1">
        <f>'Paste cell here'!Y62</f>
        <v>0</v>
      </c>
      <c r="F62" s="1">
        <f>'Paste cell here'!AD62</f>
        <v>0.58691682776272602</v>
      </c>
      <c r="G62" s="1">
        <f>'Paste cell here'!W62</f>
        <v>0</v>
      </c>
      <c r="H62" s="1">
        <f>'Paste cell here'!AE62</f>
        <v>253.27629498962611</v>
      </c>
      <c r="I62" s="1">
        <f>'Paste cell here'!AF62</f>
        <v>253.86321181667265</v>
      </c>
      <c r="J62" s="1">
        <f t="shared" si="0"/>
        <v>2.8421709430404007E-14</v>
      </c>
      <c r="K62" s="1" t="str">
        <f>IF('(OLD) Bilancio primo strato'!D62&gt;0,1,"")</f>
        <v/>
      </c>
      <c r="L62" s="7">
        <f>Sintesi!$C$34</f>
        <v>0.128</v>
      </c>
      <c r="M62" s="7">
        <f>Sintesi!$C$33</f>
        <v>0.25700000000000001</v>
      </c>
      <c r="N62" s="1">
        <f>'Paste cell here'!AA62</f>
        <v>0.9</v>
      </c>
      <c r="O62" s="1">
        <f>'Paste cell here'!H62</f>
        <v>0.12344363802378526</v>
      </c>
      <c r="P62" s="1">
        <f t="shared" si="1"/>
        <v>116.10000000000001</v>
      </c>
      <c r="Q62" s="1">
        <f t="shared" si="2"/>
        <v>14.33180637456147</v>
      </c>
      <c r="R62" s="1">
        <f t="shared" si="3"/>
        <v>216.96819362543854</v>
      </c>
      <c r="S62" s="5">
        <f t="shared" si="4"/>
        <v>0.28141810554402902</v>
      </c>
      <c r="T62" s="5">
        <f t="shared" si="5"/>
        <v>0.24107577069493172</v>
      </c>
    </row>
    <row r="63" spans="1:20">
      <c r="A63" s="1">
        <v>62</v>
      </c>
      <c r="B63" s="2">
        <f>DATE(Sintesi!$C$4-1,12,31)+A63</f>
        <v>44258</v>
      </c>
      <c r="C63" s="1">
        <f>'Paste cell here'!T63</f>
        <v>5.626535909574549E-11</v>
      </c>
      <c r="D63" s="1">
        <f>'Paste cell here'!AC63</f>
        <v>0</v>
      </c>
      <c r="E63" s="1">
        <f>'Paste cell here'!Y63</f>
        <v>0</v>
      </c>
      <c r="F63" s="1">
        <f>'Paste cell here'!AD63</f>
        <v>0.56948818937090073</v>
      </c>
      <c r="G63" s="1">
        <f>'Paste cell here'!W63</f>
        <v>0</v>
      </c>
      <c r="H63" s="1">
        <f>'Paste cell here'!AE63</f>
        <v>252.70680680031148</v>
      </c>
      <c r="I63" s="1">
        <f>'Paste cell here'!AF63</f>
        <v>253.27629498962611</v>
      </c>
      <c r="J63" s="1">
        <f t="shared" si="0"/>
        <v>0</v>
      </c>
      <c r="K63" s="1" t="str">
        <f>IF('(OLD) Bilancio primo strato'!D63&gt;0,1,"")</f>
        <v/>
      </c>
      <c r="L63" s="7">
        <f>Sintesi!$C$34</f>
        <v>0.128</v>
      </c>
      <c r="M63" s="7">
        <f>Sintesi!$C$33</f>
        <v>0.25700000000000001</v>
      </c>
      <c r="N63" s="1">
        <f>'Paste cell here'!AA63</f>
        <v>0.9</v>
      </c>
      <c r="O63" s="1">
        <f>'Paste cell here'!H63</f>
        <v>0.1241152834336874</v>
      </c>
      <c r="P63" s="1">
        <f t="shared" si="1"/>
        <v>116.10000000000001</v>
      </c>
      <c r="Q63" s="1">
        <f t="shared" si="2"/>
        <v>14.409784406651108</v>
      </c>
      <c r="R63" s="1">
        <f t="shared" si="3"/>
        <v>216.8902155933489</v>
      </c>
      <c r="S63" s="5">
        <f t="shared" si="4"/>
        <v>0.28078534088923496</v>
      </c>
      <c r="T63" s="5">
        <f t="shared" si="5"/>
        <v>0.24098912843705433</v>
      </c>
    </row>
    <row r="64" spans="1:20">
      <c r="A64" s="1">
        <v>63</v>
      </c>
      <c r="B64" s="2">
        <f>DATE(Sintesi!$C$4-1,12,31)+A64</f>
        <v>44259</v>
      </c>
      <c r="C64" s="1">
        <f>'Paste cell here'!T64</f>
        <v>5.4130040362763971E-12</v>
      </c>
      <c r="D64" s="1">
        <f>'Paste cell here'!AC64</f>
        <v>0</v>
      </c>
      <c r="E64" s="1">
        <f>'Paste cell here'!Y64</f>
        <v>0</v>
      </c>
      <c r="F64" s="1">
        <f>'Paste cell here'!AD64</f>
        <v>0.55301543776531736</v>
      </c>
      <c r="G64" s="1">
        <f>'Paste cell here'!W64</f>
        <v>0</v>
      </c>
      <c r="H64" s="1">
        <f>'Paste cell here'!AE64</f>
        <v>252.1537913625516</v>
      </c>
      <c r="I64" s="1">
        <f>'Paste cell here'!AF64</f>
        <v>252.70680680031148</v>
      </c>
      <c r="J64" s="1">
        <f t="shared" si="0"/>
        <v>2.8421709430404007E-14</v>
      </c>
      <c r="K64" s="1" t="str">
        <f>IF('(OLD) Bilancio primo strato'!D64&gt;0,1,"")</f>
        <v/>
      </c>
      <c r="L64" s="7">
        <f>Sintesi!$C$34</f>
        <v>0.128</v>
      </c>
      <c r="M64" s="7">
        <f>Sintesi!$C$33</f>
        <v>0.25700000000000001</v>
      </c>
      <c r="N64" s="1">
        <f>'Paste cell here'!AA64</f>
        <v>0.9</v>
      </c>
      <c r="O64" s="1">
        <f>'Paste cell here'!H64</f>
        <v>0.14054620154579009</v>
      </c>
      <c r="P64" s="1">
        <f t="shared" si="1"/>
        <v>116.10000000000001</v>
      </c>
      <c r="Q64" s="1">
        <f t="shared" si="2"/>
        <v>16.317413999466229</v>
      </c>
      <c r="R64" s="1">
        <f t="shared" si="3"/>
        <v>214.98258600053379</v>
      </c>
      <c r="S64" s="5">
        <f t="shared" si="4"/>
        <v>0.28017087929172402</v>
      </c>
      <c r="T64" s="5">
        <f t="shared" si="5"/>
        <v>0.2388695400005931</v>
      </c>
    </row>
    <row r="65" spans="1:20">
      <c r="A65" s="1">
        <v>64</v>
      </c>
      <c r="B65" s="2">
        <f>DATE(Sintesi!$C$4-1,12,31)+A65</f>
        <v>44260</v>
      </c>
      <c r="C65" s="1">
        <f>'Paste cell here'!T65</f>
        <v>2.6670254206175625E-13</v>
      </c>
      <c r="D65" s="1">
        <f>'Paste cell here'!AC65</f>
        <v>0</v>
      </c>
      <c r="E65" s="1">
        <f>'Paste cell here'!Y65</f>
        <v>0</v>
      </c>
      <c r="F65" s="1">
        <f>'Paste cell here'!AD65</f>
        <v>0.53742331498564633</v>
      </c>
      <c r="G65" s="1">
        <f>'Paste cell here'!W65</f>
        <v>0</v>
      </c>
      <c r="H65" s="1">
        <f>'Paste cell here'!AE65</f>
        <v>251.61636804756628</v>
      </c>
      <c r="I65" s="1">
        <f>'Paste cell here'!AF65</f>
        <v>252.15379136255163</v>
      </c>
      <c r="J65" s="1">
        <f t="shared" si="0"/>
        <v>5.6843418860808015E-14</v>
      </c>
      <c r="K65" s="1" t="str">
        <f>IF('(OLD) Bilancio primo strato'!D65&gt;0,1,"")</f>
        <v/>
      </c>
      <c r="L65" s="7">
        <f>Sintesi!$C$34</f>
        <v>0.128</v>
      </c>
      <c r="M65" s="7">
        <f>Sintesi!$C$33</f>
        <v>0.25700000000000001</v>
      </c>
      <c r="N65" s="1">
        <f>'Paste cell here'!AA65</f>
        <v>0.9</v>
      </c>
      <c r="O65" s="1">
        <f>'Paste cell here'!H65</f>
        <v>0.13379199921682025</v>
      </c>
      <c r="P65" s="1">
        <f t="shared" si="1"/>
        <v>116.10000000000001</v>
      </c>
      <c r="Q65" s="1">
        <f t="shared" si="2"/>
        <v>15.533251109072832</v>
      </c>
      <c r="R65" s="1">
        <f t="shared" si="3"/>
        <v>215.76674889092718</v>
      </c>
      <c r="S65" s="5">
        <f t="shared" si="4"/>
        <v>0.27957374227507364</v>
      </c>
      <c r="T65" s="5">
        <f t="shared" si="5"/>
        <v>0.2397408321010302</v>
      </c>
    </row>
    <row r="66" spans="1:20">
      <c r="A66" s="1">
        <v>65</v>
      </c>
      <c r="B66" s="2">
        <f>DATE(Sintesi!$C$4-1,12,31)+A66</f>
        <v>44261</v>
      </c>
      <c r="C66" s="1">
        <f>'Paste cell here'!T66</f>
        <v>4.5816679995468157E-14</v>
      </c>
      <c r="D66" s="1">
        <f>'Paste cell here'!AC66</f>
        <v>0</v>
      </c>
      <c r="E66" s="1">
        <f>'Paste cell here'!Y66</f>
        <v>0</v>
      </c>
      <c r="F66" s="1">
        <f>'Paste cell here'!AD66</f>
        <v>0.52264419746744684</v>
      </c>
      <c r="G66" s="1">
        <f>'Paste cell here'!W66</f>
        <v>0</v>
      </c>
      <c r="H66" s="1">
        <f>'Paste cell here'!AE66</f>
        <v>251.09372385009885</v>
      </c>
      <c r="I66" s="1">
        <f>'Paste cell here'!AF66</f>
        <v>251.61636804756625</v>
      </c>
      <c r="J66" s="1">
        <f t="shared" ref="J66:J129" si="6">ABS(I66+C66+D66-E66-F66-G66-H66)</f>
        <v>0</v>
      </c>
      <c r="K66" s="1" t="str">
        <f>IF('(OLD) Bilancio primo strato'!D66&gt;0,1,"")</f>
        <v/>
      </c>
      <c r="L66" s="7">
        <f>Sintesi!$C$34</f>
        <v>0.128</v>
      </c>
      <c r="M66" s="7">
        <f>Sintesi!$C$33</f>
        <v>0.25700000000000001</v>
      </c>
      <c r="N66" s="1">
        <f>'Paste cell here'!AA66</f>
        <v>0.9</v>
      </c>
      <c r="O66" s="1">
        <f>'Paste cell here'!H66</f>
        <v>0.11356312618637594</v>
      </c>
      <c r="P66" s="1">
        <f t="shared" ref="P66:P129" si="7">(M66-L66)*N66*1000</f>
        <v>116.10000000000001</v>
      </c>
      <c r="Q66" s="1">
        <f t="shared" ref="Q66:Q129" si="8">P66*O66</f>
        <v>13.184678950238247</v>
      </c>
      <c r="R66" s="1">
        <f t="shared" ref="R66:R129" si="9">M66*N66*1000-Q66</f>
        <v>218.11532104976177</v>
      </c>
      <c r="S66" s="5">
        <f t="shared" ref="S66:S129" si="10">H66/($N66*1000)</f>
        <v>0.27899302650010982</v>
      </c>
      <c r="T66" s="5">
        <f t="shared" ref="T66:T129" si="11">R66/($N66*1000)</f>
        <v>0.24235035672195754</v>
      </c>
    </row>
    <row r="67" spans="1:20">
      <c r="A67" s="1">
        <v>66</v>
      </c>
      <c r="B67" s="2">
        <f>DATE(Sintesi!$C$4-1,12,31)+A67</f>
        <v>44262</v>
      </c>
      <c r="C67" s="1">
        <f>'Paste cell here'!T67</f>
        <v>7.9901620979828357E-14</v>
      </c>
      <c r="D67" s="1">
        <f>'Paste cell here'!AC67</f>
        <v>0</v>
      </c>
      <c r="E67" s="1">
        <f>'Paste cell here'!Y67</f>
        <v>0</v>
      </c>
      <c r="F67" s="1">
        <f>'Paste cell here'!AD67</f>
        <v>0.50861715651446282</v>
      </c>
      <c r="G67" s="1">
        <f>'Paste cell here'!W67</f>
        <v>0</v>
      </c>
      <c r="H67" s="1">
        <f>'Paste cell here'!AE67</f>
        <v>250.58510669358458</v>
      </c>
      <c r="I67" s="1">
        <f>'Paste cell here'!AF67</f>
        <v>251.09372385009888</v>
      </c>
      <c r="J67" s="1">
        <f t="shared" si="6"/>
        <v>8.5265128291212022E-14</v>
      </c>
      <c r="K67" s="1" t="str">
        <f>IF('(OLD) Bilancio primo strato'!D67&gt;0,1,"")</f>
        <v/>
      </c>
      <c r="L67" s="7">
        <f>Sintesi!$C$34</f>
        <v>0.128</v>
      </c>
      <c r="M67" s="7">
        <f>Sintesi!$C$33</f>
        <v>0.25700000000000001</v>
      </c>
      <c r="N67" s="1">
        <f>'Paste cell here'!AA67</f>
        <v>0.9</v>
      </c>
      <c r="O67" s="1">
        <f>'Paste cell here'!H67</f>
        <v>0.13945088010620538</v>
      </c>
      <c r="P67" s="1">
        <f t="shared" si="7"/>
        <v>116.10000000000001</v>
      </c>
      <c r="Q67" s="1">
        <f t="shared" si="8"/>
        <v>16.190247180330445</v>
      </c>
      <c r="R67" s="1">
        <f t="shared" si="9"/>
        <v>215.10975281966955</v>
      </c>
      <c r="S67" s="5">
        <f t="shared" si="10"/>
        <v>0.27842789632620507</v>
      </c>
      <c r="T67" s="5">
        <f t="shared" si="11"/>
        <v>0.2390108364662995</v>
      </c>
    </row>
    <row r="68" spans="1:20">
      <c r="A68" s="1">
        <v>67</v>
      </c>
      <c r="B68" s="2">
        <f>DATE(Sintesi!$C$4-1,12,31)+A68</f>
        <v>44263</v>
      </c>
      <c r="C68" s="1">
        <f>'Paste cell here'!T68</f>
        <v>1.0014197075579005E-15</v>
      </c>
      <c r="D68" s="1">
        <f>'Paste cell here'!AC68</f>
        <v>0</v>
      </c>
      <c r="E68" s="1">
        <f>'Paste cell here'!Y68</f>
        <v>0</v>
      </c>
      <c r="F68" s="1">
        <f>'Paste cell here'!AD68</f>
        <v>0.49528715375346738</v>
      </c>
      <c r="G68" s="1">
        <f>'Paste cell here'!W68</f>
        <v>0</v>
      </c>
      <c r="H68" s="1">
        <f>'Paste cell here'!AE68</f>
        <v>250.08981953983104</v>
      </c>
      <c r="I68" s="1">
        <f>'Paste cell here'!AF68</f>
        <v>250.58510669358458</v>
      </c>
      <c r="J68" s="1">
        <f t="shared" si="6"/>
        <v>5.6843418860808015E-14</v>
      </c>
      <c r="K68" s="1" t="str">
        <f>IF('(OLD) Bilancio primo strato'!D68&gt;0,1,"")</f>
        <v/>
      </c>
      <c r="L68" s="7">
        <f>Sintesi!$C$34</f>
        <v>0.128</v>
      </c>
      <c r="M68" s="7">
        <f>Sintesi!$C$33</f>
        <v>0.25700000000000001</v>
      </c>
      <c r="N68" s="1">
        <f>'Paste cell here'!AA68</f>
        <v>0.9</v>
      </c>
      <c r="O68" s="1">
        <f>'Paste cell here'!H68</f>
        <v>0.12751911429165108</v>
      </c>
      <c r="P68" s="1">
        <f t="shared" si="7"/>
        <v>116.10000000000001</v>
      </c>
      <c r="Q68" s="1">
        <f t="shared" si="8"/>
        <v>14.804969169260692</v>
      </c>
      <c r="R68" s="1">
        <f t="shared" si="9"/>
        <v>216.49503083073932</v>
      </c>
      <c r="S68" s="5">
        <f t="shared" si="10"/>
        <v>0.27787757726647894</v>
      </c>
      <c r="T68" s="5">
        <f t="shared" si="11"/>
        <v>0.24055003425637703</v>
      </c>
    </row>
    <row r="69" spans="1:20">
      <c r="A69" s="1">
        <v>68</v>
      </c>
      <c r="B69" s="2">
        <f>DATE(Sintesi!$C$4-1,12,31)+A69</f>
        <v>44264</v>
      </c>
      <c r="C69" s="1">
        <f>'Paste cell here'!T69</f>
        <v>1.1125007416594486E-18</v>
      </c>
      <c r="D69" s="1">
        <f>'Paste cell here'!AC69</f>
        <v>0</v>
      </c>
      <c r="E69" s="1">
        <f>'Paste cell here'!Y69</f>
        <v>0</v>
      </c>
      <c r="F69" s="1">
        <f>'Paste cell here'!AD69</f>
        <v>0.4826043495272872</v>
      </c>
      <c r="G69" s="1">
        <f>'Paste cell here'!W69</f>
        <v>0</v>
      </c>
      <c r="H69" s="1">
        <f>'Paste cell here'!AE69</f>
        <v>249.6072151903038</v>
      </c>
      <c r="I69" s="1">
        <f>'Paste cell here'!AF69</f>
        <v>250.08981953983107</v>
      </c>
      <c r="J69" s="1">
        <f t="shared" si="6"/>
        <v>2.8421709430404007E-14</v>
      </c>
      <c r="K69" s="1" t="str">
        <f>IF('(OLD) Bilancio primo strato'!D69&gt;0,1,"")</f>
        <v/>
      </c>
      <c r="L69" s="7">
        <f>Sintesi!$C$34</f>
        <v>0.128</v>
      </c>
      <c r="M69" s="7">
        <f>Sintesi!$C$33</f>
        <v>0.25700000000000001</v>
      </c>
      <c r="N69" s="1">
        <f>'Paste cell here'!AA69</f>
        <v>0.9</v>
      </c>
      <c r="O69" s="1">
        <f>'Paste cell here'!H69</f>
        <v>0.12625401359086055</v>
      </c>
      <c r="P69" s="1">
        <f t="shared" si="7"/>
        <v>116.10000000000001</v>
      </c>
      <c r="Q69" s="1">
        <f t="shared" si="8"/>
        <v>14.658090977898912</v>
      </c>
      <c r="R69" s="1">
        <f t="shared" si="9"/>
        <v>216.64190902210109</v>
      </c>
      <c r="S69" s="5">
        <f t="shared" si="10"/>
        <v>0.27734135021144868</v>
      </c>
      <c r="T69" s="5">
        <f t="shared" si="11"/>
        <v>0.24071323224677899</v>
      </c>
    </row>
    <row r="70" spans="1:20">
      <c r="A70" s="1">
        <v>69</v>
      </c>
      <c r="B70" s="2">
        <f>DATE(Sintesi!$C$4-1,12,31)+A70</f>
        <v>44265</v>
      </c>
      <c r="C70" s="1">
        <f>'Paste cell here'!T70</f>
        <v>0</v>
      </c>
      <c r="D70" s="1">
        <f>'Paste cell here'!AC70</f>
        <v>0</v>
      </c>
      <c r="E70" s="1">
        <f>'Paste cell here'!Y70</f>
        <v>0</v>
      </c>
      <c r="F70" s="1">
        <f>'Paste cell here'!AD70</f>
        <v>0.47052350619302824</v>
      </c>
      <c r="G70" s="1">
        <f>'Paste cell here'!W70</f>
        <v>0</v>
      </c>
      <c r="H70" s="1">
        <f>'Paste cell here'!AE70</f>
        <v>249.13669168411079</v>
      </c>
      <c r="I70" s="1">
        <f>'Paste cell here'!AF70</f>
        <v>249.60721519030383</v>
      </c>
      <c r="J70" s="1">
        <f t="shared" si="6"/>
        <v>2.8421709430404007E-14</v>
      </c>
      <c r="K70" s="1" t="str">
        <f>IF('(OLD) Bilancio primo strato'!D70&gt;0,1,"")</f>
        <v/>
      </c>
      <c r="L70" s="7">
        <f>Sintesi!$C$34</f>
        <v>0.128</v>
      </c>
      <c r="M70" s="7">
        <f>Sintesi!$C$33</f>
        <v>0.25700000000000001</v>
      </c>
      <c r="N70" s="1">
        <f>'Paste cell here'!AA70</f>
        <v>0.9</v>
      </c>
      <c r="O70" s="1">
        <f>'Paste cell here'!H70</f>
        <v>0.11885581179163347</v>
      </c>
      <c r="P70" s="1">
        <f t="shared" si="7"/>
        <v>116.10000000000001</v>
      </c>
      <c r="Q70" s="1">
        <f t="shared" si="8"/>
        <v>13.799159749008647</v>
      </c>
      <c r="R70" s="1">
        <f t="shared" si="9"/>
        <v>217.50084025099136</v>
      </c>
      <c r="S70" s="5">
        <f t="shared" si="10"/>
        <v>0.27681854631567865</v>
      </c>
      <c r="T70" s="5">
        <f t="shared" si="11"/>
        <v>0.24166760027887929</v>
      </c>
    </row>
    <row r="71" spans="1:20">
      <c r="A71" s="1">
        <v>70</v>
      </c>
      <c r="B71" s="2">
        <f>DATE(Sintesi!$C$4-1,12,31)+A71</f>
        <v>44266</v>
      </c>
      <c r="C71" s="1">
        <f>'Paste cell here'!T71</f>
        <v>0</v>
      </c>
      <c r="D71" s="1">
        <f>'Paste cell here'!AC71</f>
        <v>0</v>
      </c>
      <c r="E71" s="1">
        <f>'Paste cell here'!Y71</f>
        <v>0</v>
      </c>
      <c r="F71" s="1">
        <f>'Paste cell here'!AD71</f>
        <v>0.45900347150452381</v>
      </c>
      <c r="G71" s="1">
        <f>'Paste cell here'!W71</f>
        <v>0</v>
      </c>
      <c r="H71" s="1">
        <f>'Paste cell here'!AE71</f>
        <v>248.67768821260626</v>
      </c>
      <c r="I71" s="1">
        <f>'Paste cell here'!AF71</f>
        <v>249.13669168411079</v>
      </c>
      <c r="J71" s="1">
        <f t="shared" si="6"/>
        <v>0</v>
      </c>
      <c r="K71" s="1" t="str">
        <f>IF('(OLD) Bilancio primo strato'!D71&gt;0,1,"")</f>
        <v/>
      </c>
      <c r="L71" s="7">
        <f>Sintesi!$C$34</f>
        <v>0.128</v>
      </c>
      <c r="M71" s="7">
        <f>Sintesi!$C$33</f>
        <v>0.25700000000000001</v>
      </c>
      <c r="N71" s="1">
        <f>'Paste cell here'!AA71</f>
        <v>0.9</v>
      </c>
      <c r="O71" s="1">
        <f>'Paste cell here'!H71</f>
        <v>0.11400695763764448</v>
      </c>
      <c r="P71" s="1">
        <f t="shared" si="7"/>
        <v>116.10000000000001</v>
      </c>
      <c r="Q71" s="1">
        <f t="shared" si="8"/>
        <v>13.236207781730526</v>
      </c>
      <c r="R71" s="1">
        <f t="shared" si="9"/>
        <v>218.0637922182695</v>
      </c>
      <c r="S71" s="5">
        <f t="shared" si="10"/>
        <v>0.27630854245845138</v>
      </c>
      <c r="T71" s="5">
        <f t="shared" si="11"/>
        <v>0.24229310246474389</v>
      </c>
    </row>
    <row r="72" spans="1:20">
      <c r="A72" s="1">
        <v>71</v>
      </c>
      <c r="B72" s="2">
        <f>DATE(Sintesi!$C$4-1,12,31)+A72</f>
        <v>44267</v>
      </c>
      <c r="C72" s="1">
        <f>'Paste cell here'!T72</f>
        <v>0</v>
      </c>
      <c r="D72" s="1">
        <f>'Paste cell here'!AC72</f>
        <v>0</v>
      </c>
      <c r="E72" s="1">
        <f>'Paste cell here'!Y72</f>
        <v>0</v>
      </c>
      <c r="F72" s="1">
        <f>'Paste cell here'!AD72</f>
        <v>0.44800672984122136</v>
      </c>
      <c r="G72" s="1">
        <f>'Paste cell here'!W72</f>
        <v>0</v>
      </c>
      <c r="H72" s="1">
        <f>'Paste cell here'!AE72</f>
        <v>248.22968148276505</v>
      </c>
      <c r="I72" s="1">
        <f>'Paste cell here'!AF72</f>
        <v>248.67768821260626</v>
      </c>
      <c r="J72" s="1">
        <f t="shared" si="6"/>
        <v>0</v>
      </c>
      <c r="K72" s="1" t="str">
        <f>IF('(OLD) Bilancio primo strato'!D72&gt;0,1,"")</f>
        <v/>
      </c>
      <c r="L72" s="7">
        <f>Sintesi!$C$34</f>
        <v>0.128</v>
      </c>
      <c r="M72" s="7">
        <f>Sintesi!$C$33</f>
        <v>0.25700000000000001</v>
      </c>
      <c r="N72" s="1">
        <f>'Paste cell here'!AA72</f>
        <v>0.9</v>
      </c>
      <c r="O72" s="1">
        <f>'Paste cell here'!H72</f>
        <v>0.14764388479143667</v>
      </c>
      <c r="P72" s="1">
        <f t="shared" si="7"/>
        <v>116.10000000000001</v>
      </c>
      <c r="Q72" s="1">
        <f t="shared" si="8"/>
        <v>17.141455024285797</v>
      </c>
      <c r="R72" s="1">
        <f t="shared" si="9"/>
        <v>214.15854497571422</v>
      </c>
      <c r="S72" s="5">
        <f t="shared" si="10"/>
        <v>0.2758107572030723</v>
      </c>
      <c r="T72" s="5">
        <f t="shared" si="11"/>
        <v>0.23795393886190469</v>
      </c>
    </row>
    <row r="73" spans="1:20">
      <c r="A73" s="1">
        <v>72</v>
      </c>
      <c r="B73" s="2">
        <f>DATE(Sintesi!$C$4-1,12,31)+A73</f>
        <v>44268</v>
      </c>
      <c r="C73" s="1">
        <f>'Paste cell here'!T73</f>
        <v>0</v>
      </c>
      <c r="D73" s="1">
        <f>'Paste cell here'!AC73</f>
        <v>0</v>
      </c>
      <c r="E73" s="1">
        <f>'Paste cell here'!Y73</f>
        <v>0</v>
      </c>
      <c r="F73" s="1">
        <f>'Paste cell here'!AD73</f>
        <v>0.43749901113383949</v>
      </c>
      <c r="G73" s="1">
        <f>'Paste cell here'!W73</f>
        <v>0</v>
      </c>
      <c r="H73" s="1">
        <f>'Paste cell here'!AE73</f>
        <v>247.79218247163132</v>
      </c>
      <c r="I73" s="1">
        <f>'Paste cell here'!AF73</f>
        <v>248.22968148276507</v>
      </c>
      <c r="J73" s="1">
        <f t="shared" si="6"/>
        <v>8.5265128291212022E-14</v>
      </c>
      <c r="K73" s="1" t="str">
        <f>IF('(OLD) Bilancio primo strato'!D73&gt;0,1,"")</f>
        <v/>
      </c>
      <c r="L73" s="7">
        <f>Sintesi!$C$34</f>
        <v>0.128</v>
      </c>
      <c r="M73" s="7">
        <f>Sintesi!$C$33</f>
        <v>0.25700000000000001</v>
      </c>
      <c r="N73" s="1">
        <f>'Paste cell here'!AA73</f>
        <v>0.9</v>
      </c>
      <c r="O73" s="1">
        <f>'Paste cell here'!H73</f>
        <v>0.10819949521860339</v>
      </c>
      <c r="P73" s="1">
        <f t="shared" si="7"/>
        <v>116.10000000000001</v>
      </c>
      <c r="Q73" s="1">
        <f t="shared" si="8"/>
        <v>12.561961394879855</v>
      </c>
      <c r="R73" s="1">
        <f t="shared" si="9"/>
        <v>218.73803860512015</v>
      </c>
      <c r="S73" s="5">
        <f t="shared" si="10"/>
        <v>0.27532464719070149</v>
      </c>
      <c r="T73" s="5">
        <f t="shared" si="11"/>
        <v>0.24304226511680016</v>
      </c>
    </row>
    <row r="74" spans="1:20">
      <c r="A74" s="1">
        <v>73</v>
      </c>
      <c r="B74" s="2">
        <f>DATE(Sintesi!$C$4-1,12,31)+A74</f>
        <v>44269</v>
      </c>
      <c r="C74" s="1">
        <f>'Paste cell here'!T74</f>
        <v>0</v>
      </c>
      <c r="D74" s="1">
        <f>'Paste cell here'!AC74</f>
        <v>0</v>
      </c>
      <c r="E74" s="1">
        <f>'Paste cell here'!Y74</f>
        <v>0</v>
      </c>
      <c r="F74" s="1">
        <f>'Paste cell here'!AD74</f>
        <v>0.42744894903332792</v>
      </c>
      <c r="G74" s="1">
        <f>'Paste cell here'!W74</f>
        <v>0</v>
      </c>
      <c r="H74" s="1">
        <f>'Paste cell here'!AE74</f>
        <v>247.36473352259804</v>
      </c>
      <c r="I74" s="1">
        <f>'Paste cell here'!AF74</f>
        <v>247.79218247163135</v>
      </c>
      <c r="J74" s="1">
        <f t="shared" si="6"/>
        <v>2.8421709430404007E-14</v>
      </c>
      <c r="K74" s="1" t="str">
        <f>IF('(OLD) Bilancio primo strato'!D74&gt;0,1,"")</f>
        <v/>
      </c>
      <c r="L74" s="7">
        <f>Sintesi!$C$34</f>
        <v>0.128</v>
      </c>
      <c r="M74" s="7">
        <f>Sintesi!$C$33</f>
        <v>0.25700000000000001</v>
      </c>
      <c r="N74" s="1">
        <f>'Paste cell here'!AA74</f>
        <v>0.9</v>
      </c>
      <c r="O74" s="1">
        <f>'Paste cell here'!H74</f>
        <v>0.10818235207680396</v>
      </c>
      <c r="P74" s="1">
        <f t="shared" si="7"/>
        <v>116.10000000000001</v>
      </c>
      <c r="Q74" s="1">
        <f t="shared" si="8"/>
        <v>12.559971076116941</v>
      </c>
      <c r="R74" s="1">
        <f t="shared" si="9"/>
        <v>218.74002892388307</v>
      </c>
      <c r="S74" s="5">
        <f t="shared" si="10"/>
        <v>0.27484970391399782</v>
      </c>
      <c r="T74" s="5">
        <f t="shared" si="11"/>
        <v>0.2430444765820923</v>
      </c>
    </row>
    <row r="75" spans="1:20">
      <c r="A75" s="1">
        <v>74</v>
      </c>
      <c r="B75" s="2">
        <f>DATE(Sintesi!$C$4-1,12,31)+A75</f>
        <v>44270</v>
      </c>
      <c r="C75" s="1">
        <f>'Paste cell here'!T75</f>
        <v>0</v>
      </c>
      <c r="D75" s="1">
        <f>'Paste cell here'!AC75</f>
        <v>0</v>
      </c>
      <c r="E75" s="1">
        <f>'Paste cell here'!Y75</f>
        <v>0</v>
      </c>
      <c r="F75" s="1">
        <f>'Paste cell here'!AD75</f>
        <v>0.41782778125385367</v>
      </c>
      <c r="G75" s="1">
        <f>'Paste cell here'!W75</f>
        <v>0</v>
      </c>
      <c r="H75" s="1">
        <f>'Paste cell here'!AE75</f>
        <v>246.94690574134424</v>
      </c>
      <c r="I75" s="1">
        <f>'Paste cell here'!AF75</f>
        <v>247.36473352259804</v>
      </c>
      <c r="J75" s="1">
        <f t="shared" si="6"/>
        <v>5.6843418860808015E-14</v>
      </c>
      <c r="K75" s="1" t="str">
        <f>IF('(OLD) Bilancio primo strato'!D75&gt;0,1,"")</f>
        <v/>
      </c>
      <c r="L75" s="7">
        <f>Sintesi!$C$34</f>
        <v>0.128</v>
      </c>
      <c r="M75" s="7">
        <f>Sintesi!$C$33</f>
        <v>0.25700000000000001</v>
      </c>
      <c r="N75" s="1">
        <f>'Paste cell here'!AA75</f>
        <v>0.9</v>
      </c>
      <c r="O75" s="1">
        <f>'Paste cell here'!H75</f>
        <v>0.10000000149011612</v>
      </c>
      <c r="P75" s="1">
        <f t="shared" si="7"/>
        <v>116.10000000000001</v>
      </c>
      <c r="Q75" s="1">
        <f t="shared" si="8"/>
        <v>11.610000173002483</v>
      </c>
      <c r="R75" s="1">
        <f t="shared" si="9"/>
        <v>219.68999982699754</v>
      </c>
      <c r="S75" s="5">
        <f t="shared" si="10"/>
        <v>0.27438545082371579</v>
      </c>
      <c r="T75" s="5">
        <f t="shared" si="11"/>
        <v>0.24409999980777505</v>
      </c>
    </row>
    <row r="76" spans="1:20">
      <c r="A76" s="1">
        <v>75</v>
      </c>
      <c r="B76" s="2">
        <f>DATE(Sintesi!$C$4-1,12,31)+A76</f>
        <v>44271</v>
      </c>
      <c r="C76" s="1">
        <f>'Paste cell here'!T76</f>
        <v>0</v>
      </c>
      <c r="D76" s="1">
        <f>'Paste cell here'!AC76</f>
        <v>0</v>
      </c>
      <c r="E76" s="1">
        <f>'Paste cell here'!Y76</f>
        <v>0</v>
      </c>
      <c r="F76" s="1">
        <f>'Paste cell here'!AD76</f>
        <v>0.40860908615515157</v>
      </c>
      <c r="G76" s="1">
        <f>'Paste cell here'!W76</f>
        <v>0</v>
      </c>
      <c r="H76" s="1">
        <f>'Paste cell here'!AE76</f>
        <v>246.53829665518907</v>
      </c>
      <c r="I76" s="1">
        <f>'Paste cell here'!AF76</f>
        <v>246.94690574134424</v>
      </c>
      <c r="J76" s="1">
        <f t="shared" si="6"/>
        <v>2.8421709430404007E-14</v>
      </c>
      <c r="K76" s="1" t="str">
        <f>IF('(OLD) Bilancio primo strato'!D76&gt;0,1,"")</f>
        <v/>
      </c>
      <c r="L76" s="7">
        <f>Sintesi!$C$34</f>
        <v>0.128</v>
      </c>
      <c r="M76" s="7">
        <f>Sintesi!$C$33</f>
        <v>0.25700000000000001</v>
      </c>
      <c r="N76" s="1">
        <f>'Paste cell here'!AA76</f>
        <v>0.9</v>
      </c>
      <c r="O76" s="1">
        <f>'Paste cell here'!H76</f>
        <v>0.10000000149011612</v>
      </c>
      <c r="P76" s="1">
        <f t="shared" si="7"/>
        <v>116.10000000000001</v>
      </c>
      <c r="Q76" s="1">
        <f t="shared" si="8"/>
        <v>11.610000173002483</v>
      </c>
      <c r="R76" s="1">
        <f t="shared" si="9"/>
        <v>219.68999982699754</v>
      </c>
      <c r="S76" s="5">
        <f t="shared" si="10"/>
        <v>0.27393144072798786</v>
      </c>
      <c r="T76" s="5">
        <f t="shared" si="11"/>
        <v>0.24409999980777505</v>
      </c>
    </row>
    <row r="77" spans="1:20">
      <c r="A77" s="1">
        <v>76</v>
      </c>
      <c r="B77" s="2">
        <f>DATE(Sintesi!$C$4-1,12,31)+A77</f>
        <v>44272</v>
      </c>
      <c r="C77" s="1">
        <f>'Paste cell here'!T77</f>
        <v>0</v>
      </c>
      <c r="D77" s="1">
        <f>'Paste cell here'!AC77</f>
        <v>0</v>
      </c>
      <c r="E77" s="1">
        <f>'Paste cell here'!Y77</f>
        <v>0</v>
      </c>
      <c r="F77" s="1">
        <f>'Paste cell here'!AD77</f>
        <v>0.39976855056363153</v>
      </c>
      <c r="G77" s="1">
        <f>'Paste cell here'!W77</f>
        <v>0</v>
      </c>
      <c r="H77" s="1">
        <f>'Paste cell here'!AE77</f>
        <v>246.13852810462555</v>
      </c>
      <c r="I77" s="1">
        <f>'Paste cell here'!AF77</f>
        <v>246.5382966551891</v>
      </c>
      <c r="J77" s="1">
        <f t="shared" si="6"/>
        <v>8.5265128291212022E-14</v>
      </c>
      <c r="K77" s="1" t="str">
        <f>IF('(OLD) Bilancio primo strato'!D77&gt;0,1,"")</f>
        <v/>
      </c>
      <c r="L77" s="7">
        <f>Sintesi!$C$34</f>
        <v>0.128</v>
      </c>
      <c r="M77" s="7">
        <f>Sintesi!$C$33</f>
        <v>0.25700000000000001</v>
      </c>
      <c r="N77" s="1">
        <f>'Paste cell here'!AA77</f>
        <v>0.9</v>
      </c>
      <c r="O77" s="1">
        <f>'Paste cell here'!H77</f>
        <v>0.10000000149011612</v>
      </c>
      <c r="P77" s="1">
        <f t="shared" si="7"/>
        <v>116.10000000000001</v>
      </c>
      <c r="Q77" s="1">
        <f t="shared" si="8"/>
        <v>11.610000173002483</v>
      </c>
      <c r="R77" s="1">
        <f t="shared" si="9"/>
        <v>219.68999982699754</v>
      </c>
      <c r="S77" s="5">
        <f t="shared" si="10"/>
        <v>0.27348725344958397</v>
      </c>
      <c r="T77" s="5">
        <f t="shared" si="11"/>
        <v>0.24409999980777505</v>
      </c>
    </row>
    <row r="78" spans="1:20">
      <c r="A78" s="1">
        <v>77</v>
      </c>
      <c r="B78" s="2">
        <f>DATE(Sintesi!$C$4-1,12,31)+A78</f>
        <v>44273</v>
      </c>
      <c r="C78" s="1">
        <f>'Paste cell here'!T78</f>
        <v>0</v>
      </c>
      <c r="D78" s="1">
        <f>'Paste cell here'!AC78</f>
        <v>0</v>
      </c>
      <c r="E78" s="1">
        <f>'Paste cell here'!Y78</f>
        <v>0</v>
      </c>
      <c r="F78" s="1">
        <f>'Paste cell here'!AD78</f>
        <v>0.39128376460369996</v>
      </c>
      <c r="G78" s="1">
        <f>'Paste cell here'!W78</f>
        <v>0</v>
      </c>
      <c r="H78" s="1">
        <f>'Paste cell here'!AE78</f>
        <v>245.74724434002192</v>
      </c>
      <c r="I78" s="1">
        <f>'Paste cell here'!AF78</f>
        <v>246.13852810462558</v>
      </c>
      <c r="J78" s="1">
        <f t="shared" si="6"/>
        <v>5.6843418860808015E-14</v>
      </c>
      <c r="K78" s="1" t="str">
        <f>IF('(OLD) Bilancio primo strato'!D78&gt;0,1,"")</f>
        <v/>
      </c>
      <c r="L78" s="7">
        <f>Sintesi!$C$34</f>
        <v>0.128</v>
      </c>
      <c r="M78" s="7">
        <f>Sintesi!$C$33</f>
        <v>0.25700000000000001</v>
      </c>
      <c r="N78" s="1">
        <f>'Paste cell here'!AA78</f>
        <v>0.9</v>
      </c>
      <c r="O78" s="1">
        <f>'Paste cell here'!H78</f>
        <v>0.10000000149011612</v>
      </c>
      <c r="P78" s="1">
        <f t="shared" si="7"/>
        <v>116.10000000000001</v>
      </c>
      <c r="Q78" s="1">
        <f t="shared" si="8"/>
        <v>11.610000173002483</v>
      </c>
      <c r="R78" s="1">
        <f t="shared" si="9"/>
        <v>219.68999982699754</v>
      </c>
      <c r="S78" s="5">
        <f t="shared" si="10"/>
        <v>0.27305249371113549</v>
      </c>
      <c r="T78" s="5">
        <f t="shared" si="11"/>
        <v>0.24409999980777505</v>
      </c>
    </row>
    <row r="79" spans="1:20">
      <c r="A79" s="1">
        <v>78</v>
      </c>
      <c r="B79" s="2">
        <f>DATE(Sintesi!$C$4-1,12,31)+A79</f>
        <v>44274</v>
      </c>
      <c r="C79" s="1">
        <f>'Paste cell here'!T79</f>
        <v>0</v>
      </c>
      <c r="D79" s="1">
        <f>'Paste cell here'!AC79</f>
        <v>0</v>
      </c>
      <c r="E79" s="1">
        <f>'Paste cell here'!Y79</f>
        <v>0</v>
      </c>
      <c r="F79" s="1">
        <f>'Paste cell here'!AD79</f>
        <v>0.38313403995141332</v>
      </c>
      <c r="G79" s="1">
        <f>'Paste cell here'!W79</f>
        <v>0</v>
      </c>
      <c r="H79" s="1">
        <f>'Paste cell here'!AE79</f>
        <v>245.36411030007048</v>
      </c>
      <c r="I79" s="1">
        <f>'Paste cell here'!AF79</f>
        <v>245.74724434002195</v>
      </c>
      <c r="J79" s="1">
        <f t="shared" si="6"/>
        <v>5.6843418860808015E-14</v>
      </c>
      <c r="K79" s="1" t="str">
        <f>IF('(OLD) Bilancio primo strato'!D79&gt;0,1,"")</f>
        <v/>
      </c>
      <c r="L79" s="7">
        <f>Sintesi!$C$34</f>
        <v>0.128</v>
      </c>
      <c r="M79" s="7">
        <f>Sintesi!$C$33</f>
        <v>0.25700000000000001</v>
      </c>
      <c r="N79" s="1">
        <f>'Paste cell here'!AA79</f>
        <v>0.9</v>
      </c>
      <c r="O79" s="1">
        <f>'Paste cell here'!H79</f>
        <v>0.10626596679443415</v>
      </c>
      <c r="P79" s="1">
        <f t="shared" si="7"/>
        <v>116.10000000000001</v>
      </c>
      <c r="Q79" s="1">
        <f t="shared" si="8"/>
        <v>12.337478744833806</v>
      </c>
      <c r="R79" s="1">
        <f t="shared" si="9"/>
        <v>218.96252125516619</v>
      </c>
      <c r="S79" s="5">
        <f t="shared" si="10"/>
        <v>0.27262678922230055</v>
      </c>
      <c r="T79" s="5">
        <f t="shared" si="11"/>
        <v>0.24329169028351799</v>
      </c>
    </row>
    <row r="80" spans="1:20">
      <c r="A80" s="1">
        <v>79</v>
      </c>
      <c r="B80" s="2">
        <f>DATE(Sintesi!$C$4-1,12,31)+A80</f>
        <v>44275</v>
      </c>
      <c r="C80" s="1">
        <f>'Paste cell here'!T80</f>
        <v>0</v>
      </c>
      <c r="D80" s="1">
        <f>'Paste cell here'!AC80</f>
        <v>0</v>
      </c>
      <c r="E80" s="1">
        <f>'Paste cell here'!Y80</f>
        <v>0</v>
      </c>
      <c r="F80" s="1">
        <f>'Paste cell here'!AD80</f>
        <v>0.37530024845620924</v>
      </c>
      <c r="G80" s="1">
        <f>'Paste cell here'!W80</f>
        <v>0</v>
      </c>
      <c r="H80" s="1">
        <f>'Paste cell here'!AE80</f>
        <v>244.98881005161431</v>
      </c>
      <c r="I80" s="1">
        <f>'Paste cell here'!AF80</f>
        <v>245.36411030007048</v>
      </c>
      <c r="J80" s="1">
        <f t="shared" si="6"/>
        <v>2.8421709430404007E-14</v>
      </c>
      <c r="K80" s="1" t="str">
        <f>IF('(OLD) Bilancio primo strato'!D80&gt;0,1,"")</f>
        <v/>
      </c>
      <c r="L80" s="7">
        <f>Sintesi!$C$34</f>
        <v>0.128</v>
      </c>
      <c r="M80" s="7">
        <f>Sintesi!$C$33</f>
        <v>0.25700000000000001</v>
      </c>
      <c r="N80" s="1">
        <f>'Paste cell here'!AA80</f>
        <v>0.9</v>
      </c>
      <c r="O80" s="1">
        <f>'Paste cell here'!H80</f>
        <v>0.10314935952065432</v>
      </c>
      <c r="P80" s="1">
        <f t="shared" si="7"/>
        <v>116.10000000000001</v>
      </c>
      <c r="Q80" s="1">
        <f t="shared" si="8"/>
        <v>11.975640640347967</v>
      </c>
      <c r="R80" s="1">
        <f t="shared" si="9"/>
        <v>219.32435935965205</v>
      </c>
      <c r="S80" s="5">
        <f t="shared" si="10"/>
        <v>0.2722097889462381</v>
      </c>
      <c r="T80" s="5">
        <f t="shared" si="11"/>
        <v>0.24369373262183561</v>
      </c>
    </row>
    <row r="81" spans="1:20">
      <c r="A81" s="1">
        <v>80</v>
      </c>
      <c r="B81" s="2">
        <f>DATE(Sintesi!$C$4-1,12,31)+A81</f>
        <v>44276</v>
      </c>
      <c r="C81" s="1">
        <f>'Paste cell here'!T81</f>
        <v>0</v>
      </c>
      <c r="D81" s="1">
        <f>'Paste cell here'!AC81</f>
        <v>0</v>
      </c>
      <c r="E81" s="1">
        <f>'Paste cell here'!Y81</f>
        <v>0</v>
      </c>
      <c r="F81" s="1">
        <f>'Paste cell here'!AD81</f>
        <v>0.36776467852254024</v>
      </c>
      <c r="G81" s="1">
        <f>'Paste cell here'!W81</f>
        <v>0</v>
      </c>
      <c r="H81" s="1">
        <f>'Paste cell here'!AE81</f>
        <v>244.62104537309176</v>
      </c>
      <c r="I81" s="1">
        <f>'Paste cell here'!AF81</f>
        <v>244.98881005161431</v>
      </c>
      <c r="J81" s="1">
        <f t="shared" si="6"/>
        <v>0</v>
      </c>
      <c r="K81" s="1" t="str">
        <f>IF('(OLD) Bilancio primo strato'!D81&gt;0,1,"")</f>
        <v/>
      </c>
      <c r="L81" s="7">
        <f>Sintesi!$C$34</f>
        <v>0.128</v>
      </c>
      <c r="M81" s="7">
        <f>Sintesi!$C$33</f>
        <v>0.25700000000000001</v>
      </c>
      <c r="N81" s="1">
        <f>'Paste cell here'!AA81</f>
        <v>0.9</v>
      </c>
      <c r="O81" s="1">
        <f>'Paste cell here'!H81</f>
        <v>0.10114502479306103</v>
      </c>
      <c r="P81" s="1">
        <f t="shared" si="7"/>
        <v>116.10000000000001</v>
      </c>
      <c r="Q81" s="1">
        <f t="shared" si="8"/>
        <v>11.742937378474387</v>
      </c>
      <c r="R81" s="1">
        <f t="shared" si="9"/>
        <v>219.55706262152563</v>
      </c>
      <c r="S81" s="5">
        <f t="shared" si="10"/>
        <v>0.27180116152565753</v>
      </c>
      <c r="T81" s="5">
        <f t="shared" si="11"/>
        <v>0.24395229180169514</v>
      </c>
    </row>
    <row r="82" spans="1:20">
      <c r="A82" s="1">
        <v>81</v>
      </c>
      <c r="B82" s="2">
        <f>DATE(Sintesi!$C$4-1,12,31)+A82</f>
        <v>44277</v>
      </c>
      <c r="C82" s="1">
        <f>'Paste cell here'!T82</f>
        <v>0</v>
      </c>
      <c r="D82" s="1">
        <f>'Paste cell here'!AC82</f>
        <v>0</v>
      </c>
      <c r="E82" s="1">
        <f>'Paste cell here'!Y82</f>
        <v>0</v>
      </c>
      <c r="F82" s="1">
        <f>'Paste cell here'!AD82</f>
        <v>0.36051090701744792</v>
      </c>
      <c r="G82" s="1">
        <f>'Paste cell here'!W82</f>
        <v>0</v>
      </c>
      <c r="H82" s="1">
        <f>'Paste cell here'!AE82</f>
        <v>244.26053446607435</v>
      </c>
      <c r="I82" s="1">
        <f>'Paste cell here'!AF82</f>
        <v>244.62104537309179</v>
      </c>
      <c r="J82" s="1">
        <f t="shared" si="6"/>
        <v>0</v>
      </c>
      <c r="K82" s="1" t="str">
        <f>IF('(OLD) Bilancio primo strato'!D82&gt;0,1,"")</f>
        <v/>
      </c>
      <c r="L82" s="7">
        <f>Sintesi!$C$34</f>
        <v>0.128</v>
      </c>
      <c r="M82" s="7">
        <f>Sintesi!$C$33</f>
        <v>0.25700000000000001</v>
      </c>
      <c r="N82" s="1">
        <f>'Paste cell here'!AA82</f>
        <v>0.9</v>
      </c>
      <c r="O82" s="1">
        <f>'Paste cell here'!H82</f>
        <v>0.10662760255390964</v>
      </c>
      <c r="P82" s="1">
        <f t="shared" si="7"/>
        <v>116.10000000000001</v>
      </c>
      <c r="Q82" s="1">
        <f t="shared" si="8"/>
        <v>12.37946465650891</v>
      </c>
      <c r="R82" s="1">
        <f t="shared" si="9"/>
        <v>218.92053534349111</v>
      </c>
      <c r="S82" s="5">
        <f t="shared" si="10"/>
        <v>0.27140059385119369</v>
      </c>
      <c r="T82" s="5">
        <f t="shared" si="11"/>
        <v>0.24324503927054567</v>
      </c>
    </row>
    <row r="83" spans="1:20">
      <c r="A83" s="1">
        <v>82</v>
      </c>
      <c r="B83" s="2">
        <f>DATE(Sintesi!$C$4-1,12,31)+A83</f>
        <v>44278</v>
      </c>
      <c r="C83" s="1">
        <f>'Paste cell here'!T83</f>
        <v>0</v>
      </c>
      <c r="D83" s="1">
        <f>'Paste cell here'!AC83</f>
        <v>0</v>
      </c>
      <c r="E83" s="1">
        <f>'Paste cell here'!Y83</f>
        <v>0</v>
      </c>
      <c r="F83" s="1">
        <f>'Paste cell here'!AD83</f>
        <v>0.35352368478503965</v>
      </c>
      <c r="G83" s="1">
        <f>'Paste cell here'!W83</f>
        <v>0</v>
      </c>
      <c r="H83" s="1">
        <f>'Paste cell here'!AE83</f>
        <v>243.90701078128924</v>
      </c>
      <c r="I83" s="1">
        <f>'Paste cell here'!AF83</f>
        <v>244.26053446607432</v>
      </c>
      <c r="J83" s="1">
        <f t="shared" si="6"/>
        <v>2.8421709430404007E-14</v>
      </c>
      <c r="K83" s="1" t="str">
        <f>IF('(OLD) Bilancio primo strato'!D83&gt;0,1,"")</f>
        <v/>
      </c>
      <c r="L83" s="7">
        <f>Sintesi!$C$34</f>
        <v>0.128</v>
      </c>
      <c r="M83" s="7">
        <f>Sintesi!$C$33</f>
        <v>0.25700000000000001</v>
      </c>
      <c r="N83" s="1">
        <f>'Paste cell here'!AA83</f>
        <v>0.9</v>
      </c>
      <c r="O83" s="1">
        <f>'Paste cell here'!H83</f>
        <v>0.10000000149011612</v>
      </c>
      <c r="P83" s="1">
        <f t="shared" si="7"/>
        <v>116.10000000000001</v>
      </c>
      <c r="Q83" s="1">
        <f t="shared" si="8"/>
        <v>11.610000173002483</v>
      </c>
      <c r="R83" s="1">
        <f t="shared" si="9"/>
        <v>219.68999982699754</v>
      </c>
      <c r="S83" s="5">
        <f t="shared" si="10"/>
        <v>0.27100778975698803</v>
      </c>
      <c r="T83" s="5">
        <f t="shared" si="11"/>
        <v>0.24409999980777505</v>
      </c>
    </row>
    <row r="84" spans="1:20">
      <c r="A84" s="1">
        <v>83</v>
      </c>
      <c r="B84" s="2">
        <f>DATE(Sintesi!$C$4-1,12,31)+A84</f>
        <v>44279</v>
      </c>
      <c r="C84" s="1">
        <f>'Paste cell here'!T84</f>
        <v>0</v>
      </c>
      <c r="D84" s="1">
        <f>'Paste cell here'!AC84</f>
        <v>0</v>
      </c>
      <c r="E84" s="1">
        <f>'Paste cell here'!Y84</f>
        <v>0</v>
      </c>
      <c r="F84" s="1">
        <f>'Paste cell here'!AD84</f>
        <v>0.34678883411476236</v>
      </c>
      <c r="G84" s="1">
        <f>'Paste cell here'!W84</f>
        <v>0</v>
      </c>
      <c r="H84" s="1">
        <f>'Paste cell here'!AE84</f>
        <v>243.56022194717454</v>
      </c>
      <c r="I84" s="1">
        <f>'Paste cell here'!AF84</f>
        <v>243.90701078128924</v>
      </c>
      <c r="J84" s="1">
        <f t="shared" si="6"/>
        <v>5.6843418860808015E-14</v>
      </c>
      <c r="K84" s="1" t="str">
        <f>IF('(OLD) Bilancio primo strato'!D84&gt;0,1,"")</f>
        <v/>
      </c>
      <c r="L84" s="7">
        <f>Sintesi!$C$34</f>
        <v>0.128</v>
      </c>
      <c r="M84" s="7">
        <f>Sintesi!$C$33</f>
        <v>0.25700000000000001</v>
      </c>
      <c r="N84" s="1">
        <f>'Paste cell here'!AA84</f>
        <v>0.9</v>
      </c>
      <c r="O84" s="1">
        <f>'Paste cell here'!H84</f>
        <v>0.10000000149011612</v>
      </c>
      <c r="P84" s="1">
        <f t="shared" si="7"/>
        <v>116.10000000000001</v>
      </c>
      <c r="Q84" s="1">
        <f t="shared" si="8"/>
        <v>11.610000173002483</v>
      </c>
      <c r="R84" s="1">
        <f t="shared" si="9"/>
        <v>219.68999982699754</v>
      </c>
      <c r="S84" s="5">
        <f t="shared" si="10"/>
        <v>0.27062246883019392</v>
      </c>
      <c r="T84" s="5">
        <f t="shared" si="11"/>
        <v>0.24409999980777505</v>
      </c>
    </row>
    <row r="85" spans="1:20">
      <c r="A85" s="1">
        <v>84</v>
      </c>
      <c r="B85" s="2">
        <f>DATE(Sintesi!$C$4-1,12,31)+A85</f>
        <v>44280</v>
      </c>
      <c r="C85" s="1">
        <f>'Paste cell here'!T85</f>
        <v>0</v>
      </c>
      <c r="D85" s="1">
        <f>'Paste cell here'!AC85</f>
        <v>0</v>
      </c>
      <c r="E85" s="1">
        <f>'Paste cell here'!Y85</f>
        <v>0</v>
      </c>
      <c r="F85" s="1">
        <f>'Paste cell here'!AD85</f>
        <v>0.34029315673557392</v>
      </c>
      <c r="G85" s="1">
        <f>'Paste cell here'!W85</f>
        <v>0</v>
      </c>
      <c r="H85" s="1">
        <f>'Paste cell here'!AE85</f>
        <v>243.21992879043901</v>
      </c>
      <c r="I85" s="1">
        <f>'Paste cell here'!AF85</f>
        <v>243.56022194717454</v>
      </c>
      <c r="J85" s="1">
        <f t="shared" si="6"/>
        <v>5.6843418860808015E-14</v>
      </c>
      <c r="K85" s="1" t="str">
        <f>IF('(OLD) Bilancio primo strato'!D85&gt;0,1,"")</f>
        <v/>
      </c>
      <c r="L85" s="7">
        <f>Sintesi!$C$34</f>
        <v>0.128</v>
      </c>
      <c r="M85" s="7">
        <f>Sintesi!$C$33</f>
        <v>0.25700000000000001</v>
      </c>
      <c r="N85" s="1">
        <f>'Paste cell here'!AA85</f>
        <v>0.9</v>
      </c>
      <c r="O85" s="1">
        <f>'Paste cell here'!H85</f>
        <v>0.10000000149011612</v>
      </c>
      <c r="P85" s="1">
        <f t="shared" si="7"/>
        <v>116.10000000000001</v>
      </c>
      <c r="Q85" s="1">
        <f t="shared" si="8"/>
        <v>11.610000173002483</v>
      </c>
      <c r="R85" s="1">
        <f t="shared" si="9"/>
        <v>219.68999982699754</v>
      </c>
      <c r="S85" s="5">
        <f t="shared" si="10"/>
        <v>0.27024436532271001</v>
      </c>
      <c r="T85" s="5">
        <f t="shared" si="11"/>
        <v>0.24409999980777505</v>
      </c>
    </row>
    <row r="86" spans="1:20">
      <c r="A86" s="1">
        <v>85</v>
      </c>
      <c r="B86" s="2">
        <f>DATE(Sintesi!$C$4-1,12,31)+A86</f>
        <v>44281</v>
      </c>
      <c r="C86" s="1">
        <f>'Paste cell here'!T86</f>
        <v>0</v>
      </c>
      <c r="D86" s="1">
        <f>'Paste cell here'!AC86</f>
        <v>0</v>
      </c>
      <c r="E86" s="1">
        <f>'Paste cell here'!Y86</f>
        <v>0</v>
      </c>
      <c r="F86" s="1">
        <f>'Paste cell here'!AD86</f>
        <v>0.33402435109945994</v>
      </c>
      <c r="G86" s="1">
        <f>'Paste cell here'!W86</f>
        <v>0</v>
      </c>
      <c r="H86" s="1">
        <f>'Paste cell here'!AE86</f>
        <v>242.8859044393395</v>
      </c>
      <c r="I86" s="1">
        <f>'Paste cell here'!AF86</f>
        <v>243.21992879043901</v>
      </c>
      <c r="J86" s="1">
        <f t="shared" si="6"/>
        <v>5.6843418860808015E-14</v>
      </c>
      <c r="K86" s="1" t="str">
        <f>IF('(OLD) Bilancio primo strato'!D86&gt;0,1,"")</f>
        <v/>
      </c>
      <c r="L86" s="7">
        <f>Sintesi!$C$34</f>
        <v>0.128</v>
      </c>
      <c r="M86" s="7">
        <f>Sintesi!$C$33</f>
        <v>0.25700000000000001</v>
      </c>
      <c r="N86" s="1">
        <f>'Paste cell here'!AA86</f>
        <v>0.9</v>
      </c>
      <c r="O86" s="1">
        <f>'Paste cell here'!H86</f>
        <v>0.10000000149011612</v>
      </c>
      <c r="P86" s="1">
        <f t="shared" si="7"/>
        <v>116.10000000000001</v>
      </c>
      <c r="Q86" s="1">
        <f t="shared" si="8"/>
        <v>11.610000173002483</v>
      </c>
      <c r="R86" s="1">
        <f t="shared" si="9"/>
        <v>219.68999982699754</v>
      </c>
      <c r="S86" s="5">
        <f t="shared" si="10"/>
        <v>0.26987322715482165</v>
      </c>
      <c r="T86" s="5">
        <f t="shared" si="11"/>
        <v>0.24409999980777505</v>
      </c>
    </row>
    <row r="87" spans="1:20">
      <c r="A87" s="1">
        <v>86</v>
      </c>
      <c r="B87" s="2">
        <f>DATE(Sintesi!$C$4-1,12,31)+A87</f>
        <v>44282</v>
      </c>
      <c r="C87" s="1">
        <f>'Paste cell here'!T87</f>
        <v>0</v>
      </c>
      <c r="D87" s="1">
        <f>'Paste cell here'!AC87</f>
        <v>0</v>
      </c>
      <c r="E87" s="1">
        <f>'Paste cell here'!Y87</f>
        <v>0</v>
      </c>
      <c r="F87" s="1">
        <f>'Paste cell here'!AD87</f>
        <v>0.32797093788073828</v>
      </c>
      <c r="G87" s="1">
        <f>'Paste cell here'!W87</f>
        <v>0</v>
      </c>
      <c r="H87" s="1">
        <f>'Paste cell here'!AE87</f>
        <v>242.55793350145876</v>
      </c>
      <c r="I87" s="1">
        <f>'Paste cell here'!AF87</f>
        <v>242.8859044393395</v>
      </c>
      <c r="J87" s="1">
        <f t="shared" si="6"/>
        <v>0</v>
      </c>
      <c r="K87" s="1" t="str">
        <f>IF('(OLD) Bilancio primo strato'!D87&gt;0,1,"")</f>
        <v/>
      </c>
      <c r="L87" s="7">
        <f>Sintesi!$C$34</f>
        <v>0.128</v>
      </c>
      <c r="M87" s="7">
        <f>Sintesi!$C$33</f>
        <v>0.25700000000000001</v>
      </c>
      <c r="N87" s="1">
        <f>'Paste cell here'!AA87</f>
        <v>0.9</v>
      </c>
      <c r="O87" s="1">
        <f>'Paste cell here'!H87</f>
        <v>0.10000000149011612</v>
      </c>
      <c r="P87" s="1">
        <f t="shared" si="7"/>
        <v>116.10000000000001</v>
      </c>
      <c r="Q87" s="1">
        <f t="shared" si="8"/>
        <v>11.610000173002483</v>
      </c>
      <c r="R87" s="1">
        <f t="shared" si="9"/>
        <v>219.68999982699754</v>
      </c>
      <c r="S87" s="5">
        <f t="shared" si="10"/>
        <v>0.26950881500162083</v>
      </c>
      <c r="T87" s="5">
        <f t="shared" si="11"/>
        <v>0.24409999980777505</v>
      </c>
    </row>
    <row r="88" spans="1:20">
      <c r="A88" s="1">
        <v>87</v>
      </c>
      <c r="B88" s="2">
        <f>DATE(Sintesi!$C$4-1,12,31)+A88</f>
        <v>44283</v>
      </c>
      <c r="C88" s="1">
        <f>'Paste cell here'!T88</f>
        <v>0</v>
      </c>
      <c r="D88" s="1">
        <f>'Paste cell here'!AC88</f>
        <v>0</v>
      </c>
      <c r="E88" s="1">
        <f>'Paste cell here'!Y88</f>
        <v>0</v>
      </c>
      <c r="F88" s="1">
        <f>'Paste cell here'!AD88</f>
        <v>0.32212219275681436</v>
      </c>
      <c r="G88" s="1">
        <f>'Paste cell here'!W88</f>
        <v>0</v>
      </c>
      <c r="H88" s="1">
        <f>'Paste cell here'!AE88</f>
        <v>242.23581130870193</v>
      </c>
      <c r="I88" s="1">
        <f>'Paste cell here'!AF88</f>
        <v>242.55793350145873</v>
      </c>
      <c r="J88" s="1">
        <f t="shared" si="6"/>
        <v>0</v>
      </c>
      <c r="K88" s="1" t="str">
        <f>IF('(OLD) Bilancio primo strato'!D88&gt;0,1,"")</f>
        <v/>
      </c>
      <c r="L88" s="7">
        <f>Sintesi!$C$34</f>
        <v>0.128</v>
      </c>
      <c r="M88" s="7">
        <f>Sintesi!$C$33</f>
        <v>0.25700000000000001</v>
      </c>
      <c r="N88" s="1">
        <f>'Paste cell here'!AA88</f>
        <v>0.9</v>
      </c>
      <c r="O88" s="1">
        <f>'Paste cell here'!H88</f>
        <v>0.12856820202121511</v>
      </c>
      <c r="P88" s="1">
        <f t="shared" si="7"/>
        <v>116.10000000000001</v>
      </c>
      <c r="Q88" s="1">
        <f t="shared" si="8"/>
        <v>14.926768254663076</v>
      </c>
      <c r="R88" s="1">
        <f t="shared" si="9"/>
        <v>216.37323174533694</v>
      </c>
      <c r="S88" s="5">
        <f t="shared" si="10"/>
        <v>0.26915090145411324</v>
      </c>
      <c r="T88" s="5">
        <f t="shared" si="11"/>
        <v>0.24041470193926326</v>
      </c>
    </row>
    <row r="89" spans="1:20">
      <c r="A89" s="1">
        <v>88</v>
      </c>
      <c r="B89" s="2">
        <f>DATE(Sintesi!$C$4-1,12,31)+A89</f>
        <v>44284</v>
      </c>
      <c r="C89" s="1">
        <f>'Paste cell here'!T89</f>
        <v>0</v>
      </c>
      <c r="D89" s="1">
        <f>'Paste cell here'!AC89</f>
        <v>0</v>
      </c>
      <c r="E89" s="1">
        <f>'Paste cell here'!Y89</f>
        <v>0</v>
      </c>
      <c r="F89" s="1">
        <f>'Paste cell here'!AD89</f>
        <v>0.31646808565538276</v>
      </c>
      <c r="G89" s="1">
        <f>'Paste cell here'!W89</f>
        <v>0</v>
      </c>
      <c r="H89" s="1">
        <f>'Paste cell here'!AE89</f>
        <v>241.91934322304661</v>
      </c>
      <c r="I89" s="1">
        <f>'Paste cell here'!AF89</f>
        <v>242.23581130870193</v>
      </c>
      <c r="J89" s="1">
        <f t="shared" si="6"/>
        <v>5.6843418860808015E-14</v>
      </c>
      <c r="K89" s="1" t="str">
        <f>IF('(OLD) Bilancio primo strato'!D89&gt;0,1,"")</f>
        <v/>
      </c>
      <c r="L89" s="7">
        <f>Sintesi!$C$34</f>
        <v>0.128</v>
      </c>
      <c r="M89" s="7">
        <f>Sintesi!$C$33</f>
        <v>0.25700000000000001</v>
      </c>
      <c r="N89" s="1">
        <f>'Paste cell here'!AA89</f>
        <v>0.9</v>
      </c>
      <c r="O89" s="1">
        <f>'Paste cell here'!H89</f>
        <v>0.10000000149011612</v>
      </c>
      <c r="P89" s="1">
        <f t="shared" si="7"/>
        <v>116.10000000000001</v>
      </c>
      <c r="Q89" s="1">
        <f t="shared" si="8"/>
        <v>11.610000173002483</v>
      </c>
      <c r="R89" s="1">
        <f t="shared" si="9"/>
        <v>219.68999982699754</v>
      </c>
      <c r="S89" s="5">
        <f t="shared" si="10"/>
        <v>0.26879927024782957</v>
      </c>
      <c r="T89" s="5">
        <f t="shared" si="11"/>
        <v>0.24409999980777505</v>
      </c>
    </row>
    <row r="90" spans="1:20">
      <c r="A90" s="1">
        <v>89</v>
      </c>
      <c r="B90" s="2">
        <f>DATE(Sintesi!$C$4-1,12,31)+A90</f>
        <v>44285</v>
      </c>
      <c r="C90" s="1">
        <f>'Paste cell here'!T90</f>
        <v>0</v>
      </c>
      <c r="D90" s="1">
        <f>'Paste cell here'!AC90</f>
        <v>0</v>
      </c>
      <c r="E90" s="1">
        <f>'Paste cell here'!Y90</f>
        <v>0</v>
      </c>
      <c r="F90" s="1">
        <f>'Paste cell here'!AD90</f>
        <v>0.3109992257554583</v>
      </c>
      <c r="G90" s="1">
        <f>'Paste cell here'!W90</f>
        <v>0</v>
      </c>
      <c r="H90" s="1">
        <f>'Paste cell here'!AE90</f>
        <v>241.60834399729123</v>
      </c>
      <c r="I90" s="1">
        <f>'Paste cell here'!AF90</f>
        <v>241.91934322304661</v>
      </c>
      <c r="J90" s="1">
        <f t="shared" si="6"/>
        <v>8.5265128291212022E-14</v>
      </c>
      <c r="K90" s="1" t="str">
        <f>IF('(OLD) Bilancio primo strato'!D90&gt;0,1,"")</f>
        <v/>
      </c>
      <c r="L90" s="7">
        <f>Sintesi!$C$34</f>
        <v>0.128</v>
      </c>
      <c r="M90" s="7">
        <f>Sintesi!$C$33</f>
        <v>0.25700000000000001</v>
      </c>
      <c r="N90" s="1">
        <f>'Paste cell here'!AA90</f>
        <v>0.9</v>
      </c>
      <c r="O90" s="1">
        <f>'Paste cell here'!H90</f>
        <v>0.10000000149011612</v>
      </c>
      <c r="P90" s="1">
        <f t="shared" si="7"/>
        <v>116.10000000000001</v>
      </c>
      <c r="Q90" s="1">
        <f t="shared" si="8"/>
        <v>11.610000173002483</v>
      </c>
      <c r="R90" s="1">
        <f t="shared" si="9"/>
        <v>219.68999982699754</v>
      </c>
      <c r="S90" s="5">
        <f t="shared" si="10"/>
        <v>0.26845371555254582</v>
      </c>
      <c r="T90" s="5">
        <f t="shared" si="11"/>
        <v>0.24409999980777505</v>
      </c>
    </row>
    <row r="91" spans="1:20">
      <c r="A91" s="1">
        <v>90</v>
      </c>
      <c r="B91" s="2">
        <f>DATE(Sintesi!$C$4-1,12,31)+A91</f>
        <v>44286</v>
      </c>
      <c r="C91" s="1">
        <f>'Paste cell here'!T91</f>
        <v>0</v>
      </c>
      <c r="D91" s="1">
        <f>'Paste cell here'!AC91</f>
        <v>0</v>
      </c>
      <c r="E91" s="1">
        <f>'Paste cell here'!Y91</f>
        <v>0</v>
      </c>
      <c r="F91" s="1">
        <f>'Paste cell here'!AD91</f>
        <v>0.30570681161786306</v>
      </c>
      <c r="G91" s="1">
        <f>'Paste cell here'!W91</f>
        <v>0</v>
      </c>
      <c r="H91" s="1">
        <f>'Paste cell here'!AE91</f>
        <v>241.30263718567338</v>
      </c>
      <c r="I91" s="1">
        <f>'Paste cell here'!AF91</f>
        <v>241.60834399729126</v>
      </c>
      <c r="J91" s="1">
        <f t="shared" si="6"/>
        <v>2.8421709430404007E-14</v>
      </c>
      <c r="K91" s="1" t="str">
        <f>IF('(OLD) Bilancio primo strato'!D91&gt;0,1,"")</f>
        <v/>
      </c>
      <c r="L91" s="7">
        <f>Sintesi!$C$34</f>
        <v>0.128</v>
      </c>
      <c r="M91" s="7">
        <f>Sintesi!$C$33</f>
        <v>0.25700000000000001</v>
      </c>
      <c r="N91" s="1">
        <f>'Paste cell here'!AA91</f>
        <v>0.9</v>
      </c>
      <c r="O91" s="1">
        <f>'Paste cell here'!H91</f>
        <v>0.10000000149011612</v>
      </c>
      <c r="P91" s="1">
        <f t="shared" si="7"/>
        <v>116.10000000000001</v>
      </c>
      <c r="Q91" s="1">
        <f t="shared" si="8"/>
        <v>11.610000173002483</v>
      </c>
      <c r="R91" s="1">
        <f t="shared" si="9"/>
        <v>219.68999982699754</v>
      </c>
      <c r="S91" s="5">
        <f t="shared" si="10"/>
        <v>0.26811404131741484</v>
      </c>
      <c r="T91" s="5">
        <f t="shared" si="11"/>
        <v>0.24409999980777505</v>
      </c>
    </row>
    <row r="92" spans="1:20">
      <c r="A92" s="1">
        <v>91</v>
      </c>
      <c r="B92" s="2">
        <f>DATE(Sintesi!$C$4-1,12,31)+A92</f>
        <v>44287</v>
      </c>
      <c r="C92" s="1">
        <f>'Paste cell here'!T92</f>
        <v>0</v>
      </c>
      <c r="D92" s="1">
        <f>'Paste cell here'!AC92</f>
        <v>0</v>
      </c>
      <c r="E92" s="1">
        <f>'Paste cell here'!Y92</f>
        <v>0</v>
      </c>
      <c r="F92" s="1">
        <f>'Paste cell here'!AD92</f>
        <v>0.30058258589688569</v>
      </c>
      <c r="G92" s="1">
        <f>'Paste cell here'!W92</f>
        <v>0</v>
      </c>
      <c r="H92" s="1">
        <f>'Paste cell here'!AE92</f>
        <v>241.00205459977644</v>
      </c>
      <c r="I92" s="1">
        <f>'Paste cell here'!AF92</f>
        <v>241.30263718567335</v>
      </c>
      <c r="J92" s="1">
        <f t="shared" si="6"/>
        <v>2.8421709430404007E-14</v>
      </c>
      <c r="K92" s="1" t="str">
        <f>IF('(OLD) Bilancio primo strato'!D92&gt;0,1,"")</f>
        <v/>
      </c>
      <c r="L92" s="7">
        <f>Sintesi!$C$34</f>
        <v>0.128</v>
      </c>
      <c r="M92" s="7">
        <f>Sintesi!$C$33</f>
        <v>0.25700000000000001</v>
      </c>
      <c r="N92" s="1">
        <f>'Paste cell here'!AA92</f>
        <v>0.9</v>
      </c>
      <c r="O92" s="1">
        <f>'Paste cell here'!H92</f>
        <v>0.10000000149011612</v>
      </c>
      <c r="P92" s="1">
        <f t="shared" si="7"/>
        <v>116.10000000000001</v>
      </c>
      <c r="Q92" s="1">
        <f t="shared" si="8"/>
        <v>11.610000173002483</v>
      </c>
      <c r="R92" s="1">
        <f t="shared" si="9"/>
        <v>219.68999982699754</v>
      </c>
      <c r="S92" s="5">
        <f t="shared" si="10"/>
        <v>0.2677800606664183</v>
      </c>
      <c r="T92" s="5">
        <f t="shared" si="11"/>
        <v>0.24409999980777505</v>
      </c>
    </row>
    <row r="93" spans="1:20">
      <c r="A93" s="1">
        <v>92</v>
      </c>
      <c r="B93" s="2">
        <f>DATE(Sintesi!$C$4-1,12,31)+A93</f>
        <v>44288</v>
      </c>
      <c r="C93" s="1">
        <f>'Paste cell here'!T93</f>
        <v>0</v>
      </c>
      <c r="D93" s="1">
        <f>'Paste cell here'!AC93</f>
        <v>0</v>
      </c>
      <c r="E93" s="1">
        <f>'Paste cell here'!Y93</f>
        <v>0</v>
      </c>
      <c r="F93" s="1">
        <f>'Paste cell here'!AD93</f>
        <v>0.29561879415070275</v>
      </c>
      <c r="G93" s="1">
        <f>'Paste cell here'!W93</f>
        <v>0</v>
      </c>
      <c r="H93" s="1">
        <f>'Paste cell here'!AE93</f>
        <v>240.70643580562574</v>
      </c>
      <c r="I93" s="1">
        <f>'Paste cell here'!AF93</f>
        <v>241.00205459977647</v>
      </c>
      <c r="J93" s="1">
        <f t="shared" si="6"/>
        <v>2.8421709430404007E-14</v>
      </c>
      <c r="K93" s="1" t="str">
        <f>IF('(OLD) Bilancio primo strato'!D93&gt;0,1,"")</f>
        <v/>
      </c>
      <c r="L93" s="7">
        <f>Sintesi!$C$34</f>
        <v>0.128</v>
      </c>
      <c r="M93" s="7">
        <f>Sintesi!$C$33</f>
        <v>0.25700000000000001</v>
      </c>
      <c r="N93" s="1">
        <f>'Paste cell here'!AA93</f>
        <v>0.9</v>
      </c>
      <c r="O93" s="1">
        <f>'Paste cell here'!H93</f>
        <v>0.10000000149011612</v>
      </c>
      <c r="P93" s="1">
        <f t="shared" si="7"/>
        <v>116.10000000000001</v>
      </c>
      <c r="Q93" s="1">
        <f t="shared" si="8"/>
        <v>11.610000173002483</v>
      </c>
      <c r="R93" s="1">
        <f t="shared" si="9"/>
        <v>219.68999982699754</v>
      </c>
      <c r="S93" s="5">
        <f t="shared" si="10"/>
        <v>0.26745159533958418</v>
      </c>
      <c r="T93" s="5">
        <f t="shared" si="11"/>
        <v>0.24409999980777505</v>
      </c>
    </row>
    <row r="94" spans="1:20">
      <c r="A94" s="1">
        <v>93</v>
      </c>
      <c r="B94" s="2">
        <f>DATE(Sintesi!$C$4-1,12,31)+A94</f>
        <v>44289</v>
      </c>
      <c r="C94" s="1">
        <f>'Paste cell here'!T94</f>
        <v>29.298734780487361</v>
      </c>
      <c r="D94" s="1">
        <f>'Paste cell here'!AC94</f>
        <v>0</v>
      </c>
      <c r="E94" s="1">
        <f>'Paste cell here'!Y94</f>
        <v>0</v>
      </c>
      <c r="F94" s="1">
        <f>'Paste cell here'!AD94</f>
        <v>20.9440640316257</v>
      </c>
      <c r="G94" s="1">
        <f>'Paste cell here'!W94</f>
        <v>0</v>
      </c>
      <c r="H94" s="1">
        <f>'Paste cell here'!AE94</f>
        <v>61.844989816778465</v>
      </c>
      <c r="I94" s="1">
        <f>'Paste cell here'!AF94</f>
        <v>53.490319067916822</v>
      </c>
      <c r="J94" s="1">
        <f t="shared" si="6"/>
        <v>1.4210854715202004E-14</v>
      </c>
      <c r="K94" s="1">
        <f>IF('(OLD) Bilancio primo strato'!D94&gt;0,1,"")</f>
        <v>1</v>
      </c>
      <c r="L94" s="7">
        <f>Sintesi!$C$34</f>
        <v>0.128</v>
      </c>
      <c r="M94" s="7">
        <f>Sintesi!$C$33</f>
        <v>0.25700000000000001</v>
      </c>
      <c r="N94" s="1">
        <f>'Paste cell here'!AA94</f>
        <v>0.19999999999999998</v>
      </c>
      <c r="O94" s="1">
        <f>'Paste cell here'!H94</f>
        <v>0.5058587186518656</v>
      </c>
      <c r="P94" s="1">
        <f t="shared" si="7"/>
        <v>25.8</v>
      </c>
      <c r="Q94" s="1">
        <f t="shared" si="8"/>
        <v>13.051154941218133</v>
      </c>
      <c r="R94" s="1">
        <f t="shared" si="9"/>
        <v>38.348845058781862</v>
      </c>
      <c r="S94" s="5">
        <f t="shared" si="10"/>
        <v>0.30922494908389236</v>
      </c>
      <c r="T94" s="5">
        <f t="shared" si="11"/>
        <v>0.19174422529390933</v>
      </c>
    </row>
    <row r="95" spans="1:20">
      <c r="A95" s="1">
        <v>94</v>
      </c>
      <c r="B95" s="2">
        <f>DATE(Sintesi!$C$4-1,12,31)+A95</f>
        <v>44290</v>
      </c>
      <c r="C95" s="1">
        <f>'Paste cell here'!T95</f>
        <v>1.592999951691511</v>
      </c>
      <c r="D95" s="1">
        <f>'Paste cell here'!AC95</f>
        <v>0</v>
      </c>
      <c r="E95" s="1">
        <f>'Paste cell here'!Y95</f>
        <v>0</v>
      </c>
      <c r="F95" s="1">
        <f>'Paste cell here'!AD95</f>
        <v>7.2602528124552723</v>
      </c>
      <c r="G95" s="1">
        <f>'Paste cell here'!W95</f>
        <v>0</v>
      </c>
      <c r="H95" s="1">
        <f>'Paste cell here'!AE95</f>
        <v>56.177736956014705</v>
      </c>
      <c r="I95" s="1">
        <f>'Paste cell here'!AF95</f>
        <v>61.844989816778465</v>
      </c>
      <c r="J95" s="1">
        <f t="shared" si="6"/>
        <v>0</v>
      </c>
      <c r="K95" s="1" t="str">
        <f>IF('(OLD) Bilancio primo strato'!D95&gt;0,1,"")</f>
        <v/>
      </c>
      <c r="L95" s="7">
        <f>Sintesi!$C$34</f>
        <v>0.128</v>
      </c>
      <c r="M95" s="7">
        <f>Sintesi!$C$33</f>
        <v>0.25700000000000001</v>
      </c>
      <c r="N95" s="1">
        <f>'Paste cell here'!AA95</f>
        <v>0.19999999999999998</v>
      </c>
      <c r="O95" s="1">
        <f>'Paste cell here'!H95</f>
        <v>0.53326164814825383</v>
      </c>
      <c r="P95" s="1">
        <f t="shared" si="7"/>
        <v>25.8</v>
      </c>
      <c r="Q95" s="1">
        <f t="shared" si="8"/>
        <v>13.75815052222495</v>
      </c>
      <c r="R95" s="1">
        <f t="shared" si="9"/>
        <v>37.64184947777504</v>
      </c>
      <c r="S95" s="5">
        <f t="shared" si="10"/>
        <v>0.28088868478007356</v>
      </c>
      <c r="T95" s="5">
        <f t="shared" si="11"/>
        <v>0.18820924738887523</v>
      </c>
    </row>
    <row r="96" spans="1:20">
      <c r="A96" s="1">
        <v>95</v>
      </c>
      <c r="B96" s="2">
        <f>DATE(Sintesi!$C$4-1,12,31)+A96</f>
        <v>44291</v>
      </c>
      <c r="C96" s="1">
        <f>'Paste cell here'!T96</f>
        <v>0.11121289339692961</v>
      </c>
      <c r="D96" s="1">
        <f>'Paste cell here'!AC96</f>
        <v>0</v>
      </c>
      <c r="E96" s="1">
        <f>'Paste cell here'!Y96</f>
        <v>0</v>
      </c>
      <c r="F96" s="1">
        <f>'Paste cell here'!AD96</f>
        <v>2.3167568870429465</v>
      </c>
      <c r="G96" s="1">
        <f>'Paste cell here'!W96</f>
        <v>0</v>
      </c>
      <c r="H96" s="1">
        <f>'Paste cell here'!AE96</f>
        <v>53.972192962368702</v>
      </c>
      <c r="I96" s="1">
        <f>'Paste cell here'!AF96</f>
        <v>56.177736956014712</v>
      </c>
      <c r="J96" s="1">
        <f t="shared" si="6"/>
        <v>7.1054273576010019E-15</v>
      </c>
      <c r="K96" s="1" t="str">
        <f>IF('(OLD) Bilancio primo strato'!D96&gt;0,1,"")</f>
        <v/>
      </c>
      <c r="L96" s="7">
        <f>Sintesi!$C$34</f>
        <v>0.128</v>
      </c>
      <c r="M96" s="7">
        <f>Sintesi!$C$33</f>
        <v>0.25700000000000001</v>
      </c>
      <c r="N96" s="1">
        <f>'Paste cell here'!AA96</f>
        <v>0.19999999999999998</v>
      </c>
      <c r="O96" s="1">
        <f>'Paste cell here'!H96</f>
        <v>0.55026720803932383</v>
      </c>
      <c r="P96" s="1">
        <f t="shared" si="7"/>
        <v>25.8</v>
      </c>
      <c r="Q96" s="1">
        <f t="shared" si="8"/>
        <v>14.196893967414555</v>
      </c>
      <c r="R96" s="1">
        <f t="shared" si="9"/>
        <v>37.203106032585438</v>
      </c>
      <c r="S96" s="5">
        <f t="shared" si="10"/>
        <v>0.26986096481184357</v>
      </c>
      <c r="T96" s="5">
        <f t="shared" si="11"/>
        <v>0.18601553016292721</v>
      </c>
    </row>
    <row r="97" spans="1:20">
      <c r="A97" s="1">
        <v>96</v>
      </c>
      <c r="B97" s="2">
        <f>DATE(Sintesi!$C$4-1,12,31)+A97</f>
        <v>44292</v>
      </c>
      <c r="C97" s="1">
        <f>'Paste cell here'!T97</f>
        <v>6.5740972991432112E-3</v>
      </c>
      <c r="D97" s="1">
        <f>'Paste cell here'!AC97</f>
        <v>0</v>
      </c>
      <c r="E97" s="1">
        <f>'Paste cell here'!Y97</f>
        <v>0</v>
      </c>
      <c r="F97" s="1">
        <f>'Paste cell here'!AD97</f>
        <v>1.2055499783773111</v>
      </c>
      <c r="G97" s="1">
        <f>'Paste cell here'!W97</f>
        <v>0</v>
      </c>
      <c r="H97" s="1">
        <f>'Paste cell here'!AE97</f>
        <v>52.773217081290532</v>
      </c>
      <c r="I97" s="1">
        <f>'Paste cell here'!AF97</f>
        <v>53.972192962368709</v>
      </c>
      <c r="J97" s="1">
        <f t="shared" si="6"/>
        <v>7.1054273576010019E-15</v>
      </c>
      <c r="K97" s="1" t="str">
        <f>IF('(OLD) Bilancio primo strato'!D97&gt;0,1,"")</f>
        <v/>
      </c>
      <c r="L97" s="7">
        <f>Sintesi!$C$34</f>
        <v>0.128</v>
      </c>
      <c r="M97" s="7">
        <f>Sintesi!$C$33</f>
        <v>0.25700000000000001</v>
      </c>
      <c r="N97" s="1">
        <f>'Paste cell here'!AA97</f>
        <v>0.19999999999999998</v>
      </c>
      <c r="O97" s="1">
        <f>'Paste cell here'!H97</f>
        <v>0.55541658323626997</v>
      </c>
      <c r="P97" s="1">
        <f t="shared" si="7"/>
        <v>25.8</v>
      </c>
      <c r="Q97" s="1">
        <f t="shared" si="8"/>
        <v>14.329747847495765</v>
      </c>
      <c r="R97" s="1">
        <f t="shared" si="9"/>
        <v>37.070252152504224</v>
      </c>
      <c r="S97" s="5">
        <f t="shared" si="10"/>
        <v>0.26386608540645268</v>
      </c>
      <c r="T97" s="5">
        <f t="shared" si="11"/>
        <v>0.18535126076252115</v>
      </c>
    </row>
    <row r="98" spans="1:20">
      <c r="A98" s="1">
        <v>97</v>
      </c>
      <c r="B98" s="2">
        <f>DATE(Sintesi!$C$4-1,12,31)+A98</f>
        <v>44293</v>
      </c>
      <c r="C98" s="1">
        <f>'Paste cell here'!T98</f>
        <v>1.0488832939328671E-4</v>
      </c>
      <c r="D98" s="1">
        <f>'Paste cell here'!AC98</f>
        <v>0</v>
      </c>
      <c r="E98" s="1">
        <f>'Paste cell here'!Y98</f>
        <v>0</v>
      </c>
      <c r="F98" s="1">
        <f>'Paste cell here'!AD98</f>
        <v>0.75581041250880077</v>
      </c>
      <c r="G98" s="1">
        <f>'Paste cell here'!W98</f>
        <v>0</v>
      </c>
      <c r="H98" s="1">
        <f>'Paste cell here'!AE98</f>
        <v>52.017511557111121</v>
      </c>
      <c r="I98" s="1">
        <f>'Paste cell here'!AF98</f>
        <v>52.773217081290532</v>
      </c>
      <c r="J98" s="1">
        <f t="shared" si="6"/>
        <v>7.1054273576010019E-15</v>
      </c>
      <c r="K98" s="1" t="str">
        <f>IF('(OLD) Bilancio primo strato'!D98&gt;0,1,"")</f>
        <v/>
      </c>
      <c r="L98" s="7">
        <f>Sintesi!$C$34</f>
        <v>0.128</v>
      </c>
      <c r="M98" s="7">
        <f>Sintesi!$C$33</f>
        <v>0.25700000000000001</v>
      </c>
      <c r="N98" s="1">
        <f>'Paste cell here'!AA98</f>
        <v>0.19999999999999998</v>
      </c>
      <c r="O98" s="1">
        <f>'Paste cell here'!H98</f>
        <v>0.52913526253922827</v>
      </c>
      <c r="P98" s="1">
        <f t="shared" si="7"/>
        <v>25.8</v>
      </c>
      <c r="Q98" s="1">
        <f t="shared" si="8"/>
        <v>13.651689773512089</v>
      </c>
      <c r="R98" s="1">
        <f t="shared" si="9"/>
        <v>37.748310226487902</v>
      </c>
      <c r="S98" s="5">
        <f t="shared" si="10"/>
        <v>0.26008755778555565</v>
      </c>
      <c r="T98" s="5">
        <f t="shared" si="11"/>
        <v>0.18874155113243954</v>
      </c>
    </row>
    <row r="99" spans="1:20">
      <c r="A99" s="1">
        <v>98</v>
      </c>
      <c r="B99" s="2">
        <f>DATE(Sintesi!$C$4-1,12,31)+A99</f>
        <v>44294</v>
      </c>
      <c r="C99" s="1">
        <f>'Paste cell here'!T99</f>
        <v>1.6174618852960025E-6</v>
      </c>
      <c r="D99" s="1">
        <f>'Paste cell here'!AC99</f>
        <v>0</v>
      </c>
      <c r="E99" s="1">
        <f>'Paste cell here'!Y99</f>
        <v>0</v>
      </c>
      <c r="F99" s="1">
        <f>'Paste cell here'!AD99</f>
        <v>0.52250509788209276</v>
      </c>
      <c r="G99" s="1">
        <f>'Paste cell here'!W99</f>
        <v>0</v>
      </c>
      <c r="H99" s="1">
        <f>'Paste cell here'!AE99</f>
        <v>51.495008076690901</v>
      </c>
      <c r="I99" s="1">
        <f>'Paste cell here'!AF99</f>
        <v>52.017511557111121</v>
      </c>
      <c r="J99" s="1">
        <f t="shared" si="6"/>
        <v>7.1054273576010019E-15</v>
      </c>
      <c r="K99" s="1" t="str">
        <f>IF('(OLD) Bilancio primo strato'!D99&gt;0,1,"")</f>
        <v/>
      </c>
      <c r="L99" s="7">
        <f>Sintesi!$C$34</f>
        <v>0.128</v>
      </c>
      <c r="M99" s="7">
        <f>Sintesi!$C$33</f>
        <v>0.25700000000000001</v>
      </c>
      <c r="N99" s="1">
        <f>'Paste cell here'!AA99</f>
        <v>0.19999999999999998</v>
      </c>
      <c r="O99" s="1">
        <f>'Paste cell here'!H99</f>
        <v>0.54423214052226254</v>
      </c>
      <c r="P99" s="1">
        <f t="shared" si="7"/>
        <v>25.8</v>
      </c>
      <c r="Q99" s="1">
        <f t="shared" si="8"/>
        <v>14.041189225474374</v>
      </c>
      <c r="R99" s="1">
        <f t="shared" si="9"/>
        <v>37.358810774525615</v>
      </c>
      <c r="S99" s="5">
        <f t="shared" si="10"/>
        <v>0.25747504038345453</v>
      </c>
      <c r="T99" s="5">
        <f t="shared" si="11"/>
        <v>0.1867940538726281</v>
      </c>
    </row>
    <row r="100" spans="1:20">
      <c r="A100" s="1">
        <v>99</v>
      </c>
      <c r="B100" s="2">
        <f>DATE(Sintesi!$C$4-1,12,31)+A100</f>
        <v>44295</v>
      </c>
      <c r="C100" s="1">
        <f>'Paste cell here'!T100</f>
        <v>1.9491242920625866E-8</v>
      </c>
      <c r="D100" s="1">
        <f>'Paste cell here'!AC100</f>
        <v>0</v>
      </c>
      <c r="E100" s="1">
        <f>'Paste cell here'!Y100</f>
        <v>0</v>
      </c>
      <c r="F100" s="1">
        <f>'Paste cell here'!AD100</f>
        <v>0.38621247804975489</v>
      </c>
      <c r="G100" s="1">
        <f>'Paste cell here'!W100</f>
        <v>0</v>
      </c>
      <c r="H100" s="1">
        <f>'Paste cell here'!AE100</f>
        <v>51.10879561813239</v>
      </c>
      <c r="I100" s="1">
        <f>'Paste cell here'!AF100</f>
        <v>51.495008076690908</v>
      </c>
      <c r="J100" s="1">
        <f t="shared" si="6"/>
        <v>7.1054273576010019E-15</v>
      </c>
      <c r="K100" s="1" t="str">
        <f>IF('(OLD) Bilancio primo strato'!D100&gt;0,1,"")</f>
        <v/>
      </c>
      <c r="L100" s="7">
        <f>Sintesi!$C$34</f>
        <v>0.128</v>
      </c>
      <c r="M100" s="7">
        <f>Sintesi!$C$33</f>
        <v>0.25700000000000001</v>
      </c>
      <c r="N100" s="1">
        <f>'Paste cell here'!AA100</f>
        <v>0.19999999999999998</v>
      </c>
      <c r="O100" s="1">
        <f>'Paste cell here'!H100</f>
        <v>0.54421838682668966</v>
      </c>
      <c r="P100" s="1">
        <f t="shared" si="7"/>
        <v>25.8</v>
      </c>
      <c r="Q100" s="1">
        <f t="shared" si="8"/>
        <v>14.040834380128594</v>
      </c>
      <c r="R100" s="1">
        <f t="shared" si="9"/>
        <v>37.359165619871398</v>
      </c>
      <c r="S100" s="5">
        <f t="shared" si="10"/>
        <v>0.25554397809066198</v>
      </c>
      <c r="T100" s="5">
        <f t="shared" si="11"/>
        <v>0.18679582809935702</v>
      </c>
    </row>
    <row r="101" spans="1:20">
      <c r="A101" s="1">
        <v>100</v>
      </c>
      <c r="B101" s="2">
        <f>DATE(Sintesi!$C$4-1,12,31)+A101</f>
        <v>44296</v>
      </c>
      <c r="C101" s="1">
        <f>'Paste cell here'!T101</f>
        <v>6.9494323154658734E-8</v>
      </c>
      <c r="D101" s="1">
        <f>'Paste cell here'!AC101</f>
        <v>0</v>
      </c>
      <c r="E101" s="1">
        <f>'Paste cell here'!Y101</f>
        <v>0</v>
      </c>
      <c r="F101" s="1">
        <f>'Paste cell here'!AD101</f>
        <v>0.3002294506550488</v>
      </c>
      <c r="G101" s="1">
        <f>'Paste cell here'!W101</f>
        <v>0</v>
      </c>
      <c r="H101" s="1">
        <f>'Paste cell here'!AE101</f>
        <v>50.80856623697165</v>
      </c>
      <c r="I101" s="1">
        <f>'Paste cell here'!AF101</f>
        <v>51.10879561813239</v>
      </c>
      <c r="J101" s="1">
        <f t="shared" si="6"/>
        <v>1.4210854715202004E-14</v>
      </c>
      <c r="K101" s="1" t="str">
        <f>IF('(OLD) Bilancio primo strato'!D101&gt;0,1,"")</f>
        <v/>
      </c>
      <c r="L101" s="7">
        <f>Sintesi!$C$34</f>
        <v>0.128</v>
      </c>
      <c r="M101" s="7">
        <f>Sintesi!$C$33</f>
        <v>0.25700000000000001</v>
      </c>
      <c r="N101" s="1">
        <f>'Paste cell here'!AA101</f>
        <v>0.19999999999999998</v>
      </c>
      <c r="O101" s="1">
        <f>'Paste cell here'!H101</f>
        <v>0.599568338532113</v>
      </c>
      <c r="P101" s="1">
        <f t="shared" si="7"/>
        <v>25.8</v>
      </c>
      <c r="Q101" s="1">
        <f t="shared" si="8"/>
        <v>15.468863134128515</v>
      </c>
      <c r="R101" s="1">
        <f t="shared" si="9"/>
        <v>35.93113686587148</v>
      </c>
      <c r="S101" s="5">
        <f t="shared" si="10"/>
        <v>0.25404283118485826</v>
      </c>
      <c r="T101" s="5">
        <f t="shared" si="11"/>
        <v>0.17965568432935741</v>
      </c>
    </row>
    <row r="102" spans="1:20">
      <c r="A102" s="1">
        <v>101</v>
      </c>
      <c r="B102" s="2">
        <f>DATE(Sintesi!$C$4-1,12,31)+A102</f>
        <v>44297</v>
      </c>
      <c r="C102" s="1">
        <f>'Paste cell here'!T102</f>
        <v>0.32600479895849266</v>
      </c>
      <c r="D102" s="1">
        <f>'Paste cell here'!AC102</f>
        <v>0</v>
      </c>
      <c r="E102" s="1">
        <f>'Paste cell here'!Y102</f>
        <v>0</v>
      </c>
      <c r="F102" s="1">
        <f>'Paste cell here'!AD102</f>
        <v>0.24525472832402712</v>
      </c>
      <c r="G102" s="1">
        <f>'Paste cell here'!W102</f>
        <v>0</v>
      </c>
      <c r="H102" s="1">
        <f>'Paste cell here'!AE102</f>
        <v>50.889316307606116</v>
      </c>
      <c r="I102" s="1">
        <f>'Paste cell here'!AF102</f>
        <v>50.80856623697165</v>
      </c>
      <c r="J102" s="1">
        <f t="shared" si="6"/>
        <v>0</v>
      </c>
      <c r="K102" s="1" t="str">
        <f>IF('(OLD) Bilancio primo strato'!D102&gt;0,1,"")</f>
        <v/>
      </c>
      <c r="L102" s="7">
        <f>Sintesi!$C$34</f>
        <v>0.128</v>
      </c>
      <c r="M102" s="7">
        <f>Sintesi!$C$33</f>
        <v>0.25700000000000001</v>
      </c>
      <c r="N102" s="1">
        <f>'Paste cell here'!AA102</f>
        <v>0.19999999999999998</v>
      </c>
      <c r="O102" s="1">
        <f>'Paste cell here'!H102</f>
        <v>0.62324903381270402</v>
      </c>
      <c r="P102" s="1">
        <f t="shared" si="7"/>
        <v>25.8</v>
      </c>
      <c r="Q102" s="1">
        <f t="shared" si="8"/>
        <v>16.079825072367765</v>
      </c>
      <c r="R102" s="1">
        <f t="shared" si="9"/>
        <v>35.320174927632223</v>
      </c>
      <c r="S102" s="5">
        <f t="shared" si="10"/>
        <v>0.25444658153803063</v>
      </c>
      <c r="T102" s="5">
        <f t="shared" si="11"/>
        <v>0.17660087463816115</v>
      </c>
    </row>
    <row r="103" spans="1:20">
      <c r="A103" s="1">
        <v>102</v>
      </c>
      <c r="B103" s="2">
        <f>DATE(Sintesi!$C$4-1,12,31)+A103</f>
        <v>44298</v>
      </c>
      <c r="C103" s="1">
        <f>'Paste cell here'!T103</f>
        <v>5.1469494562745606</v>
      </c>
      <c r="D103" s="1">
        <f>'Paste cell here'!AC103</f>
        <v>0</v>
      </c>
      <c r="E103" s="1">
        <f>'Paste cell here'!Y103</f>
        <v>0</v>
      </c>
      <c r="F103" s="1">
        <f>'Paste cell here'!AD103</f>
        <v>0.41334329429917493</v>
      </c>
      <c r="G103" s="1">
        <f>'Paste cell here'!W103</f>
        <v>0</v>
      </c>
      <c r="H103" s="1">
        <f>'Paste cell here'!AE103</f>
        <v>55.622922469581496</v>
      </c>
      <c r="I103" s="1">
        <f>'Paste cell here'!AF103</f>
        <v>50.889316307606116</v>
      </c>
      <c r="J103" s="1">
        <f t="shared" si="6"/>
        <v>7.1054273576010019E-15</v>
      </c>
      <c r="K103" s="1" t="str">
        <f>IF('(OLD) Bilancio primo strato'!D103&gt;0,1,"")</f>
        <v/>
      </c>
      <c r="L103" s="7">
        <f>Sintesi!$C$34</f>
        <v>0.128</v>
      </c>
      <c r="M103" s="7">
        <f>Sintesi!$C$33</f>
        <v>0.25700000000000001</v>
      </c>
      <c r="N103" s="1">
        <f>'Paste cell here'!AA103</f>
        <v>0.19999999999999998</v>
      </c>
      <c r="O103" s="1">
        <f>'Paste cell here'!H103</f>
        <v>0.64947491132013835</v>
      </c>
      <c r="P103" s="1">
        <f t="shared" si="7"/>
        <v>25.8</v>
      </c>
      <c r="Q103" s="1">
        <f t="shared" si="8"/>
        <v>16.75645271205957</v>
      </c>
      <c r="R103" s="1">
        <f t="shared" si="9"/>
        <v>34.643547287940422</v>
      </c>
      <c r="S103" s="5">
        <f t="shared" si="10"/>
        <v>0.27811461234790752</v>
      </c>
      <c r="T103" s="5">
        <f t="shared" si="11"/>
        <v>0.17321773643970212</v>
      </c>
    </row>
    <row r="104" spans="1:20">
      <c r="A104" s="1">
        <v>103</v>
      </c>
      <c r="B104" s="2">
        <f>DATE(Sintesi!$C$4-1,12,31)+A104</f>
        <v>44299</v>
      </c>
      <c r="C104" s="1">
        <f>'Paste cell here'!T104</f>
        <v>2.5775263975243425</v>
      </c>
      <c r="D104" s="1">
        <f>'Paste cell here'!AC104</f>
        <v>0</v>
      </c>
      <c r="E104" s="1">
        <f>'Paste cell here'!Y104</f>
        <v>9.7865038200653329E-2</v>
      </c>
      <c r="F104" s="1">
        <f>'Paste cell here'!AD104</f>
        <v>0.94359278627859033</v>
      </c>
      <c r="G104" s="1">
        <f>'Paste cell here'!W104</f>
        <v>0</v>
      </c>
      <c r="H104" s="1">
        <f>'Paste cell here'!AE104</f>
        <v>57.158991042626589</v>
      </c>
      <c r="I104" s="1">
        <f>'Paste cell here'!AF104</f>
        <v>55.622922469581496</v>
      </c>
      <c r="J104" s="1">
        <f t="shared" si="6"/>
        <v>7.1054273576010019E-15</v>
      </c>
      <c r="K104" s="1" t="str">
        <f>IF('(OLD) Bilancio primo strato'!D104&gt;0,1,"")</f>
        <v/>
      </c>
      <c r="L104" s="7">
        <f>Sintesi!$C$34</f>
        <v>0.128</v>
      </c>
      <c r="M104" s="7">
        <f>Sintesi!$C$33</f>
        <v>0.25700000000000001</v>
      </c>
      <c r="N104" s="1">
        <f>'Paste cell here'!AA104</f>
        <v>0.19999999999999998</v>
      </c>
      <c r="O104" s="1">
        <f>'Paste cell here'!H104</f>
        <v>0.65169346497890757</v>
      </c>
      <c r="P104" s="1">
        <f t="shared" si="7"/>
        <v>25.8</v>
      </c>
      <c r="Q104" s="1">
        <f t="shared" si="8"/>
        <v>16.813691396455816</v>
      </c>
      <c r="R104" s="1">
        <f t="shared" si="9"/>
        <v>34.586308603544175</v>
      </c>
      <c r="S104" s="5">
        <f t="shared" si="10"/>
        <v>0.28579495521313297</v>
      </c>
      <c r="T104" s="5">
        <f t="shared" si="11"/>
        <v>0.1729315430177209</v>
      </c>
    </row>
    <row r="105" spans="1:20">
      <c r="A105" s="1">
        <v>104</v>
      </c>
      <c r="B105" s="2">
        <f>DATE(Sintesi!$C$4-1,12,31)+A105</f>
        <v>44300</v>
      </c>
      <c r="C105" s="1">
        <f>'Paste cell here'!T105</f>
        <v>0.36496856524757487</v>
      </c>
      <c r="D105" s="1">
        <f>'Paste cell here'!AC105</f>
        <v>0</v>
      </c>
      <c r="E105" s="1">
        <f>'Paste cell here'!Y105</f>
        <v>0.21611275063691474</v>
      </c>
      <c r="F105" s="1">
        <f>'Paste cell here'!AD105</f>
        <v>0.85732564160696567</v>
      </c>
      <c r="G105" s="1">
        <f>'Paste cell here'!W105</f>
        <v>0</v>
      </c>
      <c r="H105" s="1">
        <f>'Paste cell here'!AE105</f>
        <v>56.450521215630296</v>
      </c>
      <c r="I105" s="1">
        <f>'Paste cell here'!AF105</f>
        <v>57.158991042626589</v>
      </c>
      <c r="J105" s="1">
        <f t="shared" si="6"/>
        <v>1.4210854715202004E-14</v>
      </c>
      <c r="K105" s="1" t="str">
        <f>IF('(OLD) Bilancio primo strato'!D105&gt;0,1,"")</f>
        <v/>
      </c>
      <c r="L105" s="7">
        <f>Sintesi!$C$34</f>
        <v>0.128</v>
      </c>
      <c r="M105" s="7">
        <f>Sintesi!$C$33</f>
        <v>0.25700000000000001</v>
      </c>
      <c r="N105" s="1">
        <f>'Paste cell here'!AA105</f>
        <v>0.19999999999999998</v>
      </c>
      <c r="O105" s="1">
        <f>'Paste cell here'!H105</f>
        <v>0.57335293409394283</v>
      </c>
      <c r="P105" s="1">
        <f t="shared" si="7"/>
        <v>25.8</v>
      </c>
      <c r="Q105" s="1">
        <f t="shared" si="8"/>
        <v>14.792505699623726</v>
      </c>
      <c r="R105" s="1">
        <f t="shared" si="9"/>
        <v>36.607494300376267</v>
      </c>
      <c r="S105" s="5">
        <f t="shared" si="10"/>
        <v>0.2822526060781515</v>
      </c>
      <c r="T105" s="5">
        <f t="shared" si="11"/>
        <v>0.18303747150188135</v>
      </c>
    </row>
    <row r="106" spans="1:20">
      <c r="A106" s="1">
        <v>105</v>
      </c>
      <c r="B106" s="2">
        <f>DATE(Sintesi!$C$4-1,12,31)+A106</f>
        <v>44301</v>
      </c>
      <c r="C106" s="1">
        <f>'Paste cell here'!T106</f>
        <v>6.3939268679466699E-2</v>
      </c>
      <c r="D106" s="1">
        <f>'Paste cell here'!AC106</f>
        <v>0</v>
      </c>
      <c r="E106" s="1">
        <f>'Paste cell here'!Y106</f>
        <v>0.26885589972351065</v>
      </c>
      <c r="F106" s="1">
        <f>'Paste cell here'!AD106</f>
        <v>0.66341538501002806</v>
      </c>
      <c r="G106" s="1">
        <f>'Paste cell here'!W106</f>
        <v>0</v>
      </c>
      <c r="H106" s="1">
        <f>'Paste cell here'!AE106</f>
        <v>55.582189199576241</v>
      </c>
      <c r="I106" s="1">
        <f>'Paste cell here'!AF106</f>
        <v>56.450521215630296</v>
      </c>
      <c r="J106" s="1">
        <f t="shared" si="6"/>
        <v>1.4210854715202004E-14</v>
      </c>
      <c r="K106" s="1" t="str">
        <f>IF('(OLD) Bilancio primo strato'!D106&gt;0,1,"")</f>
        <v/>
      </c>
      <c r="L106" s="7">
        <f>Sintesi!$C$34</f>
        <v>0.128</v>
      </c>
      <c r="M106" s="7">
        <f>Sintesi!$C$33</f>
        <v>0.25700000000000001</v>
      </c>
      <c r="N106" s="1">
        <f>'Paste cell here'!AA106</f>
        <v>0.19999999999999998</v>
      </c>
      <c r="O106" s="1">
        <f>'Paste cell here'!H106</f>
        <v>0.56082176359695712</v>
      </c>
      <c r="P106" s="1">
        <f t="shared" si="7"/>
        <v>25.8</v>
      </c>
      <c r="Q106" s="1">
        <f t="shared" si="8"/>
        <v>14.469201500801494</v>
      </c>
      <c r="R106" s="1">
        <f t="shared" si="9"/>
        <v>36.930798499198495</v>
      </c>
      <c r="S106" s="5">
        <f t="shared" si="10"/>
        <v>0.27791094599788124</v>
      </c>
      <c r="T106" s="5">
        <f t="shared" si="11"/>
        <v>0.18465399249599251</v>
      </c>
    </row>
    <row r="107" spans="1:20">
      <c r="A107" s="1">
        <v>106</v>
      </c>
      <c r="B107" s="2">
        <f>DATE(Sintesi!$C$4-1,12,31)+A107</f>
        <v>44302</v>
      </c>
      <c r="C107" s="1">
        <f>'Paste cell here'!T107</f>
        <v>1.1366297312885786E-2</v>
      </c>
      <c r="D107" s="1">
        <f>'Paste cell here'!AC107</f>
        <v>0</v>
      </c>
      <c r="E107" s="1">
        <f>'Paste cell here'!Y107</f>
        <v>0.44410928900234398</v>
      </c>
      <c r="F107" s="1">
        <f>'Paste cell here'!AD107</f>
        <v>0.50916552874200272</v>
      </c>
      <c r="G107" s="1">
        <f>'Paste cell here'!W107</f>
        <v>0</v>
      </c>
      <c r="H107" s="1">
        <f>'Paste cell here'!AE107</f>
        <v>54.64028067914478</v>
      </c>
      <c r="I107" s="1">
        <f>'Paste cell here'!AF107</f>
        <v>55.582189199576241</v>
      </c>
      <c r="J107" s="1">
        <f t="shared" si="6"/>
        <v>0</v>
      </c>
      <c r="K107" s="1" t="str">
        <f>IF('(OLD) Bilancio primo strato'!D107&gt;0,1,"")</f>
        <v/>
      </c>
      <c r="L107" s="7">
        <f>Sintesi!$C$34</f>
        <v>0.128</v>
      </c>
      <c r="M107" s="7">
        <f>Sintesi!$C$33</f>
        <v>0.25700000000000001</v>
      </c>
      <c r="N107" s="1">
        <f>'Paste cell here'!AA107</f>
        <v>0.19999999999999998</v>
      </c>
      <c r="O107" s="1">
        <f>'Paste cell here'!H107</f>
        <v>0.58509654223923713</v>
      </c>
      <c r="P107" s="1">
        <f t="shared" si="7"/>
        <v>25.8</v>
      </c>
      <c r="Q107" s="1">
        <f t="shared" si="8"/>
        <v>15.095490789772319</v>
      </c>
      <c r="R107" s="1">
        <f t="shared" si="9"/>
        <v>36.304509210227671</v>
      </c>
      <c r="S107" s="5">
        <f t="shared" si="10"/>
        <v>0.27320140339572396</v>
      </c>
      <c r="T107" s="5">
        <f t="shared" si="11"/>
        <v>0.18152254605113838</v>
      </c>
    </row>
    <row r="108" spans="1:20">
      <c r="A108" s="1">
        <v>107</v>
      </c>
      <c r="B108" s="2">
        <f>DATE(Sintesi!$C$4-1,12,31)+A108</f>
        <v>44303</v>
      </c>
      <c r="C108" s="1">
        <f>'Paste cell here'!T108</f>
        <v>1.0394343770732675E-3</v>
      </c>
      <c r="D108" s="1">
        <f>'Paste cell here'!AC108</f>
        <v>0</v>
      </c>
      <c r="E108" s="1">
        <f>'Paste cell here'!Y108</f>
        <v>0.44598632426044721</v>
      </c>
      <c r="F108" s="1">
        <f>'Paste cell here'!AD108</f>
        <v>0.38607639771989627</v>
      </c>
      <c r="G108" s="1">
        <f>'Paste cell here'!W108</f>
        <v>0</v>
      </c>
      <c r="H108" s="1">
        <f>'Paste cell here'!AE108</f>
        <v>55.608257391541535</v>
      </c>
      <c r="I108" s="1">
        <f>'Paste cell here'!AF108</f>
        <v>56.439280679144794</v>
      </c>
      <c r="J108" s="1">
        <f t="shared" si="6"/>
        <v>1.4210854715202004E-14</v>
      </c>
      <c r="K108" s="1" t="str">
        <f>IF('(OLD) Bilancio primo strato'!D108&gt;0,1,"")</f>
        <v/>
      </c>
      <c r="L108" s="7">
        <f>Sintesi!$C$34</f>
        <v>0.128</v>
      </c>
      <c r="M108" s="7">
        <f>Sintesi!$C$33</f>
        <v>0.25700000000000001</v>
      </c>
      <c r="N108" s="1">
        <f>'Paste cell here'!AA108</f>
        <v>0.20699999999999999</v>
      </c>
      <c r="O108" s="1">
        <f>'Paste cell here'!H108</f>
        <v>0.55719341291155988</v>
      </c>
      <c r="P108" s="1">
        <f t="shared" si="7"/>
        <v>26.702999999999999</v>
      </c>
      <c r="Q108" s="1">
        <f t="shared" si="8"/>
        <v>14.878735704977384</v>
      </c>
      <c r="R108" s="1">
        <f t="shared" si="9"/>
        <v>38.320264295022611</v>
      </c>
      <c r="S108" s="5">
        <f t="shared" si="10"/>
        <v>0.26863892459681898</v>
      </c>
      <c r="T108" s="5">
        <f t="shared" si="11"/>
        <v>0.18512204973440874</v>
      </c>
    </row>
    <row r="109" spans="1:20">
      <c r="A109" s="1">
        <v>108</v>
      </c>
      <c r="B109" s="2">
        <f>DATE(Sintesi!$C$4-1,12,31)+A109</f>
        <v>44304</v>
      </c>
      <c r="C109" s="1">
        <f>'Paste cell here'!T109</f>
        <v>5.5542233019469278E-5</v>
      </c>
      <c r="D109" s="1">
        <f>'Paste cell here'!AC109</f>
        <v>0</v>
      </c>
      <c r="E109" s="1">
        <f>'Paste cell here'!Y109</f>
        <v>0.40916443175286993</v>
      </c>
      <c r="F109" s="1">
        <f>'Paste cell here'!AD109</f>
        <v>0.30623755700782218</v>
      </c>
      <c r="G109" s="1">
        <f>'Paste cell here'!W109</f>
        <v>0</v>
      </c>
      <c r="H109" s="1">
        <f>'Paste cell here'!AE109</f>
        <v>56.691910945013859</v>
      </c>
      <c r="I109" s="1">
        <f>'Paste cell here'!AF109</f>
        <v>57.407257391541535</v>
      </c>
      <c r="J109" s="1">
        <f t="shared" si="6"/>
        <v>7.1054273576010019E-15</v>
      </c>
      <c r="K109" s="1" t="str">
        <f>IF('(OLD) Bilancio primo strato'!D109&gt;0,1,"")</f>
        <v/>
      </c>
      <c r="L109" s="7">
        <f>Sintesi!$C$34</f>
        <v>0.128</v>
      </c>
      <c r="M109" s="7">
        <f>Sintesi!$C$33</f>
        <v>0.25700000000000001</v>
      </c>
      <c r="N109" s="1">
        <f>'Paste cell here'!AA109</f>
        <v>0.214</v>
      </c>
      <c r="O109" s="1">
        <f>'Paste cell here'!H109</f>
        <v>0.55746704804255831</v>
      </c>
      <c r="P109" s="1">
        <f t="shared" si="7"/>
        <v>27.605999999999998</v>
      </c>
      <c r="Q109" s="1">
        <f t="shared" si="8"/>
        <v>15.389435328262863</v>
      </c>
      <c r="R109" s="1">
        <f t="shared" si="9"/>
        <v>39.608564671737135</v>
      </c>
      <c r="S109" s="5">
        <f t="shared" si="10"/>
        <v>0.26491547170567226</v>
      </c>
      <c r="T109" s="5">
        <f t="shared" si="11"/>
        <v>0.18508675080250997</v>
      </c>
    </row>
    <row r="110" spans="1:20">
      <c r="A110" s="1">
        <v>109</v>
      </c>
      <c r="B110" s="2">
        <f>DATE(Sintesi!$C$4-1,12,31)+A110</f>
        <v>44305</v>
      </c>
      <c r="C110" s="1">
        <f>'Paste cell here'!T110</f>
        <v>3.0072203243877499E-6</v>
      </c>
      <c r="D110" s="1">
        <f>'Paste cell here'!AC110</f>
        <v>0</v>
      </c>
      <c r="E110" s="1">
        <f>'Paste cell here'!Y110</f>
        <v>0.45394318303357944</v>
      </c>
      <c r="F110" s="1">
        <f>'Paste cell here'!AD110</f>
        <v>0.25054906201594307</v>
      </c>
      <c r="G110" s="1">
        <f>'Paste cell here'!W110</f>
        <v>0</v>
      </c>
      <c r="H110" s="1">
        <f>'Paste cell here'!AE110</f>
        <v>57.786421707184672</v>
      </c>
      <c r="I110" s="1">
        <f>'Paste cell here'!AF110</f>
        <v>58.490910945013866</v>
      </c>
      <c r="J110" s="1">
        <f t="shared" si="6"/>
        <v>7.1054273576010019E-15</v>
      </c>
      <c r="K110" s="1" t="str">
        <f>IF('(OLD) Bilancio primo strato'!D110&gt;0,1,"")</f>
        <v/>
      </c>
      <c r="L110" s="7">
        <f>Sintesi!$C$34</f>
        <v>0.128</v>
      </c>
      <c r="M110" s="7">
        <f>Sintesi!$C$33</f>
        <v>0.25700000000000001</v>
      </c>
      <c r="N110" s="1">
        <f>'Paste cell here'!AA110</f>
        <v>0.221</v>
      </c>
      <c r="O110" s="1">
        <f>'Paste cell here'!H110</f>
        <v>0.56957168613098907</v>
      </c>
      <c r="P110" s="1">
        <f t="shared" si="7"/>
        <v>28.509</v>
      </c>
      <c r="Q110" s="1">
        <f t="shared" si="8"/>
        <v>16.237919199908369</v>
      </c>
      <c r="R110" s="1">
        <f t="shared" si="9"/>
        <v>40.559080800091628</v>
      </c>
      <c r="S110" s="5">
        <f t="shared" si="10"/>
        <v>0.26147702129947814</v>
      </c>
      <c r="T110" s="5">
        <f t="shared" si="11"/>
        <v>0.1835252524891024</v>
      </c>
    </row>
    <row r="111" spans="1:20">
      <c r="A111" s="1">
        <v>110</v>
      </c>
      <c r="B111" s="2">
        <f>DATE(Sintesi!$C$4-1,12,31)+A111</f>
        <v>44306</v>
      </c>
      <c r="C111" s="1">
        <f>'Paste cell here'!T111</f>
        <v>1.4134352204454894E-7</v>
      </c>
      <c r="D111" s="1">
        <f>'Paste cell here'!AC111</f>
        <v>0</v>
      </c>
      <c r="E111" s="1">
        <f>'Paste cell here'!Y111</f>
        <v>0.54071713538851496</v>
      </c>
      <c r="F111" s="1">
        <f>'Paste cell here'!AD111</f>
        <v>0.2068619611316371</v>
      </c>
      <c r="G111" s="1">
        <f>'Paste cell here'!W111</f>
        <v>0</v>
      </c>
      <c r="H111" s="1">
        <f>'Paste cell here'!AE111</f>
        <v>59.094842752008027</v>
      </c>
      <c r="I111" s="1">
        <f>'Paste cell here'!AF111</f>
        <v>59.84242170718467</v>
      </c>
      <c r="J111" s="1">
        <f t="shared" si="6"/>
        <v>1.4210854715202004E-14</v>
      </c>
      <c r="K111" s="1" t="str">
        <f>IF('(OLD) Bilancio primo strato'!D111&gt;0,1,"")</f>
        <v/>
      </c>
      <c r="L111" s="7">
        <f>Sintesi!$C$34</f>
        <v>0.128</v>
      </c>
      <c r="M111" s="7">
        <f>Sintesi!$C$33</f>
        <v>0.25700000000000001</v>
      </c>
      <c r="N111" s="1">
        <f>'Paste cell here'!AA111</f>
        <v>0.22900000000000001</v>
      </c>
      <c r="O111" s="1">
        <f>'Paste cell here'!H111</f>
        <v>0.5547434367479962</v>
      </c>
      <c r="P111" s="1">
        <f t="shared" si="7"/>
        <v>29.541</v>
      </c>
      <c r="Q111" s="1">
        <f t="shared" si="8"/>
        <v>16.387675864972557</v>
      </c>
      <c r="R111" s="1">
        <f t="shared" si="9"/>
        <v>42.465324135027444</v>
      </c>
      <c r="S111" s="5">
        <f t="shared" si="10"/>
        <v>0.25805608188649792</v>
      </c>
      <c r="T111" s="5">
        <f t="shared" si="11"/>
        <v>0.1854380966595085</v>
      </c>
    </row>
    <row r="112" spans="1:20">
      <c r="A112" s="1">
        <v>111</v>
      </c>
      <c r="B112" s="2">
        <f>DATE(Sintesi!$C$4-1,12,31)+A112</f>
        <v>44307</v>
      </c>
      <c r="C112" s="1">
        <f>'Paste cell here'!T112</f>
        <v>9.5754992167929526E-9</v>
      </c>
      <c r="D112" s="1">
        <f>'Paste cell here'!AC112</f>
        <v>0</v>
      </c>
      <c r="E112" s="1">
        <f>'Paste cell here'!Y112</f>
        <v>0.513483828582317</v>
      </c>
      <c r="F112" s="1">
        <f>'Paste cell here'!AD112</f>
        <v>0.17321581636583042</v>
      </c>
      <c r="G112" s="1">
        <f>'Paste cell here'!W112</f>
        <v>0</v>
      </c>
      <c r="H112" s="1">
        <f>'Paste cell here'!AE112</f>
        <v>60.207143116635386</v>
      </c>
      <c r="I112" s="1">
        <f>'Paste cell here'!AF112</f>
        <v>60.893842752008027</v>
      </c>
      <c r="J112" s="1">
        <f t="shared" si="6"/>
        <v>7.1054273576010019E-15</v>
      </c>
      <c r="K112" s="1" t="str">
        <f>IF('(OLD) Bilancio primo strato'!D112&gt;0,1,"")</f>
        <v/>
      </c>
      <c r="L112" s="7">
        <f>Sintesi!$C$34</f>
        <v>0.128</v>
      </c>
      <c r="M112" s="7">
        <f>Sintesi!$C$33</f>
        <v>0.25700000000000001</v>
      </c>
      <c r="N112" s="1">
        <f>'Paste cell here'!AA112</f>
        <v>0.23600000000000002</v>
      </c>
      <c r="O112" s="1">
        <f>'Paste cell here'!H112</f>
        <v>0.52475339198195858</v>
      </c>
      <c r="P112" s="1">
        <f t="shared" si="7"/>
        <v>30.444000000000003</v>
      </c>
      <c r="Q112" s="1">
        <f t="shared" si="8"/>
        <v>15.975592265498749</v>
      </c>
      <c r="R112" s="1">
        <f t="shared" si="9"/>
        <v>44.676407734501254</v>
      </c>
      <c r="S112" s="5">
        <f t="shared" si="10"/>
        <v>0.2551150132060821</v>
      </c>
      <c r="T112" s="5">
        <f t="shared" si="11"/>
        <v>0.18930681243432732</v>
      </c>
    </row>
    <row r="113" spans="1:20">
      <c r="A113" s="1">
        <v>112</v>
      </c>
      <c r="B113" s="2">
        <f>DATE(Sintesi!$C$4-1,12,31)+A113</f>
        <v>44308</v>
      </c>
      <c r="C113" s="1">
        <f>'Paste cell here'!T113</f>
        <v>1.532107680610592E-10</v>
      </c>
      <c r="D113" s="1">
        <f>'Paste cell here'!AC113</f>
        <v>0</v>
      </c>
      <c r="E113" s="1">
        <f>'Paste cell here'!Y113</f>
        <v>0.50468382657881239</v>
      </c>
      <c r="F113" s="1">
        <f>'Paste cell here'!AD113</f>
        <v>0.1480664529733304</v>
      </c>
      <c r="G113" s="1">
        <f>'Paste cell here'!W113</f>
        <v>0</v>
      </c>
      <c r="H113" s="1">
        <f>'Paste cell here'!AE113</f>
        <v>61.353392837236463</v>
      </c>
      <c r="I113" s="1">
        <f>'Paste cell here'!AF113</f>
        <v>62.006143116635378</v>
      </c>
      <c r="J113" s="1">
        <f t="shared" si="6"/>
        <v>2.1316282072803006E-14</v>
      </c>
      <c r="K113" s="1" t="str">
        <f>IF('(OLD) Bilancio primo strato'!D113&gt;0,1,"")</f>
        <v/>
      </c>
      <c r="L113" s="7">
        <f>Sintesi!$C$34</f>
        <v>0.128</v>
      </c>
      <c r="M113" s="7">
        <f>Sintesi!$C$33</f>
        <v>0.25700000000000001</v>
      </c>
      <c r="N113" s="1">
        <f>'Paste cell here'!AA113</f>
        <v>0.24300000000000002</v>
      </c>
      <c r="O113" s="1">
        <f>'Paste cell here'!H113</f>
        <v>0.53521807033854973</v>
      </c>
      <c r="P113" s="1">
        <f t="shared" si="7"/>
        <v>31.347000000000008</v>
      </c>
      <c r="Q113" s="1">
        <f t="shared" si="8"/>
        <v>16.777480850902524</v>
      </c>
      <c r="R113" s="1">
        <f t="shared" si="9"/>
        <v>45.673519149097487</v>
      </c>
      <c r="S113" s="5">
        <f t="shared" si="10"/>
        <v>0.25248309809562325</v>
      </c>
      <c r="T113" s="5">
        <f t="shared" si="11"/>
        <v>0.1879568689263271</v>
      </c>
    </row>
    <row r="114" spans="1:20">
      <c r="A114" s="1">
        <v>113</v>
      </c>
      <c r="B114" s="2">
        <f>DATE(Sintesi!$C$4-1,12,31)+A114</f>
        <v>44309</v>
      </c>
      <c r="C114" s="1">
        <f>'Paste cell here'!T114</f>
        <v>6.2656586511651198E-13</v>
      </c>
      <c r="D114" s="1">
        <f>'Paste cell here'!AC114</f>
        <v>0</v>
      </c>
      <c r="E114" s="1">
        <f>'Paste cell here'!Y114</f>
        <v>0.53374204926447755</v>
      </c>
      <c r="F114" s="1">
        <f>'Paste cell here'!AD114</f>
        <v>0.12802529220224737</v>
      </c>
      <c r="G114" s="1">
        <f>'Paste cell here'!W114</f>
        <v>0</v>
      </c>
      <c r="H114" s="1">
        <f>'Paste cell here'!AE114</f>
        <v>62.490625495770338</v>
      </c>
      <c r="I114" s="1">
        <f>'Paste cell here'!AF114</f>
        <v>63.152392837236434</v>
      </c>
      <c r="J114" s="1">
        <f t="shared" si="6"/>
        <v>0</v>
      </c>
      <c r="K114" s="1" t="str">
        <f>IF('(OLD) Bilancio primo strato'!D114&gt;0,1,"")</f>
        <v/>
      </c>
      <c r="L114" s="7">
        <f>Sintesi!$C$34</f>
        <v>0.128</v>
      </c>
      <c r="M114" s="7">
        <f>Sintesi!$C$33</f>
        <v>0.25700000000000001</v>
      </c>
      <c r="N114" s="1">
        <f>'Paste cell here'!AA114</f>
        <v>0.24999999999999997</v>
      </c>
      <c r="O114" s="1">
        <f>'Paste cell here'!H114</f>
        <v>0.53980351982859409</v>
      </c>
      <c r="P114" s="1">
        <f t="shared" si="7"/>
        <v>32.249999999999993</v>
      </c>
      <c r="Q114" s="1">
        <f t="shared" si="8"/>
        <v>17.408663514472156</v>
      </c>
      <c r="R114" s="1">
        <f t="shared" si="9"/>
        <v>46.841336485527833</v>
      </c>
      <c r="S114" s="5">
        <f t="shared" si="10"/>
        <v>0.24996250198308137</v>
      </c>
      <c r="T114" s="5">
        <f t="shared" si="11"/>
        <v>0.18736534594211135</v>
      </c>
    </row>
    <row r="115" spans="1:20">
      <c r="A115" s="1">
        <v>114</v>
      </c>
      <c r="B115" s="2">
        <f>DATE(Sintesi!$C$4-1,12,31)+A115</f>
        <v>44310</v>
      </c>
      <c r="C115" s="1">
        <f>'Paste cell here'!T115</f>
        <v>8.0407894470656293E-17</v>
      </c>
      <c r="D115" s="1">
        <f>'Paste cell here'!AC115</f>
        <v>0</v>
      </c>
      <c r="E115" s="1">
        <f>'Paste cell here'!Y115</f>
        <v>0.58806325289268113</v>
      </c>
      <c r="F115" s="1">
        <f>'Paste cell here'!AD115</f>
        <v>0.10939250238759032</v>
      </c>
      <c r="G115" s="1">
        <f>'Paste cell here'!W115</f>
        <v>0</v>
      </c>
      <c r="H115" s="1">
        <f>'Paste cell here'!AE115</f>
        <v>63.59216974049005</v>
      </c>
      <c r="I115" s="1">
        <f>'Paste cell here'!AF115</f>
        <v>64.289625495770338</v>
      </c>
      <c r="J115" s="1">
        <f t="shared" si="6"/>
        <v>1.4210854715202004E-14</v>
      </c>
      <c r="K115" s="1" t="str">
        <f>IF('(OLD) Bilancio primo strato'!D115&gt;0,1,"")</f>
        <v/>
      </c>
      <c r="L115" s="7">
        <f>Sintesi!$C$34</f>
        <v>0.128</v>
      </c>
      <c r="M115" s="7">
        <f>Sintesi!$C$33</f>
        <v>0.25700000000000001</v>
      </c>
      <c r="N115" s="1">
        <f>'Paste cell here'!AA115</f>
        <v>0.25700000000000001</v>
      </c>
      <c r="O115" s="1">
        <f>'Paste cell here'!H115</f>
        <v>0.53009639461957836</v>
      </c>
      <c r="P115" s="1">
        <f t="shared" si="7"/>
        <v>33.152999999999999</v>
      </c>
      <c r="Q115" s="1">
        <f t="shared" si="8"/>
        <v>17.574285770822879</v>
      </c>
      <c r="R115" s="1">
        <f t="shared" si="9"/>
        <v>48.47471422917711</v>
      </c>
      <c r="S115" s="5">
        <f t="shared" si="10"/>
        <v>0.24744034918478619</v>
      </c>
      <c r="T115" s="5">
        <f t="shared" si="11"/>
        <v>0.18861756509407435</v>
      </c>
    </row>
    <row r="116" spans="1:20">
      <c r="A116" s="1">
        <v>115</v>
      </c>
      <c r="B116" s="2">
        <f>DATE(Sintesi!$C$4-1,12,31)+A116</f>
        <v>44311</v>
      </c>
      <c r="C116" s="1">
        <f>'Paste cell here'!T116</f>
        <v>0</v>
      </c>
      <c r="D116" s="1">
        <f>'Paste cell here'!AC116</f>
        <v>0</v>
      </c>
      <c r="E116" s="1">
        <f>'Paste cell here'!Y116</f>
        <v>0.62360132651851508</v>
      </c>
      <c r="F116" s="1">
        <f>'Paste cell here'!AD116</f>
        <v>9.5251256470886031E-2</v>
      </c>
      <c r="G116" s="1">
        <f>'Paste cell here'!W116</f>
        <v>0</v>
      </c>
      <c r="H116" s="1">
        <f>'Paste cell here'!AE116</f>
        <v>64.672317157500657</v>
      </c>
      <c r="I116" s="1">
        <f>'Paste cell here'!AF116</f>
        <v>65.391169740490042</v>
      </c>
      <c r="J116" s="1">
        <f t="shared" si="6"/>
        <v>1.4210854715202004E-14</v>
      </c>
      <c r="K116" s="1" t="str">
        <f>IF('(OLD) Bilancio primo strato'!D116&gt;0,1,"")</f>
        <v/>
      </c>
      <c r="L116" s="7">
        <f>Sintesi!$C$34</f>
        <v>0.128</v>
      </c>
      <c r="M116" s="7">
        <f>Sintesi!$C$33</f>
        <v>0.25700000000000001</v>
      </c>
      <c r="N116" s="1">
        <f>'Paste cell here'!AA116</f>
        <v>0.26400000000000001</v>
      </c>
      <c r="O116" s="1">
        <f>'Paste cell here'!H116</f>
        <v>0.51074713090780166</v>
      </c>
      <c r="P116" s="1">
        <f t="shared" si="7"/>
        <v>34.056000000000004</v>
      </c>
      <c r="Q116" s="1">
        <f t="shared" si="8"/>
        <v>17.394004290196097</v>
      </c>
      <c r="R116" s="1">
        <f t="shared" si="9"/>
        <v>50.453995709803905</v>
      </c>
      <c r="S116" s="5">
        <f t="shared" si="10"/>
        <v>0.24497089832386612</v>
      </c>
      <c r="T116" s="5">
        <f t="shared" si="11"/>
        <v>0.19111362011289357</v>
      </c>
    </row>
    <row r="117" spans="1:20">
      <c r="A117" s="1">
        <v>116</v>
      </c>
      <c r="B117" s="2">
        <f>DATE(Sintesi!$C$4-1,12,31)+A117</f>
        <v>44312</v>
      </c>
      <c r="C117" s="1">
        <f>'Paste cell here'!T117</f>
        <v>0</v>
      </c>
      <c r="D117" s="1">
        <f>'Paste cell here'!AC117</f>
        <v>0</v>
      </c>
      <c r="E117" s="1">
        <f>'Paste cell here'!Y117</f>
        <v>0.26848429030883991</v>
      </c>
      <c r="F117" s="1">
        <f>'Paste cell here'!AD117</f>
        <v>8.626627103247457E-2</v>
      </c>
      <c r="G117" s="1">
        <f>'Paste cell here'!W117</f>
        <v>0</v>
      </c>
      <c r="H117" s="1">
        <f>'Paste cell here'!AE117</f>
        <v>66.116566596159359</v>
      </c>
      <c r="I117" s="1">
        <f>'Paste cell here'!AF117</f>
        <v>66.47131715750065</v>
      </c>
      <c r="J117" s="1">
        <f t="shared" si="6"/>
        <v>1.4210854715202004E-14</v>
      </c>
      <c r="K117" s="1" t="str">
        <f>IF('(OLD) Bilancio primo strato'!D117&gt;0,1,"")</f>
        <v/>
      </c>
      <c r="L117" s="7">
        <f>Sintesi!$C$34</f>
        <v>0.128</v>
      </c>
      <c r="M117" s="7">
        <f>Sintesi!$C$33</f>
        <v>0.25700000000000001</v>
      </c>
      <c r="N117" s="1">
        <f>'Paste cell here'!AA117</f>
        <v>0.27100000000000002</v>
      </c>
      <c r="O117" s="1">
        <f>'Paste cell here'!H117</f>
        <v>0.49845274292637021</v>
      </c>
      <c r="P117" s="1">
        <f t="shared" si="7"/>
        <v>34.959000000000003</v>
      </c>
      <c r="Q117" s="1">
        <f t="shared" si="8"/>
        <v>17.425409439962976</v>
      </c>
      <c r="R117" s="1">
        <f t="shared" si="9"/>
        <v>52.221590560037029</v>
      </c>
      <c r="S117" s="5">
        <f t="shared" si="10"/>
        <v>0.2439725704655327</v>
      </c>
      <c r="T117" s="5">
        <f t="shared" si="11"/>
        <v>0.19269959616249827</v>
      </c>
    </row>
    <row r="118" spans="1:20">
      <c r="A118" s="1">
        <v>117</v>
      </c>
      <c r="B118" s="2">
        <f>DATE(Sintesi!$C$4-1,12,31)+A118</f>
        <v>44313</v>
      </c>
      <c r="C118" s="1">
        <f>'Paste cell here'!T118</f>
        <v>8.9913681500729389E-20</v>
      </c>
      <c r="D118" s="1">
        <f>'Paste cell here'!AC118</f>
        <v>0</v>
      </c>
      <c r="E118" s="1">
        <f>'Paste cell here'!Y118</f>
        <v>0.26471424374001346</v>
      </c>
      <c r="F118" s="1">
        <f>'Paste cell here'!AD118</f>
        <v>8.1911073319865621E-2</v>
      </c>
      <c r="G118" s="1">
        <f>'Paste cell here'!W118</f>
        <v>0</v>
      </c>
      <c r="H118" s="1">
        <f>'Paste cell here'!AE118</f>
        <v>67.825941279099482</v>
      </c>
      <c r="I118" s="1">
        <f>'Paste cell here'!AF118</f>
        <v>68.172566596159356</v>
      </c>
      <c r="J118" s="1">
        <f t="shared" si="6"/>
        <v>1.4210854715202004E-14</v>
      </c>
      <c r="K118" s="1" t="str">
        <f>IF('(OLD) Bilancio primo strato'!D118&gt;0,1,"")</f>
        <v/>
      </c>
      <c r="L118" s="7">
        <f>Sintesi!$C$34</f>
        <v>0.128</v>
      </c>
      <c r="M118" s="7">
        <f>Sintesi!$C$33</f>
        <v>0.25700000000000001</v>
      </c>
      <c r="N118" s="1">
        <f>'Paste cell here'!AA118</f>
        <v>0.27900000000000003</v>
      </c>
      <c r="O118" s="1">
        <f>'Paste cell here'!H118</f>
        <v>0.61596621618838854</v>
      </c>
      <c r="P118" s="1">
        <f t="shared" si="7"/>
        <v>35.991</v>
      </c>
      <c r="Q118" s="1">
        <f t="shared" si="8"/>
        <v>22.169240086836293</v>
      </c>
      <c r="R118" s="1">
        <f t="shared" si="9"/>
        <v>49.533759913163706</v>
      </c>
      <c r="S118" s="5">
        <f t="shared" si="10"/>
        <v>0.24310373218315226</v>
      </c>
      <c r="T118" s="5">
        <f t="shared" si="11"/>
        <v>0.17754035811169788</v>
      </c>
    </row>
    <row r="119" spans="1:20">
      <c r="A119" s="1">
        <v>118</v>
      </c>
      <c r="B119" s="2">
        <f>DATE(Sintesi!$C$4-1,12,31)+A119</f>
        <v>44314</v>
      </c>
      <c r="C119" s="1">
        <f>'Paste cell here'!T119</f>
        <v>3.5574241637502145E-17</v>
      </c>
      <c r="D119" s="1">
        <f>'Paste cell here'!AC119</f>
        <v>0</v>
      </c>
      <c r="E119" s="1">
        <f>'Paste cell here'!Y119</f>
        <v>0.39927688065667288</v>
      </c>
      <c r="F119" s="1">
        <f>'Paste cell here'!AD119</f>
        <v>7.6855150242158249E-2</v>
      </c>
      <c r="G119" s="1">
        <f>'Paste cell here'!W119</f>
        <v>0</v>
      </c>
      <c r="H119" s="1">
        <f>'Paste cell here'!AE119</f>
        <v>69.148809248200635</v>
      </c>
      <c r="I119" s="1">
        <f>'Paste cell here'!AF119</f>
        <v>69.624941279099474</v>
      </c>
      <c r="J119" s="1">
        <f t="shared" si="6"/>
        <v>1.4210854715202004E-14</v>
      </c>
      <c r="K119" s="1" t="str">
        <f>IF('(OLD) Bilancio primo strato'!D119&gt;0,1,"")</f>
        <v/>
      </c>
      <c r="L119" s="7">
        <f>Sintesi!$C$34</f>
        <v>0.128</v>
      </c>
      <c r="M119" s="7">
        <f>Sintesi!$C$33</f>
        <v>0.25700000000000001</v>
      </c>
      <c r="N119" s="1">
        <f>'Paste cell here'!AA119</f>
        <v>0.28600000000000003</v>
      </c>
      <c r="O119" s="1">
        <f>'Paste cell here'!H119</f>
        <v>0.618869277349543</v>
      </c>
      <c r="P119" s="1">
        <f t="shared" si="7"/>
        <v>36.894000000000005</v>
      </c>
      <c r="Q119" s="1">
        <f t="shared" si="8"/>
        <v>22.832563118534043</v>
      </c>
      <c r="R119" s="1">
        <f t="shared" si="9"/>
        <v>50.66943688146597</v>
      </c>
      <c r="S119" s="5">
        <f t="shared" si="10"/>
        <v>0.24177905331538679</v>
      </c>
      <c r="T119" s="5">
        <f t="shared" si="11"/>
        <v>0.17716586322190894</v>
      </c>
    </row>
    <row r="120" spans="1:20">
      <c r="A120" s="1">
        <v>119</v>
      </c>
      <c r="B120" s="2">
        <f>DATE(Sintesi!$C$4-1,12,31)+A120</f>
        <v>44315</v>
      </c>
      <c r="C120" s="1">
        <f>'Paste cell here'!T120</f>
        <v>6.2841667087038105E-5</v>
      </c>
      <c r="D120" s="1">
        <f>'Paste cell here'!AC120</f>
        <v>0</v>
      </c>
      <c r="E120" s="1">
        <f>'Paste cell here'!Y120</f>
        <v>0.15168859314035515</v>
      </c>
      <c r="F120" s="1">
        <f>'Paste cell here'!AD120</f>
        <v>7.3072426742084029E-2</v>
      </c>
      <c r="G120" s="1">
        <f>'Paste cell here'!W120</f>
        <v>0</v>
      </c>
      <c r="H120" s="1">
        <f>'Paste cell here'!AE120</f>
        <v>70.723111069985279</v>
      </c>
      <c r="I120" s="1">
        <f>'Paste cell here'!AF120</f>
        <v>70.947809248200628</v>
      </c>
      <c r="J120" s="1">
        <f t="shared" si="6"/>
        <v>0</v>
      </c>
      <c r="K120" s="1" t="str">
        <f>IF('(OLD) Bilancio primo strato'!D120&gt;0,1,"")</f>
        <v/>
      </c>
      <c r="L120" s="7">
        <f>Sintesi!$C$34</f>
        <v>0.128</v>
      </c>
      <c r="M120" s="7">
        <f>Sintesi!$C$33</f>
        <v>0.25700000000000001</v>
      </c>
      <c r="N120" s="1">
        <f>'Paste cell here'!AA120</f>
        <v>0.29300000000000004</v>
      </c>
      <c r="O120" s="1">
        <f>'Paste cell here'!H120</f>
        <v>0.57492439251953076</v>
      </c>
      <c r="P120" s="1">
        <f t="shared" si="7"/>
        <v>37.797000000000004</v>
      </c>
      <c r="Q120" s="1">
        <f t="shared" si="8"/>
        <v>21.730417264060705</v>
      </c>
      <c r="R120" s="1">
        <f t="shared" si="9"/>
        <v>53.570582735939297</v>
      </c>
      <c r="S120" s="5">
        <f t="shared" si="10"/>
        <v>0.24137580569960843</v>
      </c>
      <c r="T120" s="5">
        <f t="shared" si="11"/>
        <v>0.18283475336498051</v>
      </c>
    </row>
    <row r="121" spans="1:20">
      <c r="A121" s="1">
        <v>120</v>
      </c>
      <c r="B121" s="2">
        <f>DATE(Sintesi!$C$4-1,12,31)+A121</f>
        <v>44316</v>
      </c>
      <c r="C121" s="1">
        <f>'Paste cell here'!T121</f>
        <v>6.2507046452836546E-4</v>
      </c>
      <c r="D121" s="1">
        <f>'Paste cell here'!AC121</f>
        <v>0</v>
      </c>
      <c r="E121" s="1">
        <f>'Paste cell here'!Y121</f>
        <v>0.30371696595657627</v>
      </c>
      <c r="F121" s="1">
        <f>'Paste cell here'!AD121</f>
        <v>7.0425972979128781E-2</v>
      </c>
      <c r="G121" s="1">
        <f>'Paste cell here'!W121</f>
        <v>0</v>
      </c>
      <c r="H121" s="1">
        <f>'Paste cell here'!AE121</f>
        <v>72.148593201514103</v>
      </c>
      <c r="I121" s="1">
        <f>'Paste cell here'!AF121</f>
        <v>72.522111069985272</v>
      </c>
      <c r="J121" s="1">
        <f t="shared" si="6"/>
        <v>1.4210854715202004E-14</v>
      </c>
      <c r="K121" s="1" t="str">
        <f>IF('(OLD) Bilancio primo strato'!D121&gt;0,1,"")</f>
        <v/>
      </c>
      <c r="L121" s="7">
        <f>Sintesi!$C$34</f>
        <v>0.128</v>
      </c>
      <c r="M121" s="7">
        <f>Sintesi!$C$33</f>
        <v>0.25700000000000001</v>
      </c>
      <c r="N121" s="1">
        <f>'Paste cell here'!AA121</f>
        <v>0.30000000000000004</v>
      </c>
      <c r="O121" s="1">
        <f>'Paste cell here'!H121</f>
        <v>0.65527166796686764</v>
      </c>
      <c r="P121" s="1">
        <f t="shared" si="7"/>
        <v>38.700000000000003</v>
      </c>
      <c r="Q121" s="1">
        <f t="shared" si="8"/>
        <v>25.35901355031778</v>
      </c>
      <c r="R121" s="1">
        <f t="shared" si="9"/>
        <v>51.740986449682239</v>
      </c>
      <c r="S121" s="5">
        <f t="shared" si="10"/>
        <v>0.24049531067171362</v>
      </c>
      <c r="T121" s="5">
        <f t="shared" si="11"/>
        <v>0.17246995483227409</v>
      </c>
    </row>
    <row r="122" spans="1:20">
      <c r="A122" s="1">
        <v>121</v>
      </c>
      <c r="B122" s="2">
        <f>DATE(Sintesi!$C$4-1,12,31)+A122</f>
        <v>44317</v>
      </c>
      <c r="C122" s="1">
        <f>'Paste cell here'!T122</f>
        <v>6.7942663510829151</v>
      </c>
      <c r="D122" s="1">
        <f>'Paste cell here'!AC122</f>
        <v>0</v>
      </c>
      <c r="E122" s="1">
        <f>'Paste cell here'!Y122</f>
        <v>0.20139353589137707</v>
      </c>
      <c r="F122" s="1">
        <f>'Paste cell here'!AD122</f>
        <v>8.8912447005996945E-2</v>
      </c>
      <c r="G122" s="1">
        <f>'Paste cell here'!W122</f>
        <v>0</v>
      </c>
      <c r="H122" s="1">
        <f>'Paste cell here'!AE122</f>
        <v>80.451553569699598</v>
      </c>
      <c r="I122" s="1">
        <f>'Paste cell here'!AF122</f>
        <v>73.947593201514067</v>
      </c>
      <c r="J122" s="1">
        <f t="shared" si="6"/>
        <v>0</v>
      </c>
      <c r="K122" s="1" t="str">
        <f>IF('(OLD) Bilancio primo strato'!D122&gt;0,1,"")</f>
        <v/>
      </c>
      <c r="L122" s="7">
        <f>Sintesi!$C$34</f>
        <v>0.128</v>
      </c>
      <c r="M122" s="7">
        <f>Sintesi!$C$33</f>
        <v>0.25700000000000001</v>
      </c>
      <c r="N122" s="1">
        <f>'Paste cell here'!AA122</f>
        <v>0.30699999999999994</v>
      </c>
      <c r="O122" s="1">
        <f>'Paste cell here'!H122</f>
        <v>0.6077828539717981</v>
      </c>
      <c r="P122" s="1">
        <f t="shared" si="7"/>
        <v>39.602999999999994</v>
      </c>
      <c r="Q122" s="1">
        <f t="shared" si="8"/>
        <v>24.070024365845118</v>
      </c>
      <c r="R122" s="1">
        <f t="shared" si="9"/>
        <v>54.828975634154872</v>
      </c>
      <c r="S122" s="5">
        <f t="shared" si="10"/>
        <v>0.26205717775146453</v>
      </c>
      <c r="T122" s="5">
        <f t="shared" si="11"/>
        <v>0.17859601183763804</v>
      </c>
    </row>
    <row r="123" spans="1:20">
      <c r="A123" s="1">
        <v>122</v>
      </c>
      <c r="B123" s="2">
        <f>DATE(Sintesi!$C$4-1,12,31)+A123</f>
        <v>44318</v>
      </c>
      <c r="C123" s="1">
        <f>'Paste cell here'!T123</f>
        <v>6.1061200097908737</v>
      </c>
      <c r="D123" s="1">
        <f>'Paste cell here'!AC123</f>
        <v>0</v>
      </c>
      <c r="E123" s="1">
        <f>'Paste cell here'!Y123</f>
        <v>0.61193908624413873</v>
      </c>
      <c r="F123" s="1">
        <f>'Paste cell here'!AD123</f>
        <v>0.43078155589796507</v>
      </c>
      <c r="G123" s="1">
        <f>'Paste cell here'!W123</f>
        <v>0</v>
      </c>
      <c r="H123" s="1">
        <f>'Paste cell here'!AE123</f>
        <v>87.313952937348361</v>
      </c>
      <c r="I123" s="1">
        <f>'Paste cell here'!AF123</f>
        <v>82.250553569699591</v>
      </c>
      <c r="J123" s="1">
        <f t="shared" si="6"/>
        <v>0</v>
      </c>
      <c r="K123" s="1" t="str">
        <f>IF('(OLD) Bilancio primo strato'!D123&gt;0,1,"")</f>
        <v/>
      </c>
      <c r="L123" s="7">
        <f>Sintesi!$C$34</f>
        <v>0.128</v>
      </c>
      <c r="M123" s="7">
        <f>Sintesi!$C$33</f>
        <v>0.25700000000000001</v>
      </c>
      <c r="N123" s="1">
        <f>'Paste cell here'!AA123</f>
        <v>0.31399999999999995</v>
      </c>
      <c r="O123" s="1">
        <f>'Paste cell here'!H123</f>
        <v>0.64030762848877742</v>
      </c>
      <c r="P123" s="1">
        <f t="shared" si="7"/>
        <v>40.505999999999993</v>
      </c>
      <c r="Q123" s="1">
        <f t="shared" si="8"/>
        <v>25.936300799566414</v>
      </c>
      <c r="R123" s="1">
        <f t="shared" si="9"/>
        <v>54.761699200433583</v>
      </c>
      <c r="S123" s="5">
        <f t="shared" si="10"/>
        <v>0.27806991381321139</v>
      </c>
      <c r="T123" s="5">
        <f t="shared" si="11"/>
        <v>0.17440031592494776</v>
      </c>
    </row>
    <row r="124" spans="1:20">
      <c r="A124" s="1">
        <v>123</v>
      </c>
      <c r="B124" s="2">
        <f>DATE(Sintesi!$C$4-1,12,31)+A124</f>
        <v>44319</v>
      </c>
      <c r="C124" s="1">
        <f>'Paste cell here'!T124</f>
        <v>0.65421548286957121</v>
      </c>
      <c r="D124" s="1">
        <f>'Paste cell here'!AC124</f>
        <v>0</v>
      </c>
      <c r="E124" s="1">
        <f>'Paste cell here'!Y124</f>
        <v>0.58080326720621367</v>
      </c>
      <c r="F124" s="1">
        <f>'Paste cell here'!AD124</f>
        <v>0.47769219214457814</v>
      </c>
      <c r="G124" s="1">
        <f>'Paste cell here'!W124</f>
        <v>0</v>
      </c>
      <c r="H124" s="1">
        <f>'Paste cell here'!AE124</f>
        <v>88.708672960867133</v>
      </c>
      <c r="I124" s="1">
        <f>'Paste cell here'!AF124</f>
        <v>89.112952937348368</v>
      </c>
      <c r="J124" s="1">
        <f t="shared" si="6"/>
        <v>2.8421709430404007E-14</v>
      </c>
      <c r="K124" s="1" t="str">
        <f>IF('(OLD) Bilancio primo strato'!D124&gt;0,1,"")</f>
        <v/>
      </c>
      <c r="L124" s="7">
        <f>Sintesi!$C$34</f>
        <v>0.128</v>
      </c>
      <c r="M124" s="7">
        <f>Sintesi!$C$33</f>
        <v>0.25700000000000001</v>
      </c>
      <c r="N124" s="1">
        <f>'Paste cell here'!AA124</f>
        <v>0.32099999999999995</v>
      </c>
      <c r="O124" s="1">
        <f>'Paste cell here'!H124</f>
        <v>0.5008456172087562</v>
      </c>
      <c r="P124" s="1">
        <f t="shared" si="7"/>
        <v>41.408999999999992</v>
      </c>
      <c r="Q124" s="1">
        <f t="shared" si="8"/>
        <v>20.739516162997383</v>
      </c>
      <c r="R124" s="1">
        <f t="shared" si="9"/>
        <v>61.757483837002603</v>
      </c>
      <c r="S124" s="5">
        <f t="shared" si="10"/>
        <v>0.2763510061086204</v>
      </c>
      <c r="T124" s="5">
        <f t="shared" si="11"/>
        <v>0.19239091538007044</v>
      </c>
    </row>
    <row r="125" spans="1:20">
      <c r="A125" s="1">
        <v>124</v>
      </c>
      <c r="B125" s="2">
        <f>DATE(Sintesi!$C$4-1,12,31)+A125</f>
        <v>44320</v>
      </c>
      <c r="C125" s="1">
        <f>'Paste cell here'!T125</f>
        <v>8.0636224783350113E-2</v>
      </c>
      <c r="D125" s="1">
        <f>'Paste cell here'!AC125</f>
        <v>0</v>
      </c>
      <c r="E125" s="1">
        <f>'Paste cell here'!Y125</f>
        <v>0.59544485815571779</v>
      </c>
      <c r="F125" s="1">
        <f>'Paste cell here'!AD125</f>
        <v>0.4164741459750253</v>
      </c>
      <c r="G125" s="1">
        <f>'Paste cell here'!W125</f>
        <v>0</v>
      </c>
      <c r="H125" s="1">
        <f>'Paste cell here'!AE125</f>
        <v>89.833390181519746</v>
      </c>
      <c r="I125" s="1">
        <f>'Paste cell here'!AF125</f>
        <v>90.764672960867145</v>
      </c>
      <c r="J125" s="1">
        <f t="shared" si="6"/>
        <v>0</v>
      </c>
      <c r="K125" s="1" t="str">
        <f>IF('(OLD) Bilancio primo strato'!D125&gt;0,1,"")</f>
        <v/>
      </c>
      <c r="L125" s="7">
        <f>Sintesi!$C$34</f>
        <v>0.128</v>
      </c>
      <c r="M125" s="7">
        <f>Sintesi!$C$33</f>
        <v>0.25700000000000001</v>
      </c>
      <c r="N125" s="1">
        <f>'Paste cell here'!AA125</f>
        <v>0.32899999999999996</v>
      </c>
      <c r="O125" s="1">
        <f>'Paste cell here'!H125</f>
        <v>0.51412903641979868</v>
      </c>
      <c r="P125" s="1">
        <f t="shared" si="7"/>
        <v>42.440999999999995</v>
      </c>
      <c r="Q125" s="1">
        <f t="shared" si="8"/>
        <v>21.820150434692675</v>
      </c>
      <c r="R125" s="1">
        <f t="shared" si="9"/>
        <v>62.732849565307305</v>
      </c>
      <c r="S125" s="5">
        <f t="shared" si="10"/>
        <v>0.27304981818091112</v>
      </c>
      <c r="T125" s="5">
        <f t="shared" si="11"/>
        <v>0.19067735430184593</v>
      </c>
    </row>
    <row r="126" spans="1:20">
      <c r="A126" s="1">
        <v>125</v>
      </c>
      <c r="B126" s="2">
        <f>DATE(Sintesi!$C$4-1,12,31)+A126</f>
        <v>44321</v>
      </c>
      <c r="C126" s="1">
        <f>'Paste cell here'!T126</f>
        <v>7.2313618810673896E-3</v>
      </c>
      <c r="D126" s="1">
        <f>'Paste cell here'!AC126</f>
        <v>0</v>
      </c>
      <c r="E126" s="1">
        <f>'Paste cell here'!Y126</f>
        <v>0.45228658720159221</v>
      </c>
      <c r="F126" s="1">
        <f>'Paste cell here'!AD126</f>
        <v>0.35956298896441541</v>
      </c>
      <c r="G126" s="1">
        <f>'Paste cell here'!W126</f>
        <v>0</v>
      </c>
      <c r="H126" s="1">
        <f>'Paste cell here'!AE126</f>
        <v>90.827771967234824</v>
      </c>
      <c r="I126" s="1">
        <f>'Paste cell here'!AF126</f>
        <v>91.632390181519739</v>
      </c>
      <c r="J126" s="1">
        <f t="shared" si="6"/>
        <v>2.8421709430404007E-14</v>
      </c>
      <c r="K126" s="1" t="str">
        <f>IF('(OLD) Bilancio primo strato'!D126&gt;0,1,"")</f>
        <v/>
      </c>
      <c r="L126" s="7">
        <f>Sintesi!$C$34</f>
        <v>0.128</v>
      </c>
      <c r="M126" s="7">
        <f>Sintesi!$C$33</f>
        <v>0.25700000000000001</v>
      </c>
      <c r="N126" s="1">
        <f>'Paste cell here'!AA126</f>
        <v>0.33599999999999997</v>
      </c>
      <c r="O126" s="1">
        <f>'Paste cell here'!H126</f>
        <v>0.50791397099309721</v>
      </c>
      <c r="P126" s="1">
        <f t="shared" si="7"/>
        <v>43.343999999999994</v>
      </c>
      <c r="Q126" s="1">
        <f t="shared" si="8"/>
        <v>22.015023158724802</v>
      </c>
      <c r="R126" s="1">
        <f t="shared" si="9"/>
        <v>64.336976841275202</v>
      </c>
      <c r="S126" s="5">
        <f t="shared" si="10"/>
        <v>0.27032074990248461</v>
      </c>
      <c r="T126" s="5">
        <f t="shared" si="11"/>
        <v>0.19147909774189051</v>
      </c>
    </row>
    <row r="127" spans="1:20">
      <c r="A127" s="1">
        <v>126</v>
      </c>
      <c r="B127" s="2">
        <f>DATE(Sintesi!$C$4-1,12,31)+A127</f>
        <v>44322</v>
      </c>
      <c r="C127" s="1">
        <f>'Paste cell here'!T127</f>
        <v>6.3555054306098065E-4</v>
      </c>
      <c r="D127" s="1">
        <f>'Paste cell here'!AC127</f>
        <v>0</v>
      </c>
      <c r="E127" s="1">
        <f>'Paste cell here'!Y127</f>
        <v>0.49068454832360142</v>
      </c>
      <c r="F127" s="1">
        <f>'Paste cell here'!AD127</f>
        <v>0.31531497903047662</v>
      </c>
      <c r="G127" s="1">
        <f>'Paste cell here'!W127</f>
        <v>0</v>
      </c>
      <c r="H127" s="1">
        <f>'Paste cell here'!AE127</f>
        <v>91.821407990423793</v>
      </c>
      <c r="I127" s="1">
        <f>'Paste cell here'!AF127</f>
        <v>92.626771967234816</v>
      </c>
      <c r="J127" s="1">
        <f t="shared" si="6"/>
        <v>1.4210854715202004E-14</v>
      </c>
      <c r="K127" s="1" t="str">
        <f>IF('(OLD) Bilancio primo strato'!D127&gt;0,1,"")</f>
        <v/>
      </c>
      <c r="L127" s="7">
        <f>Sintesi!$C$34</f>
        <v>0.128</v>
      </c>
      <c r="M127" s="7">
        <f>Sintesi!$C$33</f>
        <v>0.25700000000000001</v>
      </c>
      <c r="N127" s="1">
        <f>'Paste cell here'!AA127</f>
        <v>0.34299999999999997</v>
      </c>
      <c r="O127" s="1">
        <f>'Paste cell here'!H127</f>
        <v>0.55874857373256437</v>
      </c>
      <c r="P127" s="1">
        <f t="shared" si="7"/>
        <v>44.246999999999993</v>
      </c>
      <c r="Q127" s="1">
        <f t="shared" si="8"/>
        <v>24.722948141944773</v>
      </c>
      <c r="R127" s="1">
        <f t="shared" si="9"/>
        <v>63.428051858055227</v>
      </c>
      <c r="S127" s="5">
        <f t="shared" si="10"/>
        <v>0.26770089793126473</v>
      </c>
      <c r="T127" s="5">
        <f t="shared" si="11"/>
        <v>0.1849214339884992</v>
      </c>
    </row>
    <row r="128" spans="1:20">
      <c r="A128" s="1">
        <v>127</v>
      </c>
      <c r="B128" s="2">
        <f>DATE(Sintesi!$C$4-1,12,31)+A128</f>
        <v>44323</v>
      </c>
      <c r="C128" s="1">
        <f>'Paste cell here'!T128</f>
        <v>2.2459307797840068E-5</v>
      </c>
      <c r="D128" s="1">
        <f>'Paste cell here'!AC128</f>
        <v>0</v>
      </c>
      <c r="E128" s="1">
        <f>'Paste cell here'!Y128</f>
        <v>0.69184509907800962</v>
      </c>
      <c r="F128" s="1">
        <f>'Paste cell here'!AD128</f>
        <v>0.27446615531281315</v>
      </c>
      <c r="G128" s="1">
        <f>'Paste cell here'!W128</f>
        <v>0</v>
      </c>
      <c r="H128" s="1">
        <f>'Paste cell here'!AE128</f>
        <v>92.654119195340755</v>
      </c>
      <c r="I128" s="1">
        <f>'Paste cell here'!AF128</f>
        <v>93.620407990423786</v>
      </c>
      <c r="J128" s="1">
        <f t="shared" si="6"/>
        <v>1.4210854715202004E-14</v>
      </c>
      <c r="K128" s="1" t="str">
        <f>IF('(OLD) Bilancio primo strato'!D128&gt;0,1,"")</f>
        <v/>
      </c>
      <c r="L128" s="7">
        <f>Sintesi!$C$34</f>
        <v>0.128</v>
      </c>
      <c r="M128" s="7">
        <f>Sintesi!$C$33</f>
        <v>0.25700000000000001</v>
      </c>
      <c r="N128" s="1">
        <f>'Paste cell here'!AA128</f>
        <v>0.35</v>
      </c>
      <c r="O128" s="1">
        <f>'Paste cell here'!H128</f>
        <v>0.54594777491036739</v>
      </c>
      <c r="P128" s="1">
        <f t="shared" si="7"/>
        <v>45.15</v>
      </c>
      <c r="Q128" s="1">
        <f t="shared" si="8"/>
        <v>24.649542037203087</v>
      </c>
      <c r="R128" s="1">
        <f t="shared" si="9"/>
        <v>65.300457962796912</v>
      </c>
      <c r="S128" s="5">
        <f t="shared" si="10"/>
        <v>0.26472605484383072</v>
      </c>
      <c r="T128" s="5">
        <f t="shared" si="11"/>
        <v>0.1865727370365626</v>
      </c>
    </row>
    <row r="129" spans="1:20">
      <c r="A129" s="1">
        <v>128</v>
      </c>
      <c r="B129" s="2">
        <f>DATE(Sintesi!$C$4-1,12,31)+A129</f>
        <v>44324</v>
      </c>
      <c r="C129" s="1">
        <f>'Paste cell here'!T129</f>
        <v>1.236646800112897E-7</v>
      </c>
      <c r="D129" s="1">
        <f>'Paste cell here'!AC129</f>
        <v>0</v>
      </c>
      <c r="E129" s="1">
        <f>'Paste cell here'!Y129</f>
        <v>0.60296631114498644</v>
      </c>
      <c r="F129" s="1">
        <f>'Paste cell here'!AD129</f>
        <v>0.23888560529213493</v>
      </c>
      <c r="G129" s="1">
        <f>'Paste cell here'!W129</f>
        <v>0</v>
      </c>
      <c r="H129" s="1">
        <f>'Paste cell here'!AE129</f>
        <v>93.611267402568302</v>
      </c>
      <c r="I129" s="1">
        <f>'Paste cell here'!AF129</f>
        <v>94.453119195340747</v>
      </c>
      <c r="J129" s="1">
        <f t="shared" si="6"/>
        <v>0</v>
      </c>
      <c r="K129" s="1" t="str">
        <f>IF('(OLD) Bilancio primo strato'!D129&gt;0,1,"")</f>
        <v/>
      </c>
      <c r="L129" s="7">
        <f>Sintesi!$C$34</f>
        <v>0.128</v>
      </c>
      <c r="M129" s="7">
        <f>Sintesi!$C$33</f>
        <v>0.25700000000000001</v>
      </c>
      <c r="N129" s="1">
        <f>'Paste cell here'!AA129</f>
        <v>0.35699999999999998</v>
      </c>
      <c r="O129" s="1">
        <f>'Paste cell here'!H129</f>
        <v>0.46974921334699077</v>
      </c>
      <c r="P129" s="1">
        <f t="shared" si="7"/>
        <v>46.052999999999997</v>
      </c>
      <c r="Q129" s="1">
        <f t="shared" si="8"/>
        <v>21.633360522268966</v>
      </c>
      <c r="R129" s="1">
        <f t="shared" si="9"/>
        <v>70.115639477731037</v>
      </c>
      <c r="S129" s="5">
        <f t="shared" si="10"/>
        <v>0.26221643530131178</v>
      </c>
      <c r="T129" s="5">
        <f t="shared" si="11"/>
        <v>0.1964023514782382</v>
      </c>
    </row>
    <row r="130" spans="1:20">
      <c r="A130" s="1">
        <v>129</v>
      </c>
      <c r="B130" s="2">
        <f>DATE(Sintesi!$C$4-1,12,31)+A130</f>
        <v>44325</v>
      </c>
      <c r="C130" s="1">
        <f>'Paste cell here'!T130</f>
        <v>9.0195834137321009E-10</v>
      </c>
      <c r="D130" s="1">
        <f>'Paste cell here'!AC130</f>
        <v>0</v>
      </c>
      <c r="E130" s="1">
        <f>'Paste cell here'!Y130</f>
        <v>0.56295811216981562</v>
      </c>
      <c r="F130" s="1">
        <f>'Paste cell here'!AD130</f>
        <v>0.21155467066669381</v>
      </c>
      <c r="G130" s="1">
        <f>'Paste cell here'!W130</f>
        <v>0</v>
      </c>
      <c r="H130" s="1">
        <f>'Paste cell here'!AE130</f>
        <v>94.635754620633719</v>
      </c>
      <c r="I130" s="1">
        <f>'Paste cell here'!AF130</f>
        <v>95.410267402568294</v>
      </c>
      <c r="J130" s="1">
        <f t="shared" ref="J130:J193" si="12">ABS(I130+C130+D130-E130-F130-G130-H130)</f>
        <v>2.8421709430404007E-14</v>
      </c>
      <c r="K130" s="1" t="str">
        <f>IF('(OLD) Bilancio primo strato'!D130&gt;0,1,"")</f>
        <v/>
      </c>
      <c r="L130" s="7">
        <f>Sintesi!$C$34</f>
        <v>0.128</v>
      </c>
      <c r="M130" s="7">
        <f>Sintesi!$C$33</f>
        <v>0.25700000000000001</v>
      </c>
      <c r="N130" s="1">
        <f>'Paste cell here'!AA130</f>
        <v>0.36399999999999999</v>
      </c>
      <c r="O130" s="1">
        <f>'Paste cell here'!H130</f>
        <v>0.50843097671373449</v>
      </c>
      <c r="P130" s="1">
        <f t="shared" ref="P130:P193" si="13">(M130-L130)*N130*1000</f>
        <v>46.955999999999996</v>
      </c>
      <c r="Q130" s="1">
        <f t="shared" ref="Q130:Q193" si="14">P130*O130</f>
        <v>23.873884942570115</v>
      </c>
      <c r="R130" s="1">
        <f t="shared" ref="R130:R193" si="15">M130*N130*1000-Q130</f>
        <v>69.674115057429887</v>
      </c>
      <c r="S130" s="5">
        <f t="shared" ref="S130:S193" si="16">H130/($N130*1000)</f>
        <v>0.25998833686987283</v>
      </c>
      <c r="T130" s="5">
        <f t="shared" ref="T130:T193" si="17">R130/($N130*1000)</f>
        <v>0.19141240400392825</v>
      </c>
    </row>
    <row r="131" spans="1:20">
      <c r="A131" s="1">
        <v>130</v>
      </c>
      <c r="B131" s="2">
        <f>DATE(Sintesi!$C$4-1,12,31)+A131</f>
        <v>44326</v>
      </c>
      <c r="C131" s="1">
        <f>'Paste cell here'!T131</f>
        <v>6.3649727710329218E-12</v>
      </c>
      <c r="D131" s="1">
        <f>'Paste cell here'!AC131</f>
        <v>0</v>
      </c>
      <c r="E131" s="1">
        <f>'Paste cell here'!Y131</f>
        <v>0.46967560179325007</v>
      </c>
      <c r="F131" s="1">
        <f>'Paste cell here'!AD131</f>
        <v>0.19034890250565056</v>
      </c>
      <c r="G131" s="1">
        <f>'Paste cell here'!W131</f>
        <v>0</v>
      </c>
      <c r="H131" s="1">
        <f>'Paste cell here'!AE131</f>
        <v>95.774730116341146</v>
      </c>
      <c r="I131" s="1">
        <f>'Paste cell here'!AF131</f>
        <v>96.434754620633697</v>
      </c>
      <c r="J131" s="1">
        <f t="shared" si="12"/>
        <v>1.4210854715202004E-14</v>
      </c>
      <c r="K131" s="1" t="str">
        <f>IF('(OLD) Bilancio primo strato'!D131&gt;0,1,"")</f>
        <v/>
      </c>
      <c r="L131" s="7">
        <f>Sintesi!$C$34</f>
        <v>0.128</v>
      </c>
      <c r="M131" s="7">
        <f>Sintesi!$C$33</f>
        <v>0.25700000000000001</v>
      </c>
      <c r="N131" s="1">
        <f>'Paste cell here'!AA131</f>
        <v>0.371</v>
      </c>
      <c r="O131" s="1">
        <f>'Paste cell here'!H131</f>
        <v>0.52305968931658775</v>
      </c>
      <c r="P131" s="1">
        <f t="shared" si="13"/>
        <v>47.859000000000002</v>
      </c>
      <c r="Q131" s="1">
        <f t="shared" si="14"/>
        <v>25.033113671002575</v>
      </c>
      <c r="R131" s="1">
        <f t="shared" si="15"/>
        <v>70.313886328997427</v>
      </c>
      <c r="S131" s="5">
        <f t="shared" si="16"/>
        <v>0.25815291136480095</v>
      </c>
      <c r="T131" s="5">
        <f t="shared" si="17"/>
        <v>0.18952530007816018</v>
      </c>
    </row>
    <row r="132" spans="1:20">
      <c r="A132" s="1">
        <v>131</v>
      </c>
      <c r="B132" s="2">
        <f>DATE(Sintesi!$C$4-1,12,31)+A132</f>
        <v>44327</v>
      </c>
      <c r="C132" s="1">
        <f>'Paste cell here'!T132</f>
        <v>1.9467169654976926E-2</v>
      </c>
      <c r="D132" s="1">
        <f>'Paste cell here'!AC132</f>
        <v>0</v>
      </c>
      <c r="E132" s="1">
        <f>'Paste cell here'!Y132</f>
        <v>0.207761843509286</v>
      </c>
      <c r="F132" s="1">
        <f>'Paste cell here'!AD132</f>
        <v>0.17648660946166547</v>
      </c>
      <c r="G132" s="1">
        <f>'Paste cell here'!W132</f>
        <v>0</v>
      </c>
      <c r="H132" s="1">
        <f>'Paste cell here'!AE132</f>
        <v>97.465948833025166</v>
      </c>
      <c r="I132" s="1">
        <f>'Paste cell here'!AF132</f>
        <v>97.830730116341144</v>
      </c>
      <c r="J132" s="1">
        <f t="shared" si="12"/>
        <v>0</v>
      </c>
      <c r="K132" s="1" t="str">
        <f>IF('(OLD) Bilancio primo strato'!D132&gt;0,1,"")</f>
        <v/>
      </c>
      <c r="L132" s="7">
        <f>Sintesi!$C$34</f>
        <v>0.128</v>
      </c>
      <c r="M132" s="7">
        <f>Sintesi!$C$33</f>
        <v>0.25700000000000001</v>
      </c>
      <c r="N132" s="1">
        <f>'Paste cell here'!AA132</f>
        <v>0.379</v>
      </c>
      <c r="O132" s="1">
        <f>'Paste cell here'!H132</f>
        <v>0.55069827430979623</v>
      </c>
      <c r="P132" s="1">
        <f t="shared" si="13"/>
        <v>48.891000000000005</v>
      </c>
      <c r="Q132" s="1">
        <f t="shared" si="14"/>
        <v>26.924189329280249</v>
      </c>
      <c r="R132" s="1">
        <f t="shared" si="15"/>
        <v>70.478810670719753</v>
      </c>
      <c r="S132" s="5">
        <f t="shared" si="16"/>
        <v>0.25716609190771811</v>
      </c>
      <c r="T132" s="5">
        <f t="shared" si="17"/>
        <v>0.18595992261403629</v>
      </c>
    </row>
    <row r="133" spans="1:20">
      <c r="A133" s="1">
        <v>132</v>
      </c>
      <c r="B133" s="2">
        <f>DATE(Sintesi!$C$4-1,12,31)+A133</f>
        <v>44328</v>
      </c>
      <c r="C133" s="1">
        <f>'Paste cell here'!T133</f>
        <v>0.12076444894714808</v>
      </c>
      <c r="D133" s="1">
        <f>'Paste cell here'!AC133</f>
        <v>0</v>
      </c>
      <c r="E133" s="1">
        <f>'Paste cell here'!Y133</f>
        <v>0.63928779330876895</v>
      </c>
      <c r="F133" s="1">
        <f>'Paste cell here'!AD133</f>
        <v>0.16488463476706827</v>
      </c>
      <c r="G133" s="1">
        <f>'Paste cell here'!W133</f>
        <v>0</v>
      </c>
      <c r="H133" s="1">
        <f>'Paste cell here'!AE133</f>
        <v>98.58154085389647</v>
      </c>
      <c r="I133" s="1">
        <f>'Paste cell here'!AF133</f>
        <v>99.264948833025159</v>
      </c>
      <c r="J133" s="1">
        <f t="shared" si="12"/>
        <v>0</v>
      </c>
      <c r="K133" s="1" t="str">
        <f>IF('(OLD) Bilancio primo strato'!D133&gt;0,1,"")</f>
        <v/>
      </c>
      <c r="L133" s="7">
        <f>Sintesi!$C$34</f>
        <v>0.128</v>
      </c>
      <c r="M133" s="7">
        <f>Sintesi!$C$33</f>
        <v>0.25700000000000001</v>
      </c>
      <c r="N133" s="1">
        <f>'Paste cell here'!AA133</f>
        <v>0.38600000000000001</v>
      </c>
      <c r="O133" s="1">
        <f>'Paste cell here'!H133</f>
        <v>0.6368689190231247</v>
      </c>
      <c r="P133" s="1">
        <f t="shared" si="13"/>
        <v>49.794000000000004</v>
      </c>
      <c r="Q133" s="1">
        <f t="shared" si="14"/>
        <v>31.712250953837476</v>
      </c>
      <c r="R133" s="1">
        <f t="shared" si="15"/>
        <v>67.48974904616253</v>
      </c>
      <c r="S133" s="5">
        <f t="shared" si="16"/>
        <v>0.25539259288574218</v>
      </c>
      <c r="T133" s="5">
        <f t="shared" si="17"/>
        <v>0.17484390944601691</v>
      </c>
    </row>
    <row r="134" spans="1:20">
      <c r="A134" s="1">
        <v>133</v>
      </c>
      <c r="B134" s="2">
        <f>DATE(Sintesi!$C$4-1,12,31)+A134</f>
        <v>44329</v>
      </c>
      <c r="C134" s="1">
        <f>'Paste cell here'!T134</f>
        <v>2.8575355452603434E-2</v>
      </c>
      <c r="D134" s="1">
        <f>'Paste cell here'!AC134</f>
        <v>0</v>
      </c>
      <c r="E134" s="1">
        <f>'Paste cell here'!Y134</f>
        <v>0.6364573052422956</v>
      </c>
      <c r="F134" s="1">
        <f>'Paste cell here'!AD134</f>
        <v>0.14920021499428404</v>
      </c>
      <c r="G134" s="1">
        <f>'Paste cell here'!W134</f>
        <v>0</v>
      </c>
      <c r="H134" s="1">
        <f>'Paste cell here'!AE134</f>
        <v>99.623458689112482</v>
      </c>
      <c r="I134" s="1">
        <f>'Paste cell here'!AF134</f>
        <v>100.38054085389648</v>
      </c>
      <c r="J134" s="1">
        <f t="shared" si="12"/>
        <v>1.4210854715202004E-14</v>
      </c>
      <c r="K134" s="1" t="str">
        <f>IF('(OLD) Bilancio primo strato'!D134&gt;0,1,"")</f>
        <v/>
      </c>
      <c r="L134" s="7">
        <f>Sintesi!$C$34</f>
        <v>0.128</v>
      </c>
      <c r="M134" s="7">
        <f>Sintesi!$C$33</f>
        <v>0.25700000000000001</v>
      </c>
      <c r="N134" s="1">
        <f>'Paste cell here'!AA134</f>
        <v>0.39300000000000002</v>
      </c>
      <c r="O134" s="1">
        <f>'Paste cell here'!H134</f>
        <v>0.49554405917210731</v>
      </c>
      <c r="P134" s="1">
        <f t="shared" si="13"/>
        <v>50.697000000000003</v>
      </c>
      <c r="Q134" s="1">
        <f t="shared" si="14"/>
        <v>25.122597167848326</v>
      </c>
      <c r="R134" s="1">
        <f t="shared" si="15"/>
        <v>75.878402832151679</v>
      </c>
      <c r="S134" s="5">
        <f t="shared" si="16"/>
        <v>0.25349480582471368</v>
      </c>
      <c r="T134" s="5">
        <f t="shared" si="17"/>
        <v>0.19307481636679816</v>
      </c>
    </row>
    <row r="135" spans="1:20">
      <c r="A135" s="1">
        <v>134</v>
      </c>
      <c r="B135" s="2">
        <f>DATE(Sintesi!$C$4-1,12,31)+A135</f>
        <v>44330</v>
      </c>
      <c r="C135" s="1">
        <f>'Paste cell here'!T135</f>
        <v>3.6454316569312167E-2</v>
      </c>
      <c r="D135" s="1">
        <f>'Paste cell here'!AC135</f>
        <v>0</v>
      </c>
      <c r="E135" s="1">
        <f>'Paste cell here'!Y135</f>
        <v>0.4400817268577093</v>
      </c>
      <c r="F135" s="1">
        <f>'Paste cell here'!AD135</f>
        <v>0.13669958214118283</v>
      </c>
      <c r="G135" s="1">
        <f>'Paste cell here'!W135</f>
        <v>0</v>
      </c>
      <c r="H135" s="1">
        <f>'Paste cell here'!AE135</f>
        <v>100.88213169668289</v>
      </c>
      <c r="I135" s="1">
        <f>'Paste cell here'!AF135</f>
        <v>101.42245868911247</v>
      </c>
      <c r="J135" s="1">
        <f t="shared" si="12"/>
        <v>1.4210854715202004E-14</v>
      </c>
      <c r="K135" s="1" t="str">
        <f>IF('(OLD) Bilancio primo strato'!D135&gt;0,1,"")</f>
        <v/>
      </c>
      <c r="L135" s="7">
        <f>Sintesi!$C$34</f>
        <v>0.128</v>
      </c>
      <c r="M135" s="7">
        <f>Sintesi!$C$33</f>
        <v>0.25700000000000001</v>
      </c>
      <c r="N135" s="1">
        <f>'Paste cell here'!AA135</f>
        <v>0.4</v>
      </c>
      <c r="O135" s="1">
        <f>'Paste cell here'!H135</f>
        <v>0.49464272518931257</v>
      </c>
      <c r="P135" s="1">
        <f t="shared" si="13"/>
        <v>51.600000000000009</v>
      </c>
      <c r="Q135" s="1">
        <f t="shared" si="14"/>
        <v>25.523564619768532</v>
      </c>
      <c r="R135" s="1">
        <f t="shared" si="15"/>
        <v>77.276435380231462</v>
      </c>
      <c r="S135" s="5">
        <f t="shared" si="16"/>
        <v>0.25220532924170724</v>
      </c>
      <c r="T135" s="5">
        <f t="shared" si="17"/>
        <v>0.19319108845057864</v>
      </c>
    </row>
    <row r="136" spans="1:20">
      <c r="A136" s="1">
        <v>135</v>
      </c>
      <c r="B136" s="2">
        <f>DATE(Sintesi!$C$4-1,12,31)+A136</f>
        <v>44331</v>
      </c>
      <c r="C136" s="1">
        <f>'Paste cell here'!T136</f>
        <v>5.3719089044434017E-2</v>
      </c>
      <c r="D136" s="1">
        <f>'Paste cell here'!AC136</f>
        <v>0</v>
      </c>
      <c r="E136" s="1">
        <f>'Paste cell here'!Y136</f>
        <v>0.46182009439358135</v>
      </c>
      <c r="F136" s="1">
        <f>'Paste cell here'!AD136</f>
        <v>0.12796357536910055</v>
      </c>
      <c r="G136" s="1">
        <f>'Paste cell here'!W136</f>
        <v>0</v>
      </c>
      <c r="H136" s="1">
        <f>'Paste cell here'!AE136</f>
        <v>102.40206711596466</v>
      </c>
      <c r="I136" s="1">
        <f>'Paste cell here'!AF136</f>
        <v>102.9381316966829</v>
      </c>
      <c r="J136" s="1">
        <f t="shared" si="12"/>
        <v>0</v>
      </c>
      <c r="K136" s="1" t="str">
        <f>IF('(OLD) Bilancio primo strato'!D136&gt;0,1,"")</f>
        <v/>
      </c>
      <c r="L136" s="7">
        <f>Sintesi!$C$34</f>
        <v>0.128</v>
      </c>
      <c r="M136" s="7">
        <f>Sintesi!$C$33</f>
        <v>0.25700000000000001</v>
      </c>
      <c r="N136" s="1">
        <f>'Paste cell here'!AA136</f>
        <v>0.40800000000000003</v>
      </c>
      <c r="O136" s="1">
        <f>'Paste cell here'!H136</f>
        <v>0.56146727592716617</v>
      </c>
      <c r="P136" s="1">
        <f t="shared" si="13"/>
        <v>52.632000000000005</v>
      </c>
      <c r="Q136" s="1">
        <f t="shared" si="14"/>
        <v>29.551145666598611</v>
      </c>
      <c r="R136" s="1">
        <f t="shared" si="15"/>
        <v>75.304854333401394</v>
      </c>
      <c r="S136" s="5">
        <f t="shared" si="16"/>
        <v>0.25098545861756039</v>
      </c>
      <c r="T136" s="5">
        <f t="shared" si="17"/>
        <v>0.18457072140539554</v>
      </c>
    </row>
    <row r="137" spans="1:20">
      <c r="A137" s="1">
        <v>136</v>
      </c>
      <c r="B137" s="2">
        <f>DATE(Sintesi!$C$4-1,12,31)+A137</f>
        <v>44332</v>
      </c>
      <c r="C137" s="1">
        <f>'Paste cell here'!T137</f>
        <v>1.728357649831571E-2</v>
      </c>
      <c r="D137" s="1">
        <f>'Paste cell here'!AC137</f>
        <v>0</v>
      </c>
      <c r="E137" s="1">
        <f>'Paste cell here'!Y137</f>
        <v>0.33128434481878183</v>
      </c>
      <c r="F137" s="1">
        <f>'Paste cell here'!AD137</f>
        <v>0.12052979286152882</v>
      </c>
      <c r="G137" s="1">
        <f>'Paste cell here'!W137</f>
        <v>0</v>
      </c>
      <c r="H137" s="1">
        <f>'Paste cell here'!AE137</f>
        <v>104.02353655478262</v>
      </c>
      <c r="I137" s="1">
        <f>'Paste cell here'!AF137</f>
        <v>104.45806711596464</v>
      </c>
      <c r="J137" s="1">
        <f t="shared" si="12"/>
        <v>1.4210854715202004E-14</v>
      </c>
      <c r="K137" s="1" t="str">
        <f>IF('(OLD) Bilancio primo strato'!D137&gt;0,1,"")</f>
        <v/>
      </c>
      <c r="L137" s="7">
        <f>Sintesi!$C$34</f>
        <v>0.128</v>
      </c>
      <c r="M137" s="7">
        <f>Sintesi!$C$33</f>
        <v>0.25700000000000001</v>
      </c>
      <c r="N137" s="1">
        <f>'Paste cell here'!AA137</f>
        <v>0.41600000000000004</v>
      </c>
      <c r="O137" s="1">
        <f>'Paste cell here'!H137</f>
        <v>0.57395770613007779</v>
      </c>
      <c r="P137" s="1">
        <f t="shared" si="13"/>
        <v>53.664000000000001</v>
      </c>
      <c r="Q137" s="1">
        <f t="shared" si="14"/>
        <v>30.800866341764497</v>
      </c>
      <c r="R137" s="1">
        <f t="shared" si="15"/>
        <v>76.111133658235502</v>
      </c>
      <c r="S137" s="5">
        <f t="shared" si="16"/>
        <v>0.25005657825668898</v>
      </c>
      <c r="T137" s="5">
        <f t="shared" si="17"/>
        <v>0.18295945590921994</v>
      </c>
    </row>
    <row r="138" spans="1:20">
      <c r="A138" s="1">
        <v>137</v>
      </c>
      <c r="B138" s="2">
        <f>DATE(Sintesi!$C$4-1,12,31)+A138</f>
        <v>44333</v>
      </c>
      <c r="C138" s="1">
        <f>'Paste cell here'!T138</f>
        <v>1.0830145041357051E-2</v>
      </c>
      <c r="D138" s="1">
        <f>'Paste cell here'!AC138</f>
        <v>0</v>
      </c>
      <c r="E138" s="1">
        <f>'Paste cell here'!Y138</f>
        <v>1.026923563644333</v>
      </c>
      <c r="F138" s="1">
        <f>'Paste cell here'!AD138</f>
        <v>0.10981235143020211</v>
      </c>
      <c r="G138" s="1">
        <f>'Paste cell here'!W138</f>
        <v>0</v>
      </c>
      <c r="H138" s="1">
        <f>'Paste cell here'!AE138</f>
        <v>104.95363078474945</v>
      </c>
      <c r="I138" s="1">
        <f>'Paste cell here'!AF138</f>
        <v>106.07953655478262</v>
      </c>
      <c r="J138" s="1">
        <f t="shared" si="12"/>
        <v>1.4210854715202004E-14</v>
      </c>
      <c r="K138" s="1" t="str">
        <f>IF('(OLD) Bilancio primo strato'!D138&gt;0,1,"")</f>
        <v/>
      </c>
      <c r="L138" s="7">
        <f>Sintesi!$C$34</f>
        <v>0.128</v>
      </c>
      <c r="M138" s="7">
        <f>Sintesi!$C$33</f>
        <v>0.25700000000000001</v>
      </c>
      <c r="N138" s="1">
        <f>'Paste cell here'!AA138</f>
        <v>0.42400000000000004</v>
      </c>
      <c r="O138" s="1">
        <f>'Paste cell here'!H138</f>
        <v>0.62224347153540915</v>
      </c>
      <c r="P138" s="1">
        <f t="shared" si="13"/>
        <v>54.696000000000005</v>
      </c>
      <c r="Q138" s="1">
        <f t="shared" si="14"/>
        <v>34.034228919100741</v>
      </c>
      <c r="R138" s="1">
        <f t="shared" si="15"/>
        <v>74.933771080899263</v>
      </c>
      <c r="S138" s="5">
        <f t="shared" si="16"/>
        <v>0.24753214807723922</v>
      </c>
      <c r="T138" s="5">
        <f t="shared" si="17"/>
        <v>0.17673059217193221</v>
      </c>
    </row>
    <row r="139" spans="1:20">
      <c r="A139" s="1">
        <v>138</v>
      </c>
      <c r="B139" s="2">
        <f>DATE(Sintesi!$C$4-1,12,31)+A139</f>
        <v>44334</v>
      </c>
      <c r="C139" s="1">
        <f>'Paste cell here'!T139</f>
        <v>2.3500119186720373E-3</v>
      </c>
      <c r="D139" s="1">
        <f>'Paste cell here'!AC139</f>
        <v>0</v>
      </c>
      <c r="E139" s="1">
        <f>'Paste cell here'!Y139</f>
        <v>1.0414588575993857</v>
      </c>
      <c r="F139" s="1">
        <f>'Paste cell here'!AD139</f>
        <v>9.5721685538372472E-2</v>
      </c>
      <c r="G139" s="1">
        <f>'Paste cell here'!W139</f>
        <v>0</v>
      </c>
      <c r="H139" s="1">
        <f>'Paste cell here'!AE139</f>
        <v>106.13180025353039</v>
      </c>
      <c r="I139" s="1">
        <f>'Paste cell here'!AF139</f>
        <v>107.26663078474944</v>
      </c>
      <c r="J139" s="1">
        <f t="shared" si="12"/>
        <v>4.2632564145606011E-14</v>
      </c>
      <c r="K139" s="1" t="str">
        <f>IF('(OLD) Bilancio primo strato'!D139&gt;0,1,"")</f>
        <v/>
      </c>
      <c r="L139" s="7">
        <f>Sintesi!$C$34</f>
        <v>0.128</v>
      </c>
      <c r="M139" s="7">
        <f>Sintesi!$C$33</f>
        <v>0.25700000000000001</v>
      </c>
      <c r="N139" s="1">
        <f>'Paste cell here'!AA139</f>
        <v>0.43300000000000005</v>
      </c>
      <c r="O139" s="1">
        <f>'Paste cell here'!H139</f>
        <v>0.46141071295989783</v>
      </c>
      <c r="P139" s="1">
        <f t="shared" si="13"/>
        <v>55.857000000000014</v>
      </c>
      <c r="Q139" s="1">
        <f t="shared" si="14"/>
        <v>25.773018193801018</v>
      </c>
      <c r="R139" s="1">
        <f t="shared" si="15"/>
        <v>85.507981806198998</v>
      </c>
      <c r="S139" s="5">
        <f t="shared" si="16"/>
        <v>0.24510808372639808</v>
      </c>
      <c r="T139" s="5">
        <f t="shared" si="17"/>
        <v>0.19747801802817319</v>
      </c>
    </row>
    <row r="140" spans="1:20">
      <c r="A140" s="1">
        <v>139</v>
      </c>
      <c r="B140" s="2">
        <f>DATE(Sintesi!$C$4-1,12,31)+A140</f>
        <v>44335</v>
      </c>
      <c r="C140" s="1">
        <f>'Paste cell here'!T140</f>
        <v>9.5370041462229514E-5</v>
      </c>
      <c r="D140" s="1">
        <f>'Paste cell here'!AC140</f>
        <v>0</v>
      </c>
      <c r="E140" s="1">
        <f>'Paste cell here'!Y140</f>
        <v>1.2041166515865536</v>
      </c>
      <c r="F140" s="1">
        <f>'Paste cell here'!AD140</f>
        <v>8.2798930940004456E-2</v>
      </c>
      <c r="G140" s="1">
        <f>'Paste cell here'!W140</f>
        <v>0</v>
      </c>
      <c r="H140" s="1">
        <f>'Paste cell here'!AE140</f>
        <v>106.90098004104532</v>
      </c>
      <c r="I140" s="1">
        <f>'Paste cell here'!AF140</f>
        <v>108.1878002535304</v>
      </c>
      <c r="J140" s="1">
        <f t="shared" si="12"/>
        <v>1.4210854715202004E-14</v>
      </c>
      <c r="K140" s="1" t="str">
        <f>IF('(OLD) Bilancio primo strato'!D140&gt;0,1,"")</f>
        <v/>
      </c>
      <c r="L140" s="7">
        <f>Sintesi!$C$34</f>
        <v>0.128</v>
      </c>
      <c r="M140" s="7">
        <f>Sintesi!$C$33</f>
        <v>0.25700000000000001</v>
      </c>
      <c r="N140" s="1">
        <f>'Paste cell here'!AA140</f>
        <v>0.44100000000000006</v>
      </c>
      <c r="O140" s="1">
        <f>'Paste cell here'!H140</f>
        <v>0.48069175715046014</v>
      </c>
      <c r="P140" s="1">
        <f t="shared" si="13"/>
        <v>56.88900000000001</v>
      </c>
      <c r="Q140" s="1">
        <f t="shared" si="14"/>
        <v>27.346073372532533</v>
      </c>
      <c r="R140" s="1">
        <f t="shared" si="15"/>
        <v>85.990926627467488</v>
      </c>
      <c r="S140" s="5">
        <f t="shared" si="16"/>
        <v>0.24240585043320931</v>
      </c>
      <c r="T140" s="5">
        <f t="shared" si="17"/>
        <v>0.19499076332759066</v>
      </c>
    </row>
    <row r="141" spans="1:20">
      <c r="A141" s="1">
        <v>140</v>
      </c>
      <c r="B141" s="2">
        <f>DATE(Sintesi!$C$4-1,12,31)+A141</f>
        <v>44336</v>
      </c>
      <c r="C141" s="1">
        <f>'Paste cell here'!T141</f>
        <v>1.0454650583579894E-6</v>
      </c>
      <c r="D141" s="1">
        <f>'Paste cell here'!AC141</f>
        <v>0</v>
      </c>
      <c r="E141" s="1">
        <f>'Paste cell here'!Y141</f>
        <v>1.3504868930811267</v>
      </c>
      <c r="F141" s="1">
        <f>'Paste cell here'!AD141</f>
        <v>7.0520159297793331E-2</v>
      </c>
      <c r="G141" s="1">
        <f>'Paste cell here'!W141</f>
        <v>0</v>
      </c>
      <c r="H141" s="1">
        <f>'Paste cell here'!AE141</f>
        <v>107.53597403413148</v>
      </c>
      <c r="I141" s="1">
        <f>'Paste cell here'!AF141</f>
        <v>108.95698004104531</v>
      </c>
      <c r="J141" s="1">
        <f t="shared" si="12"/>
        <v>4.2632564145606011E-14</v>
      </c>
      <c r="K141" s="1" t="str">
        <f>IF('(OLD) Bilancio primo strato'!D141&gt;0,1,"")</f>
        <v/>
      </c>
      <c r="L141" s="7">
        <f>Sintesi!$C$34</f>
        <v>0.128</v>
      </c>
      <c r="M141" s="7">
        <f>Sintesi!$C$33</f>
        <v>0.25700000000000001</v>
      </c>
      <c r="N141" s="1">
        <f>'Paste cell here'!AA141</f>
        <v>0.44900000000000007</v>
      </c>
      <c r="O141" s="1">
        <f>'Paste cell here'!H141</f>
        <v>0.46697429090994036</v>
      </c>
      <c r="P141" s="1">
        <f t="shared" si="13"/>
        <v>57.921000000000006</v>
      </c>
      <c r="Q141" s="1">
        <f t="shared" si="14"/>
        <v>27.047617903794659</v>
      </c>
      <c r="R141" s="1">
        <f t="shared" si="15"/>
        <v>88.34538209620537</v>
      </c>
      <c r="S141" s="5">
        <f t="shared" si="16"/>
        <v>0.23950105575530395</v>
      </c>
      <c r="T141" s="5">
        <f t="shared" si="17"/>
        <v>0.19676031647261771</v>
      </c>
    </row>
    <row r="142" spans="1:20">
      <c r="A142" s="1">
        <v>141</v>
      </c>
      <c r="B142" s="2">
        <f>DATE(Sintesi!$C$4-1,12,31)+A142</f>
        <v>44337</v>
      </c>
      <c r="C142" s="1">
        <f>'Paste cell here'!T142</f>
        <v>6.5976735671796016E-9</v>
      </c>
      <c r="D142" s="1">
        <f>'Paste cell here'!AC142</f>
        <v>0</v>
      </c>
      <c r="E142" s="1">
        <f>'Paste cell here'!Y142</f>
        <v>1.2819640892456812</v>
      </c>
      <c r="F142" s="1">
        <f>'Paste cell here'!AD142</f>
        <v>5.9967099994277955E-2</v>
      </c>
      <c r="G142" s="1">
        <f>'Paste cell here'!W142</f>
        <v>0</v>
      </c>
      <c r="H142" s="1">
        <f>'Paste cell here'!AE142</f>
        <v>108.25004285148921</v>
      </c>
      <c r="I142" s="1">
        <f>'Paste cell here'!AF142</f>
        <v>109.59197403413148</v>
      </c>
      <c r="J142" s="1">
        <f t="shared" si="12"/>
        <v>1.4210854715202004E-14</v>
      </c>
      <c r="K142" s="1" t="str">
        <f>IF('(OLD) Bilancio primo strato'!D142&gt;0,1,"")</f>
        <v/>
      </c>
      <c r="L142" s="7">
        <f>Sintesi!$C$34</f>
        <v>0.128</v>
      </c>
      <c r="M142" s="7">
        <f>Sintesi!$C$33</f>
        <v>0.25700000000000001</v>
      </c>
      <c r="N142" s="1">
        <f>'Paste cell here'!AA142</f>
        <v>0.45700000000000007</v>
      </c>
      <c r="O142" s="1">
        <f>'Paste cell here'!H142</f>
        <v>0.45875694749977325</v>
      </c>
      <c r="P142" s="1">
        <f t="shared" si="13"/>
        <v>58.95300000000001</v>
      </c>
      <c r="Q142" s="1">
        <f t="shared" si="14"/>
        <v>27.045098325954136</v>
      </c>
      <c r="R142" s="1">
        <f t="shared" si="15"/>
        <v>90.403901674045898</v>
      </c>
      <c r="S142" s="5">
        <f t="shared" si="16"/>
        <v>0.23687099092229583</v>
      </c>
      <c r="T142" s="5">
        <f t="shared" si="17"/>
        <v>0.19782035377252929</v>
      </c>
    </row>
    <row r="143" spans="1:20">
      <c r="A143" s="1">
        <v>142</v>
      </c>
      <c r="B143" s="2">
        <f>DATE(Sintesi!$C$4-1,12,31)+A143</f>
        <v>44338</v>
      </c>
      <c r="C143" s="1">
        <f>'Paste cell here'!T143</f>
        <v>1.1570594961902256E-8</v>
      </c>
      <c r="D143" s="1">
        <f>'Paste cell here'!AC143</f>
        <v>0</v>
      </c>
      <c r="E143" s="1">
        <f>'Paste cell here'!Y143</f>
        <v>0.94584690999505461</v>
      </c>
      <c r="F143" s="1">
        <f>'Paste cell here'!AD143</f>
        <v>5.2505482214405111E-2</v>
      </c>
      <c r="G143" s="1">
        <f>'Paste cell here'!W143</f>
        <v>0</v>
      </c>
      <c r="H143" s="1">
        <f>'Paste cell here'!AE143</f>
        <v>109.30769047085029</v>
      </c>
      <c r="I143" s="1">
        <f>'Paste cell here'!AF143</f>
        <v>110.30604285148918</v>
      </c>
      <c r="J143" s="1">
        <f t="shared" si="12"/>
        <v>2.8421709430404007E-14</v>
      </c>
      <c r="K143" s="1" t="str">
        <f>IF('(OLD) Bilancio primo strato'!D143&gt;0,1,"")</f>
        <v/>
      </c>
      <c r="L143" s="7">
        <f>Sintesi!$C$34</f>
        <v>0.128</v>
      </c>
      <c r="M143" s="7">
        <f>Sintesi!$C$33</f>
        <v>0.25700000000000001</v>
      </c>
      <c r="N143" s="1">
        <f>'Paste cell here'!AA143</f>
        <v>0.46499999999999997</v>
      </c>
      <c r="O143" s="1">
        <f>'Paste cell here'!H143</f>
        <v>0.49453273197277536</v>
      </c>
      <c r="P143" s="1">
        <f t="shared" si="13"/>
        <v>59.984999999999999</v>
      </c>
      <c r="Q143" s="1">
        <f t="shared" si="14"/>
        <v>29.664545927386929</v>
      </c>
      <c r="R143" s="1">
        <f t="shared" si="15"/>
        <v>89.84045407261307</v>
      </c>
      <c r="S143" s="5">
        <f t="shared" si="16"/>
        <v>0.23507030208785012</v>
      </c>
      <c r="T143" s="5">
        <f t="shared" si="17"/>
        <v>0.19320527757551201</v>
      </c>
    </row>
    <row r="144" spans="1:20">
      <c r="A144" s="1">
        <v>143</v>
      </c>
      <c r="B144" s="2">
        <f>DATE(Sintesi!$C$4-1,12,31)+A144</f>
        <v>44339</v>
      </c>
      <c r="C144" s="1">
        <f>'Paste cell here'!T144</f>
        <v>2.7652997369106146E-8</v>
      </c>
      <c r="D144" s="1">
        <f>'Paste cell here'!AC144</f>
        <v>0</v>
      </c>
      <c r="E144" s="1">
        <f>'Paste cell here'!Y144</f>
        <v>1.5953238039679087</v>
      </c>
      <c r="F144" s="1">
        <f>'Paste cell here'!AD144</f>
        <v>4.5421726713132687E-2</v>
      </c>
      <c r="G144" s="1">
        <f>'Paste cell here'!W144</f>
        <v>0</v>
      </c>
      <c r="H144" s="1">
        <f>'Paste cell here'!AE144</f>
        <v>109.72294496782227</v>
      </c>
      <c r="I144" s="1">
        <f>'Paste cell here'!AF144</f>
        <v>111.3636904708503</v>
      </c>
      <c r="J144" s="1">
        <f t="shared" si="12"/>
        <v>1.4210854715202004E-14</v>
      </c>
      <c r="K144" s="1" t="str">
        <f>IF('(OLD) Bilancio primo strato'!D144&gt;0,1,"")</f>
        <v/>
      </c>
      <c r="L144" s="7">
        <f>Sintesi!$C$34</f>
        <v>0.128</v>
      </c>
      <c r="M144" s="7">
        <f>Sintesi!$C$33</f>
        <v>0.25700000000000001</v>
      </c>
      <c r="N144" s="1">
        <f>'Paste cell here'!AA144</f>
        <v>0.47299999999999998</v>
      </c>
      <c r="O144" s="1">
        <f>'Paste cell here'!H144</f>
        <v>0.5665272252504896</v>
      </c>
      <c r="P144" s="1">
        <f t="shared" si="13"/>
        <v>61.017000000000003</v>
      </c>
      <c r="Q144" s="1">
        <f t="shared" si="14"/>
        <v>34.567791703109123</v>
      </c>
      <c r="R144" s="1">
        <f t="shared" si="15"/>
        <v>86.993208296890884</v>
      </c>
      <c r="S144" s="5">
        <f t="shared" si="16"/>
        <v>0.23197239950913801</v>
      </c>
      <c r="T144" s="5">
        <f t="shared" si="17"/>
        <v>0.18391798794268685</v>
      </c>
    </row>
    <row r="145" spans="1:20">
      <c r="A145" s="1">
        <v>144</v>
      </c>
      <c r="B145" s="2">
        <f>DATE(Sintesi!$C$4-1,12,31)+A145</f>
        <v>44340</v>
      </c>
      <c r="C145" s="1">
        <f>'Paste cell here'!T145</f>
        <v>0.49004057317291472</v>
      </c>
      <c r="D145" s="1">
        <f>'Paste cell here'!AC145</f>
        <v>0</v>
      </c>
      <c r="E145" s="1">
        <f>'Paste cell here'!Y145</f>
        <v>0.40859402724355981</v>
      </c>
      <c r="F145" s="1">
        <f>'Paste cell here'!AD145</f>
        <v>4.0730781377609798E-2</v>
      </c>
      <c r="G145" s="1">
        <f>'Paste cell here'!W145</f>
        <v>0</v>
      </c>
      <c r="H145" s="1">
        <f>'Paste cell here'!AE145</f>
        <v>111.81966073237402</v>
      </c>
      <c r="I145" s="1">
        <f>'Paste cell here'!AF145</f>
        <v>111.77894496782227</v>
      </c>
      <c r="J145" s="1">
        <f t="shared" si="12"/>
        <v>0</v>
      </c>
      <c r="K145" s="1" t="str">
        <f>IF('(OLD) Bilancio primo strato'!D145&gt;0,1,"")</f>
        <v/>
      </c>
      <c r="L145" s="7">
        <f>Sintesi!$C$34</f>
        <v>0.128</v>
      </c>
      <c r="M145" s="7">
        <f>Sintesi!$C$33</f>
        <v>0.25700000000000001</v>
      </c>
      <c r="N145" s="1">
        <f>'Paste cell here'!AA145</f>
        <v>0.48099999999999998</v>
      </c>
      <c r="O145" s="1">
        <f>'Paste cell here'!H145</f>
        <v>0.47735609124431638</v>
      </c>
      <c r="P145" s="1">
        <f t="shared" si="13"/>
        <v>62.048999999999999</v>
      </c>
      <c r="Q145" s="1">
        <f t="shared" si="14"/>
        <v>29.619468105618587</v>
      </c>
      <c r="R145" s="1">
        <f t="shared" si="15"/>
        <v>93.99753189438141</v>
      </c>
      <c r="S145" s="5">
        <f t="shared" si="16"/>
        <v>0.23247330713591272</v>
      </c>
      <c r="T145" s="5">
        <f t="shared" si="17"/>
        <v>0.19542106422948319</v>
      </c>
    </row>
    <row r="146" spans="1:20">
      <c r="A146" s="1">
        <v>145</v>
      </c>
      <c r="B146" s="2">
        <f>DATE(Sintesi!$C$4-1,12,31)+A146</f>
        <v>44341</v>
      </c>
      <c r="C146" s="1">
        <f>'Paste cell here'!T146</f>
        <v>1.7350769879234536</v>
      </c>
      <c r="D146" s="1">
        <f>'Paste cell here'!AC146</f>
        <v>0</v>
      </c>
      <c r="E146" s="1">
        <f>'Paste cell here'!Y146</f>
        <v>1.8695173746516931</v>
      </c>
      <c r="F146" s="1">
        <f>'Paste cell here'!AD146</f>
        <v>4.462608633932811E-2</v>
      </c>
      <c r="G146" s="1">
        <f>'Paste cell here'!W146</f>
        <v>0</v>
      </c>
      <c r="H146" s="1">
        <f>'Paste cell here'!AE146</f>
        <v>113.95359425930643</v>
      </c>
      <c r="I146" s="1">
        <f>'Paste cell here'!AF146</f>
        <v>114.13266073237401</v>
      </c>
      <c r="J146" s="1">
        <f t="shared" si="12"/>
        <v>0</v>
      </c>
      <c r="K146" s="1" t="str">
        <f>IF('(OLD) Bilancio primo strato'!D146&gt;0,1,"")</f>
        <v/>
      </c>
      <c r="L146" s="7">
        <f>Sintesi!$C$34</f>
        <v>0.128</v>
      </c>
      <c r="M146" s="7">
        <f>Sintesi!$C$33</f>
        <v>0.25700000000000001</v>
      </c>
      <c r="N146" s="1">
        <f>'Paste cell here'!AA146</f>
        <v>0.49</v>
      </c>
      <c r="O146" s="1">
        <f>'Paste cell here'!H146</f>
        <v>0.65302806973296756</v>
      </c>
      <c r="P146" s="1">
        <f t="shared" si="13"/>
        <v>63.21</v>
      </c>
      <c r="Q146" s="1">
        <f t="shared" si="14"/>
        <v>41.277904287820881</v>
      </c>
      <c r="R146" s="1">
        <f t="shared" si="15"/>
        <v>84.652095712179147</v>
      </c>
      <c r="S146" s="5">
        <f t="shared" si="16"/>
        <v>0.23255835563123761</v>
      </c>
      <c r="T146" s="5">
        <f t="shared" si="17"/>
        <v>0.17275937900444724</v>
      </c>
    </row>
    <row r="147" spans="1:20">
      <c r="A147" s="1">
        <v>146</v>
      </c>
      <c r="B147" s="2">
        <f>DATE(Sintesi!$C$4-1,12,31)+A147</f>
        <v>44342</v>
      </c>
      <c r="C147" s="1">
        <f>'Paste cell here'!T147</f>
        <v>0.22784811913210823</v>
      </c>
      <c r="D147" s="1">
        <f>'Paste cell here'!AC147</f>
        <v>0</v>
      </c>
      <c r="E147" s="1">
        <f>'Paste cell here'!Y147</f>
        <v>1.8868014354281177</v>
      </c>
      <c r="F147" s="1">
        <f>'Paste cell here'!AD147</f>
        <v>3.9240759109578659E-2</v>
      </c>
      <c r="G147" s="1">
        <f>'Paste cell here'!W147</f>
        <v>0</v>
      </c>
      <c r="H147" s="1">
        <f>'Paste cell here'!AE147</f>
        <v>114.31140018390083</v>
      </c>
      <c r="I147" s="1">
        <f>'Paste cell here'!AF147</f>
        <v>116.00959425930643</v>
      </c>
      <c r="J147" s="1">
        <f t="shared" si="12"/>
        <v>1.4210854715202004E-14</v>
      </c>
      <c r="K147" s="1" t="str">
        <f>IF('(OLD) Bilancio primo strato'!D147&gt;0,1,"")</f>
        <v/>
      </c>
      <c r="L147" s="7">
        <f>Sintesi!$C$34</f>
        <v>0.128</v>
      </c>
      <c r="M147" s="7">
        <f>Sintesi!$C$33</f>
        <v>0.25700000000000001</v>
      </c>
      <c r="N147" s="1">
        <f>'Paste cell here'!AA147</f>
        <v>0.498</v>
      </c>
      <c r="O147" s="1">
        <f>'Paste cell here'!H147</f>
        <v>0.46431551188206899</v>
      </c>
      <c r="P147" s="1">
        <f t="shared" si="13"/>
        <v>64.242000000000004</v>
      </c>
      <c r="Q147" s="1">
        <f t="shared" si="14"/>
        <v>29.828557114327879</v>
      </c>
      <c r="R147" s="1">
        <f t="shared" si="15"/>
        <v>98.15744288567214</v>
      </c>
      <c r="S147" s="5">
        <f t="shared" si="16"/>
        <v>0.22954096422470047</v>
      </c>
      <c r="T147" s="5">
        <f t="shared" si="17"/>
        <v>0.19710329896721313</v>
      </c>
    </row>
    <row r="148" spans="1:20">
      <c r="A148" s="1">
        <v>147</v>
      </c>
      <c r="B148" s="2">
        <f>DATE(Sintesi!$C$4-1,12,31)+A148</f>
        <v>44343</v>
      </c>
      <c r="C148" s="1">
        <f>'Paste cell here'!T148</f>
        <v>3.5485515148815046E-2</v>
      </c>
      <c r="D148" s="1">
        <f>'Paste cell here'!AC148</f>
        <v>0</v>
      </c>
      <c r="E148" s="1">
        <f>'Paste cell here'!Y148</f>
        <v>2.0718970478487657</v>
      </c>
      <c r="F148" s="1">
        <f>'Paste cell here'!AD148</f>
        <v>3.1790156130327027E-2</v>
      </c>
      <c r="G148" s="1">
        <f>'Paste cell here'!W148</f>
        <v>0</v>
      </c>
      <c r="H148" s="1">
        <f>'Paste cell here'!AE148</f>
        <v>114.29919849507054</v>
      </c>
      <c r="I148" s="1">
        <f>'Paste cell here'!AF148</f>
        <v>116.36740018390084</v>
      </c>
      <c r="J148" s="1">
        <f t="shared" si="12"/>
        <v>2.8421709430404007E-14</v>
      </c>
      <c r="K148" s="1" t="str">
        <f>IF('(OLD) Bilancio primo strato'!D148&gt;0,1,"")</f>
        <v/>
      </c>
      <c r="L148" s="7">
        <f>Sintesi!$C$34</f>
        <v>0.128</v>
      </c>
      <c r="M148" s="7">
        <f>Sintesi!$C$33</f>
        <v>0.25700000000000001</v>
      </c>
      <c r="N148" s="1">
        <f>'Paste cell here'!AA148</f>
        <v>0.50600000000000001</v>
      </c>
      <c r="O148" s="1">
        <f>'Paste cell here'!H148</f>
        <v>0.48797642503910066</v>
      </c>
      <c r="P148" s="1">
        <f t="shared" si="13"/>
        <v>65.274000000000001</v>
      </c>
      <c r="Q148" s="1">
        <f t="shared" si="14"/>
        <v>31.852173168002256</v>
      </c>
      <c r="R148" s="1">
        <f t="shared" si="15"/>
        <v>98.189826831997749</v>
      </c>
      <c r="S148" s="5">
        <f t="shared" si="16"/>
        <v>0.22588774406140424</v>
      </c>
      <c r="T148" s="5">
        <f t="shared" si="17"/>
        <v>0.19405104116995603</v>
      </c>
    </row>
    <row r="149" spans="1:20">
      <c r="A149" s="1">
        <v>148</v>
      </c>
      <c r="B149" s="2">
        <f>DATE(Sintesi!$C$4-1,12,31)+A149</f>
        <v>44344</v>
      </c>
      <c r="C149" s="1">
        <f>'Paste cell here'!T149</f>
        <v>3.6717104382578488E-3</v>
      </c>
      <c r="D149" s="1">
        <f>'Paste cell here'!AC149</f>
        <v>0</v>
      </c>
      <c r="E149" s="1">
        <f>'Paste cell here'!Y149</f>
        <v>2.1382939478855563</v>
      </c>
      <c r="F149" s="1">
        <f>'Paste cell here'!AD149</f>
        <v>2.5118451575973786E-2</v>
      </c>
      <c r="G149" s="1">
        <f>'Paste cell here'!W149</f>
        <v>0</v>
      </c>
      <c r="H149" s="1">
        <f>'Paste cell here'!AE149</f>
        <v>114.19545780604724</v>
      </c>
      <c r="I149" s="1">
        <f>'Paste cell here'!AF149</f>
        <v>116.35519849507055</v>
      </c>
      <c r="J149" s="1">
        <f t="shared" si="12"/>
        <v>2.8421709430404007E-14</v>
      </c>
      <c r="K149" s="1" t="str">
        <f>IF('(OLD) Bilancio primo strato'!D149&gt;0,1,"")</f>
        <v/>
      </c>
      <c r="L149" s="7">
        <f>Sintesi!$C$34</f>
        <v>0.128</v>
      </c>
      <c r="M149" s="7">
        <f>Sintesi!$C$33</f>
        <v>0.25700000000000001</v>
      </c>
      <c r="N149" s="1">
        <f>'Paste cell here'!AA149</f>
        <v>0.51400000000000001</v>
      </c>
      <c r="O149" s="1">
        <f>'Paste cell here'!H149</f>
        <v>0.47635220364798908</v>
      </c>
      <c r="P149" s="1">
        <f t="shared" si="13"/>
        <v>66.305999999999997</v>
      </c>
      <c r="Q149" s="1">
        <f t="shared" si="14"/>
        <v>31.585009215083563</v>
      </c>
      <c r="R149" s="1">
        <f t="shared" si="15"/>
        <v>100.51299078491643</v>
      </c>
      <c r="S149" s="5">
        <f t="shared" si="16"/>
        <v>0.22217015137363277</v>
      </c>
      <c r="T149" s="5">
        <f t="shared" si="17"/>
        <v>0.19555056572940938</v>
      </c>
    </row>
    <row r="150" spans="1:20">
      <c r="A150" s="1">
        <v>149</v>
      </c>
      <c r="B150" s="2">
        <f>DATE(Sintesi!$C$4-1,12,31)+A150</f>
        <v>44345</v>
      </c>
      <c r="C150" s="1">
        <f>'Paste cell here'!T150</f>
        <v>2.4455825874124943E-4</v>
      </c>
      <c r="D150" s="1">
        <f>'Paste cell here'!AC150</f>
        <v>0</v>
      </c>
      <c r="E150" s="1">
        <f>'Paste cell here'!Y150</f>
        <v>2.2743111846126349</v>
      </c>
      <c r="F150" s="1">
        <f>'Paste cell here'!AD150</f>
        <v>1.9615609477292392E-2</v>
      </c>
      <c r="G150" s="1">
        <f>'Paste cell here'!W150</f>
        <v>0</v>
      </c>
      <c r="H150" s="1">
        <f>'Paste cell here'!AE150</f>
        <v>113.95777557021603</v>
      </c>
      <c r="I150" s="1">
        <f>'Paste cell here'!AF150</f>
        <v>116.25145780604724</v>
      </c>
      <c r="J150" s="1">
        <f t="shared" si="12"/>
        <v>2.8421709430404007E-14</v>
      </c>
      <c r="K150" s="1" t="str">
        <f>IF('(OLD) Bilancio primo strato'!D150&gt;0,1,"")</f>
        <v/>
      </c>
      <c r="L150" s="7">
        <f>Sintesi!$C$34</f>
        <v>0.128</v>
      </c>
      <c r="M150" s="7">
        <f>Sintesi!$C$33</f>
        <v>0.25700000000000001</v>
      </c>
      <c r="N150" s="1">
        <f>'Paste cell here'!AA150</f>
        <v>0.52200000000000002</v>
      </c>
      <c r="O150" s="1">
        <f>'Paste cell here'!H150</f>
        <v>0.48669192180955662</v>
      </c>
      <c r="P150" s="1">
        <f t="shared" si="13"/>
        <v>67.338000000000008</v>
      </c>
      <c r="Q150" s="1">
        <f t="shared" si="14"/>
        <v>32.772860630811927</v>
      </c>
      <c r="R150" s="1">
        <f t="shared" si="15"/>
        <v>101.38113936918808</v>
      </c>
      <c r="S150" s="5">
        <f t="shared" si="16"/>
        <v>0.21830991488547133</v>
      </c>
      <c r="T150" s="5">
        <f t="shared" si="17"/>
        <v>0.1942167420865672</v>
      </c>
    </row>
    <row r="151" spans="1:20">
      <c r="A151" s="1">
        <v>150</v>
      </c>
      <c r="B151" s="2">
        <f>DATE(Sintesi!$C$4-1,12,31)+A151</f>
        <v>44346</v>
      </c>
      <c r="C151" s="1">
        <f>'Paste cell here'!T151</f>
        <v>9.9789346621095121E-6</v>
      </c>
      <c r="D151" s="1">
        <f>'Paste cell here'!AC151</f>
        <v>0</v>
      </c>
      <c r="E151" s="1">
        <f>'Paste cell here'!Y151</f>
        <v>2.5582824986070096</v>
      </c>
      <c r="F151" s="1">
        <f>'Paste cell here'!AD151</f>
        <v>1.4952092554173842E-2</v>
      </c>
      <c r="G151" s="1">
        <f>'Paste cell here'!W151</f>
        <v>0</v>
      </c>
      <c r="H151" s="1">
        <f>'Paste cell here'!AE151</f>
        <v>113.4405509579895</v>
      </c>
      <c r="I151" s="1">
        <f>'Paste cell here'!AF151</f>
        <v>116.01377557021604</v>
      </c>
      <c r="J151" s="1">
        <f t="shared" si="12"/>
        <v>1.4210854715202004E-14</v>
      </c>
      <c r="K151" s="1" t="str">
        <f>IF('(OLD) Bilancio primo strato'!D151&gt;0,1,"")</f>
        <v/>
      </c>
      <c r="L151" s="7">
        <f>Sintesi!$C$34</f>
        <v>0.128</v>
      </c>
      <c r="M151" s="7">
        <f>Sintesi!$C$33</f>
        <v>0.25700000000000001</v>
      </c>
      <c r="N151" s="1">
        <f>'Paste cell here'!AA151</f>
        <v>0.53</v>
      </c>
      <c r="O151" s="1">
        <f>'Paste cell here'!H151</f>
        <v>0.47903959633409293</v>
      </c>
      <c r="P151" s="1">
        <f t="shared" si="13"/>
        <v>68.37</v>
      </c>
      <c r="Q151" s="1">
        <f t="shared" si="14"/>
        <v>32.751937201361933</v>
      </c>
      <c r="R151" s="1">
        <f t="shared" si="15"/>
        <v>103.45806279863808</v>
      </c>
      <c r="S151" s="5">
        <f t="shared" si="16"/>
        <v>0.21403877539243302</v>
      </c>
      <c r="T151" s="5">
        <f t="shared" si="17"/>
        <v>0.19520389207290204</v>
      </c>
    </row>
    <row r="152" spans="1:20">
      <c r="A152" s="1">
        <v>151</v>
      </c>
      <c r="B152" s="2">
        <f>DATE(Sintesi!$C$4-1,12,31)+A152</f>
        <v>44347</v>
      </c>
      <c r="C152" s="1">
        <f>'Paste cell here'!T152</f>
        <v>3.0496264135702671E-7</v>
      </c>
      <c r="D152" s="1">
        <f>'Paste cell here'!AC152</f>
        <v>0</v>
      </c>
      <c r="E152" s="1">
        <f>'Paste cell here'!Y152</f>
        <v>2.4318022503424679</v>
      </c>
      <c r="F152" s="1">
        <f>'Paste cell here'!AD152</f>
        <v>1.1255407627806947E-2</v>
      </c>
      <c r="G152" s="1">
        <f>'Paste cell here'!W152</f>
        <v>0</v>
      </c>
      <c r="H152" s="1">
        <f>'Paste cell here'!AE152</f>
        <v>113.0534936049819</v>
      </c>
      <c r="I152" s="1">
        <f>'Paste cell here'!AF152</f>
        <v>115.49655095798951</v>
      </c>
      <c r="J152" s="1">
        <f t="shared" si="12"/>
        <v>1.4210854715202004E-14</v>
      </c>
      <c r="K152" s="1" t="str">
        <f>IF('(OLD) Bilancio primo strato'!D152&gt;0,1,"")</f>
        <v/>
      </c>
      <c r="L152" s="7">
        <f>Sintesi!$C$34</f>
        <v>0.128</v>
      </c>
      <c r="M152" s="7">
        <f>Sintesi!$C$33</f>
        <v>0.25700000000000001</v>
      </c>
      <c r="N152" s="1">
        <f>'Paste cell here'!AA152</f>
        <v>0.53800000000000003</v>
      </c>
      <c r="O152" s="1">
        <f>'Paste cell here'!H152</f>
        <v>0.46134565589047483</v>
      </c>
      <c r="P152" s="1">
        <f t="shared" si="13"/>
        <v>69.402000000000001</v>
      </c>
      <c r="Q152" s="1">
        <f t="shared" si="14"/>
        <v>32.018311210110731</v>
      </c>
      <c r="R152" s="1">
        <f t="shared" si="15"/>
        <v>106.24768878988925</v>
      </c>
      <c r="S152" s="5">
        <f t="shared" si="16"/>
        <v>0.21013660521372099</v>
      </c>
      <c r="T152" s="5">
        <f t="shared" si="17"/>
        <v>0.19748641039012874</v>
      </c>
    </row>
    <row r="153" spans="1:20">
      <c r="A153" s="1">
        <v>152</v>
      </c>
      <c r="B153" s="2">
        <f>DATE(Sintesi!$C$4-1,12,31)+A153</f>
        <v>44348</v>
      </c>
      <c r="C153" s="1">
        <f>'Paste cell here'!T153</f>
        <v>1.1108653660677676E-8</v>
      </c>
      <c r="D153" s="1">
        <f>'Paste cell here'!AC153</f>
        <v>0</v>
      </c>
      <c r="E153" s="1">
        <f>'Paste cell here'!Y153</f>
        <v>2.6058677224774351</v>
      </c>
      <c r="F153" s="1">
        <f>'Paste cell here'!AD153</f>
        <v>8.525654603258926E-3</v>
      </c>
      <c r="G153" s="1">
        <f>'Paste cell here'!W153</f>
        <v>0</v>
      </c>
      <c r="H153" s="1">
        <f>'Paste cell here'!AE153</f>
        <v>112.75210023900986</v>
      </c>
      <c r="I153" s="1">
        <f>'Paste cell here'!AF153</f>
        <v>115.3664936049819</v>
      </c>
      <c r="J153" s="1">
        <f t="shared" si="12"/>
        <v>1.4210854715202004E-14</v>
      </c>
      <c r="K153" s="1" t="str">
        <f>IF('(OLD) Bilancio primo strato'!D153&gt;0,1,"")</f>
        <v/>
      </c>
      <c r="L153" s="7">
        <f>Sintesi!$C$34</f>
        <v>0.128</v>
      </c>
      <c r="M153" s="7">
        <f>Sintesi!$C$33</f>
        <v>0.25700000000000001</v>
      </c>
      <c r="N153" s="1">
        <f>'Paste cell here'!AA153</f>
        <v>0.54700000000000004</v>
      </c>
      <c r="O153" s="1">
        <f>'Paste cell here'!H153</f>
        <v>0.48500411461322457</v>
      </c>
      <c r="P153" s="1">
        <f t="shared" si="13"/>
        <v>70.563000000000002</v>
      </c>
      <c r="Q153" s="1">
        <f t="shared" si="14"/>
        <v>34.223345339452969</v>
      </c>
      <c r="R153" s="1">
        <f t="shared" si="15"/>
        <v>106.35565466054703</v>
      </c>
      <c r="S153" s="5">
        <f t="shared" si="16"/>
        <v>0.2061281540018462</v>
      </c>
      <c r="T153" s="5">
        <f t="shared" si="17"/>
        <v>0.19443446921489402</v>
      </c>
    </row>
    <row r="154" spans="1:20">
      <c r="A154" s="1">
        <v>153</v>
      </c>
      <c r="B154" s="2">
        <f>DATE(Sintesi!$C$4-1,12,31)+A154</f>
        <v>44349</v>
      </c>
      <c r="C154" s="1">
        <f>'Paste cell here'!T154</f>
        <v>3.1139728831516922E-10</v>
      </c>
      <c r="D154" s="1">
        <f>'Paste cell here'!AC154</f>
        <v>0</v>
      </c>
      <c r="E154" s="1">
        <f>'Paste cell here'!Y154</f>
        <v>2.5088065013385132</v>
      </c>
      <c r="F154" s="1">
        <f>'Paste cell here'!AD154</f>
        <v>6.3739268615622211E-3</v>
      </c>
      <c r="G154" s="1">
        <f>'Paste cell here'!W154</f>
        <v>0</v>
      </c>
      <c r="H154" s="1">
        <f>'Paste cell here'!AE154</f>
        <v>112.29291981112118</v>
      </c>
      <c r="I154" s="1">
        <f>'Paste cell here'!AF154</f>
        <v>114.80810023900987</v>
      </c>
      <c r="J154" s="1">
        <f t="shared" si="12"/>
        <v>2.8421709430404007E-14</v>
      </c>
      <c r="K154" s="1" t="str">
        <f>IF('(OLD) Bilancio primo strato'!D154&gt;0,1,"")</f>
        <v/>
      </c>
      <c r="L154" s="7">
        <f>Sintesi!$C$34</f>
        <v>0.128</v>
      </c>
      <c r="M154" s="7">
        <f>Sintesi!$C$33</f>
        <v>0.25700000000000001</v>
      </c>
      <c r="N154" s="1">
        <f>'Paste cell here'!AA154</f>
        <v>0.55500000000000005</v>
      </c>
      <c r="O154" s="1">
        <f>'Paste cell here'!H154</f>
        <v>0.48092601987068861</v>
      </c>
      <c r="P154" s="1">
        <f t="shared" si="13"/>
        <v>71.594999999999999</v>
      </c>
      <c r="Q154" s="1">
        <f t="shared" si="14"/>
        <v>34.431898392641948</v>
      </c>
      <c r="R154" s="1">
        <f t="shared" si="15"/>
        <v>108.20310160735806</v>
      </c>
      <c r="S154" s="5">
        <f t="shared" si="16"/>
        <v>0.2023295852452634</v>
      </c>
      <c r="T154" s="5">
        <f t="shared" si="17"/>
        <v>0.19496054343668121</v>
      </c>
    </row>
    <row r="155" spans="1:20">
      <c r="A155" s="1">
        <v>154</v>
      </c>
      <c r="B155" s="2">
        <f>DATE(Sintesi!$C$4-1,12,31)+A155</f>
        <v>44350</v>
      </c>
      <c r="C155" s="1">
        <f>'Paste cell here'!T155</f>
        <v>6.8319011626744655E-12</v>
      </c>
      <c r="D155" s="1">
        <f>'Paste cell here'!AC155</f>
        <v>0</v>
      </c>
      <c r="E155" s="1">
        <f>'Paste cell here'!Y155</f>
        <v>3.0964283965157815</v>
      </c>
      <c r="F155" s="1">
        <f>'Paste cell here'!AD155</f>
        <v>4.6370731817616277E-3</v>
      </c>
      <c r="G155" s="1">
        <f>'Paste cell here'!W155</f>
        <v>0</v>
      </c>
      <c r="H155" s="1">
        <f>'Paste cell here'!AE155</f>
        <v>111.24785434143047</v>
      </c>
      <c r="I155" s="1">
        <f>'Paste cell here'!AF155</f>
        <v>114.34891981112121</v>
      </c>
      <c r="J155" s="1">
        <f t="shared" si="12"/>
        <v>4.2632564145606011E-14</v>
      </c>
      <c r="K155" s="1" t="str">
        <f>IF('(OLD) Bilancio primo strato'!D155&gt;0,1,"")</f>
        <v/>
      </c>
      <c r="L155" s="7">
        <f>Sintesi!$C$34</f>
        <v>0.128</v>
      </c>
      <c r="M155" s="7">
        <f>Sintesi!$C$33</f>
        <v>0.25700000000000001</v>
      </c>
      <c r="N155" s="1">
        <f>'Paste cell here'!AA155</f>
        <v>0.56300000000000006</v>
      </c>
      <c r="O155" s="1">
        <f>'Paste cell here'!H155</f>
        <v>0.49654036070741359</v>
      </c>
      <c r="P155" s="1">
        <f t="shared" si="13"/>
        <v>72.62700000000001</v>
      </c>
      <c r="Q155" s="1">
        <f t="shared" si="14"/>
        <v>36.062236777097333</v>
      </c>
      <c r="R155" s="1">
        <f t="shared" si="15"/>
        <v>108.62876322290268</v>
      </c>
      <c r="S155" s="5">
        <f t="shared" si="16"/>
        <v>0.1975983203222566</v>
      </c>
      <c r="T155" s="5">
        <f t="shared" si="17"/>
        <v>0.19294629346874365</v>
      </c>
    </row>
    <row r="156" spans="1:20">
      <c r="A156" s="1">
        <v>155</v>
      </c>
      <c r="B156" s="2">
        <f>DATE(Sintesi!$C$4-1,12,31)+A156</f>
        <v>44351</v>
      </c>
      <c r="C156" s="1">
        <f>'Paste cell here'!T156</f>
        <v>31.926413174131437</v>
      </c>
      <c r="D156" s="1">
        <f>'Paste cell here'!AC156</f>
        <v>0</v>
      </c>
      <c r="E156" s="1">
        <f>'Paste cell here'!Y156</f>
        <v>3.1637060404905721</v>
      </c>
      <c r="F156" s="1">
        <f>'Paste cell here'!AD156</f>
        <v>0.3475263521266132</v>
      </c>
      <c r="G156" s="1">
        <f>'Paste cell here'!W156</f>
        <v>0</v>
      </c>
      <c r="H156" s="1">
        <f>'Paste cell here'!AE156</f>
        <v>141.71903512294475</v>
      </c>
      <c r="I156" s="1">
        <f>'Paste cell here'!AF156</f>
        <v>113.30385434143048</v>
      </c>
      <c r="J156" s="1">
        <f t="shared" si="12"/>
        <v>2.8421709430404007E-14</v>
      </c>
      <c r="K156" s="1">
        <f>IF('(OLD) Bilancio primo strato'!D156&gt;0,1,"")</f>
        <v>1</v>
      </c>
      <c r="L156" s="7">
        <f>Sintesi!$C$34</f>
        <v>0.128</v>
      </c>
      <c r="M156" s="7">
        <f>Sintesi!$C$33</f>
        <v>0.25700000000000001</v>
      </c>
      <c r="N156" s="1">
        <f>'Paste cell here'!AA156</f>
        <v>0.57100000000000006</v>
      </c>
      <c r="O156" s="1">
        <f>'Paste cell here'!H156</f>
        <v>0.45545415214388818</v>
      </c>
      <c r="P156" s="1">
        <f t="shared" si="13"/>
        <v>73.65900000000002</v>
      </c>
      <c r="Q156" s="1">
        <f t="shared" si="14"/>
        <v>33.548297392766671</v>
      </c>
      <c r="R156" s="1">
        <f t="shared" si="15"/>
        <v>113.19870260723334</v>
      </c>
      <c r="S156" s="5">
        <f t="shared" si="16"/>
        <v>0.24819445730813436</v>
      </c>
      <c r="T156" s="5">
        <f t="shared" si="17"/>
        <v>0.1982464143734384</v>
      </c>
    </row>
    <row r="157" spans="1:20">
      <c r="A157" s="1">
        <v>156</v>
      </c>
      <c r="B157" s="2">
        <f>DATE(Sintesi!$C$4-1,12,31)+A157</f>
        <v>44352</v>
      </c>
      <c r="C157" s="1">
        <f>'Paste cell here'!T157</f>
        <v>4.0399010541061013</v>
      </c>
      <c r="D157" s="1">
        <f>'Paste cell here'!AC157</f>
        <v>0</v>
      </c>
      <c r="E157" s="1">
        <f>'Paste cell here'!Y157</f>
        <v>2.1980921313168524</v>
      </c>
      <c r="F157" s="1">
        <f>'Paste cell here'!AD157</f>
        <v>0.78284940973631922</v>
      </c>
      <c r="G157" s="1">
        <f>'Paste cell here'!W157</f>
        <v>0</v>
      </c>
      <c r="H157" s="1">
        <f>'Paste cell here'!AE157</f>
        <v>144.83399463599764</v>
      </c>
      <c r="I157" s="1">
        <f>'Paste cell here'!AF157</f>
        <v>143.77503512294473</v>
      </c>
      <c r="J157" s="1">
        <f t="shared" si="12"/>
        <v>2.8421709430404007E-14</v>
      </c>
      <c r="K157" s="1" t="str">
        <f>IF('(OLD) Bilancio primo strato'!D157&gt;0,1,"")</f>
        <v/>
      </c>
      <c r="L157" s="7">
        <f>Sintesi!$C$34</f>
        <v>0.128</v>
      </c>
      <c r="M157" s="7">
        <f>Sintesi!$C$33</f>
        <v>0.25700000000000001</v>
      </c>
      <c r="N157" s="1">
        <f>'Paste cell here'!AA157</f>
        <v>0.57900000000000007</v>
      </c>
      <c r="O157" s="1">
        <f>'Paste cell here'!H157</f>
        <v>0.45633265020300262</v>
      </c>
      <c r="P157" s="1">
        <f t="shared" si="13"/>
        <v>74.691000000000003</v>
      </c>
      <c r="Q157" s="1">
        <f t="shared" si="14"/>
        <v>34.083941976312467</v>
      </c>
      <c r="R157" s="1">
        <f t="shared" si="15"/>
        <v>114.71905802368755</v>
      </c>
      <c r="S157" s="5">
        <f t="shared" si="16"/>
        <v>0.25014506845595441</v>
      </c>
      <c r="T157" s="5">
        <f t="shared" si="17"/>
        <v>0.19813308812381267</v>
      </c>
    </row>
    <row r="158" spans="1:20">
      <c r="A158" s="1">
        <v>157</v>
      </c>
      <c r="B158" s="2">
        <f>DATE(Sintesi!$C$4-1,12,31)+A158</f>
        <v>44353</v>
      </c>
      <c r="C158" s="1">
        <f>'Paste cell here'!T158</f>
        <v>8.6966804215452349</v>
      </c>
      <c r="D158" s="1">
        <f>'Paste cell here'!AC158</f>
        <v>0</v>
      </c>
      <c r="E158" s="1">
        <f>'Paste cell here'!Y158</f>
        <v>3.4170986380277339</v>
      </c>
      <c r="F158" s="1">
        <f>'Paste cell here'!AD158</f>
        <v>0.74827567002137985</v>
      </c>
      <c r="G158" s="1">
        <f>'Paste cell here'!W158</f>
        <v>0</v>
      </c>
      <c r="H158" s="1">
        <f>'Paste cell here'!AE158</f>
        <v>151.42130074949372</v>
      </c>
      <c r="I158" s="1">
        <f>'Paste cell here'!AF158</f>
        <v>146.88999463599762</v>
      </c>
      <c r="J158" s="1">
        <f t="shared" si="12"/>
        <v>2.8421709430404007E-14</v>
      </c>
      <c r="K158" s="1" t="str">
        <f>IF('(OLD) Bilancio primo strato'!D158&gt;0,1,"")</f>
        <v/>
      </c>
      <c r="L158" s="7">
        <f>Sintesi!$C$34</f>
        <v>0.128</v>
      </c>
      <c r="M158" s="7">
        <f>Sintesi!$C$33</f>
        <v>0.25700000000000001</v>
      </c>
      <c r="N158" s="1">
        <f>'Paste cell here'!AA158</f>
        <v>0.58700000000000008</v>
      </c>
      <c r="O158" s="1">
        <f>'Paste cell here'!H158</f>
        <v>0.54495999112336857</v>
      </c>
      <c r="P158" s="1">
        <f t="shared" si="13"/>
        <v>75.723000000000013</v>
      </c>
      <c r="Q158" s="1">
        <f t="shared" si="14"/>
        <v>41.266005407834847</v>
      </c>
      <c r="R158" s="1">
        <f t="shared" si="15"/>
        <v>109.59299459216516</v>
      </c>
      <c r="S158" s="5">
        <f t="shared" si="16"/>
        <v>0.257957922912255</v>
      </c>
      <c r="T158" s="5">
        <f t="shared" si="17"/>
        <v>0.18670016114508542</v>
      </c>
    </row>
    <row r="159" spans="1:20">
      <c r="A159" s="1">
        <v>158</v>
      </c>
      <c r="B159" s="2">
        <f>DATE(Sintesi!$C$4-1,12,31)+A159</f>
        <v>44354</v>
      </c>
      <c r="C159" s="1">
        <f>'Paste cell here'!T159</f>
        <v>3.8868234679929028</v>
      </c>
      <c r="D159" s="1">
        <f>'Paste cell here'!AC159</f>
        <v>0</v>
      </c>
      <c r="E159" s="1">
        <f>'Paste cell here'!Y159</f>
        <v>2.1729322547150791</v>
      </c>
      <c r="F159" s="1">
        <f>'Paste cell here'!AD159</f>
        <v>0.83736049490151854</v>
      </c>
      <c r="G159" s="1">
        <f>'Paste cell here'!W159</f>
        <v>0</v>
      </c>
      <c r="H159" s="1">
        <f>'Paste cell here'!AE159</f>
        <v>154.35383146786998</v>
      </c>
      <c r="I159" s="1">
        <f>'Paste cell here'!AF159</f>
        <v>153.47730074949368</v>
      </c>
      <c r="J159" s="1">
        <f t="shared" si="12"/>
        <v>0</v>
      </c>
      <c r="K159" s="1" t="str">
        <f>IF('(OLD) Bilancio primo strato'!D159&gt;0,1,"")</f>
        <v/>
      </c>
      <c r="L159" s="7">
        <f>Sintesi!$C$34</f>
        <v>0.128</v>
      </c>
      <c r="M159" s="7">
        <f>Sintesi!$C$33</f>
        <v>0.25700000000000001</v>
      </c>
      <c r="N159" s="1">
        <f>'Paste cell here'!AA159</f>
        <v>0.59499999999999997</v>
      </c>
      <c r="O159" s="1">
        <f>'Paste cell here'!H159</f>
        <v>0.46484343555020552</v>
      </c>
      <c r="P159" s="1">
        <f t="shared" si="13"/>
        <v>76.75500000000001</v>
      </c>
      <c r="Q159" s="1">
        <f t="shared" si="14"/>
        <v>35.67905789565603</v>
      </c>
      <c r="R159" s="1">
        <f t="shared" si="15"/>
        <v>117.23594210434396</v>
      </c>
      <c r="S159" s="5">
        <f t="shared" si="16"/>
        <v>0.25941820414768063</v>
      </c>
      <c r="T159" s="5">
        <f t="shared" si="17"/>
        <v>0.19703519681402346</v>
      </c>
    </row>
    <row r="160" spans="1:20">
      <c r="A160" s="1">
        <v>159</v>
      </c>
      <c r="B160" s="2">
        <f>DATE(Sintesi!$C$4-1,12,31)+A160</f>
        <v>44355</v>
      </c>
      <c r="C160" s="1">
        <f>'Paste cell here'!T160</f>
        <v>0.85171711221070967</v>
      </c>
      <c r="D160" s="1">
        <f>'Paste cell here'!AC160</f>
        <v>0</v>
      </c>
      <c r="E160" s="1">
        <f>'Paste cell here'!Y160</f>
        <v>2.6205864008689268</v>
      </c>
      <c r="F160" s="1">
        <f>'Paste cell here'!AD160</f>
        <v>0.60133838811740059</v>
      </c>
      <c r="G160" s="1">
        <f>'Paste cell here'!W160</f>
        <v>0</v>
      </c>
      <c r="H160" s="1">
        <f>'Paste cell here'!AE160</f>
        <v>154.0396237910943</v>
      </c>
      <c r="I160" s="1">
        <f>'Paste cell here'!AF160</f>
        <v>156.40983146786996</v>
      </c>
      <c r="J160" s="1">
        <f t="shared" si="12"/>
        <v>5.6843418860808015E-14</v>
      </c>
      <c r="K160" s="1" t="str">
        <f>IF('(OLD) Bilancio primo strato'!D160&gt;0,1,"")</f>
        <v/>
      </c>
      <c r="L160" s="7">
        <f>Sintesi!$C$34</f>
        <v>0.128</v>
      </c>
      <c r="M160" s="7">
        <f>Sintesi!$C$33</f>
        <v>0.25700000000000001</v>
      </c>
      <c r="N160" s="1">
        <f>'Paste cell here'!AA160</f>
        <v>0.60299999999999998</v>
      </c>
      <c r="O160" s="1">
        <f>'Paste cell here'!H160</f>
        <v>0.56550860156641691</v>
      </c>
      <c r="P160" s="1">
        <f t="shared" si="13"/>
        <v>77.786999999999992</v>
      </c>
      <c r="Q160" s="1">
        <f t="shared" si="14"/>
        <v>43.98921759004687</v>
      </c>
      <c r="R160" s="1">
        <f t="shared" si="15"/>
        <v>110.98178240995313</v>
      </c>
      <c r="S160" s="5">
        <f t="shared" si="16"/>
        <v>0.25545542917262737</v>
      </c>
      <c r="T160" s="5">
        <f t="shared" si="17"/>
        <v>0.18404939039793222</v>
      </c>
    </row>
    <row r="161" spans="1:20">
      <c r="A161" s="1">
        <v>160</v>
      </c>
      <c r="B161" s="2">
        <f>DATE(Sintesi!$C$4-1,12,31)+A161</f>
        <v>44356</v>
      </c>
      <c r="C161" s="1">
        <f>'Paste cell here'!T161</f>
        <v>0.24028567500883405</v>
      </c>
      <c r="D161" s="1">
        <f>'Paste cell here'!AC161</f>
        <v>0</v>
      </c>
      <c r="E161" s="1">
        <f>'Paste cell here'!Y161</f>
        <v>3.7054365335211816</v>
      </c>
      <c r="F161" s="1">
        <f>'Paste cell here'!AD161</f>
        <v>0.37392745042414333</v>
      </c>
      <c r="G161" s="1">
        <f>'Paste cell here'!W161</f>
        <v>0</v>
      </c>
      <c r="H161" s="1">
        <f>'Paste cell here'!AE161</f>
        <v>152.51354548215775</v>
      </c>
      <c r="I161" s="1">
        <f>'Paste cell here'!AF161</f>
        <v>156.35262379109429</v>
      </c>
      <c r="J161" s="1">
        <f t="shared" si="12"/>
        <v>5.6843418860808015E-14</v>
      </c>
      <c r="K161" s="1" t="str">
        <f>IF('(OLD) Bilancio primo strato'!D161&gt;0,1,"")</f>
        <v/>
      </c>
      <c r="L161" s="7">
        <f>Sintesi!$C$34</f>
        <v>0.128</v>
      </c>
      <c r="M161" s="7">
        <f>Sintesi!$C$33</f>
        <v>0.25700000000000001</v>
      </c>
      <c r="N161" s="1">
        <f>'Paste cell here'!AA161</f>
        <v>0.61199999999999999</v>
      </c>
      <c r="O161" s="1">
        <f>'Paste cell here'!H161</f>
        <v>0.54073957808598183</v>
      </c>
      <c r="P161" s="1">
        <f t="shared" si="13"/>
        <v>78.948000000000008</v>
      </c>
      <c r="Q161" s="1">
        <f t="shared" si="14"/>
        <v>42.690308210732098</v>
      </c>
      <c r="R161" s="1">
        <f t="shared" si="15"/>
        <v>114.59369178926792</v>
      </c>
      <c r="S161" s="5">
        <f t="shared" si="16"/>
        <v>0.24920513967672836</v>
      </c>
      <c r="T161" s="5">
        <f t="shared" si="17"/>
        <v>0.18724459442690836</v>
      </c>
    </row>
    <row r="162" spans="1:20">
      <c r="A162" s="1">
        <v>161</v>
      </c>
      <c r="B162" s="2">
        <f>DATE(Sintesi!$C$4-1,12,31)+A162</f>
        <v>44357</v>
      </c>
      <c r="C162" s="1">
        <f>'Paste cell here'!T162</f>
        <v>5.8976930770709063E-2</v>
      </c>
      <c r="D162" s="1">
        <f>'Paste cell here'!AC162</f>
        <v>0</v>
      </c>
      <c r="E162" s="1">
        <f>'Paste cell here'!Y162</f>
        <v>3.8376794639759688</v>
      </c>
      <c r="F162" s="1">
        <f>'Paste cell here'!AD162</f>
        <v>0.22025934011475215</v>
      </c>
      <c r="G162" s="1">
        <f>'Paste cell here'!W162</f>
        <v>0</v>
      </c>
      <c r="H162" s="1">
        <f>'Paste cell here'!AE162</f>
        <v>150.57058360883775</v>
      </c>
      <c r="I162" s="1">
        <f>'Paste cell here'!AF162</f>
        <v>154.56954548215776</v>
      </c>
      <c r="J162" s="1">
        <f t="shared" si="12"/>
        <v>0</v>
      </c>
      <c r="K162" s="1" t="str">
        <f>IF('(OLD) Bilancio primo strato'!D162&gt;0,1,"")</f>
        <v/>
      </c>
      <c r="L162" s="7">
        <f>Sintesi!$C$34</f>
        <v>0.128</v>
      </c>
      <c r="M162" s="7">
        <f>Sintesi!$C$33</f>
        <v>0.25700000000000001</v>
      </c>
      <c r="N162" s="1">
        <f>'Paste cell here'!AA162</f>
        <v>0.62</v>
      </c>
      <c r="O162" s="1">
        <f>'Paste cell here'!H162</f>
        <v>0.46849479901782337</v>
      </c>
      <c r="P162" s="1">
        <f t="shared" si="13"/>
        <v>79.97999999999999</v>
      </c>
      <c r="Q162" s="1">
        <f t="shared" si="14"/>
        <v>37.470214025445507</v>
      </c>
      <c r="R162" s="1">
        <f t="shared" si="15"/>
        <v>121.8697859745545</v>
      </c>
      <c r="S162" s="5">
        <f t="shared" si="16"/>
        <v>0.24285578001425442</v>
      </c>
      <c r="T162" s="5">
        <f t="shared" si="17"/>
        <v>0.19656417092670081</v>
      </c>
    </row>
    <row r="163" spans="1:20">
      <c r="A163" s="1">
        <v>162</v>
      </c>
      <c r="B163" s="2">
        <f>DATE(Sintesi!$C$4-1,12,31)+A163</f>
        <v>44358</v>
      </c>
      <c r="C163" s="1">
        <f>'Paste cell here'!T163</f>
        <v>3.1128014341590363E-2</v>
      </c>
      <c r="D163" s="1">
        <f>'Paste cell here'!AC163</f>
        <v>0</v>
      </c>
      <c r="E163" s="1">
        <f>'Paste cell here'!Y163</f>
        <v>3.8619764126941969</v>
      </c>
      <c r="F163" s="1">
        <f>'Paste cell here'!AD163</f>
        <v>0.13135987430303797</v>
      </c>
      <c r="G163" s="1">
        <f>'Paste cell here'!W163</f>
        <v>0</v>
      </c>
      <c r="H163" s="1">
        <f>'Paste cell here'!AE163</f>
        <v>148.66437533618205</v>
      </c>
      <c r="I163" s="1">
        <f>'Paste cell here'!AF163</f>
        <v>152.62658360883773</v>
      </c>
      <c r="J163" s="1">
        <f t="shared" si="12"/>
        <v>5.6843418860808015E-14</v>
      </c>
      <c r="K163" s="1" t="str">
        <f>IF('(OLD) Bilancio primo strato'!D163&gt;0,1,"")</f>
        <v/>
      </c>
      <c r="L163" s="7">
        <f>Sintesi!$C$34</f>
        <v>0.128</v>
      </c>
      <c r="M163" s="7">
        <f>Sintesi!$C$33</f>
        <v>0.25700000000000001</v>
      </c>
      <c r="N163" s="1">
        <f>'Paste cell here'!AA163</f>
        <v>0.628</v>
      </c>
      <c r="O163" s="1">
        <f>'Paste cell here'!H163</f>
        <v>0.47287231611017028</v>
      </c>
      <c r="P163" s="1">
        <f t="shared" si="13"/>
        <v>81.012</v>
      </c>
      <c r="Q163" s="1">
        <f t="shared" si="14"/>
        <v>38.308332072717114</v>
      </c>
      <c r="R163" s="1">
        <f t="shared" si="15"/>
        <v>123.08766792728289</v>
      </c>
      <c r="S163" s="5">
        <f t="shared" si="16"/>
        <v>0.23672671231876122</v>
      </c>
      <c r="T163" s="5">
        <f t="shared" si="17"/>
        <v>0.19599947122178804</v>
      </c>
    </row>
    <row r="164" spans="1:20">
      <c r="A164" s="1">
        <v>163</v>
      </c>
      <c r="B164" s="2">
        <f>DATE(Sintesi!$C$4-1,12,31)+A164</f>
        <v>44359</v>
      </c>
      <c r="C164" s="1">
        <f>'Paste cell here'!T164</f>
        <v>2.1457857722149927E-2</v>
      </c>
      <c r="D164" s="1">
        <f>'Paste cell here'!AC164</f>
        <v>0</v>
      </c>
      <c r="E164" s="1">
        <f>'Paste cell here'!Y164</f>
        <v>4.2871481006604091</v>
      </c>
      <c r="F164" s="1">
        <f>'Paste cell here'!AD164</f>
        <v>7.8677509733017292E-2</v>
      </c>
      <c r="G164" s="1">
        <f>'Paste cell here'!W164</f>
        <v>0</v>
      </c>
      <c r="H164" s="1">
        <f>'Paste cell here'!AE164</f>
        <v>146.37600758351078</v>
      </c>
      <c r="I164" s="1">
        <f>'Paste cell here'!AF164</f>
        <v>150.72037533618203</v>
      </c>
      <c r="J164" s="1">
        <f t="shared" si="12"/>
        <v>2.8421709430404007E-14</v>
      </c>
      <c r="K164" s="1" t="str">
        <f>IF('(OLD) Bilancio primo strato'!D164&gt;0,1,"")</f>
        <v/>
      </c>
      <c r="L164" s="7">
        <f>Sintesi!$C$34</f>
        <v>0.128</v>
      </c>
      <c r="M164" s="7">
        <f>Sintesi!$C$33</f>
        <v>0.25700000000000001</v>
      </c>
      <c r="N164" s="1">
        <f>'Paste cell here'!AA164</f>
        <v>0.63600000000000001</v>
      </c>
      <c r="O164" s="1">
        <f>'Paste cell here'!H164</f>
        <v>0.47649451004996052</v>
      </c>
      <c r="P164" s="1">
        <f t="shared" si="13"/>
        <v>82.044000000000011</v>
      </c>
      <c r="Q164" s="1">
        <f t="shared" si="14"/>
        <v>39.093515582538963</v>
      </c>
      <c r="R164" s="1">
        <f t="shared" si="15"/>
        <v>124.35848441746106</v>
      </c>
      <c r="S164" s="5">
        <f t="shared" si="16"/>
        <v>0.2301509553199855</v>
      </c>
      <c r="T164" s="5">
        <f t="shared" si="17"/>
        <v>0.19553220820355513</v>
      </c>
    </row>
    <row r="165" spans="1:20" ht="0.9" customHeight="1">
      <c r="A165" s="1">
        <v>164</v>
      </c>
      <c r="B165" s="2">
        <f>DATE(Sintesi!$C$4-1,12,31)+A165</f>
        <v>44360</v>
      </c>
      <c r="C165" s="1">
        <f>'Paste cell here'!T165</f>
        <v>4.9232969897831562E-3</v>
      </c>
      <c r="D165" s="1">
        <f>'Paste cell here'!AC165</f>
        <v>0</v>
      </c>
      <c r="E165" s="1">
        <f>'Paste cell here'!Y165</f>
        <v>5.0740782431977847</v>
      </c>
      <c r="F165" s="1">
        <f>'Paste cell here'!AD165</f>
        <v>4.5393444854174063E-2</v>
      </c>
      <c r="G165" s="1">
        <f>'Paste cell here'!W165</f>
        <v>0</v>
      </c>
      <c r="H165" s="1">
        <f>'Paste cell here'!AE165</f>
        <v>143.31745919244861</v>
      </c>
      <c r="I165" s="1">
        <f>'Paste cell here'!AF165</f>
        <v>148.43200758351077</v>
      </c>
      <c r="J165" s="1">
        <f t="shared" si="12"/>
        <v>2.8421709430404007E-14</v>
      </c>
      <c r="K165" s="1" t="str">
        <f>IF('(OLD) Bilancio primo strato'!D165&gt;0,1,"")</f>
        <v/>
      </c>
      <c r="L165" s="7">
        <f>Sintesi!$C$34</f>
        <v>0.128</v>
      </c>
      <c r="M165" s="7">
        <f>Sintesi!$C$33</f>
        <v>0.25700000000000001</v>
      </c>
      <c r="N165" s="1">
        <f>'Paste cell here'!AA165</f>
        <v>0.64400000000000002</v>
      </c>
      <c r="O165" s="1">
        <f>'Paste cell here'!H165</f>
        <v>0.45687966122436613</v>
      </c>
      <c r="P165" s="1">
        <f t="shared" si="13"/>
        <v>83.076000000000008</v>
      </c>
      <c r="Q165" s="1">
        <f t="shared" si="14"/>
        <v>37.955734735875446</v>
      </c>
      <c r="R165" s="1">
        <f t="shared" si="15"/>
        <v>127.55226526412457</v>
      </c>
      <c r="S165" s="5">
        <f t="shared" si="16"/>
        <v>0.22254263849759101</v>
      </c>
      <c r="T165" s="5">
        <f t="shared" si="17"/>
        <v>0.19806252370205679</v>
      </c>
    </row>
    <row r="166" spans="1:20">
      <c r="A166" s="1">
        <v>165</v>
      </c>
      <c r="B166" s="2">
        <f>DATE(Sintesi!$C$4-1,12,31)+A166</f>
        <v>44361</v>
      </c>
      <c r="C166" s="1">
        <f>'Paste cell here'!T166</f>
        <v>8.2963060998309532E-4</v>
      </c>
      <c r="D166" s="1">
        <f>'Paste cell here'!AC166</f>
        <v>0</v>
      </c>
      <c r="E166" s="1">
        <f>'Paste cell here'!Y166</f>
        <v>4.8756200548168529</v>
      </c>
      <c r="F166" s="1">
        <f>'Paste cell here'!AD166</f>
        <v>2.5527562800318131E-2</v>
      </c>
      <c r="G166" s="1">
        <f>'Paste cell here'!W166</f>
        <v>0</v>
      </c>
      <c r="H166" s="1">
        <f>'Paste cell here'!AE166</f>
        <v>140.47314120544144</v>
      </c>
      <c r="I166" s="1">
        <f>'Paste cell here'!AF166</f>
        <v>145.37345919244862</v>
      </c>
      <c r="J166" s="1">
        <f t="shared" si="12"/>
        <v>0</v>
      </c>
      <c r="K166" s="1" t="str">
        <f>IF('(OLD) Bilancio primo strato'!D166&gt;0,1,"")</f>
        <v/>
      </c>
      <c r="L166" s="7">
        <f>Sintesi!$C$34</f>
        <v>0.128</v>
      </c>
      <c r="M166" s="7">
        <f>Sintesi!$C$33</f>
        <v>0.25700000000000001</v>
      </c>
      <c r="N166" s="1">
        <f>'Paste cell here'!AA166</f>
        <v>0.65200000000000002</v>
      </c>
      <c r="O166" s="1">
        <f>'Paste cell here'!H166</f>
        <v>0.41061943249119115</v>
      </c>
      <c r="P166" s="1">
        <f t="shared" si="13"/>
        <v>84.108000000000004</v>
      </c>
      <c r="Q166" s="1">
        <f t="shared" si="14"/>
        <v>34.536379227969107</v>
      </c>
      <c r="R166" s="1">
        <f t="shared" si="15"/>
        <v>133.0276207720309</v>
      </c>
      <c r="S166" s="5">
        <f t="shared" si="16"/>
        <v>0.21544960307583041</v>
      </c>
      <c r="T166" s="5">
        <f t="shared" si="17"/>
        <v>0.20403009320863635</v>
      </c>
    </row>
    <row r="167" spans="1:20">
      <c r="A167" s="1">
        <v>166</v>
      </c>
      <c r="B167" s="2">
        <f>DATE(Sintesi!$C$4-1,12,31)+A167</f>
        <v>44362</v>
      </c>
      <c r="C167" s="1">
        <f>'Paste cell here'!T167</f>
        <v>1.7290443888934518E-4</v>
      </c>
      <c r="D167" s="1">
        <f>'Paste cell here'!AC167</f>
        <v>0</v>
      </c>
      <c r="E167" s="1">
        <f>'Paste cell here'!Y167</f>
        <v>4.9424784902303536</v>
      </c>
      <c r="F167" s="1">
        <f>'Paste cell here'!AD167</f>
        <v>1.4595970198577226E-2</v>
      </c>
      <c r="G167" s="1">
        <f>'Paste cell here'!W167</f>
        <v>0</v>
      </c>
      <c r="H167" s="1">
        <f>'Paste cell here'!AE167</f>
        <v>137.5722396494514</v>
      </c>
      <c r="I167" s="1">
        <f>'Paste cell here'!AF167</f>
        <v>142.52914120544145</v>
      </c>
      <c r="J167" s="1">
        <f t="shared" si="12"/>
        <v>2.8421709430404007E-14</v>
      </c>
      <c r="K167" s="1" t="str">
        <f>IF('(OLD) Bilancio primo strato'!D167&gt;0,1,"")</f>
        <v/>
      </c>
      <c r="L167" s="7">
        <f>Sintesi!$C$34</f>
        <v>0.128</v>
      </c>
      <c r="M167" s="7">
        <f>Sintesi!$C$33</f>
        <v>0.25700000000000001</v>
      </c>
      <c r="N167" s="1">
        <f>'Paste cell here'!AA167</f>
        <v>0.66</v>
      </c>
      <c r="O167" s="1">
        <f>'Paste cell here'!H167</f>
        <v>0.44166927527221023</v>
      </c>
      <c r="P167" s="1">
        <f t="shared" si="13"/>
        <v>85.14</v>
      </c>
      <c r="Q167" s="1">
        <f t="shared" si="14"/>
        <v>37.60372209667598</v>
      </c>
      <c r="R167" s="1">
        <f t="shared" si="15"/>
        <v>132.01627790332407</v>
      </c>
      <c r="S167" s="5">
        <f t="shared" si="16"/>
        <v>0.20844278734765365</v>
      </c>
      <c r="T167" s="5">
        <f t="shared" si="17"/>
        <v>0.20002466348988496</v>
      </c>
    </row>
    <row r="168" spans="1:20">
      <c r="A168" s="1">
        <v>167</v>
      </c>
      <c r="B168" s="2">
        <f>DATE(Sintesi!$C$4-1,12,31)+A168</f>
        <v>44363</v>
      </c>
      <c r="C168" s="1">
        <f>'Paste cell here'!T168</f>
        <v>39.595113632464951</v>
      </c>
      <c r="D168" s="1">
        <f>'Paste cell here'!AC168</f>
        <v>0</v>
      </c>
      <c r="E168" s="1">
        <f>'Paste cell here'!Y168</f>
        <v>3.8582226643280872</v>
      </c>
      <c r="F168" s="1">
        <f>'Paste cell here'!AD168</f>
        <v>0.7508523310495806</v>
      </c>
      <c r="G168" s="1">
        <f>'Paste cell here'!W168</f>
        <v>0</v>
      </c>
      <c r="H168" s="1">
        <f>'Paste cell here'!AE168</f>
        <v>174.87127828653868</v>
      </c>
      <c r="I168" s="1">
        <f>'Paste cell here'!AF168</f>
        <v>139.88523964945142</v>
      </c>
      <c r="J168" s="1">
        <f t="shared" si="12"/>
        <v>2.8421709430404007E-14</v>
      </c>
      <c r="K168" s="1">
        <f>IF('(OLD) Bilancio primo strato'!D168&gt;0,1,"")</f>
        <v>1</v>
      </c>
      <c r="L168" s="7">
        <f>Sintesi!$C$34</f>
        <v>0.128</v>
      </c>
      <c r="M168" s="7">
        <f>Sintesi!$C$33</f>
        <v>0.25700000000000001</v>
      </c>
      <c r="N168" s="1">
        <f>'Paste cell here'!AA168</f>
        <v>0.66900000000000004</v>
      </c>
      <c r="O168" s="1">
        <f>'Paste cell here'!H168</f>
        <v>0.44205234831878493</v>
      </c>
      <c r="P168" s="1">
        <f t="shared" si="13"/>
        <v>86.301000000000002</v>
      </c>
      <c r="Q168" s="1">
        <f t="shared" si="14"/>
        <v>38.14955971225946</v>
      </c>
      <c r="R168" s="1">
        <f t="shared" si="15"/>
        <v>133.78344028774052</v>
      </c>
      <c r="S168" s="5">
        <f t="shared" si="16"/>
        <v>0.26139204527135829</v>
      </c>
      <c r="T168" s="5">
        <f t="shared" si="17"/>
        <v>0.19997524706687672</v>
      </c>
    </row>
    <row r="169" spans="1:20">
      <c r="A169" s="1">
        <v>168</v>
      </c>
      <c r="B169" s="2">
        <f>DATE(Sintesi!$C$4-1,12,31)+A169</f>
        <v>44364</v>
      </c>
      <c r="C169" s="1">
        <f>'Paste cell here'!T169</f>
        <v>2.1935654633903159</v>
      </c>
      <c r="D169" s="1">
        <f>'Paste cell here'!AC169</f>
        <v>0</v>
      </c>
      <c r="E169" s="1">
        <f>'Paste cell here'!Y169</f>
        <v>4.3840131282796913</v>
      </c>
      <c r="F169" s="1">
        <f>'Paste cell here'!AD169</f>
        <v>1.3299364258926316</v>
      </c>
      <c r="G169" s="1">
        <f>'Paste cell here'!W169</f>
        <v>0</v>
      </c>
      <c r="H169" s="1">
        <f>'Paste cell here'!AE169</f>
        <v>173.40689419575676</v>
      </c>
      <c r="I169" s="1">
        <f>'Paste cell here'!AF169</f>
        <v>176.92727828653869</v>
      </c>
      <c r="J169" s="1">
        <f t="shared" si="12"/>
        <v>8.5265128291212022E-14</v>
      </c>
      <c r="K169" s="1" t="str">
        <f>IF('(OLD) Bilancio primo strato'!D169&gt;0,1,"")</f>
        <v/>
      </c>
      <c r="L169" s="7">
        <f>Sintesi!$C$34</f>
        <v>0.128</v>
      </c>
      <c r="M169" s="7">
        <f>Sintesi!$C$33</f>
        <v>0.25700000000000001</v>
      </c>
      <c r="N169" s="1">
        <f>'Paste cell here'!AA169</f>
        <v>0.67700000000000005</v>
      </c>
      <c r="O169" s="1">
        <f>'Paste cell here'!H169</f>
        <v>0.50775793985656448</v>
      </c>
      <c r="P169" s="1">
        <f t="shared" si="13"/>
        <v>87.333000000000013</v>
      </c>
      <c r="Q169" s="1">
        <f t="shared" si="14"/>
        <v>44.344024161493351</v>
      </c>
      <c r="R169" s="1">
        <f t="shared" si="15"/>
        <v>129.64497583850664</v>
      </c>
      <c r="S169" s="5">
        <f t="shared" si="16"/>
        <v>0.25614016867910894</v>
      </c>
      <c r="T169" s="5">
        <f t="shared" si="17"/>
        <v>0.19149922575850317</v>
      </c>
    </row>
    <row r="170" spans="1:20">
      <c r="A170" s="1">
        <v>169</v>
      </c>
      <c r="B170" s="2">
        <f>DATE(Sintesi!$C$4-1,12,31)+A170</f>
        <v>44365</v>
      </c>
      <c r="C170" s="1">
        <f>'Paste cell here'!T170</f>
        <v>0.54901985427280686</v>
      </c>
      <c r="D170" s="1">
        <f>'Paste cell here'!AC170</f>
        <v>0</v>
      </c>
      <c r="E170" s="1">
        <f>'Paste cell here'!Y170</f>
        <v>5.2083658390470209</v>
      </c>
      <c r="F170" s="1">
        <f>'Paste cell here'!AD170</f>
        <v>0.72197375602674629</v>
      </c>
      <c r="G170" s="1">
        <f>'Paste cell here'!W170</f>
        <v>0</v>
      </c>
      <c r="H170" s="1">
        <f>'Paste cell here'!AE170</f>
        <v>170.0815744549557</v>
      </c>
      <c r="I170" s="1">
        <f>'Paste cell here'!AF170</f>
        <v>175.46289419575675</v>
      </c>
      <c r="J170" s="1">
        <f t="shared" si="12"/>
        <v>8.5265128291212022E-14</v>
      </c>
      <c r="K170" s="1" t="str">
        <f>IF('(OLD) Bilancio primo strato'!D170&gt;0,1,"")</f>
        <v/>
      </c>
      <c r="L170" s="7">
        <f>Sintesi!$C$34</f>
        <v>0.128</v>
      </c>
      <c r="M170" s="7">
        <f>Sintesi!$C$33</f>
        <v>0.25700000000000001</v>
      </c>
      <c r="N170" s="1">
        <f>'Paste cell here'!AA170</f>
        <v>0.68500000000000005</v>
      </c>
      <c r="O170" s="1">
        <f>'Paste cell here'!H170</f>
        <v>0.48908063489823889</v>
      </c>
      <c r="P170" s="1">
        <f t="shared" si="13"/>
        <v>88.365000000000009</v>
      </c>
      <c r="Q170" s="1">
        <f t="shared" si="14"/>
        <v>43.21761030278288</v>
      </c>
      <c r="R170" s="1">
        <f t="shared" si="15"/>
        <v>132.82738969721714</v>
      </c>
      <c r="S170" s="5">
        <f t="shared" si="16"/>
        <v>0.24829426927730758</v>
      </c>
      <c r="T170" s="5">
        <f t="shared" si="17"/>
        <v>0.19390859809812722</v>
      </c>
    </row>
    <row r="171" spans="1:20">
      <c r="A171" s="1">
        <v>170</v>
      </c>
      <c r="B171" s="2">
        <f>DATE(Sintesi!$C$4-1,12,31)+A171</f>
        <v>44366</v>
      </c>
      <c r="C171" s="1">
        <f>'Paste cell here'!T171</f>
        <v>0.19795634864302633</v>
      </c>
      <c r="D171" s="1">
        <f>'Paste cell here'!AC171</f>
        <v>0</v>
      </c>
      <c r="E171" s="1">
        <f>'Paste cell here'!Y171</f>
        <v>4.603685140073118</v>
      </c>
      <c r="F171" s="1">
        <f>'Paste cell here'!AD171</f>
        <v>0.37794932274788634</v>
      </c>
      <c r="G171" s="1">
        <f>'Paste cell here'!W171</f>
        <v>0</v>
      </c>
      <c r="H171" s="1">
        <f>'Paste cell here'!AE171</f>
        <v>167.35389634077774</v>
      </c>
      <c r="I171" s="1">
        <f>'Paste cell here'!AF171</f>
        <v>172.13757445495571</v>
      </c>
      <c r="J171" s="1">
        <f t="shared" si="12"/>
        <v>0</v>
      </c>
      <c r="K171" s="1" t="str">
        <f>IF('(OLD) Bilancio primo strato'!D171&gt;0,1,"")</f>
        <v/>
      </c>
      <c r="L171" s="7">
        <f>Sintesi!$C$34</f>
        <v>0.128</v>
      </c>
      <c r="M171" s="7">
        <f>Sintesi!$C$33</f>
        <v>0.25700000000000001</v>
      </c>
      <c r="N171" s="1">
        <f>'Paste cell here'!AA171</f>
        <v>0.69300000000000006</v>
      </c>
      <c r="O171" s="1">
        <f>'Paste cell here'!H171</f>
        <v>0.44454940577580915</v>
      </c>
      <c r="P171" s="1">
        <f t="shared" si="13"/>
        <v>89.397000000000006</v>
      </c>
      <c r="Q171" s="1">
        <f t="shared" si="14"/>
        <v>39.741383228140016</v>
      </c>
      <c r="R171" s="1">
        <f t="shared" si="15"/>
        <v>138.35961677185998</v>
      </c>
      <c r="S171" s="5">
        <f t="shared" si="16"/>
        <v>0.24149191391165614</v>
      </c>
      <c r="T171" s="5">
        <f t="shared" si="17"/>
        <v>0.19965312665492058</v>
      </c>
    </row>
    <row r="172" spans="1:20">
      <c r="A172" s="1">
        <v>171</v>
      </c>
      <c r="B172" s="2">
        <f>DATE(Sintesi!$C$4-1,12,31)+A172</f>
        <v>44367</v>
      </c>
      <c r="C172" s="1">
        <f>'Paste cell here'!T172</f>
        <v>9.411799448031713E-2</v>
      </c>
      <c r="D172" s="1">
        <f>'Paste cell here'!AC172</f>
        <v>0</v>
      </c>
      <c r="E172" s="1">
        <f>'Paste cell here'!Y172</f>
        <v>3.8191418884993413</v>
      </c>
      <c r="F172" s="1">
        <f>'Paste cell here'!AD172</f>
        <v>0.21250257348958707</v>
      </c>
      <c r="G172" s="1">
        <f>'Paste cell here'!W172</f>
        <v>0</v>
      </c>
      <c r="H172" s="1">
        <f>'Paste cell here'!AE172</f>
        <v>165.47236987326912</v>
      </c>
      <c r="I172" s="1">
        <f>'Paste cell here'!AF172</f>
        <v>169.40989634077772</v>
      </c>
      <c r="J172" s="1">
        <f t="shared" si="12"/>
        <v>0</v>
      </c>
      <c r="K172" s="1" t="str">
        <f>IF('(OLD) Bilancio primo strato'!D172&gt;0,1,"")</f>
        <v/>
      </c>
      <c r="L172" s="7">
        <f>Sintesi!$C$34</f>
        <v>0.128</v>
      </c>
      <c r="M172" s="7">
        <f>Sintesi!$C$33</f>
        <v>0.25700000000000001</v>
      </c>
      <c r="N172" s="1">
        <f>'Paste cell here'!AA172</f>
        <v>0.70100000000000007</v>
      </c>
      <c r="O172" s="1">
        <f>'Paste cell here'!H172</f>
        <v>0.4808141711252456</v>
      </c>
      <c r="P172" s="1">
        <f t="shared" si="13"/>
        <v>90.429000000000016</v>
      </c>
      <c r="Q172" s="1">
        <f t="shared" si="14"/>
        <v>43.479544680684846</v>
      </c>
      <c r="R172" s="1">
        <f t="shared" si="15"/>
        <v>136.67745531931516</v>
      </c>
      <c r="S172" s="5">
        <f t="shared" si="16"/>
        <v>0.23605188284346518</v>
      </c>
      <c r="T172" s="5">
        <f t="shared" si="17"/>
        <v>0.19497497192484328</v>
      </c>
    </row>
    <row r="173" spans="1:20">
      <c r="A173" s="1">
        <v>172</v>
      </c>
      <c r="B173" s="2">
        <f>DATE(Sintesi!$C$4-1,12,31)+A173</f>
        <v>44368</v>
      </c>
      <c r="C173" s="1">
        <f>'Paste cell here'!T173</f>
        <v>4.9953263625451959E-2</v>
      </c>
      <c r="D173" s="1">
        <f>'Paste cell here'!AC173</f>
        <v>0</v>
      </c>
      <c r="E173" s="1">
        <f>'Paste cell here'!Y173</f>
        <v>5.1923556033115315</v>
      </c>
      <c r="F173" s="1">
        <f>'Paste cell here'!AD173</f>
        <v>0.11982149418955163</v>
      </c>
      <c r="G173" s="1">
        <f>'Paste cell here'!W173</f>
        <v>0</v>
      </c>
      <c r="H173" s="1">
        <f>'Paste cell here'!AE173</f>
        <v>162.26614603939342</v>
      </c>
      <c r="I173" s="1">
        <f>'Paste cell here'!AF173</f>
        <v>167.5283698732691</v>
      </c>
      <c r="J173" s="1">
        <f t="shared" si="12"/>
        <v>2.8421709430404007E-14</v>
      </c>
      <c r="K173" s="1" t="str">
        <f>IF('(OLD) Bilancio primo strato'!D173&gt;0,1,"")</f>
        <v/>
      </c>
      <c r="L173" s="7">
        <f>Sintesi!$C$34</f>
        <v>0.128</v>
      </c>
      <c r="M173" s="7">
        <f>Sintesi!$C$33</f>
        <v>0.25700000000000001</v>
      </c>
      <c r="N173" s="1">
        <f>'Paste cell here'!AA173</f>
        <v>0.70900000000000007</v>
      </c>
      <c r="O173" s="1">
        <f>'Paste cell here'!H173</f>
        <v>0.52495602546352904</v>
      </c>
      <c r="P173" s="1">
        <f t="shared" si="13"/>
        <v>91.461000000000013</v>
      </c>
      <c r="Q173" s="1">
        <f t="shared" si="14"/>
        <v>48.013003044919834</v>
      </c>
      <c r="R173" s="1">
        <f t="shared" si="15"/>
        <v>134.19999695508019</v>
      </c>
      <c r="S173" s="5">
        <f t="shared" si="16"/>
        <v>0.22886621444202171</v>
      </c>
      <c r="T173" s="5">
        <f t="shared" si="17"/>
        <v>0.18928067271520477</v>
      </c>
    </row>
    <row r="174" spans="1:20">
      <c r="A174" s="1">
        <v>173</v>
      </c>
      <c r="B174" s="2">
        <f>DATE(Sintesi!$C$4-1,12,31)+A174</f>
        <v>44369</v>
      </c>
      <c r="C174" s="1">
        <f>'Paste cell here'!T174</f>
        <v>2.634488290932754E-2</v>
      </c>
      <c r="D174" s="1">
        <f>'Paste cell here'!AC174</f>
        <v>0</v>
      </c>
      <c r="E174" s="1">
        <f>'Paste cell here'!Y174</f>
        <v>5.10819746176404</v>
      </c>
      <c r="F174" s="1">
        <f>'Paste cell here'!AD174</f>
        <v>6.4354138622814402E-2</v>
      </c>
      <c r="G174" s="1">
        <f>'Paste cell here'!W174</f>
        <v>0</v>
      </c>
      <c r="H174" s="1">
        <f>'Paste cell here'!AE174</f>
        <v>159.17593932191582</v>
      </c>
      <c r="I174" s="1">
        <f>'Paste cell here'!AF174</f>
        <v>164.32214603939337</v>
      </c>
      <c r="J174" s="1">
        <f t="shared" si="12"/>
        <v>2.8421709430404007E-14</v>
      </c>
      <c r="K174" s="1" t="str">
        <f>IF('(OLD) Bilancio primo strato'!D174&gt;0,1,"")</f>
        <v/>
      </c>
      <c r="L174" s="7">
        <f>Sintesi!$C$34</f>
        <v>0.128</v>
      </c>
      <c r="M174" s="7">
        <f>Sintesi!$C$33</f>
        <v>0.25700000000000001</v>
      </c>
      <c r="N174" s="1">
        <f>'Paste cell here'!AA174</f>
        <v>0.71699999999999997</v>
      </c>
      <c r="O174" s="1">
        <f>'Paste cell here'!H174</f>
        <v>0.46424654892936246</v>
      </c>
      <c r="P174" s="1">
        <f t="shared" si="13"/>
        <v>92.492999999999995</v>
      </c>
      <c r="Q174" s="1">
        <f t="shared" si="14"/>
        <v>42.939556050123521</v>
      </c>
      <c r="R174" s="1">
        <f t="shared" si="15"/>
        <v>141.32944394987646</v>
      </c>
      <c r="S174" s="5">
        <f t="shared" si="16"/>
        <v>0.22200270477254647</v>
      </c>
      <c r="T174" s="5">
        <f t="shared" si="17"/>
        <v>0.19711219518811221</v>
      </c>
    </row>
    <row r="175" spans="1:20">
      <c r="A175" s="1">
        <v>174</v>
      </c>
      <c r="B175" s="2">
        <f>DATE(Sintesi!$C$4-1,12,31)+A175</f>
        <v>44370</v>
      </c>
      <c r="C175" s="1">
        <f>'Paste cell here'!T175</f>
        <v>1.5753742168891031E-2</v>
      </c>
      <c r="D175" s="1">
        <f>'Paste cell here'!AC175</f>
        <v>0</v>
      </c>
      <c r="E175" s="1">
        <f>'Paste cell here'!Y175</f>
        <v>5.0712116932266014</v>
      </c>
      <c r="F175" s="1">
        <f>'Paste cell here'!AD175</f>
        <v>3.5370567971897617E-2</v>
      </c>
      <c r="G175" s="1">
        <f>'Paste cell here'!W175</f>
        <v>0</v>
      </c>
      <c r="H175" s="1">
        <f>'Paste cell here'!AE175</f>
        <v>156.39811080288618</v>
      </c>
      <c r="I175" s="1">
        <f>'Paste cell here'!AF175</f>
        <v>161.48893932191584</v>
      </c>
      <c r="J175" s="1">
        <f t="shared" si="12"/>
        <v>5.6843418860808015E-14</v>
      </c>
      <c r="K175" s="1" t="str">
        <f>IF('(OLD) Bilancio primo strato'!D175&gt;0,1,"")</f>
        <v/>
      </c>
      <c r="L175" s="7">
        <f>Sintesi!$C$34</f>
        <v>0.128</v>
      </c>
      <c r="M175" s="7">
        <f>Sintesi!$C$33</f>
        <v>0.25700000000000001</v>
      </c>
      <c r="N175" s="1">
        <f>'Paste cell here'!AA175</f>
        <v>0.72599999999999998</v>
      </c>
      <c r="O175" s="1">
        <f>'Paste cell here'!H175</f>
        <v>0.47134694098549851</v>
      </c>
      <c r="P175" s="1">
        <f t="shared" si="13"/>
        <v>93.653999999999996</v>
      </c>
      <c r="Q175" s="1">
        <f t="shared" si="14"/>
        <v>44.143526411055873</v>
      </c>
      <c r="R175" s="1">
        <f t="shared" si="15"/>
        <v>142.43847358894413</v>
      </c>
      <c r="S175" s="5">
        <f t="shared" si="16"/>
        <v>0.21542439504529776</v>
      </c>
      <c r="T175" s="5">
        <f t="shared" si="17"/>
        <v>0.19619624461287072</v>
      </c>
    </row>
    <row r="176" spans="1:20">
      <c r="A176" s="1">
        <v>175</v>
      </c>
      <c r="B176" s="2">
        <f>DATE(Sintesi!$C$4-1,12,31)+A176</f>
        <v>44371</v>
      </c>
      <c r="C176" s="1">
        <f>'Paste cell here'!T176</f>
        <v>9.9601758550537413E-3</v>
      </c>
      <c r="D176" s="1">
        <f>'Paste cell here'!AC176</f>
        <v>0</v>
      </c>
      <c r="E176" s="1">
        <f>'Paste cell here'!Y176</f>
        <v>5.6417018585124801</v>
      </c>
      <c r="F176" s="1">
        <f>'Paste cell here'!AD176</f>
        <v>1.9242656598920226E-2</v>
      </c>
      <c r="G176" s="1">
        <f>'Paste cell here'!W176</f>
        <v>0</v>
      </c>
      <c r="H176" s="1">
        <f>'Paste cell here'!AE176</f>
        <v>152.80312646362981</v>
      </c>
      <c r="I176" s="1">
        <f>'Paste cell here'!AF176</f>
        <v>158.45411080288616</v>
      </c>
      <c r="J176" s="1">
        <f t="shared" si="12"/>
        <v>0</v>
      </c>
      <c r="K176" s="1" t="str">
        <f>IF('(OLD) Bilancio primo strato'!D176&gt;0,1,"")</f>
        <v/>
      </c>
      <c r="L176" s="7">
        <f>Sintesi!$C$34</f>
        <v>0.128</v>
      </c>
      <c r="M176" s="7">
        <f>Sintesi!$C$33</f>
        <v>0.25700000000000001</v>
      </c>
      <c r="N176" s="1">
        <f>'Paste cell here'!AA176</f>
        <v>0.73399999999999999</v>
      </c>
      <c r="O176" s="1">
        <f>'Paste cell here'!H176</f>
        <v>0.47853073482526159</v>
      </c>
      <c r="P176" s="1">
        <f t="shared" si="13"/>
        <v>94.686000000000007</v>
      </c>
      <c r="Q176" s="1">
        <f t="shared" si="14"/>
        <v>45.310161157664723</v>
      </c>
      <c r="R176" s="1">
        <f t="shared" si="15"/>
        <v>143.32783884233527</v>
      </c>
      <c r="S176" s="5">
        <f t="shared" si="16"/>
        <v>0.20817864640821501</v>
      </c>
      <c r="T176" s="5">
        <f t="shared" si="17"/>
        <v>0.19526953520754123</v>
      </c>
    </row>
    <row r="177" spans="1:20">
      <c r="A177" s="1">
        <v>176</v>
      </c>
      <c r="B177" s="2">
        <f>DATE(Sintesi!$C$4-1,12,31)+A177</f>
        <v>44372</v>
      </c>
      <c r="C177" s="1">
        <f>'Paste cell here'!T177</f>
        <v>44.613764333934924</v>
      </c>
      <c r="D177" s="1">
        <f>'Paste cell here'!AC177</f>
        <v>0</v>
      </c>
      <c r="E177" s="1">
        <f>'Paste cell here'!Y177</f>
        <v>6.3526944264842715</v>
      </c>
      <c r="F177" s="1">
        <f>'Paste cell here'!AD177</f>
        <v>0.69023361841724828</v>
      </c>
      <c r="G177" s="1">
        <f>'Paste cell here'!W177</f>
        <v>0</v>
      </c>
      <c r="H177" s="1">
        <f>'Paste cell here'!AE177</f>
        <v>192.42996275266316</v>
      </c>
      <c r="I177" s="1">
        <f>'Paste cell here'!AF177</f>
        <v>154.85912646362982</v>
      </c>
      <c r="J177" s="1">
        <f t="shared" si="12"/>
        <v>5.6843418860808015E-14</v>
      </c>
      <c r="K177" s="1">
        <f>IF('(OLD) Bilancio primo strato'!D177&gt;0,1,"")</f>
        <v>1</v>
      </c>
      <c r="L177" s="7">
        <f>Sintesi!$C$34</f>
        <v>0.128</v>
      </c>
      <c r="M177" s="7">
        <f>Sintesi!$C$33</f>
        <v>0.25700000000000001</v>
      </c>
      <c r="N177" s="1">
        <f>'Paste cell here'!AA177</f>
        <v>0.74199999999999999</v>
      </c>
      <c r="O177" s="1">
        <f>'Paste cell here'!H177</f>
        <v>0.45339094490803622</v>
      </c>
      <c r="P177" s="1">
        <f t="shared" si="13"/>
        <v>95.718000000000004</v>
      </c>
      <c r="Q177" s="1">
        <f t="shared" si="14"/>
        <v>43.397674464707414</v>
      </c>
      <c r="R177" s="1">
        <f t="shared" si="15"/>
        <v>147.29632553529257</v>
      </c>
      <c r="S177" s="5">
        <f t="shared" si="16"/>
        <v>0.25933957244294226</v>
      </c>
      <c r="T177" s="5">
        <f t="shared" si="17"/>
        <v>0.1985125681068633</v>
      </c>
    </row>
    <row r="178" spans="1:20">
      <c r="A178" s="1">
        <v>177</v>
      </c>
      <c r="B178" s="2">
        <f>DATE(Sintesi!$C$4-1,12,31)+A178</f>
        <v>44373</v>
      </c>
      <c r="C178" s="1">
        <f>'Paste cell here'!T178</f>
        <v>2.3719181820760911</v>
      </c>
      <c r="D178" s="1">
        <f>'Paste cell here'!AC178</f>
        <v>0</v>
      </c>
      <c r="E178" s="1">
        <f>'Paste cell here'!Y178</f>
        <v>6.1073459081135404</v>
      </c>
      <c r="F178" s="1">
        <f>'Paste cell here'!AD178</f>
        <v>1.1534939808404345</v>
      </c>
      <c r="G178" s="1">
        <f>'Paste cell here'!W178</f>
        <v>0</v>
      </c>
      <c r="H178" s="1">
        <f>'Paste cell here'!AE178</f>
        <v>189.59704104578529</v>
      </c>
      <c r="I178" s="1">
        <f>'Paste cell here'!AF178</f>
        <v>194.48596275266317</v>
      </c>
      <c r="J178" s="1">
        <f t="shared" si="12"/>
        <v>0</v>
      </c>
      <c r="K178" s="1" t="str">
        <f>IF('(OLD) Bilancio primo strato'!D178&gt;0,1,"")</f>
        <v/>
      </c>
      <c r="L178" s="7">
        <f>Sintesi!$C$34</f>
        <v>0.128</v>
      </c>
      <c r="M178" s="7">
        <f>Sintesi!$C$33</f>
        <v>0.25700000000000001</v>
      </c>
      <c r="N178" s="1">
        <f>'Paste cell here'!AA178</f>
        <v>0.75</v>
      </c>
      <c r="O178" s="1">
        <f>'Paste cell here'!H178</f>
        <v>0.42352032339419299</v>
      </c>
      <c r="P178" s="1">
        <f t="shared" si="13"/>
        <v>96.75</v>
      </c>
      <c r="Q178" s="1">
        <f t="shared" si="14"/>
        <v>40.975591288388173</v>
      </c>
      <c r="R178" s="1">
        <f t="shared" si="15"/>
        <v>151.77440871161184</v>
      </c>
      <c r="S178" s="5">
        <f t="shared" si="16"/>
        <v>0.25279605472771371</v>
      </c>
      <c r="T178" s="5">
        <f t="shared" si="17"/>
        <v>0.20236587828214911</v>
      </c>
    </row>
    <row r="179" spans="1:20">
      <c r="A179" s="1">
        <v>178</v>
      </c>
      <c r="B179" s="2">
        <f>DATE(Sintesi!$C$4-1,12,31)+A179</f>
        <v>44374</v>
      </c>
      <c r="C179" s="1">
        <f>'Paste cell here'!T179</f>
        <v>0.77271150905095476</v>
      </c>
      <c r="D179" s="1">
        <f>'Paste cell here'!AC179</f>
        <v>0</v>
      </c>
      <c r="E179" s="1">
        <f>'Paste cell here'!Y179</f>
        <v>5.7423459500922966</v>
      </c>
      <c r="F179" s="1">
        <f>'Paste cell here'!AD179</f>
        <v>0.60636652294589699</v>
      </c>
      <c r="G179" s="1">
        <f>'Paste cell here'!W179</f>
        <v>0</v>
      </c>
      <c r="H179" s="1">
        <f>'Paste cell here'!AE179</f>
        <v>184.02104008179808</v>
      </c>
      <c r="I179" s="1">
        <f>'Paste cell here'!AF179</f>
        <v>189.59704104578529</v>
      </c>
      <c r="J179" s="1">
        <f t="shared" si="12"/>
        <v>2.8421709430404007E-14</v>
      </c>
      <c r="K179" s="1" t="str">
        <f>IF('(OLD) Bilancio primo strato'!D179&gt;0,1,"")</f>
        <v/>
      </c>
      <c r="L179" s="7">
        <f>Sintesi!$C$34</f>
        <v>0.128</v>
      </c>
      <c r="M179" s="7">
        <f>Sintesi!$C$33</f>
        <v>0.25700000000000001</v>
      </c>
      <c r="N179" s="1">
        <f>'Paste cell here'!AA179</f>
        <v>0.75</v>
      </c>
      <c r="O179" s="1">
        <f>'Paste cell here'!H179</f>
        <v>0.44206173739963978</v>
      </c>
      <c r="P179" s="1">
        <f t="shared" si="13"/>
        <v>96.75</v>
      </c>
      <c r="Q179" s="1">
        <f t="shared" si="14"/>
        <v>42.769473093415151</v>
      </c>
      <c r="R179" s="1">
        <f t="shared" si="15"/>
        <v>149.98052690658486</v>
      </c>
      <c r="S179" s="5">
        <f t="shared" si="16"/>
        <v>0.24536138677573077</v>
      </c>
      <c r="T179" s="5">
        <f t="shared" si="17"/>
        <v>0.19997403587544649</v>
      </c>
    </row>
    <row r="180" spans="1:20">
      <c r="A180" s="1">
        <v>179</v>
      </c>
      <c r="B180" s="2">
        <f>DATE(Sintesi!$C$4-1,12,31)+A180</f>
        <v>44375</v>
      </c>
      <c r="C180" s="1">
        <f>'Paste cell here'!T180</f>
        <v>0.37723572711124681</v>
      </c>
      <c r="D180" s="1">
        <f>'Paste cell here'!AC180</f>
        <v>0</v>
      </c>
      <c r="E180" s="1">
        <f>'Paste cell here'!Y180</f>
        <v>6.4113274203343478</v>
      </c>
      <c r="F180" s="1">
        <f>'Paste cell here'!AD180</f>
        <v>0.30567343847682787</v>
      </c>
      <c r="G180" s="1">
        <f>'Paste cell here'!W180</f>
        <v>0</v>
      </c>
      <c r="H180" s="1">
        <f>'Paste cell here'!AE180</f>
        <v>177.68127495009821</v>
      </c>
      <c r="I180" s="1">
        <f>'Paste cell here'!AF180</f>
        <v>184.02104008179811</v>
      </c>
      <c r="J180" s="1">
        <f t="shared" si="12"/>
        <v>2.8421709430404007E-14</v>
      </c>
      <c r="K180" s="1" t="str">
        <f>IF('(OLD) Bilancio primo strato'!D180&gt;0,1,"")</f>
        <v/>
      </c>
      <c r="L180" s="7">
        <f>Sintesi!$C$34</f>
        <v>0.128</v>
      </c>
      <c r="M180" s="7">
        <f>Sintesi!$C$33</f>
        <v>0.25700000000000001</v>
      </c>
      <c r="N180" s="1">
        <f>'Paste cell here'!AA180</f>
        <v>0.75</v>
      </c>
      <c r="O180" s="1">
        <f>'Paste cell here'!H180</f>
        <v>0.4583073668698544</v>
      </c>
      <c r="P180" s="1">
        <f t="shared" si="13"/>
        <v>96.75</v>
      </c>
      <c r="Q180" s="1">
        <f t="shared" si="14"/>
        <v>44.341237744658414</v>
      </c>
      <c r="R180" s="1">
        <f t="shared" si="15"/>
        <v>148.40876225534157</v>
      </c>
      <c r="S180" s="5">
        <f t="shared" si="16"/>
        <v>0.23690836660013095</v>
      </c>
      <c r="T180" s="5">
        <f t="shared" si="17"/>
        <v>0.19787834967378876</v>
      </c>
    </row>
    <row r="181" spans="1:20">
      <c r="A181" s="1">
        <v>180</v>
      </c>
      <c r="B181" s="2">
        <f>DATE(Sintesi!$C$4-1,12,31)+A181</f>
        <v>44376</v>
      </c>
      <c r="C181" s="1">
        <f>'Paste cell here'!T181</f>
        <v>0.20614923063983956</v>
      </c>
      <c r="D181" s="1">
        <f>'Paste cell here'!AC181</f>
        <v>0</v>
      </c>
      <c r="E181" s="1">
        <f>'Paste cell here'!Y181</f>
        <v>6.2099296110161673</v>
      </c>
      <c r="F181" s="1">
        <f>'Paste cell here'!AD181</f>
        <v>0.14935051088749532</v>
      </c>
      <c r="G181" s="1">
        <f>'Paste cell here'!W181</f>
        <v>0</v>
      </c>
      <c r="H181" s="1">
        <f>'Paste cell here'!AE181</f>
        <v>171.52814405883441</v>
      </c>
      <c r="I181" s="1">
        <f>'Paste cell here'!AF181</f>
        <v>177.68127495009821</v>
      </c>
      <c r="J181" s="1">
        <f t="shared" si="12"/>
        <v>2.8421709430404007E-14</v>
      </c>
      <c r="K181" s="1" t="str">
        <f>IF('(OLD) Bilancio primo strato'!D181&gt;0,1,"")</f>
        <v/>
      </c>
      <c r="L181" s="7">
        <f>Sintesi!$C$34</f>
        <v>0.128</v>
      </c>
      <c r="M181" s="7">
        <f>Sintesi!$C$33</f>
        <v>0.25700000000000001</v>
      </c>
      <c r="N181" s="1">
        <f>'Paste cell here'!AA181</f>
        <v>0.75</v>
      </c>
      <c r="O181" s="1">
        <f>'Paste cell here'!H181</f>
        <v>0.42719775984508856</v>
      </c>
      <c r="P181" s="1">
        <f t="shared" si="13"/>
        <v>96.75</v>
      </c>
      <c r="Q181" s="1">
        <f t="shared" si="14"/>
        <v>41.33138326501232</v>
      </c>
      <c r="R181" s="1">
        <f t="shared" si="15"/>
        <v>151.41861673498767</v>
      </c>
      <c r="S181" s="5">
        <f t="shared" si="16"/>
        <v>0.22870419207844589</v>
      </c>
      <c r="T181" s="5">
        <f t="shared" si="17"/>
        <v>0.20189148897998355</v>
      </c>
    </row>
    <row r="182" spans="1:20">
      <c r="A182" s="1">
        <v>181</v>
      </c>
      <c r="B182" s="2">
        <f>DATE(Sintesi!$C$4-1,12,31)+A182</f>
        <v>44377</v>
      </c>
      <c r="C182" s="1">
        <f>'Paste cell here'!T182</f>
        <v>0.12135237989427157</v>
      </c>
      <c r="D182" s="1">
        <f>'Paste cell here'!AC182</f>
        <v>0</v>
      </c>
      <c r="E182" s="1">
        <f>'Paste cell here'!Y182</f>
        <v>6.0502135801030228</v>
      </c>
      <c r="F182" s="1">
        <f>'Paste cell here'!AD182</f>
        <v>7.3245984434110775E-2</v>
      </c>
      <c r="G182" s="1">
        <f>'Paste cell here'!W182</f>
        <v>0</v>
      </c>
      <c r="H182" s="1">
        <f>'Paste cell here'!AE182</f>
        <v>165.52603687419156</v>
      </c>
      <c r="I182" s="1">
        <f>'Paste cell here'!AF182</f>
        <v>171.52814405883444</v>
      </c>
      <c r="J182" s="1">
        <f t="shared" si="12"/>
        <v>0</v>
      </c>
      <c r="K182" s="1" t="str">
        <f>IF('(OLD) Bilancio primo strato'!D182&gt;0,1,"")</f>
        <v/>
      </c>
      <c r="L182" s="7">
        <f>Sintesi!$C$34</f>
        <v>0.128</v>
      </c>
      <c r="M182" s="7">
        <f>Sintesi!$C$33</f>
        <v>0.25700000000000001</v>
      </c>
      <c r="N182" s="1">
        <f>'Paste cell here'!AA182</f>
        <v>0.75</v>
      </c>
      <c r="O182" s="1">
        <f>'Paste cell here'!H182</f>
        <v>0.43525067550485996</v>
      </c>
      <c r="P182" s="1">
        <f t="shared" si="13"/>
        <v>96.75</v>
      </c>
      <c r="Q182" s="1">
        <f t="shared" si="14"/>
        <v>42.110502855095199</v>
      </c>
      <c r="R182" s="1">
        <f t="shared" si="15"/>
        <v>150.63949714490479</v>
      </c>
      <c r="S182" s="5">
        <f t="shared" si="16"/>
        <v>0.22070138249892207</v>
      </c>
      <c r="T182" s="5">
        <f t="shared" si="17"/>
        <v>0.20085266285987305</v>
      </c>
    </row>
    <row r="183" spans="1:20">
      <c r="A183" s="1">
        <v>182</v>
      </c>
      <c r="B183" s="2">
        <f>DATE(Sintesi!$C$4-1,12,31)+A183</f>
        <v>44378</v>
      </c>
      <c r="C183" s="1">
        <f>'Paste cell here'!T183</f>
        <v>7.0662749712944409E-2</v>
      </c>
      <c r="D183" s="1">
        <f>'Paste cell here'!AC183</f>
        <v>0</v>
      </c>
      <c r="E183" s="1">
        <f>'Paste cell here'!Y183</f>
        <v>6.8179488657851834</v>
      </c>
      <c r="F183" s="1">
        <f>'Paste cell here'!AD183</f>
        <v>3.4900894064604601E-2</v>
      </c>
      <c r="G183" s="1">
        <f>'Paste cell here'!W183</f>
        <v>0</v>
      </c>
      <c r="H183" s="1">
        <f>'Paste cell here'!AE183</f>
        <v>158.74384986405468</v>
      </c>
      <c r="I183" s="1">
        <f>'Paste cell here'!AF183</f>
        <v>165.52603687419153</v>
      </c>
      <c r="J183" s="1">
        <f t="shared" si="12"/>
        <v>0</v>
      </c>
      <c r="K183" s="1" t="str">
        <f>IF('(OLD) Bilancio primo strato'!D183&gt;0,1,"")</f>
        <v/>
      </c>
      <c r="L183" s="7">
        <f>Sintesi!$C$34</f>
        <v>0.128</v>
      </c>
      <c r="M183" s="7">
        <f>Sintesi!$C$33</f>
        <v>0.25700000000000001</v>
      </c>
      <c r="N183" s="1">
        <f>'Paste cell here'!AA183</f>
        <v>0.75</v>
      </c>
      <c r="O183" s="1">
        <f>'Paste cell here'!H183</f>
        <v>0.44175986986391963</v>
      </c>
      <c r="P183" s="1">
        <f t="shared" si="13"/>
        <v>96.75</v>
      </c>
      <c r="Q183" s="1">
        <f t="shared" si="14"/>
        <v>42.740267409334223</v>
      </c>
      <c r="R183" s="1">
        <f t="shared" si="15"/>
        <v>150.00973259066578</v>
      </c>
      <c r="S183" s="5">
        <f t="shared" si="16"/>
        <v>0.21165846648540623</v>
      </c>
      <c r="T183" s="5">
        <f t="shared" si="17"/>
        <v>0.20001297678755436</v>
      </c>
    </row>
    <row r="184" spans="1:20">
      <c r="A184" s="1">
        <v>183</v>
      </c>
      <c r="B184" s="2">
        <f>DATE(Sintesi!$C$4-1,12,31)+A184</f>
        <v>44379</v>
      </c>
      <c r="C184" s="1">
        <f>'Paste cell here'!T184</f>
        <v>47.128257319249919</v>
      </c>
      <c r="D184" s="1">
        <f>'Paste cell here'!AC184</f>
        <v>0</v>
      </c>
      <c r="E184" s="1">
        <f>'Paste cell here'!Y184</f>
        <v>6.2207658764187519</v>
      </c>
      <c r="F184" s="1">
        <f>'Paste cell here'!AD184</f>
        <v>0.9321533400792279</v>
      </c>
      <c r="G184" s="1">
        <f>'Paste cell here'!W184</f>
        <v>0</v>
      </c>
      <c r="H184" s="1">
        <f>'Paste cell here'!AE184</f>
        <v>198.71918796680663</v>
      </c>
      <c r="I184" s="1">
        <f>'Paste cell here'!AF184</f>
        <v>158.74384986405468</v>
      </c>
      <c r="J184" s="1">
        <f t="shared" si="12"/>
        <v>0</v>
      </c>
      <c r="K184" s="1">
        <f>IF('(OLD) Bilancio primo strato'!D184&gt;0,1,"")</f>
        <v>1</v>
      </c>
      <c r="L184" s="7">
        <f>Sintesi!$C$34</f>
        <v>0.128</v>
      </c>
      <c r="M184" s="7">
        <f>Sintesi!$C$33</f>
        <v>0.25700000000000001</v>
      </c>
      <c r="N184" s="1">
        <f>'Paste cell here'!AA184</f>
        <v>0.75</v>
      </c>
      <c r="O184" s="1">
        <f>'Paste cell here'!H184</f>
        <v>0.40188429849760698</v>
      </c>
      <c r="P184" s="1">
        <f t="shared" si="13"/>
        <v>96.75</v>
      </c>
      <c r="Q184" s="1">
        <f t="shared" si="14"/>
        <v>38.882305879643475</v>
      </c>
      <c r="R184" s="1">
        <f t="shared" si="15"/>
        <v>153.86769412035653</v>
      </c>
      <c r="S184" s="5">
        <f t="shared" si="16"/>
        <v>0.2649589172890755</v>
      </c>
      <c r="T184" s="5">
        <f t="shared" si="17"/>
        <v>0.20515692549380871</v>
      </c>
    </row>
    <row r="185" spans="1:20">
      <c r="A185" s="1">
        <v>184</v>
      </c>
      <c r="B185" s="2">
        <f>DATE(Sintesi!$C$4-1,12,31)+A185</f>
        <v>44380</v>
      </c>
      <c r="C185" s="1">
        <f>'Paste cell here'!T185</f>
        <v>2.4203726640333612</v>
      </c>
      <c r="D185" s="1">
        <f>'Paste cell here'!AC185</f>
        <v>0</v>
      </c>
      <c r="E185" s="1">
        <f>'Paste cell here'!Y185</f>
        <v>4.5946568804727095</v>
      </c>
      <c r="F185" s="1">
        <f>'Paste cell here'!AD185</f>
        <v>1.6039008536637649</v>
      </c>
      <c r="G185" s="1">
        <f>'Paste cell here'!W185</f>
        <v>0</v>
      </c>
      <c r="H185" s="1">
        <f>'Paste cell here'!AE185</f>
        <v>194.94100289670354</v>
      </c>
      <c r="I185" s="1">
        <f>'Paste cell here'!AF185</f>
        <v>198.71918796680663</v>
      </c>
      <c r="J185" s="1">
        <f t="shared" si="12"/>
        <v>2.8421709430404007E-14</v>
      </c>
      <c r="K185" s="1" t="str">
        <f>IF('(OLD) Bilancio primo strato'!D185&gt;0,1,"")</f>
        <v/>
      </c>
      <c r="L185" s="7">
        <f>Sintesi!$C$34</f>
        <v>0.128</v>
      </c>
      <c r="M185" s="7">
        <f>Sintesi!$C$33</f>
        <v>0.25700000000000001</v>
      </c>
      <c r="N185" s="1">
        <f>'Paste cell here'!AA185</f>
        <v>0.75</v>
      </c>
      <c r="O185" s="1">
        <f>'Paste cell here'!H185</f>
        <v>0.43329308246276865</v>
      </c>
      <c r="P185" s="1">
        <f t="shared" si="13"/>
        <v>96.75</v>
      </c>
      <c r="Q185" s="1">
        <f t="shared" si="14"/>
        <v>41.92110572827287</v>
      </c>
      <c r="R185" s="1">
        <f t="shared" si="15"/>
        <v>150.82889427172714</v>
      </c>
      <c r="S185" s="5">
        <f t="shared" si="16"/>
        <v>0.25992133719560473</v>
      </c>
      <c r="T185" s="5">
        <f t="shared" si="17"/>
        <v>0.20110519236230284</v>
      </c>
    </row>
    <row r="186" spans="1:20">
      <c r="A186" s="1">
        <v>185</v>
      </c>
      <c r="B186" s="2">
        <f>DATE(Sintesi!$C$4-1,12,31)+A186</f>
        <v>44381</v>
      </c>
      <c r="C186" s="1">
        <f>'Paste cell here'!T186</f>
        <v>2.2497595019716936</v>
      </c>
      <c r="D186" s="1">
        <f>'Paste cell here'!AC186</f>
        <v>0</v>
      </c>
      <c r="E186" s="1">
        <f>'Paste cell here'!Y186</f>
        <v>2.2967414393003662</v>
      </c>
      <c r="F186" s="1">
        <f>'Paste cell here'!AD186</f>
        <v>1.0191228606362457</v>
      </c>
      <c r="G186" s="1">
        <f>'Paste cell here'!W186</f>
        <v>0</v>
      </c>
      <c r="H186" s="1">
        <f>'Paste cell here'!AE186</f>
        <v>193.87489809873867</v>
      </c>
      <c r="I186" s="1">
        <f>'Paste cell here'!AF186</f>
        <v>194.94100289670354</v>
      </c>
      <c r="J186" s="1">
        <f t="shared" si="12"/>
        <v>8.5265128291212022E-14</v>
      </c>
      <c r="K186" s="1" t="str">
        <f>IF('(OLD) Bilancio primo strato'!D186&gt;0,1,"")</f>
        <v/>
      </c>
      <c r="L186" s="7">
        <f>Sintesi!$C$34</f>
        <v>0.128</v>
      </c>
      <c r="M186" s="7">
        <f>Sintesi!$C$33</f>
        <v>0.25700000000000001</v>
      </c>
      <c r="N186" s="1">
        <f>'Paste cell here'!AA186</f>
        <v>0.75</v>
      </c>
      <c r="O186" s="1">
        <f>'Paste cell here'!H186</f>
        <v>0.50799467657581476</v>
      </c>
      <c r="P186" s="1">
        <f t="shared" si="13"/>
        <v>96.75</v>
      </c>
      <c r="Q186" s="1">
        <f t="shared" si="14"/>
        <v>49.148484958710078</v>
      </c>
      <c r="R186" s="1">
        <f t="shared" si="15"/>
        <v>143.60151504128993</v>
      </c>
      <c r="S186" s="5">
        <f t="shared" si="16"/>
        <v>0.25849986413165155</v>
      </c>
      <c r="T186" s="5">
        <f t="shared" si="17"/>
        <v>0.19146868672171991</v>
      </c>
    </row>
    <row r="187" spans="1:20">
      <c r="A187" s="1">
        <v>186</v>
      </c>
      <c r="B187" s="2">
        <f>DATE(Sintesi!$C$4-1,12,31)+A187</f>
        <v>44382</v>
      </c>
      <c r="C187" s="1">
        <f>'Paste cell here'!T187</f>
        <v>1.7024400662054755</v>
      </c>
      <c r="D187" s="1">
        <f>'Paste cell here'!AC187</f>
        <v>0</v>
      </c>
      <c r="E187" s="1">
        <f>'Paste cell here'!Y187</f>
        <v>5.1930140009617363</v>
      </c>
      <c r="F187" s="1">
        <f>'Paste cell here'!AD187</f>
        <v>0.68832050419937663</v>
      </c>
      <c r="G187" s="1">
        <f>'Paste cell here'!W187</f>
        <v>0</v>
      </c>
      <c r="H187" s="1">
        <f>'Paste cell here'!AE187</f>
        <v>189.69600365978295</v>
      </c>
      <c r="I187" s="1">
        <f>'Paste cell here'!AF187</f>
        <v>193.87489809873864</v>
      </c>
      <c r="J187" s="1">
        <f t="shared" si="12"/>
        <v>5.6843418860808015E-14</v>
      </c>
      <c r="K187" s="1" t="str">
        <f>IF('(OLD) Bilancio primo strato'!D187&gt;0,1,"")</f>
        <v/>
      </c>
      <c r="L187" s="7">
        <f>Sintesi!$C$34</f>
        <v>0.128</v>
      </c>
      <c r="M187" s="7">
        <f>Sintesi!$C$33</f>
        <v>0.25700000000000001</v>
      </c>
      <c r="N187" s="1">
        <f>'Paste cell here'!AA187</f>
        <v>0.75</v>
      </c>
      <c r="O187" s="1">
        <f>'Paste cell here'!H187</f>
        <v>0.60755950715242069</v>
      </c>
      <c r="P187" s="1">
        <f t="shared" si="13"/>
        <v>96.75</v>
      </c>
      <c r="Q187" s="1">
        <f t="shared" si="14"/>
        <v>58.781382316996698</v>
      </c>
      <c r="R187" s="1">
        <f t="shared" si="15"/>
        <v>133.96861768300329</v>
      </c>
      <c r="S187" s="5">
        <f t="shared" si="16"/>
        <v>0.25292800487971062</v>
      </c>
      <c r="T187" s="5">
        <f t="shared" si="17"/>
        <v>0.17862482357733772</v>
      </c>
    </row>
    <row r="188" spans="1:20">
      <c r="A188" s="1">
        <v>187</v>
      </c>
      <c r="B188" s="2">
        <f>DATE(Sintesi!$C$4-1,12,31)+A188</f>
        <v>44383</v>
      </c>
      <c r="C188" s="1">
        <f>'Paste cell here'!T188</f>
        <v>0.6939547607951434</v>
      </c>
      <c r="D188" s="1">
        <f>'Paste cell here'!AC188</f>
        <v>0</v>
      </c>
      <c r="E188" s="1">
        <f>'Paste cell here'!Y188</f>
        <v>5.877096131450454</v>
      </c>
      <c r="F188" s="1">
        <f>'Paste cell here'!AD188</f>
        <v>0.38677367739696206</v>
      </c>
      <c r="G188" s="1">
        <f>'Paste cell here'!W188</f>
        <v>0</v>
      </c>
      <c r="H188" s="1">
        <f>'Paste cell here'!AE188</f>
        <v>184.12608861173072</v>
      </c>
      <c r="I188" s="1">
        <f>'Paste cell here'!AF188</f>
        <v>189.69600365978295</v>
      </c>
      <c r="J188" s="1">
        <f t="shared" si="12"/>
        <v>5.6843418860808015E-14</v>
      </c>
      <c r="K188" s="1" t="str">
        <f>IF('(OLD) Bilancio primo strato'!D188&gt;0,1,"")</f>
        <v/>
      </c>
      <c r="L188" s="7">
        <f>Sintesi!$C$34</f>
        <v>0.128</v>
      </c>
      <c r="M188" s="7">
        <f>Sintesi!$C$33</f>
        <v>0.25700000000000001</v>
      </c>
      <c r="N188" s="1">
        <f>'Paste cell here'!AA188</f>
        <v>0.75</v>
      </c>
      <c r="O188" s="1">
        <f>'Paste cell here'!H188</f>
        <v>0.48125461996167368</v>
      </c>
      <c r="P188" s="1">
        <f t="shared" si="13"/>
        <v>96.75</v>
      </c>
      <c r="Q188" s="1">
        <f t="shared" si="14"/>
        <v>46.561384481291931</v>
      </c>
      <c r="R188" s="1">
        <f t="shared" si="15"/>
        <v>146.18861551870808</v>
      </c>
      <c r="S188" s="5">
        <f t="shared" si="16"/>
        <v>0.24550145148230762</v>
      </c>
      <c r="T188" s="5">
        <f t="shared" si="17"/>
        <v>0.19491815402494411</v>
      </c>
    </row>
    <row r="189" spans="1:20">
      <c r="A189" s="1">
        <v>188</v>
      </c>
      <c r="B189" s="2">
        <f>DATE(Sintesi!$C$4-1,12,31)+A189</f>
        <v>44384</v>
      </c>
      <c r="C189" s="1">
        <f>'Paste cell here'!T189</f>
        <v>0.40513946926116051</v>
      </c>
      <c r="D189" s="1">
        <f>'Paste cell here'!AC189</f>
        <v>0</v>
      </c>
      <c r="E189" s="1">
        <f>'Paste cell here'!Y189</f>
        <v>5.7330500722970683</v>
      </c>
      <c r="F189" s="1">
        <f>'Paste cell here'!AD189</f>
        <v>0.20752059113991397</v>
      </c>
      <c r="G189" s="1">
        <f>'Paste cell here'!W189</f>
        <v>0</v>
      </c>
      <c r="H189" s="1">
        <f>'Paste cell here'!AE189</f>
        <v>178.59065741755489</v>
      </c>
      <c r="I189" s="1">
        <f>'Paste cell here'!AF189</f>
        <v>184.12608861173072</v>
      </c>
      <c r="J189" s="1">
        <f t="shared" si="12"/>
        <v>2.8421709430404007E-14</v>
      </c>
      <c r="K189" s="1" t="str">
        <f>IF('(OLD) Bilancio primo strato'!D189&gt;0,1,"")</f>
        <v/>
      </c>
      <c r="L189" s="7">
        <f>Sintesi!$C$34</f>
        <v>0.128</v>
      </c>
      <c r="M189" s="7">
        <f>Sintesi!$C$33</f>
        <v>0.25700000000000001</v>
      </c>
      <c r="N189" s="1">
        <f>'Paste cell here'!AA189</f>
        <v>0.75</v>
      </c>
      <c r="O189" s="1">
        <f>'Paste cell here'!H189</f>
        <v>0.45322779967790378</v>
      </c>
      <c r="P189" s="1">
        <f t="shared" si="13"/>
        <v>96.75</v>
      </c>
      <c r="Q189" s="1">
        <f t="shared" si="14"/>
        <v>43.849789618837193</v>
      </c>
      <c r="R189" s="1">
        <f t="shared" si="15"/>
        <v>148.90021038116282</v>
      </c>
      <c r="S189" s="5">
        <f t="shared" si="16"/>
        <v>0.23812087655673986</v>
      </c>
      <c r="T189" s="5">
        <f t="shared" si="17"/>
        <v>0.19853361384155044</v>
      </c>
    </row>
    <row r="190" spans="1:20">
      <c r="A190" s="1">
        <v>189</v>
      </c>
      <c r="B190" s="2">
        <f>DATE(Sintesi!$C$4-1,12,31)+A190</f>
        <v>44385</v>
      </c>
      <c r="C190" s="1">
        <f>'Paste cell here'!T190</f>
        <v>6.185446365286289</v>
      </c>
      <c r="D190" s="1">
        <f>'Paste cell here'!AC190</f>
        <v>0</v>
      </c>
      <c r="E190" s="1">
        <f>'Paste cell here'!Y190</f>
        <v>3.8978651873160604</v>
      </c>
      <c r="F190" s="1">
        <f>'Paste cell here'!AD190</f>
        <v>0.13453347569696064</v>
      </c>
      <c r="G190" s="1">
        <f>'Paste cell here'!W190</f>
        <v>0</v>
      </c>
      <c r="H190" s="1">
        <f>'Paste cell here'!AE190</f>
        <v>180.74370511982812</v>
      </c>
      <c r="I190" s="1">
        <f>'Paste cell here'!AF190</f>
        <v>178.59065741755489</v>
      </c>
      <c r="J190" s="1">
        <f t="shared" si="12"/>
        <v>2.8421709430404007E-14</v>
      </c>
      <c r="K190" s="1" t="str">
        <f>IF('(OLD) Bilancio primo strato'!D190&gt;0,1,"")</f>
        <v/>
      </c>
      <c r="L190" s="7">
        <f>Sintesi!$C$34</f>
        <v>0.128</v>
      </c>
      <c r="M190" s="7">
        <f>Sintesi!$C$33</f>
        <v>0.25700000000000001</v>
      </c>
      <c r="N190" s="1">
        <f>'Paste cell here'!AA190</f>
        <v>0.75</v>
      </c>
      <c r="O190" s="1">
        <f>'Paste cell here'!H190</f>
        <v>0.45788691742657028</v>
      </c>
      <c r="P190" s="1">
        <f t="shared" si="13"/>
        <v>96.75</v>
      </c>
      <c r="Q190" s="1">
        <f t="shared" si="14"/>
        <v>44.300559261020673</v>
      </c>
      <c r="R190" s="1">
        <f t="shared" si="15"/>
        <v>148.44944073897932</v>
      </c>
      <c r="S190" s="5">
        <f t="shared" si="16"/>
        <v>0.2409916068264375</v>
      </c>
      <c r="T190" s="5">
        <f t="shared" si="17"/>
        <v>0.19793258765197241</v>
      </c>
    </row>
    <row r="191" spans="1:20">
      <c r="A191" s="1">
        <v>190</v>
      </c>
      <c r="B191" s="2">
        <f>DATE(Sintesi!$C$4-1,12,31)+A191</f>
        <v>44386</v>
      </c>
      <c r="C191" s="1">
        <f>'Paste cell here'!T191</f>
        <v>4.3710015453559636</v>
      </c>
      <c r="D191" s="1">
        <f>'Paste cell here'!AC191</f>
        <v>0</v>
      </c>
      <c r="E191" s="1">
        <f>'Paste cell here'!Y191</f>
        <v>6.3386533957485982</v>
      </c>
      <c r="F191" s="1">
        <f>'Paste cell here'!AD191</f>
        <v>0.13529841219719971</v>
      </c>
      <c r="G191" s="1">
        <f>'Paste cell here'!W191</f>
        <v>0</v>
      </c>
      <c r="H191" s="1">
        <f>'Paste cell here'!AE191</f>
        <v>178.64075485723831</v>
      </c>
      <c r="I191" s="1">
        <f>'Paste cell here'!AF191</f>
        <v>180.74370511982812</v>
      </c>
      <c r="J191" s="1">
        <f t="shared" si="12"/>
        <v>0</v>
      </c>
      <c r="K191" s="1" t="str">
        <f>IF('(OLD) Bilancio primo strato'!D191&gt;0,1,"")</f>
        <v/>
      </c>
      <c r="L191" s="7">
        <f>Sintesi!$C$34</f>
        <v>0.128</v>
      </c>
      <c r="M191" s="7">
        <f>Sintesi!$C$33</f>
        <v>0.25700000000000001</v>
      </c>
      <c r="N191" s="1">
        <f>'Paste cell here'!AA191</f>
        <v>0.75</v>
      </c>
      <c r="O191" s="1">
        <f>'Paste cell here'!H191</f>
        <v>0.53950201416821342</v>
      </c>
      <c r="P191" s="1">
        <f t="shared" si="13"/>
        <v>96.75</v>
      </c>
      <c r="Q191" s="1">
        <f t="shared" si="14"/>
        <v>52.196819870774647</v>
      </c>
      <c r="R191" s="1">
        <f t="shared" si="15"/>
        <v>140.55318012922535</v>
      </c>
      <c r="S191" s="5">
        <f t="shared" si="16"/>
        <v>0.23818767314298442</v>
      </c>
      <c r="T191" s="5">
        <f t="shared" si="17"/>
        <v>0.18740424017230048</v>
      </c>
    </row>
    <row r="192" spans="1:20">
      <c r="A192" s="1">
        <v>191</v>
      </c>
      <c r="B192" s="2">
        <f>DATE(Sintesi!$C$4-1,12,31)+A192</f>
        <v>44387</v>
      </c>
      <c r="C192" s="1">
        <f>'Paste cell here'!T192</f>
        <v>1.1785856352056876</v>
      </c>
      <c r="D192" s="1">
        <f>'Paste cell here'!AC192</f>
        <v>0</v>
      </c>
      <c r="E192" s="1">
        <f>'Paste cell here'!Y192</f>
        <v>6.0194367428423226</v>
      </c>
      <c r="F192" s="1">
        <f>'Paste cell here'!AD192</f>
        <v>8.590397621351481E-2</v>
      </c>
      <c r="G192" s="1">
        <f>'Paste cell here'!W192</f>
        <v>0</v>
      </c>
      <c r="H192" s="1">
        <f>'Paste cell here'!AE192</f>
        <v>173.71399977338822</v>
      </c>
      <c r="I192" s="1">
        <f>'Paste cell here'!AF192</f>
        <v>178.64075485723833</v>
      </c>
      <c r="J192" s="1">
        <f t="shared" si="12"/>
        <v>2.8421709430404007E-14</v>
      </c>
      <c r="K192" s="1" t="str">
        <f>IF('(OLD) Bilancio primo strato'!D192&gt;0,1,"")</f>
        <v/>
      </c>
      <c r="L192" s="7">
        <f>Sintesi!$C$34</f>
        <v>0.128</v>
      </c>
      <c r="M192" s="7">
        <f>Sintesi!$C$33</f>
        <v>0.25700000000000001</v>
      </c>
      <c r="N192" s="1">
        <f>'Paste cell here'!AA192</f>
        <v>0.75</v>
      </c>
      <c r="O192" s="1">
        <f>'Paste cell here'!H192</f>
        <v>0.42731889993282268</v>
      </c>
      <c r="P192" s="1">
        <f t="shared" si="13"/>
        <v>96.75</v>
      </c>
      <c r="Q192" s="1">
        <f t="shared" si="14"/>
        <v>41.343103568500595</v>
      </c>
      <c r="R192" s="1">
        <f t="shared" si="15"/>
        <v>151.4068964314994</v>
      </c>
      <c r="S192" s="5">
        <f t="shared" si="16"/>
        <v>0.23161866636451764</v>
      </c>
      <c r="T192" s="5">
        <f t="shared" si="17"/>
        <v>0.20187586190866588</v>
      </c>
    </row>
    <row r="193" spans="1:20">
      <c r="A193" s="1">
        <v>192</v>
      </c>
      <c r="B193" s="2">
        <f>DATE(Sintesi!$C$4-1,12,31)+A193</f>
        <v>44388</v>
      </c>
      <c r="C193" s="1">
        <f>'Paste cell here'!T193</f>
        <v>0.59494368679939624</v>
      </c>
      <c r="D193" s="1">
        <f>'Paste cell here'!AC193</f>
        <v>0</v>
      </c>
      <c r="E193" s="1">
        <f>'Paste cell here'!Y193</f>
        <v>6.07030268142032</v>
      </c>
      <c r="F193" s="1">
        <f>'Paste cell here'!AD193</f>
        <v>4.9710007004716152E-2</v>
      </c>
      <c r="G193" s="1">
        <f>'Paste cell here'!W193</f>
        <v>0</v>
      </c>
      <c r="H193" s="1">
        <f>'Paste cell here'!AE193</f>
        <v>168.18893077176261</v>
      </c>
      <c r="I193" s="1">
        <f>'Paste cell here'!AF193</f>
        <v>173.71399977338822</v>
      </c>
      <c r="J193" s="1">
        <f t="shared" si="12"/>
        <v>2.8421709430404007E-14</v>
      </c>
      <c r="K193" s="1" t="str">
        <f>IF('(OLD) Bilancio primo strato'!D193&gt;0,1,"")</f>
        <v/>
      </c>
      <c r="L193" s="7">
        <f>Sintesi!$C$34</f>
        <v>0.128</v>
      </c>
      <c r="M193" s="7">
        <f>Sintesi!$C$33</f>
        <v>0.25700000000000001</v>
      </c>
      <c r="N193" s="1">
        <f>'Paste cell here'!AA193</f>
        <v>0.75</v>
      </c>
      <c r="O193" s="1">
        <f>'Paste cell here'!H193</f>
        <v>0.44384799432065253</v>
      </c>
      <c r="P193" s="1">
        <f t="shared" si="13"/>
        <v>96.75</v>
      </c>
      <c r="Q193" s="1">
        <f t="shared" si="14"/>
        <v>42.942293450523131</v>
      </c>
      <c r="R193" s="1">
        <f t="shared" si="15"/>
        <v>149.80770654947688</v>
      </c>
      <c r="S193" s="5">
        <f t="shared" si="16"/>
        <v>0.22425190769568348</v>
      </c>
      <c r="T193" s="5">
        <f t="shared" si="17"/>
        <v>0.19974360873263583</v>
      </c>
    </row>
    <row r="194" spans="1:20">
      <c r="A194" s="1">
        <v>193</v>
      </c>
      <c r="B194" s="2">
        <f>DATE(Sintesi!$C$4-1,12,31)+A194</f>
        <v>44389</v>
      </c>
      <c r="C194" s="1">
        <f>'Paste cell here'!T194</f>
        <v>0.37167555784666195</v>
      </c>
      <c r="D194" s="1">
        <f>'Paste cell here'!AC194</f>
        <v>0</v>
      </c>
      <c r="E194" s="1">
        <f>'Paste cell here'!Y194</f>
        <v>5.4333899287992402</v>
      </c>
      <c r="F194" s="1">
        <f>'Paste cell here'!AD194</f>
        <v>2.8434501877636492E-2</v>
      </c>
      <c r="G194" s="1">
        <f>'Paste cell here'!W194</f>
        <v>0</v>
      </c>
      <c r="H194" s="1">
        <f>'Paste cell here'!AE194</f>
        <v>163.09878189893237</v>
      </c>
      <c r="I194" s="1">
        <f>'Paste cell here'!AF194</f>
        <v>168.18893077176261</v>
      </c>
      <c r="J194" s="1">
        <f t="shared" ref="J194:J257" si="18">ABS(I194+C194+D194-E194-F194-G194-H194)</f>
        <v>2.8421709430404007E-14</v>
      </c>
      <c r="K194" s="1" t="str">
        <f>IF('(OLD) Bilancio primo strato'!D194&gt;0,1,"")</f>
        <v/>
      </c>
      <c r="L194" s="7">
        <f>Sintesi!$C$34</f>
        <v>0.128</v>
      </c>
      <c r="M194" s="7">
        <f>Sintesi!$C$33</f>
        <v>0.25700000000000001</v>
      </c>
      <c r="N194" s="1">
        <f>'Paste cell here'!AA194</f>
        <v>0.75</v>
      </c>
      <c r="O194" s="1">
        <f>'Paste cell here'!H194</f>
        <v>0.43938560363073609</v>
      </c>
      <c r="P194" s="1">
        <f t="shared" ref="P194:P257" si="19">(M194-L194)*N194*1000</f>
        <v>96.75</v>
      </c>
      <c r="Q194" s="1">
        <f t="shared" ref="Q194:Q257" si="20">P194*O194</f>
        <v>42.510557151273716</v>
      </c>
      <c r="R194" s="1">
        <f t="shared" ref="R194:R257" si="21">M194*N194*1000-Q194</f>
        <v>150.2394428487263</v>
      </c>
      <c r="S194" s="5">
        <f t="shared" ref="S194:S257" si="22">H194/($N194*1000)</f>
        <v>0.21746504253190982</v>
      </c>
      <c r="T194" s="5">
        <f t="shared" ref="T194:T257" si="23">R194/($N194*1000)</f>
        <v>0.20031925713163506</v>
      </c>
    </row>
    <row r="195" spans="1:20">
      <c r="A195" s="1">
        <v>194</v>
      </c>
      <c r="B195" s="2">
        <f>DATE(Sintesi!$C$4-1,12,31)+A195</f>
        <v>44390</v>
      </c>
      <c r="C195" s="1">
        <f>'Paste cell here'!T195</f>
        <v>0.2601882013589607</v>
      </c>
      <c r="D195" s="1">
        <f>'Paste cell here'!AC195</f>
        <v>0</v>
      </c>
      <c r="E195" s="1">
        <f>'Paste cell here'!Y195</f>
        <v>4.9948829741950567</v>
      </c>
      <c r="F195" s="1">
        <f>'Paste cell here'!AD195</f>
        <v>1.681314509745194E-2</v>
      </c>
      <c r="G195" s="1">
        <f>'Paste cell here'!W195</f>
        <v>0</v>
      </c>
      <c r="H195" s="1">
        <f>'Paste cell here'!AE195</f>
        <v>158.34727398099884</v>
      </c>
      <c r="I195" s="1">
        <f>'Paste cell here'!AF195</f>
        <v>163.09878189893237</v>
      </c>
      <c r="J195" s="1">
        <f t="shared" si="18"/>
        <v>0</v>
      </c>
      <c r="K195" s="1" t="str">
        <f>IF('(OLD) Bilancio primo strato'!D195&gt;0,1,"")</f>
        <v/>
      </c>
      <c r="L195" s="7">
        <f>Sintesi!$C$34</f>
        <v>0.128</v>
      </c>
      <c r="M195" s="7">
        <f>Sintesi!$C$33</f>
        <v>0.25700000000000001</v>
      </c>
      <c r="N195" s="1">
        <f>'Paste cell here'!AA195</f>
        <v>0.75</v>
      </c>
      <c r="O195" s="1">
        <f>'Paste cell here'!H195</f>
        <v>0.47473161215611459</v>
      </c>
      <c r="P195" s="1">
        <f t="shared" si="19"/>
        <v>96.75</v>
      </c>
      <c r="Q195" s="1">
        <f t="shared" si="20"/>
        <v>45.930283476104087</v>
      </c>
      <c r="R195" s="1">
        <f t="shared" si="21"/>
        <v>146.81971652389592</v>
      </c>
      <c r="S195" s="5">
        <f t="shared" si="22"/>
        <v>0.21112969864133177</v>
      </c>
      <c r="T195" s="5">
        <f t="shared" si="23"/>
        <v>0.19575962203186123</v>
      </c>
    </row>
    <row r="196" spans="1:20">
      <c r="A196" s="1">
        <v>195</v>
      </c>
      <c r="B196" s="2">
        <f>DATE(Sintesi!$C$4-1,12,31)+A196</f>
        <v>44391</v>
      </c>
      <c r="C196" s="1">
        <f>'Paste cell here'!T196</f>
        <v>0.53539332682292529</v>
      </c>
      <c r="D196" s="1">
        <f>'Paste cell here'!AC196</f>
        <v>0</v>
      </c>
      <c r="E196" s="1">
        <f>'Paste cell here'!Y196</f>
        <v>3.8298168968296964</v>
      </c>
      <c r="F196" s="1">
        <f>'Paste cell here'!AD196</f>
        <v>1.0627829897914534E-2</v>
      </c>
      <c r="G196" s="1">
        <f>'Paste cell here'!W196</f>
        <v>0</v>
      </c>
      <c r="H196" s="1">
        <f>'Paste cell here'!AE196</f>
        <v>155.04222258109417</v>
      </c>
      <c r="I196" s="1">
        <f>'Paste cell here'!AF196</f>
        <v>158.34727398099881</v>
      </c>
      <c r="J196" s="1">
        <f t="shared" si="18"/>
        <v>5.6843418860808015E-14</v>
      </c>
      <c r="K196" s="1" t="str">
        <f>IF('(OLD) Bilancio primo strato'!D196&gt;0,1,"")</f>
        <v/>
      </c>
      <c r="L196" s="7">
        <f>Sintesi!$C$34</f>
        <v>0.128</v>
      </c>
      <c r="M196" s="7">
        <f>Sintesi!$C$33</f>
        <v>0.25700000000000001</v>
      </c>
      <c r="N196" s="1">
        <f>'Paste cell here'!AA196</f>
        <v>0.75</v>
      </c>
      <c r="O196" s="1">
        <f>'Paste cell here'!H196</f>
        <v>0.48699371869358615</v>
      </c>
      <c r="P196" s="1">
        <f t="shared" si="19"/>
        <v>96.75</v>
      </c>
      <c r="Q196" s="1">
        <f t="shared" si="20"/>
        <v>47.116642283604463</v>
      </c>
      <c r="R196" s="1">
        <f t="shared" si="21"/>
        <v>145.63335771639555</v>
      </c>
      <c r="S196" s="5">
        <f t="shared" si="22"/>
        <v>0.20672296344145888</v>
      </c>
      <c r="T196" s="5">
        <f t="shared" si="23"/>
        <v>0.1941778102885274</v>
      </c>
    </row>
    <row r="197" spans="1:20">
      <c r="A197" s="1">
        <v>196</v>
      </c>
      <c r="B197" s="2">
        <f>DATE(Sintesi!$C$4-1,12,31)+A197</f>
        <v>44392</v>
      </c>
      <c r="C197" s="1">
        <f>'Paste cell here'!T197</f>
        <v>0.79318150884169891</v>
      </c>
      <c r="D197" s="1">
        <f>'Paste cell here'!AC197</f>
        <v>0</v>
      </c>
      <c r="E197" s="1">
        <f>'Paste cell here'!Y197</f>
        <v>3.7751110305253177</v>
      </c>
      <c r="F197" s="1">
        <f>'Paste cell here'!AD197</f>
        <v>7.4926330605434811E-3</v>
      </c>
      <c r="G197" s="1">
        <f>'Paste cell here'!W197</f>
        <v>0</v>
      </c>
      <c r="H197" s="1">
        <f>'Paste cell here'!AE197</f>
        <v>152.05280042634999</v>
      </c>
      <c r="I197" s="1">
        <f>'Paste cell here'!AF197</f>
        <v>155.04222258109417</v>
      </c>
      <c r="J197" s="1">
        <f t="shared" si="18"/>
        <v>2.8421709430404007E-14</v>
      </c>
      <c r="K197" s="1" t="str">
        <f>IF('(OLD) Bilancio primo strato'!D197&gt;0,1,"")</f>
        <v/>
      </c>
      <c r="L197" s="7">
        <f>Sintesi!$C$34</f>
        <v>0.128</v>
      </c>
      <c r="M197" s="7">
        <f>Sintesi!$C$33</f>
        <v>0.25700000000000001</v>
      </c>
      <c r="N197" s="1">
        <f>'Paste cell here'!AA197</f>
        <v>0.75</v>
      </c>
      <c r="O197" s="1">
        <f>'Paste cell here'!H197</f>
        <v>0.54208345473598474</v>
      </c>
      <c r="P197" s="1">
        <f t="shared" si="19"/>
        <v>96.75</v>
      </c>
      <c r="Q197" s="1">
        <f t="shared" si="20"/>
        <v>52.446574245706522</v>
      </c>
      <c r="R197" s="1">
        <f t="shared" si="21"/>
        <v>140.30342575429347</v>
      </c>
      <c r="S197" s="5">
        <f t="shared" si="22"/>
        <v>0.20273706723513332</v>
      </c>
      <c r="T197" s="5">
        <f t="shared" si="23"/>
        <v>0.18707123433905795</v>
      </c>
    </row>
    <row r="198" spans="1:20">
      <c r="A198" s="1">
        <v>197</v>
      </c>
      <c r="B198" s="2">
        <f>DATE(Sintesi!$C$4-1,12,31)+A198</f>
        <v>44393</v>
      </c>
      <c r="C198" s="1">
        <f>'Paste cell here'!T198</f>
        <v>0.5790612116994347</v>
      </c>
      <c r="D198" s="1">
        <f>'Paste cell here'!AC198</f>
        <v>2.5304029310896939E-2</v>
      </c>
      <c r="E198" s="1">
        <f>'Paste cell here'!Y198</f>
        <v>5.225734472199278</v>
      </c>
      <c r="F198" s="1">
        <f>'Paste cell here'!AD198</f>
        <v>3.3492341698256613E-3</v>
      </c>
      <c r="G198" s="1">
        <f>'Paste cell here'!W198</f>
        <v>0</v>
      </c>
      <c r="H198" s="1">
        <f>'Paste cell here'!AE198</f>
        <v>147.42808196099119</v>
      </c>
      <c r="I198" s="1">
        <f>'Paste cell here'!AF198</f>
        <v>152.05280042634999</v>
      </c>
      <c r="J198" s="1">
        <f t="shared" si="18"/>
        <v>2.8421709430404007E-14</v>
      </c>
      <c r="K198" s="1" t="str">
        <f>IF('(OLD) Bilancio primo strato'!D198&gt;0,1,"")</f>
        <v/>
      </c>
      <c r="L198" s="7">
        <f>Sintesi!$C$34</f>
        <v>0.128</v>
      </c>
      <c r="M198" s="7">
        <f>Sintesi!$C$33</f>
        <v>0.25700000000000001</v>
      </c>
      <c r="N198" s="1">
        <f>'Paste cell here'!AA198</f>
        <v>0.75</v>
      </c>
      <c r="O198" s="1">
        <f>'Paste cell here'!H198</f>
        <v>0.54506753822556031</v>
      </c>
      <c r="P198" s="1">
        <f t="shared" si="19"/>
        <v>96.75</v>
      </c>
      <c r="Q198" s="1">
        <f t="shared" si="20"/>
        <v>52.735284323322958</v>
      </c>
      <c r="R198" s="1">
        <f t="shared" si="21"/>
        <v>140.01471567667704</v>
      </c>
      <c r="S198" s="5">
        <f t="shared" si="22"/>
        <v>0.19657077594798825</v>
      </c>
      <c r="T198" s="5">
        <f t="shared" si="23"/>
        <v>0.18668628756890274</v>
      </c>
    </row>
    <row r="199" spans="1:20">
      <c r="A199" s="1">
        <v>198</v>
      </c>
      <c r="B199" s="2">
        <f>DATE(Sintesi!$C$4-1,12,31)+A199</f>
        <v>44394</v>
      </c>
      <c r="C199" s="1">
        <f>'Paste cell here'!T199</f>
        <v>52.923771720783897</v>
      </c>
      <c r="D199" s="1">
        <f>'Paste cell here'!AC199</f>
        <v>2.1312106568479983E-2</v>
      </c>
      <c r="E199" s="1">
        <f>'Paste cell here'!Y199</f>
        <v>5.427653194280885</v>
      </c>
      <c r="F199" s="1">
        <f>'Paste cell here'!AD199</f>
        <v>0.60964651479070298</v>
      </c>
      <c r="G199" s="1">
        <f>'Paste cell here'!W199</f>
        <v>0</v>
      </c>
      <c r="H199" s="1">
        <f>'Paste cell here'!AE199</f>
        <v>194.33586607927202</v>
      </c>
      <c r="I199" s="1">
        <f>'Paste cell here'!AF199</f>
        <v>147.42808196099119</v>
      </c>
      <c r="J199" s="1">
        <f t="shared" si="18"/>
        <v>5.6843418860808015E-14</v>
      </c>
      <c r="K199" s="1">
        <f>IF('(OLD) Bilancio primo strato'!D199&gt;0,1,"")</f>
        <v>1</v>
      </c>
      <c r="L199" s="7">
        <f>Sintesi!$C$34</f>
        <v>0.128</v>
      </c>
      <c r="M199" s="7">
        <f>Sintesi!$C$33</f>
        <v>0.25700000000000001</v>
      </c>
      <c r="N199" s="1">
        <f>'Paste cell here'!AA199</f>
        <v>0.75</v>
      </c>
      <c r="O199" s="1">
        <f>'Paste cell here'!H199</f>
        <v>0.48222717937097703</v>
      </c>
      <c r="P199" s="1">
        <f t="shared" si="19"/>
        <v>96.75</v>
      </c>
      <c r="Q199" s="1">
        <f t="shared" si="20"/>
        <v>46.65547960414203</v>
      </c>
      <c r="R199" s="1">
        <f t="shared" si="21"/>
        <v>146.09452039585796</v>
      </c>
      <c r="S199" s="5">
        <f t="shared" si="22"/>
        <v>0.25911448810569604</v>
      </c>
      <c r="T199" s="5">
        <f t="shared" si="23"/>
        <v>0.19479269386114395</v>
      </c>
    </row>
    <row r="200" spans="1:20">
      <c r="A200" s="1">
        <v>199</v>
      </c>
      <c r="B200" s="2">
        <f>DATE(Sintesi!$C$4-1,12,31)+A200</f>
        <v>44395</v>
      </c>
      <c r="C200" s="1">
        <f>'Paste cell here'!T200</f>
        <v>2.4706474622460921</v>
      </c>
      <c r="D200" s="1">
        <f>'Paste cell here'!AC200</f>
        <v>0</v>
      </c>
      <c r="E200" s="1">
        <f>'Paste cell here'!Y200</f>
        <v>4.9967754930416328</v>
      </c>
      <c r="F200" s="1">
        <f>'Paste cell here'!AD200</f>
        <v>1.1856271603070347</v>
      </c>
      <c r="G200" s="1">
        <f>'Paste cell here'!W200</f>
        <v>0</v>
      </c>
      <c r="H200" s="1">
        <f>'Paste cell here'!AE200</f>
        <v>190.62411088816938</v>
      </c>
      <c r="I200" s="1">
        <f>'Paste cell here'!AF200</f>
        <v>194.33586607927202</v>
      </c>
      <c r="J200" s="1">
        <f t="shared" si="18"/>
        <v>5.6843418860808015E-14</v>
      </c>
      <c r="K200" s="1" t="str">
        <f>IF('(OLD) Bilancio primo strato'!D200&gt;0,1,"")</f>
        <v/>
      </c>
      <c r="L200" s="7">
        <f>Sintesi!$C$34</f>
        <v>0.128</v>
      </c>
      <c r="M200" s="7">
        <f>Sintesi!$C$33</f>
        <v>0.25700000000000001</v>
      </c>
      <c r="N200" s="1">
        <f>'Paste cell here'!AA200</f>
        <v>0.75</v>
      </c>
      <c r="O200" s="1">
        <f>'Paste cell here'!H200</f>
        <v>0.47346034758136962</v>
      </c>
      <c r="P200" s="1">
        <f t="shared" si="19"/>
        <v>96.75</v>
      </c>
      <c r="Q200" s="1">
        <f t="shared" si="20"/>
        <v>45.80728862849751</v>
      </c>
      <c r="R200" s="1">
        <f t="shared" si="21"/>
        <v>146.9427113715025</v>
      </c>
      <c r="S200" s="5">
        <f t="shared" si="22"/>
        <v>0.25416548118422583</v>
      </c>
      <c r="T200" s="5">
        <f t="shared" si="23"/>
        <v>0.19592361516200332</v>
      </c>
    </row>
    <row r="201" spans="1:20">
      <c r="A201" s="1">
        <v>200</v>
      </c>
      <c r="B201" s="2">
        <f>DATE(Sintesi!$C$4-1,12,31)+A201</f>
        <v>44396</v>
      </c>
      <c r="C201" s="1">
        <f>'Paste cell here'!T201</f>
        <v>0.78687192634819736</v>
      </c>
      <c r="D201" s="1">
        <f>'Paste cell here'!AC201</f>
        <v>0</v>
      </c>
      <c r="E201" s="1">
        <f>'Paste cell here'!Y201</f>
        <v>6.3942422952764764</v>
      </c>
      <c r="F201" s="1">
        <f>'Paste cell here'!AD201</f>
        <v>0.64051015866633398</v>
      </c>
      <c r="G201" s="1">
        <f>'Paste cell here'!W201</f>
        <v>0</v>
      </c>
      <c r="H201" s="1">
        <f>'Paste cell here'!AE201</f>
        <v>184.37623036057479</v>
      </c>
      <c r="I201" s="1">
        <f>'Paste cell here'!AF201</f>
        <v>190.62411088816938</v>
      </c>
      <c r="J201" s="1">
        <f t="shared" si="18"/>
        <v>2.8421709430404007E-14</v>
      </c>
      <c r="K201" s="1" t="str">
        <f>IF('(OLD) Bilancio primo strato'!D201&gt;0,1,"")</f>
        <v/>
      </c>
      <c r="L201" s="7">
        <f>Sintesi!$C$34</f>
        <v>0.128</v>
      </c>
      <c r="M201" s="7">
        <f>Sintesi!$C$33</f>
        <v>0.25700000000000001</v>
      </c>
      <c r="N201" s="1">
        <f>'Paste cell here'!AA201</f>
        <v>0.75</v>
      </c>
      <c r="O201" s="1">
        <f>'Paste cell here'!H201</f>
        <v>0.49233377119277133</v>
      </c>
      <c r="P201" s="1">
        <f t="shared" si="19"/>
        <v>96.75</v>
      </c>
      <c r="Q201" s="1">
        <f t="shared" si="20"/>
        <v>47.633292362900626</v>
      </c>
      <c r="R201" s="1">
        <f t="shared" si="21"/>
        <v>145.11670763709938</v>
      </c>
      <c r="S201" s="5">
        <f t="shared" si="22"/>
        <v>0.24583497381409972</v>
      </c>
      <c r="T201" s="5">
        <f t="shared" si="23"/>
        <v>0.19348894351613249</v>
      </c>
    </row>
    <row r="202" spans="1:20">
      <c r="A202" s="1">
        <v>201</v>
      </c>
      <c r="B202" s="2">
        <f>DATE(Sintesi!$C$4-1,12,31)+A202</f>
        <v>44397</v>
      </c>
      <c r="C202" s="1">
        <f>'Paste cell here'!T202</f>
        <v>0.36855198261054317</v>
      </c>
      <c r="D202" s="1">
        <f>'Paste cell here'!AC202</f>
        <v>0</v>
      </c>
      <c r="E202" s="1">
        <f>'Paste cell here'!Y202</f>
        <v>6.4386790209379265</v>
      </c>
      <c r="F202" s="1">
        <f>'Paste cell here'!AD202</f>
        <v>0.31375641215115574</v>
      </c>
      <c r="G202" s="1">
        <f>'Paste cell here'!W202</f>
        <v>0</v>
      </c>
      <c r="H202" s="1">
        <f>'Paste cell here'!AE202</f>
        <v>177.9923469100963</v>
      </c>
      <c r="I202" s="1">
        <f>'Paste cell here'!AF202</f>
        <v>184.37623036057479</v>
      </c>
      <c r="J202" s="1">
        <f t="shared" si="18"/>
        <v>5.6843418860808015E-14</v>
      </c>
      <c r="K202" s="1" t="str">
        <f>IF('(OLD) Bilancio primo strato'!D202&gt;0,1,"")</f>
        <v/>
      </c>
      <c r="L202" s="7">
        <f>Sintesi!$C$34</f>
        <v>0.128</v>
      </c>
      <c r="M202" s="7">
        <f>Sintesi!$C$33</f>
        <v>0.25700000000000001</v>
      </c>
      <c r="N202" s="1">
        <f>'Paste cell here'!AA202</f>
        <v>0.75</v>
      </c>
      <c r="O202" s="1">
        <f>'Paste cell here'!H202</f>
        <v>0.42557229431762389</v>
      </c>
      <c r="P202" s="1">
        <f t="shared" si="19"/>
        <v>96.75</v>
      </c>
      <c r="Q202" s="1">
        <f t="shared" si="20"/>
        <v>41.174119475230114</v>
      </c>
      <c r="R202" s="1">
        <f t="shared" si="21"/>
        <v>151.5758805247699</v>
      </c>
      <c r="S202" s="5">
        <f t="shared" si="22"/>
        <v>0.23732312921346174</v>
      </c>
      <c r="T202" s="5">
        <f t="shared" si="23"/>
        <v>0.20210117403302652</v>
      </c>
    </row>
    <row r="203" spans="1:20">
      <c r="A203" s="1">
        <v>202</v>
      </c>
      <c r="B203" s="2">
        <f>DATE(Sintesi!$C$4-1,12,31)+A203</f>
        <v>44398</v>
      </c>
      <c r="C203" s="1">
        <f>'Paste cell here'!T203</f>
        <v>0.21019067148739293</v>
      </c>
      <c r="D203" s="1">
        <f>'Paste cell here'!AC203</f>
        <v>0</v>
      </c>
      <c r="E203" s="1">
        <f>'Paste cell here'!Y203</f>
        <v>5.9028610392345193</v>
      </c>
      <c r="F203" s="1">
        <f>'Paste cell here'!AD203</f>
        <v>0.15478777363176066</v>
      </c>
      <c r="G203" s="1">
        <f>'Paste cell here'!W203</f>
        <v>0</v>
      </c>
      <c r="H203" s="1">
        <f>'Paste cell here'!AE203</f>
        <v>172.14488876871738</v>
      </c>
      <c r="I203" s="1">
        <f>'Paste cell here'!AF203</f>
        <v>177.9923469100963</v>
      </c>
      <c r="J203" s="1">
        <f t="shared" si="18"/>
        <v>2.8421709430404007E-14</v>
      </c>
      <c r="K203" s="1" t="str">
        <f>IF('(OLD) Bilancio primo strato'!D203&gt;0,1,"")</f>
        <v/>
      </c>
      <c r="L203" s="7">
        <f>Sintesi!$C$34</f>
        <v>0.128</v>
      </c>
      <c r="M203" s="7">
        <f>Sintesi!$C$33</f>
        <v>0.25700000000000001</v>
      </c>
      <c r="N203" s="1">
        <f>'Paste cell here'!AA203</f>
        <v>0.75</v>
      </c>
      <c r="O203" s="1">
        <f>'Paste cell here'!H203</f>
        <v>0.4269714872217224</v>
      </c>
      <c r="P203" s="1">
        <f t="shared" si="19"/>
        <v>96.75</v>
      </c>
      <c r="Q203" s="1">
        <f t="shared" si="20"/>
        <v>41.309491388701645</v>
      </c>
      <c r="R203" s="1">
        <f t="shared" si="21"/>
        <v>151.44050861129836</v>
      </c>
      <c r="S203" s="5">
        <f t="shared" si="22"/>
        <v>0.22952651835828983</v>
      </c>
      <c r="T203" s="5">
        <f t="shared" si="23"/>
        <v>0.20192067814839781</v>
      </c>
    </row>
    <row r="204" spans="1:20">
      <c r="A204" s="1">
        <v>203</v>
      </c>
      <c r="B204" s="2">
        <f>DATE(Sintesi!$C$4-1,12,31)+A204</f>
        <v>44399</v>
      </c>
      <c r="C204" s="1">
        <f>'Paste cell here'!T204</f>
        <v>0.13302862759486053</v>
      </c>
      <c r="D204" s="1">
        <f>'Paste cell here'!AC204</f>
        <v>0</v>
      </c>
      <c r="E204" s="1">
        <f>'Paste cell here'!Y204</f>
        <v>6.0424588070350627</v>
      </c>
      <c r="F204" s="1">
        <f>'Paste cell here'!AD204</f>
        <v>7.7290206099957806E-2</v>
      </c>
      <c r="G204" s="1">
        <f>'Paste cell here'!W204</f>
        <v>0</v>
      </c>
      <c r="H204" s="1">
        <f>'Paste cell here'!AE204</f>
        <v>166.15816838317721</v>
      </c>
      <c r="I204" s="1">
        <f>'Paste cell here'!AF204</f>
        <v>172.14488876871735</v>
      </c>
      <c r="J204" s="1">
        <f t="shared" si="18"/>
        <v>2.8421709430404007E-14</v>
      </c>
      <c r="K204" s="1" t="str">
        <f>IF('(OLD) Bilancio primo strato'!D204&gt;0,1,"")</f>
        <v/>
      </c>
      <c r="L204" s="7">
        <f>Sintesi!$C$34</f>
        <v>0.128</v>
      </c>
      <c r="M204" s="7">
        <f>Sintesi!$C$33</f>
        <v>0.25700000000000001</v>
      </c>
      <c r="N204" s="1">
        <f>'Paste cell here'!AA204</f>
        <v>0.75</v>
      </c>
      <c r="O204" s="1">
        <f>'Paste cell here'!H204</f>
        <v>0.45314868418171406</v>
      </c>
      <c r="P204" s="1">
        <f t="shared" si="19"/>
        <v>96.75</v>
      </c>
      <c r="Q204" s="1">
        <f t="shared" si="20"/>
        <v>43.842135194580834</v>
      </c>
      <c r="R204" s="1">
        <f t="shared" si="21"/>
        <v>148.90786480541917</v>
      </c>
      <c r="S204" s="5">
        <f t="shared" si="22"/>
        <v>0.22154422451090294</v>
      </c>
      <c r="T204" s="5">
        <f t="shared" si="23"/>
        <v>0.19854381974055887</v>
      </c>
    </row>
    <row r="205" spans="1:20">
      <c r="A205" s="1">
        <v>204</v>
      </c>
      <c r="B205" s="2">
        <f>DATE(Sintesi!$C$4-1,12,31)+A205</f>
        <v>44400</v>
      </c>
      <c r="C205" s="1">
        <f>'Paste cell here'!T205</f>
        <v>8.994948288744499E-2</v>
      </c>
      <c r="D205" s="1">
        <f>'Paste cell here'!AC205</f>
        <v>0</v>
      </c>
      <c r="E205" s="1">
        <f>'Paste cell here'!Y205</f>
        <v>5.6793830354818313</v>
      </c>
      <c r="F205" s="1">
        <f>'Paste cell here'!AD205</f>
        <v>3.8557401197417573E-2</v>
      </c>
      <c r="G205" s="1">
        <f>'Paste cell here'!W205</f>
        <v>0</v>
      </c>
      <c r="H205" s="1">
        <f>'Paste cell here'!AE205</f>
        <v>160.53017742938533</v>
      </c>
      <c r="I205" s="1">
        <f>'Paste cell here'!AF205</f>
        <v>166.15816838317721</v>
      </c>
      <c r="J205" s="1">
        <f t="shared" si="18"/>
        <v>8.5265128291212022E-14</v>
      </c>
      <c r="K205" s="1" t="str">
        <f>IF('(OLD) Bilancio primo strato'!D205&gt;0,1,"")</f>
        <v/>
      </c>
      <c r="L205" s="7">
        <f>Sintesi!$C$34</f>
        <v>0.128</v>
      </c>
      <c r="M205" s="7">
        <f>Sintesi!$C$33</f>
        <v>0.25700000000000001</v>
      </c>
      <c r="N205" s="1">
        <f>'Paste cell here'!AA205</f>
        <v>0.75</v>
      </c>
      <c r="O205" s="1">
        <f>'Paste cell here'!H205</f>
        <v>0.44692785905603294</v>
      </c>
      <c r="P205" s="1">
        <f t="shared" si="19"/>
        <v>96.75</v>
      </c>
      <c r="Q205" s="1">
        <f t="shared" si="20"/>
        <v>43.240270363671186</v>
      </c>
      <c r="R205" s="1">
        <f t="shared" si="21"/>
        <v>149.50972963632881</v>
      </c>
      <c r="S205" s="5">
        <f t="shared" si="22"/>
        <v>0.21404023657251378</v>
      </c>
      <c r="T205" s="5">
        <f t="shared" si="23"/>
        <v>0.19934630618177177</v>
      </c>
    </row>
    <row r="206" spans="1:20">
      <c r="A206" s="1">
        <v>205</v>
      </c>
      <c r="B206" s="2">
        <f>DATE(Sintesi!$C$4-1,12,31)+A206</f>
        <v>44401</v>
      </c>
      <c r="C206" s="1">
        <f>'Paste cell here'!T206</f>
        <v>6.7596461201564914E-2</v>
      </c>
      <c r="D206" s="1">
        <f>'Paste cell here'!AC206</f>
        <v>0</v>
      </c>
      <c r="E206" s="1">
        <f>'Paste cell here'!Y206</f>
        <v>5.2293059686782897</v>
      </c>
      <c r="F206" s="1">
        <f>'Paste cell here'!AD206</f>
        <v>1.9831366764427129E-2</v>
      </c>
      <c r="G206" s="1">
        <f>'Paste cell here'!W206</f>
        <v>0</v>
      </c>
      <c r="H206" s="1">
        <f>'Paste cell here'!AE206</f>
        <v>155.34863655514417</v>
      </c>
      <c r="I206" s="1">
        <f>'Paste cell here'!AF206</f>
        <v>160.53017742938533</v>
      </c>
      <c r="J206" s="1">
        <f t="shared" si="18"/>
        <v>0</v>
      </c>
      <c r="K206" s="1" t="str">
        <f>IF('(OLD) Bilancio primo strato'!D206&gt;0,1,"")</f>
        <v/>
      </c>
      <c r="L206" s="7">
        <f>Sintesi!$C$34</f>
        <v>0.128</v>
      </c>
      <c r="M206" s="7">
        <f>Sintesi!$C$33</f>
        <v>0.25700000000000001</v>
      </c>
      <c r="N206" s="1">
        <f>'Paste cell here'!AA206</f>
        <v>0.75</v>
      </c>
      <c r="O206" s="1">
        <f>'Paste cell here'!H206</f>
        <v>0.46466757512647194</v>
      </c>
      <c r="P206" s="1">
        <f t="shared" si="19"/>
        <v>96.75</v>
      </c>
      <c r="Q206" s="1">
        <f t="shared" si="20"/>
        <v>44.956587893486159</v>
      </c>
      <c r="R206" s="1">
        <f t="shared" si="21"/>
        <v>147.79341210651384</v>
      </c>
      <c r="S206" s="5">
        <f t="shared" si="22"/>
        <v>0.2071315154068589</v>
      </c>
      <c r="T206" s="5">
        <f t="shared" si="23"/>
        <v>0.19705788280868511</v>
      </c>
    </row>
    <row r="207" spans="1:20">
      <c r="A207" s="1">
        <v>206</v>
      </c>
      <c r="B207" s="2">
        <f>DATE(Sintesi!$C$4-1,12,31)+A207</f>
        <v>44402</v>
      </c>
      <c r="C207" s="1">
        <f>'Paste cell here'!T207</f>
        <v>47.904639805735975</v>
      </c>
      <c r="D207" s="1">
        <f>'Paste cell here'!AC207</f>
        <v>0</v>
      </c>
      <c r="E207" s="1">
        <f>'Paste cell here'!Y207</f>
        <v>4.6482945787226901</v>
      </c>
      <c r="F207" s="1">
        <f>'Paste cell here'!AD207</f>
        <v>0.85355164020196927</v>
      </c>
      <c r="G207" s="1">
        <f>'Paste cell here'!W207</f>
        <v>0</v>
      </c>
      <c r="H207" s="1">
        <f>'Paste cell here'!AE207</f>
        <v>197.7514301419555</v>
      </c>
      <c r="I207" s="1">
        <f>'Paste cell here'!AF207</f>
        <v>155.34863655514417</v>
      </c>
      <c r="J207" s="1">
        <f t="shared" si="18"/>
        <v>2.8421709430404007E-14</v>
      </c>
      <c r="K207" s="1">
        <f>IF('(OLD) Bilancio primo strato'!D207&gt;0,1,"")</f>
        <v>1</v>
      </c>
      <c r="L207" s="7">
        <f>Sintesi!$C$34</f>
        <v>0.128</v>
      </c>
      <c r="M207" s="7">
        <f>Sintesi!$C$33</f>
        <v>0.25700000000000001</v>
      </c>
      <c r="N207" s="1">
        <f>'Paste cell here'!AA207</f>
        <v>0.75</v>
      </c>
      <c r="O207" s="1">
        <f>'Paste cell here'!H207</f>
        <v>0.48406145412679663</v>
      </c>
      <c r="P207" s="1">
        <f t="shared" si="19"/>
        <v>96.75</v>
      </c>
      <c r="Q207" s="1">
        <f t="shared" si="20"/>
        <v>46.832945686767573</v>
      </c>
      <c r="R207" s="1">
        <f t="shared" si="21"/>
        <v>145.91705431323243</v>
      </c>
      <c r="S207" s="5">
        <f t="shared" si="22"/>
        <v>0.26366857352260731</v>
      </c>
      <c r="T207" s="5">
        <f t="shared" si="23"/>
        <v>0.19455607241764322</v>
      </c>
    </row>
    <row r="208" spans="1:20">
      <c r="A208" s="1">
        <v>207</v>
      </c>
      <c r="B208" s="2">
        <f>DATE(Sintesi!$C$4-1,12,31)+A208</f>
        <v>44403</v>
      </c>
      <c r="C208" s="1">
        <f>'Paste cell here'!T208</f>
        <v>10.995797190367794</v>
      </c>
      <c r="D208" s="1">
        <f>'Paste cell here'!AC208</f>
        <v>0</v>
      </c>
      <c r="E208" s="1">
        <f>'Paste cell here'!Y208</f>
        <v>3.6394930254813782</v>
      </c>
      <c r="F208" s="1">
        <f>'Paste cell here'!AD208</f>
        <v>1.9342966701413986</v>
      </c>
      <c r="G208" s="1">
        <f>'Paste cell here'!W208</f>
        <v>0</v>
      </c>
      <c r="H208" s="1">
        <f>'Paste cell here'!AE208</f>
        <v>203.17343763670044</v>
      </c>
      <c r="I208" s="1">
        <f>'Paste cell here'!AF208</f>
        <v>197.75143014195547</v>
      </c>
      <c r="J208" s="1">
        <f t="shared" si="18"/>
        <v>2.8421709430404007E-14</v>
      </c>
      <c r="K208" s="1" t="str">
        <f>IF('(OLD) Bilancio primo strato'!D208&gt;0,1,"")</f>
        <v/>
      </c>
      <c r="L208" s="7">
        <f>Sintesi!$C$34</f>
        <v>0.128</v>
      </c>
      <c r="M208" s="7">
        <f>Sintesi!$C$33</f>
        <v>0.25700000000000001</v>
      </c>
      <c r="N208" s="1">
        <f>'Paste cell here'!AA208</f>
        <v>0.75</v>
      </c>
      <c r="O208" s="1">
        <f>'Paste cell here'!H208</f>
        <v>0.50752002955798903</v>
      </c>
      <c r="P208" s="1">
        <f t="shared" si="19"/>
        <v>96.75</v>
      </c>
      <c r="Q208" s="1">
        <f t="shared" si="20"/>
        <v>49.102562859735436</v>
      </c>
      <c r="R208" s="1">
        <f t="shared" si="21"/>
        <v>143.64743714026457</v>
      </c>
      <c r="S208" s="5">
        <f t="shared" si="22"/>
        <v>0.27089791684893394</v>
      </c>
      <c r="T208" s="5">
        <f t="shared" si="23"/>
        <v>0.19152991618701942</v>
      </c>
    </row>
    <row r="209" spans="1:20">
      <c r="A209" s="1">
        <v>208</v>
      </c>
      <c r="B209" s="2">
        <f>DATE(Sintesi!$C$4-1,12,31)+A209</f>
        <v>44404</v>
      </c>
      <c r="C209" s="1">
        <f>'Paste cell here'!T209</f>
        <v>4.089810555955478</v>
      </c>
      <c r="D209" s="1">
        <f>'Paste cell here'!AC209</f>
        <v>0</v>
      </c>
      <c r="E209" s="1">
        <f>'Paste cell here'!Y209</f>
        <v>3.5466409393534128</v>
      </c>
      <c r="F209" s="1">
        <f>'Paste cell here'!AD209</f>
        <v>1.8644830161593478</v>
      </c>
      <c r="G209" s="1">
        <f>'Paste cell here'!W209</f>
        <v>0</v>
      </c>
      <c r="H209" s="1">
        <f>'Paste cell here'!AE209</f>
        <v>201.8521242371431</v>
      </c>
      <c r="I209" s="1">
        <f>'Paste cell here'!AF209</f>
        <v>203.17343763670044</v>
      </c>
      <c r="J209" s="1">
        <f t="shared" si="18"/>
        <v>5.6843418860808015E-14</v>
      </c>
      <c r="K209" s="1" t="str">
        <f>IF('(OLD) Bilancio primo strato'!D209&gt;0,1,"")</f>
        <v/>
      </c>
      <c r="L209" s="7">
        <f>Sintesi!$C$34</f>
        <v>0.128</v>
      </c>
      <c r="M209" s="7">
        <f>Sintesi!$C$33</f>
        <v>0.25700000000000001</v>
      </c>
      <c r="N209" s="1">
        <f>'Paste cell here'!AA209</f>
        <v>0.75</v>
      </c>
      <c r="O209" s="1">
        <f>'Paste cell here'!H209</f>
        <v>0.5508966572304812</v>
      </c>
      <c r="P209" s="1">
        <f t="shared" si="19"/>
        <v>96.75</v>
      </c>
      <c r="Q209" s="1">
        <f t="shared" si="20"/>
        <v>53.299251587049056</v>
      </c>
      <c r="R209" s="1">
        <f t="shared" si="21"/>
        <v>139.45074841295093</v>
      </c>
      <c r="S209" s="5">
        <f t="shared" si="22"/>
        <v>0.26913616564952414</v>
      </c>
      <c r="T209" s="5">
        <f t="shared" si="23"/>
        <v>0.18593433121726791</v>
      </c>
    </row>
    <row r="210" spans="1:20">
      <c r="A210" s="1">
        <v>209</v>
      </c>
      <c r="B210" s="2">
        <f>DATE(Sintesi!$C$4-1,12,31)+A210</f>
        <v>44405</v>
      </c>
      <c r="C210" s="1">
        <f>'Paste cell here'!T210</f>
        <v>1.127973659270723</v>
      </c>
      <c r="D210" s="1">
        <f>'Paste cell here'!AC210</f>
        <v>0</v>
      </c>
      <c r="E210" s="1">
        <f>'Paste cell here'!Y210</f>
        <v>3.7795622291069364</v>
      </c>
      <c r="F210" s="1">
        <f>'Paste cell here'!AD210</f>
        <v>1.2004217718345975</v>
      </c>
      <c r="G210" s="1">
        <f>'Paste cell here'!W210</f>
        <v>0</v>
      </c>
      <c r="H210" s="1">
        <f>'Paste cell here'!AE210</f>
        <v>198.00011389547231</v>
      </c>
      <c r="I210" s="1">
        <f>'Paste cell here'!AF210</f>
        <v>201.8521242371431</v>
      </c>
      <c r="J210" s="1">
        <f t="shared" si="18"/>
        <v>0</v>
      </c>
      <c r="K210" s="1" t="str">
        <f>IF('(OLD) Bilancio primo strato'!D210&gt;0,1,"")</f>
        <v/>
      </c>
      <c r="L210" s="7">
        <f>Sintesi!$C$34</f>
        <v>0.128</v>
      </c>
      <c r="M210" s="7">
        <f>Sintesi!$C$33</f>
        <v>0.25700000000000001</v>
      </c>
      <c r="N210" s="1">
        <f>'Paste cell here'!AA210</f>
        <v>0.75</v>
      </c>
      <c r="O210" s="1">
        <f>'Paste cell here'!H210</f>
        <v>0.55629113706327515</v>
      </c>
      <c r="P210" s="1">
        <f t="shared" si="19"/>
        <v>96.75</v>
      </c>
      <c r="Q210" s="1">
        <f t="shared" si="20"/>
        <v>53.821167510871874</v>
      </c>
      <c r="R210" s="1">
        <f t="shared" si="21"/>
        <v>138.92883248912813</v>
      </c>
      <c r="S210" s="5">
        <f t="shared" si="22"/>
        <v>0.26400015186062975</v>
      </c>
      <c r="T210" s="5">
        <f t="shared" si="23"/>
        <v>0.18523844331883751</v>
      </c>
    </row>
    <row r="211" spans="1:20">
      <c r="A211" s="1">
        <v>210</v>
      </c>
      <c r="B211" s="2">
        <f>DATE(Sintesi!$C$4-1,12,31)+A211</f>
        <v>44406</v>
      </c>
      <c r="C211" s="1">
        <f>'Paste cell here'!T211</f>
        <v>0.5635183327596498</v>
      </c>
      <c r="D211" s="1">
        <f>'Paste cell here'!AC211</f>
        <v>0</v>
      </c>
      <c r="E211" s="1">
        <f>'Paste cell here'!Y211</f>
        <v>5.3518426423213246</v>
      </c>
      <c r="F211" s="1">
        <f>'Paste cell here'!AD211</f>
        <v>0.70182523940659958</v>
      </c>
      <c r="G211" s="1">
        <f>'Paste cell here'!W211</f>
        <v>0</v>
      </c>
      <c r="H211" s="1">
        <f>'Paste cell here'!AE211</f>
        <v>192.50996434650398</v>
      </c>
      <c r="I211" s="1">
        <f>'Paste cell here'!AF211</f>
        <v>198.00011389547231</v>
      </c>
      <c r="J211" s="1">
        <f t="shared" si="18"/>
        <v>8.5265128291212022E-14</v>
      </c>
      <c r="K211" s="1" t="str">
        <f>IF('(OLD) Bilancio primo strato'!D211&gt;0,1,"")</f>
        <v/>
      </c>
      <c r="L211" s="7">
        <f>Sintesi!$C$34</f>
        <v>0.128</v>
      </c>
      <c r="M211" s="7">
        <f>Sintesi!$C$33</f>
        <v>0.25700000000000001</v>
      </c>
      <c r="N211" s="1">
        <f>'Paste cell here'!AA211</f>
        <v>0.75</v>
      </c>
      <c r="O211" s="1">
        <f>'Paste cell here'!H211</f>
        <v>0.54634714225372916</v>
      </c>
      <c r="P211" s="1">
        <f t="shared" si="19"/>
        <v>96.75</v>
      </c>
      <c r="Q211" s="1">
        <f t="shared" si="20"/>
        <v>52.859086013048298</v>
      </c>
      <c r="R211" s="1">
        <f t="shared" si="21"/>
        <v>139.89091398695172</v>
      </c>
      <c r="S211" s="5">
        <f t="shared" si="22"/>
        <v>0.25667995246200531</v>
      </c>
      <c r="T211" s="5">
        <f t="shared" si="23"/>
        <v>0.18652121864926896</v>
      </c>
    </row>
    <row r="212" spans="1:20">
      <c r="A212" s="1">
        <v>211</v>
      </c>
      <c r="B212" s="2">
        <f>DATE(Sintesi!$C$4-1,12,31)+A212</f>
        <v>44407</v>
      </c>
      <c r="C212" s="1">
        <f>'Paste cell here'!T212</f>
        <v>0.33550707158284077</v>
      </c>
      <c r="D212" s="1">
        <f>'Paste cell here'!AC212</f>
        <v>0</v>
      </c>
      <c r="E212" s="1">
        <f>'Paste cell here'!Y212</f>
        <v>4.6899867621669831</v>
      </c>
      <c r="F212" s="1">
        <f>'Paste cell here'!AD212</f>
        <v>0.39768404121640577</v>
      </c>
      <c r="G212" s="1">
        <f>'Paste cell here'!W212</f>
        <v>0</v>
      </c>
      <c r="H212" s="1">
        <f>'Paste cell here'!AE212</f>
        <v>187.7578006147034</v>
      </c>
      <c r="I212" s="1">
        <f>'Paste cell here'!AF212</f>
        <v>192.50996434650398</v>
      </c>
      <c r="J212" s="1">
        <f t="shared" si="18"/>
        <v>2.8421709430404007E-14</v>
      </c>
      <c r="K212" s="1" t="str">
        <f>IF('(OLD) Bilancio primo strato'!D212&gt;0,1,"")</f>
        <v/>
      </c>
      <c r="L212" s="7">
        <f>Sintesi!$C$34</f>
        <v>0.128</v>
      </c>
      <c r="M212" s="7">
        <f>Sintesi!$C$33</f>
        <v>0.25700000000000001</v>
      </c>
      <c r="N212" s="1">
        <f>'Paste cell here'!AA212</f>
        <v>0.75</v>
      </c>
      <c r="O212" s="1">
        <f>'Paste cell here'!H212</f>
        <v>0.47697635640800223</v>
      </c>
      <c r="P212" s="1">
        <f t="shared" si="19"/>
        <v>96.75</v>
      </c>
      <c r="Q212" s="1">
        <f t="shared" si="20"/>
        <v>46.147462482474218</v>
      </c>
      <c r="R212" s="1">
        <f t="shared" si="21"/>
        <v>146.60253751752578</v>
      </c>
      <c r="S212" s="5">
        <f t="shared" si="22"/>
        <v>0.25034373415293787</v>
      </c>
      <c r="T212" s="5">
        <f t="shared" si="23"/>
        <v>0.1954700500233677</v>
      </c>
    </row>
    <row r="213" spans="1:20">
      <c r="A213" s="1">
        <v>212</v>
      </c>
      <c r="B213" s="2">
        <f>DATE(Sintesi!$C$4-1,12,31)+A213</f>
        <v>44408</v>
      </c>
      <c r="C213" s="1">
        <f>'Paste cell here'!T213</f>
        <v>0.22411201669769867</v>
      </c>
      <c r="D213" s="1">
        <f>'Paste cell here'!AC213</f>
        <v>0</v>
      </c>
      <c r="E213" s="1">
        <f>'Paste cell here'!Y213</f>
        <v>4.7166072562447496</v>
      </c>
      <c r="F213" s="1">
        <f>'Paste cell here'!AD213</f>
        <v>0.23432129582934538</v>
      </c>
      <c r="G213" s="1">
        <f>'Paste cell here'!W213</f>
        <v>0</v>
      </c>
      <c r="H213" s="1">
        <f>'Paste cell here'!AE213</f>
        <v>183.03098407932703</v>
      </c>
      <c r="I213" s="1">
        <f>'Paste cell here'!AF213</f>
        <v>187.7578006147034</v>
      </c>
      <c r="J213" s="1">
        <f t="shared" si="18"/>
        <v>2.8421709430404007E-14</v>
      </c>
      <c r="K213" s="1" t="str">
        <f>IF('(OLD) Bilancio primo strato'!D213&gt;0,1,"")</f>
        <v/>
      </c>
      <c r="L213" s="7">
        <f>Sintesi!$C$34</f>
        <v>0.128</v>
      </c>
      <c r="M213" s="7">
        <f>Sintesi!$C$33</f>
        <v>0.25700000000000001</v>
      </c>
      <c r="N213" s="1">
        <f>'Paste cell here'!AA213</f>
        <v>0.75</v>
      </c>
      <c r="O213" s="1">
        <f>'Paste cell here'!H213</f>
        <v>0.5076362783342776</v>
      </c>
      <c r="P213" s="1">
        <f t="shared" si="19"/>
        <v>96.75</v>
      </c>
      <c r="Q213" s="1">
        <f t="shared" si="20"/>
        <v>49.113809928841356</v>
      </c>
      <c r="R213" s="1">
        <f t="shared" si="21"/>
        <v>143.63619007115864</v>
      </c>
      <c r="S213" s="5">
        <f t="shared" si="22"/>
        <v>0.24404131210576938</v>
      </c>
      <c r="T213" s="5">
        <f t="shared" si="23"/>
        <v>0.19151492009487819</v>
      </c>
    </row>
    <row r="214" spans="1:20">
      <c r="A214" s="1">
        <v>213</v>
      </c>
      <c r="B214" s="2">
        <f>DATE(Sintesi!$C$4-1,12,31)+A214</f>
        <v>44409</v>
      </c>
      <c r="C214" s="1">
        <f>'Paste cell here'!T214</f>
        <v>1.4559018478292847</v>
      </c>
      <c r="D214" s="1">
        <f>'Paste cell here'!AC214</f>
        <v>0</v>
      </c>
      <c r="E214" s="1">
        <f>'Paste cell here'!Y214</f>
        <v>3.1201220677611516</v>
      </c>
      <c r="F214" s="1">
        <f>'Paste cell here'!AD214</f>
        <v>0.15087857509940589</v>
      </c>
      <c r="G214" s="1">
        <f>'Paste cell here'!W214</f>
        <v>0</v>
      </c>
      <c r="H214" s="1">
        <f>'Paste cell here'!AE214</f>
        <v>181.21588528429575</v>
      </c>
      <c r="I214" s="1">
        <f>'Paste cell here'!AF214</f>
        <v>183.03098407932703</v>
      </c>
      <c r="J214" s="1">
        <f t="shared" si="18"/>
        <v>2.8421709430404007E-14</v>
      </c>
      <c r="K214" s="1" t="str">
        <f>IF('(OLD) Bilancio primo strato'!D214&gt;0,1,"")</f>
        <v/>
      </c>
      <c r="L214" s="7">
        <f>Sintesi!$C$34</f>
        <v>0.128</v>
      </c>
      <c r="M214" s="7">
        <f>Sintesi!$C$33</f>
        <v>0.25700000000000001</v>
      </c>
      <c r="N214" s="1">
        <f>'Paste cell here'!AA214</f>
        <v>0.75</v>
      </c>
      <c r="O214" s="1">
        <f>'Paste cell here'!H214</f>
        <v>0.50247995050768168</v>
      </c>
      <c r="P214" s="1">
        <f t="shared" si="19"/>
        <v>96.75</v>
      </c>
      <c r="Q214" s="1">
        <f t="shared" si="20"/>
        <v>48.614935211618203</v>
      </c>
      <c r="R214" s="1">
        <f t="shared" si="21"/>
        <v>144.13506478838178</v>
      </c>
      <c r="S214" s="5">
        <f t="shared" si="22"/>
        <v>0.241621180379061</v>
      </c>
      <c r="T214" s="5">
        <f t="shared" si="23"/>
        <v>0.19218008638450904</v>
      </c>
    </row>
    <row r="215" spans="1:20">
      <c r="A215" s="1">
        <v>214</v>
      </c>
      <c r="B215" s="2">
        <f>DATE(Sintesi!$C$4-1,12,31)+A215</f>
        <v>44410</v>
      </c>
      <c r="C215" s="1">
        <f>'Paste cell here'!T215</f>
        <v>2.546281203799778</v>
      </c>
      <c r="D215" s="1">
        <f>'Paste cell here'!AC215</f>
        <v>0</v>
      </c>
      <c r="E215" s="1">
        <f>'Paste cell here'!Y215</f>
        <v>4.3310463865300202</v>
      </c>
      <c r="F215" s="1">
        <f>'Paste cell here'!AD215</f>
        <v>0.11772258959480961</v>
      </c>
      <c r="G215" s="1">
        <f>'Paste cell here'!W215</f>
        <v>0</v>
      </c>
      <c r="H215" s="1">
        <f>'Paste cell here'!AE215</f>
        <v>179.31339751197066</v>
      </c>
      <c r="I215" s="1">
        <f>'Paste cell here'!AF215</f>
        <v>181.21588528429575</v>
      </c>
      <c r="J215" s="1">
        <f t="shared" si="18"/>
        <v>0</v>
      </c>
      <c r="K215" s="1" t="str">
        <f>IF('(OLD) Bilancio primo strato'!D215&gt;0,1,"")</f>
        <v/>
      </c>
      <c r="L215" s="7">
        <f>Sintesi!$C$34</f>
        <v>0.128</v>
      </c>
      <c r="M215" s="7">
        <f>Sintesi!$C$33</f>
        <v>0.25700000000000001</v>
      </c>
      <c r="N215" s="1">
        <f>'Paste cell here'!AA215</f>
        <v>0.75</v>
      </c>
      <c r="O215" s="1">
        <f>'Paste cell here'!H215</f>
        <v>0.57297864523956277</v>
      </c>
      <c r="P215" s="1">
        <f t="shared" si="19"/>
        <v>96.75</v>
      </c>
      <c r="Q215" s="1">
        <f t="shared" si="20"/>
        <v>55.435683926927695</v>
      </c>
      <c r="R215" s="1">
        <f t="shared" si="21"/>
        <v>137.31431607307229</v>
      </c>
      <c r="S215" s="5">
        <f t="shared" si="22"/>
        <v>0.23908453001596089</v>
      </c>
      <c r="T215" s="5">
        <f t="shared" si="23"/>
        <v>0.18308575476409639</v>
      </c>
    </row>
    <row r="216" spans="1:20">
      <c r="A216" s="1">
        <v>215</v>
      </c>
      <c r="B216" s="2">
        <f>DATE(Sintesi!$C$4-1,12,31)+A216</f>
        <v>44411</v>
      </c>
      <c r="C216" s="1">
        <f>'Paste cell here'!T216</f>
        <v>1.3283312337801916</v>
      </c>
      <c r="D216" s="1">
        <f>'Paste cell here'!AC216</f>
        <v>0</v>
      </c>
      <c r="E216" s="1">
        <f>'Paste cell here'!Y216</f>
        <v>3.8214586138310231</v>
      </c>
      <c r="F216" s="1">
        <f>'Paste cell here'!AD216</f>
        <v>8.7707795160734986E-2</v>
      </c>
      <c r="G216" s="1">
        <f>'Paste cell here'!W216</f>
        <v>0</v>
      </c>
      <c r="H216" s="1">
        <f>'Paste cell here'!AE216</f>
        <v>176.73256233675909</v>
      </c>
      <c r="I216" s="1">
        <f>'Paste cell here'!AF216</f>
        <v>179.31339751197066</v>
      </c>
      <c r="J216" s="1">
        <f t="shared" si="18"/>
        <v>2.8421709430404007E-14</v>
      </c>
      <c r="K216" s="1" t="str">
        <f>IF('(OLD) Bilancio primo strato'!D216&gt;0,1,"")</f>
        <v/>
      </c>
      <c r="L216" s="7">
        <f>Sintesi!$C$34</f>
        <v>0.128</v>
      </c>
      <c r="M216" s="7">
        <f>Sintesi!$C$33</f>
        <v>0.25700000000000001</v>
      </c>
      <c r="N216" s="1">
        <f>'Paste cell here'!AA216</f>
        <v>0.75</v>
      </c>
      <c r="O216" s="1">
        <f>'Paste cell here'!H216</f>
        <v>0.52196053249309038</v>
      </c>
      <c r="P216" s="1">
        <f t="shared" si="19"/>
        <v>96.75</v>
      </c>
      <c r="Q216" s="1">
        <f t="shared" si="20"/>
        <v>50.499681518706495</v>
      </c>
      <c r="R216" s="1">
        <f t="shared" si="21"/>
        <v>142.2503184812935</v>
      </c>
      <c r="S216" s="5">
        <f t="shared" si="22"/>
        <v>0.23564341644901213</v>
      </c>
      <c r="T216" s="5">
        <f t="shared" si="23"/>
        <v>0.18966709130839135</v>
      </c>
    </row>
    <row r="217" spans="1:20">
      <c r="A217" s="1">
        <v>216</v>
      </c>
      <c r="B217" s="2">
        <f>DATE(Sintesi!$C$4-1,12,31)+A217</f>
        <v>44412</v>
      </c>
      <c r="C217" s="1">
        <f>'Paste cell here'!T217</f>
        <v>2.236102720573474</v>
      </c>
      <c r="D217" s="1">
        <f>'Paste cell here'!AC217</f>
        <v>0</v>
      </c>
      <c r="E217" s="1">
        <f>'Paste cell here'!Y217</f>
        <v>2.0424482171531326</v>
      </c>
      <c r="F217" s="1">
        <f>'Paste cell here'!AD217</f>
        <v>7.0030908253047724E-2</v>
      </c>
      <c r="G217" s="1">
        <f>'Paste cell here'!W217</f>
        <v>0</v>
      </c>
      <c r="H217" s="1">
        <f>'Paste cell here'!AE217</f>
        <v>176.85618593192646</v>
      </c>
      <c r="I217" s="1">
        <f>'Paste cell here'!AF217</f>
        <v>176.73256233675912</v>
      </c>
      <c r="J217" s="1">
        <f t="shared" si="18"/>
        <v>2.8421709430404007E-14</v>
      </c>
      <c r="K217" s="1" t="str">
        <f>IF('(OLD) Bilancio primo strato'!D217&gt;0,1,"")</f>
        <v/>
      </c>
      <c r="L217" s="7">
        <f>Sintesi!$C$34</f>
        <v>0.128</v>
      </c>
      <c r="M217" s="7">
        <f>Sintesi!$C$33</f>
        <v>0.25700000000000001</v>
      </c>
      <c r="N217" s="1">
        <f>'Paste cell here'!AA217</f>
        <v>0.75</v>
      </c>
      <c r="O217" s="1">
        <f>'Paste cell here'!H217</f>
        <v>0.54289425141189718</v>
      </c>
      <c r="P217" s="1">
        <f t="shared" si="19"/>
        <v>96.75</v>
      </c>
      <c r="Q217" s="1">
        <f t="shared" si="20"/>
        <v>52.525018824101053</v>
      </c>
      <c r="R217" s="1">
        <f t="shared" si="21"/>
        <v>140.22498117589896</v>
      </c>
      <c r="S217" s="5">
        <f t="shared" si="22"/>
        <v>0.23580824790923527</v>
      </c>
      <c r="T217" s="5">
        <f t="shared" si="23"/>
        <v>0.18696664156786527</v>
      </c>
    </row>
    <row r="218" spans="1:20">
      <c r="A218" s="1">
        <v>217</v>
      </c>
      <c r="B218" s="2">
        <f>DATE(Sintesi!$C$4-1,12,31)+A218</f>
        <v>44413</v>
      </c>
      <c r="C218" s="1">
        <f>'Paste cell here'!T218</f>
        <v>2.1006805916288931</v>
      </c>
      <c r="D218" s="1">
        <f>'Paste cell here'!AC218</f>
        <v>0</v>
      </c>
      <c r="E218" s="1">
        <f>'Paste cell here'!Y218</f>
        <v>5.72349437552369</v>
      </c>
      <c r="F218" s="1">
        <f>'Paste cell here'!AD218</f>
        <v>5.8882008685837345E-2</v>
      </c>
      <c r="G218" s="1">
        <f>'Paste cell here'!W218</f>
        <v>0</v>
      </c>
      <c r="H218" s="1">
        <f>'Paste cell here'!AE218</f>
        <v>173.17449013934581</v>
      </c>
      <c r="I218" s="1">
        <f>'Paste cell here'!AF218</f>
        <v>176.85618593192646</v>
      </c>
      <c r="J218" s="1">
        <f t="shared" si="18"/>
        <v>2.8421709430404007E-14</v>
      </c>
      <c r="K218" s="1" t="str">
        <f>IF('(OLD) Bilancio primo strato'!D218&gt;0,1,"")</f>
        <v/>
      </c>
      <c r="L218" s="7">
        <f>Sintesi!$C$34</f>
        <v>0.128</v>
      </c>
      <c r="M218" s="7">
        <f>Sintesi!$C$33</f>
        <v>0.25700000000000001</v>
      </c>
      <c r="N218" s="1">
        <f>'Paste cell here'!AA218</f>
        <v>0.75</v>
      </c>
      <c r="O218" s="1">
        <f>'Paste cell here'!H218</f>
        <v>0.61779443793046707</v>
      </c>
      <c r="P218" s="1">
        <f t="shared" si="19"/>
        <v>96.75</v>
      </c>
      <c r="Q218" s="1">
        <f t="shared" si="20"/>
        <v>59.771611869772691</v>
      </c>
      <c r="R218" s="1">
        <f t="shared" si="21"/>
        <v>132.9783881302273</v>
      </c>
      <c r="S218" s="5">
        <f t="shared" si="22"/>
        <v>0.2308993201857944</v>
      </c>
      <c r="T218" s="5">
        <f t="shared" si="23"/>
        <v>0.17730451750696974</v>
      </c>
    </row>
    <row r="219" spans="1:20">
      <c r="A219" s="1">
        <v>218</v>
      </c>
      <c r="B219" s="2">
        <f>DATE(Sintesi!$C$4-1,12,31)+A219</f>
        <v>44414</v>
      </c>
      <c r="C219" s="1">
        <f>'Paste cell here'!T219</f>
        <v>0.95028186508497059</v>
      </c>
      <c r="D219" s="1">
        <f>'Paste cell here'!AC219</f>
        <v>0</v>
      </c>
      <c r="E219" s="1">
        <f>'Paste cell here'!Y219</f>
        <v>5.432666378560489</v>
      </c>
      <c r="F219" s="1">
        <f>'Paste cell here'!AD219</f>
        <v>3.9109723514343255E-2</v>
      </c>
      <c r="G219" s="1">
        <f>'Paste cell here'!W219</f>
        <v>0</v>
      </c>
      <c r="H219" s="1">
        <f>'Paste cell here'!AE219</f>
        <v>168.65299590235588</v>
      </c>
      <c r="I219" s="1">
        <f>'Paste cell here'!AF219</f>
        <v>173.17449013934581</v>
      </c>
      <c r="J219" s="1">
        <f t="shared" si="18"/>
        <v>5.6843418860808015E-14</v>
      </c>
      <c r="K219" s="1" t="str">
        <f>IF('(OLD) Bilancio primo strato'!D219&gt;0,1,"")</f>
        <v/>
      </c>
      <c r="L219" s="7">
        <f>Sintesi!$C$34</f>
        <v>0.128</v>
      </c>
      <c r="M219" s="7">
        <f>Sintesi!$C$33</f>
        <v>0.25700000000000001</v>
      </c>
      <c r="N219" s="1">
        <f>'Paste cell here'!AA219</f>
        <v>0.75</v>
      </c>
      <c r="O219" s="1">
        <f>'Paste cell here'!H219</f>
        <v>0.45493928872649364</v>
      </c>
      <c r="P219" s="1">
        <f t="shared" si="19"/>
        <v>96.75</v>
      </c>
      <c r="Q219" s="1">
        <f t="shared" si="20"/>
        <v>44.015376184288257</v>
      </c>
      <c r="R219" s="1">
        <f t="shared" si="21"/>
        <v>148.73462381571176</v>
      </c>
      <c r="S219" s="5">
        <f t="shared" si="22"/>
        <v>0.22487066120314117</v>
      </c>
      <c r="T219" s="5">
        <f t="shared" si="23"/>
        <v>0.19831283175428235</v>
      </c>
    </row>
    <row r="220" spans="1:20">
      <c r="A220" s="1">
        <v>219</v>
      </c>
      <c r="B220" s="2">
        <f>DATE(Sintesi!$C$4-1,12,31)+A220</f>
        <v>44415</v>
      </c>
      <c r="C220" s="1">
        <f>'Paste cell here'!T220</f>
        <v>0.60280700385006758</v>
      </c>
      <c r="D220" s="1">
        <f>'Paste cell here'!AC220</f>
        <v>0</v>
      </c>
      <c r="E220" s="1">
        <f>'Paste cell here'!Y220</f>
        <v>3.4728975011357965</v>
      </c>
      <c r="F220" s="1">
        <f>'Paste cell here'!AD220</f>
        <v>2.6782301213232045E-2</v>
      </c>
      <c r="G220" s="1">
        <f>'Paste cell here'!W220</f>
        <v>0</v>
      </c>
      <c r="H220" s="1">
        <f>'Paste cell here'!AE220</f>
        <v>165.75612310385696</v>
      </c>
      <c r="I220" s="1">
        <f>'Paste cell here'!AF220</f>
        <v>168.65299590235588</v>
      </c>
      <c r="J220" s="1">
        <f t="shared" si="18"/>
        <v>5.6843418860808015E-14</v>
      </c>
      <c r="K220" s="1" t="str">
        <f>IF('(OLD) Bilancio primo strato'!D220&gt;0,1,"")</f>
        <v/>
      </c>
      <c r="L220" s="7">
        <f>Sintesi!$C$34</f>
        <v>0.128</v>
      </c>
      <c r="M220" s="7">
        <f>Sintesi!$C$33</f>
        <v>0.25700000000000001</v>
      </c>
      <c r="N220" s="1">
        <f>'Paste cell here'!AA220</f>
        <v>0.75</v>
      </c>
      <c r="O220" s="1">
        <f>'Paste cell here'!H220</f>
        <v>0.47103890901877199</v>
      </c>
      <c r="P220" s="1">
        <f t="shared" si="19"/>
        <v>96.75</v>
      </c>
      <c r="Q220" s="1">
        <f t="shared" si="20"/>
        <v>45.573014447566187</v>
      </c>
      <c r="R220" s="1">
        <f t="shared" si="21"/>
        <v>147.17698555243382</v>
      </c>
      <c r="S220" s="5">
        <f t="shared" si="22"/>
        <v>0.22100816413847596</v>
      </c>
      <c r="T220" s="5">
        <f t="shared" si="23"/>
        <v>0.19623598073657841</v>
      </c>
    </row>
    <row r="221" spans="1:20">
      <c r="A221" s="1">
        <v>220</v>
      </c>
      <c r="B221" s="2">
        <f>DATE(Sintesi!$C$4-1,12,31)+A221</f>
        <v>44416</v>
      </c>
      <c r="C221" s="1">
        <f>'Paste cell here'!T221</f>
        <v>0.43677052977126385</v>
      </c>
      <c r="D221" s="1">
        <f>'Paste cell here'!AC221</f>
        <v>0</v>
      </c>
      <c r="E221" s="1">
        <f>'Paste cell here'!Y221</f>
        <v>4.4650187439963105</v>
      </c>
      <c r="F221" s="1">
        <f>'Paste cell here'!AD221</f>
        <v>1.9074251986648472E-2</v>
      </c>
      <c r="G221" s="1">
        <f>'Paste cell here'!W221</f>
        <v>0</v>
      </c>
      <c r="H221" s="1">
        <f>'Paste cell here'!AE221</f>
        <v>161.7088006376452</v>
      </c>
      <c r="I221" s="1">
        <f>'Paste cell here'!AF221</f>
        <v>165.75612310385696</v>
      </c>
      <c r="J221" s="1">
        <f t="shared" si="18"/>
        <v>5.6843418860808015E-14</v>
      </c>
      <c r="K221" s="1" t="str">
        <f>IF('(OLD) Bilancio primo strato'!D221&gt;0,1,"")</f>
        <v/>
      </c>
      <c r="L221" s="7">
        <f>Sintesi!$C$34</f>
        <v>0.128</v>
      </c>
      <c r="M221" s="7">
        <f>Sintesi!$C$33</f>
        <v>0.25700000000000001</v>
      </c>
      <c r="N221" s="1">
        <f>'Paste cell here'!AA221</f>
        <v>0.75</v>
      </c>
      <c r="O221" s="1">
        <f>'Paste cell here'!H221</f>
        <v>0.55861202816839972</v>
      </c>
      <c r="P221" s="1">
        <f t="shared" si="19"/>
        <v>96.75</v>
      </c>
      <c r="Q221" s="1">
        <f t="shared" si="20"/>
        <v>54.045713725292671</v>
      </c>
      <c r="R221" s="1">
        <f t="shared" si="21"/>
        <v>138.70428627470733</v>
      </c>
      <c r="S221" s="5">
        <f t="shared" si="22"/>
        <v>0.21561173418352694</v>
      </c>
      <c r="T221" s="5">
        <f t="shared" si="23"/>
        <v>0.18493904836627645</v>
      </c>
    </row>
    <row r="222" spans="1:20">
      <c r="A222" s="1">
        <v>221</v>
      </c>
      <c r="B222" s="2">
        <f>DATE(Sintesi!$C$4-1,12,31)+A222</f>
        <v>44417</v>
      </c>
      <c r="C222" s="1">
        <f>'Paste cell here'!T222</f>
        <v>0.32456377140071846</v>
      </c>
      <c r="D222" s="1">
        <f>'Paste cell here'!AC222</f>
        <v>0</v>
      </c>
      <c r="E222" s="1">
        <f>'Paste cell here'!Y222</f>
        <v>5.122035201486276</v>
      </c>
      <c r="F222" s="1">
        <f>'Paste cell here'!AD222</f>
        <v>1.2395429320390301E-2</v>
      </c>
      <c r="G222" s="1">
        <f>'Paste cell here'!W222</f>
        <v>0</v>
      </c>
      <c r="H222" s="1">
        <f>'Paste cell here'!AE222</f>
        <v>156.89893377823927</v>
      </c>
      <c r="I222" s="1">
        <f>'Paste cell here'!AF222</f>
        <v>161.7088006376452</v>
      </c>
      <c r="J222" s="1">
        <f t="shared" si="18"/>
        <v>2.8421709430404007E-14</v>
      </c>
      <c r="K222" s="1" t="str">
        <f>IF('(OLD) Bilancio primo strato'!D222&gt;0,1,"")</f>
        <v/>
      </c>
      <c r="L222" s="7">
        <f>Sintesi!$C$34</f>
        <v>0.128</v>
      </c>
      <c r="M222" s="7">
        <f>Sintesi!$C$33</f>
        <v>0.25700000000000001</v>
      </c>
      <c r="N222" s="1">
        <f>'Paste cell here'!AA222</f>
        <v>0.75</v>
      </c>
      <c r="O222" s="1">
        <f>'Paste cell here'!H222</f>
        <v>0.51462723997276261</v>
      </c>
      <c r="P222" s="1">
        <f t="shared" si="19"/>
        <v>96.75</v>
      </c>
      <c r="Q222" s="1">
        <f t="shared" si="20"/>
        <v>49.790185467364779</v>
      </c>
      <c r="R222" s="1">
        <f t="shared" si="21"/>
        <v>142.95981453263522</v>
      </c>
      <c r="S222" s="5">
        <f t="shared" si="22"/>
        <v>0.20919857837098568</v>
      </c>
      <c r="T222" s="5">
        <f t="shared" si="23"/>
        <v>0.19061308604351362</v>
      </c>
    </row>
    <row r="223" spans="1:20">
      <c r="A223" s="1">
        <v>222</v>
      </c>
      <c r="B223" s="2">
        <f>DATE(Sintesi!$C$4-1,12,31)+A223</f>
        <v>44418</v>
      </c>
      <c r="C223" s="1">
        <f>'Paste cell here'!T223</f>
        <v>0.24813933687685719</v>
      </c>
      <c r="D223" s="1">
        <f>'Paste cell here'!AC223</f>
        <v>0</v>
      </c>
      <c r="E223" s="1">
        <f>'Paste cell here'!Y223</f>
        <v>5.0725590533096128</v>
      </c>
      <c r="F223" s="1">
        <f>'Paste cell here'!AD223</f>
        <v>7.6245397752924297E-3</v>
      </c>
      <c r="G223" s="1">
        <f>'Paste cell here'!W223</f>
        <v>0</v>
      </c>
      <c r="H223" s="1">
        <f>'Paste cell here'!AE223</f>
        <v>152.06688952203118</v>
      </c>
      <c r="I223" s="1">
        <f>'Paste cell here'!AF223</f>
        <v>156.89893377823927</v>
      </c>
      <c r="J223" s="1">
        <f t="shared" si="18"/>
        <v>2.8421709430404007E-14</v>
      </c>
      <c r="K223" s="1" t="str">
        <f>IF('(OLD) Bilancio primo strato'!D223&gt;0,1,"")</f>
        <v/>
      </c>
      <c r="L223" s="7">
        <f>Sintesi!$C$34</f>
        <v>0.128</v>
      </c>
      <c r="M223" s="7">
        <f>Sintesi!$C$33</f>
        <v>0.25700000000000001</v>
      </c>
      <c r="N223" s="1">
        <f>'Paste cell here'!AA223</f>
        <v>0.75</v>
      </c>
      <c r="O223" s="1">
        <f>'Paste cell here'!H223</f>
        <v>0.4860082176544443</v>
      </c>
      <c r="P223" s="1">
        <f t="shared" si="19"/>
        <v>96.75</v>
      </c>
      <c r="Q223" s="1">
        <f t="shared" si="20"/>
        <v>47.021295058067487</v>
      </c>
      <c r="R223" s="1">
        <f t="shared" si="21"/>
        <v>145.72870494193251</v>
      </c>
      <c r="S223" s="5">
        <f t="shared" si="22"/>
        <v>0.20275585269604157</v>
      </c>
      <c r="T223" s="5">
        <f t="shared" si="23"/>
        <v>0.19430493992257666</v>
      </c>
    </row>
    <row r="224" spans="1:20">
      <c r="A224" s="1">
        <v>223</v>
      </c>
      <c r="B224" s="2">
        <f>DATE(Sintesi!$C$4-1,12,31)+A224</f>
        <v>44419</v>
      </c>
      <c r="C224" s="1">
        <f>'Paste cell here'!T224</f>
        <v>51.213550086941346</v>
      </c>
      <c r="D224" s="1">
        <f>'Paste cell here'!AC224</f>
        <v>0</v>
      </c>
      <c r="E224" s="1">
        <f>'Paste cell here'!Y224</f>
        <v>5.3049468091585501</v>
      </c>
      <c r="F224" s="1">
        <f>'Paste cell here'!AD224</f>
        <v>0.8114208132593923</v>
      </c>
      <c r="G224" s="1">
        <f>'Paste cell here'!W224</f>
        <v>0</v>
      </c>
      <c r="H224" s="1">
        <f>'Paste cell here'!AE224</f>
        <v>197.16407198655449</v>
      </c>
      <c r="I224" s="1">
        <f>'Paste cell here'!AF224</f>
        <v>152.06688952203118</v>
      </c>
      <c r="J224" s="1">
        <f t="shared" si="18"/>
        <v>1.1368683772161603E-13</v>
      </c>
      <c r="K224" s="1">
        <f>IF('(OLD) Bilancio primo strato'!D224&gt;0,1,"")</f>
        <v>1</v>
      </c>
      <c r="L224" s="7">
        <f>Sintesi!$C$34</f>
        <v>0.128</v>
      </c>
      <c r="M224" s="7">
        <f>Sintesi!$C$33</f>
        <v>0.25700000000000001</v>
      </c>
      <c r="N224" s="1">
        <f>'Paste cell here'!AA224</f>
        <v>0.75</v>
      </c>
      <c r="O224" s="1">
        <f>'Paste cell here'!H224</f>
        <v>0.48782873788368636</v>
      </c>
      <c r="P224" s="1">
        <f t="shared" si="19"/>
        <v>96.75</v>
      </c>
      <c r="Q224" s="1">
        <f t="shared" si="20"/>
        <v>47.197430390246652</v>
      </c>
      <c r="R224" s="1">
        <f t="shared" si="21"/>
        <v>145.55256960975333</v>
      </c>
      <c r="S224" s="5">
        <f t="shared" si="22"/>
        <v>0.26288542931540598</v>
      </c>
      <c r="T224" s="5">
        <f t="shared" si="23"/>
        <v>0.19407009281300444</v>
      </c>
    </row>
    <row r="225" spans="1:20">
      <c r="A225" s="1">
        <v>224</v>
      </c>
      <c r="B225" s="2">
        <f>DATE(Sintesi!$C$4-1,12,31)+A225</f>
        <v>44420</v>
      </c>
      <c r="C225" s="1">
        <f>'Paste cell here'!T225</f>
        <v>2.4060032460358944</v>
      </c>
      <c r="D225" s="1">
        <f>'Paste cell here'!AC225</f>
        <v>0</v>
      </c>
      <c r="E225" s="1">
        <f>'Paste cell here'!Y225</f>
        <v>5.5584603315645733</v>
      </c>
      <c r="F225" s="1">
        <f>'Paste cell here'!AD225</f>
        <v>1.406570876967639</v>
      </c>
      <c r="G225" s="1">
        <f>'Paste cell here'!W225</f>
        <v>0</v>
      </c>
      <c r="H225" s="1">
        <f>'Paste cell here'!AE225</f>
        <v>192.60504402405817</v>
      </c>
      <c r="I225" s="1">
        <f>'Paste cell here'!AF225</f>
        <v>197.16407198655449</v>
      </c>
      <c r="J225" s="1">
        <f t="shared" si="18"/>
        <v>2.8421709430404007E-14</v>
      </c>
      <c r="K225" s="1" t="str">
        <f>IF('(OLD) Bilancio primo strato'!D225&gt;0,1,"")</f>
        <v/>
      </c>
      <c r="L225" s="7">
        <f>Sintesi!$C$34</f>
        <v>0.128</v>
      </c>
      <c r="M225" s="7">
        <f>Sintesi!$C$33</f>
        <v>0.25700000000000001</v>
      </c>
      <c r="N225" s="1">
        <f>'Paste cell here'!AA225</f>
        <v>0.75</v>
      </c>
      <c r="O225" s="1">
        <f>'Paste cell here'!H225</f>
        <v>0.47835819738935581</v>
      </c>
      <c r="P225" s="1">
        <f t="shared" si="19"/>
        <v>96.75</v>
      </c>
      <c r="Q225" s="1">
        <f t="shared" si="20"/>
        <v>46.281155597420174</v>
      </c>
      <c r="R225" s="1">
        <f t="shared" si="21"/>
        <v>146.46884440257983</v>
      </c>
      <c r="S225" s="5">
        <f t="shared" si="22"/>
        <v>0.25680672536541088</v>
      </c>
      <c r="T225" s="5">
        <f t="shared" si="23"/>
        <v>0.19529179253677312</v>
      </c>
    </row>
    <row r="226" spans="1:20">
      <c r="A226" s="1">
        <v>225</v>
      </c>
      <c r="B226" s="2">
        <f>DATE(Sintesi!$C$4-1,12,31)+A226</f>
        <v>44421</v>
      </c>
      <c r="C226" s="1">
        <f>'Paste cell here'!T226</f>
        <v>0.79841466176869247</v>
      </c>
      <c r="D226" s="1">
        <f>'Paste cell here'!AC226</f>
        <v>0</v>
      </c>
      <c r="E226" s="1">
        <f>'Paste cell here'!Y226</f>
        <v>5.4940283848478781</v>
      </c>
      <c r="F226" s="1">
        <f>'Paste cell here'!AD226</f>
        <v>0.75840055434061293</v>
      </c>
      <c r="G226" s="1">
        <f>'Paste cell here'!W226</f>
        <v>0</v>
      </c>
      <c r="H226" s="1">
        <f>'Paste cell here'!AE226</f>
        <v>187.15102974663844</v>
      </c>
      <c r="I226" s="1">
        <f>'Paste cell here'!AF226</f>
        <v>192.60504402405815</v>
      </c>
      <c r="J226" s="1">
        <f t="shared" si="18"/>
        <v>8.5265128291212022E-14</v>
      </c>
      <c r="K226" s="1" t="str">
        <f>IF('(OLD) Bilancio primo strato'!D226&gt;0,1,"")</f>
        <v/>
      </c>
      <c r="L226" s="7">
        <f>Sintesi!$C$34</f>
        <v>0.128</v>
      </c>
      <c r="M226" s="7">
        <f>Sintesi!$C$33</f>
        <v>0.25700000000000001</v>
      </c>
      <c r="N226" s="1">
        <f>'Paste cell here'!AA226</f>
        <v>0.75</v>
      </c>
      <c r="O226" s="1">
        <f>'Paste cell here'!H226</f>
        <v>0.4667768243777235</v>
      </c>
      <c r="P226" s="1">
        <f t="shared" si="19"/>
        <v>96.75</v>
      </c>
      <c r="Q226" s="1">
        <f t="shared" si="20"/>
        <v>45.160657758544751</v>
      </c>
      <c r="R226" s="1">
        <f t="shared" si="21"/>
        <v>147.58934224145526</v>
      </c>
      <c r="S226" s="5">
        <f t="shared" si="22"/>
        <v>0.24953470632885125</v>
      </c>
      <c r="T226" s="5">
        <f t="shared" si="23"/>
        <v>0.19678578965527369</v>
      </c>
    </row>
    <row r="227" spans="1:20">
      <c r="A227" s="1">
        <v>226</v>
      </c>
      <c r="B227" s="2">
        <f>DATE(Sintesi!$C$4-1,12,31)+A227</f>
        <v>44422</v>
      </c>
      <c r="C227" s="1">
        <f>'Paste cell here'!T227</f>
        <v>0.40674392765305029</v>
      </c>
      <c r="D227" s="1">
        <f>'Paste cell here'!AC227</f>
        <v>0</v>
      </c>
      <c r="E227" s="1">
        <f>'Paste cell here'!Y227</f>
        <v>5.4217662306685517</v>
      </c>
      <c r="F227" s="1">
        <f>'Paste cell here'!AD227</f>
        <v>0.40026122065657782</v>
      </c>
      <c r="G227" s="1">
        <f>'Paste cell here'!W227</f>
        <v>0</v>
      </c>
      <c r="H227" s="1">
        <f>'Paste cell here'!AE227</f>
        <v>181.73574622296638</v>
      </c>
      <c r="I227" s="1">
        <f>'Paste cell here'!AF227</f>
        <v>187.15102974663844</v>
      </c>
      <c r="J227" s="1">
        <f t="shared" si="18"/>
        <v>0</v>
      </c>
      <c r="K227" s="1" t="str">
        <f>IF('(OLD) Bilancio primo strato'!D227&gt;0,1,"")</f>
        <v/>
      </c>
      <c r="L227" s="7">
        <f>Sintesi!$C$34</f>
        <v>0.128</v>
      </c>
      <c r="M227" s="7">
        <f>Sintesi!$C$33</f>
        <v>0.25700000000000001</v>
      </c>
      <c r="N227" s="1">
        <f>'Paste cell here'!AA227</f>
        <v>0.75</v>
      </c>
      <c r="O227" s="1">
        <f>'Paste cell here'!H227</f>
        <v>0.47038824742922297</v>
      </c>
      <c r="P227" s="1">
        <f t="shared" si="19"/>
        <v>96.75</v>
      </c>
      <c r="Q227" s="1">
        <f t="shared" si="20"/>
        <v>45.510062938777324</v>
      </c>
      <c r="R227" s="1">
        <f t="shared" si="21"/>
        <v>147.23993706122269</v>
      </c>
      <c r="S227" s="5">
        <f t="shared" si="22"/>
        <v>0.24231432829728852</v>
      </c>
      <c r="T227" s="5">
        <f t="shared" si="23"/>
        <v>0.19631991608163024</v>
      </c>
    </row>
    <row r="228" spans="1:20">
      <c r="A228" s="1">
        <v>227</v>
      </c>
      <c r="B228" s="2">
        <f>DATE(Sintesi!$C$4-1,12,31)+A228</f>
        <v>44423</v>
      </c>
      <c r="C228" s="1">
        <f>'Paste cell here'!T228</f>
        <v>0.23527749815689583</v>
      </c>
      <c r="D228" s="1">
        <f>'Paste cell here'!AC228</f>
        <v>0</v>
      </c>
      <c r="E228" s="1">
        <f>'Paste cell here'!Y228</f>
        <v>5.6118728681181027</v>
      </c>
      <c r="F228" s="1">
        <f>'Paste cell here'!AD228</f>
        <v>0.21032732480263597</v>
      </c>
      <c r="G228" s="1">
        <f>'Paste cell here'!W228</f>
        <v>0</v>
      </c>
      <c r="H228" s="1">
        <f>'Paste cell here'!AE228</f>
        <v>176.14882352820251</v>
      </c>
      <c r="I228" s="1">
        <f>'Paste cell here'!AF228</f>
        <v>181.73574622296641</v>
      </c>
      <c r="J228" s="1">
        <f t="shared" si="18"/>
        <v>5.6843418860808015E-14</v>
      </c>
      <c r="K228" s="1" t="str">
        <f>IF('(OLD) Bilancio primo strato'!D228&gt;0,1,"")</f>
        <v/>
      </c>
      <c r="L228" s="7">
        <f>Sintesi!$C$34</f>
        <v>0.128</v>
      </c>
      <c r="M228" s="7">
        <f>Sintesi!$C$33</f>
        <v>0.25700000000000001</v>
      </c>
      <c r="N228" s="1">
        <f>'Paste cell here'!AA228</f>
        <v>0.75</v>
      </c>
      <c r="O228" s="1">
        <f>'Paste cell here'!H228</f>
        <v>0.47308726740866874</v>
      </c>
      <c r="P228" s="1">
        <f t="shared" si="19"/>
        <v>96.75</v>
      </c>
      <c r="Q228" s="1">
        <f t="shared" si="20"/>
        <v>45.771193121788698</v>
      </c>
      <c r="R228" s="1">
        <f t="shared" si="21"/>
        <v>146.97880687821129</v>
      </c>
      <c r="S228" s="5">
        <f t="shared" si="22"/>
        <v>0.23486509803760336</v>
      </c>
      <c r="T228" s="5">
        <f t="shared" si="23"/>
        <v>0.1959717425042817</v>
      </c>
    </row>
    <row r="229" spans="1:20">
      <c r="A229" s="1">
        <v>228</v>
      </c>
      <c r="B229" s="2">
        <f>DATE(Sintesi!$C$4-1,12,31)+A229</f>
        <v>44424</v>
      </c>
      <c r="C229" s="1">
        <f>'Paste cell here'!T229</f>
        <v>0.96917012693259219</v>
      </c>
      <c r="D229" s="1">
        <f>'Paste cell here'!AC229</f>
        <v>0</v>
      </c>
      <c r="E229" s="1">
        <f>'Paste cell here'!Y229</f>
        <v>5.2015852375232461</v>
      </c>
      <c r="F229" s="1">
        <f>'Paste cell here'!AD229</f>
        <v>0.11311644186728403</v>
      </c>
      <c r="G229" s="1">
        <f>'Paste cell here'!W229</f>
        <v>0</v>
      </c>
      <c r="H229" s="1">
        <f>'Paste cell here'!AE229</f>
        <v>171.8032919757446</v>
      </c>
      <c r="I229" s="1">
        <f>'Paste cell here'!AF229</f>
        <v>176.14882352820251</v>
      </c>
      <c r="J229" s="1">
        <f t="shared" si="18"/>
        <v>0</v>
      </c>
      <c r="K229" s="1" t="str">
        <f>IF('(OLD) Bilancio primo strato'!D229&gt;0,1,"")</f>
        <v/>
      </c>
      <c r="L229" s="7">
        <f>Sintesi!$C$34</f>
        <v>0.128</v>
      </c>
      <c r="M229" s="7">
        <f>Sintesi!$C$33</f>
        <v>0.25700000000000001</v>
      </c>
      <c r="N229" s="1">
        <f>'Paste cell here'!AA229</f>
        <v>0.75</v>
      </c>
      <c r="O229" s="1">
        <f>'Paste cell here'!H229</f>
        <v>0.46288575807591303</v>
      </c>
      <c r="P229" s="1">
        <f t="shared" si="19"/>
        <v>96.75</v>
      </c>
      <c r="Q229" s="1">
        <f t="shared" si="20"/>
        <v>44.784197093844583</v>
      </c>
      <c r="R229" s="1">
        <f t="shared" si="21"/>
        <v>147.96580290615543</v>
      </c>
      <c r="S229" s="5">
        <f t="shared" si="22"/>
        <v>0.22907105596765948</v>
      </c>
      <c r="T229" s="5">
        <f t="shared" si="23"/>
        <v>0.19728773720820725</v>
      </c>
    </row>
    <row r="230" spans="1:20">
      <c r="A230" s="1">
        <v>229</v>
      </c>
      <c r="B230" s="2">
        <f>DATE(Sintesi!$C$4-1,12,31)+A230</f>
        <v>44425</v>
      </c>
      <c r="C230" s="1">
        <f>'Paste cell here'!T230</f>
        <v>1.3155618600244814</v>
      </c>
      <c r="D230" s="1">
        <f>'Paste cell here'!AC230</f>
        <v>0</v>
      </c>
      <c r="E230" s="1">
        <f>'Paste cell here'!Y230</f>
        <v>5.0375087211670042</v>
      </c>
      <c r="F230" s="1">
        <f>'Paste cell here'!AD230</f>
        <v>6.858462155626692E-2</v>
      </c>
      <c r="G230" s="1">
        <f>'Paste cell here'!W230</f>
        <v>0</v>
      </c>
      <c r="H230" s="1">
        <f>'Paste cell here'!AE230</f>
        <v>168.01276049304582</v>
      </c>
      <c r="I230" s="1">
        <f>'Paste cell here'!AF230</f>
        <v>171.80329197574463</v>
      </c>
      <c r="J230" s="1">
        <f t="shared" si="18"/>
        <v>2.8421709430404007E-14</v>
      </c>
      <c r="K230" s="1" t="str">
        <f>IF('(OLD) Bilancio primo strato'!D230&gt;0,1,"")</f>
        <v/>
      </c>
      <c r="L230" s="7">
        <f>Sintesi!$C$34</f>
        <v>0.128</v>
      </c>
      <c r="M230" s="7">
        <f>Sintesi!$C$33</f>
        <v>0.25700000000000001</v>
      </c>
      <c r="N230" s="1">
        <f>'Paste cell here'!AA230</f>
        <v>0.75</v>
      </c>
      <c r="O230" s="1">
        <f>'Paste cell here'!H230</f>
        <v>0.47132490319870424</v>
      </c>
      <c r="P230" s="1">
        <f t="shared" si="19"/>
        <v>96.75</v>
      </c>
      <c r="Q230" s="1">
        <f t="shared" si="20"/>
        <v>45.600684384474633</v>
      </c>
      <c r="R230" s="1">
        <f t="shared" si="21"/>
        <v>147.14931561552538</v>
      </c>
      <c r="S230" s="5">
        <f t="shared" si="22"/>
        <v>0.22401701399072776</v>
      </c>
      <c r="T230" s="5">
        <f t="shared" si="23"/>
        <v>0.19619908748736717</v>
      </c>
    </row>
    <row r="231" spans="1:20">
      <c r="A231" s="1">
        <v>230</v>
      </c>
      <c r="B231" s="2">
        <f>DATE(Sintesi!$C$4-1,12,31)+A231</f>
        <v>44426</v>
      </c>
      <c r="C231" s="1">
        <f>'Paste cell here'!T231</f>
        <v>0.52777937966486566</v>
      </c>
      <c r="D231" s="1">
        <f>'Paste cell here'!AC231</f>
        <v>0</v>
      </c>
      <c r="E231" s="1">
        <f>'Paste cell here'!Y231</f>
        <v>4.6712909097136217</v>
      </c>
      <c r="F231" s="1">
        <f>'Paste cell here'!AD231</f>
        <v>4.1115423778809557E-2</v>
      </c>
      <c r="G231" s="1">
        <f>'Paste cell here'!W231</f>
        <v>0</v>
      </c>
      <c r="H231" s="1">
        <f>'Paste cell here'!AE231</f>
        <v>163.82813353921827</v>
      </c>
      <c r="I231" s="1">
        <f>'Paste cell here'!AF231</f>
        <v>168.01276049304582</v>
      </c>
      <c r="J231" s="1">
        <f t="shared" si="18"/>
        <v>2.8421709430404007E-14</v>
      </c>
      <c r="K231" s="1" t="str">
        <f>IF('(OLD) Bilancio primo strato'!D231&gt;0,1,"")</f>
        <v/>
      </c>
      <c r="L231" s="7">
        <f>Sintesi!$C$34</f>
        <v>0.128</v>
      </c>
      <c r="M231" s="7">
        <f>Sintesi!$C$33</f>
        <v>0.25700000000000001</v>
      </c>
      <c r="N231" s="1">
        <f>'Paste cell here'!AA231</f>
        <v>0.75</v>
      </c>
      <c r="O231" s="1">
        <f>'Paste cell here'!H231</f>
        <v>0.46789165707569391</v>
      </c>
      <c r="P231" s="1">
        <f t="shared" si="19"/>
        <v>96.75</v>
      </c>
      <c r="Q231" s="1">
        <f t="shared" si="20"/>
        <v>45.268517822073385</v>
      </c>
      <c r="R231" s="1">
        <f t="shared" si="21"/>
        <v>147.48148217792661</v>
      </c>
      <c r="S231" s="5">
        <f t="shared" si="22"/>
        <v>0.21843751138562437</v>
      </c>
      <c r="T231" s="5">
        <f t="shared" si="23"/>
        <v>0.19664197623723548</v>
      </c>
    </row>
    <row r="232" spans="1:20">
      <c r="A232" s="1">
        <v>231</v>
      </c>
      <c r="B232" s="2">
        <f>DATE(Sintesi!$C$4-1,12,31)+A232</f>
        <v>44427</v>
      </c>
      <c r="C232" s="1">
        <f>'Paste cell here'!T232</f>
        <v>0.25696211380467687</v>
      </c>
      <c r="D232" s="1">
        <f>'Paste cell here'!AC232</f>
        <v>0</v>
      </c>
      <c r="E232" s="1">
        <f>'Paste cell here'!Y232</f>
        <v>3.9504234850831468</v>
      </c>
      <c r="F232" s="1">
        <f>'Paste cell here'!AD232</f>
        <v>2.4986346299121786E-2</v>
      </c>
      <c r="G232" s="1">
        <f>'Paste cell here'!W232</f>
        <v>0</v>
      </c>
      <c r="H232" s="1">
        <f>'Paste cell here'!AE232</f>
        <v>160.10968582164068</v>
      </c>
      <c r="I232" s="1">
        <f>'Paste cell here'!AF232</f>
        <v>163.82813353921827</v>
      </c>
      <c r="J232" s="1">
        <f t="shared" si="18"/>
        <v>0</v>
      </c>
      <c r="K232" s="1" t="str">
        <f>IF('(OLD) Bilancio primo strato'!D232&gt;0,1,"")</f>
        <v/>
      </c>
      <c r="L232" s="7">
        <f>Sintesi!$C$34</f>
        <v>0.128</v>
      </c>
      <c r="M232" s="7">
        <f>Sintesi!$C$33</f>
        <v>0.25700000000000001</v>
      </c>
      <c r="N232" s="1">
        <f>'Paste cell here'!AA232</f>
        <v>0.75</v>
      </c>
      <c r="O232" s="1">
        <f>'Paste cell here'!H232</f>
        <v>0.48323094134873856</v>
      </c>
      <c r="P232" s="1">
        <f t="shared" si="19"/>
        <v>96.75</v>
      </c>
      <c r="Q232" s="1">
        <f t="shared" si="20"/>
        <v>46.752593575490458</v>
      </c>
      <c r="R232" s="1">
        <f t="shared" si="21"/>
        <v>145.99740642450953</v>
      </c>
      <c r="S232" s="5">
        <f t="shared" si="22"/>
        <v>0.2134795810955209</v>
      </c>
      <c r="T232" s="5">
        <f t="shared" si="23"/>
        <v>0.19466320856601271</v>
      </c>
    </row>
    <row r="233" spans="1:20">
      <c r="A233" s="1">
        <v>232</v>
      </c>
      <c r="B233" s="2">
        <f>DATE(Sintesi!$C$4-1,12,31)+A233</f>
        <v>44428</v>
      </c>
      <c r="C233" s="1">
        <f>'Paste cell here'!T233</f>
        <v>0.12800805377544469</v>
      </c>
      <c r="D233" s="1">
        <f>'Paste cell here'!AC233</f>
        <v>0</v>
      </c>
      <c r="E233" s="1">
        <f>'Paste cell here'!Y233</f>
        <v>3.754481285456817</v>
      </c>
      <c r="F233" s="1">
        <f>'Paste cell here'!AD233</f>
        <v>1.5763652553703274E-2</v>
      </c>
      <c r="G233" s="1">
        <f>'Paste cell here'!W233</f>
        <v>0</v>
      </c>
      <c r="H233" s="1">
        <f>'Paste cell here'!AE233</f>
        <v>156.46744893740563</v>
      </c>
      <c r="I233" s="1">
        <f>'Paste cell here'!AF233</f>
        <v>160.10968582164068</v>
      </c>
      <c r="J233" s="1">
        <f t="shared" si="18"/>
        <v>5.6843418860808015E-14</v>
      </c>
      <c r="K233" s="1" t="str">
        <f>IF('(OLD) Bilancio primo strato'!D233&gt;0,1,"")</f>
        <v/>
      </c>
      <c r="L233" s="7">
        <f>Sintesi!$C$34</f>
        <v>0.128</v>
      </c>
      <c r="M233" s="7">
        <f>Sintesi!$C$33</f>
        <v>0.25700000000000001</v>
      </c>
      <c r="N233" s="1">
        <f>'Paste cell here'!AA233</f>
        <v>0.75</v>
      </c>
      <c r="O233" s="1">
        <f>'Paste cell here'!H233</f>
        <v>0.50778522420601058</v>
      </c>
      <c r="P233" s="1">
        <f t="shared" si="19"/>
        <v>96.75</v>
      </c>
      <c r="Q233" s="1">
        <f t="shared" si="20"/>
        <v>49.128220441931525</v>
      </c>
      <c r="R233" s="1">
        <f t="shared" si="21"/>
        <v>143.62177955806848</v>
      </c>
      <c r="S233" s="5">
        <f t="shared" si="22"/>
        <v>0.20862326524987418</v>
      </c>
      <c r="T233" s="5">
        <f t="shared" si="23"/>
        <v>0.19149570607742464</v>
      </c>
    </row>
    <row r="234" spans="1:20">
      <c r="A234" s="1">
        <v>233</v>
      </c>
      <c r="B234" s="2">
        <f>DATE(Sintesi!$C$4-1,12,31)+A234</f>
        <v>44429</v>
      </c>
      <c r="C234" s="1">
        <f>'Paste cell here'!T234</f>
        <v>5.9543864751793678E-2</v>
      </c>
      <c r="D234" s="1">
        <f>'Paste cell here'!AC234</f>
        <v>0</v>
      </c>
      <c r="E234" s="1">
        <f>'Paste cell here'!Y234</f>
        <v>3.7681322474553181</v>
      </c>
      <c r="F234" s="1">
        <f>'Paste cell here'!AD234</f>
        <v>1.0035012638506658E-2</v>
      </c>
      <c r="G234" s="1">
        <f>'Paste cell here'!W234</f>
        <v>0</v>
      </c>
      <c r="H234" s="1">
        <f>'Paste cell here'!AE234</f>
        <v>152.74882554206366</v>
      </c>
      <c r="I234" s="1">
        <f>'Paste cell here'!AF234</f>
        <v>156.46744893740563</v>
      </c>
      <c r="J234" s="1">
        <f t="shared" si="18"/>
        <v>5.6843418860808015E-14</v>
      </c>
      <c r="K234" s="1" t="str">
        <f>IF('(OLD) Bilancio primo strato'!D234&gt;0,1,"")</f>
        <v/>
      </c>
      <c r="L234" s="7">
        <f>Sintesi!$C$34</f>
        <v>0.128</v>
      </c>
      <c r="M234" s="7">
        <f>Sintesi!$C$33</f>
        <v>0.25700000000000001</v>
      </c>
      <c r="N234" s="1">
        <f>'Paste cell here'!AA234</f>
        <v>0.75</v>
      </c>
      <c r="O234" s="1">
        <f>'Paste cell here'!H234</f>
        <v>0.50953845810828569</v>
      </c>
      <c r="P234" s="1">
        <f t="shared" si="19"/>
        <v>96.75</v>
      </c>
      <c r="Q234" s="1">
        <f t="shared" si="20"/>
        <v>49.297845821976637</v>
      </c>
      <c r="R234" s="1">
        <f t="shared" si="21"/>
        <v>143.45215417802336</v>
      </c>
      <c r="S234" s="5">
        <f t="shared" si="22"/>
        <v>0.20366510072275154</v>
      </c>
      <c r="T234" s="5">
        <f t="shared" si="23"/>
        <v>0.19126953890403114</v>
      </c>
    </row>
    <row r="235" spans="1:20">
      <c r="A235" s="1">
        <v>234</v>
      </c>
      <c r="B235" s="2">
        <f>DATE(Sintesi!$C$4-1,12,31)+A235</f>
        <v>44430</v>
      </c>
      <c r="C235" s="1">
        <f>'Paste cell here'!T235</f>
        <v>46.378602383607145</v>
      </c>
      <c r="D235" s="1">
        <f>'Paste cell here'!AC235</f>
        <v>0</v>
      </c>
      <c r="E235" s="1">
        <f>'Paste cell here'!Y235</f>
        <v>3.4154576575009421</v>
      </c>
      <c r="F235" s="1">
        <f>'Paste cell here'!AD235</f>
        <v>0.69859520147626986</v>
      </c>
      <c r="G235" s="1">
        <f>'Paste cell here'!W235</f>
        <v>0</v>
      </c>
      <c r="H235" s="1">
        <f>'Paste cell here'!AE235</f>
        <v>195.01337506669364</v>
      </c>
      <c r="I235" s="1">
        <f>'Paste cell here'!AF235</f>
        <v>152.74882554206366</v>
      </c>
      <c r="J235" s="1">
        <f t="shared" si="18"/>
        <v>5.6843418860808015E-14</v>
      </c>
      <c r="K235" s="1">
        <f>IF('(OLD) Bilancio primo strato'!D235&gt;0,1,"")</f>
        <v>1</v>
      </c>
      <c r="L235" s="7">
        <f>Sintesi!$C$34</f>
        <v>0.128</v>
      </c>
      <c r="M235" s="7">
        <f>Sintesi!$C$33</f>
        <v>0.25700000000000001</v>
      </c>
      <c r="N235" s="1">
        <f>'Paste cell here'!AA235</f>
        <v>0.75</v>
      </c>
      <c r="O235" s="1">
        <f>'Paste cell here'!H235</f>
        <v>0.49906977013600134</v>
      </c>
      <c r="P235" s="1">
        <f t="shared" si="19"/>
        <v>96.75</v>
      </c>
      <c r="Q235" s="1">
        <f t="shared" si="20"/>
        <v>48.28500026065813</v>
      </c>
      <c r="R235" s="1">
        <f t="shared" si="21"/>
        <v>144.46499973934186</v>
      </c>
      <c r="S235" s="5">
        <f t="shared" si="22"/>
        <v>0.2600178334222582</v>
      </c>
      <c r="T235" s="5">
        <f t="shared" si="23"/>
        <v>0.19261999965245583</v>
      </c>
    </row>
    <row r="236" spans="1:20">
      <c r="A236" s="1">
        <v>235</v>
      </c>
      <c r="B236" s="2">
        <f>DATE(Sintesi!$C$4-1,12,31)+A236</f>
        <v>44431</v>
      </c>
      <c r="C236" s="1">
        <f>'Paste cell here'!T236</f>
        <v>3.8056963358876432</v>
      </c>
      <c r="D236" s="1">
        <f>'Paste cell here'!AC236</f>
        <v>0</v>
      </c>
      <c r="E236" s="1">
        <f>'Paste cell here'!Y236</f>
        <v>3.3324344517211313</v>
      </c>
      <c r="F236" s="1">
        <f>'Paste cell here'!AD236</f>
        <v>1.3590240147324473</v>
      </c>
      <c r="G236" s="1">
        <f>'Paste cell here'!W236</f>
        <v>0</v>
      </c>
      <c r="H236" s="1">
        <f>'Paste cell here'!AE236</f>
        <v>194.12761293612778</v>
      </c>
      <c r="I236" s="1">
        <f>'Paste cell here'!AF236</f>
        <v>195.01337506669364</v>
      </c>
      <c r="J236" s="1">
        <f t="shared" si="18"/>
        <v>8.5265128291212022E-14</v>
      </c>
      <c r="K236" s="1" t="str">
        <f>IF('(OLD) Bilancio primo strato'!D236&gt;0,1,"")</f>
        <v/>
      </c>
      <c r="L236" s="7">
        <f>Sintesi!$C$34</f>
        <v>0.128</v>
      </c>
      <c r="M236" s="7">
        <f>Sintesi!$C$33</f>
        <v>0.25700000000000001</v>
      </c>
      <c r="N236" s="1">
        <f>'Paste cell here'!AA236</f>
        <v>0.75</v>
      </c>
      <c r="O236" s="1">
        <f>'Paste cell here'!H236</f>
        <v>0.5064398255371062</v>
      </c>
      <c r="P236" s="1">
        <f t="shared" si="19"/>
        <v>96.75</v>
      </c>
      <c r="Q236" s="1">
        <f t="shared" si="20"/>
        <v>48.998053120715028</v>
      </c>
      <c r="R236" s="1">
        <f t="shared" si="21"/>
        <v>143.75194687928496</v>
      </c>
      <c r="S236" s="5">
        <f t="shared" si="22"/>
        <v>0.25883681724817037</v>
      </c>
      <c r="T236" s="5">
        <f t="shared" si="23"/>
        <v>0.19166926250571328</v>
      </c>
    </row>
    <row r="237" spans="1:20">
      <c r="A237" s="1">
        <v>236</v>
      </c>
      <c r="B237" s="2">
        <f>DATE(Sintesi!$C$4-1,12,31)+A237</f>
        <v>44432</v>
      </c>
      <c r="C237" s="1">
        <f>'Paste cell here'!T237</f>
        <v>1.4244008326237787</v>
      </c>
      <c r="D237" s="1">
        <f>'Paste cell here'!AC237</f>
        <v>0</v>
      </c>
      <c r="E237" s="1">
        <f>'Paste cell here'!Y237</f>
        <v>2.7126299879924867</v>
      </c>
      <c r="F237" s="1">
        <f>'Paste cell here'!AD237</f>
        <v>0.95090498661548195</v>
      </c>
      <c r="G237" s="1">
        <f>'Paste cell here'!W237</f>
        <v>0</v>
      </c>
      <c r="H237" s="1">
        <f>'Paste cell here'!AE237</f>
        <v>191.88847879414368</v>
      </c>
      <c r="I237" s="1">
        <f>'Paste cell here'!AF237</f>
        <v>194.1276129361278</v>
      </c>
      <c r="J237" s="1">
        <f t="shared" si="18"/>
        <v>8.5265128291212022E-14</v>
      </c>
      <c r="K237" s="1" t="str">
        <f>IF('(OLD) Bilancio primo strato'!D237&gt;0,1,"")</f>
        <v/>
      </c>
      <c r="L237" s="7">
        <f>Sintesi!$C$34</f>
        <v>0.128</v>
      </c>
      <c r="M237" s="7">
        <f>Sintesi!$C$33</f>
        <v>0.25700000000000001</v>
      </c>
      <c r="N237" s="1">
        <f>'Paste cell here'!AA237</f>
        <v>0.75</v>
      </c>
      <c r="O237" s="1">
        <f>'Paste cell here'!H237</f>
        <v>0.50322779486555658</v>
      </c>
      <c r="P237" s="1">
        <f t="shared" si="19"/>
        <v>96.75</v>
      </c>
      <c r="Q237" s="1">
        <f t="shared" si="20"/>
        <v>48.687289153242595</v>
      </c>
      <c r="R237" s="1">
        <f t="shared" si="21"/>
        <v>144.0627108467574</v>
      </c>
      <c r="S237" s="5">
        <f t="shared" si="22"/>
        <v>0.25585130505885822</v>
      </c>
      <c r="T237" s="5">
        <f t="shared" si="23"/>
        <v>0.19208361446234321</v>
      </c>
    </row>
    <row r="238" spans="1:20">
      <c r="A238" s="1">
        <v>237</v>
      </c>
      <c r="B238" s="2">
        <f>DATE(Sintesi!$C$4-1,12,31)+A238</f>
        <v>44433</v>
      </c>
      <c r="C238" s="1">
        <f>'Paste cell here'!T238</f>
        <v>0.32418903038996422</v>
      </c>
      <c r="D238" s="1">
        <f>'Paste cell here'!AC238</f>
        <v>0</v>
      </c>
      <c r="E238" s="1">
        <f>'Paste cell here'!Y238</f>
        <v>2.6043257689099479</v>
      </c>
      <c r="F238" s="1">
        <f>'Paste cell here'!AD238</f>
        <v>0.61844261776956422</v>
      </c>
      <c r="G238" s="1">
        <f>'Paste cell here'!W238</f>
        <v>0</v>
      </c>
      <c r="H238" s="1">
        <f>'Paste cell here'!AE238</f>
        <v>188.98989943785418</v>
      </c>
      <c r="I238" s="1">
        <f>'Paste cell here'!AF238</f>
        <v>191.88847879414368</v>
      </c>
      <c r="J238" s="1">
        <f t="shared" si="18"/>
        <v>5.6843418860808015E-14</v>
      </c>
      <c r="K238" s="1" t="str">
        <f>IF('(OLD) Bilancio primo strato'!D238&gt;0,1,"")</f>
        <v/>
      </c>
      <c r="L238" s="7">
        <f>Sintesi!$C$34</f>
        <v>0.128</v>
      </c>
      <c r="M238" s="7">
        <f>Sintesi!$C$33</f>
        <v>0.25700000000000001</v>
      </c>
      <c r="N238" s="1">
        <f>'Paste cell here'!AA238</f>
        <v>0.75</v>
      </c>
      <c r="O238" s="1">
        <f>'Paste cell here'!H238</f>
        <v>0.52965357053291984</v>
      </c>
      <c r="P238" s="1">
        <f t="shared" si="19"/>
        <v>96.75</v>
      </c>
      <c r="Q238" s="1">
        <f t="shared" si="20"/>
        <v>51.243982949059998</v>
      </c>
      <c r="R238" s="1">
        <f t="shared" si="21"/>
        <v>141.50601705093999</v>
      </c>
      <c r="S238" s="5">
        <f t="shared" si="22"/>
        <v>0.25198653258380554</v>
      </c>
      <c r="T238" s="5">
        <f t="shared" si="23"/>
        <v>0.18867468940125331</v>
      </c>
    </row>
    <row r="239" spans="1:20">
      <c r="A239" s="1">
        <v>238</v>
      </c>
      <c r="B239" s="2">
        <f>DATE(Sintesi!$C$4-1,12,31)+A239</f>
        <v>44434</v>
      </c>
      <c r="C239" s="1">
        <f>'Paste cell here'!T239</f>
        <v>7.5830459705121825E-2</v>
      </c>
      <c r="D239" s="1">
        <f>'Paste cell here'!AC239</f>
        <v>0</v>
      </c>
      <c r="E239" s="1">
        <f>'Paste cell here'!Y239</f>
        <v>2.7847304174489222</v>
      </c>
      <c r="F239" s="1">
        <f>'Paste cell here'!AD239</f>
        <v>0.39791958255085247</v>
      </c>
      <c r="G239" s="1">
        <f>'Paste cell here'!W239</f>
        <v>0</v>
      </c>
      <c r="H239" s="1">
        <f>'Paste cell here'!AE239</f>
        <v>185.88307989755947</v>
      </c>
      <c r="I239" s="1">
        <f>'Paste cell here'!AF239</f>
        <v>188.98989943785415</v>
      </c>
      <c r="J239" s="1">
        <f t="shared" si="18"/>
        <v>2.8421709430404007E-14</v>
      </c>
      <c r="K239" s="1" t="str">
        <f>IF('(OLD) Bilancio primo strato'!D239&gt;0,1,"")</f>
        <v/>
      </c>
      <c r="L239" s="7">
        <f>Sintesi!$C$34</f>
        <v>0.128</v>
      </c>
      <c r="M239" s="7">
        <f>Sintesi!$C$33</f>
        <v>0.25700000000000001</v>
      </c>
      <c r="N239" s="1">
        <f>'Paste cell here'!AA239</f>
        <v>0.75</v>
      </c>
      <c r="O239" s="1">
        <f>'Paste cell here'!H239</f>
        <v>0.52565128376378911</v>
      </c>
      <c r="P239" s="1">
        <f t="shared" si="19"/>
        <v>96.75</v>
      </c>
      <c r="Q239" s="1">
        <f t="shared" si="20"/>
        <v>50.856761704146599</v>
      </c>
      <c r="R239" s="1">
        <f t="shared" si="21"/>
        <v>141.89323829585339</v>
      </c>
      <c r="S239" s="5">
        <f t="shared" si="22"/>
        <v>0.24784410653007929</v>
      </c>
      <c r="T239" s="5">
        <f t="shared" si="23"/>
        <v>0.18919098439447118</v>
      </c>
    </row>
    <row r="240" spans="1:20">
      <c r="A240" s="1">
        <v>239</v>
      </c>
      <c r="B240" s="2">
        <f>DATE(Sintesi!$C$4-1,12,31)+A240</f>
        <v>44435</v>
      </c>
      <c r="C240" s="1">
        <f>'Paste cell here'!T240</f>
        <v>1.4871954203945489E-2</v>
      </c>
      <c r="D240" s="1">
        <f>'Paste cell here'!AC240</f>
        <v>0</v>
      </c>
      <c r="E240" s="1">
        <f>'Paste cell here'!Y240</f>
        <v>1.7804814557095254</v>
      </c>
      <c r="F240" s="1">
        <f>'Paste cell here'!AD240</f>
        <v>0.2676754067698599</v>
      </c>
      <c r="G240" s="1">
        <f>'Paste cell here'!W240</f>
        <v>0</v>
      </c>
      <c r="H240" s="1">
        <f>'Paste cell here'!AE240</f>
        <v>183.84979498928396</v>
      </c>
      <c r="I240" s="1">
        <f>'Paste cell here'!AF240</f>
        <v>185.88307989755947</v>
      </c>
      <c r="J240" s="1">
        <f t="shared" si="18"/>
        <v>8.5265128291212022E-14</v>
      </c>
      <c r="K240" s="1" t="str">
        <f>IF('(OLD) Bilancio primo strato'!D240&gt;0,1,"")</f>
        <v/>
      </c>
      <c r="L240" s="7">
        <f>Sintesi!$C$34</f>
        <v>0.128</v>
      </c>
      <c r="M240" s="7">
        <f>Sintesi!$C$33</f>
        <v>0.25700000000000001</v>
      </c>
      <c r="N240" s="1">
        <f>'Paste cell here'!AA240</f>
        <v>0.75</v>
      </c>
      <c r="O240" s="1">
        <f>'Paste cell here'!H240</f>
        <v>0.49577504854034427</v>
      </c>
      <c r="P240" s="1">
        <f t="shared" si="19"/>
        <v>96.75</v>
      </c>
      <c r="Q240" s="1">
        <f t="shared" si="20"/>
        <v>47.96623594627831</v>
      </c>
      <c r="R240" s="1">
        <f t="shared" si="21"/>
        <v>144.78376405372168</v>
      </c>
      <c r="S240" s="5">
        <f t="shared" si="22"/>
        <v>0.24513305998571194</v>
      </c>
      <c r="T240" s="5">
        <f t="shared" si="23"/>
        <v>0.19304501873829558</v>
      </c>
    </row>
    <row r="241" spans="1:20">
      <c r="A241" s="1">
        <v>240</v>
      </c>
      <c r="B241" s="2">
        <f>DATE(Sintesi!$C$4-1,12,31)+A241</f>
        <v>44436</v>
      </c>
      <c r="C241" s="1">
        <f>'Paste cell here'!T241</f>
        <v>3.0946983273859936E-3</v>
      </c>
      <c r="D241" s="1">
        <f>'Paste cell here'!AC241</f>
        <v>0</v>
      </c>
      <c r="E241" s="1">
        <f>'Paste cell here'!Y241</f>
        <v>2.1917217153455573</v>
      </c>
      <c r="F241" s="1">
        <f>'Paste cell here'!AD241</f>
        <v>0.18892686939037898</v>
      </c>
      <c r="G241" s="1">
        <f>'Paste cell here'!W241</f>
        <v>0</v>
      </c>
      <c r="H241" s="1">
        <f>'Paste cell here'!AE241</f>
        <v>181.47224110287539</v>
      </c>
      <c r="I241" s="1">
        <f>'Paste cell here'!AF241</f>
        <v>183.84979498928394</v>
      </c>
      <c r="J241" s="1">
        <f t="shared" si="18"/>
        <v>0</v>
      </c>
      <c r="K241" s="1" t="str">
        <f>IF('(OLD) Bilancio primo strato'!D241&gt;0,1,"")</f>
        <v/>
      </c>
      <c r="L241" s="7">
        <f>Sintesi!$C$34</f>
        <v>0.128</v>
      </c>
      <c r="M241" s="7">
        <f>Sintesi!$C$33</f>
        <v>0.25700000000000001</v>
      </c>
      <c r="N241" s="1">
        <f>'Paste cell here'!AA241</f>
        <v>0.75</v>
      </c>
      <c r="O241" s="1">
        <f>'Paste cell here'!H241</f>
        <v>0.56673085365243947</v>
      </c>
      <c r="P241" s="1">
        <f t="shared" si="19"/>
        <v>96.75</v>
      </c>
      <c r="Q241" s="1">
        <f t="shared" si="20"/>
        <v>54.831210090873519</v>
      </c>
      <c r="R241" s="1">
        <f t="shared" si="21"/>
        <v>137.91878990912647</v>
      </c>
      <c r="S241" s="5">
        <f t="shared" si="22"/>
        <v>0.24196298813716718</v>
      </c>
      <c r="T241" s="5">
        <f t="shared" si="23"/>
        <v>0.18389171987883529</v>
      </c>
    </row>
    <row r="242" spans="1:20">
      <c r="A242" s="1">
        <v>241</v>
      </c>
      <c r="B242" s="2">
        <f>DATE(Sintesi!$C$4-1,12,31)+A242</f>
        <v>44437</v>
      </c>
      <c r="C242" s="1">
        <f>'Paste cell here'!T242</f>
        <v>2.6956193111495963E-4</v>
      </c>
      <c r="D242" s="1">
        <f>'Paste cell here'!AC242</f>
        <v>0</v>
      </c>
      <c r="E242" s="1">
        <f>'Paste cell here'!Y242</f>
        <v>2.0596800285482018</v>
      </c>
      <c r="F242" s="1">
        <f>'Paste cell here'!AD242</f>
        <v>0.1348580259704906</v>
      </c>
      <c r="G242" s="1">
        <f>'Paste cell here'!W242</f>
        <v>0</v>
      </c>
      <c r="H242" s="1">
        <f>'Paste cell here'!AE242</f>
        <v>179.27797261028775</v>
      </c>
      <c r="I242" s="1">
        <f>'Paste cell here'!AF242</f>
        <v>181.47224110287539</v>
      </c>
      <c r="J242" s="1">
        <f t="shared" si="18"/>
        <v>5.6843418860808015E-14</v>
      </c>
      <c r="K242" s="1" t="str">
        <f>IF('(OLD) Bilancio primo strato'!D242&gt;0,1,"")</f>
        <v/>
      </c>
      <c r="L242" s="7">
        <f>Sintesi!$C$34</f>
        <v>0.128</v>
      </c>
      <c r="M242" s="7">
        <f>Sintesi!$C$33</f>
        <v>0.25700000000000001</v>
      </c>
      <c r="N242" s="1">
        <f>'Paste cell here'!AA242</f>
        <v>0.75</v>
      </c>
      <c r="O242" s="1">
        <f>'Paste cell here'!H242</f>
        <v>0.51438994112060776</v>
      </c>
      <c r="P242" s="1">
        <f t="shared" si="19"/>
        <v>96.75</v>
      </c>
      <c r="Q242" s="1">
        <f t="shared" si="20"/>
        <v>49.767226803418801</v>
      </c>
      <c r="R242" s="1">
        <f t="shared" si="21"/>
        <v>142.98277319658121</v>
      </c>
      <c r="S242" s="5">
        <f t="shared" si="22"/>
        <v>0.23903729681371699</v>
      </c>
      <c r="T242" s="5">
        <f t="shared" si="23"/>
        <v>0.19064369759544161</v>
      </c>
    </row>
    <row r="243" spans="1:20">
      <c r="A243" s="1">
        <v>242</v>
      </c>
      <c r="B243" s="2">
        <f>DATE(Sintesi!$C$4-1,12,31)+A243</f>
        <v>44438</v>
      </c>
      <c r="C243" s="1">
        <f>'Paste cell here'!T243</f>
        <v>1.5283155080459937E-5</v>
      </c>
      <c r="D243" s="1">
        <f>'Paste cell here'!AC243</f>
        <v>0</v>
      </c>
      <c r="E243" s="1">
        <f>'Paste cell here'!Y243</f>
        <v>1.9271131438707265</v>
      </c>
      <c r="F243" s="1">
        <f>'Paste cell here'!AD243</f>
        <v>9.9501248947915538E-2</v>
      </c>
      <c r="G243" s="1">
        <f>'Paste cell here'!W243</f>
        <v>0</v>
      </c>
      <c r="H243" s="1">
        <f>'Paste cell here'!AE243</f>
        <v>177.2513735006242</v>
      </c>
      <c r="I243" s="1">
        <f>'Paste cell here'!AF243</f>
        <v>179.27797261028775</v>
      </c>
      <c r="J243" s="1">
        <f t="shared" si="18"/>
        <v>0</v>
      </c>
      <c r="K243" s="1" t="str">
        <f>IF('(OLD) Bilancio primo strato'!D243&gt;0,1,"")</f>
        <v/>
      </c>
      <c r="L243" s="7">
        <f>Sintesi!$C$34</f>
        <v>0.128</v>
      </c>
      <c r="M243" s="7">
        <f>Sintesi!$C$33</f>
        <v>0.25700000000000001</v>
      </c>
      <c r="N243" s="1">
        <f>'Paste cell here'!AA243</f>
        <v>0.75</v>
      </c>
      <c r="O243" s="1">
        <f>'Paste cell here'!H243</f>
        <v>0.50789960710457416</v>
      </c>
      <c r="P243" s="1">
        <f t="shared" si="19"/>
        <v>96.75</v>
      </c>
      <c r="Q243" s="1">
        <f t="shared" si="20"/>
        <v>49.139286987367548</v>
      </c>
      <c r="R243" s="1">
        <f t="shared" si="21"/>
        <v>143.61071301263246</v>
      </c>
      <c r="S243" s="5">
        <f t="shared" si="22"/>
        <v>0.23633516466749893</v>
      </c>
      <c r="T243" s="5">
        <f t="shared" si="23"/>
        <v>0.19148095068350995</v>
      </c>
    </row>
    <row r="244" spans="1:20">
      <c r="A244" s="1">
        <v>243</v>
      </c>
      <c r="B244" s="2">
        <f>DATE(Sintesi!$C$4-1,12,31)+A244</f>
        <v>44439</v>
      </c>
      <c r="C244" s="1">
        <f>'Paste cell here'!T244</f>
        <v>6.090170379609002E-7</v>
      </c>
      <c r="D244" s="1">
        <f>'Paste cell here'!AC244</f>
        <v>0</v>
      </c>
      <c r="E244" s="1">
        <f>'Paste cell here'!Y244</f>
        <v>1.6381056161971941</v>
      </c>
      <c r="F244" s="1">
        <f>'Paste cell here'!AD244</f>
        <v>7.625036814681678E-2</v>
      </c>
      <c r="G244" s="1">
        <f>'Paste cell here'!W244</f>
        <v>0</v>
      </c>
      <c r="H244" s="1">
        <f>'Paste cell here'!AE244</f>
        <v>175.53701812529721</v>
      </c>
      <c r="I244" s="1">
        <f>'Paste cell here'!AF244</f>
        <v>177.2513735006242</v>
      </c>
      <c r="J244" s="1">
        <f t="shared" si="18"/>
        <v>0</v>
      </c>
      <c r="K244" s="1" t="str">
        <f>IF('(OLD) Bilancio primo strato'!D244&gt;0,1,"")</f>
        <v/>
      </c>
      <c r="L244" s="7">
        <f>Sintesi!$C$34</f>
        <v>0.128</v>
      </c>
      <c r="M244" s="7">
        <f>Sintesi!$C$33</f>
        <v>0.25700000000000001</v>
      </c>
      <c r="N244" s="1">
        <f>'Paste cell here'!AA244</f>
        <v>0.75</v>
      </c>
      <c r="O244" s="1">
        <f>'Paste cell here'!H244</f>
        <v>0.50255731785576874</v>
      </c>
      <c r="P244" s="1">
        <f t="shared" si="19"/>
        <v>96.75</v>
      </c>
      <c r="Q244" s="1">
        <f t="shared" si="20"/>
        <v>48.622420502545623</v>
      </c>
      <c r="R244" s="1">
        <f t="shared" si="21"/>
        <v>144.12757949745438</v>
      </c>
      <c r="S244" s="5">
        <f t="shared" si="22"/>
        <v>0.23404935750039627</v>
      </c>
      <c r="T244" s="5">
        <f t="shared" si="23"/>
        <v>0.19217010599660583</v>
      </c>
    </row>
    <row r="245" spans="1:20">
      <c r="A245" s="1">
        <v>244</v>
      </c>
      <c r="B245" s="2">
        <f>DATE(Sintesi!$C$4-1,12,31)+A245</f>
        <v>44440</v>
      </c>
      <c r="C245" s="1">
        <f>'Paste cell here'!T245</f>
        <v>2.1696230077560373E-8</v>
      </c>
      <c r="D245" s="1">
        <f>'Paste cell here'!AC245</f>
        <v>0</v>
      </c>
      <c r="E245" s="1">
        <f>'Paste cell here'!Y245</f>
        <v>1.533625663057584</v>
      </c>
      <c r="F245" s="1">
        <f>'Paste cell here'!AD245</f>
        <v>6.0590996252469345E-2</v>
      </c>
      <c r="G245" s="1">
        <f>'Paste cell here'!W245</f>
        <v>0</v>
      </c>
      <c r="H245" s="1">
        <f>'Paste cell here'!AE245</f>
        <v>173.94280148768345</v>
      </c>
      <c r="I245" s="1">
        <f>'Paste cell here'!AF245</f>
        <v>175.53701812529721</v>
      </c>
      <c r="J245" s="1">
        <f t="shared" si="18"/>
        <v>8.5265128291212022E-14</v>
      </c>
      <c r="K245" s="1" t="str">
        <f>IF('(OLD) Bilancio primo strato'!D245&gt;0,1,"")</f>
        <v/>
      </c>
      <c r="L245" s="7">
        <f>Sintesi!$C$34</f>
        <v>0.128</v>
      </c>
      <c r="M245" s="7">
        <f>Sintesi!$C$33</f>
        <v>0.25700000000000001</v>
      </c>
      <c r="N245" s="1">
        <f>'Paste cell here'!AA245</f>
        <v>0.75</v>
      </c>
      <c r="O245" s="1">
        <f>'Paste cell here'!H245</f>
        <v>0.51969414505969647</v>
      </c>
      <c r="P245" s="1">
        <f t="shared" si="19"/>
        <v>96.75</v>
      </c>
      <c r="Q245" s="1">
        <f t="shared" si="20"/>
        <v>50.280408534525634</v>
      </c>
      <c r="R245" s="1">
        <f t="shared" si="21"/>
        <v>142.46959146547437</v>
      </c>
      <c r="S245" s="5">
        <f t="shared" si="22"/>
        <v>0.23192373531691127</v>
      </c>
      <c r="T245" s="5">
        <f t="shared" si="23"/>
        <v>0.18995945528729916</v>
      </c>
    </row>
    <row r="246" spans="1:20">
      <c r="A246" s="1">
        <v>245</v>
      </c>
      <c r="B246" s="2">
        <f>DATE(Sintesi!$C$4-1,12,31)+A246</f>
        <v>44441</v>
      </c>
      <c r="C246" s="1">
        <f>'Paste cell here'!T246</f>
        <v>3.6542940330984004E-10</v>
      </c>
      <c r="D246" s="1">
        <f>'Paste cell here'!AC246</f>
        <v>0</v>
      </c>
      <c r="E246" s="1">
        <f>'Paste cell here'!Y246</f>
        <v>1.5066741086981124</v>
      </c>
      <c r="F246" s="1">
        <f>'Paste cell here'!AD246</f>
        <v>4.9276112154421556E-2</v>
      </c>
      <c r="G246" s="1">
        <f>'Paste cell here'!W246</f>
        <v>0</v>
      </c>
      <c r="H246" s="1">
        <f>'Paste cell here'!AE246</f>
        <v>172.38685126719642</v>
      </c>
      <c r="I246" s="1">
        <f>'Paste cell here'!AF246</f>
        <v>173.94280148768345</v>
      </c>
      <c r="J246" s="1">
        <f t="shared" si="18"/>
        <v>8.5265128291212022E-14</v>
      </c>
      <c r="K246" s="1" t="str">
        <f>IF('(OLD) Bilancio primo strato'!D246&gt;0,1,"")</f>
        <v/>
      </c>
      <c r="L246" s="7">
        <f>Sintesi!$C$34</f>
        <v>0.128</v>
      </c>
      <c r="M246" s="7">
        <f>Sintesi!$C$33</f>
        <v>0.25700000000000001</v>
      </c>
      <c r="N246" s="1">
        <f>'Paste cell here'!AA246</f>
        <v>0.75</v>
      </c>
      <c r="O246" s="1">
        <f>'Paste cell here'!H246</f>
        <v>0.51159745723519312</v>
      </c>
      <c r="P246" s="1">
        <f t="shared" si="19"/>
        <v>96.75</v>
      </c>
      <c r="Q246" s="1">
        <f t="shared" si="20"/>
        <v>49.497053987504934</v>
      </c>
      <c r="R246" s="1">
        <f t="shared" si="21"/>
        <v>143.25294601249507</v>
      </c>
      <c r="S246" s="5">
        <f t="shared" si="22"/>
        <v>0.22984913502292856</v>
      </c>
      <c r="T246" s="5">
        <f t="shared" si="23"/>
        <v>0.19100392801666011</v>
      </c>
    </row>
    <row r="247" spans="1:20">
      <c r="A247" s="1">
        <v>246</v>
      </c>
      <c r="B247" s="2">
        <f>DATE(Sintesi!$C$4-1,12,31)+A247</f>
        <v>44442</v>
      </c>
      <c r="C247" s="1">
        <f>'Paste cell here'!T247</f>
        <v>1.1189089280224238E-12</v>
      </c>
      <c r="D247" s="1">
        <f>'Paste cell here'!AC247</f>
        <v>0</v>
      </c>
      <c r="E247" s="1">
        <f>'Paste cell here'!Y247</f>
        <v>1.2194206191501853</v>
      </c>
      <c r="F247" s="1">
        <f>'Paste cell here'!AD247</f>
        <v>4.118870575518007E-2</v>
      </c>
      <c r="G247" s="1">
        <f>'Paste cell here'!W247</f>
        <v>0</v>
      </c>
      <c r="H247" s="1">
        <f>'Paste cell here'!AE247</f>
        <v>171.12624194229221</v>
      </c>
      <c r="I247" s="1">
        <f>'Paste cell here'!AF247</f>
        <v>172.38685126719642</v>
      </c>
      <c r="J247" s="1">
        <f t="shared" si="18"/>
        <v>5.6843418860808015E-14</v>
      </c>
      <c r="K247" s="1" t="str">
        <f>IF('(OLD) Bilancio primo strato'!D247&gt;0,1,"")</f>
        <v/>
      </c>
      <c r="L247" s="7">
        <f>Sintesi!$C$34</f>
        <v>0.128</v>
      </c>
      <c r="M247" s="7">
        <f>Sintesi!$C$33</f>
        <v>0.25700000000000001</v>
      </c>
      <c r="N247" s="1">
        <f>'Paste cell here'!AA247</f>
        <v>0.75</v>
      </c>
      <c r="O247" s="1">
        <f>'Paste cell here'!H247</f>
        <v>0.4892877394774634</v>
      </c>
      <c r="P247" s="1">
        <f t="shared" si="19"/>
        <v>96.75</v>
      </c>
      <c r="Q247" s="1">
        <f t="shared" si="20"/>
        <v>47.338588794444583</v>
      </c>
      <c r="R247" s="1">
        <f t="shared" si="21"/>
        <v>145.41141120555542</v>
      </c>
      <c r="S247" s="5">
        <f t="shared" si="22"/>
        <v>0.22816832258972294</v>
      </c>
      <c r="T247" s="5">
        <f t="shared" si="23"/>
        <v>0.19388188160740724</v>
      </c>
    </row>
    <row r="248" spans="1:20">
      <c r="A248" s="1">
        <v>247</v>
      </c>
      <c r="B248" s="2">
        <f>DATE(Sintesi!$C$4-1,12,31)+A248</f>
        <v>44443</v>
      </c>
      <c r="C248" s="1">
        <f>'Paste cell here'!T248</f>
        <v>2.9036338360119271E-16</v>
      </c>
      <c r="D248" s="1">
        <f>'Paste cell here'!AC248</f>
        <v>0</v>
      </c>
      <c r="E248" s="1">
        <f>'Paste cell here'!Y248</f>
        <v>1.0140100504675049</v>
      </c>
      <c r="F248" s="1">
        <f>'Paste cell here'!AD248</f>
        <v>3.560410890652637E-2</v>
      </c>
      <c r="G248" s="1">
        <f>'Paste cell here'!W248</f>
        <v>0</v>
      </c>
      <c r="H248" s="1">
        <f>'Paste cell here'!AE248</f>
        <v>170.07662778291825</v>
      </c>
      <c r="I248" s="1">
        <f>'Paste cell here'!AF248</f>
        <v>171.12624194229221</v>
      </c>
      <c r="J248" s="1">
        <f t="shared" si="18"/>
        <v>8.5265128291212022E-14</v>
      </c>
      <c r="K248" s="1" t="str">
        <f>IF('(OLD) Bilancio primo strato'!D248&gt;0,1,"")</f>
        <v/>
      </c>
      <c r="L248" s="7">
        <f>Sintesi!$C$34</f>
        <v>0.128</v>
      </c>
      <c r="M248" s="7">
        <f>Sintesi!$C$33</f>
        <v>0.25700000000000001</v>
      </c>
      <c r="N248" s="1">
        <f>'Paste cell here'!AA248</f>
        <v>0.75</v>
      </c>
      <c r="O248" s="1">
        <f>'Paste cell here'!H248</f>
        <v>0.50750897108450654</v>
      </c>
      <c r="P248" s="1">
        <f t="shared" si="19"/>
        <v>96.75</v>
      </c>
      <c r="Q248" s="1">
        <f t="shared" si="20"/>
        <v>49.101492952426007</v>
      </c>
      <c r="R248" s="1">
        <f t="shared" si="21"/>
        <v>143.64850704757399</v>
      </c>
      <c r="S248" s="5">
        <f t="shared" si="22"/>
        <v>0.226768837043891</v>
      </c>
      <c r="T248" s="5">
        <f t="shared" si="23"/>
        <v>0.19153134273009864</v>
      </c>
    </row>
    <row r="249" spans="1:20">
      <c r="A249" s="1">
        <v>248</v>
      </c>
      <c r="B249" s="2">
        <f>DATE(Sintesi!$C$4-1,12,31)+A249</f>
        <v>44444</v>
      </c>
      <c r="C249" s="1">
        <f>'Paste cell here'!T249</f>
        <v>0</v>
      </c>
      <c r="D249" s="1">
        <f>'Paste cell here'!AC249</f>
        <v>0</v>
      </c>
      <c r="E249" s="1">
        <f>'Paste cell here'!Y249</f>
        <v>0.85790827323604224</v>
      </c>
      <c r="F249" s="1">
        <f>'Paste cell here'!AD249</f>
        <v>3.1583021905009799E-2</v>
      </c>
      <c r="G249" s="1">
        <f>'Paste cell here'!W249</f>
        <v>0</v>
      </c>
      <c r="H249" s="1">
        <f>'Paste cell here'!AE249</f>
        <v>169.18713648777725</v>
      </c>
      <c r="I249" s="1">
        <f>'Paste cell here'!AF249</f>
        <v>170.07662778291828</v>
      </c>
      <c r="J249" s="1">
        <f t="shared" si="18"/>
        <v>2.8421709430404007E-14</v>
      </c>
      <c r="K249" s="1" t="str">
        <f>IF('(OLD) Bilancio primo strato'!D249&gt;0,1,"")</f>
        <v/>
      </c>
      <c r="L249" s="7">
        <f>Sintesi!$C$34</f>
        <v>0.128</v>
      </c>
      <c r="M249" s="7">
        <f>Sintesi!$C$33</f>
        <v>0.25700000000000001</v>
      </c>
      <c r="N249" s="1">
        <f>'Paste cell here'!AA249</f>
        <v>0.75</v>
      </c>
      <c r="O249" s="1">
        <f>'Paste cell here'!H249</f>
        <v>0.51782858435562429</v>
      </c>
      <c r="P249" s="1">
        <f t="shared" si="19"/>
        <v>96.75</v>
      </c>
      <c r="Q249" s="1">
        <f t="shared" si="20"/>
        <v>50.099915536406648</v>
      </c>
      <c r="R249" s="1">
        <f t="shared" si="21"/>
        <v>142.65008446359334</v>
      </c>
      <c r="S249" s="5">
        <f t="shared" si="22"/>
        <v>0.22558284865036968</v>
      </c>
      <c r="T249" s="5">
        <f t="shared" si="23"/>
        <v>0.19020011261812447</v>
      </c>
    </row>
    <row r="250" spans="1:20">
      <c r="A250" s="1">
        <v>249</v>
      </c>
      <c r="B250" s="2">
        <f>DATE(Sintesi!$C$4-1,12,31)+A250</f>
        <v>44445</v>
      </c>
      <c r="C250" s="1">
        <f>'Paste cell here'!T250</f>
        <v>30.023759968386731</v>
      </c>
      <c r="D250" s="1">
        <f>'Paste cell here'!AC250</f>
        <v>0</v>
      </c>
      <c r="E250" s="1">
        <f>'Paste cell here'!Y250</f>
        <v>0.7602370362515195</v>
      </c>
      <c r="F250" s="1">
        <f>'Paste cell here'!AD250</f>
        <v>0.93503286850568124</v>
      </c>
      <c r="G250" s="1">
        <f>'Paste cell here'!W250</f>
        <v>0</v>
      </c>
      <c r="H250" s="1">
        <f>'Paste cell here'!AE250</f>
        <v>197.5156265514068</v>
      </c>
      <c r="I250" s="1">
        <f>'Paste cell here'!AF250</f>
        <v>169.18713648777725</v>
      </c>
      <c r="J250" s="1">
        <f t="shared" si="18"/>
        <v>0</v>
      </c>
      <c r="K250" s="1">
        <f>IF('(OLD) Bilancio primo strato'!D250&gt;0,1,"")</f>
        <v>1</v>
      </c>
      <c r="L250" s="7">
        <f>Sintesi!$C$34</f>
        <v>0.128</v>
      </c>
      <c r="M250" s="7">
        <f>Sintesi!$C$33</f>
        <v>0.25700000000000001</v>
      </c>
      <c r="N250" s="1">
        <f>'Paste cell here'!AA250</f>
        <v>0.75</v>
      </c>
      <c r="O250" s="1">
        <f>'Paste cell here'!H250</f>
        <v>0.52022594849057957</v>
      </c>
      <c r="P250" s="1">
        <f t="shared" si="19"/>
        <v>96.75</v>
      </c>
      <c r="Q250" s="1">
        <f t="shared" si="20"/>
        <v>50.331860516463571</v>
      </c>
      <c r="R250" s="1">
        <f t="shared" si="21"/>
        <v>142.41813948353644</v>
      </c>
      <c r="S250" s="5">
        <f t="shared" si="22"/>
        <v>0.26335416873520906</v>
      </c>
      <c r="T250" s="5">
        <f t="shared" si="23"/>
        <v>0.18989085264471525</v>
      </c>
    </row>
    <row r="251" spans="1:20">
      <c r="A251" s="1">
        <v>250</v>
      </c>
      <c r="B251" s="2">
        <f>DATE(Sintesi!$C$4-1,12,31)+A251</f>
        <v>44446</v>
      </c>
      <c r="C251" s="1">
        <f>'Paste cell here'!T251</f>
        <v>1.5629588736119253</v>
      </c>
      <c r="D251" s="1">
        <f>'Paste cell here'!AC251</f>
        <v>0</v>
      </c>
      <c r="E251" s="1">
        <f>'Paste cell here'!Y251</f>
        <v>0.55608143986507952</v>
      </c>
      <c r="F251" s="1">
        <f>'Paste cell here'!AD251</f>
        <v>1.6539712183133841</v>
      </c>
      <c r="G251" s="1">
        <f>'Paste cell here'!W251</f>
        <v>0</v>
      </c>
      <c r="H251" s="1">
        <f>'Paste cell here'!AE251</f>
        <v>196.86853276684027</v>
      </c>
      <c r="I251" s="1">
        <f>'Paste cell here'!AF251</f>
        <v>197.5156265514068</v>
      </c>
      <c r="J251" s="1">
        <f t="shared" si="18"/>
        <v>0</v>
      </c>
      <c r="K251" s="1" t="str">
        <f>IF('(OLD) Bilancio primo strato'!D251&gt;0,1,"")</f>
        <v/>
      </c>
      <c r="L251" s="7">
        <f>Sintesi!$C$34</f>
        <v>0.128</v>
      </c>
      <c r="M251" s="7">
        <f>Sintesi!$C$33</f>
        <v>0.25700000000000001</v>
      </c>
      <c r="N251" s="1">
        <f>'Paste cell here'!AA251</f>
        <v>0.75</v>
      </c>
      <c r="O251" s="1">
        <f>'Paste cell here'!H251</f>
        <v>0.50263985781604492</v>
      </c>
      <c r="P251" s="1">
        <f t="shared" si="19"/>
        <v>96.75</v>
      </c>
      <c r="Q251" s="1">
        <f t="shared" si="20"/>
        <v>48.630406243702346</v>
      </c>
      <c r="R251" s="1">
        <f t="shared" si="21"/>
        <v>144.11959375629766</v>
      </c>
      <c r="S251" s="5">
        <f t="shared" si="22"/>
        <v>0.26249137702245368</v>
      </c>
      <c r="T251" s="5">
        <f t="shared" si="23"/>
        <v>0.1921594583417302</v>
      </c>
    </row>
    <row r="252" spans="1:20">
      <c r="A252" s="1">
        <v>251</v>
      </c>
      <c r="B252" s="2">
        <f>DATE(Sintesi!$C$4-1,12,31)+A252</f>
        <v>44447</v>
      </c>
      <c r="C252" s="1">
        <f>'Paste cell here'!T252</f>
        <v>8.9476411533271807E-2</v>
      </c>
      <c r="D252" s="1">
        <f>'Paste cell here'!AC252</f>
        <v>0</v>
      </c>
      <c r="E252" s="1">
        <f>'Paste cell here'!Y252</f>
        <v>0</v>
      </c>
      <c r="F252" s="1">
        <f>'Paste cell here'!AD252</f>
        <v>1.1371105567571465</v>
      </c>
      <c r="G252" s="1">
        <f>'Paste cell here'!W252</f>
        <v>0</v>
      </c>
      <c r="H252" s="1">
        <f>'Paste cell here'!AE252</f>
        <v>234.37089862161633</v>
      </c>
      <c r="I252" s="1">
        <f>'Paste cell here'!AF252</f>
        <v>235.41853276684026</v>
      </c>
      <c r="J252" s="1">
        <f t="shared" si="18"/>
        <v>5.6843418860808015E-14</v>
      </c>
      <c r="K252" s="1" t="str">
        <f>IF('(OLD) Bilancio primo strato'!D252&gt;0,1,"")</f>
        <v/>
      </c>
      <c r="L252" s="7">
        <f>Sintesi!$C$34</f>
        <v>0.128</v>
      </c>
      <c r="M252" s="7">
        <f>Sintesi!$C$33</f>
        <v>0.25700000000000001</v>
      </c>
      <c r="N252" s="1">
        <f>'Paste cell here'!AA252</f>
        <v>0.9</v>
      </c>
      <c r="O252" s="1">
        <f>'Paste cell here'!H252</f>
        <v>0.10000000149011612</v>
      </c>
      <c r="P252" s="1">
        <f t="shared" si="19"/>
        <v>116.10000000000001</v>
      </c>
      <c r="Q252" s="1">
        <f t="shared" si="20"/>
        <v>11.610000173002483</v>
      </c>
      <c r="R252" s="1">
        <f t="shared" si="21"/>
        <v>219.68999982699754</v>
      </c>
      <c r="S252" s="5">
        <f t="shared" si="22"/>
        <v>0.26041210957957373</v>
      </c>
      <c r="T252" s="5">
        <f t="shared" si="23"/>
        <v>0.24409999980777505</v>
      </c>
    </row>
    <row r="253" spans="1:20">
      <c r="A253" s="1">
        <v>252</v>
      </c>
      <c r="B253" s="2">
        <f>DATE(Sintesi!$C$4-1,12,31)+A253</f>
        <v>44448</v>
      </c>
      <c r="C253" s="1">
        <f>'Paste cell here'!T253</f>
        <v>2.4390672040336316E-3</v>
      </c>
      <c r="D253" s="1">
        <f>'Paste cell here'!AC253</f>
        <v>0</v>
      </c>
      <c r="E253" s="1">
        <f>'Paste cell here'!Y253</f>
        <v>0</v>
      </c>
      <c r="F253" s="1">
        <f>'Paste cell here'!AD253</f>
        <v>0.84795686767868128</v>
      </c>
      <c r="G253" s="1">
        <f>'Paste cell here'!W253</f>
        <v>0</v>
      </c>
      <c r="H253" s="1">
        <f>'Paste cell here'!AE253</f>
        <v>233.52538082114174</v>
      </c>
      <c r="I253" s="1">
        <f>'Paste cell here'!AF253</f>
        <v>234.37089862161636</v>
      </c>
      <c r="J253" s="1">
        <f t="shared" si="18"/>
        <v>2.8421709430404007E-14</v>
      </c>
      <c r="K253" s="1" t="str">
        <f>IF('(OLD) Bilancio primo strato'!D253&gt;0,1,"")</f>
        <v/>
      </c>
      <c r="L253" s="7">
        <f>Sintesi!$C$34</f>
        <v>0.128</v>
      </c>
      <c r="M253" s="7">
        <f>Sintesi!$C$33</f>
        <v>0.25700000000000001</v>
      </c>
      <c r="N253" s="1">
        <f>'Paste cell here'!AA253</f>
        <v>0.9</v>
      </c>
      <c r="O253" s="1">
        <f>'Paste cell here'!H253</f>
        <v>0.10000000149011612</v>
      </c>
      <c r="P253" s="1">
        <f t="shared" si="19"/>
        <v>116.10000000000001</v>
      </c>
      <c r="Q253" s="1">
        <f t="shared" si="20"/>
        <v>11.610000173002483</v>
      </c>
      <c r="R253" s="1">
        <f t="shared" si="21"/>
        <v>219.68999982699754</v>
      </c>
      <c r="S253" s="5">
        <f t="shared" si="22"/>
        <v>0.25947264535682413</v>
      </c>
      <c r="T253" s="5">
        <f t="shared" si="23"/>
        <v>0.24409999980777505</v>
      </c>
    </row>
    <row r="254" spans="1:20">
      <c r="A254" s="1">
        <v>253</v>
      </c>
      <c r="B254" s="2">
        <f>DATE(Sintesi!$C$4-1,12,31)+A254</f>
        <v>44449</v>
      </c>
      <c r="C254" s="1">
        <f>'Paste cell here'!T254</f>
        <v>3.2987898078357206E-5</v>
      </c>
      <c r="D254" s="1">
        <f>'Paste cell here'!AC254</f>
        <v>0</v>
      </c>
      <c r="E254" s="1">
        <f>'Paste cell here'!Y254</f>
        <v>0</v>
      </c>
      <c r="F254" s="1">
        <f>'Paste cell here'!AD254</f>
        <v>0.65073855757727572</v>
      </c>
      <c r="G254" s="1">
        <f>'Paste cell here'!W254</f>
        <v>0</v>
      </c>
      <c r="H254" s="1">
        <f>'Paste cell here'!AE254</f>
        <v>232.87467525146261</v>
      </c>
      <c r="I254" s="1">
        <f>'Paste cell here'!AF254</f>
        <v>233.52538082114171</v>
      </c>
      <c r="J254" s="1">
        <f t="shared" si="18"/>
        <v>1.1368683772161603E-13</v>
      </c>
      <c r="K254" s="1" t="str">
        <f>IF('(OLD) Bilancio primo strato'!D254&gt;0,1,"")</f>
        <v/>
      </c>
      <c r="L254" s="7">
        <f>Sintesi!$C$34</f>
        <v>0.128</v>
      </c>
      <c r="M254" s="7">
        <f>Sintesi!$C$33</f>
        <v>0.25700000000000001</v>
      </c>
      <c r="N254" s="1">
        <f>'Paste cell here'!AA254</f>
        <v>0.9</v>
      </c>
      <c r="O254" s="1">
        <f>'Paste cell here'!H254</f>
        <v>0.10000000149011612</v>
      </c>
      <c r="P254" s="1">
        <f t="shared" si="19"/>
        <v>116.10000000000001</v>
      </c>
      <c r="Q254" s="1">
        <f t="shared" si="20"/>
        <v>11.610000173002483</v>
      </c>
      <c r="R254" s="1">
        <f t="shared" si="21"/>
        <v>219.68999982699754</v>
      </c>
      <c r="S254" s="5">
        <f t="shared" si="22"/>
        <v>0.2587496391682918</v>
      </c>
      <c r="T254" s="5">
        <f t="shared" si="23"/>
        <v>0.24409999980777505</v>
      </c>
    </row>
    <row r="255" spans="1:20">
      <c r="A255" s="1">
        <v>254</v>
      </c>
      <c r="B255" s="2">
        <f>DATE(Sintesi!$C$4-1,12,31)+A255</f>
        <v>44450</v>
      </c>
      <c r="C255" s="1">
        <f>'Paste cell here'!T255</f>
        <v>6.075535060484304E-7</v>
      </c>
      <c r="D255" s="1">
        <f>'Paste cell here'!AC255</f>
        <v>0</v>
      </c>
      <c r="E255" s="1">
        <f>'Paste cell here'!Y255</f>
        <v>0</v>
      </c>
      <c r="F255" s="1">
        <f>'Paste cell here'!AD255</f>
        <v>0.51368264730959035</v>
      </c>
      <c r="G255" s="1">
        <f>'Paste cell here'!W255</f>
        <v>0</v>
      </c>
      <c r="H255" s="1">
        <f>'Paste cell here'!AE255</f>
        <v>232.3609932117065</v>
      </c>
      <c r="I255" s="1">
        <f>'Paste cell here'!AF255</f>
        <v>232.87467525146263</v>
      </c>
      <c r="J255" s="1">
        <f t="shared" si="18"/>
        <v>5.6843418860808015E-14</v>
      </c>
      <c r="K255" s="1" t="str">
        <f>IF('(OLD) Bilancio primo strato'!D255&gt;0,1,"")</f>
        <v/>
      </c>
      <c r="L255" s="7">
        <f>Sintesi!$C$34</f>
        <v>0.128</v>
      </c>
      <c r="M255" s="7">
        <f>Sintesi!$C$33</f>
        <v>0.25700000000000001</v>
      </c>
      <c r="N255" s="1">
        <f>'Paste cell here'!AA255</f>
        <v>0.9</v>
      </c>
      <c r="O255" s="1">
        <f>'Paste cell here'!H255</f>
        <v>0.10000000149011612</v>
      </c>
      <c r="P255" s="1">
        <f t="shared" si="19"/>
        <v>116.10000000000001</v>
      </c>
      <c r="Q255" s="1">
        <f t="shared" si="20"/>
        <v>11.610000173002483</v>
      </c>
      <c r="R255" s="1">
        <f t="shared" si="21"/>
        <v>219.68999982699754</v>
      </c>
      <c r="S255" s="5">
        <f t="shared" si="22"/>
        <v>0.25817888134634054</v>
      </c>
      <c r="T255" s="5">
        <f t="shared" si="23"/>
        <v>0.24409999980777505</v>
      </c>
    </row>
    <row r="256" spans="1:20">
      <c r="A256" s="1">
        <v>255</v>
      </c>
      <c r="B256" s="2">
        <f>DATE(Sintesi!$C$4-1,12,31)+A256</f>
        <v>44451</v>
      </c>
      <c r="C256" s="1">
        <f>'Paste cell here'!T256</f>
        <v>3.8820741713835445E-9</v>
      </c>
      <c r="D256" s="1">
        <f>'Paste cell here'!AC256</f>
        <v>0</v>
      </c>
      <c r="E256" s="1">
        <f>'Paste cell here'!Y256</f>
        <v>0</v>
      </c>
      <c r="F256" s="1">
        <f>'Paste cell here'!AD256</f>
        <v>0.41677179723938945</v>
      </c>
      <c r="G256" s="1">
        <f>'Paste cell here'!W256</f>
        <v>0</v>
      </c>
      <c r="H256" s="1">
        <f>'Paste cell here'!AE256</f>
        <v>231.94422141834926</v>
      </c>
      <c r="I256" s="1">
        <f>'Paste cell here'!AF256</f>
        <v>232.3609932117065</v>
      </c>
      <c r="J256" s="1">
        <f t="shared" si="18"/>
        <v>8.5265128291212022E-14</v>
      </c>
      <c r="K256" s="1" t="str">
        <f>IF('(OLD) Bilancio primo strato'!D256&gt;0,1,"")</f>
        <v/>
      </c>
      <c r="L256" s="7">
        <f>Sintesi!$C$34</f>
        <v>0.128</v>
      </c>
      <c r="M256" s="7">
        <f>Sintesi!$C$33</f>
        <v>0.25700000000000001</v>
      </c>
      <c r="N256" s="1">
        <f>'Paste cell here'!AA256</f>
        <v>0.9</v>
      </c>
      <c r="O256" s="1">
        <f>'Paste cell here'!H256</f>
        <v>0.10000000149011612</v>
      </c>
      <c r="P256" s="1">
        <f t="shared" si="19"/>
        <v>116.10000000000001</v>
      </c>
      <c r="Q256" s="1">
        <f t="shared" si="20"/>
        <v>11.610000173002483</v>
      </c>
      <c r="R256" s="1">
        <f t="shared" si="21"/>
        <v>219.68999982699754</v>
      </c>
      <c r="S256" s="5">
        <f t="shared" si="22"/>
        <v>0.25771580157594359</v>
      </c>
      <c r="T256" s="5">
        <f t="shared" si="23"/>
        <v>0.24409999980777505</v>
      </c>
    </row>
    <row r="257" spans="1:20">
      <c r="A257" s="1">
        <v>256</v>
      </c>
      <c r="B257" s="2">
        <f>DATE(Sintesi!$C$4-1,12,31)+A257</f>
        <v>44452</v>
      </c>
      <c r="C257" s="1">
        <f>'Paste cell here'!T257</f>
        <v>7.7167291640715045E-12</v>
      </c>
      <c r="D257" s="1">
        <f>'Paste cell here'!AC257</f>
        <v>0</v>
      </c>
      <c r="E257" s="1">
        <f>'Paste cell here'!Y257</f>
        <v>0</v>
      </c>
      <c r="F257" s="1">
        <f>'Paste cell here'!AD257</f>
        <v>0.34733988856872294</v>
      </c>
      <c r="G257" s="1">
        <f>'Paste cell here'!W257</f>
        <v>0</v>
      </c>
      <c r="H257" s="1">
        <f>'Paste cell here'!AE257</f>
        <v>231.59688152978816</v>
      </c>
      <c r="I257" s="1">
        <f>'Paste cell here'!AF257</f>
        <v>231.94422141834926</v>
      </c>
      <c r="J257" s="1">
        <f t="shared" si="18"/>
        <v>1.1368683772161603E-13</v>
      </c>
      <c r="K257" s="1" t="str">
        <f>IF('(OLD) Bilancio primo strato'!D257&gt;0,1,"")</f>
        <v/>
      </c>
      <c r="L257" s="7">
        <f>Sintesi!$C$34</f>
        <v>0.128</v>
      </c>
      <c r="M257" s="7">
        <f>Sintesi!$C$33</f>
        <v>0.25700000000000001</v>
      </c>
      <c r="N257" s="1">
        <f>'Paste cell here'!AA257</f>
        <v>0.9</v>
      </c>
      <c r="O257" s="1">
        <f>'Paste cell here'!H257</f>
        <v>0.10000000149011612</v>
      </c>
      <c r="P257" s="1">
        <f t="shared" si="19"/>
        <v>116.10000000000001</v>
      </c>
      <c r="Q257" s="1">
        <f t="shared" si="20"/>
        <v>11.610000173002483</v>
      </c>
      <c r="R257" s="1">
        <f t="shared" si="21"/>
        <v>219.68999982699754</v>
      </c>
      <c r="S257" s="5">
        <f t="shared" si="22"/>
        <v>0.25732986836643129</v>
      </c>
      <c r="T257" s="5">
        <f t="shared" si="23"/>
        <v>0.24409999980777505</v>
      </c>
    </row>
    <row r="258" spans="1:20">
      <c r="A258" s="1">
        <v>257</v>
      </c>
      <c r="B258" s="2">
        <f>DATE(Sintesi!$C$4-1,12,31)+A258</f>
        <v>44453</v>
      </c>
      <c r="C258" s="1">
        <f>'Paste cell here'!T258</f>
        <v>8.4203966166636644E-16</v>
      </c>
      <c r="D258" s="1">
        <f>'Paste cell here'!AC258</f>
        <v>0</v>
      </c>
      <c r="E258" s="1">
        <f>'Paste cell here'!Y258</f>
        <v>0</v>
      </c>
      <c r="F258" s="1">
        <f>'Paste cell here'!AD258</f>
        <v>0.29707308815772709</v>
      </c>
      <c r="G258" s="1">
        <f>'Paste cell here'!W258</f>
        <v>0</v>
      </c>
      <c r="H258" s="1">
        <f>'Paste cell here'!AE258</f>
        <v>231.2998084416304</v>
      </c>
      <c r="I258" s="1">
        <f>'Paste cell here'!AF258</f>
        <v>231.59688152978816</v>
      </c>
      <c r="J258" s="1">
        <f t="shared" ref="J258:J321" si="24">ABS(I258+C258+D258-E258-F258-G258-H258)</f>
        <v>2.8421709430404007E-14</v>
      </c>
      <c r="K258" s="1" t="str">
        <f>IF('(OLD) Bilancio primo strato'!D258&gt;0,1,"")</f>
        <v/>
      </c>
      <c r="L258" s="7">
        <f>Sintesi!$C$34</f>
        <v>0.128</v>
      </c>
      <c r="M258" s="7">
        <f>Sintesi!$C$33</f>
        <v>0.25700000000000001</v>
      </c>
      <c r="N258" s="1">
        <f>'Paste cell here'!AA258</f>
        <v>0.9</v>
      </c>
      <c r="O258" s="1">
        <f>'Paste cell here'!H258</f>
        <v>0.10000000149011612</v>
      </c>
      <c r="P258" s="1">
        <f t="shared" ref="P258:P321" si="25">(M258-L258)*N258*1000</f>
        <v>116.10000000000001</v>
      </c>
      <c r="Q258" s="1">
        <f t="shared" ref="Q258:Q321" si="26">P258*O258</f>
        <v>11.610000173002483</v>
      </c>
      <c r="R258" s="1">
        <f t="shared" ref="R258:R321" si="27">M258*N258*1000-Q258</f>
        <v>219.68999982699754</v>
      </c>
      <c r="S258" s="5">
        <f t="shared" ref="S258:S321" si="28">H258/($N258*1000)</f>
        <v>0.2569997871573671</v>
      </c>
      <c r="T258" s="5">
        <f t="shared" ref="T258:T321" si="29">R258/($N258*1000)</f>
        <v>0.24409999980777505</v>
      </c>
    </row>
    <row r="259" spans="1:20">
      <c r="A259" s="1">
        <v>258</v>
      </c>
      <c r="B259" s="2">
        <f>DATE(Sintesi!$C$4-1,12,31)+A259</f>
        <v>44454</v>
      </c>
      <c r="C259" s="1">
        <f>'Paste cell here'!T259</f>
        <v>9.7371598032198031E-24</v>
      </c>
      <c r="D259" s="1">
        <f>'Paste cell here'!AC259</f>
        <v>0</v>
      </c>
      <c r="E259" s="1">
        <f>'Paste cell here'!Y259</f>
        <v>0</v>
      </c>
      <c r="F259" s="1">
        <f>'Paste cell here'!AD259</f>
        <v>0.26035710598662398</v>
      </c>
      <c r="G259" s="1">
        <f>'Paste cell here'!W259</f>
        <v>0</v>
      </c>
      <c r="H259" s="1">
        <f>'Paste cell here'!AE259</f>
        <v>231.03945133564372</v>
      </c>
      <c r="I259" s="1">
        <f>'Paste cell here'!AF259</f>
        <v>231.2998084416304</v>
      </c>
      <c r="J259" s="1">
        <f t="shared" si="24"/>
        <v>5.6843418860808015E-14</v>
      </c>
      <c r="K259" s="1" t="str">
        <f>IF('(OLD) Bilancio primo strato'!D259&gt;0,1,"")</f>
        <v/>
      </c>
      <c r="L259" s="7">
        <f>Sintesi!$C$34</f>
        <v>0.128</v>
      </c>
      <c r="M259" s="7">
        <f>Sintesi!$C$33</f>
        <v>0.25700000000000001</v>
      </c>
      <c r="N259" s="1">
        <f>'Paste cell here'!AA259</f>
        <v>0.9</v>
      </c>
      <c r="O259" s="1">
        <f>'Paste cell here'!H259</f>
        <v>0.10000000149011612</v>
      </c>
      <c r="P259" s="1">
        <f t="shared" si="25"/>
        <v>116.10000000000001</v>
      </c>
      <c r="Q259" s="1">
        <f t="shared" si="26"/>
        <v>11.610000173002483</v>
      </c>
      <c r="R259" s="1">
        <f t="shared" si="27"/>
        <v>219.68999982699754</v>
      </c>
      <c r="S259" s="5">
        <f t="shared" si="28"/>
        <v>0.25671050148404856</v>
      </c>
      <c r="T259" s="5">
        <f t="shared" si="29"/>
        <v>0.24409999980777505</v>
      </c>
    </row>
    <row r="260" spans="1:20">
      <c r="A260" s="1">
        <v>259</v>
      </c>
      <c r="B260" s="2">
        <f>DATE(Sintesi!$C$4-1,12,31)+A260</f>
        <v>44455</v>
      </c>
      <c r="C260" s="1">
        <f>'Paste cell here'!T260</f>
        <v>5.0830568854680944</v>
      </c>
      <c r="D260" s="1">
        <f>'Paste cell here'!AC260</f>
        <v>0</v>
      </c>
      <c r="E260" s="1">
        <f>'Paste cell here'!Y260</f>
        <v>0</v>
      </c>
      <c r="F260" s="1">
        <f>'Paste cell here'!AD260</f>
        <v>0.24197656865380662</v>
      </c>
      <c r="G260" s="1">
        <f>'Paste cell here'!W260</f>
        <v>0</v>
      </c>
      <c r="H260" s="1">
        <f>'Paste cell here'!AE260</f>
        <v>235.88053165245807</v>
      </c>
      <c r="I260" s="1">
        <f>'Paste cell here'!AF260</f>
        <v>231.03945133564372</v>
      </c>
      <c r="J260" s="1">
        <f t="shared" si="24"/>
        <v>5.6843418860808015E-14</v>
      </c>
      <c r="K260" s="1" t="str">
        <f>IF('(OLD) Bilancio primo strato'!D260&gt;0,1,"")</f>
        <v/>
      </c>
      <c r="L260" s="7">
        <f>Sintesi!$C$34</f>
        <v>0.128</v>
      </c>
      <c r="M260" s="7">
        <f>Sintesi!$C$33</f>
        <v>0.25700000000000001</v>
      </c>
      <c r="N260" s="1">
        <f>'Paste cell here'!AA260</f>
        <v>0.9</v>
      </c>
      <c r="O260" s="1">
        <f>'Paste cell here'!H260</f>
        <v>0.10000000149011612</v>
      </c>
      <c r="P260" s="1">
        <f t="shared" si="25"/>
        <v>116.10000000000001</v>
      </c>
      <c r="Q260" s="1">
        <f t="shared" si="26"/>
        <v>11.610000173002483</v>
      </c>
      <c r="R260" s="1">
        <f t="shared" si="27"/>
        <v>219.68999982699754</v>
      </c>
      <c r="S260" s="5">
        <f t="shared" si="28"/>
        <v>0.26208947961384232</v>
      </c>
      <c r="T260" s="5">
        <f t="shared" si="29"/>
        <v>0.24409999980777505</v>
      </c>
    </row>
    <row r="261" spans="1:20">
      <c r="A261" s="1">
        <v>260</v>
      </c>
      <c r="B261" s="2">
        <f>DATE(Sintesi!$C$4-1,12,31)+A261</f>
        <v>44456</v>
      </c>
      <c r="C261" s="1">
        <f>'Paste cell here'!T261</f>
        <v>5.9531344147676091</v>
      </c>
      <c r="D261" s="1">
        <f>'Paste cell here'!AC261</f>
        <v>0</v>
      </c>
      <c r="E261" s="1">
        <f>'Paste cell here'!Y261</f>
        <v>0</v>
      </c>
      <c r="F261" s="1">
        <f>'Paste cell here'!AD261</f>
        <v>0.37021259854059252</v>
      </c>
      <c r="G261" s="1">
        <f>'Paste cell here'!W261</f>
        <v>0</v>
      </c>
      <c r="H261" s="1">
        <f>'Paste cell here'!AE261</f>
        <v>241.46345346868515</v>
      </c>
      <c r="I261" s="1">
        <f>'Paste cell here'!AF261</f>
        <v>235.8805316524581</v>
      </c>
      <c r="J261" s="1">
        <f t="shared" si="24"/>
        <v>2.8421709430404007E-14</v>
      </c>
      <c r="K261" s="1" t="str">
        <f>IF('(OLD) Bilancio primo strato'!D261&gt;0,1,"")</f>
        <v/>
      </c>
      <c r="L261" s="7">
        <f>Sintesi!$C$34</f>
        <v>0.128</v>
      </c>
      <c r="M261" s="7">
        <f>Sintesi!$C$33</f>
        <v>0.25700000000000001</v>
      </c>
      <c r="N261" s="1">
        <f>'Paste cell here'!AA261</f>
        <v>0.9</v>
      </c>
      <c r="O261" s="1">
        <f>'Paste cell here'!H261</f>
        <v>0.10074610125705692</v>
      </c>
      <c r="P261" s="1">
        <f t="shared" si="25"/>
        <v>116.10000000000001</v>
      </c>
      <c r="Q261" s="1">
        <f t="shared" si="26"/>
        <v>11.69662235594431</v>
      </c>
      <c r="R261" s="1">
        <f t="shared" si="27"/>
        <v>219.60337764405571</v>
      </c>
      <c r="S261" s="5">
        <f t="shared" si="28"/>
        <v>0.26829272607631682</v>
      </c>
      <c r="T261" s="5">
        <f t="shared" si="29"/>
        <v>0.24400375293783969</v>
      </c>
    </row>
    <row r="262" spans="1:20">
      <c r="A262" s="1">
        <v>261</v>
      </c>
      <c r="B262" s="2">
        <f>DATE(Sintesi!$C$4-1,12,31)+A262</f>
        <v>44457</v>
      </c>
      <c r="C262" s="1">
        <f>'Paste cell here'!T262</f>
        <v>0.61248695510338647</v>
      </c>
      <c r="D262" s="1">
        <f>'Paste cell here'!AC262</f>
        <v>0</v>
      </c>
      <c r="E262" s="1">
        <f>'Paste cell here'!Y262</f>
        <v>0</v>
      </c>
      <c r="F262" s="1">
        <f>'Paste cell here'!AD262</f>
        <v>0.37704588962007118</v>
      </c>
      <c r="G262" s="1">
        <f>'Paste cell here'!W262</f>
        <v>0</v>
      </c>
      <c r="H262" s="1">
        <f>'Paste cell here'!AE262</f>
        <v>241.69889453416843</v>
      </c>
      <c r="I262" s="1">
        <f>'Paste cell here'!AF262</f>
        <v>241.46345346868515</v>
      </c>
      <c r="J262" s="1">
        <f t="shared" si="24"/>
        <v>2.8421709430404007E-14</v>
      </c>
      <c r="K262" s="1" t="str">
        <f>IF('(OLD) Bilancio primo strato'!D262&gt;0,1,"")</f>
        <v/>
      </c>
      <c r="L262" s="7">
        <f>Sintesi!$C$34</f>
        <v>0.128</v>
      </c>
      <c r="M262" s="7">
        <f>Sintesi!$C$33</f>
        <v>0.25700000000000001</v>
      </c>
      <c r="N262" s="1">
        <f>'Paste cell here'!AA262</f>
        <v>0.9</v>
      </c>
      <c r="O262" s="1">
        <f>'Paste cell here'!H262</f>
        <v>0.10000000149011612</v>
      </c>
      <c r="P262" s="1">
        <f t="shared" si="25"/>
        <v>116.10000000000001</v>
      </c>
      <c r="Q262" s="1">
        <f t="shared" si="26"/>
        <v>11.610000173002483</v>
      </c>
      <c r="R262" s="1">
        <f t="shared" si="27"/>
        <v>219.68999982699754</v>
      </c>
      <c r="S262" s="5">
        <f t="shared" si="28"/>
        <v>0.26855432726018713</v>
      </c>
      <c r="T262" s="5">
        <f t="shared" si="29"/>
        <v>0.24409999980777505</v>
      </c>
    </row>
    <row r="263" spans="1:20">
      <c r="A263" s="1">
        <v>262</v>
      </c>
      <c r="B263" s="2">
        <f>DATE(Sintesi!$C$4-1,12,31)+A263</f>
        <v>44458</v>
      </c>
      <c r="C263" s="1">
        <f>'Paste cell here'!T263</f>
        <v>0.72094103489265904</v>
      </c>
      <c r="D263" s="1">
        <f>'Paste cell here'!AC263</f>
        <v>0</v>
      </c>
      <c r="E263" s="1">
        <f>'Paste cell here'!Y263</f>
        <v>0</v>
      </c>
      <c r="F263" s="1">
        <f>'Paste cell here'!AD263</f>
        <v>0.36206898012623173</v>
      </c>
      <c r="G263" s="1">
        <f>'Paste cell here'!W263</f>
        <v>0</v>
      </c>
      <c r="H263" s="1">
        <f>'Paste cell here'!AE263</f>
        <v>242.0577665889349</v>
      </c>
      <c r="I263" s="1">
        <f>'Paste cell here'!AF263</f>
        <v>241.69889453416843</v>
      </c>
      <c r="J263" s="1">
        <f t="shared" si="24"/>
        <v>2.8421709430404007E-14</v>
      </c>
      <c r="K263" s="1" t="str">
        <f>IF('(OLD) Bilancio primo strato'!D263&gt;0,1,"")</f>
        <v/>
      </c>
      <c r="L263" s="7">
        <f>Sintesi!$C$34</f>
        <v>0.128</v>
      </c>
      <c r="M263" s="7">
        <f>Sintesi!$C$33</f>
        <v>0.25700000000000001</v>
      </c>
      <c r="N263" s="1">
        <f>'Paste cell here'!AA263</f>
        <v>0.9</v>
      </c>
      <c r="O263" s="1">
        <f>'Paste cell here'!H263</f>
        <v>0.10000000149011612</v>
      </c>
      <c r="P263" s="1">
        <f t="shared" si="25"/>
        <v>116.10000000000001</v>
      </c>
      <c r="Q263" s="1">
        <f t="shared" si="26"/>
        <v>11.610000173002483</v>
      </c>
      <c r="R263" s="1">
        <f t="shared" si="27"/>
        <v>219.68999982699754</v>
      </c>
      <c r="S263" s="5">
        <f t="shared" si="28"/>
        <v>0.26895307398770546</v>
      </c>
      <c r="T263" s="5">
        <f t="shared" si="29"/>
        <v>0.24409999980777505</v>
      </c>
    </row>
    <row r="264" spans="1:20">
      <c r="A264" s="1">
        <v>263</v>
      </c>
      <c r="B264" s="2">
        <f>DATE(Sintesi!$C$4-1,12,31)+A264</f>
        <v>44459</v>
      </c>
      <c r="C264" s="1">
        <f>'Paste cell here'!T264</f>
        <v>2.4394203213157772</v>
      </c>
      <c r="D264" s="1">
        <f>'Paste cell here'!AC264</f>
        <v>0</v>
      </c>
      <c r="E264" s="1">
        <f>'Paste cell here'!Y264</f>
        <v>0</v>
      </c>
      <c r="F264" s="1">
        <f>'Paste cell here'!AD264</f>
        <v>0.37315584412178771</v>
      </c>
      <c r="G264" s="1">
        <f>'Paste cell here'!W264</f>
        <v>0</v>
      </c>
      <c r="H264" s="1">
        <f>'Paste cell here'!AE264</f>
        <v>244.12403106612888</v>
      </c>
      <c r="I264" s="1">
        <f>'Paste cell here'!AF264</f>
        <v>242.0577665889349</v>
      </c>
      <c r="J264" s="1">
        <f t="shared" si="24"/>
        <v>0</v>
      </c>
      <c r="K264" s="1" t="str">
        <f>IF('(OLD) Bilancio primo strato'!D264&gt;0,1,"")</f>
        <v/>
      </c>
      <c r="L264" s="7">
        <f>Sintesi!$C$34</f>
        <v>0.128</v>
      </c>
      <c r="M264" s="7">
        <f>Sintesi!$C$33</f>
        <v>0.25700000000000001</v>
      </c>
      <c r="N264" s="1">
        <f>'Paste cell here'!AA264</f>
        <v>0.9</v>
      </c>
      <c r="O264" s="1">
        <f>'Paste cell here'!H264</f>
        <v>0.10000000149011612</v>
      </c>
      <c r="P264" s="1">
        <f t="shared" si="25"/>
        <v>116.10000000000001</v>
      </c>
      <c r="Q264" s="1">
        <f t="shared" si="26"/>
        <v>11.610000173002483</v>
      </c>
      <c r="R264" s="1">
        <f t="shared" si="27"/>
        <v>219.68999982699754</v>
      </c>
      <c r="S264" s="5">
        <f t="shared" si="28"/>
        <v>0.27124892340680984</v>
      </c>
      <c r="T264" s="5">
        <f t="shared" si="29"/>
        <v>0.24409999980777505</v>
      </c>
    </row>
    <row r="265" spans="1:20">
      <c r="A265" s="1">
        <v>264</v>
      </c>
      <c r="B265" s="2">
        <f>DATE(Sintesi!$C$4-1,12,31)+A265</f>
        <v>44460</v>
      </c>
      <c r="C265" s="1">
        <f>'Paste cell here'!T265</f>
        <v>1.610668089340302</v>
      </c>
      <c r="D265" s="1">
        <f>'Paste cell here'!AC265</f>
        <v>0</v>
      </c>
      <c r="E265" s="1">
        <f>'Paste cell here'!Y265</f>
        <v>0</v>
      </c>
      <c r="F265" s="1">
        <f>'Paste cell here'!AD265</f>
        <v>0.40474886562524637</v>
      </c>
      <c r="G265" s="1">
        <f>'Paste cell here'!W265</f>
        <v>0</v>
      </c>
      <c r="H265" s="1">
        <f>'Paste cell here'!AE265</f>
        <v>245.32995028984394</v>
      </c>
      <c r="I265" s="1">
        <f>'Paste cell here'!AF265</f>
        <v>244.12403106612888</v>
      </c>
      <c r="J265" s="1">
        <f t="shared" si="24"/>
        <v>0</v>
      </c>
      <c r="K265" s="1" t="str">
        <f>IF('(OLD) Bilancio primo strato'!D265&gt;0,1,"")</f>
        <v/>
      </c>
      <c r="L265" s="7">
        <f>Sintesi!$C$34</f>
        <v>0.128</v>
      </c>
      <c r="M265" s="7">
        <f>Sintesi!$C$33</f>
        <v>0.25700000000000001</v>
      </c>
      <c r="N265" s="1">
        <f>'Paste cell here'!AA265</f>
        <v>0.9</v>
      </c>
      <c r="O265" s="1">
        <f>'Paste cell here'!H265</f>
        <v>0.10000000149011612</v>
      </c>
      <c r="P265" s="1">
        <f t="shared" si="25"/>
        <v>116.10000000000001</v>
      </c>
      <c r="Q265" s="1">
        <f t="shared" si="26"/>
        <v>11.610000173002483</v>
      </c>
      <c r="R265" s="1">
        <f t="shared" si="27"/>
        <v>219.68999982699754</v>
      </c>
      <c r="S265" s="5">
        <f t="shared" si="28"/>
        <v>0.27258883365538217</v>
      </c>
      <c r="T265" s="5">
        <f t="shared" si="29"/>
        <v>0.24409999980777505</v>
      </c>
    </row>
    <row r="266" spans="1:20">
      <c r="A266" s="1">
        <v>265</v>
      </c>
      <c r="B266" s="2">
        <f>DATE(Sintesi!$C$4-1,12,31)+A266</f>
        <v>44461</v>
      </c>
      <c r="C266" s="1">
        <f>'Paste cell here'!T266</f>
        <v>0.29939649355227904</v>
      </c>
      <c r="D266" s="1">
        <f>'Paste cell here'!AC266</f>
        <v>0</v>
      </c>
      <c r="E266" s="1">
        <f>'Paste cell here'!Y266</f>
        <v>0</v>
      </c>
      <c r="F266" s="1">
        <f>'Paste cell here'!AD266</f>
        <v>0.40331439084750526</v>
      </c>
      <c r="G266" s="1">
        <f>'Paste cell here'!W266</f>
        <v>0</v>
      </c>
      <c r="H266" s="1">
        <f>'Paste cell here'!AE266</f>
        <v>245.22603239254872</v>
      </c>
      <c r="I266" s="1">
        <f>'Paste cell here'!AF266</f>
        <v>245.32995028984394</v>
      </c>
      <c r="J266" s="1">
        <f t="shared" si="24"/>
        <v>0</v>
      </c>
      <c r="K266" s="1" t="str">
        <f>IF('(OLD) Bilancio primo strato'!D266&gt;0,1,"")</f>
        <v/>
      </c>
      <c r="L266" s="7">
        <f>Sintesi!$C$34</f>
        <v>0.128</v>
      </c>
      <c r="M266" s="7">
        <f>Sintesi!$C$33</f>
        <v>0.25700000000000001</v>
      </c>
      <c r="N266" s="1">
        <f>'Paste cell here'!AA266</f>
        <v>0.9</v>
      </c>
      <c r="O266" s="1">
        <f>'Paste cell here'!H266</f>
        <v>0.10000000149011612</v>
      </c>
      <c r="P266" s="1">
        <f t="shared" si="25"/>
        <v>116.10000000000001</v>
      </c>
      <c r="Q266" s="1">
        <f t="shared" si="26"/>
        <v>11.610000173002483</v>
      </c>
      <c r="R266" s="1">
        <f t="shared" si="27"/>
        <v>219.68999982699754</v>
      </c>
      <c r="S266" s="5">
        <f t="shared" si="28"/>
        <v>0.27247336932505412</v>
      </c>
      <c r="T266" s="5">
        <f t="shared" si="29"/>
        <v>0.24409999980777505</v>
      </c>
    </row>
    <row r="267" spans="1:20">
      <c r="A267" s="1">
        <v>266</v>
      </c>
      <c r="B267" s="2">
        <f>DATE(Sintesi!$C$4-1,12,31)+A267</f>
        <v>44462</v>
      </c>
      <c r="C267" s="1">
        <f>'Paste cell here'!T267</f>
        <v>5.4408609029219041E-2</v>
      </c>
      <c r="D267" s="1">
        <f>'Paste cell here'!AC267</f>
        <v>0</v>
      </c>
      <c r="E267" s="1">
        <f>'Paste cell here'!Y267</f>
        <v>0</v>
      </c>
      <c r="F267" s="1">
        <f>'Paste cell here'!AD267</f>
        <v>0.39126271640640575</v>
      </c>
      <c r="G267" s="1">
        <f>'Paste cell here'!W267</f>
        <v>0</v>
      </c>
      <c r="H267" s="1">
        <f>'Paste cell here'!AE267</f>
        <v>244.88917828517145</v>
      </c>
      <c r="I267" s="1">
        <f>'Paste cell here'!AF267</f>
        <v>245.22603239254869</v>
      </c>
      <c r="J267" s="1">
        <f t="shared" si="24"/>
        <v>5.6843418860808015E-14</v>
      </c>
      <c r="K267" s="1" t="str">
        <f>IF('(OLD) Bilancio primo strato'!D267&gt;0,1,"")</f>
        <v/>
      </c>
      <c r="L267" s="7">
        <f>Sintesi!$C$34</f>
        <v>0.128</v>
      </c>
      <c r="M267" s="7">
        <f>Sintesi!$C$33</f>
        <v>0.25700000000000001</v>
      </c>
      <c r="N267" s="1">
        <f>'Paste cell here'!AA267</f>
        <v>0.9</v>
      </c>
      <c r="O267" s="1">
        <f>'Paste cell here'!H267</f>
        <v>0.10000000149011612</v>
      </c>
      <c r="P267" s="1">
        <f t="shared" si="25"/>
        <v>116.10000000000001</v>
      </c>
      <c r="Q267" s="1">
        <f t="shared" si="26"/>
        <v>11.610000173002483</v>
      </c>
      <c r="R267" s="1">
        <f t="shared" si="27"/>
        <v>219.68999982699754</v>
      </c>
      <c r="S267" s="5">
        <f t="shared" si="28"/>
        <v>0.27209908698352386</v>
      </c>
      <c r="T267" s="5">
        <f t="shared" si="29"/>
        <v>0.24409999980777505</v>
      </c>
    </row>
    <row r="268" spans="1:20">
      <c r="A268" s="1">
        <v>267</v>
      </c>
      <c r="B268" s="2">
        <f>DATE(Sintesi!$C$4-1,12,31)+A268</f>
        <v>44463</v>
      </c>
      <c r="C268" s="1">
        <f>'Paste cell here'!T268</f>
        <v>8.4284678452357358E-3</v>
      </c>
      <c r="D268" s="1">
        <f>'Paste cell here'!AC268</f>
        <v>0</v>
      </c>
      <c r="E268" s="1">
        <f>'Paste cell here'!Y268</f>
        <v>0</v>
      </c>
      <c r="F268" s="1">
        <f>'Paste cell here'!AD268</f>
        <v>0.3789914438162203</v>
      </c>
      <c r="G268" s="1">
        <f>'Paste cell here'!W268</f>
        <v>0</v>
      </c>
      <c r="H268" s="1">
        <f>'Paste cell here'!AE268</f>
        <v>244.51861530920044</v>
      </c>
      <c r="I268" s="1">
        <f>'Paste cell here'!AF268</f>
        <v>244.88917828517148</v>
      </c>
      <c r="J268" s="1">
        <f t="shared" si="24"/>
        <v>5.6843418860808015E-14</v>
      </c>
      <c r="K268" s="1" t="str">
        <f>IF('(OLD) Bilancio primo strato'!D268&gt;0,1,"")</f>
        <v/>
      </c>
      <c r="L268" s="7">
        <f>Sintesi!$C$34</f>
        <v>0.128</v>
      </c>
      <c r="M268" s="7">
        <f>Sintesi!$C$33</f>
        <v>0.25700000000000001</v>
      </c>
      <c r="N268" s="1">
        <f>'Paste cell here'!AA268</f>
        <v>0.9</v>
      </c>
      <c r="O268" s="1">
        <f>'Paste cell here'!H268</f>
        <v>0.10000000149011612</v>
      </c>
      <c r="P268" s="1">
        <f t="shared" si="25"/>
        <v>116.10000000000001</v>
      </c>
      <c r="Q268" s="1">
        <f t="shared" si="26"/>
        <v>11.610000173002483</v>
      </c>
      <c r="R268" s="1">
        <f t="shared" si="27"/>
        <v>219.68999982699754</v>
      </c>
      <c r="S268" s="5">
        <f t="shared" si="28"/>
        <v>0.27168735034355607</v>
      </c>
      <c r="T268" s="5">
        <f t="shared" si="29"/>
        <v>0.24409999980777505</v>
      </c>
    </row>
    <row r="269" spans="1:20">
      <c r="A269" s="1">
        <v>268</v>
      </c>
      <c r="B269" s="2">
        <f>DATE(Sintesi!$C$4-1,12,31)+A269</f>
        <v>44464</v>
      </c>
      <c r="C269" s="1">
        <f>'Paste cell here'!T269</f>
        <v>8.9750543719854705E-4</v>
      </c>
      <c r="D269" s="1">
        <f>'Paste cell here'!AC269</f>
        <v>0</v>
      </c>
      <c r="E269" s="1">
        <f>'Paste cell here'!Y269</f>
        <v>0</v>
      </c>
      <c r="F269" s="1">
        <f>'Paste cell here'!AD269</f>
        <v>0.368027911687205</v>
      </c>
      <c r="G269" s="1">
        <f>'Paste cell here'!W269</f>
        <v>0</v>
      </c>
      <c r="H269" s="1">
        <f>'Paste cell here'!AE269</f>
        <v>244.15148490295047</v>
      </c>
      <c r="I269" s="1">
        <f>'Paste cell here'!AF269</f>
        <v>244.51861530920047</v>
      </c>
      <c r="J269" s="1">
        <f t="shared" si="24"/>
        <v>0</v>
      </c>
      <c r="K269" s="1" t="str">
        <f>IF('(OLD) Bilancio primo strato'!D269&gt;0,1,"")</f>
        <v/>
      </c>
      <c r="L269" s="7">
        <f>Sintesi!$C$34</f>
        <v>0.128</v>
      </c>
      <c r="M269" s="7">
        <f>Sintesi!$C$33</f>
        <v>0.25700000000000001</v>
      </c>
      <c r="N269" s="1">
        <f>'Paste cell here'!AA269</f>
        <v>0.9</v>
      </c>
      <c r="O269" s="1">
        <f>'Paste cell here'!H269</f>
        <v>0.10000000149011612</v>
      </c>
      <c r="P269" s="1">
        <f t="shared" si="25"/>
        <v>116.10000000000001</v>
      </c>
      <c r="Q269" s="1">
        <f t="shared" si="26"/>
        <v>11.610000173002483</v>
      </c>
      <c r="R269" s="1">
        <f t="shared" si="27"/>
        <v>219.68999982699754</v>
      </c>
      <c r="S269" s="5">
        <f t="shared" si="28"/>
        <v>0.27127942766994495</v>
      </c>
      <c r="T269" s="5">
        <f t="shared" si="29"/>
        <v>0.24409999980777505</v>
      </c>
    </row>
    <row r="270" spans="1:20">
      <c r="A270" s="1">
        <v>269</v>
      </c>
      <c r="B270" s="2">
        <f>DATE(Sintesi!$C$4-1,12,31)+A270</f>
        <v>44465</v>
      </c>
      <c r="C270" s="1">
        <f>'Paste cell here'!T270</f>
        <v>0.84994186236356939</v>
      </c>
      <c r="D270" s="1">
        <f>'Paste cell here'!AC270</f>
        <v>0</v>
      </c>
      <c r="E270" s="1">
        <f>'Paste cell here'!Y270</f>
        <v>0</v>
      </c>
      <c r="F270" s="1">
        <f>'Paste cell here'!AD270</f>
        <v>0.3605195280565594</v>
      </c>
      <c r="G270" s="1">
        <f>'Paste cell here'!W270</f>
        <v>0</v>
      </c>
      <c r="H270" s="1">
        <f>'Paste cell here'!AE270</f>
        <v>244.64090723725744</v>
      </c>
      <c r="I270" s="1">
        <f>'Paste cell here'!AF270</f>
        <v>244.15148490295047</v>
      </c>
      <c r="J270" s="1">
        <f t="shared" si="24"/>
        <v>5.6843418860808015E-14</v>
      </c>
      <c r="K270" s="1" t="str">
        <f>IF('(OLD) Bilancio primo strato'!D270&gt;0,1,"")</f>
        <v/>
      </c>
      <c r="L270" s="7">
        <f>Sintesi!$C$34</f>
        <v>0.128</v>
      </c>
      <c r="M270" s="7">
        <f>Sintesi!$C$33</f>
        <v>0.25700000000000001</v>
      </c>
      <c r="N270" s="1">
        <f>'Paste cell here'!AA270</f>
        <v>0.9</v>
      </c>
      <c r="O270" s="1">
        <f>'Paste cell here'!H270</f>
        <v>0.11617936410665804</v>
      </c>
      <c r="P270" s="1">
        <f t="shared" si="25"/>
        <v>116.10000000000001</v>
      </c>
      <c r="Q270" s="1">
        <f t="shared" si="26"/>
        <v>13.488424172782999</v>
      </c>
      <c r="R270" s="1">
        <f t="shared" si="27"/>
        <v>217.81157582721701</v>
      </c>
      <c r="S270" s="5">
        <f t="shared" si="28"/>
        <v>0.27182323026361938</v>
      </c>
      <c r="T270" s="5">
        <f t="shared" si="29"/>
        <v>0.24201286203024114</v>
      </c>
    </row>
    <row r="271" spans="1:20">
      <c r="A271" s="1">
        <v>270</v>
      </c>
      <c r="B271" s="2">
        <f>DATE(Sintesi!$C$4-1,12,31)+A271</f>
        <v>44466</v>
      </c>
      <c r="C271" s="1">
        <f>'Paste cell here'!T271</f>
        <v>2.3771708647110654</v>
      </c>
      <c r="D271" s="1">
        <f>'Paste cell here'!AC271</f>
        <v>0</v>
      </c>
      <c r="E271" s="1">
        <f>'Paste cell here'!Y271</f>
        <v>0</v>
      </c>
      <c r="F271" s="1">
        <f>'Paste cell here'!AD271</f>
        <v>0.39238357415411068</v>
      </c>
      <c r="G271" s="1">
        <f>'Paste cell here'!W271</f>
        <v>0</v>
      </c>
      <c r="H271" s="1">
        <f>'Paste cell here'!AE271</f>
        <v>246.62569452781437</v>
      </c>
      <c r="I271" s="1">
        <f>'Paste cell here'!AF271</f>
        <v>244.64090723725747</v>
      </c>
      <c r="J271" s="1">
        <f t="shared" si="24"/>
        <v>5.6843418860808015E-14</v>
      </c>
      <c r="K271" s="1" t="str">
        <f>IF('(OLD) Bilancio primo strato'!D271&gt;0,1,"")</f>
        <v/>
      </c>
      <c r="L271" s="7">
        <f>Sintesi!$C$34</f>
        <v>0.128</v>
      </c>
      <c r="M271" s="7">
        <f>Sintesi!$C$33</f>
        <v>0.25700000000000001</v>
      </c>
      <c r="N271" s="1">
        <f>'Paste cell here'!AA271</f>
        <v>0.9</v>
      </c>
      <c r="O271" s="1">
        <f>'Paste cell here'!H271</f>
        <v>0.16066685108795137</v>
      </c>
      <c r="P271" s="1">
        <f t="shared" si="25"/>
        <v>116.10000000000001</v>
      </c>
      <c r="Q271" s="1">
        <f t="shared" si="26"/>
        <v>18.653421411311154</v>
      </c>
      <c r="R271" s="1">
        <f t="shared" si="27"/>
        <v>212.64657858868887</v>
      </c>
      <c r="S271" s="5">
        <f t="shared" si="28"/>
        <v>0.27402854947534933</v>
      </c>
      <c r="T271" s="5">
        <f t="shared" si="29"/>
        <v>0.23627397620965429</v>
      </c>
    </row>
    <row r="272" spans="1:20">
      <c r="A272" s="1">
        <v>271</v>
      </c>
      <c r="B272" s="2">
        <f>DATE(Sintesi!$C$4-1,12,31)+A272</f>
        <v>44467</v>
      </c>
      <c r="C272" s="1">
        <f>'Paste cell here'!T272</f>
        <v>0.54256373762408938</v>
      </c>
      <c r="D272" s="1">
        <f>'Paste cell here'!AC272</f>
        <v>0</v>
      </c>
      <c r="E272" s="1">
        <f>'Paste cell here'!Y272</f>
        <v>0</v>
      </c>
      <c r="F272" s="1">
        <f>'Paste cell here'!AD272</f>
        <v>0.40928165618478363</v>
      </c>
      <c r="G272" s="1">
        <f>'Paste cell here'!W272</f>
        <v>0</v>
      </c>
      <c r="H272" s="1">
        <f>'Paste cell here'!AE272</f>
        <v>246.75897660925375</v>
      </c>
      <c r="I272" s="1">
        <f>'Paste cell here'!AF272</f>
        <v>246.6256945278144</v>
      </c>
      <c r="J272" s="1">
        <f t="shared" si="24"/>
        <v>5.6843418860808015E-14</v>
      </c>
      <c r="K272" s="1" t="str">
        <f>IF('(OLD) Bilancio primo strato'!D272&gt;0,1,"")</f>
        <v/>
      </c>
      <c r="L272" s="7">
        <f>Sintesi!$C$34</f>
        <v>0.128</v>
      </c>
      <c r="M272" s="7">
        <f>Sintesi!$C$33</f>
        <v>0.25700000000000001</v>
      </c>
      <c r="N272" s="1">
        <f>'Paste cell here'!AA272</f>
        <v>0.9</v>
      </c>
      <c r="O272" s="1">
        <f>'Paste cell here'!H272</f>
        <v>0.11435288190206132</v>
      </c>
      <c r="P272" s="1">
        <f t="shared" si="25"/>
        <v>116.10000000000001</v>
      </c>
      <c r="Q272" s="1">
        <f t="shared" si="26"/>
        <v>13.27636958882932</v>
      </c>
      <c r="R272" s="1">
        <f t="shared" si="27"/>
        <v>218.0236304111707</v>
      </c>
      <c r="S272" s="5">
        <f t="shared" si="28"/>
        <v>0.27417664067694864</v>
      </c>
      <c r="T272" s="5">
        <f t="shared" si="29"/>
        <v>0.24224847823463411</v>
      </c>
    </row>
    <row r="273" spans="1:20">
      <c r="A273" s="1">
        <v>272</v>
      </c>
      <c r="B273" s="2">
        <f>DATE(Sintesi!$C$4-1,12,31)+A273</f>
        <v>44468</v>
      </c>
      <c r="C273" s="1">
        <f>'Paste cell here'!T273</f>
        <v>0.11714134746310634</v>
      </c>
      <c r="D273" s="1">
        <f>'Paste cell here'!AC273</f>
        <v>0</v>
      </c>
      <c r="E273" s="1">
        <f>'Paste cell here'!Y273</f>
        <v>0</v>
      </c>
      <c r="F273" s="1">
        <f>'Paste cell here'!AD273</f>
        <v>0.40622025538697515</v>
      </c>
      <c r="G273" s="1">
        <f>'Paste cell here'!W273</f>
        <v>0</v>
      </c>
      <c r="H273" s="1">
        <f>'Paste cell here'!AE273</f>
        <v>246.46989770132984</v>
      </c>
      <c r="I273" s="1">
        <f>'Paste cell here'!AF273</f>
        <v>246.75897660925378</v>
      </c>
      <c r="J273" s="1">
        <f t="shared" si="24"/>
        <v>5.6843418860808015E-14</v>
      </c>
      <c r="K273" s="1" t="str">
        <f>IF('(OLD) Bilancio primo strato'!D273&gt;0,1,"")</f>
        <v/>
      </c>
      <c r="L273" s="7">
        <f>Sintesi!$C$34</f>
        <v>0.128</v>
      </c>
      <c r="M273" s="7">
        <f>Sintesi!$C$33</f>
        <v>0.25700000000000001</v>
      </c>
      <c r="N273" s="1">
        <f>'Paste cell here'!AA273</f>
        <v>0.9</v>
      </c>
      <c r="O273" s="1">
        <f>'Paste cell here'!H273</f>
        <v>0.10000000149011612</v>
      </c>
      <c r="P273" s="1">
        <f t="shared" si="25"/>
        <v>116.10000000000001</v>
      </c>
      <c r="Q273" s="1">
        <f t="shared" si="26"/>
        <v>11.610000173002483</v>
      </c>
      <c r="R273" s="1">
        <f t="shared" si="27"/>
        <v>219.68999982699754</v>
      </c>
      <c r="S273" s="5">
        <f t="shared" si="28"/>
        <v>0.27385544189036648</v>
      </c>
      <c r="T273" s="5">
        <f t="shared" si="29"/>
        <v>0.24409999980777505</v>
      </c>
    </row>
    <row r="274" spans="1:20">
      <c r="A274" s="1">
        <v>273</v>
      </c>
      <c r="B274" s="2">
        <f>DATE(Sintesi!$C$4-1,12,31)+A274</f>
        <v>44469</v>
      </c>
      <c r="C274" s="1">
        <f>'Paste cell here'!T274</f>
        <v>2.0276997226560366E-2</v>
      </c>
      <c r="D274" s="1">
        <f>'Paste cell here'!AC274</f>
        <v>0</v>
      </c>
      <c r="E274" s="1">
        <f>'Paste cell here'!Y274</f>
        <v>0</v>
      </c>
      <c r="F274" s="1">
        <f>'Paste cell here'!AD274</f>
        <v>0.39859819464961588</v>
      </c>
      <c r="G274" s="1">
        <f>'Paste cell here'!W274</f>
        <v>0</v>
      </c>
      <c r="H274" s="1">
        <f>'Paste cell here'!AE274</f>
        <v>246.09157650390677</v>
      </c>
      <c r="I274" s="1">
        <f>'Paste cell here'!AF274</f>
        <v>246.46989770132984</v>
      </c>
      <c r="J274" s="1">
        <f t="shared" si="24"/>
        <v>2.8421709430404007E-14</v>
      </c>
      <c r="K274" s="1" t="str">
        <f>IF('(OLD) Bilancio primo strato'!D274&gt;0,1,"")</f>
        <v/>
      </c>
      <c r="L274" s="7">
        <f>Sintesi!$C$34</f>
        <v>0.128</v>
      </c>
      <c r="M274" s="7">
        <f>Sintesi!$C$33</f>
        <v>0.25700000000000001</v>
      </c>
      <c r="N274" s="1">
        <f>'Paste cell here'!AA274</f>
        <v>0.9</v>
      </c>
      <c r="O274" s="1">
        <f>'Paste cell here'!H274</f>
        <v>0.10000000149011612</v>
      </c>
      <c r="P274" s="1">
        <f t="shared" si="25"/>
        <v>116.10000000000001</v>
      </c>
      <c r="Q274" s="1">
        <f t="shared" si="26"/>
        <v>11.610000173002483</v>
      </c>
      <c r="R274" s="1">
        <f t="shared" si="27"/>
        <v>219.68999982699754</v>
      </c>
      <c r="S274" s="5">
        <f t="shared" si="28"/>
        <v>0.27343508500434083</v>
      </c>
      <c r="T274" s="5">
        <f t="shared" si="29"/>
        <v>0.24409999980777505</v>
      </c>
    </row>
    <row r="275" spans="1:20">
      <c r="A275" s="1">
        <v>274</v>
      </c>
      <c r="B275" s="2">
        <f>DATE(Sintesi!$C$4-1,12,31)+A275</f>
        <v>44470</v>
      </c>
      <c r="C275" s="1">
        <f>'Paste cell here'!T275</f>
        <v>2.8275617819059247E-3</v>
      </c>
      <c r="D275" s="1">
        <f>'Paste cell here'!AC275</f>
        <v>0</v>
      </c>
      <c r="E275" s="1">
        <f>'Paste cell here'!Y275</f>
        <v>0</v>
      </c>
      <c r="F275" s="1">
        <f>'Paste cell here'!AD275</f>
        <v>0.39033978988639662</v>
      </c>
      <c r="G275" s="1">
        <f>'Paste cell here'!W275</f>
        <v>0</v>
      </c>
      <c r="H275" s="1">
        <f>'Paste cell here'!AE275</f>
        <v>245.7040642758023</v>
      </c>
      <c r="I275" s="1">
        <f>'Paste cell here'!AF275</f>
        <v>246.09157650390677</v>
      </c>
      <c r="J275" s="1">
        <f t="shared" si="24"/>
        <v>0</v>
      </c>
      <c r="K275" s="1" t="str">
        <f>IF('(OLD) Bilancio primo strato'!D275&gt;0,1,"")</f>
        <v/>
      </c>
      <c r="L275" s="7">
        <f>Sintesi!$C$34</f>
        <v>0.128</v>
      </c>
      <c r="M275" s="7">
        <f>Sintesi!$C$33</f>
        <v>0.25700000000000001</v>
      </c>
      <c r="N275" s="1">
        <f>'Paste cell here'!AA275</f>
        <v>0.9</v>
      </c>
      <c r="O275" s="1">
        <f>'Paste cell here'!H275</f>
        <v>0.10000000149011612</v>
      </c>
      <c r="P275" s="1">
        <f t="shared" si="25"/>
        <v>116.10000000000001</v>
      </c>
      <c r="Q275" s="1">
        <f t="shared" si="26"/>
        <v>11.610000173002483</v>
      </c>
      <c r="R275" s="1">
        <f t="shared" si="27"/>
        <v>219.68999982699754</v>
      </c>
      <c r="S275" s="5">
        <f t="shared" si="28"/>
        <v>0.27300451586200253</v>
      </c>
      <c r="T275" s="5">
        <f t="shared" si="29"/>
        <v>0.24409999980777505</v>
      </c>
    </row>
    <row r="276" spans="1:20">
      <c r="A276" s="1">
        <v>275</v>
      </c>
      <c r="B276" s="2">
        <f>DATE(Sintesi!$C$4-1,12,31)+A276</f>
        <v>44471</v>
      </c>
      <c r="C276" s="1">
        <f>'Paste cell here'!T276</f>
        <v>2.2793838666088523E-4</v>
      </c>
      <c r="D276" s="1">
        <f>'Paste cell here'!AC276</f>
        <v>0</v>
      </c>
      <c r="E276" s="1">
        <f>'Paste cell here'!Y276</f>
        <v>0</v>
      </c>
      <c r="F276" s="1">
        <f>'Paste cell here'!AD276</f>
        <v>0.38224737476319454</v>
      </c>
      <c r="G276" s="1">
        <f>'Paste cell here'!W276</f>
        <v>0</v>
      </c>
      <c r="H276" s="1">
        <f>'Paste cell here'!AE276</f>
        <v>245.32204483942576</v>
      </c>
      <c r="I276" s="1">
        <f>'Paste cell here'!AF276</f>
        <v>245.70406427580227</v>
      </c>
      <c r="J276" s="1">
        <f t="shared" si="24"/>
        <v>0</v>
      </c>
      <c r="K276" s="1" t="str">
        <f>IF('(OLD) Bilancio primo strato'!D276&gt;0,1,"")</f>
        <v/>
      </c>
      <c r="L276" s="7">
        <f>Sintesi!$C$34</f>
        <v>0.128</v>
      </c>
      <c r="M276" s="7">
        <f>Sintesi!$C$33</f>
        <v>0.25700000000000001</v>
      </c>
      <c r="N276" s="1">
        <f>'Paste cell here'!AA276</f>
        <v>0.9</v>
      </c>
      <c r="O276" s="1">
        <f>'Paste cell here'!H276</f>
        <v>0.10000000149011612</v>
      </c>
      <c r="P276" s="1">
        <f t="shared" si="25"/>
        <v>116.10000000000001</v>
      </c>
      <c r="Q276" s="1">
        <f t="shared" si="26"/>
        <v>11.610000173002483</v>
      </c>
      <c r="R276" s="1">
        <f t="shared" si="27"/>
        <v>219.68999982699754</v>
      </c>
      <c r="S276" s="5">
        <f t="shared" si="28"/>
        <v>0.27258004982158418</v>
      </c>
      <c r="T276" s="5">
        <f t="shared" si="29"/>
        <v>0.24409999980777505</v>
      </c>
    </row>
    <row r="277" spans="1:20">
      <c r="A277" s="1">
        <v>276</v>
      </c>
      <c r="B277" s="2">
        <f>DATE(Sintesi!$C$4-1,12,31)+A277</f>
        <v>44472</v>
      </c>
      <c r="C277" s="1">
        <f>'Paste cell here'!T277</f>
        <v>9.1087333115115791E-5</v>
      </c>
      <c r="D277" s="1">
        <f>'Paste cell here'!AC277</f>
        <v>0</v>
      </c>
      <c r="E277" s="1">
        <f>'Paste cell here'!Y277</f>
        <v>0</v>
      </c>
      <c r="F277" s="1">
        <f>'Paste cell here'!AD277</f>
        <v>0.37444956341957192</v>
      </c>
      <c r="G277" s="1">
        <f>'Paste cell here'!W277</f>
        <v>0</v>
      </c>
      <c r="H277" s="1">
        <f>'Paste cell here'!AE277</f>
        <v>244.94768636333924</v>
      </c>
      <c r="I277" s="1">
        <f>'Paste cell here'!AF277</f>
        <v>245.32204483942576</v>
      </c>
      <c r="J277" s="1">
        <f t="shared" si="24"/>
        <v>5.6843418860808015E-14</v>
      </c>
      <c r="K277" s="1" t="str">
        <f>IF('(OLD) Bilancio primo strato'!D277&gt;0,1,"")</f>
        <v/>
      </c>
      <c r="L277" s="7">
        <f>Sintesi!$C$34</f>
        <v>0.128</v>
      </c>
      <c r="M277" s="7">
        <f>Sintesi!$C$33</f>
        <v>0.25700000000000001</v>
      </c>
      <c r="N277" s="1">
        <f>'Paste cell here'!AA277</f>
        <v>0.9</v>
      </c>
      <c r="O277" s="1">
        <f>'Paste cell here'!H277</f>
        <v>0.10000000149011612</v>
      </c>
      <c r="P277" s="1">
        <f t="shared" si="25"/>
        <v>116.10000000000001</v>
      </c>
      <c r="Q277" s="1">
        <f t="shared" si="26"/>
        <v>11.610000173002483</v>
      </c>
      <c r="R277" s="1">
        <f t="shared" si="27"/>
        <v>219.68999982699754</v>
      </c>
      <c r="S277" s="5">
        <f t="shared" si="28"/>
        <v>0.27216409595926583</v>
      </c>
      <c r="T277" s="5">
        <f t="shared" si="29"/>
        <v>0.24409999980777505</v>
      </c>
    </row>
    <row r="278" spans="1:20">
      <c r="A278" s="1">
        <v>277</v>
      </c>
      <c r="B278" s="2">
        <f>DATE(Sintesi!$C$4-1,12,31)+A278</f>
        <v>44473</v>
      </c>
      <c r="C278" s="1">
        <f>'Paste cell here'!T278</f>
        <v>3.0636509959914555</v>
      </c>
      <c r="D278" s="1">
        <f>'Paste cell here'!AC278</f>
        <v>0</v>
      </c>
      <c r="E278" s="1">
        <f>'Paste cell here'!Y278</f>
        <v>0</v>
      </c>
      <c r="F278" s="1">
        <f>'Paste cell here'!AD278</f>
        <v>0.3759501185674371</v>
      </c>
      <c r="G278" s="1">
        <f>'Paste cell here'!W278</f>
        <v>0</v>
      </c>
      <c r="H278" s="1">
        <f>'Paste cell here'!AE278</f>
        <v>247.63538724076327</v>
      </c>
      <c r="I278" s="1">
        <f>'Paste cell here'!AF278</f>
        <v>244.94768636333924</v>
      </c>
      <c r="J278" s="1">
        <f t="shared" si="24"/>
        <v>0</v>
      </c>
      <c r="K278" s="1" t="str">
        <f>IF('(OLD) Bilancio primo strato'!D278&gt;0,1,"")</f>
        <v/>
      </c>
      <c r="L278" s="7">
        <f>Sintesi!$C$34</f>
        <v>0.128</v>
      </c>
      <c r="M278" s="7">
        <f>Sintesi!$C$33</f>
        <v>0.25700000000000001</v>
      </c>
      <c r="N278" s="1">
        <f>'Paste cell here'!AA278</f>
        <v>0.9</v>
      </c>
      <c r="O278" s="1">
        <f>'Paste cell here'!H278</f>
        <v>0.1510145019699278</v>
      </c>
      <c r="P278" s="1">
        <f t="shared" si="25"/>
        <v>116.10000000000001</v>
      </c>
      <c r="Q278" s="1">
        <f t="shared" si="26"/>
        <v>17.532783678708618</v>
      </c>
      <c r="R278" s="1">
        <f t="shared" si="27"/>
        <v>213.76721632129139</v>
      </c>
      <c r="S278" s="5">
        <f t="shared" si="28"/>
        <v>0.27515043026751473</v>
      </c>
      <c r="T278" s="5">
        <f t="shared" si="29"/>
        <v>0.23751912924587931</v>
      </c>
    </row>
    <row r="279" spans="1:20">
      <c r="A279" s="1">
        <v>278</v>
      </c>
      <c r="B279" s="2">
        <f>DATE(Sintesi!$C$4-1,12,31)+A279</f>
        <v>44474</v>
      </c>
      <c r="C279" s="1">
        <f>'Paste cell here'!T279</f>
        <v>5.7553337228927344</v>
      </c>
      <c r="D279" s="1">
        <f>'Paste cell here'!AC279</f>
        <v>0</v>
      </c>
      <c r="E279" s="1">
        <f>'Paste cell here'!Y279</f>
        <v>0</v>
      </c>
      <c r="F279" s="1">
        <f>'Paste cell here'!AD279</f>
        <v>0.51830758943427935</v>
      </c>
      <c r="G279" s="1">
        <f>'Paste cell here'!W279</f>
        <v>0</v>
      </c>
      <c r="H279" s="1">
        <f>'Paste cell here'!AE279</f>
        <v>252.87241337422179</v>
      </c>
      <c r="I279" s="1">
        <f>'Paste cell here'!AF279</f>
        <v>247.63538724076327</v>
      </c>
      <c r="J279" s="1">
        <f t="shared" si="24"/>
        <v>5.6843418860808015E-14</v>
      </c>
      <c r="K279" s="1" t="str">
        <f>IF('(OLD) Bilancio primo strato'!D279&gt;0,1,"")</f>
        <v/>
      </c>
      <c r="L279" s="7">
        <f>Sintesi!$C$34</f>
        <v>0.128</v>
      </c>
      <c r="M279" s="7">
        <f>Sintesi!$C$33</f>
        <v>0.25700000000000001</v>
      </c>
      <c r="N279" s="1">
        <f>'Paste cell here'!AA279</f>
        <v>0.9</v>
      </c>
      <c r="O279" s="1">
        <f>'Paste cell here'!H279</f>
        <v>0.15844655480227587</v>
      </c>
      <c r="P279" s="1">
        <f t="shared" si="25"/>
        <v>116.10000000000001</v>
      </c>
      <c r="Q279" s="1">
        <f t="shared" si="26"/>
        <v>18.395645012544229</v>
      </c>
      <c r="R279" s="1">
        <f t="shared" si="27"/>
        <v>212.90435498745578</v>
      </c>
      <c r="S279" s="5">
        <f t="shared" si="28"/>
        <v>0.28096934819357977</v>
      </c>
      <c r="T279" s="5">
        <f t="shared" si="29"/>
        <v>0.23656039443050642</v>
      </c>
    </row>
    <row r="280" spans="1:20">
      <c r="A280" s="1">
        <v>279</v>
      </c>
      <c r="B280" s="2">
        <f>DATE(Sintesi!$C$4-1,12,31)+A280</f>
        <v>44475</v>
      </c>
      <c r="C280" s="1">
        <f>'Paste cell here'!T280</f>
        <v>5.0407229011408035</v>
      </c>
      <c r="D280" s="1">
        <f>'Paste cell here'!AC280</f>
        <v>0</v>
      </c>
      <c r="E280" s="1">
        <f>'Paste cell here'!Y280</f>
        <v>0</v>
      </c>
      <c r="F280" s="1">
        <f>'Paste cell here'!AD280</f>
        <v>0.62505782848941926</v>
      </c>
      <c r="G280" s="1">
        <f>'Paste cell here'!W280</f>
        <v>0</v>
      </c>
      <c r="H280" s="1">
        <f>'Paste cell here'!AE280</f>
        <v>257.28807844687316</v>
      </c>
      <c r="I280" s="1">
        <f>'Paste cell here'!AF280</f>
        <v>252.87241337422179</v>
      </c>
      <c r="J280" s="1">
        <f t="shared" si="24"/>
        <v>0</v>
      </c>
      <c r="K280" s="1" t="str">
        <f>IF('(OLD) Bilancio primo strato'!D280&gt;0,1,"")</f>
        <v/>
      </c>
      <c r="L280" s="7">
        <f>Sintesi!$C$34</f>
        <v>0.128</v>
      </c>
      <c r="M280" s="7">
        <f>Sintesi!$C$33</f>
        <v>0.25700000000000001</v>
      </c>
      <c r="N280" s="1">
        <f>'Paste cell here'!AA280</f>
        <v>0.9</v>
      </c>
      <c r="O280" s="1">
        <f>'Paste cell here'!H280</f>
        <v>0.1340770315738459</v>
      </c>
      <c r="P280" s="1">
        <f t="shared" si="25"/>
        <v>116.10000000000001</v>
      </c>
      <c r="Q280" s="1">
        <f t="shared" si="26"/>
        <v>15.56634336572351</v>
      </c>
      <c r="R280" s="1">
        <f t="shared" si="27"/>
        <v>215.73365663427651</v>
      </c>
      <c r="S280" s="5">
        <f t="shared" si="28"/>
        <v>0.28587564271874794</v>
      </c>
      <c r="T280" s="5">
        <f t="shared" si="29"/>
        <v>0.23970406292697391</v>
      </c>
    </row>
    <row r="281" spans="1:20">
      <c r="A281" s="1">
        <v>280</v>
      </c>
      <c r="B281" s="2">
        <f>DATE(Sintesi!$C$4-1,12,31)+A281</f>
        <v>44476</v>
      </c>
      <c r="C281" s="1">
        <f>'Paste cell here'!T281</f>
        <v>2.9962562023999761</v>
      </c>
      <c r="D281" s="1">
        <f>'Paste cell here'!AC281</f>
        <v>0</v>
      </c>
      <c r="E281" s="1">
        <f>'Paste cell here'!Y281</f>
        <v>0</v>
      </c>
      <c r="F281" s="1">
        <f>'Paste cell here'!AD281</f>
        <v>0.77109209837756654</v>
      </c>
      <c r="G281" s="1">
        <f>'Paste cell here'!W281</f>
        <v>0</v>
      </c>
      <c r="H281" s="1">
        <f>'Paste cell here'!AE281</f>
        <v>259.51324255089548</v>
      </c>
      <c r="I281" s="1">
        <f>'Paste cell here'!AF281</f>
        <v>257.2880784468731</v>
      </c>
      <c r="J281" s="1">
        <f t="shared" si="24"/>
        <v>5.6843418860808015E-14</v>
      </c>
      <c r="K281" s="1" t="str">
        <f>IF('(OLD) Bilancio primo strato'!D281&gt;0,1,"")</f>
        <v/>
      </c>
      <c r="L281" s="7">
        <f>Sintesi!$C$34</f>
        <v>0.128</v>
      </c>
      <c r="M281" s="7">
        <f>Sintesi!$C$33</f>
        <v>0.25700000000000001</v>
      </c>
      <c r="N281" s="1">
        <f>'Paste cell here'!AA281</f>
        <v>0.9</v>
      </c>
      <c r="O281" s="1">
        <f>'Paste cell here'!H281</f>
        <v>0.1370312519981996</v>
      </c>
      <c r="P281" s="1">
        <f t="shared" si="25"/>
        <v>116.10000000000001</v>
      </c>
      <c r="Q281" s="1">
        <f t="shared" si="26"/>
        <v>15.909328356990974</v>
      </c>
      <c r="R281" s="1">
        <f t="shared" si="27"/>
        <v>215.39067164300903</v>
      </c>
      <c r="S281" s="5">
        <f t="shared" si="28"/>
        <v>0.28834804727877278</v>
      </c>
      <c r="T281" s="5">
        <f t="shared" si="29"/>
        <v>0.23932296849223225</v>
      </c>
    </row>
    <row r="282" spans="1:20">
      <c r="A282" s="1">
        <v>281</v>
      </c>
      <c r="B282" s="2">
        <f>DATE(Sintesi!$C$4-1,12,31)+A282</f>
        <v>44477</v>
      </c>
      <c r="C282" s="1">
        <f>'Paste cell here'!T282</f>
        <v>0.70718967986057091</v>
      </c>
      <c r="D282" s="1">
        <f>'Paste cell here'!AC282</f>
        <v>0</v>
      </c>
      <c r="E282" s="1">
        <f>'Paste cell here'!Y282</f>
        <v>0</v>
      </c>
      <c r="F282" s="1">
        <f>'Paste cell here'!AD282</f>
        <v>0.79723193606721332</v>
      </c>
      <c r="G282" s="1">
        <f>'Paste cell here'!W282</f>
        <v>0</v>
      </c>
      <c r="H282" s="1">
        <f>'Paste cell here'!AE282</f>
        <v>259.4232002946888</v>
      </c>
      <c r="I282" s="1">
        <f>'Paste cell here'!AF282</f>
        <v>259.51324255089554</v>
      </c>
      <c r="J282" s="1">
        <f t="shared" si="24"/>
        <v>1.1368683772161603E-13</v>
      </c>
      <c r="K282" s="1" t="str">
        <f>IF('(OLD) Bilancio primo strato'!D282&gt;0,1,"")</f>
        <v/>
      </c>
      <c r="L282" s="7">
        <f>Sintesi!$C$34</f>
        <v>0.128</v>
      </c>
      <c r="M282" s="7">
        <f>Sintesi!$C$33</f>
        <v>0.25700000000000001</v>
      </c>
      <c r="N282" s="1">
        <f>'Paste cell here'!AA282</f>
        <v>0.9</v>
      </c>
      <c r="O282" s="1">
        <f>'Paste cell here'!H282</f>
        <v>0.11973543035709888</v>
      </c>
      <c r="P282" s="1">
        <f t="shared" si="25"/>
        <v>116.10000000000001</v>
      </c>
      <c r="Q282" s="1">
        <f t="shared" si="26"/>
        <v>13.901283464459182</v>
      </c>
      <c r="R282" s="1">
        <f t="shared" si="27"/>
        <v>217.39871653554084</v>
      </c>
      <c r="S282" s="5">
        <f t="shared" si="28"/>
        <v>0.28824800032743197</v>
      </c>
      <c r="T282" s="5">
        <f t="shared" si="29"/>
        <v>0.24155412948393426</v>
      </c>
    </row>
    <row r="283" spans="1:20">
      <c r="A283" s="1">
        <v>282</v>
      </c>
      <c r="B283" s="2">
        <f>DATE(Sintesi!$C$4-1,12,31)+A283</f>
        <v>44478</v>
      </c>
      <c r="C283" s="1">
        <f>'Paste cell here'!T283</f>
        <v>0.23104244672650096</v>
      </c>
      <c r="D283" s="1">
        <f>'Paste cell here'!AC283</f>
        <v>0</v>
      </c>
      <c r="E283" s="1">
        <f>'Paste cell here'!Y283</f>
        <v>0</v>
      </c>
      <c r="F283" s="1">
        <f>'Paste cell here'!AD283</f>
        <v>0.78233574981501752</v>
      </c>
      <c r="G283" s="1">
        <f>'Paste cell here'!W283</f>
        <v>0</v>
      </c>
      <c r="H283" s="1">
        <f>'Paste cell here'!AE283</f>
        <v>258.87190699160027</v>
      </c>
      <c r="I283" s="1">
        <f>'Paste cell here'!AF283</f>
        <v>259.4232002946888</v>
      </c>
      <c r="J283" s="1">
        <f t="shared" si="24"/>
        <v>5.6843418860808015E-14</v>
      </c>
      <c r="K283" s="1" t="str">
        <f>IF('(OLD) Bilancio primo strato'!D283&gt;0,1,"")</f>
        <v/>
      </c>
      <c r="L283" s="7">
        <f>Sintesi!$C$34</f>
        <v>0.128</v>
      </c>
      <c r="M283" s="7">
        <f>Sintesi!$C$33</f>
        <v>0.25700000000000001</v>
      </c>
      <c r="N283" s="1">
        <f>'Paste cell here'!AA283</f>
        <v>0.9</v>
      </c>
      <c r="O283" s="1">
        <f>'Paste cell here'!H283</f>
        <v>0.12128520064152223</v>
      </c>
      <c r="P283" s="1">
        <f t="shared" si="25"/>
        <v>116.10000000000001</v>
      </c>
      <c r="Q283" s="1">
        <f t="shared" si="26"/>
        <v>14.081211794480732</v>
      </c>
      <c r="R283" s="1">
        <f t="shared" si="27"/>
        <v>217.21878820551927</v>
      </c>
      <c r="S283" s="5">
        <f t="shared" si="28"/>
        <v>0.28763545221288916</v>
      </c>
      <c r="T283" s="5">
        <f t="shared" si="29"/>
        <v>0.24135420911724365</v>
      </c>
    </row>
    <row r="284" spans="1:20">
      <c r="A284" s="1">
        <v>283</v>
      </c>
      <c r="B284" s="2">
        <f>DATE(Sintesi!$C$4-1,12,31)+A284</f>
        <v>44479</v>
      </c>
      <c r="C284" s="1">
        <f>'Paste cell here'!T284</f>
        <v>7.4667897075451364E-2</v>
      </c>
      <c r="D284" s="1">
        <f>'Paste cell here'!AC284</f>
        <v>0</v>
      </c>
      <c r="E284" s="1">
        <f>'Paste cell here'!Y284</f>
        <v>0</v>
      </c>
      <c r="F284" s="1">
        <f>'Paste cell here'!AD284</f>
        <v>0.75758527947439402</v>
      </c>
      <c r="G284" s="1">
        <f>'Paste cell here'!W284</f>
        <v>0</v>
      </c>
      <c r="H284" s="1">
        <f>'Paste cell here'!AE284</f>
        <v>258.18898960920126</v>
      </c>
      <c r="I284" s="1">
        <f>'Paste cell here'!AF284</f>
        <v>258.87190699160021</v>
      </c>
      <c r="J284" s="1">
        <f t="shared" si="24"/>
        <v>5.6843418860808015E-14</v>
      </c>
      <c r="K284" s="1" t="str">
        <f>IF('(OLD) Bilancio primo strato'!D284&gt;0,1,"")</f>
        <v/>
      </c>
      <c r="L284" s="7">
        <f>Sintesi!$C$34</f>
        <v>0.128</v>
      </c>
      <c r="M284" s="7">
        <f>Sintesi!$C$33</f>
        <v>0.25700000000000001</v>
      </c>
      <c r="N284" s="1">
        <f>'Paste cell here'!AA284</f>
        <v>0.9</v>
      </c>
      <c r="O284" s="1">
        <f>'Paste cell here'!H284</f>
        <v>0.11574382037746947</v>
      </c>
      <c r="P284" s="1">
        <f t="shared" si="25"/>
        <v>116.10000000000001</v>
      </c>
      <c r="Q284" s="1">
        <f t="shared" si="26"/>
        <v>13.437857545824206</v>
      </c>
      <c r="R284" s="1">
        <f t="shared" si="27"/>
        <v>217.8621424541758</v>
      </c>
      <c r="S284" s="5">
        <f t="shared" si="28"/>
        <v>0.28687665512133476</v>
      </c>
      <c r="T284" s="5">
        <f t="shared" si="29"/>
        <v>0.24206904717130645</v>
      </c>
    </row>
    <row r="285" spans="1:20">
      <c r="A285" s="1">
        <v>284</v>
      </c>
      <c r="B285" s="2">
        <f>DATE(Sintesi!$C$4-1,12,31)+A285</f>
        <v>44480</v>
      </c>
      <c r="C285" s="1">
        <f>'Paste cell here'!T285</f>
        <v>2.3500487915324227E-2</v>
      </c>
      <c r="D285" s="1">
        <f>'Paste cell here'!AC285</f>
        <v>0</v>
      </c>
      <c r="E285" s="1">
        <f>'Paste cell here'!Y285</f>
        <v>0</v>
      </c>
      <c r="F285" s="1">
        <f>'Paste cell here'!AD285</f>
        <v>0.73109231870034297</v>
      </c>
      <c r="G285" s="1">
        <f>'Paste cell here'!W285</f>
        <v>0</v>
      </c>
      <c r="H285" s="1">
        <f>'Paste cell here'!AE285</f>
        <v>257.48139777841629</v>
      </c>
      <c r="I285" s="1">
        <f>'Paste cell here'!AF285</f>
        <v>258.18898960920126</v>
      </c>
      <c r="J285" s="1">
        <f t="shared" si="24"/>
        <v>5.6843418860808015E-14</v>
      </c>
      <c r="K285" s="1" t="str">
        <f>IF('(OLD) Bilancio primo strato'!D285&gt;0,1,"")</f>
        <v/>
      </c>
      <c r="L285" s="7">
        <f>Sintesi!$C$34</f>
        <v>0.128</v>
      </c>
      <c r="M285" s="7">
        <f>Sintesi!$C$33</f>
        <v>0.25700000000000001</v>
      </c>
      <c r="N285" s="1">
        <f>'Paste cell here'!AA285</f>
        <v>0.9</v>
      </c>
      <c r="O285" s="1">
        <f>'Paste cell here'!H285</f>
        <v>0.12136286821904486</v>
      </c>
      <c r="P285" s="1">
        <f t="shared" si="25"/>
        <v>116.10000000000001</v>
      </c>
      <c r="Q285" s="1">
        <f t="shared" si="26"/>
        <v>14.09022900023111</v>
      </c>
      <c r="R285" s="1">
        <f t="shared" si="27"/>
        <v>217.20977099976889</v>
      </c>
      <c r="S285" s="5">
        <f t="shared" si="28"/>
        <v>0.28609044197601813</v>
      </c>
      <c r="T285" s="5">
        <f t="shared" si="29"/>
        <v>0.24134418999974322</v>
      </c>
    </row>
    <row r="286" spans="1:20">
      <c r="A286" s="1">
        <v>285</v>
      </c>
      <c r="B286" s="2">
        <f>DATE(Sintesi!$C$4-1,12,31)+A286</f>
        <v>44481</v>
      </c>
      <c r="C286" s="1">
        <f>'Paste cell here'!T286</f>
        <v>6.5308285799573285E-3</v>
      </c>
      <c r="D286" s="1">
        <f>'Paste cell here'!AC286</f>
        <v>0</v>
      </c>
      <c r="E286" s="1">
        <f>'Paste cell here'!Y286</f>
        <v>0</v>
      </c>
      <c r="F286" s="1">
        <f>'Paste cell here'!AD286</f>
        <v>0.7052781646423445</v>
      </c>
      <c r="G286" s="1">
        <f>'Paste cell here'!W286</f>
        <v>0</v>
      </c>
      <c r="H286" s="1">
        <f>'Paste cell here'!AE286</f>
        <v>256.78265044235405</v>
      </c>
      <c r="I286" s="1">
        <f>'Paste cell here'!AF286</f>
        <v>257.48139777841635</v>
      </c>
      <c r="J286" s="1">
        <f t="shared" si="24"/>
        <v>5.6843418860808015E-14</v>
      </c>
      <c r="K286" s="1" t="str">
        <f>IF('(OLD) Bilancio primo strato'!D286&gt;0,1,"")</f>
        <v/>
      </c>
      <c r="L286" s="7">
        <f>Sintesi!$C$34</f>
        <v>0.128</v>
      </c>
      <c r="M286" s="7">
        <f>Sintesi!$C$33</f>
        <v>0.25700000000000001</v>
      </c>
      <c r="N286" s="1">
        <f>'Paste cell here'!AA286</f>
        <v>0.9</v>
      </c>
      <c r="O286" s="1">
        <f>'Paste cell here'!H286</f>
        <v>0.12235001541037858</v>
      </c>
      <c r="P286" s="1">
        <f t="shared" si="25"/>
        <v>116.10000000000001</v>
      </c>
      <c r="Q286" s="1">
        <f t="shared" si="26"/>
        <v>14.204836789144954</v>
      </c>
      <c r="R286" s="1">
        <f t="shared" si="27"/>
        <v>217.09516321085505</v>
      </c>
      <c r="S286" s="5">
        <f t="shared" si="28"/>
        <v>0.28531405604706006</v>
      </c>
      <c r="T286" s="5">
        <f t="shared" si="29"/>
        <v>0.24121684801206117</v>
      </c>
    </row>
    <row r="287" spans="1:20">
      <c r="A287" s="1">
        <v>286</v>
      </c>
      <c r="B287" s="2">
        <f>DATE(Sintesi!$C$4-1,12,31)+A287</f>
        <v>44482</v>
      </c>
      <c r="C287" s="1">
        <f>'Paste cell here'!T287</f>
        <v>1.5336083356018609E-3</v>
      </c>
      <c r="D287" s="1">
        <f>'Paste cell here'!AC287</f>
        <v>0</v>
      </c>
      <c r="E287" s="1">
        <f>'Paste cell here'!Y287</f>
        <v>0</v>
      </c>
      <c r="F287" s="1">
        <f>'Paste cell here'!AD287</f>
        <v>0.68082656315942969</v>
      </c>
      <c r="G287" s="1">
        <f>'Paste cell here'!W287</f>
        <v>0</v>
      </c>
      <c r="H287" s="1">
        <f>'Paste cell here'!AE287</f>
        <v>256.10335748753022</v>
      </c>
      <c r="I287" s="1">
        <f>'Paste cell here'!AF287</f>
        <v>256.78265044235405</v>
      </c>
      <c r="J287" s="1">
        <f t="shared" si="24"/>
        <v>0</v>
      </c>
      <c r="K287" s="1" t="str">
        <f>IF('(OLD) Bilancio primo strato'!D287&gt;0,1,"")</f>
        <v/>
      </c>
      <c r="L287" s="7">
        <f>Sintesi!$C$34</f>
        <v>0.128</v>
      </c>
      <c r="M287" s="7">
        <f>Sintesi!$C$33</f>
        <v>0.25700000000000001</v>
      </c>
      <c r="N287" s="1">
        <f>'Paste cell here'!AA287</f>
        <v>0.9</v>
      </c>
      <c r="O287" s="1">
        <f>'Paste cell here'!H287</f>
        <v>0.12513498995309721</v>
      </c>
      <c r="P287" s="1">
        <f t="shared" si="25"/>
        <v>116.10000000000001</v>
      </c>
      <c r="Q287" s="1">
        <f t="shared" si="26"/>
        <v>14.528172333554588</v>
      </c>
      <c r="R287" s="1">
        <f t="shared" si="27"/>
        <v>216.77182766644543</v>
      </c>
      <c r="S287" s="5">
        <f t="shared" si="28"/>
        <v>0.28455928609725578</v>
      </c>
      <c r="T287" s="5">
        <f t="shared" si="29"/>
        <v>0.24085758629605047</v>
      </c>
    </row>
    <row r="288" spans="1:20">
      <c r="A288" s="1">
        <v>287</v>
      </c>
      <c r="B288" s="2">
        <f>DATE(Sintesi!$C$4-1,12,31)+A288</f>
        <v>44483</v>
      </c>
      <c r="C288" s="1">
        <f>'Paste cell here'!T288</f>
        <v>2.6967600827683489E-4</v>
      </c>
      <c r="D288" s="1">
        <f>'Paste cell here'!AC288</f>
        <v>0</v>
      </c>
      <c r="E288" s="1">
        <f>'Paste cell here'!Y288</f>
        <v>0</v>
      </c>
      <c r="F288" s="1">
        <f>'Paste cell here'!AD288</f>
        <v>0.65784854982596874</v>
      </c>
      <c r="G288" s="1">
        <f>'Paste cell here'!W288</f>
        <v>0</v>
      </c>
      <c r="H288" s="1">
        <f>'Paste cell here'!AE288</f>
        <v>255.44577861371258</v>
      </c>
      <c r="I288" s="1">
        <f>'Paste cell here'!AF288</f>
        <v>256.10335748753022</v>
      </c>
      <c r="J288" s="1">
        <f t="shared" si="24"/>
        <v>5.6843418860808015E-14</v>
      </c>
      <c r="K288" s="1" t="str">
        <f>IF('(OLD) Bilancio primo strato'!D288&gt;0,1,"")</f>
        <v/>
      </c>
      <c r="L288" s="7">
        <f>Sintesi!$C$34</f>
        <v>0.128</v>
      </c>
      <c r="M288" s="7">
        <f>Sintesi!$C$33</f>
        <v>0.25700000000000001</v>
      </c>
      <c r="N288" s="1">
        <f>'Paste cell here'!AA288</f>
        <v>0.9</v>
      </c>
      <c r="O288" s="1">
        <f>'Paste cell here'!H288</f>
        <v>0.12217026452283047</v>
      </c>
      <c r="P288" s="1">
        <f t="shared" si="25"/>
        <v>116.10000000000001</v>
      </c>
      <c r="Q288" s="1">
        <f t="shared" si="26"/>
        <v>14.183967711100619</v>
      </c>
      <c r="R288" s="1">
        <f t="shared" si="27"/>
        <v>217.11603228889939</v>
      </c>
      <c r="S288" s="5">
        <f t="shared" si="28"/>
        <v>0.28382864290412507</v>
      </c>
      <c r="T288" s="5">
        <f t="shared" si="29"/>
        <v>0.24124003587655488</v>
      </c>
    </row>
    <row r="289" spans="1:20">
      <c r="A289" s="1">
        <v>288</v>
      </c>
      <c r="B289" s="2">
        <f>DATE(Sintesi!$C$4-1,12,31)+A289</f>
        <v>44484</v>
      </c>
      <c r="C289" s="1">
        <f>'Paste cell here'!T289</f>
        <v>4.5905910513970008E-5</v>
      </c>
      <c r="D289" s="1">
        <f>'Paste cell here'!AC289</f>
        <v>0</v>
      </c>
      <c r="E289" s="1">
        <f>'Paste cell here'!Y289</f>
        <v>0</v>
      </c>
      <c r="F289" s="1">
        <f>'Paste cell here'!AD289</f>
        <v>0.63627985901665352</v>
      </c>
      <c r="G289" s="1">
        <f>'Paste cell here'!W289</f>
        <v>0</v>
      </c>
      <c r="H289" s="1">
        <f>'Paste cell here'!AE289</f>
        <v>254.80954466060649</v>
      </c>
      <c r="I289" s="1">
        <f>'Paste cell here'!AF289</f>
        <v>255.4457786137126</v>
      </c>
      <c r="J289" s="1">
        <f t="shared" si="24"/>
        <v>2.8421709430404007E-14</v>
      </c>
      <c r="K289" s="1" t="str">
        <f>IF('(OLD) Bilancio primo strato'!D289&gt;0,1,"")</f>
        <v/>
      </c>
      <c r="L289" s="7">
        <f>Sintesi!$C$34</f>
        <v>0.128</v>
      </c>
      <c r="M289" s="7">
        <f>Sintesi!$C$33</f>
        <v>0.25700000000000001</v>
      </c>
      <c r="N289" s="1">
        <f>'Paste cell here'!AA289</f>
        <v>0.9</v>
      </c>
      <c r="O289" s="1">
        <f>'Paste cell here'!H289</f>
        <v>0.12509790649277525</v>
      </c>
      <c r="P289" s="1">
        <f t="shared" si="25"/>
        <v>116.10000000000001</v>
      </c>
      <c r="Q289" s="1">
        <f t="shared" si="26"/>
        <v>14.523866943811207</v>
      </c>
      <c r="R289" s="1">
        <f t="shared" si="27"/>
        <v>216.7761330561888</v>
      </c>
      <c r="S289" s="5">
        <f t="shared" si="28"/>
        <v>0.28312171628956279</v>
      </c>
      <c r="T289" s="5">
        <f t="shared" si="29"/>
        <v>0.240862370062432</v>
      </c>
    </row>
    <row r="290" spans="1:20">
      <c r="A290" s="1">
        <v>289</v>
      </c>
      <c r="B290" s="2">
        <f>DATE(Sintesi!$C$4-1,12,31)+A290</f>
        <v>44485</v>
      </c>
      <c r="C290" s="1">
        <f>'Paste cell here'!T290</f>
        <v>9.1950266218723558E-6</v>
      </c>
      <c r="D290" s="1">
        <f>'Paste cell here'!AC290</f>
        <v>0</v>
      </c>
      <c r="E290" s="1">
        <f>'Paste cell here'!Y290</f>
        <v>0</v>
      </c>
      <c r="F290" s="1">
        <f>'Paste cell here'!AD290</f>
        <v>0.61601087611989314</v>
      </c>
      <c r="G290" s="1">
        <f>'Paste cell here'!W290</f>
        <v>0</v>
      </c>
      <c r="H290" s="1">
        <f>'Paste cell here'!AE290</f>
        <v>254.19354297951315</v>
      </c>
      <c r="I290" s="1">
        <f>'Paste cell here'!AF290</f>
        <v>254.80954466060652</v>
      </c>
      <c r="J290" s="1">
        <f t="shared" si="24"/>
        <v>8.5265128291212022E-14</v>
      </c>
      <c r="K290" s="1" t="str">
        <f>IF('(OLD) Bilancio primo strato'!D290&gt;0,1,"")</f>
        <v/>
      </c>
      <c r="L290" s="7">
        <f>Sintesi!$C$34</f>
        <v>0.128</v>
      </c>
      <c r="M290" s="7">
        <f>Sintesi!$C$33</f>
        <v>0.25700000000000001</v>
      </c>
      <c r="N290" s="1">
        <f>'Paste cell here'!AA290</f>
        <v>0.9</v>
      </c>
      <c r="O290" s="1">
        <f>'Paste cell here'!H290</f>
        <v>0.13413669627576563</v>
      </c>
      <c r="P290" s="1">
        <f t="shared" si="25"/>
        <v>116.10000000000001</v>
      </c>
      <c r="Q290" s="1">
        <f t="shared" si="26"/>
        <v>15.57327043761639</v>
      </c>
      <c r="R290" s="1">
        <f t="shared" si="27"/>
        <v>215.72672956238361</v>
      </c>
      <c r="S290" s="5">
        <f t="shared" si="28"/>
        <v>0.28243726997723684</v>
      </c>
      <c r="T290" s="5">
        <f t="shared" si="29"/>
        <v>0.23969636618042622</v>
      </c>
    </row>
    <row r="291" spans="1:20">
      <c r="A291" s="1">
        <v>290</v>
      </c>
      <c r="B291" s="2">
        <f>DATE(Sintesi!$C$4-1,12,31)+A291</f>
        <v>44486</v>
      </c>
      <c r="C291" s="1">
        <f>'Paste cell here'!T291</f>
        <v>1.8308070084707999E-6</v>
      </c>
      <c r="D291" s="1">
        <f>'Paste cell here'!AC291</f>
        <v>0</v>
      </c>
      <c r="E291" s="1">
        <f>'Paste cell here'!Y291</f>
        <v>0</v>
      </c>
      <c r="F291" s="1">
        <f>'Paste cell here'!AD291</f>
        <v>0.59693169990252415</v>
      </c>
      <c r="G291" s="1">
        <f>'Paste cell here'!W291</f>
        <v>0</v>
      </c>
      <c r="H291" s="1">
        <f>'Paste cell here'!AE291</f>
        <v>253.59661311041768</v>
      </c>
      <c r="I291" s="1">
        <f>'Paste cell here'!AF291</f>
        <v>254.19354297951318</v>
      </c>
      <c r="J291" s="1">
        <f t="shared" si="24"/>
        <v>0</v>
      </c>
      <c r="K291" s="1" t="str">
        <f>IF('(OLD) Bilancio primo strato'!D291&gt;0,1,"")</f>
        <v/>
      </c>
      <c r="L291" s="7">
        <f>Sintesi!$C$34</f>
        <v>0.128</v>
      </c>
      <c r="M291" s="7">
        <f>Sintesi!$C$33</f>
        <v>0.25700000000000001</v>
      </c>
      <c r="N291" s="1">
        <f>'Paste cell here'!AA291</f>
        <v>0.9</v>
      </c>
      <c r="O291" s="1">
        <f>'Paste cell here'!H291</f>
        <v>0.13343300658753351</v>
      </c>
      <c r="P291" s="1">
        <f t="shared" si="25"/>
        <v>116.10000000000001</v>
      </c>
      <c r="Q291" s="1">
        <f t="shared" si="26"/>
        <v>15.491572064812642</v>
      </c>
      <c r="R291" s="1">
        <f t="shared" si="27"/>
        <v>215.80842793518738</v>
      </c>
      <c r="S291" s="5">
        <f t="shared" si="28"/>
        <v>0.28177401456713075</v>
      </c>
      <c r="T291" s="5">
        <f t="shared" si="29"/>
        <v>0.23978714215020822</v>
      </c>
    </row>
    <row r="292" spans="1:20">
      <c r="A292" s="1">
        <v>291</v>
      </c>
      <c r="B292" s="2">
        <f>DATE(Sintesi!$C$4-1,12,31)+A292</f>
        <v>44487</v>
      </c>
      <c r="C292" s="1">
        <f>'Paste cell here'!T292</f>
        <v>3.4425015727329641E-7</v>
      </c>
      <c r="D292" s="1">
        <f>'Paste cell here'!AC292</f>
        <v>0</v>
      </c>
      <c r="E292" s="1">
        <f>'Paste cell here'!Y292</f>
        <v>0</v>
      </c>
      <c r="F292" s="1">
        <f>'Paste cell here'!AD292</f>
        <v>0.5789426266063985</v>
      </c>
      <c r="G292" s="1">
        <f>'Paste cell here'!W292</f>
        <v>0</v>
      </c>
      <c r="H292" s="1">
        <f>'Paste cell here'!AE292</f>
        <v>253.01767082806157</v>
      </c>
      <c r="I292" s="1">
        <f>'Paste cell here'!AF292</f>
        <v>253.59661311041771</v>
      </c>
      <c r="J292" s="1">
        <f t="shared" si="24"/>
        <v>8.5265128291212022E-14</v>
      </c>
      <c r="K292" s="1" t="str">
        <f>IF('(OLD) Bilancio primo strato'!D292&gt;0,1,"")</f>
        <v/>
      </c>
      <c r="L292" s="7">
        <f>Sintesi!$C$34</f>
        <v>0.128</v>
      </c>
      <c r="M292" s="7">
        <f>Sintesi!$C$33</f>
        <v>0.25700000000000001</v>
      </c>
      <c r="N292" s="1">
        <f>'Paste cell here'!AA292</f>
        <v>0.9</v>
      </c>
      <c r="O292" s="1">
        <f>'Paste cell here'!H292</f>
        <v>0.13480866134636738</v>
      </c>
      <c r="P292" s="1">
        <f t="shared" si="25"/>
        <v>116.10000000000001</v>
      </c>
      <c r="Q292" s="1">
        <f t="shared" si="26"/>
        <v>15.651285582313253</v>
      </c>
      <c r="R292" s="1">
        <f t="shared" si="27"/>
        <v>215.64871441768676</v>
      </c>
      <c r="S292" s="5">
        <f t="shared" si="28"/>
        <v>0.28113074536451288</v>
      </c>
      <c r="T292" s="5">
        <f t="shared" si="29"/>
        <v>0.23960968268631863</v>
      </c>
    </row>
    <row r="293" spans="1:20">
      <c r="A293" s="1">
        <v>292</v>
      </c>
      <c r="B293" s="2">
        <f>DATE(Sintesi!$C$4-1,12,31)+A293</f>
        <v>44488</v>
      </c>
      <c r="C293" s="1">
        <f>'Paste cell here'!T293</f>
        <v>7.055860673880943E-8</v>
      </c>
      <c r="D293" s="1">
        <f>'Paste cell here'!AC293</f>
        <v>0</v>
      </c>
      <c r="E293" s="1">
        <f>'Paste cell here'!Y293</f>
        <v>0</v>
      </c>
      <c r="F293" s="1">
        <f>'Paste cell here'!AD293</f>
        <v>0.56195441814955882</v>
      </c>
      <c r="G293" s="1">
        <f>'Paste cell here'!W293</f>
        <v>0</v>
      </c>
      <c r="H293" s="1">
        <f>'Paste cell here'!AE293</f>
        <v>252.45571648047064</v>
      </c>
      <c r="I293" s="1">
        <f>'Paste cell here'!AF293</f>
        <v>253.0176708280616</v>
      </c>
      <c r="J293" s="1">
        <f t="shared" si="24"/>
        <v>0</v>
      </c>
      <c r="K293" s="1" t="str">
        <f>IF('(OLD) Bilancio primo strato'!D293&gt;0,1,"")</f>
        <v/>
      </c>
      <c r="L293" s="7">
        <f>Sintesi!$C$34</f>
        <v>0.128</v>
      </c>
      <c r="M293" s="7">
        <f>Sintesi!$C$33</f>
        <v>0.25700000000000001</v>
      </c>
      <c r="N293" s="1">
        <f>'Paste cell here'!AA293</f>
        <v>0.9</v>
      </c>
      <c r="O293" s="1">
        <f>'Paste cell here'!H293</f>
        <v>0.13650638588110886</v>
      </c>
      <c r="P293" s="1">
        <f t="shared" si="25"/>
        <v>116.10000000000001</v>
      </c>
      <c r="Q293" s="1">
        <f t="shared" si="26"/>
        <v>15.848391400796739</v>
      </c>
      <c r="R293" s="1">
        <f t="shared" si="27"/>
        <v>215.45160859920327</v>
      </c>
      <c r="S293" s="5">
        <f t="shared" si="28"/>
        <v>0.2805063516449674</v>
      </c>
      <c r="T293" s="5">
        <f t="shared" si="29"/>
        <v>0.23939067622133697</v>
      </c>
    </row>
    <row r="294" spans="1:20">
      <c r="A294" s="1">
        <v>293</v>
      </c>
      <c r="B294" s="2">
        <f>DATE(Sintesi!$C$4-1,12,31)+A294</f>
        <v>44489</v>
      </c>
      <c r="C294" s="1">
        <f>'Paste cell here'!T294</f>
        <v>1.5181993126899496E-8</v>
      </c>
      <c r="D294" s="1">
        <f>'Paste cell here'!AC294</f>
        <v>0</v>
      </c>
      <c r="E294" s="1">
        <f>'Paste cell here'!Y294</f>
        <v>0</v>
      </c>
      <c r="F294" s="1">
        <f>'Paste cell here'!AD294</f>
        <v>0.54588718123685098</v>
      </c>
      <c r="G294" s="1">
        <f>'Paste cell here'!W294</f>
        <v>0</v>
      </c>
      <c r="H294" s="1">
        <f>'Paste cell here'!AE294</f>
        <v>251.90982931441587</v>
      </c>
      <c r="I294" s="1">
        <f>'Paste cell here'!AF294</f>
        <v>252.45571648047067</v>
      </c>
      <c r="J294" s="1">
        <f t="shared" si="24"/>
        <v>5.6843418860808015E-14</v>
      </c>
      <c r="K294" s="1" t="str">
        <f>IF('(OLD) Bilancio primo strato'!D294&gt;0,1,"")</f>
        <v/>
      </c>
      <c r="L294" s="7">
        <f>Sintesi!$C$34</f>
        <v>0.128</v>
      </c>
      <c r="M294" s="7">
        <f>Sintesi!$C$33</f>
        <v>0.25700000000000001</v>
      </c>
      <c r="N294" s="1">
        <f>'Paste cell here'!AA294</f>
        <v>0.9</v>
      </c>
      <c r="O294" s="1">
        <f>'Paste cell here'!H294</f>
        <v>0.14456676714317679</v>
      </c>
      <c r="P294" s="1">
        <f t="shared" si="25"/>
        <v>116.10000000000001</v>
      </c>
      <c r="Q294" s="1">
        <f t="shared" si="26"/>
        <v>16.784201665322826</v>
      </c>
      <c r="R294" s="1">
        <f t="shared" si="27"/>
        <v>214.51579833467719</v>
      </c>
      <c r="S294" s="5">
        <f t="shared" si="28"/>
        <v>0.27989981034935096</v>
      </c>
      <c r="T294" s="5">
        <f t="shared" si="29"/>
        <v>0.23835088703853022</v>
      </c>
    </row>
    <row r="295" spans="1:20">
      <c r="A295" s="1">
        <v>294</v>
      </c>
      <c r="B295" s="2">
        <f>DATE(Sintesi!$C$4-1,12,31)+A295</f>
        <v>44490</v>
      </c>
      <c r="C295" s="1">
        <f>'Paste cell here'!T295</f>
        <v>7.0138269441219143E-6</v>
      </c>
      <c r="D295" s="1">
        <f>'Paste cell here'!AC295</f>
        <v>0</v>
      </c>
      <c r="E295" s="1">
        <f>'Paste cell here'!Y295</f>
        <v>0</v>
      </c>
      <c r="F295" s="1">
        <f>'Paste cell here'!AD295</f>
        <v>0.53066925167614798</v>
      </c>
      <c r="G295" s="1">
        <f>'Paste cell here'!W295</f>
        <v>0</v>
      </c>
      <c r="H295" s="1">
        <f>'Paste cell here'!AE295</f>
        <v>251.37916707656669</v>
      </c>
      <c r="I295" s="1">
        <f>'Paste cell here'!AF295</f>
        <v>251.90982931441584</v>
      </c>
      <c r="J295" s="1">
        <f t="shared" si="24"/>
        <v>5.6843418860808015E-14</v>
      </c>
      <c r="K295" s="1" t="str">
        <f>IF('(OLD) Bilancio primo strato'!D295&gt;0,1,"")</f>
        <v/>
      </c>
      <c r="L295" s="7">
        <f>Sintesi!$C$34</f>
        <v>0.128</v>
      </c>
      <c r="M295" s="7">
        <f>Sintesi!$C$33</f>
        <v>0.25700000000000001</v>
      </c>
      <c r="N295" s="1">
        <f>'Paste cell here'!AA295</f>
        <v>0.9</v>
      </c>
      <c r="O295" s="1">
        <f>'Paste cell here'!H295</f>
        <v>0.15414883456264852</v>
      </c>
      <c r="P295" s="1">
        <f t="shared" si="25"/>
        <v>116.10000000000001</v>
      </c>
      <c r="Q295" s="1">
        <f t="shared" si="26"/>
        <v>17.896679692723495</v>
      </c>
      <c r="R295" s="1">
        <f t="shared" si="27"/>
        <v>213.40332030727652</v>
      </c>
      <c r="S295" s="5">
        <f t="shared" si="28"/>
        <v>0.27931018564062965</v>
      </c>
      <c r="T295" s="5">
        <f t="shared" si="29"/>
        <v>0.23711480034141835</v>
      </c>
    </row>
    <row r="296" spans="1:20">
      <c r="A296" s="1">
        <v>295</v>
      </c>
      <c r="B296" s="2">
        <f>DATE(Sintesi!$C$4-1,12,31)+A296</f>
        <v>44491</v>
      </c>
      <c r="C296" s="1">
        <f>'Paste cell here'!T296</f>
        <v>3.1080484622758916E-5</v>
      </c>
      <c r="D296" s="1">
        <f>'Paste cell here'!AC296</f>
        <v>0</v>
      </c>
      <c r="E296" s="1">
        <f>'Paste cell here'!Y296</f>
        <v>0</v>
      </c>
      <c r="F296" s="1">
        <f>'Paste cell here'!AD296</f>
        <v>0.5162367715001257</v>
      </c>
      <c r="G296" s="1">
        <f>'Paste cell here'!W296</f>
        <v>0</v>
      </c>
      <c r="H296" s="1">
        <f>'Paste cell here'!AE296</f>
        <v>250.86296138555124</v>
      </c>
      <c r="I296" s="1">
        <f>'Paste cell here'!AF296</f>
        <v>251.37916707656672</v>
      </c>
      <c r="J296" s="1">
        <f t="shared" si="24"/>
        <v>2.8421709430404007E-14</v>
      </c>
      <c r="K296" s="1" t="str">
        <f>IF('(OLD) Bilancio primo strato'!D296&gt;0,1,"")</f>
        <v/>
      </c>
      <c r="L296" s="7">
        <f>Sintesi!$C$34</f>
        <v>0.128</v>
      </c>
      <c r="M296" s="7">
        <f>Sintesi!$C$33</f>
        <v>0.25700000000000001</v>
      </c>
      <c r="N296" s="1">
        <f>'Paste cell here'!AA296</f>
        <v>0.9</v>
      </c>
      <c r="O296" s="1">
        <f>'Paste cell here'!H296</f>
        <v>0.17201556079383626</v>
      </c>
      <c r="P296" s="1">
        <f t="shared" si="25"/>
        <v>116.10000000000001</v>
      </c>
      <c r="Q296" s="1">
        <f t="shared" si="26"/>
        <v>19.971006608164391</v>
      </c>
      <c r="R296" s="1">
        <f t="shared" si="27"/>
        <v>211.32899339183561</v>
      </c>
      <c r="S296" s="5">
        <f t="shared" si="28"/>
        <v>0.27873662376172359</v>
      </c>
      <c r="T296" s="5">
        <f t="shared" si="29"/>
        <v>0.23480999265759511</v>
      </c>
    </row>
    <row r="297" spans="1:20">
      <c r="A297" s="1">
        <v>296</v>
      </c>
      <c r="B297" s="2">
        <f>DATE(Sintesi!$C$4-1,12,31)+A297</f>
        <v>44492</v>
      </c>
      <c r="C297" s="1">
        <f>'Paste cell here'!T297</f>
        <v>8.5177283904760101E-6</v>
      </c>
      <c r="D297" s="1">
        <f>'Paste cell here'!AC297</f>
        <v>0</v>
      </c>
      <c r="E297" s="1">
        <f>'Paste cell here'!Y297</f>
        <v>0</v>
      </c>
      <c r="F297" s="1">
        <f>'Paste cell here'!AD297</f>
        <v>0.50253059867550609</v>
      </c>
      <c r="G297" s="1">
        <f>'Paste cell here'!W297</f>
        <v>0</v>
      </c>
      <c r="H297" s="1">
        <f>'Paste cell here'!AE297</f>
        <v>250.36043930460414</v>
      </c>
      <c r="I297" s="1">
        <f>'Paste cell here'!AF297</f>
        <v>250.86296138555124</v>
      </c>
      <c r="J297" s="1">
        <f t="shared" si="24"/>
        <v>2.8421709430404007E-14</v>
      </c>
      <c r="K297" s="1" t="str">
        <f>IF('(OLD) Bilancio primo strato'!D297&gt;0,1,"")</f>
        <v/>
      </c>
      <c r="L297" s="7">
        <f>Sintesi!$C$34</f>
        <v>0.128</v>
      </c>
      <c r="M297" s="7">
        <f>Sintesi!$C$33</f>
        <v>0.25700000000000001</v>
      </c>
      <c r="N297" s="1">
        <f>'Paste cell here'!AA297</f>
        <v>0.9</v>
      </c>
      <c r="O297" s="1">
        <f>'Paste cell here'!H297</f>
        <v>0.14499462695185231</v>
      </c>
      <c r="P297" s="1">
        <f t="shared" si="25"/>
        <v>116.10000000000001</v>
      </c>
      <c r="Q297" s="1">
        <f t="shared" si="26"/>
        <v>16.833876189110054</v>
      </c>
      <c r="R297" s="1">
        <f t="shared" si="27"/>
        <v>214.46612381088997</v>
      </c>
      <c r="S297" s="5">
        <f t="shared" si="28"/>
        <v>0.27817826589400463</v>
      </c>
      <c r="T297" s="5">
        <f t="shared" si="29"/>
        <v>0.23829569312321108</v>
      </c>
    </row>
    <row r="298" spans="1:20">
      <c r="A298" s="1">
        <v>297</v>
      </c>
      <c r="B298" s="2">
        <f>DATE(Sintesi!$C$4-1,12,31)+A298</f>
        <v>44493</v>
      </c>
      <c r="C298" s="1">
        <f>'Paste cell here'!T298</f>
        <v>2.4752529287732527E-6</v>
      </c>
      <c r="D298" s="1">
        <f>'Paste cell here'!AC298</f>
        <v>0</v>
      </c>
      <c r="E298" s="1">
        <f>'Paste cell here'!Y298</f>
        <v>0</v>
      </c>
      <c r="F298" s="1">
        <f>'Paste cell here'!AD298</f>
        <v>0.48949807463781725</v>
      </c>
      <c r="G298" s="1">
        <f>'Paste cell here'!W298</f>
        <v>0</v>
      </c>
      <c r="H298" s="1">
        <f>'Paste cell here'!AE298</f>
        <v>249.8709437052193</v>
      </c>
      <c r="I298" s="1">
        <f>'Paste cell here'!AF298</f>
        <v>250.36043930460417</v>
      </c>
      <c r="J298" s="1">
        <f t="shared" si="24"/>
        <v>2.8421709430404007E-14</v>
      </c>
      <c r="K298" s="1" t="str">
        <f>IF('(OLD) Bilancio primo strato'!D298&gt;0,1,"")</f>
        <v/>
      </c>
      <c r="L298" s="7">
        <f>Sintesi!$C$34</f>
        <v>0.128</v>
      </c>
      <c r="M298" s="7">
        <f>Sintesi!$C$33</f>
        <v>0.25700000000000001</v>
      </c>
      <c r="N298" s="1">
        <f>'Paste cell here'!AA298</f>
        <v>0.9</v>
      </c>
      <c r="O298" s="1">
        <f>'Paste cell here'!H298</f>
        <v>0.15214973662213588</v>
      </c>
      <c r="P298" s="1">
        <f t="shared" si="25"/>
        <v>116.10000000000001</v>
      </c>
      <c r="Q298" s="1">
        <f t="shared" si="26"/>
        <v>17.664584421829975</v>
      </c>
      <c r="R298" s="1">
        <f t="shared" si="27"/>
        <v>213.63541557817004</v>
      </c>
      <c r="S298" s="5">
        <f t="shared" si="28"/>
        <v>0.27763438189468814</v>
      </c>
      <c r="T298" s="5">
        <f t="shared" si="29"/>
        <v>0.23737268397574449</v>
      </c>
    </row>
    <row r="299" spans="1:20">
      <c r="A299" s="1">
        <v>298</v>
      </c>
      <c r="B299" s="2">
        <f>DATE(Sintesi!$C$4-1,12,31)+A299</f>
        <v>44494</v>
      </c>
      <c r="C299" s="1">
        <f>'Paste cell here'!T299</f>
        <v>6.8580786281197595E-7</v>
      </c>
      <c r="D299" s="1">
        <f>'Paste cell here'!AC299</f>
        <v>0</v>
      </c>
      <c r="E299" s="1">
        <f>'Paste cell here'!Y299</f>
        <v>0</v>
      </c>
      <c r="F299" s="1">
        <f>'Paste cell here'!AD299</f>
        <v>0.47709174419531286</v>
      </c>
      <c r="G299" s="1">
        <f>'Paste cell here'!W299</f>
        <v>0</v>
      </c>
      <c r="H299" s="1">
        <f>'Paste cell here'!AE299</f>
        <v>249.3938526468319</v>
      </c>
      <c r="I299" s="1">
        <f>'Paste cell here'!AF299</f>
        <v>249.87094370521933</v>
      </c>
      <c r="J299" s="1">
        <f t="shared" si="24"/>
        <v>2.8421709430404007E-14</v>
      </c>
      <c r="K299" s="1" t="str">
        <f>IF('(OLD) Bilancio primo strato'!D299&gt;0,1,"")</f>
        <v/>
      </c>
      <c r="L299" s="7">
        <f>Sintesi!$C$34</f>
        <v>0.128</v>
      </c>
      <c r="M299" s="7">
        <f>Sintesi!$C$33</f>
        <v>0.25700000000000001</v>
      </c>
      <c r="N299" s="1">
        <f>'Paste cell here'!AA299</f>
        <v>0.9</v>
      </c>
      <c r="O299" s="1">
        <f>'Paste cell here'!H299</f>
        <v>0.14751084586319391</v>
      </c>
      <c r="P299" s="1">
        <f t="shared" si="25"/>
        <v>116.10000000000001</v>
      </c>
      <c r="Q299" s="1">
        <f t="shared" si="26"/>
        <v>17.126009204716812</v>
      </c>
      <c r="R299" s="1">
        <f t="shared" si="27"/>
        <v>214.1739907952832</v>
      </c>
      <c r="S299" s="5">
        <f t="shared" si="28"/>
        <v>0.27710428071870213</v>
      </c>
      <c r="T299" s="5">
        <f t="shared" si="29"/>
        <v>0.23797110088364801</v>
      </c>
    </row>
    <row r="300" spans="1:20">
      <c r="A300" s="1">
        <v>299</v>
      </c>
      <c r="B300" s="2">
        <f>DATE(Sintesi!$C$4-1,12,31)+A300</f>
        <v>44495</v>
      </c>
      <c r="C300" s="1">
        <f>'Paste cell here'!T300</f>
        <v>2.0939959982646798E-7</v>
      </c>
      <c r="D300" s="1">
        <f>'Paste cell here'!AC300</f>
        <v>0</v>
      </c>
      <c r="E300" s="1">
        <f>'Paste cell here'!Y300</f>
        <v>0</v>
      </c>
      <c r="F300" s="1">
        <f>'Paste cell here'!AD300</f>
        <v>0.46526833868848333</v>
      </c>
      <c r="G300" s="1">
        <f>'Paste cell here'!W300</f>
        <v>0</v>
      </c>
      <c r="H300" s="1">
        <f>'Paste cell here'!AE300</f>
        <v>248.92858451754302</v>
      </c>
      <c r="I300" s="1">
        <f>'Paste cell here'!AF300</f>
        <v>249.39385264683193</v>
      </c>
      <c r="J300" s="1">
        <f t="shared" si="24"/>
        <v>2.8421709430404007E-14</v>
      </c>
      <c r="K300" s="1" t="str">
        <f>IF('(OLD) Bilancio primo strato'!D300&gt;0,1,"")</f>
        <v/>
      </c>
      <c r="L300" s="7">
        <f>Sintesi!$C$34</f>
        <v>0.128</v>
      </c>
      <c r="M300" s="7">
        <f>Sintesi!$C$33</f>
        <v>0.25700000000000001</v>
      </c>
      <c r="N300" s="1">
        <f>'Paste cell here'!AA300</f>
        <v>0.9</v>
      </c>
      <c r="O300" s="1">
        <f>'Paste cell here'!H300</f>
        <v>0.15482819336817366</v>
      </c>
      <c r="P300" s="1">
        <f t="shared" si="25"/>
        <v>116.10000000000001</v>
      </c>
      <c r="Q300" s="1">
        <f t="shared" si="26"/>
        <v>17.975553250044964</v>
      </c>
      <c r="R300" s="1">
        <f t="shared" si="27"/>
        <v>213.32444674995506</v>
      </c>
      <c r="S300" s="5">
        <f t="shared" si="28"/>
        <v>0.27658731613060333</v>
      </c>
      <c r="T300" s="5">
        <f t="shared" si="29"/>
        <v>0.23702716305550561</v>
      </c>
    </row>
    <row r="301" spans="1:20">
      <c r="A301" s="1">
        <v>300</v>
      </c>
      <c r="B301" s="2">
        <f>DATE(Sintesi!$C$4-1,12,31)+A301</f>
        <v>44496</v>
      </c>
      <c r="C301" s="1">
        <f>'Paste cell here'!T301</f>
        <v>6.4094627590308063E-8</v>
      </c>
      <c r="D301" s="1">
        <f>'Paste cell here'!AC301</f>
        <v>0</v>
      </c>
      <c r="E301" s="1">
        <f>'Paste cell here'!Y301</f>
        <v>0</v>
      </c>
      <c r="F301" s="1">
        <f>'Paste cell here'!AD301</f>
        <v>0.45398841398304085</v>
      </c>
      <c r="G301" s="1">
        <f>'Paste cell here'!W301</f>
        <v>0</v>
      </c>
      <c r="H301" s="1">
        <f>'Paste cell here'!AE301</f>
        <v>248.47459616765465</v>
      </c>
      <c r="I301" s="1">
        <f>'Paste cell here'!AF301</f>
        <v>248.92858451754302</v>
      </c>
      <c r="J301" s="1">
        <f t="shared" si="24"/>
        <v>5.6843418860808015E-14</v>
      </c>
      <c r="K301" s="1" t="str">
        <f>IF('(OLD) Bilancio primo strato'!D301&gt;0,1,"")</f>
        <v/>
      </c>
      <c r="L301" s="7">
        <f>Sintesi!$C$34</f>
        <v>0.128</v>
      </c>
      <c r="M301" s="7">
        <f>Sintesi!$C$33</f>
        <v>0.25700000000000001</v>
      </c>
      <c r="N301" s="1">
        <f>'Paste cell here'!AA301</f>
        <v>0.9</v>
      </c>
      <c r="O301" s="1">
        <f>'Paste cell here'!H301</f>
        <v>0.15157914970905942</v>
      </c>
      <c r="P301" s="1">
        <f t="shared" si="25"/>
        <v>116.10000000000001</v>
      </c>
      <c r="Q301" s="1">
        <f t="shared" si="26"/>
        <v>17.598339281221801</v>
      </c>
      <c r="R301" s="1">
        <f t="shared" si="27"/>
        <v>213.70166071877821</v>
      </c>
      <c r="S301" s="5">
        <f t="shared" si="28"/>
        <v>0.27608288463072739</v>
      </c>
      <c r="T301" s="5">
        <f t="shared" si="29"/>
        <v>0.23744628968753134</v>
      </c>
    </row>
    <row r="302" spans="1:20">
      <c r="A302" s="1">
        <v>301</v>
      </c>
      <c r="B302" s="2">
        <f>DATE(Sintesi!$C$4-1,12,31)+A302</f>
        <v>44497</v>
      </c>
      <c r="C302" s="1">
        <f>'Paste cell here'!T302</f>
        <v>1.7377884544891515E-8</v>
      </c>
      <c r="D302" s="1">
        <f>'Paste cell here'!AC302</f>
        <v>0</v>
      </c>
      <c r="E302" s="1">
        <f>'Paste cell here'!Y302</f>
        <v>0</v>
      </c>
      <c r="F302" s="1">
        <f>'Paste cell here'!AD302</f>
        <v>0.44321596631150967</v>
      </c>
      <c r="G302" s="1">
        <f>'Paste cell here'!W302</f>
        <v>0</v>
      </c>
      <c r="H302" s="1">
        <f>'Paste cell here'!AE302</f>
        <v>248.03138021872104</v>
      </c>
      <c r="I302" s="1">
        <f>'Paste cell here'!AF302</f>
        <v>248.47459616765465</v>
      </c>
      <c r="J302" s="1">
        <f t="shared" si="24"/>
        <v>0</v>
      </c>
      <c r="K302" s="1" t="str">
        <f>IF('(OLD) Bilancio primo strato'!D302&gt;0,1,"")</f>
        <v/>
      </c>
      <c r="L302" s="7">
        <f>Sintesi!$C$34</f>
        <v>0.128</v>
      </c>
      <c r="M302" s="7">
        <f>Sintesi!$C$33</f>
        <v>0.25700000000000001</v>
      </c>
      <c r="N302" s="1">
        <f>'Paste cell here'!AA302</f>
        <v>0.9</v>
      </c>
      <c r="O302" s="1">
        <f>'Paste cell here'!H302</f>
        <v>0.14856261464994977</v>
      </c>
      <c r="P302" s="1">
        <f t="shared" si="25"/>
        <v>116.10000000000001</v>
      </c>
      <c r="Q302" s="1">
        <f t="shared" si="26"/>
        <v>17.24811956085917</v>
      </c>
      <c r="R302" s="1">
        <f t="shared" si="27"/>
        <v>214.05188043914083</v>
      </c>
      <c r="S302" s="5">
        <f t="shared" si="28"/>
        <v>0.27559042246524562</v>
      </c>
      <c r="T302" s="5">
        <f t="shared" si="29"/>
        <v>0.23783542271015648</v>
      </c>
    </row>
    <row r="303" spans="1:20">
      <c r="A303" s="1">
        <v>302</v>
      </c>
      <c r="B303" s="2">
        <f>DATE(Sintesi!$C$4-1,12,31)+A303</f>
        <v>44498</v>
      </c>
      <c r="C303" s="1">
        <f>'Paste cell here'!T303</f>
        <v>5.3870322682395005E-9</v>
      </c>
      <c r="D303" s="1">
        <f>'Paste cell here'!AC303</f>
        <v>0</v>
      </c>
      <c r="E303" s="1">
        <f>'Paste cell here'!Y303</f>
        <v>0</v>
      </c>
      <c r="F303" s="1">
        <f>'Paste cell here'!AD303</f>
        <v>0.43291807449810688</v>
      </c>
      <c r="G303" s="1">
        <f>'Paste cell here'!W303</f>
        <v>0</v>
      </c>
      <c r="H303" s="1">
        <f>'Paste cell here'!AE303</f>
        <v>247.59846214960999</v>
      </c>
      <c r="I303" s="1">
        <f>'Paste cell here'!AF303</f>
        <v>248.03138021872107</v>
      </c>
      <c r="J303" s="1">
        <f t="shared" si="24"/>
        <v>0</v>
      </c>
      <c r="K303" s="1" t="str">
        <f>IF('(OLD) Bilancio primo strato'!D303&gt;0,1,"")</f>
        <v/>
      </c>
      <c r="L303" s="7">
        <f>Sintesi!$C$34</f>
        <v>0.128</v>
      </c>
      <c r="M303" s="7">
        <f>Sintesi!$C$33</f>
        <v>0.25700000000000001</v>
      </c>
      <c r="N303" s="1">
        <f>'Paste cell here'!AA303</f>
        <v>0.9</v>
      </c>
      <c r="O303" s="1">
        <f>'Paste cell here'!H303</f>
        <v>0.15421257227470947</v>
      </c>
      <c r="P303" s="1">
        <f t="shared" si="25"/>
        <v>116.10000000000001</v>
      </c>
      <c r="Q303" s="1">
        <f t="shared" si="26"/>
        <v>17.904079641093769</v>
      </c>
      <c r="R303" s="1">
        <f t="shared" si="27"/>
        <v>213.39592035890624</v>
      </c>
      <c r="S303" s="5">
        <f t="shared" si="28"/>
        <v>0.27510940238845555</v>
      </c>
      <c r="T303" s="5">
        <f t="shared" si="29"/>
        <v>0.2371065781765625</v>
      </c>
    </row>
    <row r="304" spans="1:20">
      <c r="A304" s="1">
        <v>303</v>
      </c>
      <c r="B304" s="2">
        <f>DATE(Sintesi!$C$4-1,12,31)+A304</f>
        <v>44499</v>
      </c>
      <c r="C304" s="1">
        <f>'Paste cell here'!T304</f>
        <v>1.64191374994581E-8</v>
      </c>
      <c r="D304" s="1">
        <f>'Paste cell here'!AC304</f>
        <v>0</v>
      </c>
      <c r="E304" s="1">
        <f>'Paste cell here'!Y304</f>
        <v>0</v>
      </c>
      <c r="F304" s="1">
        <f>'Paste cell here'!AD304</f>
        <v>0.42306458029991367</v>
      </c>
      <c r="G304" s="1">
        <f>'Paste cell here'!W304</f>
        <v>0</v>
      </c>
      <c r="H304" s="1">
        <f>'Paste cell here'!AE304</f>
        <v>247.17539758572926</v>
      </c>
      <c r="I304" s="1">
        <f>'Paste cell here'!AF304</f>
        <v>247.59846214961001</v>
      </c>
      <c r="J304" s="1">
        <f t="shared" si="24"/>
        <v>2.8421709430404007E-14</v>
      </c>
      <c r="K304" s="1" t="str">
        <f>IF('(OLD) Bilancio primo strato'!D304&gt;0,1,"")</f>
        <v/>
      </c>
      <c r="L304" s="7">
        <f>Sintesi!$C$34</f>
        <v>0.128</v>
      </c>
      <c r="M304" s="7">
        <f>Sintesi!$C$33</f>
        <v>0.25700000000000001</v>
      </c>
      <c r="N304" s="1">
        <f>'Paste cell here'!AA304</f>
        <v>0.9</v>
      </c>
      <c r="O304" s="1">
        <f>'Paste cell here'!H304</f>
        <v>0.1562670611271634</v>
      </c>
      <c r="P304" s="1">
        <f t="shared" si="25"/>
        <v>116.10000000000001</v>
      </c>
      <c r="Q304" s="1">
        <f t="shared" si="26"/>
        <v>18.142605796863673</v>
      </c>
      <c r="R304" s="1">
        <f t="shared" si="27"/>
        <v>213.15739420313633</v>
      </c>
      <c r="S304" s="5">
        <f t="shared" si="28"/>
        <v>0.27463933065081031</v>
      </c>
      <c r="T304" s="5">
        <f t="shared" si="29"/>
        <v>0.23684154911459593</v>
      </c>
    </row>
    <row r="305" spans="1:20">
      <c r="A305" s="1">
        <v>304</v>
      </c>
      <c r="B305" s="2">
        <f>DATE(Sintesi!$C$4-1,12,31)+A305</f>
        <v>44500</v>
      </c>
      <c r="C305" s="1">
        <f>'Paste cell here'!T305</f>
        <v>4.9386010682356838E-8</v>
      </c>
      <c r="D305" s="1">
        <f>'Paste cell here'!AC305</f>
        <v>0</v>
      </c>
      <c r="E305" s="1">
        <f>'Paste cell here'!Y305</f>
        <v>0</v>
      </c>
      <c r="F305" s="1">
        <f>'Paste cell here'!AD305</f>
        <v>0.41362780688224382</v>
      </c>
      <c r="G305" s="1">
        <f>'Paste cell here'!W305</f>
        <v>0</v>
      </c>
      <c r="H305" s="1">
        <f>'Paste cell here'!AE305</f>
        <v>246.76176982823316</v>
      </c>
      <c r="I305" s="1">
        <f>'Paste cell here'!AF305</f>
        <v>247.17539758572929</v>
      </c>
      <c r="J305" s="1">
        <f t="shared" si="24"/>
        <v>8.5265128291212022E-14</v>
      </c>
      <c r="K305" s="1" t="str">
        <f>IF('(OLD) Bilancio primo strato'!D305&gt;0,1,"")</f>
        <v/>
      </c>
      <c r="L305" s="7">
        <f>Sintesi!$C$34</f>
        <v>0.128</v>
      </c>
      <c r="M305" s="7">
        <f>Sintesi!$C$33</f>
        <v>0.25700000000000001</v>
      </c>
      <c r="N305" s="1">
        <f>'Paste cell here'!AA305</f>
        <v>0.9</v>
      </c>
      <c r="O305" s="1">
        <f>'Paste cell here'!H305</f>
        <v>0.16803272017739443</v>
      </c>
      <c r="P305" s="1">
        <f t="shared" si="25"/>
        <v>116.10000000000001</v>
      </c>
      <c r="Q305" s="1">
        <f t="shared" si="26"/>
        <v>19.508598812595494</v>
      </c>
      <c r="R305" s="1">
        <f t="shared" si="27"/>
        <v>211.79140118740452</v>
      </c>
      <c r="S305" s="5">
        <f t="shared" si="28"/>
        <v>0.27417974425359237</v>
      </c>
      <c r="T305" s="5">
        <f t="shared" si="29"/>
        <v>0.23532377909711613</v>
      </c>
    </row>
    <row r="306" spans="1:20">
      <c r="A306" s="1">
        <v>305</v>
      </c>
      <c r="B306" s="2">
        <f>DATE(Sintesi!$C$4-1,12,31)+A306</f>
        <v>44501</v>
      </c>
      <c r="C306" s="1">
        <f>'Paste cell here'!T306</f>
        <v>0.74073925041507782</v>
      </c>
      <c r="D306" s="1">
        <f>'Paste cell here'!AC306</f>
        <v>0</v>
      </c>
      <c r="E306" s="1">
        <f>'Paste cell here'!Y306</f>
        <v>0</v>
      </c>
      <c r="F306" s="1">
        <f>'Paste cell here'!AD306</f>
        <v>0.4061736218593659</v>
      </c>
      <c r="G306" s="1">
        <f>'Paste cell here'!W306</f>
        <v>0</v>
      </c>
      <c r="H306" s="1">
        <f>'Paste cell here'!AE306</f>
        <v>247.09633545678878</v>
      </c>
      <c r="I306" s="1">
        <f>'Paste cell here'!AF306</f>
        <v>246.76176982823313</v>
      </c>
      <c r="J306" s="1">
        <f t="shared" si="24"/>
        <v>8.5265128291212022E-14</v>
      </c>
      <c r="K306" s="1" t="str">
        <f>IF('(OLD) Bilancio primo strato'!D306&gt;0,1,"")</f>
        <v/>
      </c>
      <c r="L306" s="7">
        <f>Sintesi!$C$34</f>
        <v>0.128</v>
      </c>
      <c r="M306" s="7">
        <f>Sintesi!$C$33</f>
        <v>0.25700000000000001</v>
      </c>
      <c r="N306" s="1">
        <f>'Paste cell here'!AA306</f>
        <v>0.9</v>
      </c>
      <c r="O306" s="1">
        <f>'Paste cell here'!H306</f>
        <v>0.17030207380121073</v>
      </c>
      <c r="P306" s="1">
        <f t="shared" si="25"/>
        <v>116.10000000000001</v>
      </c>
      <c r="Q306" s="1">
        <f t="shared" si="26"/>
        <v>19.772070768320567</v>
      </c>
      <c r="R306" s="1">
        <f t="shared" si="27"/>
        <v>211.52792923167945</v>
      </c>
      <c r="S306" s="5">
        <f t="shared" si="28"/>
        <v>0.27455148384087641</v>
      </c>
      <c r="T306" s="5">
        <f t="shared" si="29"/>
        <v>0.23503103247964383</v>
      </c>
    </row>
    <row r="307" spans="1:20">
      <c r="A307" s="1">
        <v>306</v>
      </c>
      <c r="B307" s="2">
        <f>DATE(Sintesi!$C$4-1,12,31)+A307</f>
        <v>44502</v>
      </c>
      <c r="C307" s="1">
        <f>'Paste cell here'!T307</f>
        <v>2.9842183111960239</v>
      </c>
      <c r="D307" s="1">
        <f>'Paste cell here'!AC307</f>
        <v>0</v>
      </c>
      <c r="E307" s="1">
        <f>'Paste cell here'!Y307</f>
        <v>0</v>
      </c>
      <c r="F307" s="1">
        <f>'Paste cell here'!AD307</f>
        <v>0.45402655242052004</v>
      </c>
      <c r="G307" s="1">
        <f>'Paste cell here'!W307</f>
        <v>0</v>
      </c>
      <c r="H307" s="1">
        <f>'Paste cell here'!AE307</f>
        <v>249.62652721556427</v>
      </c>
      <c r="I307" s="1">
        <f>'Paste cell here'!AF307</f>
        <v>247.09633545678878</v>
      </c>
      <c r="J307" s="1">
        <f t="shared" si="24"/>
        <v>2.8421709430404007E-14</v>
      </c>
      <c r="K307" s="1" t="str">
        <f>IF('(OLD) Bilancio primo strato'!D307&gt;0,1,"")</f>
        <v/>
      </c>
      <c r="L307" s="7">
        <f>Sintesi!$C$34</f>
        <v>0.128</v>
      </c>
      <c r="M307" s="7">
        <f>Sintesi!$C$33</f>
        <v>0.25700000000000001</v>
      </c>
      <c r="N307" s="1">
        <f>'Paste cell here'!AA307</f>
        <v>0.9</v>
      </c>
      <c r="O307" s="1">
        <f>'Paste cell here'!H307</f>
        <v>0.17841546069950254</v>
      </c>
      <c r="P307" s="1">
        <f t="shared" si="25"/>
        <v>116.10000000000001</v>
      </c>
      <c r="Q307" s="1">
        <f t="shared" si="26"/>
        <v>20.714034987212248</v>
      </c>
      <c r="R307" s="1">
        <f t="shared" si="27"/>
        <v>210.58596501278777</v>
      </c>
      <c r="S307" s="5">
        <f t="shared" si="28"/>
        <v>0.27736280801729363</v>
      </c>
      <c r="T307" s="5">
        <f t="shared" si="29"/>
        <v>0.23398440556976419</v>
      </c>
    </row>
    <row r="308" spans="1:20">
      <c r="A308" s="1">
        <v>307</v>
      </c>
      <c r="B308" s="2">
        <f>DATE(Sintesi!$C$4-1,12,31)+A308</f>
        <v>44503</v>
      </c>
      <c r="C308" s="1">
        <f>'Paste cell here'!T308</f>
        <v>6.2252009683563063</v>
      </c>
      <c r="D308" s="1">
        <f>'Paste cell here'!AC308</f>
        <v>0</v>
      </c>
      <c r="E308" s="1">
        <f>'Paste cell here'!Y308</f>
        <v>0</v>
      </c>
      <c r="F308" s="1">
        <f>'Paste cell here'!AD308</f>
        <v>0.53334654086905053</v>
      </c>
      <c r="G308" s="1">
        <f>'Paste cell here'!W308</f>
        <v>0</v>
      </c>
      <c r="H308" s="1">
        <f>'Paste cell here'!AE308</f>
        <v>255.31838164305148</v>
      </c>
      <c r="I308" s="1">
        <f>'Paste cell here'!AF308</f>
        <v>249.62652721556427</v>
      </c>
      <c r="J308" s="1">
        <f t="shared" si="24"/>
        <v>5.6843418860808015E-14</v>
      </c>
      <c r="K308" s="1" t="str">
        <f>IF('(OLD) Bilancio primo strato'!D308&gt;0,1,"")</f>
        <v/>
      </c>
      <c r="L308" s="7">
        <f>Sintesi!$C$34</f>
        <v>0.128</v>
      </c>
      <c r="M308" s="7">
        <f>Sintesi!$C$33</f>
        <v>0.25700000000000001</v>
      </c>
      <c r="N308" s="1">
        <f>'Paste cell here'!AA308</f>
        <v>0.9</v>
      </c>
      <c r="O308" s="1">
        <f>'Paste cell here'!H308</f>
        <v>0.16696293350137859</v>
      </c>
      <c r="P308" s="1">
        <f t="shared" si="25"/>
        <v>116.10000000000001</v>
      </c>
      <c r="Q308" s="1">
        <f t="shared" si="26"/>
        <v>19.384396579510057</v>
      </c>
      <c r="R308" s="1">
        <f t="shared" si="27"/>
        <v>211.91560342048996</v>
      </c>
      <c r="S308" s="5">
        <f t="shared" si="28"/>
        <v>0.28368709071450166</v>
      </c>
      <c r="T308" s="5">
        <f t="shared" si="29"/>
        <v>0.23546178157832218</v>
      </c>
    </row>
    <row r="309" spans="1:20">
      <c r="A309" s="1">
        <v>308</v>
      </c>
      <c r="B309" s="2">
        <f>DATE(Sintesi!$C$4-1,12,31)+A309</f>
        <v>44504</v>
      </c>
      <c r="C309" s="1">
        <f>'Paste cell here'!T309</f>
        <v>6.7984568766290998</v>
      </c>
      <c r="D309" s="1">
        <f>'Paste cell here'!AC309</f>
        <v>0</v>
      </c>
      <c r="E309" s="1">
        <f>'Paste cell here'!Y309</f>
        <v>0</v>
      </c>
      <c r="F309" s="1">
        <f>'Paste cell here'!AD309</f>
        <v>0.76851262119563479</v>
      </c>
      <c r="G309" s="1">
        <f>'Paste cell here'!W309</f>
        <v>0</v>
      </c>
      <c r="H309" s="1">
        <f>'Paste cell here'!AE309</f>
        <v>261.34832589848503</v>
      </c>
      <c r="I309" s="1">
        <f>'Paste cell here'!AF309</f>
        <v>255.31838164305148</v>
      </c>
      <c r="J309" s="1">
        <f t="shared" si="24"/>
        <v>5.6843418860808015E-14</v>
      </c>
      <c r="K309" s="1" t="str">
        <f>IF('(OLD) Bilancio primo strato'!D309&gt;0,1,"")</f>
        <v/>
      </c>
      <c r="L309" s="7">
        <f>Sintesi!$C$34</f>
        <v>0.128</v>
      </c>
      <c r="M309" s="7">
        <f>Sintesi!$C$33</f>
        <v>0.25700000000000001</v>
      </c>
      <c r="N309" s="1">
        <f>'Paste cell here'!AA309</f>
        <v>0.9</v>
      </c>
      <c r="O309" s="1">
        <f>'Paste cell here'!H309</f>
        <v>0.17513500009722607</v>
      </c>
      <c r="P309" s="1">
        <f t="shared" si="25"/>
        <v>116.10000000000001</v>
      </c>
      <c r="Q309" s="1">
        <f t="shared" si="26"/>
        <v>20.333173511287949</v>
      </c>
      <c r="R309" s="1">
        <f t="shared" si="27"/>
        <v>210.96682648871206</v>
      </c>
      <c r="S309" s="5">
        <f t="shared" si="28"/>
        <v>0.29038702877609446</v>
      </c>
      <c r="T309" s="5">
        <f t="shared" si="29"/>
        <v>0.23440758498745784</v>
      </c>
    </row>
    <row r="310" spans="1:20">
      <c r="A310" s="1">
        <v>309</v>
      </c>
      <c r="B310" s="2">
        <f>DATE(Sintesi!$C$4-1,12,31)+A310</f>
        <v>44505</v>
      </c>
      <c r="C310" s="1">
        <f>'Paste cell here'!T310</f>
        <v>2.7660090531322887</v>
      </c>
      <c r="D310" s="1">
        <f>'Paste cell here'!AC310</f>
        <v>0</v>
      </c>
      <c r="E310" s="1">
        <f>'Paste cell here'!Y310</f>
        <v>0</v>
      </c>
      <c r="F310" s="1">
        <f>'Paste cell here'!AD310</f>
        <v>0.92814722468287381</v>
      </c>
      <c r="G310" s="1">
        <f>'Paste cell here'!W310</f>
        <v>0</v>
      </c>
      <c r="H310" s="1">
        <f>'Paste cell here'!AE310</f>
        <v>263.18618772693435</v>
      </c>
      <c r="I310" s="1">
        <f>'Paste cell here'!AF310</f>
        <v>261.34832589848497</v>
      </c>
      <c r="J310" s="1">
        <f t="shared" si="24"/>
        <v>5.6843418860808015E-14</v>
      </c>
      <c r="K310" s="1" t="str">
        <f>IF('(OLD) Bilancio primo strato'!D310&gt;0,1,"")</f>
        <v/>
      </c>
      <c r="L310" s="7">
        <f>Sintesi!$C$34</f>
        <v>0.128</v>
      </c>
      <c r="M310" s="7">
        <f>Sintesi!$C$33</f>
        <v>0.25700000000000001</v>
      </c>
      <c r="N310" s="1">
        <f>'Paste cell here'!AA310</f>
        <v>0.9</v>
      </c>
      <c r="O310" s="1">
        <f>'Paste cell here'!H310</f>
        <v>0.15322948322133953</v>
      </c>
      <c r="P310" s="1">
        <f t="shared" si="25"/>
        <v>116.10000000000001</v>
      </c>
      <c r="Q310" s="1">
        <f t="shared" si="26"/>
        <v>17.789943001997521</v>
      </c>
      <c r="R310" s="1">
        <f t="shared" si="27"/>
        <v>213.51005699800248</v>
      </c>
      <c r="S310" s="5">
        <f t="shared" si="28"/>
        <v>0.29242909747437151</v>
      </c>
      <c r="T310" s="5">
        <f t="shared" si="29"/>
        <v>0.2372333966644472</v>
      </c>
    </row>
    <row r="311" spans="1:20">
      <c r="A311" s="1">
        <v>310</v>
      </c>
      <c r="B311" s="2">
        <f>DATE(Sintesi!$C$4-1,12,31)+A311</f>
        <v>44506</v>
      </c>
      <c r="C311" s="1">
        <f>'Paste cell here'!T311</f>
        <v>0.98887888376326283</v>
      </c>
      <c r="D311" s="1">
        <f>'Paste cell here'!AC311</f>
        <v>0</v>
      </c>
      <c r="E311" s="1">
        <f>'Paste cell here'!Y311</f>
        <v>0</v>
      </c>
      <c r="F311" s="1">
        <f>'Paste cell here'!AD311</f>
        <v>0.95994812361082005</v>
      </c>
      <c r="G311" s="1">
        <f>'Paste cell here'!W311</f>
        <v>0</v>
      </c>
      <c r="H311" s="1">
        <f>'Paste cell here'!AE311</f>
        <v>263.21511848708661</v>
      </c>
      <c r="I311" s="1">
        <f>'Paste cell here'!AF311</f>
        <v>263.18618772693435</v>
      </c>
      <c r="J311" s="1">
        <f t="shared" si="24"/>
        <v>1.7053025658242404E-13</v>
      </c>
      <c r="K311" s="1" t="str">
        <f>IF('(OLD) Bilancio primo strato'!D311&gt;0,1,"")</f>
        <v/>
      </c>
      <c r="L311" s="7">
        <f>Sintesi!$C$34</f>
        <v>0.128</v>
      </c>
      <c r="M311" s="7">
        <f>Sintesi!$C$33</f>
        <v>0.25700000000000001</v>
      </c>
      <c r="N311" s="1">
        <f>'Paste cell here'!AA311</f>
        <v>0.9</v>
      </c>
      <c r="O311" s="1">
        <f>'Paste cell here'!H311</f>
        <v>0.16450933236156001</v>
      </c>
      <c r="P311" s="1">
        <f t="shared" si="25"/>
        <v>116.10000000000001</v>
      </c>
      <c r="Q311" s="1">
        <f t="shared" si="26"/>
        <v>19.099533487177119</v>
      </c>
      <c r="R311" s="1">
        <f t="shared" si="27"/>
        <v>212.20046651282289</v>
      </c>
      <c r="S311" s="5">
        <f t="shared" si="28"/>
        <v>0.29246124276342955</v>
      </c>
      <c r="T311" s="5">
        <f t="shared" si="29"/>
        <v>0.23577829612535875</v>
      </c>
    </row>
    <row r="312" spans="1:20">
      <c r="A312" s="1">
        <v>311</v>
      </c>
      <c r="B312" s="2">
        <f>DATE(Sintesi!$C$4-1,12,31)+A312</f>
        <v>44507</v>
      </c>
      <c r="C312" s="1">
        <f>'Paste cell here'!T312</f>
        <v>0.4986088201717726</v>
      </c>
      <c r="D312" s="1">
        <f>'Paste cell here'!AC312</f>
        <v>0</v>
      </c>
      <c r="E312" s="1">
        <f>'Paste cell here'!Y312</f>
        <v>0</v>
      </c>
      <c r="F312" s="1">
        <f>'Paste cell here'!AD312</f>
        <v>0.9481885030389261</v>
      </c>
      <c r="G312" s="1">
        <f>'Paste cell here'!W312</f>
        <v>0</v>
      </c>
      <c r="H312" s="1">
        <f>'Paste cell here'!AE312</f>
        <v>262.76553880421943</v>
      </c>
      <c r="I312" s="1">
        <f>'Paste cell here'!AF312</f>
        <v>263.21511848708661</v>
      </c>
      <c r="J312" s="1">
        <f t="shared" si="24"/>
        <v>5.6843418860808015E-14</v>
      </c>
      <c r="K312" s="1" t="str">
        <f>IF('(OLD) Bilancio primo strato'!D312&gt;0,1,"")</f>
        <v/>
      </c>
      <c r="L312" s="7">
        <f>Sintesi!$C$34</f>
        <v>0.128</v>
      </c>
      <c r="M312" s="7">
        <f>Sintesi!$C$33</f>
        <v>0.25700000000000001</v>
      </c>
      <c r="N312" s="1">
        <f>'Paste cell here'!AA312</f>
        <v>0.9</v>
      </c>
      <c r="O312" s="1">
        <f>'Paste cell here'!H312</f>
        <v>0.16567515337692751</v>
      </c>
      <c r="P312" s="1">
        <f t="shared" si="25"/>
        <v>116.10000000000001</v>
      </c>
      <c r="Q312" s="1">
        <f t="shared" si="26"/>
        <v>19.234885307061287</v>
      </c>
      <c r="R312" s="1">
        <f t="shared" si="27"/>
        <v>212.06511469293872</v>
      </c>
      <c r="S312" s="5">
        <f t="shared" si="28"/>
        <v>0.29196170978246605</v>
      </c>
      <c r="T312" s="5">
        <f t="shared" si="29"/>
        <v>0.23562790521437635</v>
      </c>
    </row>
    <row r="313" spans="1:20">
      <c r="A313" s="1">
        <v>312</v>
      </c>
      <c r="B313" s="2">
        <f>DATE(Sintesi!$C$4-1,12,31)+A313</f>
        <v>44508</v>
      </c>
      <c r="C313" s="1">
        <f>'Paste cell here'!T313</f>
        <v>0.35111782429427224</v>
      </c>
      <c r="D313" s="1">
        <f>'Paste cell here'!AC313</f>
        <v>0</v>
      </c>
      <c r="E313" s="1">
        <f>'Paste cell here'!Y313</f>
        <v>0</v>
      </c>
      <c r="F313" s="1">
        <f>'Paste cell here'!AD313</f>
        <v>0.92325189790799234</v>
      </c>
      <c r="G313" s="1">
        <f>'Paste cell here'!W313</f>
        <v>0</v>
      </c>
      <c r="H313" s="1">
        <f>'Paste cell here'!AE313</f>
        <v>262.19340473060572</v>
      </c>
      <c r="I313" s="1">
        <f>'Paste cell here'!AF313</f>
        <v>262.76553880421943</v>
      </c>
      <c r="J313" s="1">
        <f t="shared" si="24"/>
        <v>5.6843418860808015E-14</v>
      </c>
      <c r="K313" s="1" t="str">
        <f>IF('(OLD) Bilancio primo strato'!D313&gt;0,1,"")</f>
        <v/>
      </c>
      <c r="L313" s="7">
        <f>Sintesi!$C$34</f>
        <v>0.128</v>
      </c>
      <c r="M313" s="7">
        <f>Sintesi!$C$33</f>
        <v>0.25700000000000001</v>
      </c>
      <c r="N313" s="1">
        <f>'Paste cell here'!AA313</f>
        <v>0.9</v>
      </c>
      <c r="O313" s="1">
        <f>'Paste cell here'!H313</f>
        <v>0.16466899653909736</v>
      </c>
      <c r="P313" s="1">
        <f t="shared" si="25"/>
        <v>116.10000000000001</v>
      </c>
      <c r="Q313" s="1">
        <f t="shared" si="26"/>
        <v>19.118070498189205</v>
      </c>
      <c r="R313" s="1">
        <f t="shared" si="27"/>
        <v>212.1819295018108</v>
      </c>
      <c r="S313" s="5">
        <f t="shared" si="28"/>
        <v>0.29132600525622859</v>
      </c>
      <c r="T313" s="5">
        <f t="shared" si="29"/>
        <v>0.23575769944645644</v>
      </c>
    </row>
    <row r="314" spans="1:20">
      <c r="A314" s="1">
        <v>313</v>
      </c>
      <c r="B314" s="2">
        <f>DATE(Sintesi!$C$4-1,12,31)+A314</f>
        <v>44509</v>
      </c>
      <c r="C314" s="1">
        <f>'Paste cell here'!T314</f>
        <v>0.27456117935151614</v>
      </c>
      <c r="D314" s="1">
        <f>'Paste cell here'!AC314</f>
        <v>0</v>
      </c>
      <c r="E314" s="1">
        <f>'Paste cell here'!Y314</f>
        <v>0</v>
      </c>
      <c r="F314" s="1">
        <f>'Paste cell here'!AD314</f>
        <v>0.89669248287822456</v>
      </c>
      <c r="G314" s="1">
        <f>'Paste cell here'!W314</f>
        <v>0</v>
      </c>
      <c r="H314" s="1">
        <f>'Paste cell here'!AE314</f>
        <v>261.57127342707906</v>
      </c>
      <c r="I314" s="1">
        <f>'Paste cell here'!AF314</f>
        <v>262.19340473060578</v>
      </c>
      <c r="J314" s="1">
        <f t="shared" si="24"/>
        <v>0</v>
      </c>
      <c r="K314" s="1" t="str">
        <f>IF('(OLD) Bilancio primo strato'!D314&gt;0,1,"")</f>
        <v/>
      </c>
      <c r="L314" s="7">
        <f>Sintesi!$C$34</f>
        <v>0.128</v>
      </c>
      <c r="M314" s="7">
        <f>Sintesi!$C$33</f>
        <v>0.25700000000000001</v>
      </c>
      <c r="N314" s="1">
        <f>'Paste cell here'!AA314</f>
        <v>0.9</v>
      </c>
      <c r="O314" s="1">
        <f>'Paste cell here'!H314</f>
        <v>0.1765876971094201</v>
      </c>
      <c r="P314" s="1">
        <f t="shared" si="25"/>
        <v>116.10000000000001</v>
      </c>
      <c r="Q314" s="1">
        <f t="shared" si="26"/>
        <v>20.501831634403676</v>
      </c>
      <c r="R314" s="1">
        <f t="shared" si="27"/>
        <v>210.79816836559633</v>
      </c>
      <c r="S314" s="5">
        <f t="shared" si="28"/>
        <v>0.29063474825231006</v>
      </c>
      <c r="T314" s="5">
        <f t="shared" si="29"/>
        <v>0.23422018707288481</v>
      </c>
    </row>
    <row r="315" spans="1:20">
      <c r="A315" s="1">
        <v>314</v>
      </c>
      <c r="B315" s="2">
        <f>DATE(Sintesi!$C$4-1,12,31)+A315</f>
        <v>44510</v>
      </c>
      <c r="C315" s="1">
        <f>'Paste cell here'!T315</f>
        <v>0.16895768287994012</v>
      </c>
      <c r="D315" s="1">
        <f>'Paste cell here'!AC315</f>
        <v>0</v>
      </c>
      <c r="E315" s="1">
        <f>'Paste cell here'!Y315</f>
        <v>0</v>
      </c>
      <c r="F315" s="1">
        <f>'Paste cell here'!AD315</f>
        <v>0.86746653423518527</v>
      </c>
      <c r="G315" s="1">
        <f>'Paste cell here'!W315</f>
        <v>0</v>
      </c>
      <c r="H315" s="1">
        <f>'Paste cell here'!AE315</f>
        <v>260.87276457572386</v>
      </c>
      <c r="I315" s="1">
        <f>'Paste cell here'!AF315</f>
        <v>261.57127342707906</v>
      </c>
      <c r="J315" s="1">
        <f t="shared" si="24"/>
        <v>5.6843418860808015E-14</v>
      </c>
      <c r="K315" s="1" t="str">
        <f>IF('(OLD) Bilancio primo strato'!D315&gt;0,1,"")</f>
        <v/>
      </c>
      <c r="L315" s="7">
        <f>Sintesi!$C$34</f>
        <v>0.128</v>
      </c>
      <c r="M315" s="7">
        <f>Sintesi!$C$33</f>
        <v>0.25700000000000001</v>
      </c>
      <c r="N315" s="1">
        <f>'Paste cell here'!AA315</f>
        <v>0.9</v>
      </c>
      <c r="O315" s="1">
        <f>'Paste cell here'!H315</f>
        <v>0.17086227251186228</v>
      </c>
      <c r="P315" s="1">
        <f t="shared" si="25"/>
        <v>116.10000000000001</v>
      </c>
      <c r="Q315" s="1">
        <f t="shared" si="26"/>
        <v>19.837109838627214</v>
      </c>
      <c r="R315" s="1">
        <f t="shared" si="27"/>
        <v>211.4628901613728</v>
      </c>
      <c r="S315" s="5">
        <f t="shared" si="28"/>
        <v>0.28985862730635986</v>
      </c>
      <c r="T315" s="5">
        <f t="shared" si="29"/>
        <v>0.23495876684596978</v>
      </c>
    </row>
    <row r="316" spans="1:20">
      <c r="A316" s="1">
        <v>315</v>
      </c>
      <c r="B316" s="2">
        <f>DATE(Sintesi!$C$4-1,12,31)+A316</f>
        <v>44511</v>
      </c>
      <c r="C316" s="1">
        <f>'Paste cell here'!T316</f>
        <v>0.10554266699306809</v>
      </c>
      <c r="D316" s="1">
        <f>'Paste cell here'!AC316</f>
        <v>0</v>
      </c>
      <c r="E316" s="1">
        <f>'Paste cell here'!Y316</f>
        <v>0</v>
      </c>
      <c r="F316" s="1">
        <f>'Paste cell here'!AD316</f>
        <v>0.83681229733237783</v>
      </c>
      <c r="G316" s="1">
        <f>'Paste cell here'!W316</f>
        <v>0</v>
      </c>
      <c r="H316" s="1">
        <f>'Paste cell here'!AE316</f>
        <v>260.14149494538464</v>
      </c>
      <c r="I316" s="1">
        <f>'Paste cell here'!AF316</f>
        <v>260.87276457572392</v>
      </c>
      <c r="J316" s="1">
        <f t="shared" si="24"/>
        <v>0</v>
      </c>
      <c r="K316" s="1" t="str">
        <f>IF('(OLD) Bilancio primo strato'!D316&gt;0,1,"")</f>
        <v/>
      </c>
      <c r="L316" s="7">
        <f>Sintesi!$C$34</f>
        <v>0.128</v>
      </c>
      <c r="M316" s="7">
        <f>Sintesi!$C$33</f>
        <v>0.25700000000000001</v>
      </c>
      <c r="N316" s="1">
        <f>'Paste cell here'!AA316</f>
        <v>0.9</v>
      </c>
      <c r="O316" s="1">
        <f>'Paste cell here'!H316</f>
        <v>0.16678093610662409</v>
      </c>
      <c r="P316" s="1">
        <f t="shared" si="25"/>
        <v>116.10000000000001</v>
      </c>
      <c r="Q316" s="1">
        <f t="shared" si="26"/>
        <v>19.363266681979059</v>
      </c>
      <c r="R316" s="1">
        <f t="shared" si="27"/>
        <v>211.93673331802094</v>
      </c>
      <c r="S316" s="5">
        <f t="shared" si="28"/>
        <v>0.28904610549487181</v>
      </c>
      <c r="T316" s="5">
        <f t="shared" si="29"/>
        <v>0.2354852592422455</v>
      </c>
    </row>
    <row r="317" spans="1:20">
      <c r="A317" s="1">
        <v>316</v>
      </c>
      <c r="B317" s="2">
        <f>DATE(Sintesi!$C$4-1,12,31)+A317</f>
        <v>44512</v>
      </c>
      <c r="C317" s="1">
        <f>'Paste cell here'!T317</f>
        <v>6.9587427343663605E-2</v>
      </c>
      <c r="D317" s="1">
        <f>'Paste cell here'!AC317</f>
        <v>0</v>
      </c>
      <c r="E317" s="1">
        <f>'Paste cell here'!Y317</f>
        <v>0</v>
      </c>
      <c r="F317" s="1">
        <f>'Paste cell here'!AD317</f>
        <v>0.80642664058041569</v>
      </c>
      <c r="G317" s="1">
        <f>'Paste cell here'!W317</f>
        <v>0</v>
      </c>
      <c r="H317" s="1">
        <f>'Paste cell here'!AE317</f>
        <v>259.40465573214789</v>
      </c>
      <c r="I317" s="1">
        <f>'Paste cell here'!AF317</f>
        <v>260.14149494538464</v>
      </c>
      <c r="J317" s="1">
        <f t="shared" si="24"/>
        <v>0</v>
      </c>
      <c r="K317" s="1" t="str">
        <f>IF('(OLD) Bilancio primo strato'!D317&gt;0,1,"")</f>
        <v/>
      </c>
      <c r="L317" s="7">
        <f>Sintesi!$C$34</f>
        <v>0.128</v>
      </c>
      <c r="M317" s="7">
        <f>Sintesi!$C$33</f>
        <v>0.25700000000000001</v>
      </c>
      <c r="N317" s="1">
        <f>'Paste cell here'!AA317</f>
        <v>0.9</v>
      </c>
      <c r="O317" s="1">
        <f>'Paste cell here'!H317</f>
        <v>0.16817968079692369</v>
      </c>
      <c r="P317" s="1">
        <f t="shared" si="25"/>
        <v>116.10000000000001</v>
      </c>
      <c r="Q317" s="1">
        <f t="shared" si="26"/>
        <v>19.52566094052284</v>
      </c>
      <c r="R317" s="1">
        <f t="shared" si="27"/>
        <v>211.77433905947717</v>
      </c>
      <c r="S317" s="5">
        <f t="shared" si="28"/>
        <v>0.28822739525794211</v>
      </c>
      <c r="T317" s="5">
        <f t="shared" si="29"/>
        <v>0.23530482117719687</v>
      </c>
    </row>
    <row r="318" spans="1:20">
      <c r="A318" s="1">
        <v>317</v>
      </c>
      <c r="B318" s="2">
        <f>DATE(Sintesi!$C$4-1,12,31)+A318</f>
        <v>44513</v>
      </c>
      <c r="C318" s="1">
        <f>'Paste cell here'!T318</f>
        <v>0.92433266339249587</v>
      </c>
      <c r="D318" s="1">
        <f>'Paste cell here'!AC318</f>
        <v>0</v>
      </c>
      <c r="E318" s="1">
        <f>'Paste cell here'!Y318</f>
        <v>0</v>
      </c>
      <c r="F318" s="1">
        <f>'Paste cell here'!AD318</f>
        <v>0.7847808960700946</v>
      </c>
      <c r="G318" s="1">
        <f>'Paste cell here'!W318</f>
        <v>0</v>
      </c>
      <c r="H318" s="1">
        <f>'Paste cell here'!AE318</f>
        <v>259.54420749947036</v>
      </c>
      <c r="I318" s="1">
        <f>'Paste cell here'!AF318</f>
        <v>259.40465573214789</v>
      </c>
      <c r="J318" s="1">
        <f t="shared" si="24"/>
        <v>1.1368683772161603E-13</v>
      </c>
      <c r="K318" s="1" t="str">
        <f>IF('(OLD) Bilancio primo strato'!D318&gt;0,1,"")</f>
        <v/>
      </c>
      <c r="L318" s="7">
        <f>Sintesi!$C$34</f>
        <v>0.128</v>
      </c>
      <c r="M318" s="7">
        <f>Sintesi!$C$33</f>
        <v>0.25700000000000001</v>
      </c>
      <c r="N318" s="1">
        <f>'Paste cell here'!AA318</f>
        <v>0.9</v>
      </c>
      <c r="O318" s="1">
        <f>'Paste cell here'!H318</f>
        <v>0.17123546221594854</v>
      </c>
      <c r="P318" s="1">
        <f t="shared" si="25"/>
        <v>116.10000000000001</v>
      </c>
      <c r="Q318" s="1">
        <f t="shared" si="26"/>
        <v>19.880437163271626</v>
      </c>
      <c r="R318" s="1">
        <f t="shared" si="27"/>
        <v>211.41956283672837</v>
      </c>
      <c r="S318" s="5">
        <f t="shared" si="28"/>
        <v>0.28838245277718927</v>
      </c>
      <c r="T318" s="5">
        <f t="shared" si="29"/>
        <v>0.23491062537414265</v>
      </c>
    </row>
    <row r="319" spans="1:20">
      <c r="A319" s="1">
        <v>318</v>
      </c>
      <c r="B319" s="2">
        <f>DATE(Sintesi!$C$4-1,12,31)+A319</f>
        <v>44514</v>
      </c>
      <c r="C319" s="1">
        <f>'Paste cell here'!T319</f>
        <v>8.609617285147257</v>
      </c>
      <c r="D319" s="1">
        <f>'Paste cell here'!AC319</f>
        <v>0</v>
      </c>
      <c r="E319" s="1">
        <f>'Paste cell here'!Y319</f>
        <v>0</v>
      </c>
      <c r="F319" s="1">
        <f>'Paste cell here'!AD319</f>
        <v>0.93634418103230321</v>
      </c>
      <c r="G319" s="1">
        <f>'Paste cell here'!W319</f>
        <v>0</v>
      </c>
      <c r="H319" s="1">
        <f>'Paste cell here'!AE319</f>
        <v>267.21748060358516</v>
      </c>
      <c r="I319" s="1">
        <f>'Paste cell here'!AF319</f>
        <v>259.5442074994703</v>
      </c>
      <c r="J319" s="1">
        <f t="shared" si="24"/>
        <v>5.6843418860808015E-14</v>
      </c>
      <c r="K319" s="1" t="str">
        <f>IF('(OLD) Bilancio primo strato'!D319&gt;0,1,"")</f>
        <v/>
      </c>
      <c r="L319" s="7">
        <f>Sintesi!$C$34</f>
        <v>0.128</v>
      </c>
      <c r="M319" s="7">
        <f>Sintesi!$C$33</f>
        <v>0.25700000000000001</v>
      </c>
      <c r="N319" s="1">
        <f>'Paste cell here'!AA319</f>
        <v>0.9</v>
      </c>
      <c r="O319" s="1">
        <f>'Paste cell here'!H319</f>
        <v>0.17385983998136698</v>
      </c>
      <c r="P319" s="1">
        <f t="shared" si="25"/>
        <v>116.10000000000001</v>
      </c>
      <c r="Q319" s="1">
        <f t="shared" si="26"/>
        <v>20.185127421836707</v>
      </c>
      <c r="R319" s="1">
        <f t="shared" si="27"/>
        <v>211.1148725781633</v>
      </c>
      <c r="S319" s="5">
        <f t="shared" si="28"/>
        <v>0.2969083117817613</v>
      </c>
      <c r="T319" s="5">
        <f t="shared" si="29"/>
        <v>0.23457208064240367</v>
      </c>
    </row>
    <row r="320" spans="1:20">
      <c r="A320" s="1">
        <v>319</v>
      </c>
      <c r="B320" s="2">
        <f>DATE(Sintesi!$C$4-1,12,31)+A320</f>
        <v>44515</v>
      </c>
      <c r="C320" s="1">
        <f>'Paste cell here'!T320</f>
        <v>6.5626368752723803</v>
      </c>
      <c r="D320" s="1">
        <f>'Paste cell here'!AC320</f>
        <v>0</v>
      </c>
      <c r="E320" s="1">
        <f>'Paste cell here'!Y320</f>
        <v>0</v>
      </c>
      <c r="F320" s="1">
        <f>'Paste cell here'!AD320</f>
        <v>1.3589069685123745</v>
      </c>
      <c r="G320" s="1">
        <f>'Paste cell here'!W320</f>
        <v>0</v>
      </c>
      <c r="H320" s="1">
        <f>'Paste cell here'!AE320</f>
        <v>272.42121051034536</v>
      </c>
      <c r="I320" s="1">
        <f>'Paste cell here'!AF320</f>
        <v>267.21748060358522</v>
      </c>
      <c r="J320" s="1">
        <f t="shared" si="24"/>
        <v>1.1368683772161603E-13</v>
      </c>
      <c r="K320" s="1" t="str">
        <f>IF('(OLD) Bilancio primo strato'!D320&gt;0,1,"")</f>
        <v/>
      </c>
      <c r="L320" s="7">
        <f>Sintesi!$C$34</f>
        <v>0.128</v>
      </c>
      <c r="M320" s="7">
        <f>Sintesi!$C$33</f>
        <v>0.25700000000000001</v>
      </c>
      <c r="N320" s="1">
        <f>'Paste cell here'!AA320</f>
        <v>0.9</v>
      </c>
      <c r="O320" s="1">
        <f>'Paste cell here'!H320</f>
        <v>0.17997357017735413</v>
      </c>
      <c r="P320" s="1">
        <f t="shared" si="25"/>
        <v>116.10000000000001</v>
      </c>
      <c r="Q320" s="1">
        <f t="shared" si="26"/>
        <v>20.894931497590814</v>
      </c>
      <c r="R320" s="1">
        <f t="shared" si="27"/>
        <v>210.40506850240919</v>
      </c>
      <c r="S320" s="5">
        <f t="shared" si="28"/>
        <v>0.30269023390038374</v>
      </c>
      <c r="T320" s="5">
        <f t="shared" si="29"/>
        <v>0.23378340944712134</v>
      </c>
    </row>
    <row r="321" spans="1:20">
      <c r="A321" s="1">
        <v>320</v>
      </c>
      <c r="B321" s="2">
        <f>DATE(Sintesi!$C$4-1,12,31)+A321</f>
        <v>44516</v>
      </c>
      <c r="C321" s="1">
        <f>'Paste cell here'!T321</f>
        <v>3.5104673689312604</v>
      </c>
      <c r="D321" s="1">
        <f>'Paste cell here'!AC321</f>
        <v>0</v>
      </c>
      <c r="E321" s="1">
        <f>'Paste cell here'!Y321</f>
        <v>0</v>
      </c>
      <c r="F321" s="1">
        <f>'Paste cell here'!AD321</f>
        <v>1.5745662787922217</v>
      </c>
      <c r="G321" s="1">
        <f>'Paste cell here'!W321</f>
        <v>0</v>
      </c>
      <c r="H321" s="1">
        <f>'Paste cell here'!AE321</f>
        <v>274.35711160048459</v>
      </c>
      <c r="I321" s="1">
        <f>'Paste cell here'!AF321</f>
        <v>272.42121051034542</v>
      </c>
      <c r="J321" s="1">
        <f t="shared" si="24"/>
        <v>1.7053025658242404E-13</v>
      </c>
      <c r="K321" s="1" t="str">
        <f>IF('(OLD) Bilancio primo strato'!D321&gt;0,1,"")</f>
        <v/>
      </c>
      <c r="L321" s="7">
        <f>Sintesi!$C$34</f>
        <v>0.128</v>
      </c>
      <c r="M321" s="7">
        <f>Sintesi!$C$33</f>
        <v>0.25700000000000001</v>
      </c>
      <c r="N321" s="1">
        <f>'Paste cell here'!AA321</f>
        <v>0.9</v>
      </c>
      <c r="O321" s="1">
        <f>'Paste cell here'!H321</f>
        <v>0.17766447334853844</v>
      </c>
      <c r="P321" s="1">
        <f t="shared" si="25"/>
        <v>116.10000000000001</v>
      </c>
      <c r="Q321" s="1">
        <f t="shared" si="26"/>
        <v>20.626845355765315</v>
      </c>
      <c r="R321" s="1">
        <f t="shared" si="27"/>
        <v>210.6731546442347</v>
      </c>
      <c r="S321" s="5">
        <f t="shared" si="28"/>
        <v>0.30484123511164957</v>
      </c>
      <c r="T321" s="5">
        <f t="shared" si="29"/>
        <v>0.23408128293803857</v>
      </c>
    </row>
    <row r="322" spans="1:20">
      <c r="A322" s="1">
        <v>321</v>
      </c>
      <c r="B322" s="2">
        <f>DATE(Sintesi!$C$4-1,12,31)+A322</f>
        <v>44517</v>
      </c>
      <c r="C322" s="1">
        <f>'Paste cell here'!T322</f>
        <v>2.4904255221599212</v>
      </c>
      <c r="D322" s="1">
        <f>'Paste cell here'!AC322</f>
        <v>0</v>
      </c>
      <c r="E322" s="1">
        <f>'Paste cell here'!Y322</f>
        <v>0</v>
      </c>
      <c r="F322" s="1">
        <f>'Paste cell here'!AD322</f>
        <v>1.6729475753193628</v>
      </c>
      <c r="G322" s="1">
        <f>'Paste cell here'!W322</f>
        <v>0</v>
      </c>
      <c r="H322" s="1">
        <f>'Paste cell here'!AE322</f>
        <v>275.17458954732513</v>
      </c>
      <c r="I322" s="1">
        <f>'Paste cell here'!AF322</f>
        <v>274.35711160048459</v>
      </c>
      <c r="J322" s="1">
        <f t="shared" ref="J322:J366" si="30">ABS(I322+C322+D322-E322-F322-G322-H322)</f>
        <v>0</v>
      </c>
      <c r="K322" s="1" t="str">
        <f>IF('(OLD) Bilancio primo strato'!D322&gt;0,1,"")</f>
        <v/>
      </c>
      <c r="L322" s="7">
        <f>Sintesi!$C$34</f>
        <v>0.128</v>
      </c>
      <c r="M322" s="7">
        <f>Sintesi!$C$33</f>
        <v>0.25700000000000001</v>
      </c>
      <c r="N322" s="1">
        <f>'Paste cell here'!AA322</f>
        <v>0.9</v>
      </c>
      <c r="O322" s="1">
        <f>'Paste cell here'!H322</f>
        <v>0.17343360960550136</v>
      </c>
      <c r="P322" s="1">
        <f t="shared" ref="P322:P366" si="31">(M322-L322)*N322*1000</f>
        <v>116.10000000000001</v>
      </c>
      <c r="Q322" s="1">
        <f t="shared" ref="Q322:Q366" si="32">P322*O322</f>
        <v>20.13564207519871</v>
      </c>
      <c r="R322" s="1">
        <f t="shared" ref="R322:R366" si="33">M322*N322*1000-Q322</f>
        <v>211.16435792480129</v>
      </c>
      <c r="S322" s="5">
        <f t="shared" ref="S322:S366" si="34">H322/($N322*1000)</f>
        <v>0.30574954394147236</v>
      </c>
      <c r="T322" s="5">
        <f t="shared" ref="T322:T366" si="35">R322/($N322*1000)</f>
        <v>0.23462706436089031</v>
      </c>
    </row>
    <row r="323" spans="1:20">
      <c r="A323" s="1">
        <v>322</v>
      </c>
      <c r="B323" s="2">
        <f>DATE(Sintesi!$C$4-1,12,31)+A323</f>
        <v>44518</v>
      </c>
      <c r="C323" s="1">
        <f>'Paste cell here'!T323</f>
        <v>1.5048149155440194</v>
      </c>
      <c r="D323" s="1">
        <f>'Paste cell here'!AC323</f>
        <v>0</v>
      </c>
      <c r="E323" s="1">
        <f>'Paste cell here'!Y323</f>
        <v>0</v>
      </c>
      <c r="F323" s="1">
        <f>'Paste cell here'!AD323</f>
        <v>1.6999083156674537</v>
      </c>
      <c r="G323" s="1">
        <f>'Paste cell here'!W323</f>
        <v>0</v>
      </c>
      <c r="H323" s="1">
        <f>'Paste cell here'!AE323</f>
        <v>274.97949614720193</v>
      </c>
      <c r="I323" s="1">
        <f>'Paste cell here'!AF323</f>
        <v>275.17458954732513</v>
      </c>
      <c r="J323" s="1">
        <f t="shared" si="30"/>
        <v>2.2737367544323206E-13</v>
      </c>
      <c r="K323" s="1" t="str">
        <f>IF('(OLD) Bilancio primo strato'!D323&gt;0,1,"")</f>
        <v/>
      </c>
      <c r="L323" s="7">
        <f>Sintesi!$C$34</f>
        <v>0.128</v>
      </c>
      <c r="M323" s="7">
        <f>Sintesi!$C$33</f>
        <v>0.25700000000000001</v>
      </c>
      <c r="N323" s="1">
        <f>'Paste cell here'!AA323</f>
        <v>0.9</v>
      </c>
      <c r="O323" s="1">
        <f>'Paste cell here'!H323</f>
        <v>0.17544724305625187</v>
      </c>
      <c r="P323" s="1">
        <f t="shared" si="31"/>
        <v>116.10000000000001</v>
      </c>
      <c r="Q323" s="1">
        <f t="shared" si="32"/>
        <v>20.369424918830845</v>
      </c>
      <c r="R323" s="1">
        <f t="shared" si="33"/>
        <v>210.93057508116917</v>
      </c>
      <c r="S323" s="5">
        <f t="shared" si="34"/>
        <v>0.30553277349689101</v>
      </c>
      <c r="T323" s="5">
        <f t="shared" si="35"/>
        <v>0.23436730564574351</v>
      </c>
    </row>
    <row r="324" spans="1:20">
      <c r="A324" s="1">
        <v>323</v>
      </c>
      <c r="B324" s="2">
        <f>DATE(Sintesi!$C$4-1,12,31)+A324</f>
        <v>44519</v>
      </c>
      <c r="C324" s="1">
        <f>'Paste cell here'!T324</f>
        <v>0.76817193103106385</v>
      </c>
      <c r="D324" s="1">
        <f>'Paste cell here'!AC324</f>
        <v>0</v>
      </c>
      <c r="E324" s="1">
        <f>'Paste cell here'!Y324</f>
        <v>0</v>
      </c>
      <c r="F324" s="1">
        <f>'Paste cell here'!AD324</f>
        <v>1.6532162047442009</v>
      </c>
      <c r="G324" s="1">
        <f>'Paste cell here'!W324</f>
        <v>0</v>
      </c>
      <c r="H324" s="1">
        <f>'Paste cell here'!AE324</f>
        <v>274.09445187348882</v>
      </c>
      <c r="I324" s="1">
        <f>'Paste cell here'!AF324</f>
        <v>274.97949614720193</v>
      </c>
      <c r="J324" s="1">
        <f t="shared" si="30"/>
        <v>0</v>
      </c>
      <c r="K324" s="1" t="str">
        <f>IF('(OLD) Bilancio primo strato'!D324&gt;0,1,"")</f>
        <v/>
      </c>
      <c r="L324" s="7">
        <f>Sintesi!$C$34</f>
        <v>0.128</v>
      </c>
      <c r="M324" s="7">
        <f>Sintesi!$C$33</f>
        <v>0.25700000000000001</v>
      </c>
      <c r="N324" s="1">
        <f>'Paste cell here'!AA324</f>
        <v>0.9</v>
      </c>
      <c r="O324" s="1">
        <f>'Paste cell here'!H324</f>
        <v>0.17658585121811127</v>
      </c>
      <c r="P324" s="1">
        <f t="shared" si="31"/>
        <v>116.10000000000001</v>
      </c>
      <c r="Q324" s="1">
        <f t="shared" si="32"/>
        <v>20.501617326422721</v>
      </c>
      <c r="R324" s="1">
        <f t="shared" si="33"/>
        <v>210.79838267357729</v>
      </c>
      <c r="S324" s="5">
        <f t="shared" si="34"/>
        <v>0.30454939097054312</v>
      </c>
      <c r="T324" s="5">
        <f t="shared" si="35"/>
        <v>0.23422042519286365</v>
      </c>
    </row>
    <row r="325" spans="1:20">
      <c r="A325" s="1">
        <v>324</v>
      </c>
      <c r="B325" s="2">
        <f>DATE(Sintesi!$C$4-1,12,31)+A325</f>
        <v>44520</v>
      </c>
      <c r="C325" s="1">
        <f>'Paste cell here'!T325</f>
        <v>0.4524411709485418</v>
      </c>
      <c r="D325" s="1">
        <f>'Paste cell here'!AC325</f>
        <v>0</v>
      </c>
      <c r="E325" s="1">
        <f>'Paste cell here'!Y325</f>
        <v>0</v>
      </c>
      <c r="F325" s="1">
        <f>'Paste cell here'!AD325</f>
        <v>1.5755535102634632</v>
      </c>
      <c r="G325" s="1">
        <f>'Paste cell here'!W325</f>
        <v>0</v>
      </c>
      <c r="H325" s="1">
        <f>'Paste cell here'!AE325</f>
        <v>272.97133953417381</v>
      </c>
      <c r="I325" s="1">
        <f>'Paste cell here'!AF325</f>
        <v>274.09445187348882</v>
      </c>
      <c r="J325" s="1">
        <f t="shared" si="30"/>
        <v>5.6843418860808015E-14</v>
      </c>
      <c r="K325" s="1" t="str">
        <f>IF('(OLD) Bilancio primo strato'!D325&gt;0,1,"")</f>
        <v/>
      </c>
      <c r="L325" s="7">
        <f>Sintesi!$C$34</f>
        <v>0.128</v>
      </c>
      <c r="M325" s="7">
        <f>Sintesi!$C$33</f>
        <v>0.25700000000000001</v>
      </c>
      <c r="N325" s="1">
        <f>'Paste cell here'!AA325</f>
        <v>0.9</v>
      </c>
      <c r="O325" s="1">
        <f>'Paste cell here'!H325</f>
        <v>0.1735577190835563</v>
      </c>
      <c r="P325" s="1">
        <f t="shared" si="31"/>
        <v>116.10000000000001</v>
      </c>
      <c r="Q325" s="1">
        <f t="shared" si="32"/>
        <v>20.150051185600887</v>
      </c>
      <c r="R325" s="1">
        <f t="shared" si="33"/>
        <v>211.14994881439912</v>
      </c>
      <c r="S325" s="5">
        <f t="shared" si="34"/>
        <v>0.30330148837130422</v>
      </c>
      <c r="T325" s="5">
        <f t="shared" si="35"/>
        <v>0.23461105423822126</v>
      </c>
    </row>
    <row r="326" spans="1:20">
      <c r="A326" s="1">
        <v>325</v>
      </c>
      <c r="B326" s="2">
        <f>DATE(Sintesi!$C$4-1,12,31)+A326</f>
        <v>44521</v>
      </c>
      <c r="C326" s="1">
        <f>'Paste cell here'!T326</f>
        <v>0.44802296305918055</v>
      </c>
      <c r="D326" s="1">
        <f>'Paste cell here'!AC326</f>
        <v>0</v>
      </c>
      <c r="E326" s="1">
        <f>'Paste cell here'!Y326</f>
        <v>0</v>
      </c>
      <c r="F326" s="1">
        <f>'Paste cell here'!AD326</f>
        <v>1.4947708070111014</v>
      </c>
      <c r="G326" s="1">
        <f>'Paste cell here'!W326</f>
        <v>0</v>
      </c>
      <c r="H326" s="1">
        <f>'Paste cell here'!AE326</f>
        <v>271.92459169022203</v>
      </c>
      <c r="I326" s="1">
        <f>'Paste cell here'!AF326</f>
        <v>272.97133953417381</v>
      </c>
      <c r="J326" s="1">
        <f t="shared" si="30"/>
        <v>1.1368683772161603E-13</v>
      </c>
      <c r="K326" s="1" t="str">
        <f>IF('(OLD) Bilancio primo strato'!D326&gt;0,1,"")</f>
        <v/>
      </c>
      <c r="L326" s="7">
        <f>Sintesi!$C$34</f>
        <v>0.128</v>
      </c>
      <c r="M326" s="7">
        <f>Sintesi!$C$33</f>
        <v>0.25700000000000001</v>
      </c>
      <c r="N326" s="1">
        <f>'Paste cell here'!AA326</f>
        <v>0.9</v>
      </c>
      <c r="O326" s="1">
        <f>'Paste cell here'!H326</f>
        <v>0.17816678799514984</v>
      </c>
      <c r="P326" s="1">
        <f t="shared" si="31"/>
        <v>116.10000000000001</v>
      </c>
      <c r="Q326" s="1">
        <f t="shared" si="32"/>
        <v>20.685164086236899</v>
      </c>
      <c r="R326" s="1">
        <f t="shared" si="33"/>
        <v>210.6148359137631</v>
      </c>
      <c r="S326" s="5">
        <f t="shared" si="34"/>
        <v>0.3021384352113578</v>
      </c>
      <c r="T326" s="5">
        <f t="shared" si="35"/>
        <v>0.23401648434862568</v>
      </c>
    </row>
    <row r="327" spans="1:20">
      <c r="A327" s="1">
        <v>326</v>
      </c>
      <c r="B327" s="2">
        <f>DATE(Sintesi!$C$4-1,12,31)+A327</f>
        <v>44522</v>
      </c>
      <c r="C327" s="1">
        <f>'Paste cell here'!T327</f>
        <v>2.3907927748065014</v>
      </c>
      <c r="D327" s="1">
        <f>'Paste cell here'!AC327</f>
        <v>0</v>
      </c>
      <c r="E327" s="1">
        <f>'Paste cell here'!Y327</f>
        <v>0</v>
      </c>
      <c r="F327" s="1">
        <f>'Paste cell here'!AD327</f>
        <v>1.4647616748022938</v>
      </c>
      <c r="G327" s="1">
        <f>'Paste cell here'!W327</f>
        <v>0</v>
      </c>
      <c r="H327" s="1">
        <f>'Paste cell here'!AE327</f>
        <v>272.85062279022634</v>
      </c>
      <c r="I327" s="1">
        <f>'Paste cell here'!AF327</f>
        <v>271.92459169022203</v>
      </c>
      <c r="J327" s="1">
        <f t="shared" si="30"/>
        <v>5.6843418860808015E-14</v>
      </c>
      <c r="K327" s="1" t="str">
        <f>IF('(OLD) Bilancio primo strato'!D327&gt;0,1,"")</f>
        <v/>
      </c>
      <c r="L327" s="7">
        <f>Sintesi!$C$34</f>
        <v>0.128</v>
      </c>
      <c r="M327" s="7">
        <f>Sintesi!$C$33</f>
        <v>0.25700000000000001</v>
      </c>
      <c r="N327" s="1">
        <f>'Paste cell here'!AA327</f>
        <v>0.9</v>
      </c>
      <c r="O327" s="1">
        <f>'Paste cell here'!H327</f>
        <v>0.17855063286690581</v>
      </c>
      <c r="P327" s="1">
        <f t="shared" si="31"/>
        <v>116.10000000000001</v>
      </c>
      <c r="Q327" s="1">
        <f t="shared" si="32"/>
        <v>20.729728475847768</v>
      </c>
      <c r="R327" s="1">
        <f t="shared" si="33"/>
        <v>210.57027152415225</v>
      </c>
      <c r="S327" s="5">
        <f t="shared" si="34"/>
        <v>0.30316735865580702</v>
      </c>
      <c r="T327" s="5">
        <f t="shared" si="35"/>
        <v>0.23396696836016917</v>
      </c>
    </row>
    <row r="328" spans="1:20">
      <c r="A328" s="1">
        <v>327</v>
      </c>
      <c r="B328" s="2">
        <f>DATE(Sintesi!$C$4-1,12,31)+A328</f>
        <v>44523</v>
      </c>
      <c r="C328" s="1">
        <f>'Paste cell here'!T328</f>
        <v>3.5429670317793129</v>
      </c>
      <c r="D328" s="1">
        <f>'Paste cell here'!AC328</f>
        <v>0</v>
      </c>
      <c r="E328" s="1">
        <f>'Paste cell here'!Y328</f>
        <v>0</v>
      </c>
      <c r="F328" s="1">
        <f>'Paste cell here'!AD328</f>
        <v>1.6101841759846982</v>
      </c>
      <c r="G328" s="1">
        <f>'Paste cell here'!W328</f>
        <v>0</v>
      </c>
      <c r="H328" s="1">
        <f>'Paste cell here'!AE328</f>
        <v>274.78340564602104</v>
      </c>
      <c r="I328" s="1">
        <f>'Paste cell here'!AF328</f>
        <v>272.85062279022634</v>
      </c>
      <c r="J328" s="1">
        <f t="shared" si="30"/>
        <v>5.6843418860808015E-14</v>
      </c>
      <c r="K328" s="1" t="str">
        <f>IF('(OLD) Bilancio primo strato'!D328&gt;0,1,"")</f>
        <v/>
      </c>
      <c r="L328" s="7">
        <f>Sintesi!$C$34</f>
        <v>0.128</v>
      </c>
      <c r="M328" s="7">
        <f>Sintesi!$C$33</f>
        <v>0.25700000000000001</v>
      </c>
      <c r="N328" s="1">
        <f>'Paste cell here'!AA328</f>
        <v>0.9</v>
      </c>
      <c r="O328" s="1">
        <f>'Paste cell here'!H328</f>
        <v>0.18040308798180674</v>
      </c>
      <c r="P328" s="1">
        <f t="shared" si="31"/>
        <v>116.10000000000001</v>
      </c>
      <c r="Q328" s="1">
        <f t="shared" si="32"/>
        <v>20.944798514687765</v>
      </c>
      <c r="R328" s="1">
        <f t="shared" si="33"/>
        <v>210.35520148531225</v>
      </c>
      <c r="S328" s="5">
        <f t="shared" si="34"/>
        <v>0.30531489516224558</v>
      </c>
      <c r="T328" s="5">
        <f t="shared" si="35"/>
        <v>0.23372800165034693</v>
      </c>
    </row>
    <row r="329" spans="1:20">
      <c r="A329" s="1">
        <v>328</v>
      </c>
      <c r="B329" s="2">
        <f>DATE(Sintesi!$C$4-1,12,31)+A329</f>
        <v>44524</v>
      </c>
      <c r="C329" s="1">
        <f>'Paste cell here'!T329</f>
        <v>1.7958911971757743</v>
      </c>
      <c r="D329" s="1">
        <f>'Paste cell here'!AC329</f>
        <v>0</v>
      </c>
      <c r="E329" s="1">
        <f>'Paste cell here'!Y329</f>
        <v>0</v>
      </c>
      <c r="F329" s="1">
        <f>'Paste cell here'!AD329</f>
        <v>1.6832023471023725</v>
      </c>
      <c r="G329" s="1">
        <f>'Paste cell here'!W329</f>
        <v>0</v>
      </c>
      <c r="H329" s="1">
        <f>'Paste cell here'!AE329</f>
        <v>274.89609449609429</v>
      </c>
      <c r="I329" s="1">
        <f>'Paste cell here'!AF329</f>
        <v>274.78340564602104</v>
      </c>
      <c r="J329" s="1">
        <f t="shared" si="30"/>
        <v>1.1368683772161603E-13</v>
      </c>
      <c r="K329" s="1" t="str">
        <f>IF('(OLD) Bilancio primo strato'!D329&gt;0,1,"")</f>
        <v/>
      </c>
      <c r="L329" s="7">
        <f>Sintesi!$C$34</f>
        <v>0.128</v>
      </c>
      <c r="M329" s="7">
        <f>Sintesi!$C$33</f>
        <v>0.25700000000000001</v>
      </c>
      <c r="N329" s="1">
        <f>'Paste cell here'!AA329</f>
        <v>0.9</v>
      </c>
      <c r="O329" s="1">
        <f>'Paste cell here'!H329</f>
        <v>0.17341110527407336</v>
      </c>
      <c r="P329" s="1">
        <f t="shared" si="31"/>
        <v>116.10000000000001</v>
      </c>
      <c r="Q329" s="1">
        <f t="shared" si="32"/>
        <v>20.133029322319917</v>
      </c>
      <c r="R329" s="1">
        <f t="shared" si="33"/>
        <v>211.1669706776801</v>
      </c>
      <c r="S329" s="5">
        <f t="shared" si="34"/>
        <v>0.30544010499566032</v>
      </c>
      <c r="T329" s="5">
        <f t="shared" si="35"/>
        <v>0.23462996741964456</v>
      </c>
    </row>
    <row r="330" spans="1:20">
      <c r="A330" s="1">
        <v>329</v>
      </c>
      <c r="B330" s="2">
        <f>DATE(Sintesi!$C$4-1,12,31)+A330</f>
        <v>44525</v>
      </c>
      <c r="C330" s="1">
        <f>'Paste cell here'!T330</f>
        <v>3.3684994789388831</v>
      </c>
      <c r="D330" s="1">
        <f>'Paste cell here'!AC330</f>
        <v>0</v>
      </c>
      <c r="E330" s="1">
        <f>'Paste cell here'!Y330</f>
        <v>0</v>
      </c>
      <c r="F330" s="1">
        <f>'Paste cell here'!AD330</f>
        <v>1.7133835738063887</v>
      </c>
      <c r="G330" s="1">
        <f>'Paste cell here'!W330</f>
        <v>0</v>
      </c>
      <c r="H330" s="1">
        <f>'Paste cell here'!AE330</f>
        <v>276.55121040122663</v>
      </c>
      <c r="I330" s="1">
        <f>'Paste cell here'!AF330</f>
        <v>274.89609449609429</v>
      </c>
      <c r="J330" s="1">
        <f t="shared" si="30"/>
        <v>1.7053025658242404E-13</v>
      </c>
      <c r="K330" s="1" t="str">
        <f>IF('(OLD) Bilancio primo strato'!D330&gt;0,1,"")</f>
        <v/>
      </c>
      <c r="L330" s="7">
        <f>Sintesi!$C$34</f>
        <v>0.128</v>
      </c>
      <c r="M330" s="7">
        <f>Sintesi!$C$33</f>
        <v>0.25700000000000001</v>
      </c>
      <c r="N330" s="1">
        <f>'Paste cell here'!AA330</f>
        <v>0.9</v>
      </c>
      <c r="O330" s="1">
        <f>'Paste cell here'!H330</f>
        <v>0.18271344560215336</v>
      </c>
      <c r="P330" s="1">
        <f t="shared" si="31"/>
        <v>116.10000000000001</v>
      </c>
      <c r="Q330" s="1">
        <f t="shared" si="32"/>
        <v>21.213031034410005</v>
      </c>
      <c r="R330" s="1">
        <f t="shared" si="33"/>
        <v>210.08696896559002</v>
      </c>
      <c r="S330" s="5">
        <f t="shared" si="34"/>
        <v>0.30727912266802959</v>
      </c>
      <c r="T330" s="5">
        <f t="shared" si="35"/>
        <v>0.23342996551732223</v>
      </c>
    </row>
    <row r="331" spans="1:20">
      <c r="A331" s="1">
        <v>330</v>
      </c>
      <c r="B331" s="2">
        <f>DATE(Sintesi!$C$4-1,12,31)+A331</f>
        <v>44526</v>
      </c>
      <c r="C331" s="1">
        <f>'Paste cell here'!T331</f>
        <v>2.9829605596194342</v>
      </c>
      <c r="D331" s="1">
        <f>'Paste cell here'!AC331</f>
        <v>0</v>
      </c>
      <c r="E331" s="1">
        <f>'Paste cell here'!Y331</f>
        <v>0</v>
      </c>
      <c r="F331" s="1">
        <f>'Paste cell here'!AD331</f>
        <v>1.8857244246373379</v>
      </c>
      <c r="G331" s="1">
        <f>'Paste cell here'!W331</f>
        <v>0</v>
      </c>
      <c r="H331" s="1">
        <f>'Paste cell here'!AE331</f>
        <v>277.64844653620878</v>
      </c>
      <c r="I331" s="1">
        <f>'Paste cell here'!AF331</f>
        <v>276.55121040122663</v>
      </c>
      <c r="J331" s="1">
        <f t="shared" si="30"/>
        <v>5.6843418860808015E-14</v>
      </c>
      <c r="K331" s="1" t="str">
        <f>IF('(OLD) Bilancio primo strato'!D331&gt;0,1,"")</f>
        <v/>
      </c>
      <c r="L331" s="7">
        <f>Sintesi!$C$34</f>
        <v>0.128</v>
      </c>
      <c r="M331" s="7">
        <f>Sintesi!$C$33</f>
        <v>0.25700000000000001</v>
      </c>
      <c r="N331" s="1">
        <f>'Paste cell here'!AA331</f>
        <v>0.9</v>
      </c>
      <c r="O331" s="1">
        <f>'Paste cell here'!H331</f>
        <v>0.17779316954746946</v>
      </c>
      <c r="P331" s="1">
        <f t="shared" si="31"/>
        <v>116.10000000000001</v>
      </c>
      <c r="Q331" s="1">
        <f t="shared" si="32"/>
        <v>20.641786984461206</v>
      </c>
      <c r="R331" s="1">
        <f t="shared" si="33"/>
        <v>210.65821301553882</v>
      </c>
      <c r="S331" s="5">
        <f t="shared" si="34"/>
        <v>0.30849827392912088</v>
      </c>
      <c r="T331" s="5">
        <f t="shared" si="35"/>
        <v>0.23406468112837647</v>
      </c>
    </row>
    <row r="332" spans="1:20">
      <c r="A332" s="1">
        <v>331</v>
      </c>
      <c r="B332" s="2">
        <f>DATE(Sintesi!$C$4-1,12,31)+A332</f>
        <v>44527</v>
      </c>
      <c r="C332" s="1">
        <f>'Paste cell here'!T332</f>
        <v>1.6574320495858728</v>
      </c>
      <c r="D332" s="1">
        <f>'Paste cell here'!AC332</f>
        <v>0</v>
      </c>
      <c r="E332" s="1">
        <f>'Paste cell here'!Y332</f>
        <v>0</v>
      </c>
      <c r="F332" s="1">
        <f>'Paste cell here'!AD332</f>
        <v>1.8957276555884965</v>
      </c>
      <c r="G332" s="1">
        <f>'Paste cell here'!W332</f>
        <v>0</v>
      </c>
      <c r="H332" s="1">
        <f>'Paste cell here'!AE332</f>
        <v>277.41015093020633</v>
      </c>
      <c r="I332" s="1">
        <f>'Paste cell here'!AF332</f>
        <v>277.64844653620878</v>
      </c>
      <c r="J332" s="1">
        <f t="shared" si="30"/>
        <v>1.7053025658242404E-13</v>
      </c>
      <c r="K332" s="1" t="str">
        <f>IF('(OLD) Bilancio primo strato'!D332&gt;0,1,"")</f>
        <v/>
      </c>
      <c r="L332" s="7">
        <f>Sintesi!$C$34</f>
        <v>0.128</v>
      </c>
      <c r="M332" s="7">
        <f>Sintesi!$C$33</f>
        <v>0.25700000000000001</v>
      </c>
      <c r="N332" s="1">
        <f>'Paste cell here'!AA332</f>
        <v>0.9</v>
      </c>
      <c r="O332" s="1">
        <f>'Paste cell here'!H332</f>
        <v>0.18188886162487522</v>
      </c>
      <c r="P332" s="1">
        <f t="shared" si="31"/>
        <v>116.10000000000001</v>
      </c>
      <c r="Q332" s="1">
        <f t="shared" si="32"/>
        <v>21.117296834648016</v>
      </c>
      <c r="R332" s="1">
        <f t="shared" si="33"/>
        <v>210.182703165352</v>
      </c>
      <c r="S332" s="5">
        <f t="shared" si="34"/>
        <v>0.30823350103356256</v>
      </c>
      <c r="T332" s="5">
        <f t="shared" si="35"/>
        <v>0.2335363368503911</v>
      </c>
    </row>
    <row r="333" spans="1:20">
      <c r="A333" s="1">
        <v>332</v>
      </c>
      <c r="B333" s="2">
        <f>DATE(Sintesi!$C$4-1,12,31)+A333</f>
        <v>44528</v>
      </c>
      <c r="C333" s="1">
        <f>'Paste cell here'!T333</f>
        <v>1.3240769050382699</v>
      </c>
      <c r="D333" s="1">
        <f>'Paste cell here'!AC333</f>
        <v>0</v>
      </c>
      <c r="E333" s="1">
        <f>'Paste cell here'!Y333</f>
        <v>0</v>
      </c>
      <c r="F333" s="1">
        <f>'Paste cell here'!AD333</f>
        <v>1.866462662824804</v>
      </c>
      <c r="G333" s="1">
        <f>'Paste cell here'!W333</f>
        <v>0</v>
      </c>
      <c r="H333" s="1">
        <f>'Paste cell here'!AE333</f>
        <v>276.86776517241975</v>
      </c>
      <c r="I333" s="1">
        <f>'Paste cell here'!AF333</f>
        <v>277.41015093020633</v>
      </c>
      <c r="J333" s="1">
        <f t="shared" si="30"/>
        <v>5.6843418860808015E-14</v>
      </c>
      <c r="K333" s="1" t="str">
        <f>IF('(OLD) Bilancio primo strato'!D333&gt;0,1,"")</f>
        <v/>
      </c>
      <c r="L333" s="7">
        <f>Sintesi!$C$34</f>
        <v>0.128</v>
      </c>
      <c r="M333" s="7">
        <f>Sintesi!$C$33</f>
        <v>0.25700000000000001</v>
      </c>
      <c r="N333" s="1">
        <f>'Paste cell here'!AA333</f>
        <v>0.9</v>
      </c>
      <c r="O333" s="1">
        <f>'Paste cell here'!H333</f>
        <v>0.18034397454049522</v>
      </c>
      <c r="P333" s="1">
        <f t="shared" si="31"/>
        <v>116.10000000000001</v>
      </c>
      <c r="Q333" s="1">
        <f t="shared" si="32"/>
        <v>20.937935444151496</v>
      </c>
      <c r="R333" s="1">
        <f t="shared" si="33"/>
        <v>210.36206455584852</v>
      </c>
      <c r="S333" s="5">
        <f t="shared" si="34"/>
        <v>0.30763085019157749</v>
      </c>
      <c r="T333" s="5">
        <f t="shared" si="35"/>
        <v>0.23373562728427613</v>
      </c>
    </row>
    <row r="334" spans="1:20">
      <c r="A334" s="1">
        <v>333</v>
      </c>
      <c r="B334" s="2">
        <f>DATE(Sintesi!$C$4-1,12,31)+A334</f>
        <v>44529</v>
      </c>
      <c r="C334" s="1">
        <f>'Paste cell here'!T334</f>
        <v>0.72707498245829749</v>
      </c>
      <c r="D334" s="1">
        <f>'Paste cell here'!AC334</f>
        <v>0</v>
      </c>
      <c r="E334" s="1">
        <f>'Paste cell here'!Y334</f>
        <v>0</v>
      </c>
      <c r="F334" s="1">
        <f>'Paste cell here'!AD334</f>
        <v>1.7985011160345525</v>
      </c>
      <c r="G334" s="1">
        <f>'Paste cell here'!W334</f>
        <v>0</v>
      </c>
      <c r="H334" s="1">
        <f>'Paste cell here'!AE334</f>
        <v>275.79633903884354</v>
      </c>
      <c r="I334" s="1">
        <f>'Paste cell here'!AF334</f>
        <v>276.86776517241975</v>
      </c>
      <c r="J334" s="1">
        <f t="shared" si="30"/>
        <v>5.6843418860808015E-14</v>
      </c>
      <c r="K334" s="1" t="str">
        <f>IF('(OLD) Bilancio primo strato'!D334&gt;0,1,"")</f>
        <v/>
      </c>
      <c r="L334" s="7">
        <f>Sintesi!$C$34</f>
        <v>0.128</v>
      </c>
      <c r="M334" s="7">
        <f>Sintesi!$C$33</f>
        <v>0.25700000000000001</v>
      </c>
      <c r="N334" s="1">
        <f>'Paste cell here'!AA334</f>
        <v>0.9</v>
      </c>
      <c r="O334" s="1">
        <f>'Paste cell here'!H334</f>
        <v>0.17853904079542951</v>
      </c>
      <c r="P334" s="1">
        <f t="shared" si="31"/>
        <v>116.10000000000001</v>
      </c>
      <c r="Q334" s="1">
        <f t="shared" si="32"/>
        <v>20.728382636349366</v>
      </c>
      <c r="R334" s="1">
        <f t="shared" si="33"/>
        <v>210.57161736365066</v>
      </c>
      <c r="S334" s="5">
        <f t="shared" si="34"/>
        <v>0.30644037670982616</v>
      </c>
      <c r="T334" s="5">
        <f t="shared" si="35"/>
        <v>0.23396846373738961</v>
      </c>
    </row>
    <row r="335" spans="1:20">
      <c r="A335" s="1">
        <v>334</v>
      </c>
      <c r="B335" s="2">
        <f>DATE(Sintesi!$C$4-1,12,31)+A335</f>
        <v>44530</v>
      </c>
      <c r="C335" s="1">
        <f>'Paste cell here'!T335</f>
        <v>0.3280101283336096</v>
      </c>
      <c r="D335" s="1">
        <f>'Paste cell here'!AC335</f>
        <v>0</v>
      </c>
      <c r="E335" s="1">
        <f>'Paste cell here'!Y335</f>
        <v>0</v>
      </c>
      <c r="F335" s="1">
        <f>'Paste cell here'!AD335</f>
        <v>1.6971293690419571</v>
      </c>
      <c r="G335" s="1">
        <f>'Paste cell here'!W335</f>
        <v>0</v>
      </c>
      <c r="H335" s="1">
        <f>'Paste cell here'!AE335</f>
        <v>274.4272197981353</v>
      </c>
      <c r="I335" s="1">
        <f>'Paste cell here'!AF335</f>
        <v>275.79633903884354</v>
      </c>
      <c r="J335" s="1">
        <f t="shared" si="30"/>
        <v>5.6843418860808015E-14</v>
      </c>
      <c r="K335" s="1" t="str">
        <f>IF('(OLD) Bilancio primo strato'!D335&gt;0,1,"")</f>
        <v/>
      </c>
      <c r="L335" s="7">
        <f>Sintesi!$C$34</f>
        <v>0.128</v>
      </c>
      <c r="M335" s="7">
        <f>Sintesi!$C$33</f>
        <v>0.25700000000000001</v>
      </c>
      <c r="N335" s="1">
        <f>'Paste cell here'!AA335</f>
        <v>0.9</v>
      </c>
      <c r="O335" s="1">
        <f>'Paste cell here'!H335</f>
        <v>0.15341133939547255</v>
      </c>
      <c r="P335" s="1">
        <f t="shared" si="31"/>
        <v>116.10000000000001</v>
      </c>
      <c r="Q335" s="1">
        <f t="shared" si="32"/>
        <v>17.811056503814363</v>
      </c>
      <c r="R335" s="1">
        <f t="shared" si="33"/>
        <v>213.48894349618564</v>
      </c>
      <c r="S335" s="5">
        <f t="shared" si="34"/>
        <v>0.30491913310903923</v>
      </c>
      <c r="T335" s="5">
        <f t="shared" si="35"/>
        <v>0.23720993721798406</v>
      </c>
    </row>
    <row r="336" spans="1:20">
      <c r="A336" s="1">
        <v>335</v>
      </c>
      <c r="B336" s="2">
        <f>DATE(Sintesi!$C$4-1,12,31)+A336</f>
        <v>44531</v>
      </c>
      <c r="C336" s="1">
        <f>'Paste cell here'!T336</f>
        <v>0.18850978279098926</v>
      </c>
      <c r="D336" s="1">
        <f>'Paste cell here'!AC336</f>
        <v>0</v>
      </c>
      <c r="E336" s="1">
        <f>'Paste cell here'!Y336</f>
        <v>0</v>
      </c>
      <c r="F336" s="1">
        <f>'Paste cell here'!AD336</f>
        <v>1.5889654748457274</v>
      </c>
      <c r="G336" s="1">
        <f>'Paste cell here'!W336</f>
        <v>0</v>
      </c>
      <c r="H336" s="1">
        <f>'Paste cell here'!AE336</f>
        <v>273.02676410608075</v>
      </c>
      <c r="I336" s="1">
        <f>'Paste cell here'!AF336</f>
        <v>274.42721979813535</v>
      </c>
      <c r="J336" s="1">
        <f t="shared" si="30"/>
        <v>1.1368683772161603E-13</v>
      </c>
      <c r="K336" s="1" t="str">
        <f>IF('(OLD) Bilancio primo strato'!D336&gt;0,1,"")</f>
        <v/>
      </c>
      <c r="L336" s="7">
        <f>Sintesi!$C$34</f>
        <v>0.128</v>
      </c>
      <c r="M336" s="7">
        <f>Sintesi!$C$33</f>
        <v>0.25700000000000001</v>
      </c>
      <c r="N336" s="1">
        <f>'Paste cell here'!AA336</f>
        <v>0.9</v>
      </c>
      <c r="O336" s="1">
        <f>'Paste cell here'!H336</f>
        <v>0.14281685766115346</v>
      </c>
      <c r="P336" s="1">
        <f t="shared" si="31"/>
        <v>116.10000000000001</v>
      </c>
      <c r="Q336" s="1">
        <f t="shared" si="32"/>
        <v>16.581037174459919</v>
      </c>
      <c r="R336" s="1">
        <f t="shared" si="33"/>
        <v>214.7189628255401</v>
      </c>
      <c r="S336" s="5">
        <f t="shared" si="34"/>
        <v>0.3033630712289786</v>
      </c>
      <c r="T336" s="5">
        <f t="shared" si="35"/>
        <v>0.23857662536171123</v>
      </c>
    </row>
    <row r="337" spans="1:20">
      <c r="A337" s="1">
        <v>336</v>
      </c>
      <c r="B337" s="2">
        <f>DATE(Sintesi!$C$4-1,12,31)+A337</f>
        <v>44532</v>
      </c>
      <c r="C337" s="1">
        <f>'Paste cell here'!T337</f>
        <v>0.16609348296257967</v>
      </c>
      <c r="D337" s="1">
        <f>'Paste cell here'!AC337</f>
        <v>0</v>
      </c>
      <c r="E337" s="1">
        <f>'Paste cell here'!Y337</f>
        <v>0</v>
      </c>
      <c r="F337" s="1">
        <f>'Paste cell here'!AD337</f>
        <v>1.4900312199816665</v>
      </c>
      <c r="G337" s="1">
        <f>'Paste cell here'!W337</f>
        <v>0</v>
      </c>
      <c r="H337" s="1">
        <f>'Paste cell here'!AE337</f>
        <v>271.70282636906177</v>
      </c>
      <c r="I337" s="1">
        <f>'Paste cell here'!AF337</f>
        <v>273.02676410608075</v>
      </c>
      <c r="J337" s="1">
        <f t="shared" si="30"/>
        <v>1.1368683772161603E-13</v>
      </c>
      <c r="K337" s="1" t="str">
        <f>IF('(OLD) Bilancio primo strato'!D337&gt;0,1,"")</f>
        <v/>
      </c>
      <c r="L337" s="7">
        <f>Sintesi!$C$34</f>
        <v>0.128</v>
      </c>
      <c r="M337" s="7">
        <f>Sintesi!$C$33</f>
        <v>0.25700000000000001</v>
      </c>
      <c r="N337" s="1">
        <f>'Paste cell here'!AA337</f>
        <v>0.9</v>
      </c>
      <c r="O337" s="1">
        <f>'Paste cell here'!H337</f>
        <v>0.17308150544760806</v>
      </c>
      <c r="P337" s="1">
        <f t="shared" si="31"/>
        <v>116.10000000000001</v>
      </c>
      <c r="Q337" s="1">
        <f t="shared" si="32"/>
        <v>20.094762782467296</v>
      </c>
      <c r="R337" s="1">
        <f t="shared" si="33"/>
        <v>211.20523721753273</v>
      </c>
      <c r="S337" s="5">
        <f t="shared" si="34"/>
        <v>0.30189202929895753</v>
      </c>
      <c r="T337" s="5">
        <f t="shared" si="35"/>
        <v>0.23467248579725858</v>
      </c>
    </row>
    <row r="338" spans="1:20">
      <c r="A338" s="1">
        <v>337</v>
      </c>
      <c r="B338" s="2">
        <f>DATE(Sintesi!$C$4-1,12,31)+A338</f>
        <v>44533</v>
      </c>
      <c r="C338" s="1">
        <f>'Paste cell here'!T338</f>
        <v>0.14569948656334161</v>
      </c>
      <c r="D338" s="1">
        <f>'Paste cell here'!AC338</f>
        <v>0</v>
      </c>
      <c r="E338" s="1">
        <f>'Paste cell here'!Y338</f>
        <v>0</v>
      </c>
      <c r="F338" s="1">
        <f>'Paste cell here'!AD338</f>
        <v>1.4017923406765873</v>
      </c>
      <c r="G338" s="1">
        <f>'Paste cell here'!W338</f>
        <v>0</v>
      </c>
      <c r="H338" s="1">
        <f>'Paste cell here'!AE338</f>
        <v>270.44673351494839</v>
      </c>
      <c r="I338" s="1">
        <f>'Paste cell here'!AF338</f>
        <v>271.70282636906177</v>
      </c>
      <c r="J338" s="1">
        <f t="shared" si="30"/>
        <v>1.1368683772161603E-13</v>
      </c>
      <c r="K338" s="1" t="str">
        <f>IF('(OLD) Bilancio primo strato'!D338&gt;0,1,"")</f>
        <v/>
      </c>
      <c r="L338" s="7">
        <f>Sintesi!$C$34</f>
        <v>0.128</v>
      </c>
      <c r="M338" s="7">
        <f>Sintesi!$C$33</f>
        <v>0.25700000000000001</v>
      </c>
      <c r="N338" s="1">
        <f>'Paste cell here'!AA338</f>
        <v>0.9</v>
      </c>
      <c r="O338" s="1">
        <f>'Paste cell here'!H338</f>
        <v>0.1860728320506963</v>
      </c>
      <c r="P338" s="1">
        <f t="shared" si="31"/>
        <v>116.10000000000001</v>
      </c>
      <c r="Q338" s="1">
        <f t="shared" si="32"/>
        <v>21.603055801085841</v>
      </c>
      <c r="R338" s="1">
        <f t="shared" si="33"/>
        <v>209.69694419891417</v>
      </c>
      <c r="S338" s="5">
        <f t="shared" si="34"/>
        <v>0.30049637057216488</v>
      </c>
      <c r="T338" s="5">
        <f t="shared" si="35"/>
        <v>0.23299660466546018</v>
      </c>
    </row>
    <row r="339" spans="1:20">
      <c r="A339" s="1">
        <v>338</v>
      </c>
      <c r="B339" s="2">
        <f>DATE(Sintesi!$C$4-1,12,31)+A339</f>
        <v>44534</v>
      </c>
      <c r="C339" s="1">
        <f>'Paste cell here'!T339</f>
        <v>0.11187219135675264</v>
      </c>
      <c r="D339" s="1">
        <f>'Paste cell here'!AC339</f>
        <v>0</v>
      </c>
      <c r="E339" s="1">
        <f>'Paste cell here'!Y339</f>
        <v>0</v>
      </c>
      <c r="F339" s="1">
        <f>'Paste cell here'!AD339</f>
        <v>1.3218076001456893</v>
      </c>
      <c r="G339" s="1">
        <f>'Paste cell here'!W339</f>
        <v>0</v>
      </c>
      <c r="H339" s="1">
        <f>'Paste cell here'!AE339</f>
        <v>269.23679810615948</v>
      </c>
      <c r="I339" s="1">
        <f>'Paste cell here'!AF339</f>
        <v>270.44673351494839</v>
      </c>
      <c r="J339" s="1">
        <f t="shared" si="30"/>
        <v>5.6843418860808015E-14</v>
      </c>
      <c r="K339" s="1" t="str">
        <f>IF('(OLD) Bilancio primo strato'!D339&gt;0,1,"")</f>
        <v/>
      </c>
      <c r="L339" s="7">
        <f>Sintesi!$C$34</f>
        <v>0.128</v>
      </c>
      <c r="M339" s="7">
        <f>Sintesi!$C$33</f>
        <v>0.25700000000000001</v>
      </c>
      <c r="N339" s="1">
        <f>'Paste cell here'!AA339</f>
        <v>0.9</v>
      </c>
      <c r="O339" s="1">
        <f>'Paste cell here'!H339</f>
        <v>0.18605119722332442</v>
      </c>
      <c r="P339" s="1">
        <f t="shared" si="31"/>
        <v>116.10000000000001</v>
      </c>
      <c r="Q339" s="1">
        <f t="shared" si="32"/>
        <v>21.600543997627966</v>
      </c>
      <c r="R339" s="1">
        <f t="shared" si="33"/>
        <v>209.69945600237205</v>
      </c>
      <c r="S339" s="5">
        <f t="shared" si="34"/>
        <v>0.29915199789573277</v>
      </c>
      <c r="T339" s="5">
        <f t="shared" si="35"/>
        <v>0.23299939555819116</v>
      </c>
    </row>
    <row r="340" spans="1:20">
      <c r="A340" s="1">
        <v>339</v>
      </c>
      <c r="B340" s="2">
        <f>DATE(Sintesi!$C$4-1,12,31)+A340</f>
        <v>44535</v>
      </c>
      <c r="C340" s="1">
        <f>'Paste cell here'!T340</f>
        <v>8.479807672290475E-2</v>
      </c>
      <c r="D340" s="1">
        <f>'Paste cell here'!AC340</f>
        <v>0</v>
      </c>
      <c r="E340" s="1">
        <f>'Paste cell here'!Y340</f>
        <v>0</v>
      </c>
      <c r="F340" s="1">
        <f>'Paste cell here'!AD340</f>
        <v>1.2485339205782033</v>
      </c>
      <c r="G340" s="1">
        <f>'Paste cell here'!W340</f>
        <v>0</v>
      </c>
      <c r="H340" s="1">
        <f>'Paste cell here'!AE340</f>
        <v>268.07306226230429</v>
      </c>
      <c r="I340" s="1">
        <f>'Paste cell here'!AF340</f>
        <v>269.23679810615954</v>
      </c>
      <c r="J340" s="1">
        <f t="shared" si="30"/>
        <v>5.6843418860808015E-14</v>
      </c>
      <c r="K340" s="1" t="str">
        <f>IF('(OLD) Bilancio primo strato'!D340&gt;0,1,"")</f>
        <v/>
      </c>
      <c r="L340" s="7">
        <f>Sintesi!$C$34</f>
        <v>0.128</v>
      </c>
      <c r="M340" s="7">
        <f>Sintesi!$C$33</f>
        <v>0.25700000000000001</v>
      </c>
      <c r="N340" s="1">
        <f>'Paste cell here'!AA340</f>
        <v>0.9</v>
      </c>
      <c r="O340" s="1">
        <f>'Paste cell here'!H340</f>
        <v>0.17946525497649288</v>
      </c>
      <c r="P340" s="1">
        <f t="shared" si="31"/>
        <v>116.10000000000001</v>
      </c>
      <c r="Q340" s="1">
        <f t="shared" si="32"/>
        <v>20.835916102770824</v>
      </c>
      <c r="R340" s="1">
        <f t="shared" si="33"/>
        <v>210.46408389722919</v>
      </c>
      <c r="S340" s="5">
        <f t="shared" si="34"/>
        <v>0.29785895806922696</v>
      </c>
      <c r="T340" s="5">
        <f t="shared" si="35"/>
        <v>0.23384898210803243</v>
      </c>
    </row>
    <row r="341" spans="1:20">
      <c r="A341" s="1">
        <v>340</v>
      </c>
      <c r="B341" s="2">
        <f>DATE(Sintesi!$C$4-1,12,31)+A341</f>
        <v>44536</v>
      </c>
      <c r="C341" s="1">
        <f>'Paste cell here'!T341</f>
        <v>7.37701085505367E-2</v>
      </c>
      <c r="D341" s="1">
        <f>'Paste cell here'!AC341</f>
        <v>0</v>
      </c>
      <c r="E341" s="1">
        <f>'Paste cell here'!Y341</f>
        <v>0</v>
      </c>
      <c r="F341" s="1">
        <f>'Paste cell here'!AD341</f>
        <v>1.1818657147946625</v>
      </c>
      <c r="G341" s="1">
        <f>'Paste cell here'!W341</f>
        <v>0</v>
      </c>
      <c r="H341" s="1">
        <f>'Paste cell here'!AE341</f>
        <v>266.96496665606026</v>
      </c>
      <c r="I341" s="1">
        <f>'Paste cell here'!AF341</f>
        <v>268.07306226230429</v>
      </c>
      <c r="J341" s="1">
        <f t="shared" si="30"/>
        <v>5.6843418860808015E-14</v>
      </c>
      <c r="K341" s="1" t="str">
        <f>IF('(OLD) Bilancio primo strato'!D341&gt;0,1,"")</f>
        <v/>
      </c>
      <c r="L341" s="7">
        <f>Sintesi!$C$34</f>
        <v>0.128</v>
      </c>
      <c r="M341" s="7">
        <f>Sintesi!$C$33</f>
        <v>0.25700000000000001</v>
      </c>
      <c r="N341" s="1">
        <f>'Paste cell here'!AA341</f>
        <v>0.9</v>
      </c>
      <c r="O341" s="1">
        <f>'Paste cell here'!H341</f>
        <v>0.18776597819778204</v>
      </c>
      <c r="P341" s="1">
        <f t="shared" si="31"/>
        <v>116.10000000000001</v>
      </c>
      <c r="Q341" s="1">
        <f t="shared" si="32"/>
        <v>21.799630068762497</v>
      </c>
      <c r="R341" s="1">
        <f t="shared" si="33"/>
        <v>209.50036993123751</v>
      </c>
      <c r="S341" s="5">
        <f t="shared" si="34"/>
        <v>0.29662774072895581</v>
      </c>
      <c r="T341" s="5">
        <f t="shared" si="35"/>
        <v>0.23277818881248613</v>
      </c>
    </row>
    <row r="342" spans="1:20">
      <c r="A342" s="1">
        <v>341</v>
      </c>
      <c r="B342" s="2">
        <f>DATE(Sintesi!$C$4-1,12,31)+A342</f>
        <v>44537</v>
      </c>
      <c r="C342" s="1">
        <f>'Paste cell here'!T342</f>
        <v>6.5633485553651741E-2</v>
      </c>
      <c r="D342" s="1">
        <f>'Paste cell here'!AC342</f>
        <v>0</v>
      </c>
      <c r="E342" s="1">
        <f>'Paste cell here'!Y342</f>
        <v>0</v>
      </c>
      <c r="F342" s="1">
        <f>'Paste cell here'!AD342</f>
        <v>1.1214641399950729</v>
      </c>
      <c r="G342" s="1">
        <f>'Paste cell here'!W342</f>
        <v>0</v>
      </c>
      <c r="H342" s="1">
        <f>'Paste cell here'!AE342</f>
        <v>265.90913600161872</v>
      </c>
      <c r="I342" s="1">
        <f>'Paste cell here'!AF342</f>
        <v>266.96496665606026</v>
      </c>
      <c r="J342" s="1">
        <f t="shared" si="30"/>
        <v>1.1368683772161603E-13</v>
      </c>
      <c r="K342" s="1" t="str">
        <f>IF('(OLD) Bilancio primo strato'!D342&gt;0,1,"")</f>
        <v/>
      </c>
      <c r="L342" s="7">
        <f>Sintesi!$C$34</f>
        <v>0.128</v>
      </c>
      <c r="M342" s="7">
        <f>Sintesi!$C$33</f>
        <v>0.25700000000000001</v>
      </c>
      <c r="N342" s="1">
        <f>'Paste cell here'!AA342</f>
        <v>0.9</v>
      </c>
      <c r="O342" s="1">
        <f>'Paste cell here'!H342</f>
        <v>0.19236210527409228</v>
      </c>
      <c r="P342" s="1">
        <f t="shared" si="31"/>
        <v>116.10000000000001</v>
      </c>
      <c r="Q342" s="1">
        <f t="shared" si="32"/>
        <v>22.333240422322117</v>
      </c>
      <c r="R342" s="1">
        <f t="shared" si="33"/>
        <v>208.96675957767789</v>
      </c>
      <c r="S342" s="5">
        <f t="shared" si="34"/>
        <v>0.29545459555735415</v>
      </c>
      <c r="T342" s="5">
        <f t="shared" si="35"/>
        <v>0.23218528841964209</v>
      </c>
    </row>
    <row r="343" spans="1:20">
      <c r="A343" s="1">
        <v>342</v>
      </c>
      <c r="B343" s="2">
        <f>DATE(Sintesi!$C$4-1,12,31)+A343</f>
        <v>44538</v>
      </c>
      <c r="C343" s="1">
        <f>'Paste cell here'!T343</f>
        <v>0.98439861267784567</v>
      </c>
      <c r="D343" s="1">
        <f>'Paste cell here'!AC343</f>
        <v>0</v>
      </c>
      <c r="E343" s="1">
        <f>'Paste cell here'!Y343</f>
        <v>0</v>
      </c>
      <c r="F343" s="1">
        <f>'Paste cell here'!AD343</f>
        <v>1.0770512024418271</v>
      </c>
      <c r="G343" s="1">
        <f>'Paste cell here'!W343</f>
        <v>0</v>
      </c>
      <c r="H343" s="1">
        <f>'Paste cell here'!AE343</f>
        <v>265.81648341185485</v>
      </c>
      <c r="I343" s="1">
        <f>'Paste cell here'!AF343</f>
        <v>265.90913600161878</v>
      </c>
      <c r="J343" s="1">
        <f t="shared" si="30"/>
        <v>5.6843418860808015E-14</v>
      </c>
      <c r="K343" s="1" t="str">
        <f>IF('(OLD) Bilancio primo strato'!D343&gt;0,1,"")</f>
        <v/>
      </c>
      <c r="L343" s="7">
        <f>Sintesi!$C$34</f>
        <v>0.128</v>
      </c>
      <c r="M343" s="7">
        <f>Sintesi!$C$33</f>
        <v>0.25700000000000001</v>
      </c>
      <c r="N343" s="1">
        <f>'Paste cell here'!AA343</f>
        <v>0.9</v>
      </c>
      <c r="O343" s="1">
        <f>'Paste cell here'!H343</f>
        <v>0.18626345565987273</v>
      </c>
      <c r="P343" s="1">
        <f t="shared" si="31"/>
        <v>116.10000000000001</v>
      </c>
      <c r="Q343" s="1">
        <f t="shared" si="32"/>
        <v>21.625187202111228</v>
      </c>
      <c r="R343" s="1">
        <f t="shared" si="33"/>
        <v>209.67481279788879</v>
      </c>
      <c r="S343" s="5">
        <f t="shared" si="34"/>
        <v>0.29535164823539428</v>
      </c>
      <c r="T343" s="5">
        <f t="shared" si="35"/>
        <v>0.23297201421987643</v>
      </c>
    </row>
    <row r="344" spans="1:20">
      <c r="A344" s="1">
        <v>343</v>
      </c>
      <c r="B344" s="2">
        <f>DATE(Sintesi!$C$4-1,12,31)+A344</f>
        <v>44539</v>
      </c>
      <c r="C344" s="1">
        <f>'Paste cell here'!T344</f>
        <v>2.57800008838539</v>
      </c>
      <c r="D344" s="1">
        <f>'Paste cell here'!AC344</f>
        <v>0</v>
      </c>
      <c r="E344" s="1">
        <f>'Paste cell here'!Y344</f>
        <v>0</v>
      </c>
      <c r="F344" s="1">
        <f>'Paste cell here'!AD344</f>
        <v>1.1320267476351442</v>
      </c>
      <c r="G344" s="1">
        <f>'Paste cell here'!W344</f>
        <v>0</v>
      </c>
      <c r="H344" s="1">
        <f>'Paste cell here'!AE344</f>
        <v>267.2624567526052</v>
      </c>
      <c r="I344" s="1">
        <f>'Paste cell here'!AF344</f>
        <v>265.8164834118549</v>
      </c>
      <c r="J344" s="1">
        <f t="shared" si="30"/>
        <v>5.6843418860808015E-14</v>
      </c>
      <c r="K344" s="1" t="str">
        <f>IF('(OLD) Bilancio primo strato'!D344&gt;0,1,"")</f>
        <v/>
      </c>
      <c r="L344" s="7">
        <f>Sintesi!$C$34</f>
        <v>0.128</v>
      </c>
      <c r="M344" s="7">
        <f>Sintesi!$C$33</f>
        <v>0.25700000000000001</v>
      </c>
      <c r="N344" s="1">
        <f>'Paste cell here'!AA344</f>
        <v>0.9</v>
      </c>
      <c r="O344" s="1">
        <f>'Paste cell here'!H344</f>
        <v>0.18025132701107338</v>
      </c>
      <c r="P344" s="1">
        <f t="shared" si="31"/>
        <v>116.10000000000001</v>
      </c>
      <c r="Q344" s="1">
        <f t="shared" si="32"/>
        <v>20.927179065985619</v>
      </c>
      <c r="R344" s="1">
        <f t="shared" si="33"/>
        <v>210.37282093401438</v>
      </c>
      <c r="S344" s="5">
        <f t="shared" si="34"/>
        <v>0.29695828528067247</v>
      </c>
      <c r="T344" s="5">
        <f t="shared" si="35"/>
        <v>0.23374757881557154</v>
      </c>
    </row>
    <row r="345" spans="1:20">
      <c r="A345" s="1">
        <v>344</v>
      </c>
      <c r="B345" s="2">
        <f>DATE(Sintesi!$C$4-1,12,31)+A345</f>
        <v>44540</v>
      </c>
      <c r="C345" s="1">
        <f>'Paste cell here'!T345</f>
        <v>2.6660473565370171</v>
      </c>
      <c r="D345" s="1">
        <f>'Paste cell here'!AC345</f>
        <v>0</v>
      </c>
      <c r="E345" s="1">
        <f>'Paste cell here'!Y345</f>
        <v>0</v>
      </c>
      <c r="F345" s="1">
        <f>'Paste cell here'!AD345</f>
        <v>1.204264459268527</v>
      </c>
      <c r="G345" s="1">
        <f>'Paste cell here'!W345</f>
        <v>0</v>
      </c>
      <c r="H345" s="1">
        <f>'Paste cell here'!AE345</f>
        <v>268.72423964987382</v>
      </c>
      <c r="I345" s="1">
        <f>'Paste cell here'!AF345</f>
        <v>267.26245675260526</v>
      </c>
      <c r="J345" s="1">
        <f t="shared" si="30"/>
        <v>5.6843418860808015E-14</v>
      </c>
      <c r="K345" s="1" t="str">
        <f>IF('(OLD) Bilancio primo strato'!D345&gt;0,1,"")</f>
        <v/>
      </c>
      <c r="L345" s="7">
        <f>Sintesi!$C$34</f>
        <v>0.128</v>
      </c>
      <c r="M345" s="7">
        <f>Sintesi!$C$33</f>
        <v>0.25700000000000001</v>
      </c>
      <c r="N345" s="1">
        <f>'Paste cell here'!AA345</f>
        <v>0.9</v>
      </c>
      <c r="O345" s="1">
        <f>'Paste cell here'!H345</f>
        <v>0.19044332563060817</v>
      </c>
      <c r="P345" s="1">
        <f t="shared" si="31"/>
        <v>116.10000000000001</v>
      </c>
      <c r="Q345" s="1">
        <f t="shared" si="32"/>
        <v>22.11047010571361</v>
      </c>
      <c r="R345" s="1">
        <f t="shared" si="33"/>
        <v>209.18952989428641</v>
      </c>
      <c r="S345" s="5">
        <f t="shared" si="34"/>
        <v>0.2985824884998598</v>
      </c>
      <c r="T345" s="5">
        <f t="shared" si="35"/>
        <v>0.23243281099365157</v>
      </c>
    </row>
    <row r="346" spans="1:20">
      <c r="A346" s="1">
        <v>345</v>
      </c>
      <c r="B346" s="2">
        <f>DATE(Sintesi!$C$4-1,12,31)+A346</f>
        <v>44541</v>
      </c>
      <c r="C346" s="1">
        <f>'Paste cell here'!T346</f>
        <v>2.0577755461848173</v>
      </c>
      <c r="D346" s="1">
        <f>'Paste cell here'!AC346</f>
        <v>0</v>
      </c>
      <c r="E346" s="1">
        <f>'Paste cell here'!Y346</f>
        <v>0</v>
      </c>
      <c r="F346" s="1">
        <f>'Paste cell here'!AD346</f>
        <v>1.2840548700952592</v>
      </c>
      <c r="G346" s="1">
        <f>'Paste cell here'!W346</f>
        <v>0</v>
      </c>
      <c r="H346" s="1">
        <f>'Paste cell here'!AE346</f>
        <v>269.49796032596339</v>
      </c>
      <c r="I346" s="1">
        <f>'Paste cell here'!AF346</f>
        <v>268.72423964987388</v>
      </c>
      <c r="J346" s="1">
        <f t="shared" si="30"/>
        <v>5.6843418860808015E-14</v>
      </c>
      <c r="K346" s="1" t="str">
        <f>IF('(OLD) Bilancio primo strato'!D346&gt;0,1,"")</f>
        <v/>
      </c>
      <c r="L346" s="7">
        <f>Sintesi!$C$34</f>
        <v>0.128</v>
      </c>
      <c r="M346" s="7">
        <f>Sintesi!$C$33</f>
        <v>0.25700000000000001</v>
      </c>
      <c r="N346" s="1">
        <f>'Paste cell here'!AA346</f>
        <v>0.9</v>
      </c>
      <c r="O346" s="1">
        <f>'Paste cell here'!H346</f>
        <v>0.18540444732023903</v>
      </c>
      <c r="P346" s="1">
        <f t="shared" si="31"/>
        <v>116.10000000000001</v>
      </c>
      <c r="Q346" s="1">
        <f t="shared" si="32"/>
        <v>21.525456333879752</v>
      </c>
      <c r="R346" s="1">
        <f t="shared" si="33"/>
        <v>209.77454366612025</v>
      </c>
      <c r="S346" s="5">
        <f t="shared" si="34"/>
        <v>0.29944217813995933</v>
      </c>
      <c r="T346" s="5">
        <f t="shared" si="35"/>
        <v>0.23308282629568916</v>
      </c>
    </row>
    <row r="347" spans="1:20">
      <c r="A347" s="1">
        <v>346</v>
      </c>
      <c r="B347" s="2">
        <f>DATE(Sintesi!$C$4-1,12,31)+A347</f>
        <v>44542</v>
      </c>
      <c r="C347" s="1">
        <f>'Paste cell here'!T347</f>
        <v>1.0906977159164888</v>
      </c>
      <c r="D347" s="1">
        <f>'Paste cell here'!AC347</f>
        <v>0</v>
      </c>
      <c r="E347" s="1">
        <f>'Paste cell here'!Y347</f>
        <v>0</v>
      </c>
      <c r="F347" s="1">
        <f>'Paste cell here'!AD347</f>
        <v>1.2961273333471706</v>
      </c>
      <c r="G347" s="1">
        <f>'Paste cell here'!W347</f>
        <v>0</v>
      </c>
      <c r="H347" s="1">
        <f>'Paste cell here'!AE347</f>
        <v>269.29253070853275</v>
      </c>
      <c r="I347" s="1">
        <f>'Paste cell here'!AF347</f>
        <v>269.49796032596339</v>
      </c>
      <c r="J347" s="1">
        <f t="shared" si="30"/>
        <v>5.6843418860808015E-14</v>
      </c>
      <c r="K347" s="1" t="str">
        <f>IF('(OLD) Bilancio primo strato'!D347&gt;0,1,"")</f>
        <v/>
      </c>
      <c r="L347" s="7">
        <f>Sintesi!$C$34</f>
        <v>0.128</v>
      </c>
      <c r="M347" s="7">
        <f>Sintesi!$C$33</f>
        <v>0.25700000000000001</v>
      </c>
      <c r="N347" s="1">
        <f>'Paste cell here'!AA347</f>
        <v>0.9</v>
      </c>
      <c r="O347" s="1">
        <f>'Paste cell here'!H347</f>
        <v>0.19411647726630626</v>
      </c>
      <c r="P347" s="1">
        <f t="shared" si="31"/>
        <v>116.10000000000001</v>
      </c>
      <c r="Q347" s="1">
        <f t="shared" si="32"/>
        <v>22.53692301061816</v>
      </c>
      <c r="R347" s="1">
        <f t="shared" si="33"/>
        <v>208.76307698938186</v>
      </c>
      <c r="S347" s="5">
        <f t="shared" si="34"/>
        <v>0.29921392300948085</v>
      </c>
      <c r="T347" s="5">
        <f t="shared" si="35"/>
        <v>0.23195897443264651</v>
      </c>
    </row>
    <row r="348" spans="1:20">
      <c r="A348" s="1">
        <v>347</v>
      </c>
      <c r="B348" s="2">
        <f>DATE(Sintesi!$C$4-1,12,31)+A348</f>
        <v>44543</v>
      </c>
      <c r="C348" s="1">
        <f>'Paste cell here'!T348</f>
        <v>0.69050749392377841</v>
      </c>
      <c r="D348" s="1">
        <f>'Paste cell here'!AC348</f>
        <v>0</v>
      </c>
      <c r="E348" s="1">
        <f>'Paste cell here'!Y348</f>
        <v>0</v>
      </c>
      <c r="F348" s="1">
        <f>'Paste cell here'!AD348</f>
        <v>1.2708831445986597</v>
      </c>
      <c r="G348" s="1">
        <f>'Paste cell here'!W348</f>
        <v>0</v>
      </c>
      <c r="H348" s="1">
        <f>'Paste cell here'!AE348</f>
        <v>268.71215505785779</v>
      </c>
      <c r="I348" s="1">
        <f>'Paste cell here'!AF348</f>
        <v>269.29253070853275</v>
      </c>
      <c r="J348" s="1">
        <f t="shared" si="30"/>
        <v>1.1368683772161603E-13</v>
      </c>
      <c r="K348" s="1" t="str">
        <f>IF('(OLD) Bilancio primo strato'!D348&gt;0,1,"")</f>
        <v/>
      </c>
      <c r="L348" s="7">
        <f>Sintesi!$C$34</f>
        <v>0.128</v>
      </c>
      <c r="M348" s="7">
        <f>Sintesi!$C$33</f>
        <v>0.25700000000000001</v>
      </c>
      <c r="N348" s="1">
        <f>'Paste cell here'!AA348</f>
        <v>0.9</v>
      </c>
      <c r="O348" s="1">
        <f>'Paste cell here'!H348</f>
        <v>0.18961306781932244</v>
      </c>
      <c r="P348" s="1">
        <f t="shared" si="31"/>
        <v>116.10000000000001</v>
      </c>
      <c r="Q348" s="1">
        <f t="shared" si="32"/>
        <v>22.014077173823338</v>
      </c>
      <c r="R348" s="1">
        <f t="shared" si="33"/>
        <v>209.28592282617666</v>
      </c>
      <c r="S348" s="5">
        <f t="shared" si="34"/>
        <v>0.29856906117539755</v>
      </c>
      <c r="T348" s="5">
        <f t="shared" si="35"/>
        <v>0.23253991425130741</v>
      </c>
    </row>
    <row r="349" spans="1:20">
      <c r="A349" s="1">
        <v>348</v>
      </c>
      <c r="B349" s="2">
        <f>DATE(Sintesi!$C$4-1,12,31)+A349</f>
        <v>44544</v>
      </c>
      <c r="C349" s="1">
        <f>'Paste cell here'!T349</f>
        <v>0.47948370681694102</v>
      </c>
      <c r="D349" s="1">
        <f>'Paste cell here'!AC349</f>
        <v>0</v>
      </c>
      <c r="E349" s="1">
        <f>'Paste cell here'!Y349</f>
        <v>0</v>
      </c>
      <c r="F349" s="1">
        <f>'Paste cell here'!AD349</f>
        <v>1.2300367877459517</v>
      </c>
      <c r="G349" s="1">
        <f>'Paste cell here'!W349</f>
        <v>0</v>
      </c>
      <c r="H349" s="1">
        <f>'Paste cell here'!AE349</f>
        <v>267.96160197692876</v>
      </c>
      <c r="I349" s="1">
        <f>'Paste cell here'!AF349</f>
        <v>268.71215505785779</v>
      </c>
      <c r="J349" s="1">
        <f t="shared" si="30"/>
        <v>0</v>
      </c>
      <c r="K349" s="1" t="str">
        <f>IF('(OLD) Bilancio primo strato'!D349&gt;0,1,"")</f>
        <v/>
      </c>
      <c r="L349" s="7">
        <f>Sintesi!$C$34</f>
        <v>0.128</v>
      </c>
      <c r="M349" s="7">
        <f>Sintesi!$C$33</f>
        <v>0.25700000000000001</v>
      </c>
      <c r="N349" s="1">
        <f>'Paste cell here'!AA349</f>
        <v>0.9</v>
      </c>
      <c r="O349" s="1">
        <f>'Paste cell here'!H349</f>
        <v>0.18673026800729892</v>
      </c>
      <c r="P349" s="1">
        <f t="shared" si="31"/>
        <v>116.10000000000001</v>
      </c>
      <c r="Q349" s="1">
        <f t="shared" si="32"/>
        <v>21.679384115647405</v>
      </c>
      <c r="R349" s="1">
        <f t="shared" si="33"/>
        <v>209.62061588435262</v>
      </c>
      <c r="S349" s="5">
        <f t="shared" si="34"/>
        <v>0.29773511330769864</v>
      </c>
      <c r="T349" s="5">
        <f t="shared" si="35"/>
        <v>0.23291179542705848</v>
      </c>
    </row>
    <row r="350" spans="1:20">
      <c r="A350" s="1">
        <v>349</v>
      </c>
      <c r="B350" s="2">
        <f>DATE(Sintesi!$C$4-1,12,31)+A350</f>
        <v>44545</v>
      </c>
      <c r="C350" s="1">
        <f>'Paste cell here'!T350</f>
        <v>0.3604549245600161</v>
      </c>
      <c r="D350" s="1">
        <f>'Paste cell here'!AC350</f>
        <v>0</v>
      </c>
      <c r="E350" s="1">
        <f>'Paste cell here'!Y350</f>
        <v>0</v>
      </c>
      <c r="F350" s="1">
        <f>'Paste cell here'!AD350</f>
        <v>1.1840221171743179</v>
      </c>
      <c r="G350" s="1">
        <f>'Paste cell here'!W350</f>
        <v>0</v>
      </c>
      <c r="H350" s="1">
        <f>'Paste cell here'!AE350</f>
        <v>267.13803478431458</v>
      </c>
      <c r="I350" s="1">
        <f>'Paste cell here'!AF350</f>
        <v>267.96160197692882</v>
      </c>
      <c r="J350" s="1">
        <f t="shared" si="30"/>
        <v>5.6843418860808015E-14</v>
      </c>
      <c r="K350" s="1" t="str">
        <f>IF('(OLD) Bilancio primo strato'!D350&gt;0,1,"")</f>
        <v/>
      </c>
      <c r="L350" s="7">
        <f>Sintesi!$C$34</f>
        <v>0.128</v>
      </c>
      <c r="M350" s="7">
        <f>Sintesi!$C$33</f>
        <v>0.25700000000000001</v>
      </c>
      <c r="N350" s="1">
        <f>'Paste cell here'!AA350</f>
        <v>0.9</v>
      </c>
      <c r="O350" s="1">
        <f>'Paste cell here'!H350</f>
        <v>0.19012992896471395</v>
      </c>
      <c r="P350" s="1">
        <f t="shared" si="31"/>
        <v>116.10000000000001</v>
      </c>
      <c r="Q350" s="1">
        <f t="shared" si="32"/>
        <v>22.074084752803291</v>
      </c>
      <c r="R350" s="1">
        <f t="shared" si="33"/>
        <v>209.22591524719672</v>
      </c>
      <c r="S350" s="5">
        <f t="shared" si="34"/>
        <v>0.29682003864923845</v>
      </c>
      <c r="T350" s="5">
        <f t="shared" si="35"/>
        <v>0.23247323916355192</v>
      </c>
    </row>
    <row r="351" spans="1:20">
      <c r="A351" s="1">
        <v>350</v>
      </c>
      <c r="B351" s="2">
        <f>DATE(Sintesi!$C$4-1,12,31)+A351</f>
        <v>44546</v>
      </c>
      <c r="C351" s="1">
        <f>'Paste cell here'!T351</f>
        <v>0.28912161595619046</v>
      </c>
      <c r="D351" s="1">
        <f>'Paste cell here'!AC351</f>
        <v>0</v>
      </c>
      <c r="E351" s="1">
        <f>'Paste cell here'!Y351</f>
        <v>0</v>
      </c>
      <c r="F351" s="1">
        <f>'Paste cell here'!AD351</f>
        <v>1.1367467089191208</v>
      </c>
      <c r="G351" s="1">
        <f>'Paste cell here'!W351</f>
        <v>0</v>
      </c>
      <c r="H351" s="1">
        <f>'Paste cell here'!AE351</f>
        <v>266.29040969135178</v>
      </c>
      <c r="I351" s="1">
        <f>'Paste cell here'!AF351</f>
        <v>267.13803478431464</v>
      </c>
      <c r="J351" s="1">
        <f t="shared" si="30"/>
        <v>1.1368683772161603E-13</v>
      </c>
      <c r="K351" s="1" t="str">
        <f>IF('(OLD) Bilancio primo strato'!D351&gt;0,1,"")</f>
        <v/>
      </c>
      <c r="L351" s="7">
        <f>Sintesi!$C$34</f>
        <v>0.128</v>
      </c>
      <c r="M351" s="7">
        <f>Sintesi!$C$33</f>
        <v>0.25700000000000001</v>
      </c>
      <c r="N351" s="1">
        <f>'Paste cell here'!AA351</f>
        <v>0.9</v>
      </c>
      <c r="O351" s="1">
        <f>'Paste cell here'!H351</f>
        <v>0.18990901200644558</v>
      </c>
      <c r="P351" s="1">
        <f t="shared" si="31"/>
        <v>116.10000000000001</v>
      </c>
      <c r="Q351" s="1">
        <f t="shared" si="32"/>
        <v>22.048436293948335</v>
      </c>
      <c r="R351" s="1">
        <f t="shared" si="33"/>
        <v>209.25156370605168</v>
      </c>
      <c r="S351" s="5">
        <f t="shared" si="34"/>
        <v>0.29587823299039084</v>
      </c>
      <c r="T351" s="5">
        <f t="shared" si="35"/>
        <v>0.23250173745116853</v>
      </c>
    </row>
    <row r="352" spans="1:20">
      <c r="A352" s="1">
        <v>351</v>
      </c>
      <c r="B352" s="2">
        <f>DATE(Sintesi!$C$4-1,12,31)+A352</f>
        <v>44547</v>
      </c>
      <c r="C352" s="1">
        <f>'Paste cell here'!T352</f>
        <v>0.23863882882910598</v>
      </c>
      <c r="D352" s="1">
        <f>'Paste cell here'!AC352</f>
        <v>0</v>
      </c>
      <c r="E352" s="1">
        <f>'Paste cell here'!Y352</f>
        <v>0</v>
      </c>
      <c r="F352" s="1">
        <f>'Paste cell here'!AD352</f>
        <v>1.090760285114994</v>
      </c>
      <c r="G352" s="1">
        <f>'Paste cell here'!W352</f>
        <v>0</v>
      </c>
      <c r="H352" s="1">
        <f>'Paste cell here'!AE352</f>
        <v>265.4382882350659</v>
      </c>
      <c r="I352" s="1">
        <f>'Paste cell here'!AF352</f>
        <v>266.29040969135178</v>
      </c>
      <c r="J352" s="1">
        <f t="shared" si="30"/>
        <v>0</v>
      </c>
      <c r="K352" s="1" t="str">
        <f>IF('(OLD) Bilancio primo strato'!D352&gt;0,1,"")</f>
        <v/>
      </c>
      <c r="L352" s="7">
        <f>Sintesi!$C$34</f>
        <v>0.128</v>
      </c>
      <c r="M352" s="7">
        <f>Sintesi!$C$33</f>
        <v>0.25700000000000001</v>
      </c>
      <c r="N352" s="1">
        <f>'Paste cell here'!AA352</f>
        <v>0.9</v>
      </c>
      <c r="O352" s="1">
        <f>'Paste cell here'!H352</f>
        <v>0.19216489556818495</v>
      </c>
      <c r="P352" s="1">
        <f t="shared" si="31"/>
        <v>116.10000000000001</v>
      </c>
      <c r="Q352" s="1">
        <f t="shared" si="32"/>
        <v>22.310344375466276</v>
      </c>
      <c r="R352" s="1">
        <f t="shared" si="33"/>
        <v>208.98965562453373</v>
      </c>
      <c r="S352" s="5">
        <f t="shared" si="34"/>
        <v>0.29493143137229544</v>
      </c>
      <c r="T352" s="5">
        <f t="shared" si="35"/>
        <v>0.23221072847170413</v>
      </c>
    </row>
    <row r="353" spans="1:20">
      <c r="A353" s="1">
        <v>352</v>
      </c>
      <c r="B353" s="2">
        <f>DATE(Sintesi!$C$4-1,12,31)+A353</f>
        <v>44548</v>
      </c>
      <c r="C353" s="1">
        <f>'Paste cell here'!T353</f>
        <v>0.20428892311770508</v>
      </c>
      <c r="D353" s="1">
        <f>'Paste cell here'!AC353</f>
        <v>0</v>
      </c>
      <c r="E353" s="1">
        <f>'Paste cell here'!Y353</f>
        <v>0</v>
      </c>
      <c r="F353" s="1">
        <f>'Paste cell here'!AD353</f>
        <v>1.0462930758945481</v>
      </c>
      <c r="G353" s="1">
        <f>'Paste cell here'!W353</f>
        <v>0</v>
      </c>
      <c r="H353" s="1">
        <f>'Paste cell here'!AE353</f>
        <v>264.59628408228906</v>
      </c>
      <c r="I353" s="1">
        <f>'Paste cell here'!AF353</f>
        <v>265.4382882350659</v>
      </c>
      <c r="J353" s="1">
        <f t="shared" si="30"/>
        <v>0</v>
      </c>
      <c r="K353" s="1" t="str">
        <f>IF('(OLD) Bilancio primo strato'!D353&gt;0,1,"")</f>
        <v/>
      </c>
      <c r="L353" s="7">
        <f>Sintesi!$C$34</f>
        <v>0.128</v>
      </c>
      <c r="M353" s="7">
        <f>Sintesi!$C$33</f>
        <v>0.25700000000000001</v>
      </c>
      <c r="N353" s="1">
        <f>'Paste cell here'!AA353</f>
        <v>0.9</v>
      </c>
      <c r="O353" s="1">
        <f>'Paste cell here'!H353</f>
        <v>0.18691735574672813</v>
      </c>
      <c r="P353" s="1">
        <f t="shared" si="31"/>
        <v>116.10000000000001</v>
      </c>
      <c r="Q353" s="1">
        <f t="shared" si="32"/>
        <v>21.701105002195138</v>
      </c>
      <c r="R353" s="1">
        <f t="shared" si="33"/>
        <v>209.59889499780488</v>
      </c>
      <c r="S353" s="5">
        <f t="shared" si="34"/>
        <v>0.29399587120254339</v>
      </c>
      <c r="T353" s="5">
        <f t="shared" si="35"/>
        <v>0.23288766110867209</v>
      </c>
    </row>
    <row r="354" spans="1:20">
      <c r="A354" s="1">
        <v>353</v>
      </c>
      <c r="B354" s="2">
        <f>DATE(Sintesi!$C$4-1,12,31)+A354</f>
        <v>44549</v>
      </c>
      <c r="C354" s="1">
        <f>'Paste cell here'!T354</f>
        <v>0.1756298311673152</v>
      </c>
      <c r="D354" s="1">
        <f>'Paste cell here'!AC354</f>
        <v>0</v>
      </c>
      <c r="E354" s="1">
        <f>'Paste cell here'!Y354</f>
        <v>0</v>
      </c>
      <c r="F354" s="1">
        <f>'Paste cell here'!AD354</f>
        <v>1.004381515020859</v>
      </c>
      <c r="G354" s="1">
        <f>'Paste cell here'!W354</f>
        <v>0</v>
      </c>
      <c r="H354" s="1">
        <f>'Paste cell here'!AE354</f>
        <v>263.76753239843555</v>
      </c>
      <c r="I354" s="1">
        <f>'Paste cell here'!AF354</f>
        <v>264.59628408228906</v>
      </c>
      <c r="J354" s="1">
        <f t="shared" si="30"/>
        <v>0</v>
      </c>
      <c r="K354" s="1" t="str">
        <f>IF('(OLD) Bilancio primo strato'!D354&gt;0,1,"")</f>
        <v/>
      </c>
      <c r="L354" s="7">
        <f>Sintesi!$C$34</f>
        <v>0.128</v>
      </c>
      <c r="M354" s="7">
        <f>Sintesi!$C$33</f>
        <v>0.25700000000000001</v>
      </c>
      <c r="N354" s="1">
        <f>'Paste cell here'!AA354</f>
        <v>0.9</v>
      </c>
      <c r="O354" s="1">
        <f>'Paste cell here'!H354</f>
        <v>0.19305271341014457</v>
      </c>
      <c r="P354" s="1">
        <f t="shared" si="31"/>
        <v>116.10000000000001</v>
      </c>
      <c r="Q354" s="1">
        <f t="shared" si="32"/>
        <v>22.413420026917787</v>
      </c>
      <c r="R354" s="1">
        <f t="shared" si="33"/>
        <v>208.88657997308223</v>
      </c>
      <c r="S354" s="5">
        <f t="shared" si="34"/>
        <v>0.29307503599826173</v>
      </c>
      <c r="T354" s="5">
        <f t="shared" si="35"/>
        <v>0.23209619997009137</v>
      </c>
    </row>
    <row r="355" spans="1:20">
      <c r="A355" s="1">
        <v>354</v>
      </c>
      <c r="B355" s="2">
        <f>DATE(Sintesi!$C$4-1,12,31)+A355</f>
        <v>44550</v>
      </c>
      <c r="C355" s="1">
        <f>'Paste cell here'!T355</f>
        <v>0.13312401981531816</v>
      </c>
      <c r="D355" s="1">
        <f>'Paste cell here'!AC355</f>
        <v>0</v>
      </c>
      <c r="E355" s="1">
        <f>'Paste cell here'!Y355</f>
        <v>0</v>
      </c>
      <c r="F355" s="1">
        <f>'Paste cell here'!AD355</f>
        <v>0.96412679040542237</v>
      </c>
      <c r="G355" s="1">
        <f>'Paste cell here'!W355</f>
        <v>0</v>
      </c>
      <c r="H355" s="1">
        <f>'Paste cell here'!AE355</f>
        <v>262.93652962784552</v>
      </c>
      <c r="I355" s="1">
        <f>'Paste cell here'!AF355</f>
        <v>263.76753239843561</v>
      </c>
      <c r="J355" s="1">
        <f t="shared" si="30"/>
        <v>0</v>
      </c>
      <c r="K355" s="1" t="str">
        <f>IF('(OLD) Bilancio primo strato'!D355&gt;0,1,"")</f>
        <v/>
      </c>
      <c r="L355" s="7">
        <f>Sintesi!$C$34</f>
        <v>0.128</v>
      </c>
      <c r="M355" s="7">
        <f>Sintesi!$C$33</f>
        <v>0.25700000000000001</v>
      </c>
      <c r="N355" s="1">
        <f>'Paste cell here'!AA355</f>
        <v>0.9</v>
      </c>
      <c r="O355" s="1">
        <f>'Paste cell here'!H355</f>
        <v>0.18758490869483385</v>
      </c>
      <c r="P355" s="1">
        <f t="shared" si="31"/>
        <v>116.10000000000001</v>
      </c>
      <c r="Q355" s="1">
        <f t="shared" si="32"/>
        <v>21.778607899470213</v>
      </c>
      <c r="R355" s="1">
        <f t="shared" si="33"/>
        <v>209.52139210052979</v>
      </c>
      <c r="S355" s="5">
        <f t="shared" si="34"/>
        <v>0.29215169958649501</v>
      </c>
      <c r="T355" s="5">
        <f t="shared" si="35"/>
        <v>0.23280154677836642</v>
      </c>
    </row>
    <row r="356" spans="1:20">
      <c r="A356" s="1">
        <v>355</v>
      </c>
      <c r="B356" s="2">
        <f>DATE(Sintesi!$C$4-1,12,31)+A356</f>
        <v>44551</v>
      </c>
      <c r="C356" s="1">
        <f>'Paste cell here'!T356</f>
        <v>9.8541023646745218E-2</v>
      </c>
      <c r="D356" s="1">
        <f>'Paste cell here'!AC356</f>
        <v>0</v>
      </c>
      <c r="E356" s="1">
        <f>'Paste cell here'!Y356</f>
        <v>0</v>
      </c>
      <c r="F356" s="1">
        <f>'Paste cell here'!AD356</f>
        <v>0.92527784494378817</v>
      </c>
      <c r="G356" s="1">
        <f>'Paste cell here'!W356</f>
        <v>0</v>
      </c>
      <c r="H356" s="1">
        <f>'Paste cell here'!AE356</f>
        <v>262.10979280654846</v>
      </c>
      <c r="I356" s="1">
        <f>'Paste cell here'!AF356</f>
        <v>262.93652962784552</v>
      </c>
      <c r="J356" s="1">
        <f t="shared" si="30"/>
        <v>5.6843418860808015E-14</v>
      </c>
      <c r="K356" s="1" t="str">
        <f>IF('(OLD) Bilancio primo strato'!D356&gt;0,1,"")</f>
        <v/>
      </c>
      <c r="L356" s="7">
        <f>Sintesi!$C$34</f>
        <v>0.128</v>
      </c>
      <c r="M356" s="7">
        <f>Sintesi!$C$33</f>
        <v>0.25700000000000001</v>
      </c>
      <c r="N356" s="1">
        <f>'Paste cell here'!AA356</f>
        <v>0.9</v>
      </c>
      <c r="O356" s="1">
        <f>'Paste cell here'!H356</f>
        <v>0.180513746750288</v>
      </c>
      <c r="P356" s="1">
        <f t="shared" si="31"/>
        <v>116.10000000000001</v>
      </c>
      <c r="Q356" s="1">
        <f t="shared" si="32"/>
        <v>20.95764599770844</v>
      </c>
      <c r="R356" s="1">
        <f t="shared" si="33"/>
        <v>210.34235400229159</v>
      </c>
      <c r="S356" s="5">
        <f t="shared" si="34"/>
        <v>0.29123310311838718</v>
      </c>
      <c r="T356" s="5">
        <f t="shared" si="35"/>
        <v>0.23371372666921286</v>
      </c>
    </row>
    <row r="357" spans="1:20">
      <c r="A357" s="1">
        <v>356</v>
      </c>
      <c r="B357" s="2">
        <f>DATE(Sintesi!$C$4-1,12,31)+A357</f>
        <v>44552</v>
      </c>
      <c r="C357" s="1">
        <f>'Paste cell here'!T357</f>
        <v>7.7982544822942201E-2</v>
      </c>
      <c r="D357" s="1">
        <f>'Paste cell here'!AC357</f>
        <v>0</v>
      </c>
      <c r="E357" s="1">
        <f>'Paste cell here'!Y357</f>
        <v>0</v>
      </c>
      <c r="F357" s="1">
        <f>'Paste cell here'!AD357</f>
        <v>0.88829805693093955</v>
      </c>
      <c r="G357" s="1">
        <f>'Paste cell here'!W357</f>
        <v>0</v>
      </c>
      <c r="H357" s="1">
        <f>'Paste cell here'!AE357</f>
        <v>261.29947729444046</v>
      </c>
      <c r="I357" s="1">
        <f>'Paste cell here'!AF357</f>
        <v>262.10979280654846</v>
      </c>
      <c r="J357" s="1">
        <f t="shared" si="30"/>
        <v>0</v>
      </c>
      <c r="K357" s="1" t="str">
        <f>IF('(OLD) Bilancio primo strato'!D357&gt;0,1,"")</f>
        <v/>
      </c>
      <c r="L357" s="7">
        <f>Sintesi!$C$34</f>
        <v>0.128</v>
      </c>
      <c r="M357" s="7">
        <f>Sintesi!$C$33</f>
        <v>0.25700000000000001</v>
      </c>
      <c r="N357" s="1">
        <f>'Paste cell here'!AA357</f>
        <v>0.9</v>
      </c>
      <c r="O357" s="1">
        <f>'Paste cell here'!H357</f>
        <v>0.18320656468941005</v>
      </c>
      <c r="P357" s="1">
        <f t="shared" si="31"/>
        <v>116.10000000000001</v>
      </c>
      <c r="Q357" s="1">
        <f t="shared" si="32"/>
        <v>21.270282160440509</v>
      </c>
      <c r="R357" s="1">
        <f t="shared" si="33"/>
        <v>210.02971783955951</v>
      </c>
      <c r="S357" s="5">
        <f t="shared" si="34"/>
        <v>0.29033275254937829</v>
      </c>
      <c r="T357" s="5">
        <f t="shared" si="35"/>
        <v>0.23336635315506613</v>
      </c>
    </row>
    <row r="358" spans="1:20">
      <c r="A358" s="1">
        <v>357</v>
      </c>
      <c r="B358" s="2">
        <f>DATE(Sintesi!$C$4-1,12,31)+A358</f>
        <v>44553</v>
      </c>
      <c r="C358" s="1">
        <f>'Paste cell here'!T358</f>
        <v>6.3552573206584001E-2</v>
      </c>
      <c r="D358" s="1">
        <f>'Paste cell here'!AC358</f>
        <v>0</v>
      </c>
      <c r="E358" s="1">
        <f>'Paste cell here'!Y358</f>
        <v>0</v>
      </c>
      <c r="F358" s="1">
        <f>'Paste cell here'!AD358</f>
        <v>0.85350021062472892</v>
      </c>
      <c r="G358" s="1">
        <f>'Paste cell here'!W358</f>
        <v>0</v>
      </c>
      <c r="H358" s="1">
        <f>'Paste cell here'!AE358</f>
        <v>260.50952965702237</v>
      </c>
      <c r="I358" s="1">
        <f>'Paste cell here'!AF358</f>
        <v>261.29947729444046</v>
      </c>
      <c r="J358" s="1">
        <f t="shared" si="30"/>
        <v>0</v>
      </c>
      <c r="K358" s="1" t="str">
        <f>IF('(OLD) Bilancio primo strato'!D358&gt;0,1,"")</f>
        <v/>
      </c>
      <c r="L358" s="7">
        <f>Sintesi!$C$34</f>
        <v>0.128</v>
      </c>
      <c r="M358" s="7">
        <f>Sintesi!$C$33</f>
        <v>0.25700000000000001</v>
      </c>
      <c r="N358" s="1">
        <f>'Paste cell here'!AA358</f>
        <v>0.9</v>
      </c>
      <c r="O358" s="1">
        <f>'Paste cell here'!H358</f>
        <v>0.18982384351476114</v>
      </c>
      <c r="P358" s="1">
        <f t="shared" si="31"/>
        <v>116.10000000000001</v>
      </c>
      <c r="Q358" s="1">
        <f t="shared" si="32"/>
        <v>22.038548232063771</v>
      </c>
      <c r="R358" s="1">
        <f t="shared" si="33"/>
        <v>209.26145176793625</v>
      </c>
      <c r="S358" s="5">
        <f t="shared" si="34"/>
        <v>0.28945503295224706</v>
      </c>
      <c r="T358" s="5">
        <f t="shared" si="35"/>
        <v>0.23251272418659583</v>
      </c>
    </row>
    <row r="359" spans="1:20">
      <c r="A359" s="1">
        <v>358</v>
      </c>
      <c r="B359" s="2">
        <f>DATE(Sintesi!$C$4-1,12,31)+A359</f>
        <v>44554</v>
      </c>
      <c r="C359" s="1">
        <f>'Paste cell here'!T359</f>
        <v>4.7733445920516974E-2</v>
      </c>
      <c r="D359" s="1">
        <f>'Paste cell here'!AC359</f>
        <v>0</v>
      </c>
      <c r="E359" s="1">
        <f>'Paste cell here'!Y359</f>
        <v>0</v>
      </c>
      <c r="F359" s="1">
        <f>'Paste cell here'!AD359</f>
        <v>0.82070748507764013</v>
      </c>
      <c r="G359" s="1">
        <f>'Paste cell here'!W359</f>
        <v>0</v>
      </c>
      <c r="H359" s="1">
        <f>'Paste cell here'!AE359</f>
        <v>259.73655561786524</v>
      </c>
      <c r="I359" s="1">
        <f>'Paste cell here'!AF359</f>
        <v>260.50952965702237</v>
      </c>
      <c r="J359" s="1">
        <f t="shared" si="30"/>
        <v>0</v>
      </c>
      <c r="K359" s="1" t="str">
        <f>IF('(OLD) Bilancio primo strato'!D359&gt;0,1,"")</f>
        <v/>
      </c>
      <c r="L359" s="7">
        <f>Sintesi!$C$34</f>
        <v>0.128</v>
      </c>
      <c r="M359" s="7">
        <f>Sintesi!$C$33</f>
        <v>0.25700000000000001</v>
      </c>
      <c r="N359" s="1">
        <f>'Paste cell here'!AA359</f>
        <v>0.9</v>
      </c>
      <c r="O359" s="1">
        <f>'Paste cell here'!H359</f>
        <v>0.18598320405612614</v>
      </c>
      <c r="P359" s="1">
        <f t="shared" si="31"/>
        <v>116.10000000000001</v>
      </c>
      <c r="Q359" s="1">
        <f t="shared" si="32"/>
        <v>21.592649990916247</v>
      </c>
      <c r="R359" s="1">
        <f t="shared" si="33"/>
        <v>209.70735000908377</v>
      </c>
      <c r="S359" s="5">
        <f t="shared" si="34"/>
        <v>0.28859617290873912</v>
      </c>
      <c r="T359" s="5">
        <f t="shared" si="35"/>
        <v>0.23300816667675975</v>
      </c>
    </row>
    <row r="360" spans="1:20">
      <c r="A360" s="1">
        <v>359</v>
      </c>
      <c r="B360" s="2">
        <f>DATE(Sintesi!$C$4-1,12,31)+A360</f>
        <v>44555</v>
      </c>
      <c r="C360" s="1">
        <f>'Paste cell here'!T360</f>
        <v>5.5232556855255091E-2</v>
      </c>
      <c r="D360" s="1">
        <f>'Paste cell here'!AC360</f>
        <v>0</v>
      </c>
      <c r="E360" s="1">
        <f>'Paste cell here'!Y360</f>
        <v>0</v>
      </c>
      <c r="F360" s="1">
        <f>'Paste cell here'!AD360</f>
        <v>0.78995005663099938</v>
      </c>
      <c r="G360" s="1">
        <f>'Paste cell here'!W360</f>
        <v>0</v>
      </c>
      <c r="H360" s="1">
        <f>'Paste cell here'!AE360</f>
        <v>259.00183811808944</v>
      </c>
      <c r="I360" s="1">
        <f>'Paste cell here'!AF360</f>
        <v>259.73655561786524</v>
      </c>
      <c r="J360" s="1">
        <f t="shared" si="30"/>
        <v>5.6843418860808015E-14</v>
      </c>
      <c r="K360" s="1" t="str">
        <f>IF('(OLD) Bilancio primo strato'!D360&gt;0,1,"")</f>
        <v/>
      </c>
      <c r="L360" s="7">
        <f>Sintesi!$C$34</f>
        <v>0.128</v>
      </c>
      <c r="M360" s="7">
        <f>Sintesi!$C$33</f>
        <v>0.25700000000000001</v>
      </c>
      <c r="N360" s="1">
        <f>'Paste cell here'!AA360</f>
        <v>0.9</v>
      </c>
      <c r="O360" s="1">
        <f>'Paste cell here'!H360</f>
        <v>0.17720042120566448</v>
      </c>
      <c r="P360" s="1">
        <f t="shared" si="31"/>
        <v>116.10000000000001</v>
      </c>
      <c r="Q360" s="1">
        <f t="shared" si="32"/>
        <v>20.572968901977649</v>
      </c>
      <c r="R360" s="1">
        <f t="shared" si="33"/>
        <v>210.72703109802237</v>
      </c>
      <c r="S360" s="5">
        <f t="shared" si="34"/>
        <v>0.28777982013121051</v>
      </c>
      <c r="T360" s="5">
        <f t="shared" si="35"/>
        <v>0.23414114566446931</v>
      </c>
    </row>
    <row r="361" spans="1:20">
      <c r="A361" s="1">
        <v>360</v>
      </c>
      <c r="B361" s="2">
        <f>DATE(Sintesi!$C$4-1,12,31)+A361</f>
        <v>44556</v>
      </c>
      <c r="C361" s="1">
        <f>'Paste cell here'!T361</f>
        <v>7.03338485199069E-2</v>
      </c>
      <c r="D361" s="1">
        <f>'Paste cell here'!AC361</f>
        <v>0</v>
      </c>
      <c r="E361" s="1">
        <f>'Paste cell here'!Y361</f>
        <v>0</v>
      </c>
      <c r="F361" s="1">
        <f>'Paste cell here'!AD361</f>
        <v>0.76210929341791267</v>
      </c>
      <c r="G361" s="1">
        <f>'Paste cell here'!W361</f>
        <v>0</v>
      </c>
      <c r="H361" s="1">
        <f>'Paste cell here'!AE361</f>
        <v>258.3100626731914</v>
      </c>
      <c r="I361" s="1">
        <f>'Paste cell here'!AF361</f>
        <v>259.00183811808949</v>
      </c>
      <c r="J361" s="1">
        <f t="shared" si="30"/>
        <v>1.1368683772161603E-13</v>
      </c>
      <c r="K361" s="1" t="str">
        <f>IF('(OLD) Bilancio primo strato'!D361&gt;0,1,"")</f>
        <v/>
      </c>
      <c r="L361" s="7">
        <f>Sintesi!$C$34</f>
        <v>0.128</v>
      </c>
      <c r="M361" s="7">
        <f>Sintesi!$C$33</f>
        <v>0.25700000000000001</v>
      </c>
      <c r="N361" s="1">
        <f>'Paste cell here'!AA361</f>
        <v>0.9</v>
      </c>
      <c r="O361" s="1">
        <f>'Paste cell here'!H361</f>
        <v>0.18112459812746956</v>
      </c>
      <c r="P361" s="1">
        <f t="shared" si="31"/>
        <v>116.10000000000001</v>
      </c>
      <c r="Q361" s="1">
        <f t="shared" si="32"/>
        <v>21.028565842599217</v>
      </c>
      <c r="R361" s="1">
        <f t="shared" si="33"/>
        <v>210.27143415740079</v>
      </c>
      <c r="S361" s="5">
        <f t="shared" si="34"/>
        <v>0.28701118074799042</v>
      </c>
      <c r="T361" s="5">
        <f t="shared" si="35"/>
        <v>0.23363492684155643</v>
      </c>
    </row>
    <row r="362" spans="1:20">
      <c r="A362" s="1">
        <v>361</v>
      </c>
      <c r="B362" s="2">
        <f>DATE(Sintesi!$C$4-1,12,31)+A362</f>
        <v>44557</v>
      </c>
      <c r="C362" s="1">
        <f>'Paste cell here'!T362</f>
        <v>0.14548169683484496</v>
      </c>
      <c r="D362" s="1">
        <f>'Paste cell here'!AC362</f>
        <v>0</v>
      </c>
      <c r="E362" s="1">
        <f>'Paste cell here'!Y362</f>
        <v>0</v>
      </c>
      <c r="F362" s="1">
        <f>'Paste cell here'!AD362</f>
        <v>0.73702233114910332</v>
      </c>
      <c r="G362" s="1">
        <f>'Paste cell here'!W362</f>
        <v>0</v>
      </c>
      <c r="H362" s="1">
        <f>'Paste cell here'!AE362</f>
        <v>257.7185220388771</v>
      </c>
      <c r="I362" s="1">
        <f>'Paste cell here'!AF362</f>
        <v>258.3100626731914</v>
      </c>
      <c r="J362" s="1">
        <f t="shared" si="30"/>
        <v>5.6843418860808015E-14</v>
      </c>
      <c r="K362" s="1" t="str">
        <f>IF('(OLD) Bilancio primo strato'!D362&gt;0,1,"")</f>
        <v/>
      </c>
      <c r="L362" s="7">
        <f>Sintesi!$C$34</f>
        <v>0.128</v>
      </c>
      <c r="M362" s="7">
        <f>Sintesi!$C$33</f>
        <v>0.25700000000000001</v>
      </c>
      <c r="N362" s="1">
        <f>'Paste cell here'!AA362</f>
        <v>0.9</v>
      </c>
      <c r="O362" s="1">
        <f>'Paste cell here'!H362</f>
        <v>0.18827854240041025</v>
      </c>
      <c r="P362" s="1">
        <f t="shared" si="31"/>
        <v>116.10000000000001</v>
      </c>
      <c r="Q362" s="1">
        <f t="shared" si="32"/>
        <v>21.859138772687633</v>
      </c>
      <c r="R362" s="1">
        <f t="shared" si="33"/>
        <v>209.44086122731238</v>
      </c>
      <c r="S362" s="5">
        <f t="shared" si="34"/>
        <v>0.2863539133765301</v>
      </c>
      <c r="T362" s="5">
        <f t="shared" si="35"/>
        <v>0.23271206803034708</v>
      </c>
    </row>
    <row r="363" spans="1:20">
      <c r="A363" s="1">
        <v>362</v>
      </c>
      <c r="B363" s="2">
        <f>DATE(Sintesi!$C$4-1,12,31)+A363</f>
        <v>44558</v>
      </c>
      <c r="C363" s="1">
        <f>'Paste cell here'!T363</f>
        <v>0.23304466755662534</v>
      </c>
      <c r="D363" s="1">
        <f>'Paste cell here'!AC363</f>
        <v>0</v>
      </c>
      <c r="E363" s="1">
        <f>'Paste cell here'!Y363</f>
        <v>0</v>
      </c>
      <c r="F363" s="1">
        <f>'Paste cell here'!AD363</f>
        <v>0.71793926268263364</v>
      </c>
      <c r="G363" s="1">
        <f>'Paste cell here'!W363</f>
        <v>0</v>
      </c>
      <c r="H363" s="1">
        <f>'Paste cell here'!AE363</f>
        <v>257.23362744375112</v>
      </c>
      <c r="I363" s="1">
        <f>'Paste cell here'!AF363</f>
        <v>257.7185220388771</v>
      </c>
      <c r="J363" s="1">
        <f t="shared" si="30"/>
        <v>5.6843418860808015E-14</v>
      </c>
      <c r="K363" s="1" t="str">
        <f>IF('(OLD) Bilancio primo strato'!D363&gt;0,1,"")</f>
        <v/>
      </c>
      <c r="L363" s="7">
        <f>Sintesi!$C$34</f>
        <v>0.128</v>
      </c>
      <c r="M363" s="7">
        <f>Sintesi!$C$33</f>
        <v>0.25700000000000001</v>
      </c>
      <c r="N363" s="1">
        <f>'Paste cell here'!AA363</f>
        <v>0.9</v>
      </c>
      <c r="O363" s="1">
        <f>'Paste cell here'!H363</f>
        <v>0.18406662786365716</v>
      </c>
      <c r="P363" s="1">
        <f t="shared" si="31"/>
        <v>116.10000000000001</v>
      </c>
      <c r="Q363" s="1">
        <f t="shared" si="32"/>
        <v>21.370135494970597</v>
      </c>
      <c r="R363" s="1">
        <f t="shared" si="33"/>
        <v>209.9298645050294</v>
      </c>
      <c r="S363" s="5">
        <f t="shared" si="34"/>
        <v>0.28581514160416793</v>
      </c>
      <c r="T363" s="5">
        <f t="shared" si="35"/>
        <v>0.23325540500558822</v>
      </c>
    </row>
    <row r="364" spans="1:20">
      <c r="A364" s="1">
        <v>363</v>
      </c>
      <c r="B364" s="2">
        <f>DATE(Sintesi!$C$4-1,12,31)+A364</f>
        <v>44559</v>
      </c>
      <c r="C364" s="1">
        <f>'Paste cell here'!T364</f>
        <v>0.18213544847142868</v>
      </c>
      <c r="D364" s="1">
        <f>'Paste cell here'!AC364</f>
        <v>0</v>
      </c>
      <c r="E364" s="1">
        <f>'Paste cell here'!Y364</f>
        <v>0</v>
      </c>
      <c r="F364" s="1">
        <f>'Paste cell here'!AD364</f>
        <v>0.69966722217861332</v>
      </c>
      <c r="G364" s="1">
        <f>'Paste cell here'!W364</f>
        <v>0</v>
      </c>
      <c r="H364" s="1">
        <f>'Paste cell here'!AE364</f>
        <v>256.71609567004396</v>
      </c>
      <c r="I364" s="1">
        <f>'Paste cell here'!AF364</f>
        <v>257.23362744375117</v>
      </c>
      <c r="J364" s="1">
        <f t="shared" si="30"/>
        <v>5.6843418860808015E-14</v>
      </c>
      <c r="K364" s="1" t="str">
        <f>IF('(OLD) Bilancio primo strato'!D364&gt;0,1,"")</f>
        <v/>
      </c>
      <c r="L364" s="7">
        <f>Sintesi!$C$34</f>
        <v>0.128</v>
      </c>
      <c r="M364" s="7">
        <f>Sintesi!$C$33</f>
        <v>0.25700000000000001</v>
      </c>
      <c r="N364" s="1">
        <f>'Paste cell here'!AA364</f>
        <v>0.9</v>
      </c>
      <c r="O364" s="1">
        <f>'Paste cell here'!H364</f>
        <v>0.18363744105590138</v>
      </c>
      <c r="P364" s="1">
        <f t="shared" si="31"/>
        <v>116.10000000000001</v>
      </c>
      <c r="Q364" s="1">
        <f t="shared" si="32"/>
        <v>21.320306906590151</v>
      </c>
      <c r="R364" s="1">
        <f t="shared" si="33"/>
        <v>209.97969309340985</v>
      </c>
      <c r="S364" s="5">
        <f t="shared" si="34"/>
        <v>0.28524010630004881</v>
      </c>
      <c r="T364" s="5">
        <f t="shared" si="35"/>
        <v>0.23331077010378873</v>
      </c>
    </row>
    <row r="365" spans="1:20">
      <c r="A365" s="1">
        <v>364</v>
      </c>
      <c r="B365" s="2">
        <f>DATE(Sintesi!$C$4-1,12,31)+A365</f>
        <v>44560</v>
      </c>
      <c r="C365" s="1">
        <f>'Paste cell here'!T365</f>
        <v>0.14897978896383232</v>
      </c>
      <c r="D365" s="1">
        <f>'Paste cell here'!AC365</f>
        <v>0</v>
      </c>
      <c r="E365" s="1">
        <f>'Paste cell here'!Y365</f>
        <v>0</v>
      </c>
      <c r="F365" s="1">
        <f>'Paste cell here'!AD365</f>
        <v>0.68114386384207581</v>
      </c>
      <c r="G365" s="1">
        <f>'Paste cell here'!W365</f>
        <v>0</v>
      </c>
      <c r="H365" s="1">
        <f>'Paste cell here'!AE365</f>
        <v>256.18393159516569</v>
      </c>
      <c r="I365" s="1">
        <f>'Paste cell here'!AF365</f>
        <v>256.71609567004396</v>
      </c>
      <c r="J365" s="1">
        <f t="shared" si="30"/>
        <v>5.6843418860808015E-14</v>
      </c>
      <c r="K365" s="1" t="str">
        <f>IF('(OLD) Bilancio primo strato'!D365&gt;0,1,"")</f>
        <v/>
      </c>
      <c r="L365" s="7">
        <f>Sintesi!$C$34</f>
        <v>0.128</v>
      </c>
      <c r="M365" s="7">
        <f>Sintesi!$C$33</f>
        <v>0.25700000000000001</v>
      </c>
      <c r="N365" s="1">
        <f>'Paste cell here'!AA365</f>
        <v>0.9</v>
      </c>
      <c r="O365" s="1">
        <f>'Paste cell here'!H365</f>
        <v>0.19018544661682274</v>
      </c>
      <c r="P365" s="1">
        <f t="shared" si="31"/>
        <v>116.10000000000001</v>
      </c>
      <c r="Q365" s="1">
        <f t="shared" si="32"/>
        <v>22.08053035221312</v>
      </c>
      <c r="R365" s="1">
        <f t="shared" si="33"/>
        <v>209.21946964778689</v>
      </c>
      <c r="S365" s="5">
        <f t="shared" si="34"/>
        <v>0.28464881288351745</v>
      </c>
      <c r="T365" s="5">
        <f t="shared" si="35"/>
        <v>0.23246607738642988</v>
      </c>
    </row>
    <row r="366" spans="1:20">
      <c r="A366" s="1">
        <v>365</v>
      </c>
      <c r="B366" s="2">
        <f>DATE(Sintesi!$C$4-1,12,31)+A366</f>
        <v>44561</v>
      </c>
      <c r="C366" s="1">
        <f>'Paste cell here'!T366</f>
        <v>0.12012329964593556</v>
      </c>
      <c r="D366" s="1">
        <f>'Paste cell here'!AC366</f>
        <v>0</v>
      </c>
      <c r="E366" s="1">
        <f>'Paste cell here'!Y366</f>
        <v>0</v>
      </c>
      <c r="F366" s="1">
        <f>'Paste cell here'!AD366</f>
        <v>0.66258309922198688</v>
      </c>
      <c r="G366" s="1">
        <f>'Paste cell here'!W366</f>
        <v>0</v>
      </c>
      <c r="H366" s="1">
        <f>'Paste cell here'!AE366</f>
        <v>255.64147179558969</v>
      </c>
      <c r="I366" s="1">
        <f>'Paste cell here'!AF366</f>
        <v>256.18393159516575</v>
      </c>
      <c r="J366" s="1">
        <f t="shared" si="30"/>
        <v>2.8421709430404007E-14</v>
      </c>
      <c r="K366" s="1" t="str">
        <f>IF('(OLD) Bilancio primo strato'!D366&gt;0,1,"")</f>
        <v/>
      </c>
      <c r="L366" s="7">
        <f>Sintesi!$C$34</f>
        <v>0.128</v>
      </c>
      <c r="M366" s="7">
        <f>Sintesi!$C$33</f>
        <v>0.25700000000000001</v>
      </c>
      <c r="N366" s="1">
        <f>'Paste cell here'!AA366</f>
        <v>0.9</v>
      </c>
      <c r="O366" s="1">
        <f>'Paste cell here'!H366</f>
        <v>0.18768802188694414</v>
      </c>
      <c r="P366" s="1">
        <f t="shared" si="31"/>
        <v>116.10000000000001</v>
      </c>
      <c r="Q366" s="1">
        <f t="shared" si="32"/>
        <v>21.790579341074217</v>
      </c>
      <c r="R366" s="1">
        <f t="shared" si="33"/>
        <v>209.50942065892579</v>
      </c>
      <c r="S366" s="5">
        <f t="shared" si="34"/>
        <v>0.28404607977287744</v>
      </c>
      <c r="T366" s="5">
        <f t="shared" si="35"/>
        <v>0.23278824517658422</v>
      </c>
    </row>
    <row r="368" spans="1:20">
      <c r="C368" s="1">
        <f t="shared" ref="C368:I368" si="36">C113+C158+C162+C164+C166+C167+C169+C171+C173+C176+C177+C179+C180+C181+C183+C184+C187+C188+C190+C193+C195+C199+C200+C203+C204+C206+C207+C209+C213+C220+C230+C232+C234+C238+C240+C242+C244+C248</f>
        <v>224.43331026657509</v>
      </c>
      <c r="D368" s="1">
        <f t="shared" si="36"/>
        <v>2.1312106568479983E-2</v>
      </c>
      <c r="E368" s="1">
        <f t="shared" si="36"/>
        <v>171.31079958120648</v>
      </c>
      <c r="F368" s="1">
        <f t="shared" si="36"/>
        <v>13.339939322592061</v>
      </c>
      <c r="G368" s="1">
        <f t="shared" si="36"/>
        <v>0</v>
      </c>
      <c r="H368" s="1">
        <f t="shared" si="36"/>
        <v>6413.4271075310417</v>
      </c>
      <c r="I368" s="1">
        <f t="shared" si="36"/>
        <v>6373.6232240616955</v>
      </c>
    </row>
    <row r="369" spans="3:10">
      <c r="C369" s="1">
        <f t="shared" ref="C369:I369" si="37">C368/38</f>
        <v>5.9061397438572394</v>
      </c>
      <c r="D369" s="1">
        <f t="shared" si="37"/>
        <v>5.6084490969684163E-4</v>
      </c>
      <c r="E369" s="1">
        <f t="shared" si="37"/>
        <v>4.5081789363475391</v>
      </c>
      <c r="F369" s="1">
        <f t="shared" si="37"/>
        <v>0.35105103480505423</v>
      </c>
      <c r="G369" s="1">
        <f t="shared" si="37"/>
        <v>0</v>
      </c>
      <c r="H369" s="1">
        <f t="shared" si="37"/>
        <v>168.77439756660635</v>
      </c>
      <c r="I369" s="1">
        <f t="shared" si="37"/>
        <v>167.72692694899197</v>
      </c>
      <c r="J369" s="1">
        <f>H369-I369</f>
        <v>1.0474706176143798</v>
      </c>
    </row>
    <row r="371" spans="3:10">
      <c r="C371" s="1">
        <f t="shared" ref="C371:I371" si="38">C113+C162+C164+C166+C167+C169+C171+C173+C176+C177+C179+C180+C181+C183+C184+C187+C188+C190+C193+C195+C199+C200+C203+C204+C206+C207+C213+C230+C232+C234+C238+C240+C242+C244+C248</f>
        <v>211.04401228522434</v>
      </c>
      <c r="D371" s="1">
        <f t="shared" si="38"/>
        <v>2.1312106568479983E-2</v>
      </c>
      <c r="E371" s="1">
        <f t="shared" si="38"/>
        <v>160.8741625026895</v>
      </c>
      <c r="F371" s="1">
        <f t="shared" si="38"/>
        <v>10.7003983351981</v>
      </c>
      <c r="G371" s="1">
        <f t="shared" si="38"/>
        <v>0</v>
      </c>
      <c r="H371" s="1">
        <f t="shared" si="38"/>
        <v>5894.3975594405483</v>
      </c>
      <c r="I371" s="1">
        <f t="shared" si="38"/>
        <v>5854.9067958866417</v>
      </c>
    </row>
    <row r="372" spans="3:10">
      <c r="C372" s="1">
        <f t="shared" ref="C372:I372" si="39">C371/35</f>
        <v>6.029828922434981</v>
      </c>
      <c r="D372" s="1">
        <f t="shared" si="39"/>
        <v>6.0891733052799955E-4</v>
      </c>
      <c r="E372" s="1">
        <f t="shared" si="39"/>
        <v>4.5964046429339858</v>
      </c>
      <c r="F372" s="1">
        <f t="shared" si="39"/>
        <v>0.30572566671994572</v>
      </c>
      <c r="G372" s="1">
        <f t="shared" si="39"/>
        <v>0</v>
      </c>
      <c r="H372" s="1">
        <f t="shared" si="39"/>
        <v>168.41135884115852</v>
      </c>
      <c r="I372" s="1">
        <f t="shared" si="39"/>
        <v>167.2830513110469</v>
      </c>
      <c r="J372" s="1">
        <f>H372-I372</f>
        <v>1.1283075301116128</v>
      </c>
    </row>
  </sheetData>
  <conditionalFormatting sqref="J1:J366">
    <cfRule type="cellIs" dxfId="5" priority="4" stopIfTrue="1" operator="lessThan">
      <formula>0.00001</formula>
    </cfRule>
  </conditionalFormatting>
  <conditionalFormatting sqref="J2">
    <cfRule type="cellIs" dxfId="4" priority="1" stopIfTrue="1" operator="lessThan">
      <formula>0.01</formula>
    </cfRule>
    <cfRule type="cellIs" dxfId="3" priority="2" operator="greaterThanOrEqual">
      <formula>0.01</formula>
    </cfRule>
  </conditionalFormatting>
  <conditionalFormatting sqref="J3:J366">
    <cfRule type="cellIs" dxfId="2" priority="5" stopIfTrue="1" operator="lessThan">
      <formula>0.01</formula>
    </cfRule>
    <cfRule type="cellIs" dxfId="1" priority="6" operator="greaterThanOrEqual">
      <formula>0.01</formula>
    </cfRule>
  </conditionalFormatting>
  <conditionalFormatting sqref="N2:N366">
    <cfRule type="cellIs" dxfId="0" priority="7" operator="notEqual">
      <formula>$N$2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14</vt:i4>
      </vt:variant>
    </vt:vector>
  </HeadingPairs>
  <TitlesOfParts>
    <vt:vector size="22" baseType="lpstr">
      <vt:lpstr>Sintesi</vt:lpstr>
      <vt:lpstr>Paste cell here</vt:lpstr>
      <vt:lpstr>Paste cellparameters here</vt:lpstr>
      <vt:lpstr>Paste cellinfo here</vt:lpstr>
      <vt:lpstr>Rootzone balance</vt:lpstr>
      <vt:lpstr>(OLD) Verifica produttività</vt:lpstr>
      <vt:lpstr>(OLD) Bilancio primo strato</vt:lpstr>
      <vt:lpstr>(OLD) Bilancio secondo strato</vt:lpstr>
      <vt:lpstr>Dati_colture</vt:lpstr>
      <vt:lpstr>HI</vt:lpstr>
      <vt:lpstr>ii0</vt:lpstr>
      <vt:lpstr>iid</vt:lpstr>
      <vt:lpstr>iie</vt:lpstr>
      <vt:lpstr>irandom</vt:lpstr>
      <vt:lpstr>Kcbini</vt:lpstr>
      <vt:lpstr>Kcbmax</vt:lpstr>
      <vt:lpstr>Kcbmin</vt:lpstr>
      <vt:lpstr>KyP</vt:lpstr>
      <vt:lpstr>KyT</vt:lpstr>
      <vt:lpstr>Tcrit</vt:lpstr>
      <vt:lpstr>Tlim</vt:lpstr>
      <vt:lpstr>WPadj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Paolo Soffietti</cp:lastModifiedBy>
  <dcterms:created xsi:type="dcterms:W3CDTF">2016-06-02T09:54:49Z</dcterms:created>
  <dcterms:modified xsi:type="dcterms:W3CDTF">2026-09-21T09:23:14Z</dcterms:modified>
</cp:coreProperties>
</file>